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\"/>
    </mc:Choice>
  </mc:AlternateContent>
  <xr:revisionPtr revIDLastSave="0" documentId="13_ncr:1_{B0519A5A-3709-43C4-A0E3-78311F11F5C2}" xr6:coauthVersionLast="47" xr6:coauthVersionMax="47" xr10:uidLastSave="{00000000-0000-0000-0000-000000000000}"/>
  <bookViews>
    <workbookView xWindow="-120" yWindow="-120" windowWidth="20730" windowHeight="11160" tabRatio="906" firstSheet="1" activeTab="5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doses_contrib" sheetId="96" r:id="rId7"/>
    <sheet name="VAC_Optim_Scenario" sheetId="23" r:id="rId8"/>
    <sheet name="Current Constraints" sheetId="95" r:id="rId9"/>
    <sheet name="GINOFF" sheetId="51" r:id="rId10"/>
    <sheet name="GMCM" sheetId="50" r:id="rId11"/>
    <sheet name="GSOCIAL" sheetId="89" r:id="rId12"/>
    <sheet name="GOLV" sheetId="92" r:id="rId13"/>
    <sheet name="GSTRTV" sheetId="91" r:id="rId14"/>
    <sheet name="GDISP" sheetId="87" r:id="rId15"/>
    <sheet name="GPDSRCH" sheetId="93" r:id="rId16"/>
    <sheet name="GAUDIO" sheetId="88" r:id="rId17"/>
    <sheet name="GLINEARTV" sheetId="90" r:id="rId18"/>
    <sheet name="GPRNT" sheetId="48" state="hidden" r:id="rId19"/>
    <sheet name="GPHRMCY" sheetId="94" r:id="rId20"/>
    <sheet name="Fn.Templates ==&gt;" sheetId="3" r:id="rId21"/>
    <sheet name="FT_SCurveEst" sheetId="2" r:id="rId22"/>
    <sheet name="FT_Equation" sheetId="4" r:id="rId23"/>
    <sheet name="FT_Interpolate" sheetId="5" r:id="rId24"/>
    <sheet name="FT_SCurve3Est" sheetId="13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4" hidden="1">'Contribution, promo eff, ROI'!$E$17:$F$25</definedName>
    <definedName name="solver_adj" localSheetId="7" hidden="1">VAC_Optim_Scenario!$I$17:$I$26</definedName>
    <definedName name="solver_cvg" localSheetId="3" hidden="1">0.0001</definedName>
    <definedName name="solver_cvg" localSheetId="0" hidden="1">0.0001</definedName>
    <definedName name="solver_cvg" localSheetId="7" hidden="1">0.0001</definedName>
    <definedName name="solver_drv" localSheetId="3" hidden="1">1</definedName>
    <definedName name="solver_drv" localSheetId="0" hidden="1">1</definedName>
    <definedName name="solver_drv" localSheetId="7" hidden="1">1</definedName>
    <definedName name="solver_eng" localSheetId="19" hidden="1">1</definedName>
    <definedName name="solver_eng" localSheetId="3" hidden="1">1</definedName>
    <definedName name="solver_eng" localSheetId="0" hidden="1">1</definedName>
    <definedName name="solver_eng" localSheetId="7" hidden="1">1</definedName>
    <definedName name="solver_est" localSheetId="3" hidden="1">1</definedName>
    <definedName name="solver_est" localSheetId="0" hidden="1">1</definedName>
    <definedName name="solver_est" localSheetId="7" hidden="1">1</definedName>
    <definedName name="solver_itr" localSheetId="3" hidden="1">2147483647</definedName>
    <definedName name="solver_itr" localSheetId="0" hidden="1">2147483647</definedName>
    <definedName name="solver_itr" localSheetId="7" hidden="1">2147483647</definedName>
    <definedName name="solver_lhs0" localSheetId="7" hidden="1">VAC_Optim_Scenario!$I$27</definedName>
    <definedName name="solver_lhs1" localSheetId="7" hidden="1">VAC_Optim_Scenario!$B$12</definedName>
    <definedName name="solver_lhs2" localSheetId="7" hidden="1">VAC_Optim_Scenario!$I$17:$I$26</definedName>
    <definedName name="solver_lhs3" localSheetId="7" hidden="1">VAC_Optim_Scenario!$I$17:$I$26</definedName>
    <definedName name="solver_lhs4" localSheetId="7" hidden="1">VAC_Optim_Scenario!$I$27</definedName>
    <definedName name="solver_lhs5" localSheetId="7" hidden="1">VAC_Optim_Scenario!#REF!</definedName>
    <definedName name="solver_mip" localSheetId="3" hidden="1">2147483647</definedName>
    <definedName name="solver_mip" localSheetId="0" hidden="1">2147483647</definedName>
    <definedName name="solver_mip" localSheetId="7" hidden="1">2147483647</definedName>
    <definedName name="solver_mni" localSheetId="3" hidden="1">30</definedName>
    <definedName name="solver_mni" localSheetId="0" hidden="1">30</definedName>
    <definedName name="solver_mni" localSheetId="7" hidden="1">30</definedName>
    <definedName name="solver_mrt" localSheetId="3" hidden="1">0.075</definedName>
    <definedName name="solver_mrt" localSheetId="0" hidden="1">0.075</definedName>
    <definedName name="solver_mrt" localSheetId="7" hidden="1">0.075</definedName>
    <definedName name="solver_msl" localSheetId="3" hidden="1">2</definedName>
    <definedName name="solver_msl" localSheetId="0" hidden="1">2</definedName>
    <definedName name="solver_msl" localSheetId="7" hidden="1">2</definedName>
    <definedName name="solver_neg" localSheetId="19" hidden="1">1</definedName>
    <definedName name="solver_neg" localSheetId="3" hidden="1">1</definedName>
    <definedName name="solver_neg" localSheetId="0" hidden="1">1</definedName>
    <definedName name="solver_neg" localSheetId="7" hidden="1">1</definedName>
    <definedName name="solver_nod" localSheetId="3" hidden="1">2147483647</definedName>
    <definedName name="solver_nod" localSheetId="0" hidden="1">2147483647</definedName>
    <definedName name="solver_nod" localSheetId="7" hidden="1">2147483647</definedName>
    <definedName name="solver_num" localSheetId="19" hidden="1">0</definedName>
    <definedName name="solver_num" localSheetId="3" hidden="1">0</definedName>
    <definedName name="solver_num" localSheetId="0" hidden="1">0</definedName>
    <definedName name="solver_num" localSheetId="7" hidden="1">3</definedName>
    <definedName name="solver_nwt" localSheetId="3" hidden="1">1</definedName>
    <definedName name="solver_nwt" localSheetId="0" hidden="1">1</definedName>
    <definedName name="solver_nwt" localSheetId="7" hidden="1">1</definedName>
    <definedName name="solver_opt" localSheetId="19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7" hidden="1">VAC_Optim_Scenario!$B$9</definedName>
    <definedName name="solver_pre" localSheetId="3" hidden="1">0.000001</definedName>
    <definedName name="solver_pre" localSheetId="0" hidden="1">0.000001</definedName>
    <definedName name="solver_pre" localSheetId="7" hidden="1">0.00000001</definedName>
    <definedName name="solver_rbv" localSheetId="3" hidden="1">1</definedName>
    <definedName name="solver_rbv" localSheetId="0" hidden="1">1</definedName>
    <definedName name="solver_rbv" localSheetId="7" hidden="1">1</definedName>
    <definedName name="solver_rel0" localSheetId="7" hidden="1">3</definedName>
    <definedName name="solver_rel1" localSheetId="7" hidden="1">2</definedName>
    <definedName name="solver_rel2" localSheetId="7" hidden="1">1</definedName>
    <definedName name="solver_rel3" localSheetId="7" hidden="1">3</definedName>
    <definedName name="solver_rel4" localSheetId="7" hidden="1">3</definedName>
    <definedName name="solver_rel5" localSheetId="7" hidden="1">2</definedName>
    <definedName name="solver_rhs0" localSheetId="7" hidden="1">VAC_Optim_Scenario!$C$12</definedName>
    <definedName name="solver_rhs1" localSheetId="7" hidden="1">VAC_Optim_Scenario!$I$28</definedName>
    <definedName name="solver_rhs2" localSheetId="7" hidden="1">VAC_Optim_Scenario!$H$17:$H$26</definedName>
    <definedName name="solver_rhs3" localSheetId="7" hidden="1">VAC_Optim_Scenario!$G$17:$G$26</definedName>
    <definedName name="solver_rhs4" localSheetId="7" hidden="1">VAC_Optim_Scenario!$C$12</definedName>
    <definedName name="solver_rhs5" localSheetId="7" hidden="1">VAC_Optim_Scenario!#REF!</definedName>
    <definedName name="solver_rlx" localSheetId="3" hidden="1">2</definedName>
    <definedName name="solver_rlx" localSheetId="0" hidden="1">2</definedName>
    <definedName name="solver_rlx" localSheetId="7" hidden="1">2</definedName>
    <definedName name="solver_rsd" localSheetId="3" hidden="1">0</definedName>
    <definedName name="solver_rsd" localSheetId="0" hidden="1">0</definedName>
    <definedName name="solver_rsd" localSheetId="7" hidden="1">0</definedName>
    <definedName name="solver_scl" localSheetId="3" hidden="1">1</definedName>
    <definedName name="solver_scl" localSheetId="0" hidden="1">1</definedName>
    <definedName name="solver_scl" localSheetId="7" hidden="1">1</definedName>
    <definedName name="solver_sho" localSheetId="3" hidden="1">2</definedName>
    <definedName name="solver_sho" localSheetId="0" hidden="1">2</definedName>
    <definedName name="solver_sho" localSheetId="7" hidden="1">2</definedName>
    <definedName name="solver_ssz" localSheetId="3" hidden="1">100</definedName>
    <definedName name="solver_ssz" localSheetId="0" hidden="1">100</definedName>
    <definedName name="solver_ssz" localSheetId="7" hidden="1">100</definedName>
    <definedName name="solver_tim" localSheetId="3" hidden="1">2147483647</definedName>
    <definedName name="solver_tim" localSheetId="0" hidden="1">2147483647</definedName>
    <definedName name="solver_tim" localSheetId="7" hidden="1">2147483647</definedName>
    <definedName name="solver_tol" localSheetId="3" hidden="1">0.01</definedName>
    <definedName name="solver_tol" localSheetId="0" hidden="1">0.01</definedName>
    <definedName name="solver_tol" localSheetId="7" hidden="1">0.01</definedName>
    <definedName name="solver_typ" localSheetId="19" hidden="1">1</definedName>
    <definedName name="solver_typ" localSheetId="3" hidden="1">1</definedName>
    <definedName name="solver_typ" localSheetId="0" hidden="1">1</definedName>
    <definedName name="solver_typ" localSheetId="7" hidden="1">1</definedName>
    <definedName name="solver_val" localSheetId="19" hidden="1">0</definedName>
    <definedName name="solver_val" localSheetId="3" hidden="1">0</definedName>
    <definedName name="solver_val" localSheetId="0" hidden="1">0</definedName>
    <definedName name="solver_val" localSheetId="7" hidden="1">0</definedName>
    <definedName name="solver_ver" localSheetId="19" hidden="1">3</definedName>
    <definedName name="solver_ver" localSheetId="3" hidden="1">3</definedName>
    <definedName name="solver_ver" localSheetId="0" hidden="1">3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6" i="79" l="1"/>
  <c r="J36" i="79"/>
  <c r="F36" i="79"/>
  <c r="C36" i="79"/>
  <c r="N42" i="79"/>
  <c r="N41" i="79"/>
  <c r="N40" i="79"/>
  <c r="J42" i="79"/>
  <c r="J41" i="79"/>
  <c r="J40" i="79"/>
  <c r="F42" i="79"/>
  <c r="F41" i="79"/>
  <c r="F40" i="79"/>
  <c r="C42" i="79"/>
  <c r="C41" i="79"/>
  <c r="C40" i="79"/>
  <c r="P24" i="79"/>
  <c r="P25" i="79"/>
  <c r="P26" i="79"/>
  <c r="P27" i="79"/>
  <c r="P28" i="79"/>
  <c r="P29" i="79"/>
  <c r="P30" i="79"/>
  <c r="P31" i="79"/>
  <c r="P32" i="79"/>
  <c r="P33" i="79"/>
  <c r="P23" i="79"/>
  <c r="L24" i="79"/>
  <c r="L25" i="79"/>
  <c r="L26" i="79"/>
  <c r="L27" i="79"/>
  <c r="L28" i="79"/>
  <c r="L29" i="79"/>
  <c r="L30" i="79"/>
  <c r="L31" i="79"/>
  <c r="L32" i="79"/>
  <c r="L33" i="79"/>
  <c r="L23" i="79"/>
  <c r="H23" i="79"/>
  <c r="H24" i="79"/>
  <c r="H25" i="79"/>
  <c r="H26" i="79"/>
  <c r="H27" i="79"/>
  <c r="H28" i="79"/>
  <c r="H29" i="79"/>
  <c r="H30" i="79"/>
  <c r="H31" i="79"/>
  <c r="H32" i="79"/>
  <c r="H33" i="79"/>
  <c r="D33" i="79"/>
  <c r="D24" i="79"/>
  <c r="D25" i="79"/>
  <c r="D26" i="79"/>
  <c r="D27" i="79"/>
  <c r="D28" i="79"/>
  <c r="D29" i="79"/>
  <c r="D30" i="79"/>
  <c r="D31" i="79"/>
  <c r="D32" i="79"/>
  <c r="D23" i="79"/>
  <c r="K14" i="95" l="1"/>
  <c r="K5" i="95"/>
  <c r="L5" i="95"/>
  <c r="K6" i="95"/>
  <c r="L6" i="95"/>
  <c r="K7" i="95"/>
  <c r="L7" i="95"/>
  <c r="K8" i="95"/>
  <c r="L8" i="95"/>
  <c r="K9" i="95"/>
  <c r="L9" i="95"/>
  <c r="K10" i="95"/>
  <c r="L10" i="95"/>
  <c r="K11" i="95"/>
  <c r="L11" i="95"/>
  <c r="K12" i="95"/>
  <c r="L12" i="95"/>
  <c r="K13" i="95"/>
  <c r="L13" i="95"/>
  <c r="L4" i="95"/>
  <c r="K4" i="95"/>
  <c r="AB55" i="79"/>
  <c r="AB54" i="79"/>
  <c r="AB53" i="79"/>
  <c r="AB52" i="79"/>
  <c r="AB51" i="79"/>
  <c r="AB50" i="79"/>
  <c r="AB49" i="79"/>
  <c r="AB48" i="79"/>
  <c r="AB47" i="79"/>
  <c r="AB46" i="79"/>
  <c r="AB45" i="79"/>
  <c r="X55" i="79"/>
  <c r="X54" i="79"/>
  <c r="X53" i="79"/>
  <c r="X52" i="79"/>
  <c r="X51" i="79"/>
  <c r="X50" i="79"/>
  <c r="X49" i="79"/>
  <c r="X48" i="79"/>
  <c r="X47" i="79"/>
  <c r="X46" i="79"/>
  <c r="X45" i="79"/>
  <c r="T55" i="79"/>
  <c r="T54" i="79"/>
  <c r="T53" i="79"/>
  <c r="T52" i="79"/>
  <c r="T51" i="79"/>
  <c r="T50" i="79"/>
  <c r="T49" i="79"/>
  <c r="T48" i="79"/>
  <c r="T47" i="79"/>
  <c r="T46" i="79"/>
  <c r="T45" i="79"/>
  <c r="XFD46" i="79"/>
  <c r="XFC46" i="79"/>
  <c r="XFB46" i="79"/>
  <c r="XFA46" i="79"/>
  <c r="XEZ46" i="79"/>
  <c r="XEY46" i="79"/>
  <c r="XEX46" i="79"/>
  <c r="XEW46" i="79"/>
  <c r="XEV46" i="79"/>
  <c r="XEU46" i="79"/>
  <c r="XET46" i="79"/>
  <c r="XES46" i="79"/>
  <c r="XER46" i="79"/>
  <c r="XEQ46" i="79"/>
  <c r="XEP46" i="79"/>
  <c r="XEO46" i="79"/>
  <c r="XEN46" i="79"/>
  <c r="XEM46" i="79"/>
  <c r="XEL46" i="79"/>
  <c r="XEK46" i="79"/>
  <c r="XEJ46" i="79"/>
  <c r="XEI46" i="79"/>
  <c r="XEH46" i="79"/>
  <c r="XEG46" i="79"/>
  <c r="XEF46" i="79"/>
  <c r="XEE46" i="79"/>
  <c r="XED46" i="79"/>
  <c r="XEC46" i="79"/>
  <c r="XEB46" i="79"/>
  <c r="XEA46" i="79"/>
  <c r="XDZ46" i="79"/>
  <c r="XDY46" i="79"/>
  <c r="XDX46" i="79"/>
  <c r="XDW46" i="79"/>
  <c r="XDV46" i="79"/>
  <c r="XDU46" i="79"/>
  <c r="XDT46" i="79"/>
  <c r="XDS46" i="79"/>
  <c r="XDR46" i="79"/>
  <c r="XDQ46" i="79"/>
  <c r="XDP46" i="79"/>
  <c r="XDO46" i="79"/>
  <c r="XDN46" i="79"/>
  <c r="XDM46" i="79"/>
  <c r="XDL46" i="79"/>
  <c r="XDK46" i="79"/>
  <c r="XDJ46" i="79"/>
  <c r="XDI46" i="79"/>
  <c r="XDH46" i="79"/>
  <c r="XDG46" i="79"/>
  <c r="XDF46" i="79"/>
  <c r="XDE46" i="79"/>
  <c r="XDD46" i="79"/>
  <c r="XDC46" i="79"/>
  <c r="XDB46" i="79"/>
  <c r="XDA46" i="79"/>
  <c r="XCZ46" i="79"/>
  <c r="XCY46" i="79"/>
  <c r="XCX46" i="79"/>
  <c r="XCW46" i="79"/>
  <c r="XCV46" i="79"/>
  <c r="XCU46" i="79"/>
  <c r="XCT46" i="79"/>
  <c r="XCS46" i="79"/>
  <c r="XCR46" i="79"/>
  <c r="XCQ46" i="79"/>
  <c r="XCP46" i="79"/>
  <c r="XCO46" i="79"/>
  <c r="XCN46" i="79"/>
  <c r="XCM46" i="79"/>
  <c r="XCL46" i="79"/>
  <c r="XCK46" i="79"/>
  <c r="XCJ46" i="79"/>
  <c r="XCI46" i="79"/>
  <c r="XCH46" i="79"/>
  <c r="XCG46" i="79"/>
  <c r="XCF46" i="79"/>
  <c r="XCE46" i="79"/>
  <c r="XCD46" i="79"/>
  <c r="XCC46" i="79"/>
  <c r="XCB46" i="79"/>
  <c r="XCA46" i="79"/>
  <c r="XBZ46" i="79"/>
  <c r="XBY46" i="79"/>
  <c r="XBX46" i="79"/>
  <c r="XBW46" i="79"/>
  <c r="XBV46" i="79"/>
  <c r="XBU46" i="79"/>
  <c r="XBT46" i="79"/>
  <c r="XBS46" i="79"/>
  <c r="XBR46" i="79"/>
  <c r="XBQ46" i="79"/>
  <c r="XBP46" i="79"/>
  <c r="XBO46" i="79"/>
  <c r="XBN46" i="79"/>
  <c r="XBM46" i="79"/>
  <c r="XBL46" i="79"/>
  <c r="XBK46" i="79"/>
  <c r="XBJ46" i="79"/>
  <c r="XBI46" i="79"/>
  <c r="XBH46" i="79"/>
  <c r="XBG46" i="79"/>
  <c r="XBF46" i="79"/>
  <c r="XBE46" i="79"/>
  <c r="XBD46" i="79"/>
  <c r="XBC46" i="79"/>
  <c r="XBB46" i="79"/>
  <c r="XBA46" i="79"/>
  <c r="XAZ46" i="79"/>
  <c r="XAY46" i="79"/>
  <c r="XAX46" i="79"/>
  <c r="XAW46" i="79"/>
  <c r="XAV46" i="79"/>
  <c r="XAU46" i="79"/>
  <c r="XAT46" i="79"/>
  <c r="XAS46" i="79"/>
  <c r="XAR46" i="79"/>
  <c r="XAQ46" i="79"/>
  <c r="XAP46" i="79"/>
  <c r="XAO46" i="79"/>
  <c r="XAN46" i="79"/>
  <c r="XAM46" i="79"/>
  <c r="XAL46" i="79"/>
  <c r="XAK46" i="79"/>
  <c r="XAJ46" i="79"/>
  <c r="XAI46" i="79"/>
  <c r="XAH46" i="79"/>
  <c r="XAG46" i="79"/>
  <c r="XAF46" i="79"/>
  <c r="XAE46" i="79"/>
  <c r="XAD46" i="79"/>
  <c r="XAC46" i="79"/>
  <c r="XAB46" i="79"/>
  <c r="XAA46" i="79"/>
  <c r="WZZ46" i="79"/>
  <c r="WZY46" i="79"/>
  <c r="WZX46" i="79"/>
  <c r="WZW46" i="79"/>
  <c r="WZV46" i="79"/>
  <c r="WZU46" i="79"/>
  <c r="WZT46" i="79"/>
  <c r="WZS46" i="79"/>
  <c r="WZR46" i="79"/>
  <c r="WZQ46" i="79"/>
  <c r="WZP46" i="79"/>
  <c r="WZO46" i="79"/>
  <c r="WZN46" i="79"/>
  <c r="WZM46" i="79"/>
  <c r="WZL46" i="79"/>
  <c r="WZK46" i="79"/>
  <c r="WZJ46" i="79"/>
  <c r="WZI46" i="79"/>
  <c r="WZH46" i="79"/>
  <c r="WZG46" i="79"/>
  <c r="WZF46" i="79"/>
  <c r="WZE46" i="79"/>
  <c r="WZD46" i="79"/>
  <c r="WZC46" i="79"/>
  <c r="WZB46" i="79"/>
  <c r="WZA46" i="79"/>
  <c r="WYZ46" i="79"/>
  <c r="WYY46" i="79"/>
  <c r="WYX46" i="79"/>
  <c r="WYW46" i="79"/>
  <c r="WYV46" i="79"/>
  <c r="WYU46" i="79"/>
  <c r="WYT46" i="79"/>
  <c r="WYS46" i="79"/>
  <c r="WYR46" i="79"/>
  <c r="WYQ46" i="79"/>
  <c r="WYP46" i="79"/>
  <c r="WYO46" i="79"/>
  <c r="WYN46" i="79"/>
  <c r="WYM46" i="79"/>
  <c r="WYL46" i="79"/>
  <c r="WYK46" i="79"/>
  <c r="WYJ46" i="79"/>
  <c r="WYI46" i="79"/>
  <c r="WYH46" i="79"/>
  <c r="WYG46" i="79"/>
  <c r="WYF46" i="79"/>
  <c r="WYE46" i="79"/>
  <c r="WYD46" i="79"/>
  <c r="WYC46" i="79"/>
  <c r="WYB46" i="79"/>
  <c r="WYA46" i="79"/>
  <c r="WXZ46" i="79"/>
  <c r="WXY46" i="79"/>
  <c r="WXX46" i="79"/>
  <c r="WXW46" i="79"/>
  <c r="WXV46" i="79"/>
  <c r="WXU46" i="79"/>
  <c r="WXT46" i="79"/>
  <c r="WXS46" i="79"/>
  <c r="WXR46" i="79"/>
  <c r="WXQ46" i="79"/>
  <c r="WXP46" i="79"/>
  <c r="WXO46" i="79"/>
  <c r="WXN46" i="79"/>
  <c r="WXM46" i="79"/>
  <c r="WXL46" i="79"/>
  <c r="WXK46" i="79"/>
  <c r="WXJ46" i="79"/>
  <c r="WXI46" i="79"/>
  <c r="WXH46" i="79"/>
  <c r="WXG46" i="79"/>
  <c r="WXF46" i="79"/>
  <c r="WXE46" i="79"/>
  <c r="WXD46" i="79"/>
  <c r="WXC46" i="79"/>
  <c r="WXB46" i="79"/>
  <c r="WXA46" i="79"/>
  <c r="WWZ46" i="79"/>
  <c r="WWY46" i="79"/>
  <c r="WWX46" i="79"/>
  <c r="WWW46" i="79"/>
  <c r="WWV46" i="79"/>
  <c r="WWU46" i="79"/>
  <c r="WWT46" i="79"/>
  <c r="WWS46" i="79"/>
  <c r="WWR46" i="79"/>
  <c r="WWQ46" i="79"/>
  <c r="WWP46" i="79"/>
  <c r="WWO46" i="79"/>
  <c r="WWN46" i="79"/>
  <c r="WWM46" i="79"/>
  <c r="WWL46" i="79"/>
  <c r="WWK46" i="79"/>
  <c r="WWJ46" i="79"/>
  <c r="WWI46" i="79"/>
  <c r="WWH46" i="79"/>
  <c r="WWG46" i="79"/>
  <c r="WWF46" i="79"/>
  <c r="WWE46" i="79"/>
  <c r="WWD46" i="79"/>
  <c r="WWC46" i="79"/>
  <c r="WWB46" i="79"/>
  <c r="WWA46" i="79"/>
  <c r="WVZ46" i="79"/>
  <c r="WVY46" i="79"/>
  <c r="WVX46" i="79"/>
  <c r="WVW46" i="79"/>
  <c r="WVV46" i="79"/>
  <c r="WVU46" i="79"/>
  <c r="WVT46" i="79"/>
  <c r="WVS46" i="79"/>
  <c r="WVR46" i="79"/>
  <c r="WVQ46" i="79"/>
  <c r="WVP46" i="79"/>
  <c r="WVO46" i="79"/>
  <c r="WVN46" i="79"/>
  <c r="WVM46" i="79"/>
  <c r="WVL46" i="79"/>
  <c r="WVK46" i="79"/>
  <c r="WVJ46" i="79"/>
  <c r="WVI46" i="79"/>
  <c r="WVH46" i="79"/>
  <c r="WVG46" i="79"/>
  <c r="WVF46" i="79"/>
  <c r="WVE46" i="79"/>
  <c r="WVD46" i="79"/>
  <c r="WVC46" i="79"/>
  <c r="WVB46" i="79"/>
  <c r="WVA46" i="79"/>
  <c r="WUZ46" i="79"/>
  <c r="WUY46" i="79"/>
  <c r="WUX46" i="79"/>
  <c r="WUW46" i="79"/>
  <c r="WUV46" i="79"/>
  <c r="WUU46" i="79"/>
  <c r="WUT46" i="79"/>
  <c r="WUS46" i="79"/>
  <c r="WUR46" i="79"/>
  <c r="WUQ46" i="79"/>
  <c r="WUP46" i="79"/>
  <c r="WUO46" i="79"/>
  <c r="WUN46" i="79"/>
  <c r="WUM46" i="79"/>
  <c r="WUL46" i="79"/>
  <c r="WUK46" i="79"/>
  <c r="WUJ46" i="79"/>
  <c r="WUI46" i="79"/>
  <c r="WUH46" i="79"/>
  <c r="WUG46" i="79"/>
  <c r="WUF46" i="79"/>
  <c r="WUE46" i="79"/>
  <c r="WUD46" i="79"/>
  <c r="WUC46" i="79"/>
  <c r="WUB46" i="79"/>
  <c r="WUA46" i="79"/>
  <c r="WTZ46" i="79"/>
  <c r="WTY46" i="79"/>
  <c r="WTX46" i="79"/>
  <c r="WTW46" i="79"/>
  <c r="WTV46" i="79"/>
  <c r="WTU46" i="79"/>
  <c r="WTT46" i="79"/>
  <c r="WTS46" i="79"/>
  <c r="WTR46" i="79"/>
  <c r="WTQ46" i="79"/>
  <c r="WTP46" i="79"/>
  <c r="WTO46" i="79"/>
  <c r="WTN46" i="79"/>
  <c r="WTM46" i="79"/>
  <c r="WTL46" i="79"/>
  <c r="WTK46" i="79"/>
  <c r="WTJ46" i="79"/>
  <c r="WTI46" i="79"/>
  <c r="WTH46" i="79"/>
  <c r="WTG46" i="79"/>
  <c r="WTF46" i="79"/>
  <c r="WTE46" i="79"/>
  <c r="WTD46" i="79"/>
  <c r="WTC46" i="79"/>
  <c r="WTB46" i="79"/>
  <c r="WTA46" i="79"/>
  <c r="WSZ46" i="79"/>
  <c r="WSY46" i="79"/>
  <c r="WSX46" i="79"/>
  <c r="WSW46" i="79"/>
  <c r="WSV46" i="79"/>
  <c r="WSU46" i="79"/>
  <c r="WST46" i="79"/>
  <c r="WSS46" i="79"/>
  <c r="WSR46" i="79"/>
  <c r="WSQ46" i="79"/>
  <c r="WSP46" i="79"/>
  <c r="WSO46" i="79"/>
  <c r="WSN46" i="79"/>
  <c r="WSM46" i="79"/>
  <c r="WSL46" i="79"/>
  <c r="WSK46" i="79"/>
  <c r="WSJ46" i="79"/>
  <c r="WSI46" i="79"/>
  <c r="WSH46" i="79"/>
  <c r="WSG46" i="79"/>
  <c r="WSF46" i="79"/>
  <c r="WSE46" i="79"/>
  <c r="WSD46" i="79"/>
  <c r="WSC46" i="79"/>
  <c r="WSB46" i="79"/>
  <c r="WSA46" i="79"/>
  <c r="WRZ46" i="79"/>
  <c r="WRY46" i="79"/>
  <c r="WRX46" i="79"/>
  <c r="WRW46" i="79"/>
  <c r="WRV46" i="79"/>
  <c r="WRU46" i="79"/>
  <c r="WRT46" i="79"/>
  <c r="WRS46" i="79"/>
  <c r="WRR46" i="79"/>
  <c r="WRQ46" i="79"/>
  <c r="WRP46" i="79"/>
  <c r="WRO46" i="79"/>
  <c r="WRN46" i="79"/>
  <c r="WRM46" i="79"/>
  <c r="WRL46" i="79"/>
  <c r="WRK46" i="79"/>
  <c r="WRJ46" i="79"/>
  <c r="WRI46" i="79"/>
  <c r="WRH46" i="79"/>
  <c r="WRG46" i="79"/>
  <c r="WRF46" i="79"/>
  <c r="WRE46" i="79"/>
  <c r="WRD46" i="79"/>
  <c r="WRC46" i="79"/>
  <c r="WRB46" i="79"/>
  <c r="WRA46" i="79"/>
  <c r="WQZ46" i="79"/>
  <c r="WQY46" i="79"/>
  <c r="WQX46" i="79"/>
  <c r="WQW46" i="79"/>
  <c r="WQV46" i="79"/>
  <c r="WQU46" i="79"/>
  <c r="WQT46" i="79"/>
  <c r="WQS46" i="79"/>
  <c r="WQR46" i="79"/>
  <c r="WQQ46" i="79"/>
  <c r="WQP46" i="79"/>
  <c r="WQO46" i="79"/>
  <c r="WQN46" i="79"/>
  <c r="WQM46" i="79"/>
  <c r="WQL46" i="79"/>
  <c r="WQK46" i="79"/>
  <c r="WQJ46" i="79"/>
  <c r="WQI46" i="79"/>
  <c r="WQH46" i="79"/>
  <c r="WQG46" i="79"/>
  <c r="WQF46" i="79"/>
  <c r="WQE46" i="79"/>
  <c r="WQD46" i="79"/>
  <c r="WQC46" i="79"/>
  <c r="WQB46" i="79"/>
  <c r="WQA46" i="79"/>
  <c r="WPZ46" i="79"/>
  <c r="WPY46" i="79"/>
  <c r="WPX46" i="79"/>
  <c r="WPW46" i="79"/>
  <c r="WPV46" i="79"/>
  <c r="WPU46" i="79"/>
  <c r="WPT46" i="79"/>
  <c r="WPS46" i="79"/>
  <c r="WPR46" i="79"/>
  <c r="WPQ46" i="79"/>
  <c r="WPP46" i="79"/>
  <c r="WPO46" i="79"/>
  <c r="WPN46" i="79"/>
  <c r="WPM46" i="79"/>
  <c r="WPL46" i="79"/>
  <c r="WPK46" i="79"/>
  <c r="WPJ46" i="79"/>
  <c r="WPI46" i="79"/>
  <c r="WPH46" i="79"/>
  <c r="WPG46" i="79"/>
  <c r="WPF46" i="79"/>
  <c r="WPE46" i="79"/>
  <c r="WPD46" i="79"/>
  <c r="WPC46" i="79"/>
  <c r="WPB46" i="79"/>
  <c r="WPA46" i="79"/>
  <c r="WOZ46" i="79"/>
  <c r="WOY46" i="79"/>
  <c r="WOX46" i="79"/>
  <c r="WOW46" i="79"/>
  <c r="WOV46" i="79"/>
  <c r="WOU46" i="79"/>
  <c r="WOT46" i="79"/>
  <c r="WOS46" i="79"/>
  <c r="WOR46" i="79"/>
  <c r="WOQ46" i="79"/>
  <c r="WOP46" i="79"/>
  <c r="WOO46" i="79"/>
  <c r="WON46" i="79"/>
  <c r="WOM46" i="79"/>
  <c r="WOL46" i="79"/>
  <c r="WOK46" i="79"/>
  <c r="WOJ46" i="79"/>
  <c r="WOI46" i="79"/>
  <c r="WOH46" i="79"/>
  <c r="WOG46" i="79"/>
  <c r="WOF46" i="79"/>
  <c r="WOE46" i="79"/>
  <c r="WOD46" i="79"/>
  <c r="WOC46" i="79"/>
  <c r="WOB46" i="79"/>
  <c r="WOA46" i="79"/>
  <c r="WNZ46" i="79"/>
  <c r="WNY46" i="79"/>
  <c r="WNX46" i="79"/>
  <c r="WNW46" i="79"/>
  <c r="WNV46" i="79"/>
  <c r="WNU46" i="79"/>
  <c r="WNT46" i="79"/>
  <c r="WNS46" i="79"/>
  <c r="WNR46" i="79"/>
  <c r="WNQ46" i="79"/>
  <c r="WNP46" i="79"/>
  <c r="WNO46" i="79"/>
  <c r="WNN46" i="79"/>
  <c r="WNM46" i="79"/>
  <c r="WNL46" i="79"/>
  <c r="WNK46" i="79"/>
  <c r="WNJ46" i="79"/>
  <c r="WNI46" i="79"/>
  <c r="WNH46" i="79"/>
  <c r="WNG46" i="79"/>
  <c r="WNF46" i="79"/>
  <c r="WNE46" i="79"/>
  <c r="WND46" i="79"/>
  <c r="WNC46" i="79"/>
  <c r="WNB46" i="79"/>
  <c r="WNA46" i="79"/>
  <c r="WMZ46" i="79"/>
  <c r="WMY46" i="79"/>
  <c r="WMX46" i="79"/>
  <c r="WMW46" i="79"/>
  <c r="WMV46" i="79"/>
  <c r="WMU46" i="79"/>
  <c r="WMT46" i="79"/>
  <c r="WMS46" i="79"/>
  <c r="WMR46" i="79"/>
  <c r="WMQ46" i="79"/>
  <c r="WMP46" i="79"/>
  <c r="WMO46" i="79"/>
  <c r="WMN46" i="79"/>
  <c r="WMM46" i="79"/>
  <c r="WML46" i="79"/>
  <c r="WMK46" i="79"/>
  <c r="WMJ46" i="79"/>
  <c r="WMI46" i="79"/>
  <c r="WMH46" i="79"/>
  <c r="WMG46" i="79"/>
  <c r="WMF46" i="79"/>
  <c r="WME46" i="79"/>
  <c r="WMD46" i="79"/>
  <c r="WMC46" i="79"/>
  <c r="WMB46" i="79"/>
  <c r="WMA46" i="79"/>
  <c r="WLZ46" i="79"/>
  <c r="WLY46" i="79"/>
  <c r="WLX46" i="79"/>
  <c r="WLW46" i="79"/>
  <c r="WLV46" i="79"/>
  <c r="WLU46" i="79"/>
  <c r="WLT46" i="79"/>
  <c r="WLS46" i="79"/>
  <c r="WLR46" i="79"/>
  <c r="WLQ46" i="79"/>
  <c r="WLP46" i="79"/>
  <c r="WLO46" i="79"/>
  <c r="WLN46" i="79"/>
  <c r="WLM46" i="79"/>
  <c r="WLL46" i="79"/>
  <c r="WLK46" i="79"/>
  <c r="WLJ46" i="79"/>
  <c r="WLI46" i="79"/>
  <c r="WLH46" i="79"/>
  <c r="WLG46" i="79"/>
  <c r="WLF46" i="79"/>
  <c r="WLE46" i="79"/>
  <c r="WLD46" i="79"/>
  <c r="WLC46" i="79"/>
  <c r="WLB46" i="79"/>
  <c r="WLA46" i="79"/>
  <c r="WKZ46" i="79"/>
  <c r="WKY46" i="79"/>
  <c r="WKX46" i="79"/>
  <c r="WKW46" i="79"/>
  <c r="WKV46" i="79"/>
  <c r="WKU46" i="79"/>
  <c r="WKT46" i="79"/>
  <c r="WKS46" i="79"/>
  <c r="WKR46" i="79"/>
  <c r="WKQ46" i="79"/>
  <c r="WKP46" i="79"/>
  <c r="WKO46" i="79"/>
  <c r="WKN46" i="79"/>
  <c r="WKM46" i="79"/>
  <c r="WKL46" i="79"/>
  <c r="WKK46" i="79"/>
  <c r="WKJ46" i="79"/>
  <c r="WKI46" i="79"/>
  <c r="WKH46" i="79"/>
  <c r="WKG46" i="79"/>
  <c r="WKF46" i="79"/>
  <c r="WKE46" i="79"/>
  <c r="WKD46" i="79"/>
  <c r="WKC46" i="79"/>
  <c r="WKB46" i="79"/>
  <c r="WKA46" i="79"/>
  <c r="WJZ46" i="79"/>
  <c r="WJY46" i="79"/>
  <c r="WJX46" i="79"/>
  <c r="WJW46" i="79"/>
  <c r="WJV46" i="79"/>
  <c r="WJU46" i="79"/>
  <c r="WJT46" i="79"/>
  <c r="WJS46" i="79"/>
  <c r="WJR46" i="79"/>
  <c r="WJQ46" i="79"/>
  <c r="WJP46" i="79"/>
  <c r="WJO46" i="79"/>
  <c r="WJN46" i="79"/>
  <c r="WJM46" i="79"/>
  <c r="WJL46" i="79"/>
  <c r="WJK46" i="79"/>
  <c r="WJJ46" i="79"/>
  <c r="WJI46" i="79"/>
  <c r="WJH46" i="79"/>
  <c r="WJG46" i="79"/>
  <c r="WJF46" i="79"/>
  <c r="WJE46" i="79"/>
  <c r="WJD46" i="79"/>
  <c r="WJC46" i="79"/>
  <c r="WJB46" i="79"/>
  <c r="WJA46" i="79"/>
  <c r="WIZ46" i="79"/>
  <c r="WIY46" i="79"/>
  <c r="WIX46" i="79"/>
  <c r="WIW46" i="79"/>
  <c r="WIV46" i="79"/>
  <c r="WIU46" i="79"/>
  <c r="WIT46" i="79"/>
  <c r="WIS46" i="79"/>
  <c r="WIR46" i="79"/>
  <c r="WIQ46" i="79"/>
  <c r="WIP46" i="79"/>
  <c r="WIO46" i="79"/>
  <c r="WIN46" i="79"/>
  <c r="WIM46" i="79"/>
  <c r="WIL46" i="79"/>
  <c r="WIK46" i="79"/>
  <c r="WIJ46" i="79"/>
  <c r="WII46" i="79"/>
  <c r="WIH46" i="79"/>
  <c r="WIG46" i="79"/>
  <c r="WIF46" i="79"/>
  <c r="WIE46" i="79"/>
  <c r="WID46" i="79"/>
  <c r="WIC46" i="79"/>
  <c r="WIB46" i="79"/>
  <c r="WIA46" i="79"/>
  <c r="WHZ46" i="79"/>
  <c r="WHY46" i="79"/>
  <c r="WHX46" i="79"/>
  <c r="WHW46" i="79"/>
  <c r="WHV46" i="79"/>
  <c r="WHU46" i="79"/>
  <c r="WHT46" i="79"/>
  <c r="WHS46" i="79"/>
  <c r="WHR46" i="79"/>
  <c r="WHQ46" i="79"/>
  <c r="WHP46" i="79"/>
  <c r="WHO46" i="79"/>
  <c r="WHN46" i="79"/>
  <c r="WHM46" i="79"/>
  <c r="WHL46" i="79"/>
  <c r="WHK46" i="79"/>
  <c r="WHJ46" i="79"/>
  <c r="WHI46" i="79"/>
  <c r="WHH46" i="79"/>
  <c r="WHG46" i="79"/>
  <c r="WHF46" i="79"/>
  <c r="WHE46" i="79"/>
  <c r="WHD46" i="79"/>
  <c r="WHC46" i="79"/>
  <c r="WHB46" i="79"/>
  <c r="WHA46" i="79"/>
  <c r="WGZ46" i="79"/>
  <c r="WGY46" i="79"/>
  <c r="WGX46" i="79"/>
  <c r="WGW46" i="79"/>
  <c r="WGV46" i="79"/>
  <c r="WGU46" i="79"/>
  <c r="WGT46" i="79"/>
  <c r="WGS46" i="79"/>
  <c r="WGR46" i="79"/>
  <c r="WGQ46" i="79"/>
  <c r="WGP46" i="79"/>
  <c r="WGO46" i="79"/>
  <c r="WGN46" i="79"/>
  <c r="WGM46" i="79"/>
  <c r="WGL46" i="79"/>
  <c r="WGK46" i="79"/>
  <c r="WGJ46" i="79"/>
  <c r="WGI46" i="79"/>
  <c r="WGH46" i="79"/>
  <c r="WGG46" i="79"/>
  <c r="WGF46" i="79"/>
  <c r="WGE46" i="79"/>
  <c r="WGD46" i="79"/>
  <c r="WGC46" i="79"/>
  <c r="WGB46" i="79"/>
  <c r="WGA46" i="79"/>
  <c r="WFZ46" i="79"/>
  <c r="WFY46" i="79"/>
  <c r="WFX46" i="79"/>
  <c r="WFW46" i="79"/>
  <c r="WFV46" i="79"/>
  <c r="WFU46" i="79"/>
  <c r="WFT46" i="79"/>
  <c r="WFS46" i="79"/>
  <c r="WFR46" i="79"/>
  <c r="WFQ46" i="79"/>
  <c r="WFP46" i="79"/>
  <c r="WFO46" i="79"/>
  <c r="WFN46" i="79"/>
  <c r="WFM46" i="79"/>
  <c r="WFL46" i="79"/>
  <c r="WFK46" i="79"/>
  <c r="WFJ46" i="79"/>
  <c r="WFI46" i="79"/>
  <c r="WFH46" i="79"/>
  <c r="WFG46" i="79"/>
  <c r="WFF46" i="79"/>
  <c r="WFE46" i="79"/>
  <c r="WFD46" i="79"/>
  <c r="WFC46" i="79"/>
  <c r="WFB46" i="79"/>
  <c r="WFA46" i="79"/>
  <c r="WEZ46" i="79"/>
  <c r="WEY46" i="79"/>
  <c r="WEX46" i="79"/>
  <c r="WEW46" i="79"/>
  <c r="WEV46" i="79"/>
  <c r="WEU46" i="79"/>
  <c r="WET46" i="79"/>
  <c r="WES46" i="79"/>
  <c r="WER46" i="79"/>
  <c r="WEQ46" i="79"/>
  <c r="WEP46" i="79"/>
  <c r="WEO46" i="79"/>
  <c r="WEN46" i="79"/>
  <c r="WEM46" i="79"/>
  <c r="WEL46" i="79"/>
  <c r="WEK46" i="79"/>
  <c r="WEJ46" i="79"/>
  <c r="WEI46" i="79"/>
  <c r="WEH46" i="79"/>
  <c r="WEG46" i="79"/>
  <c r="WEF46" i="79"/>
  <c r="WEE46" i="79"/>
  <c r="WED46" i="79"/>
  <c r="WEC46" i="79"/>
  <c r="WEB46" i="79"/>
  <c r="WEA46" i="79"/>
  <c r="WDZ46" i="79"/>
  <c r="WDY46" i="79"/>
  <c r="WDX46" i="79"/>
  <c r="WDW46" i="79"/>
  <c r="WDV46" i="79"/>
  <c r="WDU46" i="79"/>
  <c r="WDT46" i="79"/>
  <c r="WDS46" i="79"/>
  <c r="WDR46" i="79"/>
  <c r="WDQ46" i="79"/>
  <c r="WDP46" i="79"/>
  <c r="WDO46" i="79"/>
  <c r="WDN46" i="79"/>
  <c r="WDM46" i="79"/>
  <c r="WDL46" i="79"/>
  <c r="WDK46" i="79"/>
  <c r="WDJ46" i="79"/>
  <c r="WDI46" i="79"/>
  <c r="WDH46" i="79"/>
  <c r="WDG46" i="79"/>
  <c r="WDF46" i="79"/>
  <c r="WDE46" i="79"/>
  <c r="WDD46" i="79"/>
  <c r="WDC46" i="79"/>
  <c r="WDB46" i="79"/>
  <c r="WDA46" i="79"/>
  <c r="WCZ46" i="79"/>
  <c r="WCY46" i="79"/>
  <c r="WCX46" i="79"/>
  <c r="WCW46" i="79"/>
  <c r="WCV46" i="79"/>
  <c r="WCU46" i="79"/>
  <c r="WCT46" i="79"/>
  <c r="WCS46" i="79"/>
  <c r="WCR46" i="79"/>
  <c r="WCQ46" i="79"/>
  <c r="WCP46" i="79"/>
  <c r="WCO46" i="79"/>
  <c r="WCN46" i="79"/>
  <c r="WCM46" i="79"/>
  <c r="WCL46" i="79"/>
  <c r="WCK46" i="79"/>
  <c r="WCJ46" i="79"/>
  <c r="WCI46" i="79"/>
  <c r="WCH46" i="79"/>
  <c r="WCG46" i="79"/>
  <c r="WCF46" i="79"/>
  <c r="WCE46" i="79"/>
  <c r="WCD46" i="79"/>
  <c r="WCC46" i="79"/>
  <c r="WCB46" i="79"/>
  <c r="WCA46" i="79"/>
  <c r="WBZ46" i="79"/>
  <c r="WBY46" i="79"/>
  <c r="WBX46" i="79"/>
  <c r="WBW46" i="79"/>
  <c r="WBV46" i="79"/>
  <c r="WBU46" i="79"/>
  <c r="WBT46" i="79"/>
  <c r="WBS46" i="79"/>
  <c r="WBR46" i="79"/>
  <c r="WBQ46" i="79"/>
  <c r="WBP46" i="79"/>
  <c r="WBO46" i="79"/>
  <c r="WBN46" i="79"/>
  <c r="WBM46" i="79"/>
  <c r="WBL46" i="79"/>
  <c r="WBK46" i="79"/>
  <c r="WBJ46" i="79"/>
  <c r="WBI46" i="79"/>
  <c r="WBH46" i="79"/>
  <c r="WBG46" i="79"/>
  <c r="WBF46" i="79"/>
  <c r="WBE46" i="79"/>
  <c r="WBD46" i="79"/>
  <c r="WBC46" i="79"/>
  <c r="WBB46" i="79"/>
  <c r="WBA46" i="79"/>
  <c r="WAZ46" i="79"/>
  <c r="WAY46" i="79"/>
  <c r="WAX46" i="79"/>
  <c r="WAW46" i="79"/>
  <c r="WAV46" i="79"/>
  <c r="WAU46" i="79"/>
  <c r="WAT46" i="79"/>
  <c r="WAS46" i="79"/>
  <c r="WAR46" i="79"/>
  <c r="WAQ46" i="79"/>
  <c r="WAP46" i="79"/>
  <c r="WAO46" i="79"/>
  <c r="WAN46" i="79"/>
  <c r="WAM46" i="79"/>
  <c r="WAL46" i="79"/>
  <c r="WAK46" i="79"/>
  <c r="WAJ46" i="79"/>
  <c r="WAI46" i="79"/>
  <c r="WAH46" i="79"/>
  <c r="WAG46" i="79"/>
  <c r="WAF46" i="79"/>
  <c r="WAE46" i="79"/>
  <c r="WAD46" i="79"/>
  <c r="WAC46" i="79"/>
  <c r="WAB46" i="79"/>
  <c r="WAA46" i="79"/>
  <c r="VZZ46" i="79"/>
  <c r="VZY46" i="79"/>
  <c r="VZX46" i="79"/>
  <c r="VZW46" i="79"/>
  <c r="VZV46" i="79"/>
  <c r="VZU46" i="79"/>
  <c r="VZT46" i="79"/>
  <c r="VZS46" i="79"/>
  <c r="VZR46" i="79"/>
  <c r="VZQ46" i="79"/>
  <c r="VZP46" i="79"/>
  <c r="VZO46" i="79"/>
  <c r="VZN46" i="79"/>
  <c r="VZM46" i="79"/>
  <c r="VZL46" i="79"/>
  <c r="VZK46" i="79"/>
  <c r="VZJ46" i="79"/>
  <c r="VZI46" i="79"/>
  <c r="VZH46" i="79"/>
  <c r="VZG46" i="79"/>
  <c r="VZF46" i="79"/>
  <c r="VZE46" i="79"/>
  <c r="VZD46" i="79"/>
  <c r="VZC46" i="79"/>
  <c r="VZB46" i="79"/>
  <c r="VZA46" i="79"/>
  <c r="VYZ46" i="79"/>
  <c r="VYY46" i="79"/>
  <c r="VYX46" i="79"/>
  <c r="VYW46" i="79"/>
  <c r="VYV46" i="79"/>
  <c r="VYU46" i="79"/>
  <c r="VYT46" i="79"/>
  <c r="VYS46" i="79"/>
  <c r="VYR46" i="79"/>
  <c r="VYQ46" i="79"/>
  <c r="VYP46" i="79"/>
  <c r="VYO46" i="79"/>
  <c r="VYN46" i="79"/>
  <c r="VYM46" i="79"/>
  <c r="VYL46" i="79"/>
  <c r="VYK46" i="79"/>
  <c r="VYJ46" i="79"/>
  <c r="VYI46" i="79"/>
  <c r="VYH46" i="79"/>
  <c r="VYG46" i="79"/>
  <c r="VYF46" i="79"/>
  <c r="VYE46" i="79"/>
  <c r="VYD46" i="79"/>
  <c r="VYC46" i="79"/>
  <c r="VYB46" i="79"/>
  <c r="VYA46" i="79"/>
  <c r="VXZ46" i="79"/>
  <c r="VXY46" i="79"/>
  <c r="VXX46" i="79"/>
  <c r="VXW46" i="79"/>
  <c r="VXV46" i="79"/>
  <c r="VXU46" i="79"/>
  <c r="VXT46" i="79"/>
  <c r="VXS46" i="79"/>
  <c r="VXR46" i="79"/>
  <c r="VXQ46" i="79"/>
  <c r="VXP46" i="79"/>
  <c r="VXO46" i="79"/>
  <c r="VXN46" i="79"/>
  <c r="VXM46" i="79"/>
  <c r="VXL46" i="79"/>
  <c r="VXK46" i="79"/>
  <c r="VXJ46" i="79"/>
  <c r="VXI46" i="79"/>
  <c r="VXH46" i="79"/>
  <c r="VXG46" i="79"/>
  <c r="VXF46" i="79"/>
  <c r="VXE46" i="79"/>
  <c r="VXD46" i="79"/>
  <c r="VXC46" i="79"/>
  <c r="VXB46" i="79"/>
  <c r="VXA46" i="79"/>
  <c r="VWZ46" i="79"/>
  <c r="VWY46" i="79"/>
  <c r="VWX46" i="79"/>
  <c r="VWW46" i="79"/>
  <c r="VWV46" i="79"/>
  <c r="VWU46" i="79"/>
  <c r="VWT46" i="79"/>
  <c r="VWS46" i="79"/>
  <c r="VWR46" i="79"/>
  <c r="VWQ46" i="79"/>
  <c r="VWP46" i="79"/>
  <c r="VWO46" i="79"/>
  <c r="VWN46" i="79"/>
  <c r="VWM46" i="79"/>
  <c r="VWL46" i="79"/>
  <c r="VWK46" i="79"/>
  <c r="VWJ46" i="79"/>
  <c r="VWI46" i="79"/>
  <c r="VWH46" i="79"/>
  <c r="VWG46" i="79"/>
  <c r="VWF46" i="79"/>
  <c r="VWE46" i="79"/>
  <c r="VWD46" i="79"/>
  <c r="VWC46" i="79"/>
  <c r="VWB46" i="79"/>
  <c r="VWA46" i="79"/>
  <c r="VVZ46" i="79"/>
  <c r="VVY46" i="79"/>
  <c r="VVX46" i="79"/>
  <c r="VVW46" i="79"/>
  <c r="VVV46" i="79"/>
  <c r="VVU46" i="79"/>
  <c r="VVT46" i="79"/>
  <c r="VVS46" i="79"/>
  <c r="VVR46" i="79"/>
  <c r="VVQ46" i="79"/>
  <c r="VVP46" i="79"/>
  <c r="VVO46" i="79"/>
  <c r="VVN46" i="79"/>
  <c r="VVM46" i="79"/>
  <c r="VVL46" i="79"/>
  <c r="VVK46" i="79"/>
  <c r="VVJ46" i="79"/>
  <c r="VVI46" i="79"/>
  <c r="VVH46" i="79"/>
  <c r="VVG46" i="79"/>
  <c r="VVF46" i="79"/>
  <c r="VVE46" i="79"/>
  <c r="VVD46" i="79"/>
  <c r="VVC46" i="79"/>
  <c r="VVB46" i="79"/>
  <c r="VVA46" i="79"/>
  <c r="VUZ46" i="79"/>
  <c r="VUY46" i="79"/>
  <c r="VUX46" i="79"/>
  <c r="VUW46" i="79"/>
  <c r="VUV46" i="79"/>
  <c r="VUU46" i="79"/>
  <c r="VUT46" i="79"/>
  <c r="VUS46" i="79"/>
  <c r="VUR46" i="79"/>
  <c r="VUQ46" i="79"/>
  <c r="VUP46" i="79"/>
  <c r="VUO46" i="79"/>
  <c r="VUN46" i="79"/>
  <c r="VUM46" i="79"/>
  <c r="VUL46" i="79"/>
  <c r="VUK46" i="79"/>
  <c r="VUJ46" i="79"/>
  <c r="VUI46" i="79"/>
  <c r="VUH46" i="79"/>
  <c r="VUG46" i="79"/>
  <c r="VUF46" i="79"/>
  <c r="VUE46" i="79"/>
  <c r="VUD46" i="79"/>
  <c r="VUC46" i="79"/>
  <c r="VUB46" i="79"/>
  <c r="VUA46" i="79"/>
  <c r="VTZ46" i="79"/>
  <c r="VTY46" i="79"/>
  <c r="VTX46" i="79"/>
  <c r="VTW46" i="79"/>
  <c r="VTV46" i="79"/>
  <c r="VTU46" i="79"/>
  <c r="VTT46" i="79"/>
  <c r="VTS46" i="79"/>
  <c r="VTR46" i="79"/>
  <c r="VTQ46" i="79"/>
  <c r="VTP46" i="79"/>
  <c r="VTO46" i="79"/>
  <c r="VTN46" i="79"/>
  <c r="VTM46" i="79"/>
  <c r="VTL46" i="79"/>
  <c r="VTK46" i="79"/>
  <c r="VTJ46" i="79"/>
  <c r="VTI46" i="79"/>
  <c r="VTH46" i="79"/>
  <c r="VTG46" i="79"/>
  <c r="VTF46" i="79"/>
  <c r="VTE46" i="79"/>
  <c r="VTD46" i="79"/>
  <c r="VTC46" i="79"/>
  <c r="VTB46" i="79"/>
  <c r="VTA46" i="79"/>
  <c r="VSZ46" i="79"/>
  <c r="VSY46" i="79"/>
  <c r="VSX46" i="79"/>
  <c r="VSW46" i="79"/>
  <c r="VSV46" i="79"/>
  <c r="VSU46" i="79"/>
  <c r="VST46" i="79"/>
  <c r="VSS46" i="79"/>
  <c r="VSR46" i="79"/>
  <c r="VSQ46" i="79"/>
  <c r="VSP46" i="79"/>
  <c r="VSO46" i="79"/>
  <c r="VSN46" i="79"/>
  <c r="VSM46" i="79"/>
  <c r="VSL46" i="79"/>
  <c r="VSK46" i="79"/>
  <c r="VSJ46" i="79"/>
  <c r="VSI46" i="79"/>
  <c r="VSH46" i="79"/>
  <c r="VSG46" i="79"/>
  <c r="VSF46" i="79"/>
  <c r="VSE46" i="79"/>
  <c r="VSD46" i="79"/>
  <c r="VSC46" i="79"/>
  <c r="VSB46" i="79"/>
  <c r="VSA46" i="79"/>
  <c r="VRZ46" i="79"/>
  <c r="VRY46" i="79"/>
  <c r="VRX46" i="79"/>
  <c r="VRW46" i="79"/>
  <c r="VRV46" i="79"/>
  <c r="VRU46" i="79"/>
  <c r="VRT46" i="79"/>
  <c r="VRS46" i="79"/>
  <c r="VRR46" i="79"/>
  <c r="VRQ46" i="79"/>
  <c r="VRP46" i="79"/>
  <c r="VRO46" i="79"/>
  <c r="VRN46" i="79"/>
  <c r="VRM46" i="79"/>
  <c r="VRL46" i="79"/>
  <c r="VRK46" i="79"/>
  <c r="VRJ46" i="79"/>
  <c r="VRI46" i="79"/>
  <c r="VRH46" i="79"/>
  <c r="VRG46" i="79"/>
  <c r="VRF46" i="79"/>
  <c r="VRE46" i="79"/>
  <c r="VRD46" i="79"/>
  <c r="VRC46" i="79"/>
  <c r="VRB46" i="79"/>
  <c r="VRA46" i="79"/>
  <c r="VQZ46" i="79"/>
  <c r="VQY46" i="79"/>
  <c r="VQX46" i="79"/>
  <c r="VQW46" i="79"/>
  <c r="VQV46" i="79"/>
  <c r="VQU46" i="79"/>
  <c r="VQT46" i="79"/>
  <c r="VQS46" i="79"/>
  <c r="VQR46" i="79"/>
  <c r="VQQ46" i="79"/>
  <c r="VQP46" i="79"/>
  <c r="VQO46" i="79"/>
  <c r="VQN46" i="79"/>
  <c r="VQM46" i="79"/>
  <c r="VQL46" i="79"/>
  <c r="VQK46" i="79"/>
  <c r="VQJ46" i="79"/>
  <c r="VQI46" i="79"/>
  <c r="VQH46" i="79"/>
  <c r="VQG46" i="79"/>
  <c r="VQF46" i="79"/>
  <c r="VQE46" i="79"/>
  <c r="VQD46" i="79"/>
  <c r="VQC46" i="79"/>
  <c r="VQB46" i="79"/>
  <c r="VQA46" i="79"/>
  <c r="VPZ46" i="79"/>
  <c r="VPY46" i="79"/>
  <c r="VPX46" i="79"/>
  <c r="VPW46" i="79"/>
  <c r="VPV46" i="79"/>
  <c r="VPU46" i="79"/>
  <c r="VPT46" i="79"/>
  <c r="VPS46" i="79"/>
  <c r="VPR46" i="79"/>
  <c r="VPQ46" i="79"/>
  <c r="VPP46" i="79"/>
  <c r="VPO46" i="79"/>
  <c r="VPN46" i="79"/>
  <c r="VPM46" i="79"/>
  <c r="VPL46" i="79"/>
  <c r="VPK46" i="79"/>
  <c r="VPJ46" i="79"/>
  <c r="VPI46" i="79"/>
  <c r="VPH46" i="79"/>
  <c r="VPG46" i="79"/>
  <c r="VPF46" i="79"/>
  <c r="VPE46" i="79"/>
  <c r="VPD46" i="79"/>
  <c r="VPC46" i="79"/>
  <c r="VPB46" i="79"/>
  <c r="VPA46" i="79"/>
  <c r="VOZ46" i="79"/>
  <c r="VOY46" i="79"/>
  <c r="VOX46" i="79"/>
  <c r="VOW46" i="79"/>
  <c r="VOV46" i="79"/>
  <c r="VOU46" i="79"/>
  <c r="VOT46" i="79"/>
  <c r="VOS46" i="79"/>
  <c r="VOR46" i="79"/>
  <c r="VOQ46" i="79"/>
  <c r="VOP46" i="79"/>
  <c r="VOO46" i="79"/>
  <c r="VON46" i="79"/>
  <c r="VOM46" i="79"/>
  <c r="VOL46" i="79"/>
  <c r="VOK46" i="79"/>
  <c r="VOJ46" i="79"/>
  <c r="VOI46" i="79"/>
  <c r="VOH46" i="79"/>
  <c r="VOG46" i="79"/>
  <c r="VOF46" i="79"/>
  <c r="VOE46" i="79"/>
  <c r="VOD46" i="79"/>
  <c r="VOC46" i="79"/>
  <c r="VOB46" i="79"/>
  <c r="VOA46" i="79"/>
  <c r="VNZ46" i="79"/>
  <c r="VNY46" i="79"/>
  <c r="VNX46" i="79"/>
  <c r="VNW46" i="79"/>
  <c r="VNV46" i="79"/>
  <c r="VNU46" i="79"/>
  <c r="VNT46" i="79"/>
  <c r="VNS46" i="79"/>
  <c r="VNR46" i="79"/>
  <c r="VNQ46" i="79"/>
  <c r="VNP46" i="79"/>
  <c r="VNO46" i="79"/>
  <c r="VNN46" i="79"/>
  <c r="VNM46" i="79"/>
  <c r="VNL46" i="79"/>
  <c r="VNK46" i="79"/>
  <c r="VNJ46" i="79"/>
  <c r="VNI46" i="79"/>
  <c r="VNH46" i="79"/>
  <c r="VNG46" i="79"/>
  <c r="VNF46" i="79"/>
  <c r="VNE46" i="79"/>
  <c r="VND46" i="79"/>
  <c r="VNC46" i="79"/>
  <c r="VNB46" i="79"/>
  <c r="VNA46" i="79"/>
  <c r="VMZ46" i="79"/>
  <c r="VMY46" i="79"/>
  <c r="VMX46" i="79"/>
  <c r="VMW46" i="79"/>
  <c r="VMV46" i="79"/>
  <c r="VMU46" i="79"/>
  <c r="VMT46" i="79"/>
  <c r="VMS46" i="79"/>
  <c r="VMR46" i="79"/>
  <c r="VMQ46" i="79"/>
  <c r="VMP46" i="79"/>
  <c r="VMO46" i="79"/>
  <c r="VMN46" i="79"/>
  <c r="VMM46" i="79"/>
  <c r="VML46" i="79"/>
  <c r="VMK46" i="79"/>
  <c r="VMJ46" i="79"/>
  <c r="VMI46" i="79"/>
  <c r="VMH46" i="79"/>
  <c r="VMG46" i="79"/>
  <c r="VMF46" i="79"/>
  <c r="VME46" i="79"/>
  <c r="VMD46" i="79"/>
  <c r="VMC46" i="79"/>
  <c r="VMB46" i="79"/>
  <c r="VMA46" i="79"/>
  <c r="VLZ46" i="79"/>
  <c r="VLY46" i="79"/>
  <c r="VLX46" i="79"/>
  <c r="VLW46" i="79"/>
  <c r="VLV46" i="79"/>
  <c r="VLU46" i="79"/>
  <c r="VLT46" i="79"/>
  <c r="VLS46" i="79"/>
  <c r="VLR46" i="79"/>
  <c r="VLQ46" i="79"/>
  <c r="VLP46" i="79"/>
  <c r="VLO46" i="79"/>
  <c r="VLN46" i="79"/>
  <c r="VLM46" i="79"/>
  <c r="VLL46" i="79"/>
  <c r="VLK46" i="79"/>
  <c r="VLJ46" i="79"/>
  <c r="VLI46" i="79"/>
  <c r="VLH46" i="79"/>
  <c r="VLG46" i="79"/>
  <c r="VLF46" i="79"/>
  <c r="VLE46" i="79"/>
  <c r="VLD46" i="79"/>
  <c r="VLC46" i="79"/>
  <c r="VLB46" i="79"/>
  <c r="VLA46" i="79"/>
  <c r="VKZ46" i="79"/>
  <c r="VKY46" i="79"/>
  <c r="VKX46" i="79"/>
  <c r="VKW46" i="79"/>
  <c r="VKV46" i="79"/>
  <c r="VKU46" i="79"/>
  <c r="VKT46" i="79"/>
  <c r="VKS46" i="79"/>
  <c r="VKR46" i="79"/>
  <c r="VKQ46" i="79"/>
  <c r="VKP46" i="79"/>
  <c r="VKO46" i="79"/>
  <c r="VKN46" i="79"/>
  <c r="VKM46" i="79"/>
  <c r="VKL46" i="79"/>
  <c r="VKK46" i="79"/>
  <c r="VKJ46" i="79"/>
  <c r="VKI46" i="79"/>
  <c r="VKH46" i="79"/>
  <c r="VKG46" i="79"/>
  <c r="VKF46" i="79"/>
  <c r="VKE46" i="79"/>
  <c r="VKD46" i="79"/>
  <c r="VKC46" i="79"/>
  <c r="VKB46" i="79"/>
  <c r="VKA46" i="79"/>
  <c r="VJZ46" i="79"/>
  <c r="VJY46" i="79"/>
  <c r="VJX46" i="79"/>
  <c r="VJW46" i="79"/>
  <c r="VJV46" i="79"/>
  <c r="VJU46" i="79"/>
  <c r="VJT46" i="79"/>
  <c r="VJS46" i="79"/>
  <c r="VJR46" i="79"/>
  <c r="VJQ46" i="79"/>
  <c r="VJP46" i="79"/>
  <c r="VJO46" i="79"/>
  <c r="VJN46" i="79"/>
  <c r="VJM46" i="79"/>
  <c r="VJL46" i="79"/>
  <c r="VJK46" i="79"/>
  <c r="VJJ46" i="79"/>
  <c r="VJI46" i="79"/>
  <c r="VJH46" i="79"/>
  <c r="VJG46" i="79"/>
  <c r="VJF46" i="79"/>
  <c r="VJE46" i="79"/>
  <c r="VJD46" i="79"/>
  <c r="VJC46" i="79"/>
  <c r="VJB46" i="79"/>
  <c r="VJA46" i="79"/>
  <c r="VIZ46" i="79"/>
  <c r="VIY46" i="79"/>
  <c r="VIX46" i="79"/>
  <c r="VIW46" i="79"/>
  <c r="VIV46" i="79"/>
  <c r="VIU46" i="79"/>
  <c r="VIT46" i="79"/>
  <c r="VIS46" i="79"/>
  <c r="VIR46" i="79"/>
  <c r="VIQ46" i="79"/>
  <c r="VIP46" i="79"/>
  <c r="VIO46" i="79"/>
  <c r="VIN46" i="79"/>
  <c r="VIM46" i="79"/>
  <c r="VIL46" i="79"/>
  <c r="VIK46" i="79"/>
  <c r="VIJ46" i="79"/>
  <c r="VII46" i="79"/>
  <c r="VIH46" i="79"/>
  <c r="VIG46" i="79"/>
  <c r="VIF46" i="79"/>
  <c r="VIE46" i="79"/>
  <c r="VID46" i="79"/>
  <c r="VIC46" i="79"/>
  <c r="VIB46" i="79"/>
  <c r="VIA46" i="79"/>
  <c r="VHZ46" i="79"/>
  <c r="VHY46" i="79"/>
  <c r="VHX46" i="79"/>
  <c r="VHW46" i="79"/>
  <c r="VHV46" i="79"/>
  <c r="VHU46" i="79"/>
  <c r="VHT46" i="79"/>
  <c r="VHS46" i="79"/>
  <c r="VHR46" i="79"/>
  <c r="VHQ46" i="79"/>
  <c r="VHP46" i="79"/>
  <c r="VHO46" i="79"/>
  <c r="VHN46" i="79"/>
  <c r="VHM46" i="79"/>
  <c r="VHL46" i="79"/>
  <c r="VHK46" i="79"/>
  <c r="VHJ46" i="79"/>
  <c r="VHI46" i="79"/>
  <c r="VHH46" i="79"/>
  <c r="VHG46" i="79"/>
  <c r="VHF46" i="79"/>
  <c r="VHE46" i="79"/>
  <c r="VHD46" i="79"/>
  <c r="VHC46" i="79"/>
  <c r="VHB46" i="79"/>
  <c r="VHA46" i="79"/>
  <c r="VGZ46" i="79"/>
  <c r="VGY46" i="79"/>
  <c r="VGX46" i="79"/>
  <c r="VGW46" i="79"/>
  <c r="VGV46" i="79"/>
  <c r="VGU46" i="79"/>
  <c r="VGT46" i="79"/>
  <c r="VGS46" i="79"/>
  <c r="VGR46" i="79"/>
  <c r="VGQ46" i="79"/>
  <c r="VGP46" i="79"/>
  <c r="VGO46" i="79"/>
  <c r="VGN46" i="79"/>
  <c r="VGM46" i="79"/>
  <c r="VGL46" i="79"/>
  <c r="VGK46" i="79"/>
  <c r="VGJ46" i="79"/>
  <c r="VGI46" i="79"/>
  <c r="VGH46" i="79"/>
  <c r="VGG46" i="79"/>
  <c r="VGF46" i="79"/>
  <c r="VGE46" i="79"/>
  <c r="VGD46" i="79"/>
  <c r="VGC46" i="79"/>
  <c r="VGB46" i="79"/>
  <c r="VGA46" i="79"/>
  <c r="VFZ46" i="79"/>
  <c r="VFY46" i="79"/>
  <c r="VFX46" i="79"/>
  <c r="VFW46" i="79"/>
  <c r="VFV46" i="79"/>
  <c r="VFU46" i="79"/>
  <c r="VFT46" i="79"/>
  <c r="VFS46" i="79"/>
  <c r="VFR46" i="79"/>
  <c r="VFQ46" i="79"/>
  <c r="VFP46" i="79"/>
  <c r="VFO46" i="79"/>
  <c r="VFN46" i="79"/>
  <c r="VFM46" i="79"/>
  <c r="VFL46" i="79"/>
  <c r="VFK46" i="79"/>
  <c r="VFJ46" i="79"/>
  <c r="VFI46" i="79"/>
  <c r="VFH46" i="79"/>
  <c r="VFG46" i="79"/>
  <c r="VFF46" i="79"/>
  <c r="VFE46" i="79"/>
  <c r="VFD46" i="79"/>
  <c r="VFC46" i="79"/>
  <c r="VFB46" i="79"/>
  <c r="VFA46" i="79"/>
  <c r="VEZ46" i="79"/>
  <c r="VEY46" i="79"/>
  <c r="VEX46" i="79"/>
  <c r="VEW46" i="79"/>
  <c r="VEV46" i="79"/>
  <c r="VEU46" i="79"/>
  <c r="VET46" i="79"/>
  <c r="VES46" i="79"/>
  <c r="VER46" i="79"/>
  <c r="VEQ46" i="79"/>
  <c r="VEP46" i="79"/>
  <c r="VEO46" i="79"/>
  <c r="VEN46" i="79"/>
  <c r="VEM46" i="79"/>
  <c r="VEL46" i="79"/>
  <c r="VEK46" i="79"/>
  <c r="VEJ46" i="79"/>
  <c r="VEI46" i="79"/>
  <c r="VEH46" i="79"/>
  <c r="VEG46" i="79"/>
  <c r="VEF46" i="79"/>
  <c r="VEE46" i="79"/>
  <c r="VED46" i="79"/>
  <c r="VEC46" i="79"/>
  <c r="VEB46" i="79"/>
  <c r="VEA46" i="79"/>
  <c r="VDZ46" i="79"/>
  <c r="VDY46" i="79"/>
  <c r="VDX46" i="79"/>
  <c r="VDW46" i="79"/>
  <c r="VDV46" i="79"/>
  <c r="VDU46" i="79"/>
  <c r="VDT46" i="79"/>
  <c r="VDS46" i="79"/>
  <c r="VDR46" i="79"/>
  <c r="VDQ46" i="79"/>
  <c r="VDP46" i="79"/>
  <c r="VDO46" i="79"/>
  <c r="VDN46" i="79"/>
  <c r="VDM46" i="79"/>
  <c r="VDL46" i="79"/>
  <c r="VDK46" i="79"/>
  <c r="VDJ46" i="79"/>
  <c r="VDI46" i="79"/>
  <c r="VDH46" i="79"/>
  <c r="VDG46" i="79"/>
  <c r="VDF46" i="79"/>
  <c r="VDE46" i="79"/>
  <c r="VDD46" i="79"/>
  <c r="VDC46" i="79"/>
  <c r="VDB46" i="79"/>
  <c r="VDA46" i="79"/>
  <c r="VCZ46" i="79"/>
  <c r="VCY46" i="79"/>
  <c r="VCX46" i="79"/>
  <c r="VCW46" i="79"/>
  <c r="VCV46" i="79"/>
  <c r="VCU46" i="79"/>
  <c r="VCT46" i="79"/>
  <c r="VCS46" i="79"/>
  <c r="VCR46" i="79"/>
  <c r="VCQ46" i="79"/>
  <c r="VCP46" i="79"/>
  <c r="VCO46" i="79"/>
  <c r="VCN46" i="79"/>
  <c r="VCM46" i="79"/>
  <c r="VCL46" i="79"/>
  <c r="VCK46" i="79"/>
  <c r="VCJ46" i="79"/>
  <c r="VCI46" i="79"/>
  <c r="VCH46" i="79"/>
  <c r="VCG46" i="79"/>
  <c r="VCF46" i="79"/>
  <c r="VCE46" i="79"/>
  <c r="VCD46" i="79"/>
  <c r="VCC46" i="79"/>
  <c r="VCB46" i="79"/>
  <c r="VCA46" i="79"/>
  <c r="VBZ46" i="79"/>
  <c r="VBY46" i="79"/>
  <c r="VBX46" i="79"/>
  <c r="VBW46" i="79"/>
  <c r="VBV46" i="79"/>
  <c r="VBU46" i="79"/>
  <c r="VBT46" i="79"/>
  <c r="VBS46" i="79"/>
  <c r="VBR46" i="79"/>
  <c r="VBQ46" i="79"/>
  <c r="VBP46" i="79"/>
  <c r="VBO46" i="79"/>
  <c r="VBN46" i="79"/>
  <c r="VBM46" i="79"/>
  <c r="VBL46" i="79"/>
  <c r="VBK46" i="79"/>
  <c r="VBJ46" i="79"/>
  <c r="VBI46" i="79"/>
  <c r="VBH46" i="79"/>
  <c r="VBG46" i="79"/>
  <c r="VBF46" i="79"/>
  <c r="VBE46" i="79"/>
  <c r="VBD46" i="79"/>
  <c r="VBC46" i="79"/>
  <c r="VBB46" i="79"/>
  <c r="VBA46" i="79"/>
  <c r="VAZ46" i="79"/>
  <c r="VAY46" i="79"/>
  <c r="VAX46" i="79"/>
  <c r="VAW46" i="79"/>
  <c r="VAV46" i="79"/>
  <c r="VAU46" i="79"/>
  <c r="VAT46" i="79"/>
  <c r="VAS46" i="79"/>
  <c r="VAR46" i="79"/>
  <c r="VAQ46" i="79"/>
  <c r="VAP46" i="79"/>
  <c r="VAO46" i="79"/>
  <c r="VAN46" i="79"/>
  <c r="VAM46" i="79"/>
  <c r="VAL46" i="79"/>
  <c r="VAK46" i="79"/>
  <c r="VAJ46" i="79"/>
  <c r="VAI46" i="79"/>
  <c r="VAH46" i="79"/>
  <c r="VAG46" i="79"/>
  <c r="VAF46" i="79"/>
  <c r="VAE46" i="79"/>
  <c r="VAD46" i="79"/>
  <c r="VAC46" i="79"/>
  <c r="VAB46" i="79"/>
  <c r="VAA46" i="79"/>
  <c r="UZZ46" i="79"/>
  <c r="UZY46" i="79"/>
  <c r="UZX46" i="79"/>
  <c r="UZW46" i="79"/>
  <c r="UZV46" i="79"/>
  <c r="UZU46" i="79"/>
  <c r="UZT46" i="79"/>
  <c r="UZS46" i="79"/>
  <c r="UZR46" i="79"/>
  <c r="UZQ46" i="79"/>
  <c r="UZP46" i="79"/>
  <c r="UZO46" i="79"/>
  <c r="UZN46" i="79"/>
  <c r="UZM46" i="79"/>
  <c r="UZL46" i="79"/>
  <c r="UZK46" i="79"/>
  <c r="UZJ46" i="79"/>
  <c r="UZI46" i="79"/>
  <c r="UZH46" i="79"/>
  <c r="UZG46" i="79"/>
  <c r="UZF46" i="79"/>
  <c r="UZE46" i="79"/>
  <c r="UZD46" i="79"/>
  <c r="UZC46" i="79"/>
  <c r="UZB46" i="79"/>
  <c r="UZA46" i="79"/>
  <c r="UYZ46" i="79"/>
  <c r="UYY46" i="79"/>
  <c r="UYX46" i="79"/>
  <c r="UYW46" i="79"/>
  <c r="UYV46" i="79"/>
  <c r="UYU46" i="79"/>
  <c r="UYT46" i="79"/>
  <c r="UYS46" i="79"/>
  <c r="UYR46" i="79"/>
  <c r="UYQ46" i="79"/>
  <c r="UYP46" i="79"/>
  <c r="UYO46" i="79"/>
  <c r="UYN46" i="79"/>
  <c r="UYM46" i="79"/>
  <c r="UYL46" i="79"/>
  <c r="UYK46" i="79"/>
  <c r="UYJ46" i="79"/>
  <c r="UYI46" i="79"/>
  <c r="UYH46" i="79"/>
  <c r="UYG46" i="79"/>
  <c r="UYF46" i="79"/>
  <c r="UYE46" i="79"/>
  <c r="UYD46" i="79"/>
  <c r="UYC46" i="79"/>
  <c r="UYB46" i="79"/>
  <c r="UYA46" i="79"/>
  <c r="UXZ46" i="79"/>
  <c r="UXY46" i="79"/>
  <c r="UXX46" i="79"/>
  <c r="UXW46" i="79"/>
  <c r="UXV46" i="79"/>
  <c r="UXU46" i="79"/>
  <c r="UXT46" i="79"/>
  <c r="UXS46" i="79"/>
  <c r="UXR46" i="79"/>
  <c r="UXQ46" i="79"/>
  <c r="UXP46" i="79"/>
  <c r="UXO46" i="79"/>
  <c r="UXN46" i="79"/>
  <c r="UXM46" i="79"/>
  <c r="UXL46" i="79"/>
  <c r="UXK46" i="79"/>
  <c r="UXJ46" i="79"/>
  <c r="UXI46" i="79"/>
  <c r="UXH46" i="79"/>
  <c r="UXG46" i="79"/>
  <c r="UXF46" i="79"/>
  <c r="UXE46" i="79"/>
  <c r="UXD46" i="79"/>
  <c r="UXC46" i="79"/>
  <c r="UXB46" i="79"/>
  <c r="UXA46" i="79"/>
  <c r="UWZ46" i="79"/>
  <c r="UWY46" i="79"/>
  <c r="UWX46" i="79"/>
  <c r="UWW46" i="79"/>
  <c r="UWV46" i="79"/>
  <c r="UWU46" i="79"/>
  <c r="UWT46" i="79"/>
  <c r="UWS46" i="79"/>
  <c r="UWR46" i="79"/>
  <c r="UWQ46" i="79"/>
  <c r="UWP46" i="79"/>
  <c r="UWO46" i="79"/>
  <c r="UWN46" i="79"/>
  <c r="UWM46" i="79"/>
  <c r="UWL46" i="79"/>
  <c r="UWK46" i="79"/>
  <c r="UWJ46" i="79"/>
  <c r="UWI46" i="79"/>
  <c r="UWH46" i="79"/>
  <c r="UWG46" i="79"/>
  <c r="UWF46" i="79"/>
  <c r="UWE46" i="79"/>
  <c r="UWD46" i="79"/>
  <c r="UWC46" i="79"/>
  <c r="UWB46" i="79"/>
  <c r="UWA46" i="79"/>
  <c r="UVZ46" i="79"/>
  <c r="UVY46" i="79"/>
  <c r="UVX46" i="79"/>
  <c r="UVW46" i="79"/>
  <c r="UVV46" i="79"/>
  <c r="UVU46" i="79"/>
  <c r="UVT46" i="79"/>
  <c r="UVS46" i="79"/>
  <c r="UVR46" i="79"/>
  <c r="UVQ46" i="79"/>
  <c r="UVP46" i="79"/>
  <c r="UVO46" i="79"/>
  <c r="UVN46" i="79"/>
  <c r="UVM46" i="79"/>
  <c r="UVL46" i="79"/>
  <c r="UVK46" i="79"/>
  <c r="UVJ46" i="79"/>
  <c r="UVI46" i="79"/>
  <c r="UVH46" i="79"/>
  <c r="UVG46" i="79"/>
  <c r="UVF46" i="79"/>
  <c r="UVE46" i="79"/>
  <c r="UVD46" i="79"/>
  <c r="UVC46" i="79"/>
  <c r="UVB46" i="79"/>
  <c r="UVA46" i="79"/>
  <c r="UUZ46" i="79"/>
  <c r="UUY46" i="79"/>
  <c r="UUX46" i="79"/>
  <c r="UUW46" i="79"/>
  <c r="UUV46" i="79"/>
  <c r="UUU46" i="79"/>
  <c r="UUT46" i="79"/>
  <c r="UUS46" i="79"/>
  <c r="UUR46" i="79"/>
  <c r="UUQ46" i="79"/>
  <c r="UUP46" i="79"/>
  <c r="UUO46" i="79"/>
  <c r="UUN46" i="79"/>
  <c r="UUM46" i="79"/>
  <c r="UUL46" i="79"/>
  <c r="UUK46" i="79"/>
  <c r="UUJ46" i="79"/>
  <c r="UUI46" i="79"/>
  <c r="UUH46" i="79"/>
  <c r="UUG46" i="79"/>
  <c r="UUF46" i="79"/>
  <c r="UUE46" i="79"/>
  <c r="UUD46" i="79"/>
  <c r="UUC46" i="79"/>
  <c r="UUB46" i="79"/>
  <c r="UUA46" i="79"/>
  <c r="UTZ46" i="79"/>
  <c r="UTY46" i="79"/>
  <c r="UTX46" i="79"/>
  <c r="UTW46" i="79"/>
  <c r="UTV46" i="79"/>
  <c r="UTU46" i="79"/>
  <c r="UTT46" i="79"/>
  <c r="UTS46" i="79"/>
  <c r="UTR46" i="79"/>
  <c r="UTQ46" i="79"/>
  <c r="UTP46" i="79"/>
  <c r="UTO46" i="79"/>
  <c r="UTN46" i="79"/>
  <c r="UTM46" i="79"/>
  <c r="UTL46" i="79"/>
  <c r="UTK46" i="79"/>
  <c r="UTJ46" i="79"/>
  <c r="UTI46" i="79"/>
  <c r="UTH46" i="79"/>
  <c r="UTG46" i="79"/>
  <c r="UTF46" i="79"/>
  <c r="UTE46" i="79"/>
  <c r="UTD46" i="79"/>
  <c r="UTC46" i="79"/>
  <c r="UTB46" i="79"/>
  <c r="UTA46" i="79"/>
  <c r="USZ46" i="79"/>
  <c r="USY46" i="79"/>
  <c r="USX46" i="79"/>
  <c r="USW46" i="79"/>
  <c r="USV46" i="79"/>
  <c r="USU46" i="79"/>
  <c r="UST46" i="79"/>
  <c r="USS46" i="79"/>
  <c r="USR46" i="79"/>
  <c r="USQ46" i="79"/>
  <c r="USP46" i="79"/>
  <c r="USO46" i="79"/>
  <c r="USN46" i="79"/>
  <c r="USM46" i="79"/>
  <c r="USL46" i="79"/>
  <c r="USK46" i="79"/>
  <c r="USJ46" i="79"/>
  <c r="USI46" i="79"/>
  <c r="USH46" i="79"/>
  <c r="USG46" i="79"/>
  <c r="USF46" i="79"/>
  <c r="USE46" i="79"/>
  <c r="USD46" i="79"/>
  <c r="USC46" i="79"/>
  <c r="USB46" i="79"/>
  <c r="USA46" i="79"/>
  <c r="URZ46" i="79"/>
  <c r="URY46" i="79"/>
  <c r="URX46" i="79"/>
  <c r="URW46" i="79"/>
  <c r="URV46" i="79"/>
  <c r="URU46" i="79"/>
  <c r="URT46" i="79"/>
  <c r="URS46" i="79"/>
  <c r="URR46" i="79"/>
  <c r="URQ46" i="79"/>
  <c r="URP46" i="79"/>
  <c r="URO46" i="79"/>
  <c r="URN46" i="79"/>
  <c r="URM46" i="79"/>
  <c r="URL46" i="79"/>
  <c r="URK46" i="79"/>
  <c r="URJ46" i="79"/>
  <c r="URI46" i="79"/>
  <c r="URH46" i="79"/>
  <c r="URG46" i="79"/>
  <c r="URF46" i="79"/>
  <c r="URE46" i="79"/>
  <c r="URD46" i="79"/>
  <c r="URC46" i="79"/>
  <c r="URB46" i="79"/>
  <c r="URA46" i="79"/>
  <c r="UQZ46" i="79"/>
  <c r="UQY46" i="79"/>
  <c r="UQX46" i="79"/>
  <c r="UQW46" i="79"/>
  <c r="UQV46" i="79"/>
  <c r="UQU46" i="79"/>
  <c r="UQT46" i="79"/>
  <c r="UQS46" i="79"/>
  <c r="UQR46" i="79"/>
  <c r="UQQ46" i="79"/>
  <c r="UQP46" i="79"/>
  <c r="UQO46" i="79"/>
  <c r="UQN46" i="79"/>
  <c r="UQM46" i="79"/>
  <c r="UQL46" i="79"/>
  <c r="UQK46" i="79"/>
  <c r="UQJ46" i="79"/>
  <c r="UQI46" i="79"/>
  <c r="UQH46" i="79"/>
  <c r="UQG46" i="79"/>
  <c r="UQF46" i="79"/>
  <c r="UQE46" i="79"/>
  <c r="UQD46" i="79"/>
  <c r="UQC46" i="79"/>
  <c r="UQB46" i="79"/>
  <c r="UQA46" i="79"/>
  <c r="UPZ46" i="79"/>
  <c r="UPY46" i="79"/>
  <c r="UPX46" i="79"/>
  <c r="UPW46" i="79"/>
  <c r="UPV46" i="79"/>
  <c r="UPU46" i="79"/>
  <c r="UPT46" i="79"/>
  <c r="UPS46" i="79"/>
  <c r="UPR46" i="79"/>
  <c r="UPQ46" i="79"/>
  <c r="UPP46" i="79"/>
  <c r="UPO46" i="79"/>
  <c r="UPN46" i="79"/>
  <c r="UPM46" i="79"/>
  <c r="UPL46" i="79"/>
  <c r="UPK46" i="79"/>
  <c r="UPJ46" i="79"/>
  <c r="UPI46" i="79"/>
  <c r="UPH46" i="79"/>
  <c r="UPG46" i="79"/>
  <c r="UPF46" i="79"/>
  <c r="UPE46" i="79"/>
  <c r="UPD46" i="79"/>
  <c r="UPC46" i="79"/>
  <c r="UPB46" i="79"/>
  <c r="UPA46" i="79"/>
  <c r="UOZ46" i="79"/>
  <c r="UOY46" i="79"/>
  <c r="UOX46" i="79"/>
  <c r="UOW46" i="79"/>
  <c r="UOV46" i="79"/>
  <c r="UOU46" i="79"/>
  <c r="UOT46" i="79"/>
  <c r="UOS46" i="79"/>
  <c r="UOR46" i="79"/>
  <c r="UOQ46" i="79"/>
  <c r="UOP46" i="79"/>
  <c r="UOO46" i="79"/>
  <c r="UON46" i="79"/>
  <c r="UOM46" i="79"/>
  <c r="UOL46" i="79"/>
  <c r="UOK46" i="79"/>
  <c r="UOJ46" i="79"/>
  <c r="UOI46" i="79"/>
  <c r="UOH46" i="79"/>
  <c r="UOG46" i="79"/>
  <c r="UOF46" i="79"/>
  <c r="UOE46" i="79"/>
  <c r="UOD46" i="79"/>
  <c r="UOC46" i="79"/>
  <c r="UOB46" i="79"/>
  <c r="UOA46" i="79"/>
  <c r="UNZ46" i="79"/>
  <c r="UNY46" i="79"/>
  <c r="UNX46" i="79"/>
  <c r="UNW46" i="79"/>
  <c r="UNV46" i="79"/>
  <c r="UNU46" i="79"/>
  <c r="UNT46" i="79"/>
  <c r="UNS46" i="79"/>
  <c r="UNR46" i="79"/>
  <c r="UNQ46" i="79"/>
  <c r="UNP46" i="79"/>
  <c r="UNO46" i="79"/>
  <c r="UNN46" i="79"/>
  <c r="UNM46" i="79"/>
  <c r="UNL46" i="79"/>
  <c r="UNK46" i="79"/>
  <c r="UNJ46" i="79"/>
  <c r="UNI46" i="79"/>
  <c r="UNH46" i="79"/>
  <c r="UNG46" i="79"/>
  <c r="UNF46" i="79"/>
  <c r="UNE46" i="79"/>
  <c r="UND46" i="79"/>
  <c r="UNC46" i="79"/>
  <c r="UNB46" i="79"/>
  <c r="UNA46" i="79"/>
  <c r="UMZ46" i="79"/>
  <c r="UMY46" i="79"/>
  <c r="UMX46" i="79"/>
  <c r="UMW46" i="79"/>
  <c r="UMV46" i="79"/>
  <c r="UMU46" i="79"/>
  <c r="UMT46" i="79"/>
  <c r="UMS46" i="79"/>
  <c r="UMR46" i="79"/>
  <c r="UMQ46" i="79"/>
  <c r="UMP46" i="79"/>
  <c r="UMO46" i="79"/>
  <c r="UMN46" i="79"/>
  <c r="UMM46" i="79"/>
  <c r="UML46" i="79"/>
  <c r="UMK46" i="79"/>
  <c r="UMJ46" i="79"/>
  <c r="UMI46" i="79"/>
  <c r="UMH46" i="79"/>
  <c r="UMG46" i="79"/>
  <c r="UMF46" i="79"/>
  <c r="UME46" i="79"/>
  <c r="UMD46" i="79"/>
  <c r="UMC46" i="79"/>
  <c r="UMB46" i="79"/>
  <c r="UMA46" i="79"/>
  <c r="ULZ46" i="79"/>
  <c r="ULY46" i="79"/>
  <c r="ULX46" i="79"/>
  <c r="ULW46" i="79"/>
  <c r="ULV46" i="79"/>
  <c r="ULU46" i="79"/>
  <c r="ULT46" i="79"/>
  <c r="ULS46" i="79"/>
  <c r="ULR46" i="79"/>
  <c r="ULQ46" i="79"/>
  <c r="ULP46" i="79"/>
  <c r="ULO46" i="79"/>
  <c r="ULN46" i="79"/>
  <c r="ULM46" i="79"/>
  <c r="ULL46" i="79"/>
  <c r="ULK46" i="79"/>
  <c r="ULJ46" i="79"/>
  <c r="ULI46" i="79"/>
  <c r="ULH46" i="79"/>
  <c r="ULG46" i="79"/>
  <c r="ULF46" i="79"/>
  <c r="ULE46" i="79"/>
  <c r="ULD46" i="79"/>
  <c r="ULC46" i="79"/>
  <c r="ULB46" i="79"/>
  <c r="ULA46" i="79"/>
  <c r="UKZ46" i="79"/>
  <c r="UKY46" i="79"/>
  <c r="UKX46" i="79"/>
  <c r="UKW46" i="79"/>
  <c r="UKV46" i="79"/>
  <c r="UKU46" i="79"/>
  <c r="UKT46" i="79"/>
  <c r="UKS46" i="79"/>
  <c r="UKR46" i="79"/>
  <c r="UKQ46" i="79"/>
  <c r="UKP46" i="79"/>
  <c r="UKO46" i="79"/>
  <c r="UKN46" i="79"/>
  <c r="UKM46" i="79"/>
  <c r="UKL46" i="79"/>
  <c r="UKK46" i="79"/>
  <c r="UKJ46" i="79"/>
  <c r="UKI46" i="79"/>
  <c r="UKH46" i="79"/>
  <c r="UKG46" i="79"/>
  <c r="UKF46" i="79"/>
  <c r="UKE46" i="79"/>
  <c r="UKD46" i="79"/>
  <c r="UKC46" i="79"/>
  <c r="UKB46" i="79"/>
  <c r="UKA46" i="79"/>
  <c r="UJZ46" i="79"/>
  <c r="UJY46" i="79"/>
  <c r="UJX46" i="79"/>
  <c r="UJW46" i="79"/>
  <c r="UJV46" i="79"/>
  <c r="UJU46" i="79"/>
  <c r="UJT46" i="79"/>
  <c r="UJS46" i="79"/>
  <c r="UJR46" i="79"/>
  <c r="UJQ46" i="79"/>
  <c r="UJP46" i="79"/>
  <c r="UJO46" i="79"/>
  <c r="UJN46" i="79"/>
  <c r="UJM46" i="79"/>
  <c r="UJL46" i="79"/>
  <c r="UJK46" i="79"/>
  <c r="UJJ46" i="79"/>
  <c r="UJI46" i="79"/>
  <c r="UJH46" i="79"/>
  <c r="UJG46" i="79"/>
  <c r="UJF46" i="79"/>
  <c r="UJE46" i="79"/>
  <c r="UJD46" i="79"/>
  <c r="UJC46" i="79"/>
  <c r="UJB46" i="79"/>
  <c r="UJA46" i="79"/>
  <c r="UIZ46" i="79"/>
  <c r="UIY46" i="79"/>
  <c r="UIX46" i="79"/>
  <c r="UIW46" i="79"/>
  <c r="UIV46" i="79"/>
  <c r="UIU46" i="79"/>
  <c r="UIT46" i="79"/>
  <c r="UIS46" i="79"/>
  <c r="UIR46" i="79"/>
  <c r="UIQ46" i="79"/>
  <c r="UIP46" i="79"/>
  <c r="UIO46" i="79"/>
  <c r="UIN46" i="79"/>
  <c r="UIM46" i="79"/>
  <c r="UIL46" i="79"/>
  <c r="UIK46" i="79"/>
  <c r="UIJ46" i="79"/>
  <c r="UII46" i="79"/>
  <c r="UIH46" i="79"/>
  <c r="UIG46" i="79"/>
  <c r="UIF46" i="79"/>
  <c r="UIE46" i="79"/>
  <c r="UID46" i="79"/>
  <c r="UIC46" i="79"/>
  <c r="UIB46" i="79"/>
  <c r="UIA46" i="79"/>
  <c r="UHZ46" i="79"/>
  <c r="UHY46" i="79"/>
  <c r="UHX46" i="79"/>
  <c r="UHW46" i="79"/>
  <c r="UHV46" i="79"/>
  <c r="UHU46" i="79"/>
  <c r="UHT46" i="79"/>
  <c r="UHS46" i="79"/>
  <c r="UHR46" i="79"/>
  <c r="UHQ46" i="79"/>
  <c r="UHP46" i="79"/>
  <c r="UHO46" i="79"/>
  <c r="UHN46" i="79"/>
  <c r="UHM46" i="79"/>
  <c r="UHL46" i="79"/>
  <c r="UHK46" i="79"/>
  <c r="UHJ46" i="79"/>
  <c r="UHI46" i="79"/>
  <c r="UHH46" i="79"/>
  <c r="UHG46" i="79"/>
  <c r="UHF46" i="79"/>
  <c r="UHE46" i="79"/>
  <c r="UHD46" i="79"/>
  <c r="UHC46" i="79"/>
  <c r="UHB46" i="79"/>
  <c r="UHA46" i="79"/>
  <c r="UGZ46" i="79"/>
  <c r="UGY46" i="79"/>
  <c r="UGX46" i="79"/>
  <c r="UGW46" i="79"/>
  <c r="UGV46" i="79"/>
  <c r="UGU46" i="79"/>
  <c r="UGT46" i="79"/>
  <c r="UGS46" i="79"/>
  <c r="UGR46" i="79"/>
  <c r="UGQ46" i="79"/>
  <c r="UGP46" i="79"/>
  <c r="UGO46" i="79"/>
  <c r="UGN46" i="79"/>
  <c r="UGM46" i="79"/>
  <c r="UGL46" i="79"/>
  <c r="UGK46" i="79"/>
  <c r="UGJ46" i="79"/>
  <c r="UGI46" i="79"/>
  <c r="UGH46" i="79"/>
  <c r="UGG46" i="79"/>
  <c r="UGF46" i="79"/>
  <c r="UGE46" i="79"/>
  <c r="UGD46" i="79"/>
  <c r="UGC46" i="79"/>
  <c r="UGB46" i="79"/>
  <c r="UGA46" i="79"/>
  <c r="UFZ46" i="79"/>
  <c r="UFY46" i="79"/>
  <c r="UFX46" i="79"/>
  <c r="UFW46" i="79"/>
  <c r="UFV46" i="79"/>
  <c r="UFU46" i="79"/>
  <c r="UFT46" i="79"/>
  <c r="UFS46" i="79"/>
  <c r="UFR46" i="79"/>
  <c r="UFQ46" i="79"/>
  <c r="UFP46" i="79"/>
  <c r="UFO46" i="79"/>
  <c r="UFN46" i="79"/>
  <c r="UFM46" i="79"/>
  <c r="UFL46" i="79"/>
  <c r="UFK46" i="79"/>
  <c r="UFJ46" i="79"/>
  <c r="UFI46" i="79"/>
  <c r="UFH46" i="79"/>
  <c r="UFG46" i="79"/>
  <c r="UFF46" i="79"/>
  <c r="UFE46" i="79"/>
  <c r="UFD46" i="79"/>
  <c r="UFC46" i="79"/>
  <c r="UFB46" i="79"/>
  <c r="UFA46" i="79"/>
  <c r="UEZ46" i="79"/>
  <c r="UEY46" i="79"/>
  <c r="UEX46" i="79"/>
  <c r="UEW46" i="79"/>
  <c r="UEV46" i="79"/>
  <c r="UEU46" i="79"/>
  <c r="UET46" i="79"/>
  <c r="UES46" i="79"/>
  <c r="UER46" i="79"/>
  <c r="UEQ46" i="79"/>
  <c r="UEP46" i="79"/>
  <c r="UEO46" i="79"/>
  <c r="UEN46" i="79"/>
  <c r="UEM46" i="79"/>
  <c r="UEL46" i="79"/>
  <c r="UEK46" i="79"/>
  <c r="UEJ46" i="79"/>
  <c r="UEI46" i="79"/>
  <c r="UEH46" i="79"/>
  <c r="UEG46" i="79"/>
  <c r="UEF46" i="79"/>
  <c r="UEE46" i="79"/>
  <c r="UED46" i="79"/>
  <c r="UEC46" i="79"/>
  <c r="UEB46" i="79"/>
  <c r="UEA46" i="79"/>
  <c r="UDZ46" i="79"/>
  <c r="UDY46" i="79"/>
  <c r="UDX46" i="79"/>
  <c r="UDW46" i="79"/>
  <c r="UDV46" i="79"/>
  <c r="UDU46" i="79"/>
  <c r="UDT46" i="79"/>
  <c r="UDS46" i="79"/>
  <c r="UDR46" i="79"/>
  <c r="UDQ46" i="79"/>
  <c r="UDP46" i="79"/>
  <c r="UDO46" i="79"/>
  <c r="UDN46" i="79"/>
  <c r="UDM46" i="79"/>
  <c r="UDL46" i="79"/>
  <c r="UDK46" i="79"/>
  <c r="UDJ46" i="79"/>
  <c r="UDI46" i="79"/>
  <c r="UDH46" i="79"/>
  <c r="UDG46" i="79"/>
  <c r="UDF46" i="79"/>
  <c r="UDE46" i="79"/>
  <c r="UDD46" i="79"/>
  <c r="UDC46" i="79"/>
  <c r="UDB46" i="79"/>
  <c r="UDA46" i="79"/>
  <c r="UCZ46" i="79"/>
  <c r="UCY46" i="79"/>
  <c r="UCX46" i="79"/>
  <c r="UCW46" i="79"/>
  <c r="UCV46" i="79"/>
  <c r="UCU46" i="79"/>
  <c r="UCT46" i="79"/>
  <c r="UCS46" i="79"/>
  <c r="UCR46" i="79"/>
  <c r="UCQ46" i="79"/>
  <c r="UCP46" i="79"/>
  <c r="UCO46" i="79"/>
  <c r="UCN46" i="79"/>
  <c r="UCM46" i="79"/>
  <c r="UCL46" i="79"/>
  <c r="UCK46" i="79"/>
  <c r="UCJ46" i="79"/>
  <c r="UCI46" i="79"/>
  <c r="UCH46" i="79"/>
  <c r="UCG46" i="79"/>
  <c r="UCF46" i="79"/>
  <c r="UCE46" i="79"/>
  <c r="UCD46" i="79"/>
  <c r="UCC46" i="79"/>
  <c r="UCB46" i="79"/>
  <c r="UCA46" i="79"/>
  <c r="UBZ46" i="79"/>
  <c r="UBY46" i="79"/>
  <c r="UBX46" i="79"/>
  <c r="UBW46" i="79"/>
  <c r="UBV46" i="79"/>
  <c r="UBU46" i="79"/>
  <c r="UBT46" i="79"/>
  <c r="UBS46" i="79"/>
  <c r="UBR46" i="79"/>
  <c r="UBQ46" i="79"/>
  <c r="UBP46" i="79"/>
  <c r="UBO46" i="79"/>
  <c r="UBN46" i="79"/>
  <c r="UBM46" i="79"/>
  <c r="UBL46" i="79"/>
  <c r="UBK46" i="79"/>
  <c r="UBJ46" i="79"/>
  <c r="UBI46" i="79"/>
  <c r="UBH46" i="79"/>
  <c r="UBG46" i="79"/>
  <c r="UBF46" i="79"/>
  <c r="UBE46" i="79"/>
  <c r="UBD46" i="79"/>
  <c r="UBC46" i="79"/>
  <c r="UBB46" i="79"/>
  <c r="UBA46" i="79"/>
  <c r="UAZ46" i="79"/>
  <c r="UAY46" i="79"/>
  <c r="UAX46" i="79"/>
  <c r="UAW46" i="79"/>
  <c r="UAV46" i="79"/>
  <c r="UAU46" i="79"/>
  <c r="UAT46" i="79"/>
  <c r="UAS46" i="79"/>
  <c r="UAR46" i="79"/>
  <c r="UAQ46" i="79"/>
  <c r="UAP46" i="79"/>
  <c r="UAO46" i="79"/>
  <c r="UAN46" i="79"/>
  <c r="UAM46" i="79"/>
  <c r="UAL46" i="79"/>
  <c r="UAK46" i="79"/>
  <c r="UAJ46" i="79"/>
  <c r="UAI46" i="79"/>
  <c r="UAH46" i="79"/>
  <c r="UAG46" i="79"/>
  <c r="UAF46" i="79"/>
  <c r="UAE46" i="79"/>
  <c r="UAD46" i="79"/>
  <c r="UAC46" i="79"/>
  <c r="UAB46" i="79"/>
  <c r="UAA46" i="79"/>
  <c r="TZZ46" i="79"/>
  <c r="TZY46" i="79"/>
  <c r="TZX46" i="79"/>
  <c r="TZW46" i="79"/>
  <c r="TZV46" i="79"/>
  <c r="TZU46" i="79"/>
  <c r="TZT46" i="79"/>
  <c r="TZS46" i="79"/>
  <c r="TZR46" i="79"/>
  <c r="TZQ46" i="79"/>
  <c r="TZP46" i="79"/>
  <c r="TZO46" i="79"/>
  <c r="TZN46" i="79"/>
  <c r="TZM46" i="79"/>
  <c r="TZL46" i="79"/>
  <c r="TZK46" i="79"/>
  <c r="TZJ46" i="79"/>
  <c r="TZI46" i="79"/>
  <c r="TZH46" i="79"/>
  <c r="TZG46" i="79"/>
  <c r="TZF46" i="79"/>
  <c r="TZE46" i="79"/>
  <c r="TZD46" i="79"/>
  <c r="TZC46" i="79"/>
  <c r="TZB46" i="79"/>
  <c r="TZA46" i="79"/>
  <c r="TYZ46" i="79"/>
  <c r="TYY46" i="79"/>
  <c r="TYX46" i="79"/>
  <c r="TYW46" i="79"/>
  <c r="TYV46" i="79"/>
  <c r="TYU46" i="79"/>
  <c r="TYT46" i="79"/>
  <c r="TYS46" i="79"/>
  <c r="TYR46" i="79"/>
  <c r="TYQ46" i="79"/>
  <c r="TYP46" i="79"/>
  <c r="TYO46" i="79"/>
  <c r="TYN46" i="79"/>
  <c r="TYM46" i="79"/>
  <c r="TYL46" i="79"/>
  <c r="TYK46" i="79"/>
  <c r="TYJ46" i="79"/>
  <c r="TYI46" i="79"/>
  <c r="TYH46" i="79"/>
  <c r="TYG46" i="79"/>
  <c r="TYF46" i="79"/>
  <c r="TYE46" i="79"/>
  <c r="TYD46" i="79"/>
  <c r="TYC46" i="79"/>
  <c r="TYB46" i="79"/>
  <c r="TYA46" i="79"/>
  <c r="TXZ46" i="79"/>
  <c r="TXY46" i="79"/>
  <c r="TXX46" i="79"/>
  <c r="TXW46" i="79"/>
  <c r="TXV46" i="79"/>
  <c r="TXU46" i="79"/>
  <c r="TXT46" i="79"/>
  <c r="TXS46" i="79"/>
  <c r="TXR46" i="79"/>
  <c r="TXQ46" i="79"/>
  <c r="TXP46" i="79"/>
  <c r="TXO46" i="79"/>
  <c r="TXN46" i="79"/>
  <c r="TXM46" i="79"/>
  <c r="TXL46" i="79"/>
  <c r="TXK46" i="79"/>
  <c r="TXJ46" i="79"/>
  <c r="TXI46" i="79"/>
  <c r="TXH46" i="79"/>
  <c r="TXG46" i="79"/>
  <c r="TXF46" i="79"/>
  <c r="TXE46" i="79"/>
  <c r="TXD46" i="79"/>
  <c r="TXC46" i="79"/>
  <c r="TXB46" i="79"/>
  <c r="TXA46" i="79"/>
  <c r="TWZ46" i="79"/>
  <c r="TWY46" i="79"/>
  <c r="TWX46" i="79"/>
  <c r="TWW46" i="79"/>
  <c r="TWV46" i="79"/>
  <c r="TWU46" i="79"/>
  <c r="TWT46" i="79"/>
  <c r="TWS46" i="79"/>
  <c r="TWR46" i="79"/>
  <c r="TWQ46" i="79"/>
  <c r="TWP46" i="79"/>
  <c r="TWO46" i="79"/>
  <c r="TWN46" i="79"/>
  <c r="TWM46" i="79"/>
  <c r="TWL46" i="79"/>
  <c r="TWK46" i="79"/>
  <c r="TWJ46" i="79"/>
  <c r="TWI46" i="79"/>
  <c r="TWH46" i="79"/>
  <c r="TWG46" i="79"/>
  <c r="TWF46" i="79"/>
  <c r="TWE46" i="79"/>
  <c r="TWD46" i="79"/>
  <c r="TWC46" i="79"/>
  <c r="TWB46" i="79"/>
  <c r="TWA46" i="79"/>
  <c r="TVZ46" i="79"/>
  <c r="TVY46" i="79"/>
  <c r="TVX46" i="79"/>
  <c r="TVW46" i="79"/>
  <c r="TVV46" i="79"/>
  <c r="TVU46" i="79"/>
  <c r="TVT46" i="79"/>
  <c r="TVS46" i="79"/>
  <c r="TVR46" i="79"/>
  <c r="TVQ46" i="79"/>
  <c r="TVP46" i="79"/>
  <c r="TVO46" i="79"/>
  <c r="TVN46" i="79"/>
  <c r="TVM46" i="79"/>
  <c r="TVL46" i="79"/>
  <c r="TVK46" i="79"/>
  <c r="TVJ46" i="79"/>
  <c r="TVI46" i="79"/>
  <c r="TVH46" i="79"/>
  <c r="TVG46" i="79"/>
  <c r="TVF46" i="79"/>
  <c r="TVE46" i="79"/>
  <c r="TVD46" i="79"/>
  <c r="TVC46" i="79"/>
  <c r="TVB46" i="79"/>
  <c r="TVA46" i="79"/>
  <c r="TUZ46" i="79"/>
  <c r="TUY46" i="79"/>
  <c r="TUX46" i="79"/>
  <c r="TUW46" i="79"/>
  <c r="TUV46" i="79"/>
  <c r="TUU46" i="79"/>
  <c r="TUT46" i="79"/>
  <c r="TUS46" i="79"/>
  <c r="TUR46" i="79"/>
  <c r="TUQ46" i="79"/>
  <c r="TUP46" i="79"/>
  <c r="TUO46" i="79"/>
  <c r="TUN46" i="79"/>
  <c r="TUM46" i="79"/>
  <c r="TUL46" i="79"/>
  <c r="TUK46" i="79"/>
  <c r="TUJ46" i="79"/>
  <c r="TUI46" i="79"/>
  <c r="TUH46" i="79"/>
  <c r="TUG46" i="79"/>
  <c r="TUF46" i="79"/>
  <c r="TUE46" i="79"/>
  <c r="TUD46" i="79"/>
  <c r="TUC46" i="79"/>
  <c r="TUB46" i="79"/>
  <c r="TUA46" i="79"/>
  <c r="TTZ46" i="79"/>
  <c r="TTY46" i="79"/>
  <c r="TTX46" i="79"/>
  <c r="TTW46" i="79"/>
  <c r="TTV46" i="79"/>
  <c r="TTU46" i="79"/>
  <c r="TTT46" i="79"/>
  <c r="TTS46" i="79"/>
  <c r="TTR46" i="79"/>
  <c r="TTQ46" i="79"/>
  <c r="TTP46" i="79"/>
  <c r="TTO46" i="79"/>
  <c r="TTN46" i="79"/>
  <c r="TTM46" i="79"/>
  <c r="TTL46" i="79"/>
  <c r="TTK46" i="79"/>
  <c r="TTJ46" i="79"/>
  <c r="TTI46" i="79"/>
  <c r="TTH46" i="79"/>
  <c r="TTG46" i="79"/>
  <c r="TTF46" i="79"/>
  <c r="TTE46" i="79"/>
  <c r="TTD46" i="79"/>
  <c r="TTC46" i="79"/>
  <c r="TTB46" i="79"/>
  <c r="TTA46" i="79"/>
  <c r="TSZ46" i="79"/>
  <c r="TSY46" i="79"/>
  <c r="TSX46" i="79"/>
  <c r="TSW46" i="79"/>
  <c r="TSV46" i="79"/>
  <c r="TSU46" i="79"/>
  <c r="TST46" i="79"/>
  <c r="TSS46" i="79"/>
  <c r="TSR46" i="79"/>
  <c r="TSQ46" i="79"/>
  <c r="TSP46" i="79"/>
  <c r="TSO46" i="79"/>
  <c r="TSN46" i="79"/>
  <c r="TSM46" i="79"/>
  <c r="TSL46" i="79"/>
  <c r="TSK46" i="79"/>
  <c r="TSJ46" i="79"/>
  <c r="TSI46" i="79"/>
  <c r="TSH46" i="79"/>
  <c r="TSG46" i="79"/>
  <c r="TSF46" i="79"/>
  <c r="TSE46" i="79"/>
  <c r="TSD46" i="79"/>
  <c r="TSC46" i="79"/>
  <c r="TSB46" i="79"/>
  <c r="TSA46" i="79"/>
  <c r="TRZ46" i="79"/>
  <c r="TRY46" i="79"/>
  <c r="TRX46" i="79"/>
  <c r="TRW46" i="79"/>
  <c r="TRV46" i="79"/>
  <c r="TRU46" i="79"/>
  <c r="TRT46" i="79"/>
  <c r="TRS46" i="79"/>
  <c r="TRR46" i="79"/>
  <c r="TRQ46" i="79"/>
  <c r="TRP46" i="79"/>
  <c r="TRO46" i="79"/>
  <c r="TRN46" i="79"/>
  <c r="TRM46" i="79"/>
  <c r="TRL46" i="79"/>
  <c r="TRK46" i="79"/>
  <c r="TRJ46" i="79"/>
  <c r="TRI46" i="79"/>
  <c r="TRH46" i="79"/>
  <c r="TRG46" i="79"/>
  <c r="TRF46" i="79"/>
  <c r="TRE46" i="79"/>
  <c r="TRD46" i="79"/>
  <c r="TRC46" i="79"/>
  <c r="TRB46" i="79"/>
  <c r="TRA46" i="79"/>
  <c r="TQZ46" i="79"/>
  <c r="TQY46" i="79"/>
  <c r="TQX46" i="79"/>
  <c r="TQW46" i="79"/>
  <c r="TQV46" i="79"/>
  <c r="TQU46" i="79"/>
  <c r="TQT46" i="79"/>
  <c r="TQS46" i="79"/>
  <c r="TQR46" i="79"/>
  <c r="TQQ46" i="79"/>
  <c r="TQP46" i="79"/>
  <c r="TQO46" i="79"/>
  <c r="TQN46" i="79"/>
  <c r="TQM46" i="79"/>
  <c r="TQL46" i="79"/>
  <c r="TQK46" i="79"/>
  <c r="TQJ46" i="79"/>
  <c r="TQI46" i="79"/>
  <c r="TQH46" i="79"/>
  <c r="TQG46" i="79"/>
  <c r="TQF46" i="79"/>
  <c r="TQE46" i="79"/>
  <c r="TQD46" i="79"/>
  <c r="TQC46" i="79"/>
  <c r="TQB46" i="79"/>
  <c r="TQA46" i="79"/>
  <c r="TPZ46" i="79"/>
  <c r="TPY46" i="79"/>
  <c r="TPX46" i="79"/>
  <c r="TPW46" i="79"/>
  <c r="TPV46" i="79"/>
  <c r="TPU46" i="79"/>
  <c r="TPT46" i="79"/>
  <c r="TPS46" i="79"/>
  <c r="TPR46" i="79"/>
  <c r="TPQ46" i="79"/>
  <c r="TPP46" i="79"/>
  <c r="TPO46" i="79"/>
  <c r="TPN46" i="79"/>
  <c r="TPM46" i="79"/>
  <c r="TPL46" i="79"/>
  <c r="TPK46" i="79"/>
  <c r="TPJ46" i="79"/>
  <c r="TPI46" i="79"/>
  <c r="TPH46" i="79"/>
  <c r="TPG46" i="79"/>
  <c r="TPF46" i="79"/>
  <c r="TPE46" i="79"/>
  <c r="TPD46" i="79"/>
  <c r="TPC46" i="79"/>
  <c r="TPB46" i="79"/>
  <c r="TPA46" i="79"/>
  <c r="TOZ46" i="79"/>
  <c r="TOY46" i="79"/>
  <c r="TOX46" i="79"/>
  <c r="TOW46" i="79"/>
  <c r="TOV46" i="79"/>
  <c r="TOU46" i="79"/>
  <c r="TOT46" i="79"/>
  <c r="TOS46" i="79"/>
  <c r="TOR46" i="79"/>
  <c r="TOQ46" i="79"/>
  <c r="TOP46" i="79"/>
  <c r="TOO46" i="79"/>
  <c r="TON46" i="79"/>
  <c r="TOM46" i="79"/>
  <c r="TOL46" i="79"/>
  <c r="TOK46" i="79"/>
  <c r="TOJ46" i="79"/>
  <c r="TOI46" i="79"/>
  <c r="TOH46" i="79"/>
  <c r="TOG46" i="79"/>
  <c r="TOF46" i="79"/>
  <c r="TOE46" i="79"/>
  <c r="TOD46" i="79"/>
  <c r="TOC46" i="79"/>
  <c r="TOB46" i="79"/>
  <c r="TOA46" i="79"/>
  <c r="TNZ46" i="79"/>
  <c r="TNY46" i="79"/>
  <c r="TNX46" i="79"/>
  <c r="TNW46" i="79"/>
  <c r="TNV46" i="79"/>
  <c r="TNU46" i="79"/>
  <c r="TNT46" i="79"/>
  <c r="TNS46" i="79"/>
  <c r="TNR46" i="79"/>
  <c r="TNQ46" i="79"/>
  <c r="TNP46" i="79"/>
  <c r="TNO46" i="79"/>
  <c r="TNN46" i="79"/>
  <c r="TNM46" i="79"/>
  <c r="TNL46" i="79"/>
  <c r="TNK46" i="79"/>
  <c r="TNJ46" i="79"/>
  <c r="TNI46" i="79"/>
  <c r="TNH46" i="79"/>
  <c r="TNG46" i="79"/>
  <c r="TNF46" i="79"/>
  <c r="TNE46" i="79"/>
  <c r="TND46" i="79"/>
  <c r="TNC46" i="79"/>
  <c r="TNB46" i="79"/>
  <c r="TNA46" i="79"/>
  <c r="TMZ46" i="79"/>
  <c r="TMY46" i="79"/>
  <c r="TMX46" i="79"/>
  <c r="TMW46" i="79"/>
  <c r="TMV46" i="79"/>
  <c r="TMU46" i="79"/>
  <c r="TMT46" i="79"/>
  <c r="TMS46" i="79"/>
  <c r="TMR46" i="79"/>
  <c r="TMQ46" i="79"/>
  <c r="TMP46" i="79"/>
  <c r="TMO46" i="79"/>
  <c r="TMN46" i="79"/>
  <c r="TMM46" i="79"/>
  <c r="TML46" i="79"/>
  <c r="TMK46" i="79"/>
  <c r="TMJ46" i="79"/>
  <c r="TMI46" i="79"/>
  <c r="TMH46" i="79"/>
  <c r="TMG46" i="79"/>
  <c r="TMF46" i="79"/>
  <c r="TME46" i="79"/>
  <c r="TMD46" i="79"/>
  <c r="TMC46" i="79"/>
  <c r="TMB46" i="79"/>
  <c r="TMA46" i="79"/>
  <c r="TLZ46" i="79"/>
  <c r="TLY46" i="79"/>
  <c r="TLX46" i="79"/>
  <c r="TLW46" i="79"/>
  <c r="TLV46" i="79"/>
  <c r="TLU46" i="79"/>
  <c r="TLT46" i="79"/>
  <c r="TLS46" i="79"/>
  <c r="TLR46" i="79"/>
  <c r="TLQ46" i="79"/>
  <c r="TLP46" i="79"/>
  <c r="TLO46" i="79"/>
  <c r="TLN46" i="79"/>
  <c r="TLM46" i="79"/>
  <c r="TLL46" i="79"/>
  <c r="TLK46" i="79"/>
  <c r="TLJ46" i="79"/>
  <c r="TLI46" i="79"/>
  <c r="TLH46" i="79"/>
  <c r="TLG46" i="79"/>
  <c r="TLF46" i="79"/>
  <c r="TLE46" i="79"/>
  <c r="TLD46" i="79"/>
  <c r="TLC46" i="79"/>
  <c r="TLB46" i="79"/>
  <c r="TLA46" i="79"/>
  <c r="TKZ46" i="79"/>
  <c r="TKY46" i="79"/>
  <c r="TKX46" i="79"/>
  <c r="TKW46" i="79"/>
  <c r="TKV46" i="79"/>
  <c r="TKU46" i="79"/>
  <c r="TKT46" i="79"/>
  <c r="TKS46" i="79"/>
  <c r="TKR46" i="79"/>
  <c r="TKQ46" i="79"/>
  <c r="TKP46" i="79"/>
  <c r="TKO46" i="79"/>
  <c r="TKN46" i="79"/>
  <c r="TKM46" i="79"/>
  <c r="TKL46" i="79"/>
  <c r="TKK46" i="79"/>
  <c r="TKJ46" i="79"/>
  <c r="TKI46" i="79"/>
  <c r="TKH46" i="79"/>
  <c r="TKG46" i="79"/>
  <c r="TKF46" i="79"/>
  <c r="TKE46" i="79"/>
  <c r="TKD46" i="79"/>
  <c r="TKC46" i="79"/>
  <c r="TKB46" i="79"/>
  <c r="TKA46" i="79"/>
  <c r="TJZ46" i="79"/>
  <c r="TJY46" i="79"/>
  <c r="TJX46" i="79"/>
  <c r="TJW46" i="79"/>
  <c r="TJV46" i="79"/>
  <c r="TJU46" i="79"/>
  <c r="TJT46" i="79"/>
  <c r="TJS46" i="79"/>
  <c r="TJR46" i="79"/>
  <c r="TJQ46" i="79"/>
  <c r="TJP46" i="79"/>
  <c r="TJO46" i="79"/>
  <c r="TJN46" i="79"/>
  <c r="TJM46" i="79"/>
  <c r="TJL46" i="79"/>
  <c r="TJK46" i="79"/>
  <c r="TJJ46" i="79"/>
  <c r="TJI46" i="79"/>
  <c r="TJH46" i="79"/>
  <c r="TJG46" i="79"/>
  <c r="TJF46" i="79"/>
  <c r="TJE46" i="79"/>
  <c r="TJD46" i="79"/>
  <c r="TJC46" i="79"/>
  <c r="TJB46" i="79"/>
  <c r="TJA46" i="79"/>
  <c r="TIZ46" i="79"/>
  <c r="TIY46" i="79"/>
  <c r="TIX46" i="79"/>
  <c r="TIW46" i="79"/>
  <c r="TIV46" i="79"/>
  <c r="TIU46" i="79"/>
  <c r="TIT46" i="79"/>
  <c r="TIS46" i="79"/>
  <c r="TIR46" i="79"/>
  <c r="TIQ46" i="79"/>
  <c r="TIP46" i="79"/>
  <c r="TIO46" i="79"/>
  <c r="TIN46" i="79"/>
  <c r="TIM46" i="79"/>
  <c r="TIL46" i="79"/>
  <c r="TIK46" i="79"/>
  <c r="TIJ46" i="79"/>
  <c r="TII46" i="79"/>
  <c r="TIH46" i="79"/>
  <c r="TIG46" i="79"/>
  <c r="TIF46" i="79"/>
  <c r="TIE46" i="79"/>
  <c r="TID46" i="79"/>
  <c r="TIC46" i="79"/>
  <c r="TIB46" i="79"/>
  <c r="TIA46" i="79"/>
  <c r="THZ46" i="79"/>
  <c r="THY46" i="79"/>
  <c r="THX46" i="79"/>
  <c r="THW46" i="79"/>
  <c r="THV46" i="79"/>
  <c r="THU46" i="79"/>
  <c r="THT46" i="79"/>
  <c r="THS46" i="79"/>
  <c r="THR46" i="79"/>
  <c r="THQ46" i="79"/>
  <c r="THP46" i="79"/>
  <c r="THO46" i="79"/>
  <c r="THN46" i="79"/>
  <c r="THM46" i="79"/>
  <c r="THL46" i="79"/>
  <c r="THK46" i="79"/>
  <c r="THJ46" i="79"/>
  <c r="THI46" i="79"/>
  <c r="THH46" i="79"/>
  <c r="THG46" i="79"/>
  <c r="THF46" i="79"/>
  <c r="THE46" i="79"/>
  <c r="THD46" i="79"/>
  <c r="THC46" i="79"/>
  <c r="THB46" i="79"/>
  <c r="THA46" i="79"/>
  <c r="TGZ46" i="79"/>
  <c r="TGY46" i="79"/>
  <c r="TGX46" i="79"/>
  <c r="TGW46" i="79"/>
  <c r="TGV46" i="79"/>
  <c r="TGU46" i="79"/>
  <c r="TGT46" i="79"/>
  <c r="TGS46" i="79"/>
  <c r="TGR46" i="79"/>
  <c r="TGQ46" i="79"/>
  <c r="TGP46" i="79"/>
  <c r="TGO46" i="79"/>
  <c r="TGN46" i="79"/>
  <c r="TGM46" i="79"/>
  <c r="TGL46" i="79"/>
  <c r="TGK46" i="79"/>
  <c r="TGJ46" i="79"/>
  <c r="TGI46" i="79"/>
  <c r="TGH46" i="79"/>
  <c r="TGG46" i="79"/>
  <c r="TGF46" i="79"/>
  <c r="TGE46" i="79"/>
  <c r="TGD46" i="79"/>
  <c r="TGC46" i="79"/>
  <c r="TGB46" i="79"/>
  <c r="TGA46" i="79"/>
  <c r="TFZ46" i="79"/>
  <c r="TFY46" i="79"/>
  <c r="TFX46" i="79"/>
  <c r="TFW46" i="79"/>
  <c r="TFV46" i="79"/>
  <c r="TFU46" i="79"/>
  <c r="TFT46" i="79"/>
  <c r="TFS46" i="79"/>
  <c r="TFR46" i="79"/>
  <c r="TFQ46" i="79"/>
  <c r="TFP46" i="79"/>
  <c r="TFO46" i="79"/>
  <c r="TFN46" i="79"/>
  <c r="TFM46" i="79"/>
  <c r="TFL46" i="79"/>
  <c r="TFK46" i="79"/>
  <c r="TFJ46" i="79"/>
  <c r="TFI46" i="79"/>
  <c r="TFH46" i="79"/>
  <c r="TFG46" i="79"/>
  <c r="TFF46" i="79"/>
  <c r="TFE46" i="79"/>
  <c r="TFD46" i="79"/>
  <c r="TFC46" i="79"/>
  <c r="TFB46" i="79"/>
  <c r="TFA46" i="79"/>
  <c r="TEZ46" i="79"/>
  <c r="TEY46" i="79"/>
  <c r="TEX46" i="79"/>
  <c r="TEW46" i="79"/>
  <c r="TEV46" i="79"/>
  <c r="TEU46" i="79"/>
  <c r="TET46" i="79"/>
  <c r="TES46" i="79"/>
  <c r="TER46" i="79"/>
  <c r="TEQ46" i="79"/>
  <c r="TEP46" i="79"/>
  <c r="TEO46" i="79"/>
  <c r="TEN46" i="79"/>
  <c r="TEM46" i="79"/>
  <c r="TEL46" i="79"/>
  <c r="TEK46" i="79"/>
  <c r="TEJ46" i="79"/>
  <c r="TEI46" i="79"/>
  <c r="TEH46" i="79"/>
  <c r="TEG46" i="79"/>
  <c r="TEF46" i="79"/>
  <c r="TEE46" i="79"/>
  <c r="TED46" i="79"/>
  <c r="TEC46" i="79"/>
  <c r="TEB46" i="79"/>
  <c r="TEA46" i="79"/>
  <c r="TDZ46" i="79"/>
  <c r="TDY46" i="79"/>
  <c r="TDX46" i="79"/>
  <c r="TDW46" i="79"/>
  <c r="TDV46" i="79"/>
  <c r="TDU46" i="79"/>
  <c r="TDT46" i="79"/>
  <c r="TDS46" i="79"/>
  <c r="TDR46" i="79"/>
  <c r="TDQ46" i="79"/>
  <c r="TDP46" i="79"/>
  <c r="TDO46" i="79"/>
  <c r="TDN46" i="79"/>
  <c r="TDM46" i="79"/>
  <c r="TDL46" i="79"/>
  <c r="TDK46" i="79"/>
  <c r="TDJ46" i="79"/>
  <c r="TDI46" i="79"/>
  <c r="TDH46" i="79"/>
  <c r="TDG46" i="79"/>
  <c r="TDF46" i="79"/>
  <c r="TDE46" i="79"/>
  <c r="TDD46" i="79"/>
  <c r="TDC46" i="79"/>
  <c r="TDB46" i="79"/>
  <c r="TDA46" i="79"/>
  <c r="TCZ46" i="79"/>
  <c r="TCY46" i="79"/>
  <c r="TCX46" i="79"/>
  <c r="TCW46" i="79"/>
  <c r="TCV46" i="79"/>
  <c r="TCU46" i="79"/>
  <c r="TCT46" i="79"/>
  <c r="TCS46" i="79"/>
  <c r="TCR46" i="79"/>
  <c r="TCQ46" i="79"/>
  <c r="TCP46" i="79"/>
  <c r="TCO46" i="79"/>
  <c r="TCN46" i="79"/>
  <c r="TCM46" i="79"/>
  <c r="TCL46" i="79"/>
  <c r="TCK46" i="79"/>
  <c r="TCJ46" i="79"/>
  <c r="TCI46" i="79"/>
  <c r="TCH46" i="79"/>
  <c r="TCG46" i="79"/>
  <c r="TCF46" i="79"/>
  <c r="TCE46" i="79"/>
  <c r="TCD46" i="79"/>
  <c r="TCC46" i="79"/>
  <c r="TCB46" i="79"/>
  <c r="TCA46" i="79"/>
  <c r="TBZ46" i="79"/>
  <c r="TBY46" i="79"/>
  <c r="TBX46" i="79"/>
  <c r="TBW46" i="79"/>
  <c r="TBV46" i="79"/>
  <c r="TBU46" i="79"/>
  <c r="TBT46" i="79"/>
  <c r="TBS46" i="79"/>
  <c r="TBR46" i="79"/>
  <c r="TBQ46" i="79"/>
  <c r="TBP46" i="79"/>
  <c r="TBO46" i="79"/>
  <c r="TBN46" i="79"/>
  <c r="TBM46" i="79"/>
  <c r="TBL46" i="79"/>
  <c r="TBK46" i="79"/>
  <c r="TBJ46" i="79"/>
  <c r="TBI46" i="79"/>
  <c r="TBH46" i="79"/>
  <c r="TBG46" i="79"/>
  <c r="TBF46" i="79"/>
  <c r="TBE46" i="79"/>
  <c r="TBD46" i="79"/>
  <c r="TBC46" i="79"/>
  <c r="TBB46" i="79"/>
  <c r="TBA46" i="79"/>
  <c r="TAZ46" i="79"/>
  <c r="TAY46" i="79"/>
  <c r="TAX46" i="79"/>
  <c r="TAW46" i="79"/>
  <c r="TAV46" i="79"/>
  <c r="TAU46" i="79"/>
  <c r="TAT46" i="79"/>
  <c r="TAS46" i="79"/>
  <c r="TAR46" i="79"/>
  <c r="TAQ46" i="79"/>
  <c r="TAP46" i="79"/>
  <c r="TAO46" i="79"/>
  <c r="TAN46" i="79"/>
  <c r="TAM46" i="79"/>
  <c r="TAL46" i="79"/>
  <c r="TAK46" i="79"/>
  <c r="TAJ46" i="79"/>
  <c r="TAI46" i="79"/>
  <c r="TAH46" i="79"/>
  <c r="TAG46" i="79"/>
  <c r="TAF46" i="79"/>
  <c r="TAE46" i="79"/>
  <c r="TAD46" i="79"/>
  <c r="TAC46" i="79"/>
  <c r="TAB46" i="79"/>
  <c r="TAA46" i="79"/>
  <c r="SZZ46" i="79"/>
  <c r="SZY46" i="79"/>
  <c r="SZX46" i="79"/>
  <c r="SZW46" i="79"/>
  <c r="SZV46" i="79"/>
  <c r="SZU46" i="79"/>
  <c r="SZT46" i="79"/>
  <c r="SZS46" i="79"/>
  <c r="SZR46" i="79"/>
  <c r="SZQ46" i="79"/>
  <c r="SZP46" i="79"/>
  <c r="SZO46" i="79"/>
  <c r="SZN46" i="79"/>
  <c r="SZM46" i="79"/>
  <c r="SZL46" i="79"/>
  <c r="SZK46" i="79"/>
  <c r="SZJ46" i="79"/>
  <c r="SZI46" i="79"/>
  <c r="SZH46" i="79"/>
  <c r="SZG46" i="79"/>
  <c r="SZF46" i="79"/>
  <c r="SZE46" i="79"/>
  <c r="SZD46" i="79"/>
  <c r="SZC46" i="79"/>
  <c r="SZB46" i="79"/>
  <c r="SZA46" i="79"/>
  <c r="SYZ46" i="79"/>
  <c r="SYY46" i="79"/>
  <c r="SYX46" i="79"/>
  <c r="SYW46" i="79"/>
  <c r="SYV46" i="79"/>
  <c r="SYU46" i="79"/>
  <c r="SYT46" i="79"/>
  <c r="SYS46" i="79"/>
  <c r="SYR46" i="79"/>
  <c r="SYQ46" i="79"/>
  <c r="SYP46" i="79"/>
  <c r="SYO46" i="79"/>
  <c r="SYN46" i="79"/>
  <c r="SYM46" i="79"/>
  <c r="SYL46" i="79"/>
  <c r="SYK46" i="79"/>
  <c r="SYJ46" i="79"/>
  <c r="SYI46" i="79"/>
  <c r="SYH46" i="79"/>
  <c r="SYG46" i="79"/>
  <c r="SYF46" i="79"/>
  <c r="SYE46" i="79"/>
  <c r="SYD46" i="79"/>
  <c r="SYC46" i="79"/>
  <c r="SYB46" i="79"/>
  <c r="SYA46" i="79"/>
  <c r="SXZ46" i="79"/>
  <c r="SXY46" i="79"/>
  <c r="SXX46" i="79"/>
  <c r="SXW46" i="79"/>
  <c r="SXV46" i="79"/>
  <c r="SXU46" i="79"/>
  <c r="SXT46" i="79"/>
  <c r="SXS46" i="79"/>
  <c r="SXR46" i="79"/>
  <c r="SXQ46" i="79"/>
  <c r="SXP46" i="79"/>
  <c r="SXO46" i="79"/>
  <c r="SXN46" i="79"/>
  <c r="SXM46" i="79"/>
  <c r="SXL46" i="79"/>
  <c r="SXK46" i="79"/>
  <c r="SXJ46" i="79"/>
  <c r="SXI46" i="79"/>
  <c r="SXH46" i="79"/>
  <c r="SXG46" i="79"/>
  <c r="SXF46" i="79"/>
  <c r="SXE46" i="79"/>
  <c r="SXD46" i="79"/>
  <c r="SXC46" i="79"/>
  <c r="SXB46" i="79"/>
  <c r="SXA46" i="79"/>
  <c r="SWZ46" i="79"/>
  <c r="SWY46" i="79"/>
  <c r="SWX46" i="79"/>
  <c r="SWW46" i="79"/>
  <c r="SWV46" i="79"/>
  <c r="SWU46" i="79"/>
  <c r="SWT46" i="79"/>
  <c r="SWS46" i="79"/>
  <c r="SWR46" i="79"/>
  <c r="SWQ46" i="79"/>
  <c r="SWP46" i="79"/>
  <c r="SWO46" i="79"/>
  <c r="SWN46" i="79"/>
  <c r="SWM46" i="79"/>
  <c r="SWL46" i="79"/>
  <c r="SWK46" i="79"/>
  <c r="SWJ46" i="79"/>
  <c r="SWI46" i="79"/>
  <c r="SWH46" i="79"/>
  <c r="SWG46" i="79"/>
  <c r="SWF46" i="79"/>
  <c r="SWE46" i="79"/>
  <c r="SWD46" i="79"/>
  <c r="SWC46" i="79"/>
  <c r="SWB46" i="79"/>
  <c r="SWA46" i="79"/>
  <c r="SVZ46" i="79"/>
  <c r="SVY46" i="79"/>
  <c r="SVX46" i="79"/>
  <c r="SVW46" i="79"/>
  <c r="SVV46" i="79"/>
  <c r="SVU46" i="79"/>
  <c r="SVT46" i="79"/>
  <c r="SVS46" i="79"/>
  <c r="SVR46" i="79"/>
  <c r="SVQ46" i="79"/>
  <c r="SVP46" i="79"/>
  <c r="SVO46" i="79"/>
  <c r="SVN46" i="79"/>
  <c r="SVM46" i="79"/>
  <c r="SVL46" i="79"/>
  <c r="SVK46" i="79"/>
  <c r="SVJ46" i="79"/>
  <c r="SVI46" i="79"/>
  <c r="SVH46" i="79"/>
  <c r="SVG46" i="79"/>
  <c r="SVF46" i="79"/>
  <c r="SVE46" i="79"/>
  <c r="SVD46" i="79"/>
  <c r="SVC46" i="79"/>
  <c r="SVB46" i="79"/>
  <c r="SVA46" i="79"/>
  <c r="SUZ46" i="79"/>
  <c r="SUY46" i="79"/>
  <c r="SUX46" i="79"/>
  <c r="SUW46" i="79"/>
  <c r="SUV46" i="79"/>
  <c r="SUU46" i="79"/>
  <c r="SUT46" i="79"/>
  <c r="SUS46" i="79"/>
  <c r="SUR46" i="79"/>
  <c r="SUQ46" i="79"/>
  <c r="SUP46" i="79"/>
  <c r="SUO46" i="79"/>
  <c r="SUN46" i="79"/>
  <c r="SUM46" i="79"/>
  <c r="SUL46" i="79"/>
  <c r="SUK46" i="79"/>
  <c r="SUJ46" i="79"/>
  <c r="SUI46" i="79"/>
  <c r="SUH46" i="79"/>
  <c r="SUG46" i="79"/>
  <c r="SUF46" i="79"/>
  <c r="SUE46" i="79"/>
  <c r="SUD46" i="79"/>
  <c r="SUC46" i="79"/>
  <c r="SUB46" i="79"/>
  <c r="SUA46" i="79"/>
  <c r="STZ46" i="79"/>
  <c r="STY46" i="79"/>
  <c r="STX46" i="79"/>
  <c r="STW46" i="79"/>
  <c r="STV46" i="79"/>
  <c r="STU46" i="79"/>
  <c r="STT46" i="79"/>
  <c r="STS46" i="79"/>
  <c r="STR46" i="79"/>
  <c r="STQ46" i="79"/>
  <c r="STP46" i="79"/>
  <c r="STO46" i="79"/>
  <c r="STN46" i="79"/>
  <c r="STM46" i="79"/>
  <c r="STL46" i="79"/>
  <c r="STK46" i="79"/>
  <c r="STJ46" i="79"/>
  <c r="STI46" i="79"/>
  <c r="STH46" i="79"/>
  <c r="STG46" i="79"/>
  <c r="STF46" i="79"/>
  <c r="STE46" i="79"/>
  <c r="STD46" i="79"/>
  <c r="STC46" i="79"/>
  <c r="STB46" i="79"/>
  <c r="STA46" i="79"/>
  <c r="SSZ46" i="79"/>
  <c r="SSY46" i="79"/>
  <c r="SSX46" i="79"/>
  <c r="SSW46" i="79"/>
  <c r="SSV46" i="79"/>
  <c r="SSU46" i="79"/>
  <c r="SST46" i="79"/>
  <c r="SSS46" i="79"/>
  <c r="SSR46" i="79"/>
  <c r="SSQ46" i="79"/>
  <c r="SSP46" i="79"/>
  <c r="SSO46" i="79"/>
  <c r="SSN46" i="79"/>
  <c r="SSM46" i="79"/>
  <c r="SSL46" i="79"/>
  <c r="SSK46" i="79"/>
  <c r="SSJ46" i="79"/>
  <c r="SSI46" i="79"/>
  <c r="SSH46" i="79"/>
  <c r="SSG46" i="79"/>
  <c r="SSF46" i="79"/>
  <c r="SSE46" i="79"/>
  <c r="SSD46" i="79"/>
  <c r="SSC46" i="79"/>
  <c r="SSB46" i="79"/>
  <c r="SSA46" i="79"/>
  <c r="SRZ46" i="79"/>
  <c r="SRY46" i="79"/>
  <c r="SRX46" i="79"/>
  <c r="SRW46" i="79"/>
  <c r="SRV46" i="79"/>
  <c r="SRU46" i="79"/>
  <c r="SRT46" i="79"/>
  <c r="SRS46" i="79"/>
  <c r="SRR46" i="79"/>
  <c r="SRQ46" i="79"/>
  <c r="SRP46" i="79"/>
  <c r="SRO46" i="79"/>
  <c r="SRN46" i="79"/>
  <c r="SRM46" i="79"/>
  <c r="SRL46" i="79"/>
  <c r="SRK46" i="79"/>
  <c r="SRJ46" i="79"/>
  <c r="SRI46" i="79"/>
  <c r="SRH46" i="79"/>
  <c r="SRG46" i="79"/>
  <c r="SRF46" i="79"/>
  <c r="SRE46" i="79"/>
  <c r="SRD46" i="79"/>
  <c r="SRC46" i="79"/>
  <c r="SRB46" i="79"/>
  <c r="SRA46" i="79"/>
  <c r="SQZ46" i="79"/>
  <c r="SQY46" i="79"/>
  <c r="SQX46" i="79"/>
  <c r="SQW46" i="79"/>
  <c r="SQV46" i="79"/>
  <c r="SQU46" i="79"/>
  <c r="SQT46" i="79"/>
  <c r="SQS46" i="79"/>
  <c r="SQR46" i="79"/>
  <c r="SQQ46" i="79"/>
  <c r="SQP46" i="79"/>
  <c r="SQO46" i="79"/>
  <c r="SQN46" i="79"/>
  <c r="SQM46" i="79"/>
  <c r="SQL46" i="79"/>
  <c r="SQK46" i="79"/>
  <c r="SQJ46" i="79"/>
  <c r="SQI46" i="79"/>
  <c r="SQH46" i="79"/>
  <c r="SQG46" i="79"/>
  <c r="SQF46" i="79"/>
  <c r="SQE46" i="79"/>
  <c r="SQD46" i="79"/>
  <c r="SQC46" i="79"/>
  <c r="SQB46" i="79"/>
  <c r="SQA46" i="79"/>
  <c r="SPZ46" i="79"/>
  <c r="SPY46" i="79"/>
  <c r="SPX46" i="79"/>
  <c r="SPW46" i="79"/>
  <c r="SPV46" i="79"/>
  <c r="SPU46" i="79"/>
  <c r="SPT46" i="79"/>
  <c r="SPS46" i="79"/>
  <c r="SPR46" i="79"/>
  <c r="SPQ46" i="79"/>
  <c r="SPP46" i="79"/>
  <c r="SPO46" i="79"/>
  <c r="SPN46" i="79"/>
  <c r="SPM46" i="79"/>
  <c r="SPL46" i="79"/>
  <c r="SPK46" i="79"/>
  <c r="SPJ46" i="79"/>
  <c r="SPI46" i="79"/>
  <c r="SPH46" i="79"/>
  <c r="SPG46" i="79"/>
  <c r="SPF46" i="79"/>
  <c r="SPE46" i="79"/>
  <c r="SPD46" i="79"/>
  <c r="SPC46" i="79"/>
  <c r="SPB46" i="79"/>
  <c r="SPA46" i="79"/>
  <c r="SOZ46" i="79"/>
  <c r="SOY46" i="79"/>
  <c r="SOX46" i="79"/>
  <c r="SOW46" i="79"/>
  <c r="SOV46" i="79"/>
  <c r="SOU46" i="79"/>
  <c r="SOT46" i="79"/>
  <c r="SOS46" i="79"/>
  <c r="SOR46" i="79"/>
  <c r="SOQ46" i="79"/>
  <c r="SOP46" i="79"/>
  <c r="SOO46" i="79"/>
  <c r="SON46" i="79"/>
  <c r="SOM46" i="79"/>
  <c r="SOL46" i="79"/>
  <c r="SOK46" i="79"/>
  <c r="SOJ46" i="79"/>
  <c r="SOI46" i="79"/>
  <c r="SOH46" i="79"/>
  <c r="SOG46" i="79"/>
  <c r="SOF46" i="79"/>
  <c r="SOE46" i="79"/>
  <c r="SOD46" i="79"/>
  <c r="SOC46" i="79"/>
  <c r="SOB46" i="79"/>
  <c r="SOA46" i="79"/>
  <c r="SNZ46" i="79"/>
  <c r="SNY46" i="79"/>
  <c r="SNX46" i="79"/>
  <c r="SNW46" i="79"/>
  <c r="SNV46" i="79"/>
  <c r="SNU46" i="79"/>
  <c r="SNT46" i="79"/>
  <c r="SNS46" i="79"/>
  <c r="SNR46" i="79"/>
  <c r="SNQ46" i="79"/>
  <c r="SNP46" i="79"/>
  <c r="SNO46" i="79"/>
  <c r="SNN46" i="79"/>
  <c r="SNM46" i="79"/>
  <c r="SNL46" i="79"/>
  <c r="SNK46" i="79"/>
  <c r="SNJ46" i="79"/>
  <c r="SNI46" i="79"/>
  <c r="SNH46" i="79"/>
  <c r="SNG46" i="79"/>
  <c r="SNF46" i="79"/>
  <c r="SNE46" i="79"/>
  <c r="SND46" i="79"/>
  <c r="SNC46" i="79"/>
  <c r="SNB46" i="79"/>
  <c r="SNA46" i="79"/>
  <c r="SMZ46" i="79"/>
  <c r="SMY46" i="79"/>
  <c r="SMX46" i="79"/>
  <c r="SMW46" i="79"/>
  <c r="SMV46" i="79"/>
  <c r="SMU46" i="79"/>
  <c r="SMT46" i="79"/>
  <c r="SMS46" i="79"/>
  <c r="SMR46" i="79"/>
  <c r="SMQ46" i="79"/>
  <c r="SMP46" i="79"/>
  <c r="SMO46" i="79"/>
  <c r="SMN46" i="79"/>
  <c r="SMM46" i="79"/>
  <c r="SML46" i="79"/>
  <c r="SMK46" i="79"/>
  <c r="SMJ46" i="79"/>
  <c r="SMI46" i="79"/>
  <c r="SMH46" i="79"/>
  <c r="SMG46" i="79"/>
  <c r="SMF46" i="79"/>
  <c r="SME46" i="79"/>
  <c r="SMD46" i="79"/>
  <c r="SMC46" i="79"/>
  <c r="SMB46" i="79"/>
  <c r="SMA46" i="79"/>
  <c r="SLZ46" i="79"/>
  <c r="SLY46" i="79"/>
  <c r="SLX46" i="79"/>
  <c r="SLW46" i="79"/>
  <c r="SLV46" i="79"/>
  <c r="SLU46" i="79"/>
  <c r="SLT46" i="79"/>
  <c r="SLS46" i="79"/>
  <c r="SLR46" i="79"/>
  <c r="SLQ46" i="79"/>
  <c r="SLP46" i="79"/>
  <c r="SLO46" i="79"/>
  <c r="SLN46" i="79"/>
  <c r="SLM46" i="79"/>
  <c r="SLL46" i="79"/>
  <c r="SLK46" i="79"/>
  <c r="SLJ46" i="79"/>
  <c r="SLI46" i="79"/>
  <c r="SLH46" i="79"/>
  <c r="SLG46" i="79"/>
  <c r="SLF46" i="79"/>
  <c r="SLE46" i="79"/>
  <c r="SLD46" i="79"/>
  <c r="SLC46" i="79"/>
  <c r="SLB46" i="79"/>
  <c r="SLA46" i="79"/>
  <c r="SKZ46" i="79"/>
  <c r="SKY46" i="79"/>
  <c r="SKX46" i="79"/>
  <c r="SKW46" i="79"/>
  <c r="SKV46" i="79"/>
  <c r="SKU46" i="79"/>
  <c r="SKT46" i="79"/>
  <c r="SKS46" i="79"/>
  <c r="SKR46" i="79"/>
  <c r="SKQ46" i="79"/>
  <c r="SKP46" i="79"/>
  <c r="SKO46" i="79"/>
  <c r="SKN46" i="79"/>
  <c r="SKM46" i="79"/>
  <c r="SKL46" i="79"/>
  <c r="SKK46" i="79"/>
  <c r="SKJ46" i="79"/>
  <c r="SKI46" i="79"/>
  <c r="SKH46" i="79"/>
  <c r="SKG46" i="79"/>
  <c r="SKF46" i="79"/>
  <c r="SKE46" i="79"/>
  <c r="SKD46" i="79"/>
  <c r="SKC46" i="79"/>
  <c r="SKB46" i="79"/>
  <c r="SKA46" i="79"/>
  <c r="SJZ46" i="79"/>
  <c r="SJY46" i="79"/>
  <c r="SJX46" i="79"/>
  <c r="SJW46" i="79"/>
  <c r="SJV46" i="79"/>
  <c r="SJU46" i="79"/>
  <c r="SJT46" i="79"/>
  <c r="SJS46" i="79"/>
  <c r="SJR46" i="79"/>
  <c r="SJQ46" i="79"/>
  <c r="SJP46" i="79"/>
  <c r="SJO46" i="79"/>
  <c r="SJN46" i="79"/>
  <c r="SJM46" i="79"/>
  <c r="SJL46" i="79"/>
  <c r="SJK46" i="79"/>
  <c r="SJJ46" i="79"/>
  <c r="SJI46" i="79"/>
  <c r="SJH46" i="79"/>
  <c r="SJG46" i="79"/>
  <c r="SJF46" i="79"/>
  <c r="SJE46" i="79"/>
  <c r="SJD46" i="79"/>
  <c r="SJC46" i="79"/>
  <c r="SJB46" i="79"/>
  <c r="SJA46" i="79"/>
  <c r="SIZ46" i="79"/>
  <c r="SIY46" i="79"/>
  <c r="SIX46" i="79"/>
  <c r="SIW46" i="79"/>
  <c r="SIV46" i="79"/>
  <c r="SIU46" i="79"/>
  <c r="SIT46" i="79"/>
  <c r="SIS46" i="79"/>
  <c r="SIR46" i="79"/>
  <c r="SIQ46" i="79"/>
  <c r="SIP46" i="79"/>
  <c r="SIO46" i="79"/>
  <c r="SIN46" i="79"/>
  <c r="SIM46" i="79"/>
  <c r="SIL46" i="79"/>
  <c r="SIK46" i="79"/>
  <c r="SIJ46" i="79"/>
  <c r="SII46" i="79"/>
  <c r="SIH46" i="79"/>
  <c r="SIG46" i="79"/>
  <c r="SIF46" i="79"/>
  <c r="SIE46" i="79"/>
  <c r="SID46" i="79"/>
  <c r="SIC46" i="79"/>
  <c r="SIB46" i="79"/>
  <c r="SIA46" i="79"/>
  <c r="SHZ46" i="79"/>
  <c r="SHY46" i="79"/>
  <c r="SHX46" i="79"/>
  <c r="SHW46" i="79"/>
  <c r="SHV46" i="79"/>
  <c r="SHU46" i="79"/>
  <c r="SHT46" i="79"/>
  <c r="SHS46" i="79"/>
  <c r="SHR46" i="79"/>
  <c r="SHQ46" i="79"/>
  <c r="SHP46" i="79"/>
  <c r="SHO46" i="79"/>
  <c r="SHN46" i="79"/>
  <c r="SHM46" i="79"/>
  <c r="SHL46" i="79"/>
  <c r="SHK46" i="79"/>
  <c r="SHJ46" i="79"/>
  <c r="SHI46" i="79"/>
  <c r="SHH46" i="79"/>
  <c r="SHG46" i="79"/>
  <c r="SHF46" i="79"/>
  <c r="SHE46" i="79"/>
  <c r="SHD46" i="79"/>
  <c r="SHC46" i="79"/>
  <c r="SHB46" i="79"/>
  <c r="SHA46" i="79"/>
  <c r="SGZ46" i="79"/>
  <c r="SGY46" i="79"/>
  <c r="SGX46" i="79"/>
  <c r="SGW46" i="79"/>
  <c r="SGV46" i="79"/>
  <c r="SGU46" i="79"/>
  <c r="SGT46" i="79"/>
  <c r="SGS46" i="79"/>
  <c r="SGR46" i="79"/>
  <c r="SGQ46" i="79"/>
  <c r="SGP46" i="79"/>
  <c r="SGO46" i="79"/>
  <c r="SGN46" i="79"/>
  <c r="SGM46" i="79"/>
  <c r="SGL46" i="79"/>
  <c r="SGK46" i="79"/>
  <c r="SGJ46" i="79"/>
  <c r="SGI46" i="79"/>
  <c r="SGH46" i="79"/>
  <c r="SGG46" i="79"/>
  <c r="SGF46" i="79"/>
  <c r="SGE46" i="79"/>
  <c r="SGD46" i="79"/>
  <c r="SGC46" i="79"/>
  <c r="SGB46" i="79"/>
  <c r="SGA46" i="79"/>
  <c r="SFZ46" i="79"/>
  <c r="SFY46" i="79"/>
  <c r="SFX46" i="79"/>
  <c r="SFW46" i="79"/>
  <c r="SFV46" i="79"/>
  <c r="SFU46" i="79"/>
  <c r="SFT46" i="79"/>
  <c r="SFS46" i="79"/>
  <c r="SFR46" i="79"/>
  <c r="SFQ46" i="79"/>
  <c r="SFP46" i="79"/>
  <c r="SFO46" i="79"/>
  <c r="SFN46" i="79"/>
  <c r="SFM46" i="79"/>
  <c r="SFL46" i="79"/>
  <c r="SFK46" i="79"/>
  <c r="SFJ46" i="79"/>
  <c r="SFI46" i="79"/>
  <c r="SFH46" i="79"/>
  <c r="SFG46" i="79"/>
  <c r="SFF46" i="79"/>
  <c r="SFE46" i="79"/>
  <c r="SFD46" i="79"/>
  <c r="SFC46" i="79"/>
  <c r="SFB46" i="79"/>
  <c r="SFA46" i="79"/>
  <c r="SEZ46" i="79"/>
  <c r="SEY46" i="79"/>
  <c r="SEX46" i="79"/>
  <c r="SEW46" i="79"/>
  <c r="SEV46" i="79"/>
  <c r="SEU46" i="79"/>
  <c r="SET46" i="79"/>
  <c r="SES46" i="79"/>
  <c r="SER46" i="79"/>
  <c r="SEQ46" i="79"/>
  <c r="SEP46" i="79"/>
  <c r="SEO46" i="79"/>
  <c r="SEN46" i="79"/>
  <c r="SEM46" i="79"/>
  <c r="SEL46" i="79"/>
  <c r="SEK46" i="79"/>
  <c r="SEJ46" i="79"/>
  <c r="SEI46" i="79"/>
  <c r="SEH46" i="79"/>
  <c r="SEG46" i="79"/>
  <c r="SEF46" i="79"/>
  <c r="SEE46" i="79"/>
  <c r="SED46" i="79"/>
  <c r="SEC46" i="79"/>
  <c r="SEB46" i="79"/>
  <c r="SEA46" i="79"/>
  <c r="SDZ46" i="79"/>
  <c r="SDY46" i="79"/>
  <c r="SDX46" i="79"/>
  <c r="SDW46" i="79"/>
  <c r="SDV46" i="79"/>
  <c r="SDU46" i="79"/>
  <c r="SDT46" i="79"/>
  <c r="SDS46" i="79"/>
  <c r="SDR46" i="79"/>
  <c r="SDQ46" i="79"/>
  <c r="SDP46" i="79"/>
  <c r="SDO46" i="79"/>
  <c r="SDN46" i="79"/>
  <c r="SDM46" i="79"/>
  <c r="SDL46" i="79"/>
  <c r="SDK46" i="79"/>
  <c r="SDJ46" i="79"/>
  <c r="SDI46" i="79"/>
  <c r="SDH46" i="79"/>
  <c r="SDG46" i="79"/>
  <c r="SDF46" i="79"/>
  <c r="SDE46" i="79"/>
  <c r="SDD46" i="79"/>
  <c r="SDC46" i="79"/>
  <c r="SDB46" i="79"/>
  <c r="SDA46" i="79"/>
  <c r="SCZ46" i="79"/>
  <c r="SCY46" i="79"/>
  <c r="SCX46" i="79"/>
  <c r="SCW46" i="79"/>
  <c r="SCV46" i="79"/>
  <c r="SCU46" i="79"/>
  <c r="SCT46" i="79"/>
  <c r="SCS46" i="79"/>
  <c r="SCR46" i="79"/>
  <c r="SCQ46" i="79"/>
  <c r="SCP46" i="79"/>
  <c r="SCO46" i="79"/>
  <c r="SCN46" i="79"/>
  <c r="SCM46" i="79"/>
  <c r="SCL46" i="79"/>
  <c r="SCK46" i="79"/>
  <c r="SCJ46" i="79"/>
  <c r="SCI46" i="79"/>
  <c r="SCH46" i="79"/>
  <c r="SCG46" i="79"/>
  <c r="SCF46" i="79"/>
  <c r="SCE46" i="79"/>
  <c r="SCD46" i="79"/>
  <c r="SCC46" i="79"/>
  <c r="SCB46" i="79"/>
  <c r="SCA46" i="79"/>
  <c r="SBZ46" i="79"/>
  <c r="SBY46" i="79"/>
  <c r="SBX46" i="79"/>
  <c r="SBW46" i="79"/>
  <c r="SBV46" i="79"/>
  <c r="SBU46" i="79"/>
  <c r="SBT46" i="79"/>
  <c r="SBS46" i="79"/>
  <c r="SBR46" i="79"/>
  <c r="SBQ46" i="79"/>
  <c r="SBP46" i="79"/>
  <c r="SBO46" i="79"/>
  <c r="SBN46" i="79"/>
  <c r="SBM46" i="79"/>
  <c r="SBL46" i="79"/>
  <c r="SBK46" i="79"/>
  <c r="SBJ46" i="79"/>
  <c r="SBI46" i="79"/>
  <c r="SBH46" i="79"/>
  <c r="SBG46" i="79"/>
  <c r="SBF46" i="79"/>
  <c r="SBE46" i="79"/>
  <c r="SBD46" i="79"/>
  <c r="SBC46" i="79"/>
  <c r="SBB46" i="79"/>
  <c r="SBA46" i="79"/>
  <c r="SAZ46" i="79"/>
  <c r="SAY46" i="79"/>
  <c r="SAX46" i="79"/>
  <c r="SAW46" i="79"/>
  <c r="SAV46" i="79"/>
  <c r="SAU46" i="79"/>
  <c r="SAT46" i="79"/>
  <c r="SAS46" i="79"/>
  <c r="SAR46" i="79"/>
  <c r="SAQ46" i="79"/>
  <c r="SAP46" i="79"/>
  <c r="SAO46" i="79"/>
  <c r="SAN46" i="79"/>
  <c r="SAM46" i="79"/>
  <c r="SAL46" i="79"/>
  <c r="SAK46" i="79"/>
  <c r="SAJ46" i="79"/>
  <c r="SAI46" i="79"/>
  <c r="SAH46" i="79"/>
  <c r="SAG46" i="79"/>
  <c r="SAF46" i="79"/>
  <c r="SAE46" i="79"/>
  <c r="SAD46" i="79"/>
  <c r="SAC46" i="79"/>
  <c r="SAB46" i="79"/>
  <c r="SAA46" i="79"/>
  <c r="RZZ46" i="79"/>
  <c r="RZY46" i="79"/>
  <c r="RZX46" i="79"/>
  <c r="RZW46" i="79"/>
  <c r="RZV46" i="79"/>
  <c r="RZU46" i="79"/>
  <c r="RZT46" i="79"/>
  <c r="RZS46" i="79"/>
  <c r="RZR46" i="79"/>
  <c r="RZQ46" i="79"/>
  <c r="RZP46" i="79"/>
  <c r="RZO46" i="79"/>
  <c r="RZN46" i="79"/>
  <c r="RZM46" i="79"/>
  <c r="RZL46" i="79"/>
  <c r="RZK46" i="79"/>
  <c r="RZJ46" i="79"/>
  <c r="RZI46" i="79"/>
  <c r="RZH46" i="79"/>
  <c r="RZG46" i="79"/>
  <c r="RZF46" i="79"/>
  <c r="RZE46" i="79"/>
  <c r="RZD46" i="79"/>
  <c r="RZC46" i="79"/>
  <c r="RZB46" i="79"/>
  <c r="RZA46" i="79"/>
  <c r="RYZ46" i="79"/>
  <c r="RYY46" i="79"/>
  <c r="RYX46" i="79"/>
  <c r="RYW46" i="79"/>
  <c r="RYV46" i="79"/>
  <c r="RYU46" i="79"/>
  <c r="RYT46" i="79"/>
  <c r="RYS46" i="79"/>
  <c r="RYR46" i="79"/>
  <c r="RYQ46" i="79"/>
  <c r="RYP46" i="79"/>
  <c r="RYO46" i="79"/>
  <c r="RYN46" i="79"/>
  <c r="RYM46" i="79"/>
  <c r="RYL46" i="79"/>
  <c r="RYK46" i="79"/>
  <c r="RYJ46" i="79"/>
  <c r="RYI46" i="79"/>
  <c r="RYH46" i="79"/>
  <c r="RYG46" i="79"/>
  <c r="RYF46" i="79"/>
  <c r="RYE46" i="79"/>
  <c r="RYD46" i="79"/>
  <c r="RYC46" i="79"/>
  <c r="RYB46" i="79"/>
  <c r="RYA46" i="79"/>
  <c r="RXZ46" i="79"/>
  <c r="RXY46" i="79"/>
  <c r="RXX46" i="79"/>
  <c r="RXW46" i="79"/>
  <c r="RXV46" i="79"/>
  <c r="RXU46" i="79"/>
  <c r="RXT46" i="79"/>
  <c r="RXS46" i="79"/>
  <c r="RXR46" i="79"/>
  <c r="RXQ46" i="79"/>
  <c r="RXP46" i="79"/>
  <c r="RXO46" i="79"/>
  <c r="RXN46" i="79"/>
  <c r="RXM46" i="79"/>
  <c r="RXL46" i="79"/>
  <c r="RXK46" i="79"/>
  <c r="RXJ46" i="79"/>
  <c r="RXI46" i="79"/>
  <c r="RXH46" i="79"/>
  <c r="RXG46" i="79"/>
  <c r="RXF46" i="79"/>
  <c r="RXE46" i="79"/>
  <c r="RXD46" i="79"/>
  <c r="RXC46" i="79"/>
  <c r="RXB46" i="79"/>
  <c r="RXA46" i="79"/>
  <c r="RWZ46" i="79"/>
  <c r="RWY46" i="79"/>
  <c r="RWX46" i="79"/>
  <c r="RWW46" i="79"/>
  <c r="RWV46" i="79"/>
  <c r="RWU46" i="79"/>
  <c r="RWT46" i="79"/>
  <c r="RWS46" i="79"/>
  <c r="RWR46" i="79"/>
  <c r="RWQ46" i="79"/>
  <c r="RWP46" i="79"/>
  <c r="RWO46" i="79"/>
  <c r="RWN46" i="79"/>
  <c r="RWM46" i="79"/>
  <c r="RWL46" i="79"/>
  <c r="RWK46" i="79"/>
  <c r="RWJ46" i="79"/>
  <c r="RWI46" i="79"/>
  <c r="RWH46" i="79"/>
  <c r="RWG46" i="79"/>
  <c r="RWF46" i="79"/>
  <c r="RWE46" i="79"/>
  <c r="RWD46" i="79"/>
  <c r="RWC46" i="79"/>
  <c r="RWB46" i="79"/>
  <c r="RWA46" i="79"/>
  <c r="RVZ46" i="79"/>
  <c r="RVY46" i="79"/>
  <c r="RVX46" i="79"/>
  <c r="RVW46" i="79"/>
  <c r="RVV46" i="79"/>
  <c r="RVU46" i="79"/>
  <c r="RVT46" i="79"/>
  <c r="RVS46" i="79"/>
  <c r="RVR46" i="79"/>
  <c r="RVQ46" i="79"/>
  <c r="RVP46" i="79"/>
  <c r="RVO46" i="79"/>
  <c r="RVN46" i="79"/>
  <c r="RVM46" i="79"/>
  <c r="RVL46" i="79"/>
  <c r="RVK46" i="79"/>
  <c r="RVJ46" i="79"/>
  <c r="RVI46" i="79"/>
  <c r="RVH46" i="79"/>
  <c r="RVG46" i="79"/>
  <c r="RVF46" i="79"/>
  <c r="RVE46" i="79"/>
  <c r="RVD46" i="79"/>
  <c r="RVC46" i="79"/>
  <c r="RVB46" i="79"/>
  <c r="RVA46" i="79"/>
  <c r="RUZ46" i="79"/>
  <c r="RUY46" i="79"/>
  <c r="RUX46" i="79"/>
  <c r="RUW46" i="79"/>
  <c r="RUV46" i="79"/>
  <c r="RUU46" i="79"/>
  <c r="RUT46" i="79"/>
  <c r="RUS46" i="79"/>
  <c r="RUR46" i="79"/>
  <c r="RUQ46" i="79"/>
  <c r="RUP46" i="79"/>
  <c r="RUO46" i="79"/>
  <c r="RUN46" i="79"/>
  <c r="RUM46" i="79"/>
  <c r="RUL46" i="79"/>
  <c r="RUK46" i="79"/>
  <c r="RUJ46" i="79"/>
  <c r="RUI46" i="79"/>
  <c r="RUH46" i="79"/>
  <c r="RUG46" i="79"/>
  <c r="RUF46" i="79"/>
  <c r="RUE46" i="79"/>
  <c r="RUD46" i="79"/>
  <c r="RUC46" i="79"/>
  <c r="RUB46" i="79"/>
  <c r="RUA46" i="79"/>
  <c r="RTZ46" i="79"/>
  <c r="RTY46" i="79"/>
  <c r="RTX46" i="79"/>
  <c r="RTW46" i="79"/>
  <c r="RTV46" i="79"/>
  <c r="RTU46" i="79"/>
  <c r="RTT46" i="79"/>
  <c r="RTS46" i="79"/>
  <c r="RTR46" i="79"/>
  <c r="RTQ46" i="79"/>
  <c r="RTP46" i="79"/>
  <c r="RTO46" i="79"/>
  <c r="RTN46" i="79"/>
  <c r="RTM46" i="79"/>
  <c r="RTL46" i="79"/>
  <c r="RTK46" i="79"/>
  <c r="RTJ46" i="79"/>
  <c r="RTI46" i="79"/>
  <c r="RTH46" i="79"/>
  <c r="RTG46" i="79"/>
  <c r="RTF46" i="79"/>
  <c r="RTE46" i="79"/>
  <c r="RTD46" i="79"/>
  <c r="RTC46" i="79"/>
  <c r="RTB46" i="79"/>
  <c r="RTA46" i="79"/>
  <c r="RSZ46" i="79"/>
  <c r="RSY46" i="79"/>
  <c r="RSX46" i="79"/>
  <c r="RSW46" i="79"/>
  <c r="RSV46" i="79"/>
  <c r="RSU46" i="79"/>
  <c r="RST46" i="79"/>
  <c r="RSS46" i="79"/>
  <c r="RSR46" i="79"/>
  <c r="RSQ46" i="79"/>
  <c r="RSP46" i="79"/>
  <c r="RSO46" i="79"/>
  <c r="RSN46" i="79"/>
  <c r="RSM46" i="79"/>
  <c r="RSL46" i="79"/>
  <c r="RSK46" i="79"/>
  <c r="RSJ46" i="79"/>
  <c r="RSI46" i="79"/>
  <c r="RSH46" i="79"/>
  <c r="RSG46" i="79"/>
  <c r="RSF46" i="79"/>
  <c r="RSE46" i="79"/>
  <c r="RSD46" i="79"/>
  <c r="RSC46" i="79"/>
  <c r="RSB46" i="79"/>
  <c r="RSA46" i="79"/>
  <c r="RRZ46" i="79"/>
  <c r="RRY46" i="79"/>
  <c r="RRX46" i="79"/>
  <c r="RRW46" i="79"/>
  <c r="RRV46" i="79"/>
  <c r="RRU46" i="79"/>
  <c r="RRT46" i="79"/>
  <c r="RRS46" i="79"/>
  <c r="RRR46" i="79"/>
  <c r="RRQ46" i="79"/>
  <c r="RRP46" i="79"/>
  <c r="RRO46" i="79"/>
  <c r="RRN46" i="79"/>
  <c r="RRM46" i="79"/>
  <c r="RRL46" i="79"/>
  <c r="RRK46" i="79"/>
  <c r="RRJ46" i="79"/>
  <c r="RRI46" i="79"/>
  <c r="RRH46" i="79"/>
  <c r="RRG46" i="79"/>
  <c r="RRF46" i="79"/>
  <c r="RRE46" i="79"/>
  <c r="RRD46" i="79"/>
  <c r="RRC46" i="79"/>
  <c r="RRB46" i="79"/>
  <c r="RRA46" i="79"/>
  <c r="RQZ46" i="79"/>
  <c r="RQY46" i="79"/>
  <c r="RQX46" i="79"/>
  <c r="RQW46" i="79"/>
  <c r="RQV46" i="79"/>
  <c r="RQU46" i="79"/>
  <c r="RQT46" i="79"/>
  <c r="RQS46" i="79"/>
  <c r="RQR46" i="79"/>
  <c r="RQQ46" i="79"/>
  <c r="RQP46" i="79"/>
  <c r="RQO46" i="79"/>
  <c r="RQN46" i="79"/>
  <c r="RQM46" i="79"/>
  <c r="RQL46" i="79"/>
  <c r="RQK46" i="79"/>
  <c r="RQJ46" i="79"/>
  <c r="RQI46" i="79"/>
  <c r="RQH46" i="79"/>
  <c r="RQG46" i="79"/>
  <c r="RQF46" i="79"/>
  <c r="RQE46" i="79"/>
  <c r="RQD46" i="79"/>
  <c r="RQC46" i="79"/>
  <c r="RQB46" i="79"/>
  <c r="RQA46" i="79"/>
  <c r="RPZ46" i="79"/>
  <c r="RPY46" i="79"/>
  <c r="RPX46" i="79"/>
  <c r="RPW46" i="79"/>
  <c r="RPV46" i="79"/>
  <c r="RPU46" i="79"/>
  <c r="RPT46" i="79"/>
  <c r="RPS46" i="79"/>
  <c r="RPR46" i="79"/>
  <c r="RPQ46" i="79"/>
  <c r="RPP46" i="79"/>
  <c r="RPO46" i="79"/>
  <c r="RPN46" i="79"/>
  <c r="RPM46" i="79"/>
  <c r="RPL46" i="79"/>
  <c r="RPK46" i="79"/>
  <c r="RPJ46" i="79"/>
  <c r="RPI46" i="79"/>
  <c r="RPH46" i="79"/>
  <c r="RPG46" i="79"/>
  <c r="RPF46" i="79"/>
  <c r="RPE46" i="79"/>
  <c r="RPD46" i="79"/>
  <c r="RPC46" i="79"/>
  <c r="RPB46" i="79"/>
  <c r="RPA46" i="79"/>
  <c r="ROZ46" i="79"/>
  <c r="ROY46" i="79"/>
  <c r="ROX46" i="79"/>
  <c r="ROW46" i="79"/>
  <c r="ROV46" i="79"/>
  <c r="ROU46" i="79"/>
  <c r="ROT46" i="79"/>
  <c r="ROS46" i="79"/>
  <c r="ROR46" i="79"/>
  <c r="ROQ46" i="79"/>
  <c r="ROP46" i="79"/>
  <c r="ROO46" i="79"/>
  <c r="RON46" i="79"/>
  <c r="ROM46" i="79"/>
  <c r="ROL46" i="79"/>
  <c r="ROK46" i="79"/>
  <c r="ROJ46" i="79"/>
  <c r="ROI46" i="79"/>
  <c r="ROH46" i="79"/>
  <c r="ROG46" i="79"/>
  <c r="ROF46" i="79"/>
  <c r="ROE46" i="79"/>
  <c r="ROD46" i="79"/>
  <c r="ROC46" i="79"/>
  <c r="ROB46" i="79"/>
  <c r="ROA46" i="79"/>
  <c r="RNZ46" i="79"/>
  <c r="RNY46" i="79"/>
  <c r="RNX46" i="79"/>
  <c r="RNW46" i="79"/>
  <c r="RNV46" i="79"/>
  <c r="RNU46" i="79"/>
  <c r="RNT46" i="79"/>
  <c r="RNS46" i="79"/>
  <c r="RNR46" i="79"/>
  <c r="RNQ46" i="79"/>
  <c r="RNP46" i="79"/>
  <c r="RNO46" i="79"/>
  <c r="RNN46" i="79"/>
  <c r="RNM46" i="79"/>
  <c r="RNL46" i="79"/>
  <c r="RNK46" i="79"/>
  <c r="RNJ46" i="79"/>
  <c r="RNI46" i="79"/>
  <c r="RNH46" i="79"/>
  <c r="RNG46" i="79"/>
  <c r="RNF46" i="79"/>
  <c r="RNE46" i="79"/>
  <c r="RND46" i="79"/>
  <c r="RNC46" i="79"/>
  <c r="RNB46" i="79"/>
  <c r="RNA46" i="79"/>
  <c r="RMZ46" i="79"/>
  <c r="RMY46" i="79"/>
  <c r="RMX46" i="79"/>
  <c r="RMW46" i="79"/>
  <c r="RMV46" i="79"/>
  <c r="RMU46" i="79"/>
  <c r="RMT46" i="79"/>
  <c r="RMS46" i="79"/>
  <c r="RMR46" i="79"/>
  <c r="RMQ46" i="79"/>
  <c r="RMP46" i="79"/>
  <c r="RMO46" i="79"/>
  <c r="RMN46" i="79"/>
  <c r="RMM46" i="79"/>
  <c r="RML46" i="79"/>
  <c r="RMK46" i="79"/>
  <c r="RMJ46" i="79"/>
  <c r="RMI46" i="79"/>
  <c r="RMH46" i="79"/>
  <c r="RMG46" i="79"/>
  <c r="RMF46" i="79"/>
  <c r="RME46" i="79"/>
  <c r="RMD46" i="79"/>
  <c r="RMC46" i="79"/>
  <c r="RMB46" i="79"/>
  <c r="RMA46" i="79"/>
  <c r="RLZ46" i="79"/>
  <c r="RLY46" i="79"/>
  <c r="RLX46" i="79"/>
  <c r="RLW46" i="79"/>
  <c r="RLV46" i="79"/>
  <c r="RLU46" i="79"/>
  <c r="RLT46" i="79"/>
  <c r="RLS46" i="79"/>
  <c r="RLR46" i="79"/>
  <c r="RLQ46" i="79"/>
  <c r="RLP46" i="79"/>
  <c r="RLO46" i="79"/>
  <c r="RLN46" i="79"/>
  <c r="RLM46" i="79"/>
  <c r="RLL46" i="79"/>
  <c r="RLK46" i="79"/>
  <c r="RLJ46" i="79"/>
  <c r="RLI46" i="79"/>
  <c r="RLH46" i="79"/>
  <c r="RLG46" i="79"/>
  <c r="RLF46" i="79"/>
  <c r="RLE46" i="79"/>
  <c r="RLD46" i="79"/>
  <c r="RLC46" i="79"/>
  <c r="RLB46" i="79"/>
  <c r="RLA46" i="79"/>
  <c r="RKZ46" i="79"/>
  <c r="RKY46" i="79"/>
  <c r="RKX46" i="79"/>
  <c r="RKW46" i="79"/>
  <c r="RKV46" i="79"/>
  <c r="RKU46" i="79"/>
  <c r="RKT46" i="79"/>
  <c r="RKS46" i="79"/>
  <c r="RKR46" i="79"/>
  <c r="RKQ46" i="79"/>
  <c r="RKP46" i="79"/>
  <c r="RKO46" i="79"/>
  <c r="RKN46" i="79"/>
  <c r="RKM46" i="79"/>
  <c r="RKL46" i="79"/>
  <c r="RKK46" i="79"/>
  <c r="RKJ46" i="79"/>
  <c r="RKI46" i="79"/>
  <c r="RKH46" i="79"/>
  <c r="RKG46" i="79"/>
  <c r="RKF46" i="79"/>
  <c r="RKE46" i="79"/>
  <c r="RKD46" i="79"/>
  <c r="RKC46" i="79"/>
  <c r="RKB46" i="79"/>
  <c r="RKA46" i="79"/>
  <c r="RJZ46" i="79"/>
  <c r="RJY46" i="79"/>
  <c r="RJX46" i="79"/>
  <c r="RJW46" i="79"/>
  <c r="RJV46" i="79"/>
  <c r="RJU46" i="79"/>
  <c r="RJT46" i="79"/>
  <c r="RJS46" i="79"/>
  <c r="RJR46" i="79"/>
  <c r="RJQ46" i="79"/>
  <c r="RJP46" i="79"/>
  <c r="RJO46" i="79"/>
  <c r="RJN46" i="79"/>
  <c r="RJM46" i="79"/>
  <c r="RJL46" i="79"/>
  <c r="RJK46" i="79"/>
  <c r="RJJ46" i="79"/>
  <c r="RJI46" i="79"/>
  <c r="RJH46" i="79"/>
  <c r="RJG46" i="79"/>
  <c r="RJF46" i="79"/>
  <c r="RJE46" i="79"/>
  <c r="RJD46" i="79"/>
  <c r="RJC46" i="79"/>
  <c r="RJB46" i="79"/>
  <c r="RJA46" i="79"/>
  <c r="RIZ46" i="79"/>
  <c r="RIY46" i="79"/>
  <c r="RIX46" i="79"/>
  <c r="RIW46" i="79"/>
  <c r="RIV46" i="79"/>
  <c r="RIU46" i="79"/>
  <c r="RIT46" i="79"/>
  <c r="RIS46" i="79"/>
  <c r="RIR46" i="79"/>
  <c r="RIQ46" i="79"/>
  <c r="RIP46" i="79"/>
  <c r="RIO46" i="79"/>
  <c r="RIN46" i="79"/>
  <c r="RIM46" i="79"/>
  <c r="RIL46" i="79"/>
  <c r="RIK46" i="79"/>
  <c r="RIJ46" i="79"/>
  <c r="RII46" i="79"/>
  <c r="RIH46" i="79"/>
  <c r="RIG46" i="79"/>
  <c r="RIF46" i="79"/>
  <c r="RIE46" i="79"/>
  <c r="RID46" i="79"/>
  <c r="RIC46" i="79"/>
  <c r="RIB46" i="79"/>
  <c r="RIA46" i="79"/>
  <c r="RHZ46" i="79"/>
  <c r="RHY46" i="79"/>
  <c r="RHX46" i="79"/>
  <c r="RHW46" i="79"/>
  <c r="RHV46" i="79"/>
  <c r="RHU46" i="79"/>
  <c r="RHT46" i="79"/>
  <c r="RHS46" i="79"/>
  <c r="RHR46" i="79"/>
  <c r="RHQ46" i="79"/>
  <c r="RHP46" i="79"/>
  <c r="RHO46" i="79"/>
  <c r="RHN46" i="79"/>
  <c r="RHM46" i="79"/>
  <c r="RHL46" i="79"/>
  <c r="RHK46" i="79"/>
  <c r="RHJ46" i="79"/>
  <c r="RHI46" i="79"/>
  <c r="RHH46" i="79"/>
  <c r="RHG46" i="79"/>
  <c r="RHF46" i="79"/>
  <c r="RHE46" i="79"/>
  <c r="RHD46" i="79"/>
  <c r="RHC46" i="79"/>
  <c r="RHB46" i="79"/>
  <c r="RHA46" i="79"/>
  <c r="RGZ46" i="79"/>
  <c r="RGY46" i="79"/>
  <c r="RGX46" i="79"/>
  <c r="RGW46" i="79"/>
  <c r="RGV46" i="79"/>
  <c r="RGU46" i="79"/>
  <c r="RGT46" i="79"/>
  <c r="RGS46" i="79"/>
  <c r="RGR46" i="79"/>
  <c r="RGQ46" i="79"/>
  <c r="RGP46" i="79"/>
  <c r="RGO46" i="79"/>
  <c r="RGN46" i="79"/>
  <c r="RGM46" i="79"/>
  <c r="RGL46" i="79"/>
  <c r="RGK46" i="79"/>
  <c r="RGJ46" i="79"/>
  <c r="RGI46" i="79"/>
  <c r="RGH46" i="79"/>
  <c r="RGG46" i="79"/>
  <c r="RGF46" i="79"/>
  <c r="RGE46" i="79"/>
  <c r="RGD46" i="79"/>
  <c r="RGC46" i="79"/>
  <c r="RGB46" i="79"/>
  <c r="RGA46" i="79"/>
  <c r="RFZ46" i="79"/>
  <c r="RFY46" i="79"/>
  <c r="RFX46" i="79"/>
  <c r="RFW46" i="79"/>
  <c r="RFV46" i="79"/>
  <c r="RFU46" i="79"/>
  <c r="RFT46" i="79"/>
  <c r="RFS46" i="79"/>
  <c r="RFR46" i="79"/>
  <c r="RFQ46" i="79"/>
  <c r="RFP46" i="79"/>
  <c r="RFO46" i="79"/>
  <c r="RFN46" i="79"/>
  <c r="RFM46" i="79"/>
  <c r="RFL46" i="79"/>
  <c r="RFK46" i="79"/>
  <c r="RFJ46" i="79"/>
  <c r="RFI46" i="79"/>
  <c r="RFH46" i="79"/>
  <c r="RFG46" i="79"/>
  <c r="RFF46" i="79"/>
  <c r="RFE46" i="79"/>
  <c r="RFD46" i="79"/>
  <c r="RFC46" i="79"/>
  <c r="RFB46" i="79"/>
  <c r="RFA46" i="79"/>
  <c r="REZ46" i="79"/>
  <c r="REY46" i="79"/>
  <c r="REX46" i="79"/>
  <c r="REW46" i="79"/>
  <c r="REV46" i="79"/>
  <c r="REU46" i="79"/>
  <c r="RET46" i="79"/>
  <c r="RES46" i="79"/>
  <c r="RER46" i="79"/>
  <c r="REQ46" i="79"/>
  <c r="REP46" i="79"/>
  <c r="REO46" i="79"/>
  <c r="REN46" i="79"/>
  <c r="REM46" i="79"/>
  <c r="REL46" i="79"/>
  <c r="REK46" i="79"/>
  <c r="REJ46" i="79"/>
  <c r="REI46" i="79"/>
  <c r="REH46" i="79"/>
  <c r="REG46" i="79"/>
  <c r="REF46" i="79"/>
  <c r="REE46" i="79"/>
  <c r="RED46" i="79"/>
  <c r="REC46" i="79"/>
  <c r="REB46" i="79"/>
  <c r="REA46" i="79"/>
  <c r="RDZ46" i="79"/>
  <c r="RDY46" i="79"/>
  <c r="RDX46" i="79"/>
  <c r="RDW46" i="79"/>
  <c r="RDV46" i="79"/>
  <c r="RDU46" i="79"/>
  <c r="RDT46" i="79"/>
  <c r="RDS46" i="79"/>
  <c r="RDR46" i="79"/>
  <c r="RDQ46" i="79"/>
  <c r="RDP46" i="79"/>
  <c r="RDO46" i="79"/>
  <c r="RDN46" i="79"/>
  <c r="RDM46" i="79"/>
  <c r="RDL46" i="79"/>
  <c r="RDK46" i="79"/>
  <c r="RDJ46" i="79"/>
  <c r="RDI46" i="79"/>
  <c r="RDH46" i="79"/>
  <c r="RDG46" i="79"/>
  <c r="RDF46" i="79"/>
  <c r="RDE46" i="79"/>
  <c r="RDD46" i="79"/>
  <c r="RDC46" i="79"/>
  <c r="RDB46" i="79"/>
  <c r="RDA46" i="79"/>
  <c r="RCZ46" i="79"/>
  <c r="RCY46" i="79"/>
  <c r="RCX46" i="79"/>
  <c r="RCW46" i="79"/>
  <c r="RCV46" i="79"/>
  <c r="RCU46" i="79"/>
  <c r="RCT46" i="79"/>
  <c r="RCS46" i="79"/>
  <c r="RCR46" i="79"/>
  <c r="RCQ46" i="79"/>
  <c r="RCP46" i="79"/>
  <c r="RCO46" i="79"/>
  <c r="RCN46" i="79"/>
  <c r="RCM46" i="79"/>
  <c r="RCL46" i="79"/>
  <c r="RCK46" i="79"/>
  <c r="RCJ46" i="79"/>
  <c r="RCI46" i="79"/>
  <c r="RCH46" i="79"/>
  <c r="RCG46" i="79"/>
  <c r="RCF46" i="79"/>
  <c r="RCE46" i="79"/>
  <c r="RCD46" i="79"/>
  <c r="RCC46" i="79"/>
  <c r="RCB46" i="79"/>
  <c r="RCA46" i="79"/>
  <c r="RBZ46" i="79"/>
  <c r="RBY46" i="79"/>
  <c r="RBX46" i="79"/>
  <c r="RBW46" i="79"/>
  <c r="RBV46" i="79"/>
  <c r="RBU46" i="79"/>
  <c r="RBT46" i="79"/>
  <c r="RBS46" i="79"/>
  <c r="RBR46" i="79"/>
  <c r="RBQ46" i="79"/>
  <c r="RBP46" i="79"/>
  <c r="RBO46" i="79"/>
  <c r="RBN46" i="79"/>
  <c r="RBM46" i="79"/>
  <c r="RBL46" i="79"/>
  <c r="RBK46" i="79"/>
  <c r="RBJ46" i="79"/>
  <c r="RBI46" i="79"/>
  <c r="RBH46" i="79"/>
  <c r="RBG46" i="79"/>
  <c r="RBF46" i="79"/>
  <c r="RBE46" i="79"/>
  <c r="RBD46" i="79"/>
  <c r="RBC46" i="79"/>
  <c r="RBB46" i="79"/>
  <c r="RBA46" i="79"/>
  <c r="RAZ46" i="79"/>
  <c r="RAY46" i="79"/>
  <c r="RAX46" i="79"/>
  <c r="RAW46" i="79"/>
  <c r="RAV46" i="79"/>
  <c r="RAU46" i="79"/>
  <c r="RAT46" i="79"/>
  <c r="RAS46" i="79"/>
  <c r="RAR46" i="79"/>
  <c r="RAQ46" i="79"/>
  <c r="RAP46" i="79"/>
  <c r="RAO46" i="79"/>
  <c r="RAN46" i="79"/>
  <c r="RAM46" i="79"/>
  <c r="RAL46" i="79"/>
  <c r="RAK46" i="79"/>
  <c r="RAJ46" i="79"/>
  <c r="RAI46" i="79"/>
  <c r="RAH46" i="79"/>
  <c r="RAG46" i="79"/>
  <c r="RAF46" i="79"/>
  <c r="RAE46" i="79"/>
  <c r="RAD46" i="79"/>
  <c r="RAC46" i="79"/>
  <c r="RAB46" i="79"/>
  <c r="RAA46" i="79"/>
  <c r="QZZ46" i="79"/>
  <c r="QZY46" i="79"/>
  <c r="QZX46" i="79"/>
  <c r="QZW46" i="79"/>
  <c r="QZV46" i="79"/>
  <c r="QZU46" i="79"/>
  <c r="QZT46" i="79"/>
  <c r="QZS46" i="79"/>
  <c r="QZR46" i="79"/>
  <c r="QZQ46" i="79"/>
  <c r="QZP46" i="79"/>
  <c r="QZO46" i="79"/>
  <c r="QZN46" i="79"/>
  <c r="QZM46" i="79"/>
  <c r="QZL46" i="79"/>
  <c r="QZK46" i="79"/>
  <c r="QZJ46" i="79"/>
  <c r="QZI46" i="79"/>
  <c r="QZH46" i="79"/>
  <c r="QZG46" i="79"/>
  <c r="QZF46" i="79"/>
  <c r="QZE46" i="79"/>
  <c r="QZD46" i="79"/>
  <c r="QZC46" i="79"/>
  <c r="QZB46" i="79"/>
  <c r="QZA46" i="79"/>
  <c r="QYZ46" i="79"/>
  <c r="QYY46" i="79"/>
  <c r="QYX46" i="79"/>
  <c r="QYW46" i="79"/>
  <c r="QYV46" i="79"/>
  <c r="QYU46" i="79"/>
  <c r="QYT46" i="79"/>
  <c r="QYS46" i="79"/>
  <c r="QYR46" i="79"/>
  <c r="QYQ46" i="79"/>
  <c r="QYP46" i="79"/>
  <c r="QYO46" i="79"/>
  <c r="QYN46" i="79"/>
  <c r="QYM46" i="79"/>
  <c r="QYL46" i="79"/>
  <c r="QYK46" i="79"/>
  <c r="QYJ46" i="79"/>
  <c r="QYI46" i="79"/>
  <c r="QYH46" i="79"/>
  <c r="QYG46" i="79"/>
  <c r="QYF46" i="79"/>
  <c r="QYE46" i="79"/>
  <c r="QYD46" i="79"/>
  <c r="QYC46" i="79"/>
  <c r="QYB46" i="79"/>
  <c r="QYA46" i="79"/>
  <c r="QXZ46" i="79"/>
  <c r="QXY46" i="79"/>
  <c r="QXX46" i="79"/>
  <c r="QXW46" i="79"/>
  <c r="QXV46" i="79"/>
  <c r="QXU46" i="79"/>
  <c r="QXT46" i="79"/>
  <c r="QXS46" i="79"/>
  <c r="QXR46" i="79"/>
  <c r="QXQ46" i="79"/>
  <c r="QXP46" i="79"/>
  <c r="QXO46" i="79"/>
  <c r="QXN46" i="79"/>
  <c r="QXM46" i="79"/>
  <c r="QXL46" i="79"/>
  <c r="QXK46" i="79"/>
  <c r="QXJ46" i="79"/>
  <c r="QXI46" i="79"/>
  <c r="QXH46" i="79"/>
  <c r="QXG46" i="79"/>
  <c r="QXF46" i="79"/>
  <c r="QXE46" i="79"/>
  <c r="QXD46" i="79"/>
  <c r="QXC46" i="79"/>
  <c r="QXB46" i="79"/>
  <c r="QXA46" i="79"/>
  <c r="QWZ46" i="79"/>
  <c r="QWY46" i="79"/>
  <c r="QWX46" i="79"/>
  <c r="QWW46" i="79"/>
  <c r="QWV46" i="79"/>
  <c r="QWU46" i="79"/>
  <c r="QWT46" i="79"/>
  <c r="QWS46" i="79"/>
  <c r="QWR46" i="79"/>
  <c r="QWQ46" i="79"/>
  <c r="QWP46" i="79"/>
  <c r="QWO46" i="79"/>
  <c r="QWN46" i="79"/>
  <c r="QWM46" i="79"/>
  <c r="QWL46" i="79"/>
  <c r="QWK46" i="79"/>
  <c r="QWJ46" i="79"/>
  <c r="QWI46" i="79"/>
  <c r="QWH46" i="79"/>
  <c r="QWG46" i="79"/>
  <c r="QWF46" i="79"/>
  <c r="QWE46" i="79"/>
  <c r="QWD46" i="79"/>
  <c r="QWC46" i="79"/>
  <c r="QWB46" i="79"/>
  <c r="QWA46" i="79"/>
  <c r="QVZ46" i="79"/>
  <c r="QVY46" i="79"/>
  <c r="QVX46" i="79"/>
  <c r="QVW46" i="79"/>
  <c r="QVV46" i="79"/>
  <c r="QVU46" i="79"/>
  <c r="QVT46" i="79"/>
  <c r="QVS46" i="79"/>
  <c r="QVR46" i="79"/>
  <c r="QVQ46" i="79"/>
  <c r="QVP46" i="79"/>
  <c r="QVO46" i="79"/>
  <c r="QVN46" i="79"/>
  <c r="QVM46" i="79"/>
  <c r="QVL46" i="79"/>
  <c r="QVK46" i="79"/>
  <c r="QVJ46" i="79"/>
  <c r="QVI46" i="79"/>
  <c r="QVH46" i="79"/>
  <c r="QVG46" i="79"/>
  <c r="QVF46" i="79"/>
  <c r="QVE46" i="79"/>
  <c r="QVD46" i="79"/>
  <c r="QVC46" i="79"/>
  <c r="QVB46" i="79"/>
  <c r="QVA46" i="79"/>
  <c r="QUZ46" i="79"/>
  <c r="QUY46" i="79"/>
  <c r="QUX46" i="79"/>
  <c r="QUW46" i="79"/>
  <c r="QUV46" i="79"/>
  <c r="QUU46" i="79"/>
  <c r="QUT46" i="79"/>
  <c r="QUS46" i="79"/>
  <c r="QUR46" i="79"/>
  <c r="QUQ46" i="79"/>
  <c r="QUP46" i="79"/>
  <c r="QUO46" i="79"/>
  <c r="QUN46" i="79"/>
  <c r="QUM46" i="79"/>
  <c r="QUL46" i="79"/>
  <c r="QUK46" i="79"/>
  <c r="QUJ46" i="79"/>
  <c r="QUI46" i="79"/>
  <c r="QUH46" i="79"/>
  <c r="QUG46" i="79"/>
  <c r="QUF46" i="79"/>
  <c r="QUE46" i="79"/>
  <c r="QUD46" i="79"/>
  <c r="QUC46" i="79"/>
  <c r="QUB46" i="79"/>
  <c r="QUA46" i="79"/>
  <c r="QTZ46" i="79"/>
  <c r="QTY46" i="79"/>
  <c r="QTX46" i="79"/>
  <c r="QTW46" i="79"/>
  <c r="QTV46" i="79"/>
  <c r="QTU46" i="79"/>
  <c r="QTT46" i="79"/>
  <c r="QTS46" i="79"/>
  <c r="QTR46" i="79"/>
  <c r="QTQ46" i="79"/>
  <c r="QTP46" i="79"/>
  <c r="QTO46" i="79"/>
  <c r="QTN46" i="79"/>
  <c r="QTM46" i="79"/>
  <c r="QTL46" i="79"/>
  <c r="QTK46" i="79"/>
  <c r="QTJ46" i="79"/>
  <c r="QTI46" i="79"/>
  <c r="QTH46" i="79"/>
  <c r="QTG46" i="79"/>
  <c r="QTF46" i="79"/>
  <c r="QTE46" i="79"/>
  <c r="QTD46" i="79"/>
  <c r="QTC46" i="79"/>
  <c r="QTB46" i="79"/>
  <c r="QTA46" i="79"/>
  <c r="QSZ46" i="79"/>
  <c r="QSY46" i="79"/>
  <c r="QSX46" i="79"/>
  <c r="QSW46" i="79"/>
  <c r="QSV46" i="79"/>
  <c r="QSU46" i="79"/>
  <c r="QST46" i="79"/>
  <c r="QSS46" i="79"/>
  <c r="QSR46" i="79"/>
  <c r="QSQ46" i="79"/>
  <c r="QSP46" i="79"/>
  <c r="QSO46" i="79"/>
  <c r="QSN46" i="79"/>
  <c r="QSM46" i="79"/>
  <c r="QSL46" i="79"/>
  <c r="QSK46" i="79"/>
  <c r="QSJ46" i="79"/>
  <c r="QSI46" i="79"/>
  <c r="QSH46" i="79"/>
  <c r="QSG46" i="79"/>
  <c r="QSF46" i="79"/>
  <c r="QSE46" i="79"/>
  <c r="QSD46" i="79"/>
  <c r="QSC46" i="79"/>
  <c r="QSB46" i="79"/>
  <c r="QSA46" i="79"/>
  <c r="QRZ46" i="79"/>
  <c r="QRY46" i="79"/>
  <c r="QRX46" i="79"/>
  <c r="QRW46" i="79"/>
  <c r="QRV46" i="79"/>
  <c r="QRU46" i="79"/>
  <c r="QRT46" i="79"/>
  <c r="QRS46" i="79"/>
  <c r="QRR46" i="79"/>
  <c r="QRQ46" i="79"/>
  <c r="QRP46" i="79"/>
  <c r="QRO46" i="79"/>
  <c r="QRN46" i="79"/>
  <c r="QRM46" i="79"/>
  <c r="QRL46" i="79"/>
  <c r="QRK46" i="79"/>
  <c r="QRJ46" i="79"/>
  <c r="QRI46" i="79"/>
  <c r="QRH46" i="79"/>
  <c r="QRG46" i="79"/>
  <c r="QRF46" i="79"/>
  <c r="QRE46" i="79"/>
  <c r="QRD46" i="79"/>
  <c r="QRC46" i="79"/>
  <c r="QRB46" i="79"/>
  <c r="QRA46" i="79"/>
  <c r="QQZ46" i="79"/>
  <c r="QQY46" i="79"/>
  <c r="QQX46" i="79"/>
  <c r="QQW46" i="79"/>
  <c r="QQV46" i="79"/>
  <c r="QQU46" i="79"/>
  <c r="QQT46" i="79"/>
  <c r="QQS46" i="79"/>
  <c r="QQR46" i="79"/>
  <c r="QQQ46" i="79"/>
  <c r="QQP46" i="79"/>
  <c r="QQO46" i="79"/>
  <c r="QQN46" i="79"/>
  <c r="QQM46" i="79"/>
  <c r="QQL46" i="79"/>
  <c r="QQK46" i="79"/>
  <c r="QQJ46" i="79"/>
  <c r="QQI46" i="79"/>
  <c r="QQH46" i="79"/>
  <c r="QQG46" i="79"/>
  <c r="QQF46" i="79"/>
  <c r="QQE46" i="79"/>
  <c r="QQD46" i="79"/>
  <c r="QQC46" i="79"/>
  <c r="QQB46" i="79"/>
  <c r="QQA46" i="79"/>
  <c r="QPZ46" i="79"/>
  <c r="QPY46" i="79"/>
  <c r="QPX46" i="79"/>
  <c r="QPW46" i="79"/>
  <c r="QPV46" i="79"/>
  <c r="QPU46" i="79"/>
  <c r="QPT46" i="79"/>
  <c r="QPS46" i="79"/>
  <c r="QPR46" i="79"/>
  <c r="QPQ46" i="79"/>
  <c r="QPP46" i="79"/>
  <c r="QPO46" i="79"/>
  <c r="QPN46" i="79"/>
  <c r="QPM46" i="79"/>
  <c r="QPL46" i="79"/>
  <c r="QPK46" i="79"/>
  <c r="QPJ46" i="79"/>
  <c r="QPI46" i="79"/>
  <c r="QPH46" i="79"/>
  <c r="QPG46" i="79"/>
  <c r="QPF46" i="79"/>
  <c r="QPE46" i="79"/>
  <c r="QPD46" i="79"/>
  <c r="QPC46" i="79"/>
  <c r="QPB46" i="79"/>
  <c r="QPA46" i="79"/>
  <c r="QOZ46" i="79"/>
  <c r="QOY46" i="79"/>
  <c r="QOX46" i="79"/>
  <c r="QOW46" i="79"/>
  <c r="QOV46" i="79"/>
  <c r="QOU46" i="79"/>
  <c r="QOT46" i="79"/>
  <c r="QOS46" i="79"/>
  <c r="QOR46" i="79"/>
  <c r="QOQ46" i="79"/>
  <c r="QOP46" i="79"/>
  <c r="QOO46" i="79"/>
  <c r="QON46" i="79"/>
  <c r="QOM46" i="79"/>
  <c r="QOL46" i="79"/>
  <c r="QOK46" i="79"/>
  <c r="QOJ46" i="79"/>
  <c r="QOI46" i="79"/>
  <c r="QOH46" i="79"/>
  <c r="QOG46" i="79"/>
  <c r="QOF46" i="79"/>
  <c r="QOE46" i="79"/>
  <c r="QOD46" i="79"/>
  <c r="QOC46" i="79"/>
  <c r="QOB46" i="79"/>
  <c r="QOA46" i="79"/>
  <c r="QNZ46" i="79"/>
  <c r="QNY46" i="79"/>
  <c r="QNX46" i="79"/>
  <c r="QNW46" i="79"/>
  <c r="QNV46" i="79"/>
  <c r="QNU46" i="79"/>
  <c r="QNT46" i="79"/>
  <c r="QNS46" i="79"/>
  <c r="QNR46" i="79"/>
  <c r="QNQ46" i="79"/>
  <c r="QNP46" i="79"/>
  <c r="QNO46" i="79"/>
  <c r="QNN46" i="79"/>
  <c r="QNM46" i="79"/>
  <c r="QNL46" i="79"/>
  <c r="QNK46" i="79"/>
  <c r="QNJ46" i="79"/>
  <c r="QNI46" i="79"/>
  <c r="QNH46" i="79"/>
  <c r="QNG46" i="79"/>
  <c r="QNF46" i="79"/>
  <c r="QNE46" i="79"/>
  <c r="QND46" i="79"/>
  <c r="QNC46" i="79"/>
  <c r="QNB46" i="79"/>
  <c r="QNA46" i="79"/>
  <c r="QMZ46" i="79"/>
  <c r="QMY46" i="79"/>
  <c r="QMX46" i="79"/>
  <c r="QMW46" i="79"/>
  <c r="QMV46" i="79"/>
  <c r="QMU46" i="79"/>
  <c r="QMT46" i="79"/>
  <c r="QMS46" i="79"/>
  <c r="QMR46" i="79"/>
  <c r="QMQ46" i="79"/>
  <c r="QMP46" i="79"/>
  <c r="QMO46" i="79"/>
  <c r="QMN46" i="79"/>
  <c r="QMM46" i="79"/>
  <c r="QML46" i="79"/>
  <c r="QMK46" i="79"/>
  <c r="QMJ46" i="79"/>
  <c r="QMI46" i="79"/>
  <c r="QMH46" i="79"/>
  <c r="QMG46" i="79"/>
  <c r="QMF46" i="79"/>
  <c r="QME46" i="79"/>
  <c r="QMD46" i="79"/>
  <c r="QMC46" i="79"/>
  <c r="QMB46" i="79"/>
  <c r="QMA46" i="79"/>
  <c r="QLZ46" i="79"/>
  <c r="QLY46" i="79"/>
  <c r="QLX46" i="79"/>
  <c r="QLW46" i="79"/>
  <c r="QLV46" i="79"/>
  <c r="QLU46" i="79"/>
  <c r="QLT46" i="79"/>
  <c r="QLS46" i="79"/>
  <c r="QLR46" i="79"/>
  <c r="QLQ46" i="79"/>
  <c r="QLP46" i="79"/>
  <c r="QLO46" i="79"/>
  <c r="QLN46" i="79"/>
  <c r="QLM46" i="79"/>
  <c r="QLL46" i="79"/>
  <c r="QLK46" i="79"/>
  <c r="QLJ46" i="79"/>
  <c r="QLI46" i="79"/>
  <c r="QLH46" i="79"/>
  <c r="QLG46" i="79"/>
  <c r="QLF46" i="79"/>
  <c r="QLE46" i="79"/>
  <c r="QLD46" i="79"/>
  <c r="QLC46" i="79"/>
  <c r="QLB46" i="79"/>
  <c r="QLA46" i="79"/>
  <c r="QKZ46" i="79"/>
  <c r="QKY46" i="79"/>
  <c r="QKX46" i="79"/>
  <c r="QKW46" i="79"/>
  <c r="QKV46" i="79"/>
  <c r="QKU46" i="79"/>
  <c r="QKT46" i="79"/>
  <c r="QKS46" i="79"/>
  <c r="QKR46" i="79"/>
  <c r="QKQ46" i="79"/>
  <c r="QKP46" i="79"/>
  <c r="QKO46" i="79"/>
  <c r="QKN46" i="79"/>
  <c r="QKM46" i="79"/>
  <c r="QKL46" i="79"/>
  <c r="QKK46" i="79"/>
  <c r="QKJ46" i="79"/>
  <c r="QKI46" i="79"/>
  <c r="QKH46" i="79"/>
  <c r="QKG46" i="79"/>
  <c r="QKF46" i="79"/>
  <c r="QKE46" i="79"/>
  <c r="QKD46" i="79"/>
  <c r="QKC46" i="79"/>
  <c r="QKB46" i="79"/>
  <c r="QKA46" i="79"/>
  <c r="QJZ46" i="79"/>
  <c r="QJY46" i="79"/>
  <c r="QJX46" i="79"/>
  <c r="QJW46" i="79"/>
  <c r="QJV46" i="79"/>
  <c r="QJU46" i="79"/>
  <c r="QJT46" i="79"/>
  <c r="QJS46" i="79"/>
  <c r="QJR46" i="79"/>
  <c r="QJQ46" i="79"/>
  <c r="QJP46" i="79"/>
  <c r="QJO46" i="79"/>
  <c r="QJN46" i="79"/>
  <c r="QJM46" i="79"/>
  <c r="QJL46" i="79"/>
  <c r="QJK46" i="79"/>
  <c r="QJJ46" i="79"/>
  <c r="QJI46" i="79"/>
  <c r="QJH46" i="79"/>
  <c r="QJG46" i="79"/>
  <c r="QJF46" i="79"/>
  <c r="QJE46" i="79"/>
  <c r="QJD46" i="79"/>
  <c r="QJC46" i="79"/>
  <c r="QJB46" i="79"/>
  <c r="QJA46" i="79"/>
  <c r="QIZ46" i="79"/>
  <c r="QIY46" i="79"/>
  <c r="QIX46" i="79"/>
  <c r="QIW46" i="79"/>
  <c r="QIV46" i="79"/>
  <c r="QIU46" i="79"/>
  <c r="QIT46" i="79"/>
  <c r="QIS46" i="79"/>
  <c r="QIR46" i="79"/>
  <c r="QIQ46" i="79"/>
  <c r="QIP46" i="79"/>
  <c r="QIO46" i="79"/>
  <c r="QIN46" i="79"/>
  <c r="QIM46" i="79"/>
  <c r="QIL46" i="79"/>
  <c r="QIK46" i="79"/>
  <c r="QIJ46" i="79"/>
  <c r="QII46" i="79"/>
  <c r="QIH46" i="79"/>
  <c r="QIG46" i="79"/>
  <c r="QIF46" i="79"/>
  <c r="QIE46" i="79"/>
  <c r="QID46" i="79"/>
  <c r="QIC46" i="79"/>
  <c r="QIB46" i="79"/>
  <c r="QIA46" i="79"/>
  <c r="QHZ46" i="79"/>
  <c r="QHY46" i="79"/>
  <c r="QHX46" i="79"/>
  <c r="QHW46" i="79"/>
  <c r="QHV46" i="79"/>
  <c r="QHU46" i="79"/>
  <c r="QHT46" i="79"/>
  <c r="QHS46" i="79"/>
  <c r="QHR46" i="79"/>
  <c r="QHQ46" i="79"/>
  <c r="QHP46" i="79"/>
  <c r="QHO46" i="79"/>
  <c r="QHN46" i="79"/>
  <c r="QHM46" i="79"/>
  <c r="QHL46" i="79"/>
  <c r="QHK46" i="79"/>
  <c r="QHJ46" i="79"/>
  <c r="QHI46" i="79"/>
  <c r="QHH46" i="79"/>
  <c r="QHG46" i="79"/>
  <c r="QHF46" i="79"/>
  <c r="QHE46" i="79"/>
  <c r="QHD46" i="79"/>
  <c r="QHC46" i="79"/>
  <c r="QHB46" i="79"/>
  <c r="QHA46" i="79"/>
  <c r="QGZ46" i="79"/>
  <c r="QGY46" i="79"/>
  <c r="QGX46" i="79"/>
  <c r="QGW46" i="79"/>
  <c r="QGV46" i="79"/>
  <c r="QGU46" i="79"/>
  <c r="QGT46" i="79"/>
  <c r="QGS46" i="79"/>
  <c r="QGR46" i="79"/>
  <c r="QGQ46" i="79"/>
  <c r="QGP46" i="79"/>
  <c r="QGO46" i="79"/>
  <c r="QGN46" i="79"/>
  <c r="QGM46" i="79"/>
  <c r="QGL46" i="79"/>
  <c r="QGK46" i="79"/>
  <c r="QGJ46" i="79"/>
  <c r="QGI46" i="79"/>
  <c r="QGH46" i="79"/>
  <c r="QGG46" i="79"/>
  <c r="QGF46" i="79"/>
  <c r="QGE46" i="79"/>
  <c r="QGD46" i="79"/>
  <c r="QGC46" i="79"/>
  <c r="QGB46" i="79"/>
  <c r="QGA46" i="79"/>
  <c r="QFZ46" i="79"/>
  <c r="QFY46" i="79"/>
  <c r="QFX46" i="79"/>
  <c r="QFW46" i="79"/>
  <c r="QFV46" i="79"/>
  <c r="QFU46" i="79"/>
  <c r="QFT46" i="79"/>
  <c r="QFS46" i="79"/>
  <c r="QFR46" i="79"/>
  <c r="QFQ46" i="79"/>
  <c r="QFP46" i="79"/>
  <c r="QFO46" i="79"/>
  <c r="QFN46" i="79"/>
  <c r="QFM46" i="79"/>
  <c r="QFL46" i="79"/>
  <c r="QFK46" i="79"/>
  <c r="QFJ46" i="79"/>
  <c r="QFI46" i="79"/>
  <c r="QFH46" i="79"/>
  <c r="QFG46" i="79"/>
  <c r="QFF46" i="79"/>
  <c r="QFE46" i="79"/>
  <c r="QFD46" i="79"/>
  <c r="QFC46" i="79"/>
  <c r="QFB46" i="79"/>
  <c r="QFA46" i="79"/>
  <c r="QEZ46" i="79"/>
  <c r="QEY46" i="79"/>
  <c r="QEX46" i="79"/>
  <c r="QEW46" i="79"/>
  <c r="QEV46" i="79"/>
  <c r="QEU46" i="79"/>
  <c r="QET46" i="79"/>
  <c r="QES46" i="79"/>
  <c r="QER46" i="79"/>
  <c r="QEQ46" i="79"/>
  <c r="QEP46" i="79"/>
  <c r="QEO46" i="79"/>
  <c r="QEN46" i="79"/>
  <c r="QEM46" i="79"/>
  <c r="QEL46" i="79"/>
  <c r="QEK46" i="79"/>
  <c r="QEJ46" i="79"/>
  <c r="QEI46" i="79"/>
  <c r="QEH46" i="79"/>
  <c r="QEG46" i="79"/>
  <c r="QEF46" i="79"/>
  <c r="QEE46" i="79"/>
  <c r="QED46" i="79"/>
  <c r="QEC46" i="79"/>
  <c r="QEB46" i="79"/>
  <c r="QEA46" i="79"/>
  <c r="QDZ46" i="79"/>
  <c r="QDY46" i="79"/>
  <c r="QDX46" i="79"/>
  <c r="QDW46" i="79"/>
  <c r="QDV46" i="79"/>
  <c r="QDU46" i="79"/>
  <c r="QDT46" i="79"/>
  <c r="QDS46" i="79"/>
  <c r="QDR46" i="79"/>
  <c r="QDQ46" i="79"/>
  <c r="QDP46" i="79"/>
  <c r="QDO46" i="79"/>
  <c r="QDN46" i="79"/>
  <c r="QDM46" i="79"/>
  <c r="QDL46" i="79"/>
  <c r="QDK46" i="79"/>
  <c r="QDJ46" i="79"/>
  <c r="QDI46" i="79"/>
  <c r="QDH46" i="79"/>
  <c r="QDG46" i="79"/>
  <c r="QDF46" i="79"/>
  <c r="QDE46" i="79"/>
  <c r="QDD46" i="79"/>
  <c r="QDC46" i="79"/>
  <c r="QDB46" i="79"/>
  <c r="QDA46" i="79"/>
  <c r="QCZ46" i="79"/>
  <c r="QCY46" i="79"/>
  <c r="QCX46" i="79"/>
  <c r="QCW46" i="79"/>
  <c r="QCV46" i="79"/>
  <c r="QCU46" i="79"/>
  <c r="QCT46" i="79"/>
  <c r="QCS46" i="79"/>
  <c r="QCR46" i="79"/>
  <c r="QCQ46" i="79"/>
  <c r="QCP46" i="79"/>
  <c r="QCO46" i="79"/>
  <c r="QCN46" i="79"/>
  <c r="QCM46" i="79"/>
  <c r="QCL46" i="79"/>
  <c r="QCK46" i="79"/>
  <c r="QCJ46" i="79"/>
  <c r="QCI46" i="79"/>
  <c r="QCH46" i="79"/>
  <c r="QCG46" i="79"/>
  <c r="QCF46" i="79"/>
  <c r="QCE46" i="79"/>
  <c r="QCD46" i="79"/>
  <c r="QCC46" i="79"/>
  <c r="QCB46" i="79"/>
  <c r="QCA46" i="79"/>
  <c r="QBZ46" i="79"/>
  <c r="QBY46" i="79"/>
  <c r="QBX46" i="79"/>
  <c r="QBW46" i="79"/>
  <c r="QBV46" i="79"/>
  <c r="QBU46" i="79"/>
  <c r="QBT46" i="79"/>
  <c r="QBS46" i="79"/>
  <c r="QBR46" i="79"/>
  <c r="QBQ46" i="79"/>
  <c r="QBP46" i="79"/>
  <c r="QBO46" i="79"/>
  <c r="QBN46" i="79"/>
  <c r="QBM46" i="79"/>
  <c r="QBL46" i="79"/>
  <c r="QBK46" i="79"/>
  <c r="QBJ46" i="79"/>
  <c r="QBI46" i="79"/>
  <c r="QBH46" i="79"/>
  <c r="QBG46" i="79"/>
  <c r="QBF46" i="79"/>
  <c r="QBE46" i="79"/>
  <c r="QBD46" i="79"/>
  <c r="QBC46" i="79"/>
  <c r="QBB46" i="79"/>
  <c r="QBA46" i="79"/>
  <c r="QAZ46" i="79"/>
  <c r="QAY46" i="79"/>
  <c r="QAX46" i="79"/>
  <c r="QAW46" i="79"/>
  <c r="QAV46" i="79"/>
  <c r="QAU46" i="79"/>
  <c r="QAT46" i="79"/>
  <c r="QAS46" i="79"/>
  <c r="QAR46" i="79"/>
  <c r="QAQ46" i="79"/>
  <c r="QAP46" i="79"/>
  <c r="QAO46" i="79"/>
  <c r="QAN46" i="79"/>
  <c r="QAM46" i="79"/>
  <c r="QAL46" i="79"/>
  <c r="QAK46" i="79"/>
  <c r="QAJ46" i="79"/>
  <c r="QAI46" i="79"/>
  <c r="QAH46" i="79"/>
  <c r="QAG46" i="79"/>
  <c r="QAF46" i="79"/>
  <c r="QAE46" i="79"/>
  <c r="QAD46" i="79"/>
  <c r="QAC46" i="79"/>
  <c r="QAB46" i="79"/>
  <c r="QAA46" i="79"/>
  <c r="PZZ46" i="79"/>
  <c r="PZY46" i="79"/>
  <c r="PZX46" i="79"/>
  <c r="PZW46" i="79"/>
  <c r="PZV46" i="79"/>
  <c r="PZU46" i="79"/>
  <c r="PZT46" i="79"/>
  <c r="PZS46" i="79"/>
  <c r="PZR46" i="79"/>
  <c r="PZQ46" i="79"/>
  <c r="PZP46" i="79"/>
  <c r="PZO46" i="79"/>
  <c r="PZN46" i="79"/>
  <c r="PZM46" i="79"/>
  <c r="PZL46" i="79"/>
  <c r="PZK46" i="79"/>
  <c r="PZJ46" i="79"/>
  <c r="PZI46" i="79"/>
  <c r="PZH46" i="79"/>
  <c r="PZG46" i="79"/>
  <c r="PZF46" i="79"/>
  <c r="PZE46" i="79"/>
  <c r="PZD46" i="79"/>
  <c r="PZC46" i="79"/>
  <c r="PZB46" i="79"/>
  <c r="PZA46" i="79"/>
  <c r="PYZ46" i="79"/>
  <c r="PYY46" i="79"/>
  <c r="PYX46" i="79"/>
  <c r="PYW46" i="79"/>
  <c r="PYV46" i="79"/>
  <c r="PYU46" i="79"/>
  <c r="PYT46" i="79"/>
  <c r="PYS46" i="79"/>
  <c r="PYR46" i="79"/>
  <c r="PYQ46" i="79"/>
  <c r="PYP46" i="79"/>
  <c r="PYO46" i="79"/>
  <c r="PYN46" i="79"/>
  <c r="PYM46" i="79"/>
  <c r="PYL46" i="79"/>
  <c r="PYK46" i="79"/>
  <c r="PYJ46" i="79"/>
  <c r="PYI46" i="79"/>
  <c r="PYH46" i="79"/>
  <c r="PYG46" i="79"/>
  <c r="PYF46" i="79"/>
  <c r="PYE46" i="79"/>
  <c r="PYD46" i="79"/>
  <c r="PYC46" i="79"/>
  <c r="PYB46" i="79"/>
  <c r="PYA46" i="79"/>
  <c r="PXZ46" i="79"/>
  <c r="PXY46" i="79"/>
  <c r="PXX46" i="79"/>
  <c r="PXW46" i="79"/>
  <c r="PXV46" i="79"/>
  <c r="PXU46" i="79"/>
  <c r="PXT46" i="79"/>
  <c r="PXS46" i="79"/>
  <c r="PXR46" i="79"/>
  <c r="PXQ46" i="79"/>
  <c r="PXP46" i="79"/>
  <c r="PXO46" i="79"/>
  <c r="PXN46" i="79"/>
  <c r="PXM46" i="79"/>
  <c r="PXL46" i="79"/>
  <c r="PXK46" i="79"/>
  <c r="PXJ46" i="79"/>
  <c r="PXI46" i="79"/>
  <c r="PXH46" i="79"/>
  <c r="PXG46" i="79"/>
  <c r="PXF46" i="79"/>
  <c r="PXE46" i="79"/>
  <c r="PXD46" i="79"/>
  <c r="PXC46" i="79"/>
  <c r="PXB46" i="79"/>
  <c r="PXA46" i="79"/>
  <c r="PWZ46" i="79"/>
  <c r="PWY46" i="79"/>
  <c r="PWX46" i="79"/>
  <c r="PWW46" i="79"/>
  <c r="PWV46" i="79"/>
  <c r="PWU46" i="79"/>
  <c r="PWT46" i="79"/>
  <c r="PWS46" i="79"/>
  <c r="PWR46" i="79"/>
  <c r="PWQ46" i="79"/>
  <c r="PWP46" i="79"/>
  <c r="PWO46" i="79"/>
  <c r="PWN46" i="79"/>
  <c r="PWM46" i="79"/>
  <c r="PWL46" i="79"/>
  <c r="PWK46" i="79"/>
  <c r="PWJ46" i="79"/>
  <c r="PWI46" i="79"/>
  <c r="PWH46" i="79"/>
  <c r="PWG46" i="79"/>
  <c r="PWF46" i="79"/>
  <c r="PWE46" i="79"/>
  <c r="PWD46" i="79"/>
  <c r="PWC46" i="79"/>
  <c r="PWB46" i="79"/>
  <c r="PWA46" i="79"/>
  <c r="PVZ46" i="79"/>
  <c r="PVY46" i="79"/>
  <c r="PVX46" i="79"/>
  <c r="PVW46" i="79"/>
  <c r="PVV46" i="79"/>
  <c r="PVU46" i="79"/>
  <c r="PVT46" i="79"/>
  <c r="PVS46" i="79"/>
  <c r="PVR46" i="79"/>
  <c r="PVQ46" i="79"/>
  <c r="PVP46" i="79"/>
  <c r="PVO46" i="79"/>
  <c r="PVN46" i="79"/>
  <c r="PVM46" i="79"/>
  <c r="PVL46" i="79"/>
  <c r="PVK46" i="79"/>
  <c r="PVJ46" i="79"/>
  <c r="PVI46" i="79"/>
  <c r="PVH46" i="79"/>
  <c r="PVG46" i="79"/>
  <c r="PVF46" i="79"/>
  <c r="PVE46" i="79"/>
  <c r="PVD46" i="79"/>
  <c r="PVC46" i="79"/>
  <c r="PVB46" i="79"/>
  <c r="PVA46" i="79"/>
  <c r="PUZ46" i="79"/>
  <c r="PUY46" i="79"/>
  <c r="PUX46" i="79"/>
  <c r="PUW46" i="79"/>
  <c r="PUV46" i="79"/>
  <c r="PUU46" i="79"/>
  <c r="PUT46" i="79"/>
  <c r="PUS46" i="79"/>
  <c r="PUR46" i="79"/>
  <c r="PUQ46" i="79"/>
  <c r="PUP46" i="79"/>
  <c r="PUO46" i="79"/>
  <c r="PUN46" i="79"/>
  <c r="PUM46" i="79"/>
  <c r="PUL46" i="79"/>
  <c r="PUK46" i="79"/>
  <c r="PUJ46" i="79"/>
  <c r="PUI46" i="79"/>
  <c r="PUH46" i="79"/>
  <c r="PUG46" i="79"/>
  <c r="PUF46" i="79"/>
  <c r="PUE46" i="79"/>
  <c r="PUD46" i="79"/>
  <c r="PUC46" i="79"/>
  <c r="PUB46" i="79"/>
  <c r="PUA46" i="79"/>
  <c r="PTZ46" i="79"/>
  <c r="PTY46" i="79"/>
  <c r="PTX46" i="79"/>
  <c r="PTW46" i="79"/>
  <c r="PTV46" i="79"/>
  <c r="PTU46" i="79"/>
  <c r="PTT46" i="79"/>
  <c r="PTS46" i="79"/>
  <c r="PTR46" i="79"/>
  <c r="PTQ46" i="79"/>
  <c r="PTP46" i="79"/>
  <c r="PTO46" i="79"/>
  <c r="PTN46" i="79"/>
  <c r="PTM46" i="79"/>
  <c r="PTL46" i="79"/>
  <c r="PTK46" i="79"/>
  <c r="PTJ46" i="79"/>
  <c r="PTI46" i="79"/>
  <c r="PTH46" i="79"/>
  <c r="PTG46" i="79"/>
  <c r="PTF46" i="79"/>
  <c r="PTE46" i="79"/>
  <c r="PTD46" i="79"/>
  <c r="PTC46" i="79"/>
  <c r="PTB46" i="79"/>
  <c r="PTA46" i="79"/>
  <c r="PSZ46" i="79"/>
  <c r="PSY46" i="79"/>
  <c r="PSX46" i="79"/>
  <c r="PSW46" i="79"/>
  <c r="PSV46" i="79"/>
  <c r="PSU46" i="79"/>
  <c r="PST46" i="79"/>
  <c r="PSS46" i="79"/>
  <c r="PSR46" i="79"/>
  <c r="PSQ46" i="79"/>
  <c r="PSP46" i="79"/>
  <c r="PSO46" i="79"/>
  <c r="PSN46" i="79"/>
  <c r="PSM46" i="79"/>
  <c r="PSL46" i="79"/>
  <c r="PSK46" i="79"/>
  <c r="PSJ46" i="79"/>
  <c r="PSI46" i="79"/>
  <c r="PSH46" i="79"/>
  <c r="PSG46" i="79"/>
  <c r="PSF46" i="79"/>
  <c r="PSE46" i="79"/>
  <c r="PSD46" i="79"/>
  <c r="PSC46" i="79"/>
  <c r="PSB46" i="79"/>
  <c r="PSA46" i="79"/>
  <c r="PRZ46" i="79"/>
  <c r="PRY46" i="79"/>
  <c r="PRX46" i="79"/>
  <c r="PRW46" i="79"/>
  <c r="PRV46" i="79"/>
  <c r="PRU46" i="79"/>
  <c r="PRT46" i="79"/>
  <c r="PRS46" i="79"/>
  <c r="PRR46" i="79"/>
  <c r="PRQ46" i="79"/>
  <c r="PRP46" i="79"/>
  <c r="PRO46" i="79"/>
  <c r="PRN46" i="79"/>
  <c r="PRM46" i="79"/>
  <c r="PRL46" i="79"/>
  <c r="PRK46" i="79"/>
  <c r="PRJ46" i="79"/>
  <c r="PRI46" i="79"/>
  <c r="PRH46" i="79"/>
  <c r="PRG46" i="79"/>
  <c r="PRF46" i="79"/>
  <c r="PRE46" i="79"/>
  <c r="PRD46" i="79"/>
  <c r="PRC46" i="79"/>
  <c r="PRB46" i="79"/>
  <c r="PRA46" i="79"/>
  <c r="PQZ46" i="79"/>
  <c r="PQY46" i="79"/>
  <c r="PQX46" i="79"/>
  <c r="PQW46" i="79"/>
  <c r="PQV46" i="79"/>
  <c r="PQU46" i="79"/>
  <c r="PQT46" i="79"/>
  <c r="PQS46" i="79"/>
  <c r="PQR46" i="79"/>
  <c r="PQQ46" i="79"/>
  <c r="PQP46" i="79"/>
  <c r="PQO46" i="79"/>
  <c r="PQN46" i="79"/>
  <c r="PQM46" i="79"/>
  <c r="PQL46" i="79"/>
  <c r="PQK46" i="79"/>
  <c r="PQJ46" i="79"/>
  <c r="PQI46" i="79"/>
  <c r="PQH46" i="79"/>
  <c r="PQG46" i="79"/>
  <c r="PQF46" i="79"/>
  <c r="PQE46" i="79"/>
  <c r="PQD46" i="79"/>
  <c r="PQC46" i="79"/>
  <c r="PQB46" i="79"/>
  <c r="PQA46" i="79"/>
  <c r="PPZ46" i="79"/>
  <c r="PPY46" i="79"/>
  <c r="PPX46" i="79"/>
  <c r="PPW46" i="79"/>
  <c r="PPV46" i="79"/>
  <c r="PPU46" i="79"/>
  <c r="PPT46" i="79"/>
  <c r="PPS46" i="79"/>
  <c r="PPR46" i="79"/>
  <c r="PPQ46" i="79"/>
  <c r="PPP46" i="79"/>
  <c r="PPO46" i="79"/>
  <c r="PPN46" i="79"/>
  <c r="PPM46" i="79"/>
  <c r="PPL46" i="79"/>
  <c r="PPK46" i="79"/>
  <c r="PPJ46" i="79"/>
  <c r="PPI46" i="79"/>
  <c r="PPH46" i="79"/>
  <c r="PPG46" i="79"/>
  <c r="PPF46" i="79"/>
  <c r="PPE46" i="79"/>
  <c r="PPD46" i="79"/>
  <c r="PPC46" i="79"/>
  <c r="PPB46" i="79"/>
  <c r="PPA46" i="79"/>
  <c r="POZ46" i="79"/>
  <c r="POY46" i="79"/>
  <c r="POX46" i="79"/>
  <c r="POW46" i="79"/>
  <c r="POV46" i="79"/>
  <c r="POU46" i="79"/>
  <c r="POT46" i="79"/>
  <c r="POS46" i="79"/>
  <c r="POR46" i="79"/>
  <c r="POQ46" i="79"/>
  <c r="POP46" i="79"/>
  <c r="POO46" i="79"/>
  <c r="PON46" i="79"/>
  <c r="POM46" i="79"/>
  <c r="POL46" i="79"/>
  <c r="POK46" i="79"/>
  <c r="POJ46" i="79"/>
  <c r="POI46" i="79"/>
  <c r="POH46" i="79"/>
  <c r="POG46" i="79"/>
  <c r="POF46" i="79"/>
  <c r="POE46" i="79"/>
  <c r="POD46" i="79"/>
  <c r="POC46" i="79"/>
  <c r="POB46" i="79"/>
  <c r="POA46" i="79"/>
  <c r="PNZ46" i="79"/>
  <c r="PNY46" i="79"/>
  <c r="PNX46" i="79"/>
  <c r="PNW46" i="79"/>
  <c r="PNV46" i="79"/>
  <c r="PNU46" i="79"/>
  <c r="PNT46" i="79"/>
  <c r="PNS46" i="79"/>
  <c r="PNR46" i="79"/>
  <c r="PNQ46" i="79"/>
  <c r="PNP46" i="79"/>
  <c r="PNO46" i="79"/>
  <c r="PNN46" i="79"/>
  <c r="PNM46" i="79"/>
  <c r="PNL46" i="79"/>
  <c r="PNK46" i="79"/>
  <c r="PNJ46" i="79"/>
  <c r="PNI46" i="79"/>
  <c r="PNH46" i="79"/>
  <c r="PNG46" i="79"/>
  <c r="PNF46" i="79"/>
  <c r="PNE46" i="79"/>
  <c r="PND46" i="79"/>
  <c r="PNC46" i="79"/>
  <c r="PNB46" i="79"/>
  <c r="PNA46" i="79"/>
  <c r="PMZ46" i="79"/>
  <c r="PMY46" i="79"/>
  <c r="PMX46" i="79"/>
  <c r="PMW46" i="79"/>
  <c r="PMV46" i="79"/>
  <c r="PMU46" i="79"/>
  <c r="PMT46" i="79"/>
  <c r="PMS46" i="79"/>
  <c r="PMR46" i="79"/>
  <c r="PMQ46" i="79"/>
  <c r="PMP46" i="79"/>
  <c r="PMO46" i="79"/>
  <c r="PMN46" i="79"/>
  <c r="PMM46" i="79"/>
  <c r="PML46" i="79"/>
  <c r="PMK46" i="79"/>
  <c r="PMJ46" i="79"/>
  <c r="PMI46" i="79"/>
  <c r="PMH46" i="79"/>
  <c r="PMG46" i="79"/>
  <c r="PMF46" i="79"/>
  <c r="PME46" i="79"/>
  <c r="PMD46" i="79"/>
  <c r="PMC46" i="79"/>
  <c r="PMB46" i="79"/>
  <c r="PMA46" i="79"/>
  <c r="PLZ46" i="79"/>
  <c r="PLY46" i="79"/>
  <c r="PLX46" i="79"/>
  <c r="PLW46" i="79"/>
  <c r="PLV46" i="79"/>
  <c r="PLU46" i="79"/>
  <c r="PLT46" i="79"/>
  <c r="PLS46" i="79"/>
  <c r="PLR46" i="79"/>
  <c r="PLQ46" i="79"/>
  <c r="PLP46" i="79"/>
  <c r="PLO46" i="79"/>
  <c r="PLN46" i="79"/>
  <c r="PLM46" i="79"/>
  <c r="PLL46" i="79"/>
  <c r="PLK46" i="79"/>
  <c r="PLJ46" i="79"/>
  <c r="PLI46" i="79"/>
  <c r="PLH46" i="79"/>
  <c r="PLG46" i="79"/>
  <c r="PLF46" i="79"/>
  <c r="PLE46" i="79"/>
  <c r="PLD46" i="79"/>
  <c r="PLC46" i="79"/>
  <c r="PLB46" i="79"/>
  <c r="PLA46" i="79"/>
  <c r="PKZ46" i="79"/>
  <c r="PKY46" i="79"/>
  <c r="PKX46" i="79"/>
  <c r="PKW46" i="79"/>
  <c r="PKV46" i="79"/>
  <c r="PKU46" i="79"/>
  <c r="PKT46" i="79"/>
  <c r="PKS46" i="79"/>
  <c r="PKR46" i="79"/>
  <c r="PKQ46" i="79"/>
  <c r="PKP46" i="79"/>
  <c r="PKO46" i="79"/>
  <c r="PKN46" i="79"/>
  <c r="PKM46" i="79"/>
  <c r="PKL46" i="79"/>
  <c r="PKK46" i="79"/>
  <c r="PKJ46" i="79"/>
  <c r="PKI46" i="79"/>
  <c r="PKH46" i="79"/>
  <c r="PKG46" i="79"/>
  <c r="PKF46" i="79"/>
  <c r="PKE46" i="79"/>
  <c r="PKD46" i="79"/>
  <c r="PKC46" i="79"/>
  <c r="PKB46" i="79"/>
  <c r="PKA46" i="79"/>
  <c r="PJZ46" i="79"/>
  <c r="PJY46" i="79"/>
  <c r="PJX46" i="79"/>
  <c r="PJW46" i="79"/>
  <c r="PJV46" i="79"/>
  <c r="PJU46" i="79"/>
  <c r="PJT46" i="79"/>
  <c r="PJS46" i="79"/>
  <c r="PJR46" i="79"/>
  <c r="PJQ46" i="79"/>
  <c r="PJP46" i="79"/>
  <c r="PJO46" i="79"/>
  <c r="PJN46" i="79"/>
  <c r="PJM46" i="79"/>
  <c r="PJL46" i="79"/>
  <c r="PJK46" i="79"/>
  <c r="PJJ46" i="79"/>
  <c r="PJI46" i="79"/>
  <c r="PJH46" i="79"/>
  <c r="PJG46" i="79"/>
  <c r="PJF46" i="79"/>
  <c r="PJE46" i="79"/>
  <c r="PJD46" i="79"/>
  <c r="PJC46" i="79"/>
  <c r="PJB46" i="79"/>
  <c r="PJA46" i="79"/>
  <c r="PIZ46" i="79"/>
  <c r="PIY46" i="79"/>
  <c r="PIX46" i="79"/>
  <c r="PIW46" i="79"/>
  <c r="PIV46" i="79"/>
  <c r="PIU46" i="79"/>
  <c r="PIT46" i="79"/>
  <c r="PIS46" i="79"/>
  <c r="PIR46" i="79"/>
  <c r="PIQ46" i="79"/>
  <c r="PIP46" i="79"/>
  <c r="PIO46" i="79"/>
  <c r="PIN46" i="79"/>
  <c r="PIM46" i="79"/>
  <c r="PIL46" i="79"/>
  <c r="PIK46" i="79"/>
  <c r="PIJ46" i="79"/>
  <c r="PII46" i="79"/>
  <c r="PIH46" i="79"/>
  <c r="PIG46" i="79"/>
  <c r="PIF46" i="79"/>
  <c r="PIE46" i="79"/>
  <c r="PID46" i="79"/>
  <c r="PIC46" i="79"/>
  <c r="PIB46" i="79"/>
  <c r="PIA46" i="79"/>
  <c r="PHZ46" i="79"/>
  <c r="PHY46" i="79"/>
  <c r="PHX46" i="79"/>
  <c r="PHW46" i="79"/>
  <c r="PHV46" i="79"/>
  <c r="PHU46" i="79"/>
  <c r="PHT46" i="79"/>
  <c r="PHS46" i="79"/>
  <c r="PHR46" i="79"/>
  <c r="PHQ46" i="79"/>
  <c r="PHP46" i="79"/>
  <c r="PHO46" i="79"/>
  <c r="PHN46" i="79"/>
  <c r="PHM46" i="79"/>
  <c r="PHL46" i="79"/>
  <c r="PHK46" i="79"/>
  <c r="PHJ46" i="79"/>
  <c r="PHI46" i="79"/>
  <c r="PHH46" i="79"/>
  <c r="PHG46" i="79"/>
  <c r="PHF46" i="79"/>
  <c r="PHE46" i="79"/>
  <c r="PHD46" i="79"/>
  <c r="PHC46" i="79"/>
  <c r="PHB46" i="79"/>
  <c r="PHA46" i="79"/>
  <c r="PGZ46" i="79"/>
  <c r="PGY46" i="79"/>
  <c r="PGX46" i="79"/>
  <c r="PGW46" i="79"/>
  <c r="PGV46" i="79"/>
  <c r="PGU46" i="79"/>
  <c r="PGT46" i="79"/>
  <c r="PGS46" i="79"/>
  <c r="PGR46" i="79"/>
  <c r="PGQ46" i="79"/>
  <c r="PGP46" i="79"/>
  <c r="PGO46" i="79"/>
  <c r="PGN46" i="79"/>
  <c r="PGM46" i="79"/>
  <c r="PGL46" i="79"/>
  <c r="PGK46" i="79"/>
  <c r="PGJ46" i="79"/>
  <c r="PGI46" i="79"/>
  <c r="PGH46" i="79"/>
  <c r="PGG46" i="79"/>
  <c r="PGF46" i="79"/>
  <c r="PGE46" i="79"/>
  <c r="PGD46" i="79"/>
  <c r="PGC46" i="79"/>
  <c r="PGB46" i="79"/>
  <c r="PGA46" i="79"/>
  <c r="PFZ46" i="79"/>
  <c r="PFY46" i="79"/>
  <c r="PFX46" i="79"/>
  <c r="PFW46" i="79"/>
  <c r="PFV46" i="79"/>
  <c r="PFU46" i="79"/>
  <c r="PFT46" i="79"/>
  <c r="PFS46" i="79"/>
  <c r="PFR46" i="79"/>
  <c r="PFQ46" i="79"/>
  <c r="PFP46" i="79"/>
  <c r="PFO46" i="79"/>
  <c r="PFN46" i="79"/>
  <c r="PFM46" i="79"/>
  <c r="PFL46" i="79"/>
  <c r="PFK46" i="79"/>
  <c r="PFJ46" i="79"/>
  <c r="PFI46" i="79"/>
  <c r="PFH46" i="79"/>
  <c r="PFG46" i="79"/>
  <c r="PFF46" i="79"/>
  <c r="PFE46" i="79"/>
  <c r="PFD46" i="79"/>
  <c r="PFC46" i="79"/>
  <c r="PFB46" i="79"/>
  <c r="PFA46" i="79"/>
  <c r="PEZ46" i="79"/>
  <c r="PEY46" i="79"/>
  <c r="PEX46" i="79"/>
  <c r="PEW46" i="79"/>
  <c r="PEV46" i="79"/>
  <c r="PEU46" i="79"/>
  <c r="PET46" i="79"/>
  <c r="PES46" i="79"/>
  <c r="PER46" i="79"/>
  <c r="PEQ46" i="79"/>
  <c r="PEP46" i="79"/>
  <c r="PEO46" i="79"/>
  <c r="PEN46" i="79"/>
  <c r="PEM46" i="79"/>
  <c r="PEL46" i="79"/>
  <c r="PEK46" i="79"/>
  <c r="PEJ46" i="79"/>
  <c r="PEI46" i="79"/>
  <c r="PEH46" i="79"/>
  <c r="PEG46" i="79"/>
  <c r="PEF46" i="79"/>
  <c r="PEE46" i="79"/>
  <c r="PED46" i="79"/>
  <c r="PEC46" i="79"/>
  <c r="PEB46" i="79"/>
  <c r="PEA46" i="79"/>
  <c r="PDZ46" i="79"/>
  <c r="PDY46" i="79"/>
  <c r="PDX46" i="79"/>
  <c r="PDW46" i="79"/>
  <c r="PDV46" i="79"/>
  <c r="PDU46" i="79"/>
  <c r="PDT46" i="79"/>
  <c r="PDS46" i="79"/>
  <c r="PDR46" i="79"/>
  <c r="PDQ46" i="79"/>
  <c r="PDP46" i="79"/>
  <c r="PDO46" i="79"/>
  <c r="PDN46" i="79"/>
  <c r="PDM46" i="79"/>
  <c r="PDL46" i="79"/>
  <c r="PDK46" i="79"/>
  <c r="PDJ46" i="79"/>
  <c r="PDI46" i="79"/>
  <c r="PDH46" i="79"/>
  <c r="PDG46" i="79"/>
  <c r="PDF46" i="79"/>
  <c r="PDE46" i="79"/>
  <c r="PDD46" i="79"/>
  <c r="PDC46" i="79"/>
  <c r="PDB46" i="79"/>
  <c r="PDA46" i="79"/>
  <c r="PCZ46" i="79"/>
  <c r="PCY46" i="79"/>
  <c r="PCX46" i="79"/>
  <c r="PCW46" i="79"/>
  <c r="PCV46" i="79"/>
  <c r="PCU46" i="79"/>
  <c r="PCT46" i="79"/>
  <c r="PCS46" i="79"/>
  <c r="PCR46" i="79"/>
  <c r="PCQ46" i="79"/>
  <c r="PCP46" i="79"/>
  <c r="PCO46" i="79"/>
  <c r="PCN46" i="79"/>
  <c r="PCM46" i="79"/>
  <c r="PCL46" i="79"/>
  <c r="PCK46" i="79"/>
  <c r="PCJ46" i="79"/>
  <c r="PCI46" i="79"/>
  <c r="PCH46" i="79"/>
  <c r="PCG46" i="79"/>
  <c r="PCF46" i="79"/>
  <c r="PCE46" i="79"/>
  <c r="PCD46" i="79"/>
  <c r="PCC46" i="79"/>
  <c r="PCB46" i="79"/>
  <c r="PCA46" i="79"/>
  <c r="PBZ46" i="79"/>
  <c r="PBY46" i="79"/>
  <c r="PBX46" i="79"/>
  <c r="PBW46" i="79"/>
  <c r="PBV46" i="79"/>
  <c r="PBU46" i="79"/>
  <c r="PBT46" i="79"/>
  <c r="PBS46" i="79"/>
  <c r="PBR46" i="79"/>
  <c r="PBQ46" i="79"/>
  <c r="PBP46" i="79"/>
  <c r="PBO46" i="79"/>
  <c r="PBN46" i="79"/>
  <c r="PBM46" i="79"/>
  <c r="PBL46" i="79"/>
  <c r="PBK46" i="79"/>
  <c r="PBJ46" i="79"/>
  <c r="PBI46" i="79"/>
  <c r="PBH46" i="79"/>
  <c r="PBG46" i="79"/>
  <c r="PBF46" i="79"/>
  <c r="PBE46" i="79"/>
  <c r="PBD46" i="79"/>
  <c r="PBC46" i="79"/>
  <c r="PBB46" i="79"/>
  <c r="PBA46" i="79"/>
  <c r="PAZ46" i="79"/>
  <c r="PAY46" i="79"/>
  <c r="PAX46" i="79"/>
  <c r="PAW46" i="79"/>
  <c r="PAV46" i="79"/>
  <c r="PAU46" i="79"/>
  <c r="PAT46" i="79"/>
  <c r="PAS46" i="79"/>
  <c r="PAR46" i="79"/>
  <c r="PAQ46" i="79"/>
  <c r="PAP46" i="79"/>
  <c r="PAO46" i="79"/>
  <c r="PAN46" i="79"/>
  <c r="PAM46" i="79"/>
  <c r="PAL46" i="79"/>
  <c r="PAK46" i="79"/>
  <c r="PAJ46" i="79"/>
  <c r="PAI46" i="79"/>
  <c r="PAH46" i="79"/>
  <c r="PAG46" i="79"/>
  <c r="PAF46" i="79"/>
  <c r="PAE46" i="79"/>
  <c r="PAD46" i="79"/>
  <c r="PAC46" i="79"/>
  <c r="PAB46" i="79"/>
  <c r="PAA46" i="79"/>
  <c r="OZZ46" i="79"/>
  <c r="OZY46" i="79"/>
  <c r="OZX46" i="79"/>
  <c r="OZW46" i="79"/>
  <c r="OZV46" i="79"/>
  <c r="OZU46" i="79"/>
  <c r="OZT46" i="79"/>
  <c r="OZS46" i="79"/>
  <c r="OZR46" i="79"/>
  <c r="OZQ46" i="79"/>
  <c r="OZP46" i="79"/>
  <c r="OZO46" i="79"/>
  <c r="OZN46" i="79"/>
  <c r="OZM46" i="79"/>
  <c r="OZL46" i="79"/>
  <c r="OZK46" i="79"/>
  <c r="OZJ46" i="79"/>
  <c r="OZI46" i="79"/>
  <c r="OZH46" i="79"/>
  <c r="OZG46" i="79"/>
  <c r="OZF46" i="79"/>
  <c r="OZE46" i="79"/>
  <c r="OZD46" i="79"/>
  <c r="OZC46" i="79"/>
  <c r="OZB46" i="79"/>
  <c r="OZA46" i="79"/>
  <c r="OYZ46" i="79"/>
  <c r="OYY46" i="79"/>
  <c r="OYX46" i="79"/>
  <c r="OYW46" i="79"/>
  <c r="OYV46" i="79"/>
  <c r="OYU46" i="79"/>
  <c r="OYT46" i="79"/>
  <c r="OYS46" i="79"/>
  <c r="OYR46" i="79"/>
  <c r="OYQ46" i="79"/>
  <c r="OYP46" i="79"/>
  <c r="OYO46" i="79"/>
  <c r="OYN46" i="79"/>
  <c r="OYM46" i="79"/>
  <c r="OYL46" i="79"/>
  <c r="OYK46" i="79"/>
  <c r="OYJ46" i="79"/>
  <c r="OYI46" i="79"/>
  <c r="OYH46" i="79"/>
  <c r="OYG46" i="79"/>
  <c r="OYF46" i="79"/>
  <c r="OYE46" i="79"/>
  <c r="OYD46" i="79"/>
  <c r="OYC46" i="79"/>
  <c r="OYB46" i="79"/>
  <c r="OYA46" i="79"/>
  <c r="OXZ46" i="79"/>
  <c r="OXY46" i="79"/>
  <c r="OXX46" i="79"/>
  <c r="OXW46" i="79"/>
  <c r="OXV46" i="79"/>
  <c r="OXU46" i="79"/>
  <c r="OXT46" i="79"/>
  <c r="OXS46" i="79"/>
  <c r="OXR46" i="79"/>
  <c r="OXQ46" i="79"/>
  <c r="OXP46" i="79"/>
  <c r="OXO46" i="79"/>
  <c r="OXN46" i="79"/>
  <c r="OXM46" i="79"/>
  <c r="OXL46" i="79"/>
  <c r="OXK46" i="79"/>
  <c r="OXJ46" i="79"/>
  <c r="OXI46" i="79"/>
  <c r="OXH46" i="79"/>
  <c r="OXG46" i="79"/>
  <c r="OXF46" i="79"/>
  <c r="OXE46" i="79"/>
  <c r="OXD46" i="79"/>
  <c r="OXC46" i="79"/>
  <c r="OXB46" i="79"/>
  <c r="OXA46" i="79"/>
  <c r="OWZ46" i="79"/>
  <c r="OWY46" i="79"/>
  <c r="OWX46" i="79"/>
  <c r="OWW46" i="79"/>
  <c r="OWV46" i="79"/>
  <c r="OWU46" i="79"/>
  <c r="OWT46" i="79"/>
  <c r="OWS46" i="79"/>
  <c r="OWR46" i="79"/>
  <c r="OWQ46" i="79"/>
  <c r="OWP46" i="79"/>
  <c r="OWO46" i="79"/>
  <c r="OWN46" i="79"/>
  <c r="OWM46" i="79"/>
  <c r="OWL46" i="79"/>
  <c r="OWK46" i="79"/>
  <c r="OWJ46" i="79"/>
  <c r="OWI46" i="79"/>
  <c r="OWH46" i="79"/>
  <c r="OWG46" i="79"/>
  <c r="OWF46" i="79"/>
  <c r="OWE46" i="79"/>
  <c r="OWD46" i="79"/>
  <c r="OWC46" i="79"/>
  <c r="OWB46" i="79"/>
  <c r="OWA46" i="79"/>
  <c r="OVZ46" i="79"/>
  <c r="OVY46" i="79"/>
  <c r="OVX46" i="79"/>
  <c r="OVW46" i="79"/>
  <c r="OVV46" i="79"/>
  <c r="OVU46" i="79"/>
  <c r="OVT46" i="79"/>
  <c r="OVS46" i="79"/>
  <c r="OVR46" i="79"/>
  <c r="OVQ46" i="79"/>
  <c r="OVP46" i="79"/>
  <c r="OVO46" i="79"/>
  <c r="OVN46" i="79"/>
  <c r="OVM46" i="79"/>
  <c r="OVL46" i="79"/>
  <c r="OVK46" i="79"/>
  <c r="OVJ46" i="79"/>
  <c r="OVI46" i="79"/>
  <c r="OVH46" i="79"/>
  <c r="OVG46" i="79"/>
  <c r="OVF46" i="79"/>
  <c r="OVE46" i="79"/>
  <c r="OVD46" i="79"/>
  <c r="OVC46" i="79"/>
  <c r="OVB46" i="79"/>
  <c r="OVA46" i="79"/>
  <c r="OUZ46" i="79"/>
  <c r="OUY46" i="79"/>
  <c r="OUX46" i="79"/>
  <c r="OUW46" i="79"/>
  <c r="OUV46" i="79"/>
  <c r="OUU46" i="79"/>
  <c r="OUT46" i="79"/>
  <c r="OUS46" i="79"/>
  <c r="OUR46" i="79"/>
  <c r="OUQ46" i="79"/>
  <c r="OUP46" i="79"/>
  <c r="OUO46" i="79"/>
  <c r="OUN46" i="79"/>
  <c r="OUM46" i="79"/>
  <c r="OUL46" i="79"/>
  <c r="OUK46" i="79"/>
  <c r="OUJ46" i="79"/>
  <c r="OUI46" i="79"/>
  <c r="OUH46" i="79"/>
  <c r="OUG46" i="79"/>
  <c r="OUF46" i="79"/>
  <c r="OUE46" i="79"/>
  <c r="OUD46" i="79"/>
  <c r="OUC46" i="79"/>
  <c r="OUB46" i="79"/>
  <c r="OUA46" i="79"/>
  <c r="OTZ46" i="79"/>
  <c r="OTY46" i="79"/>
  <c r="OTX46" i="79"/>
  <c r="OTW46" i="79"/>
  <c r="OTV46" i="79"/>
  <c r="OTU46" i="79"/>
  <c r="OTT46" i="79"/>
  <c r="OTS46" i="79"/>
  <c r="OTR46" i="79"/>
  <c r="OTQ46" i="79"/>
  <c r="OTP46" i="79"/>
  <c r="OTO46" i="79"/>
  <c r="OTN46" i="79"/>
  <c r="OTM46" i="79"/>
  <c r="OTL46" i="79"/>
  <c r="OTK46" i="79"/>
  <c r="OTJ46" i="79"/>
  <c r="OTI46" i="79"/>
  <c r="OTH46" i="79"/>
  <c r="OTG46" i="79"/>
  <c r="OTF46" i="79"/>
  <c r="OTE46" i="79"/>
  <c r="OTD46" i="79"/>
  <c r="OTC46" i="79"/>
  <c r="OTB46" i="79"/>
  <c r="OTA46" i="79"/>
  <c r="OSZ46" i="79"/>
  <c r="OSY46" i="79"/>
  <c r="OSX46" i="79"/>
  <c r="OSW46" i="79"/>
  <c r="OSV46" i="79"/>
  <c r="OSU46" i="79"/>
  <c r="OST46" i="79"/>
  <c r="OSS46" i="79"/>
  <c r="OSR46" i="79"/>
  <c r="OSQ46" i="79"/>
  <c r="OSP46" i="79"/>
  <c r="OSO46" i="79"/>
  <c r="OSN46" i="79"/>
  <c r="OSM46" i="79"/>
  <c r="OSL46" i="79"/>
  <c r="OSK46" i="79"/>
  <c r="OSJ46" i="79"/>
  <c r="OSI46" i="79"/>
  <c r="OSH46" i="79"/>
  <c r="OSG46" i="79"/>
  <c r="OSF46" i="79"/>
  <c r="OSE46" i="79"/>
  <c r="OSD46" i="79"/>
  <c r="OSC46" i="79"/>
  <c r="OSB46" i="79"/>
  <c r="OSA46" i="79"/>
  <c r="ORZ46" i="79"/>
  <c r="ORY46" i="79"/>
  <c r="ORX46" i="79"/>
  <c r="ORW46" i="79"/>
  <c r="ORV46" i="79"/>
  <c r="ORU46" i="79"/>
  <c r="ORT46" i="79"/>
  <c r="ORS46" i="79"/>
  <c r="ORR46" i="79"/>
  <c r="ORQ46" i="79"/>
  <c r="ORP46" i="79"/>
  <c r="ORO46" i="79"/>
  <c r="ORN46" i="79"/>
  <c r="ORM46" i="79"/>
  <c r="ORL46" i="79"/>
  <c r="ORK46" i="79"/>
  <c r="ORJ46" i="79"/>
  <c r="ORI46" i="79"/>
  <c r="ORH46" i="79"/>
  <c r="ORG46" i="79"/>
  <c r="ORF46" i="79"/>
  <c r="ORE46" i="79"/>
  <c r="ORD46" i="79"/>
  <c r="ORC46" i="79"/>
  <c r="ORB46" i="79"/>
  <c r="ORA46" i="79"/>
  <c r="OQZ46" i="79"/>
  <c r="OQY46" i="79"/>
  <c r="OQX46" i="79"/>
  <c r="OQW46" i="79"/>
  <c r="OQV46" i="79"/>
  <c r="OQU46" i="79"/>
  <c r="OQT46" i="79"/>
  <c r="OQS46" i="79"/>
  <c r="OQR46" i="79"/>
  <c r="OQQ46" i="79"/>
  <c r="OQP46" i="79"/>
  <c r="OQO46" i="79"/>
  <c r="OQN46" i="79"/>
  <c r="OQM46" i="79"/>
  <c r="OQL46" i="79"/>
  <c r="OQK46" i="79"/>
  <c r="OQJ46" i="79"/>
  <c r="OQI46" i="79"/>
  <c r="OQH46" i="79"/>
  <c r="OQG46" i="79"/>
  <c r="OQF46" i="79"/>
  <c r="OQE46" i="79"/>
  <c r="OQD46" i="79"/>
  <c r="OQC46" i="79"/>
  <c r="OQB46" i="79"/>
  <c r="OQA46" i="79"/>
  <c r="OPZ46" i="79"/>
  <c r="OPY46" i="79"/>
  <c r="OPX46" i="79"/>
  <c r="OPW46" i="79"/>
  <c r="OPV46" i="79"/>
  <c r="OPU46" i="79"/>
  <c r="OPT46" i="79"/>
  <c r="OPS46" i="79"/>
  <c r="OPR46" i="79"/>
  <c r="OPQ46" i="79"/>
  <c r="OPP46" i="79"/>
  <c r="OPO46" i="79"/>
  <c r="OPN46" i="79"/>
  <c r="OPM46" i="79"/>
  <c r="OPL46" i="79"/>
  <c r="OPK46" i="79"/>
  <c r="OPJ46" i="79"/>
  <c r="OPI46" i="79"/>
  <c r="OPH46" i="79"/>
  <c r="OPG46" i="79"/>
  <c r="OPF46" i="79"/>
  <c r="OPE46" i="79"/>
  <c r="OPD46" i="79"/>
  <c r="OPC46" i="79"/>
  <c r="OPB46" i="79"/>
  <c r="OPA46" i="79"/>
  <c r="OOZ46" i="79"/>
  <c r="OOY46" i="79"/>
  <c r="OOX46" i="79"/>
  <c r="OOW46" i="79"/>
  <c r="OOV46" i="79"/>
  <c r="OOU46" i="79"/>
  <c r="OOT46" i="79"/>
  <c r="OOS46" i="79"/>
  <c r="OOR46" i="79"/>
  <c r="OOQ46" i="79"/>
  <c r="OOP46" i="79"/>
  <c r="OOO46" i="79"/>
  <c r="OON46" i="79"/>
  <c r="OOM46" i="79"/>
  <c r="OOL46" i="79"/>
  <c r="OOK46" i="79"/>
  <c r="OOJ46" i="79"/>
  <c r="OOI46" i="79"/>
  <c r="OOH46" i="79"/>
  <c r="OOG46" i="79"/>
  <c r="OOF46" i="79"/>
  <c r="OOE46" i="79"/>
  <c r="OOD46" i="79"/>
  <c r="OOC46" i="79"/>
  <c r="OOB46" i="79"/>
  <c r="OOA46" i="79"/>
  <c r="ONZ46" i="79"/>
  <c r="ONY46" i="79"/>
  <c r="ONX46" i="79"/>
  <c r="ONW46" i="79"/>
  <c r="ONV46" i="79"/>
  <c r="ONU46" i="79"/>
  <c r="ONT46" i="79"/>
  <c r="ONS46" i="79"/>
  <c r="ONR46" i="79"/>
  <c r="ONQ46" i="79"/>
  <c r="ONP46" i="79"/>
  <c r="ONO46" i="79"/>
  <c r="ONN46" i="79"/>
  <c r="ONM46" i="79"/>
  <c r="ONL46" i="79"/>
  <c r="ONK46" i="79"/>
  <c r="ONJ46" i="79"/>
  <c r="ONI46" i="79"/>
  <c r="ONH46" i="79"/>
  <c r="ONG46" i="79"/>
  <c r="ONF46" i="79"/>
  <c r="ONE46" i="79"/>
  <c r="OND46" i="79"/>
  <c r="ONC46" i="79"/>
  <c r="ONB46" i="79"/>
  <c r="ONA46" i="79"/>
  <c r="OMZ46" i="79"/>
  <c r="OMY46" i="79"/>
  <c r="OMX46" i="79"/>
  <c r="OMW46" i="79"/>
  <c r="OMV46" i="79"/>
  <c r="OMU46" i="79"/>
  <c r="OMT46" i="79"/>
  <c r="OMS46" i="79"/>
  <c r="OMR46" i="79"/>
  <c r="OMQ46" i="79"/>
  <c r="OMP46" i="79"/>
  <c r="OMO46" i="79"/>
  <c r="OMN46" i="79"/>
  <c r="OMM46" i="79"/>
  <c r="OML46" i="79"/>
  <c r="OMK46" i="79"/>
  <c r="OMJ46" i="79"/>
  <c r="OMI46" i="79"/>
  <c r="OMH46" i="79"/>
  <c r="OMG46" i="79"/>
  <c r="OMF46" i="79"/>
  <c r="OME46" i="79"/>
  <c r="OMD46" i="79"/>
  <c r="OMC46" i="79"/>
  <c r="OMB46" i="79"/>
  <c r="OMA46" i="79"/>
  <c r="OLZ46" i="79"/>
  <c r="OLY46" i="79"/>
  <c r="OLX46" i="79"/>
  <c r="OLW46" i="79"/>
  <c r="OLV46" i="79"/>
  <c r="OLU46" i="79"/>
  <c r="OLT46" i="79"/>
  <c r="OLS46" i="79"/>
  <c r="OLR46" i="79"/>
  <c r="OLQ46" i="79"/>
  <c r="OLP46" i="79"/>
  <c r="OLO46" i="79"/>
  <c r="OLN46" i="79"/>
  <c r="OLM46" i="79"/>
  <c r="OLL46" i="79"/>
  <c r="OLK46" i="79"/>
  <c r="OLJ46" i="79"/>
  <c r="OLI46" i="79"/>
  <c r="OLH46" i="79"/>
  <c r="OLG46" i="79"/>
  <c r="OLF46" i="79"/>
  <c r="OLE46" i="79"/>
  <c r="OLD46" i="79"/>
  <c r="OLC46" i="79"/>
  <c r="OLB46" i="79"/>
  <c r="OLA46" i="79"/>
  <c r="OKZ46" i="79"/>
  <c r="OKY46" i="79"/>
  <c r="OKX46" i="79"/>
  <c r="OKW46" i="79"/>
  <c r="OKV46" i="79"/>
  <c r="OKU46" i="79"/>
  <c r="OKT46" i="79"/>
  <c r="OKS46" i="79"/>
  <c r="OKR46" i="79"/>
  <c r="OKQ46" i="79"/>
  <c r="OKP46" i="79"/>
  <c r="OKO46" i="79"/>
  <c r="OKN46" i="79"/>
  <c r="OKM46" i="79"/>
  <c r="OKL46" i="79"/>
  <c r="OKK46" i="79"/>
  <c r="OKJ46" i="79"/>
  <c r="OKI46" i="79"/>
  <c r="OKH46" i="79"/>
  <c r="OKG46" i="79"/>
  <c r="OKF46" i="79"/>
  <c r="OKE46" i="79"/>
  <c r="OKD46" i="79"/>
  <c r="OKC46" i="79"/>
  <c r="OKB46" i="79"/>
  <c r="OKA46" i="79"/>
  <c r="OJZ46" i="79"/>
  <c r="OJY46" i="79"/>
  <c r="OJX46" i="79"/>
  <c r="OJW46" i="79"/>
  <c r="OJV46" i="79"/>
  <c r="OJU46" i="79"/>
  <c r="OJT46" i="79"/>
  <c r="OJS46" i="79"/>
  <c r="OJR46" i="79"/>
  <c r="OJQ46" i="79"/>
  <c r="OJP46" i="79"/>
  <c r="OJO46" i="79"/>
  <c r="OJN46" i="79"/>
  <c r="OJM46" i="79"/>
  <c r="OJL46" i="79"/>
  <c r="OJK46" i="79"/>
  <c r="OJJ46" i="79"/>
  <c r="OJI46" i="79"/>
  <c r="OJH46" i="79"/>
  <c r="OJG46" i="79"/>
  <c r="OJF46" i="79"/>
  <c r="OJE46" i="79"/>
  <c r="OJD46" i="79"/>
  <c r="OJC46" i="79"/>
  <c r="OJB46" i="79"/>
  <c r="OJA46" i="79"/>
  <c r="OIZ46" i="79"/>
  <c r="OIY46" i="79"/>
  <c r="OIX46" i="79"/>
  <c r="OIW46" i="79"/>
  <c r="OIV46" i="79"/>
  <c r="OIU46" i="79"/>
  <c r="OIT46" i="79"/>
  <c r="OIS46" i="79"/>
  <c r="OIR46" i="79"/>
  <c r="OIQ46" i="79"/>
  <c r="OIP46" i="79"/>
  <c r="OIO46" i="79"/>
  <c r="OIN46" i="79"/>
  <c r="OIM46" i="79"/>
  <c r="OIL46" i="79"/>
  <c r="OIK46" i="79"/>
  <c r="OIJ46" i="79"/>
  <c r="OII46" i="79"/>
  <c r="OIH46" i="79"/>
  <c r="OIG46" i="79"/>
  <c r="OIF46" i="79"/>
  <c r="OIE46" i="79"/>
  <c r="OID46" i="79"/>
  <c r="OIC46" i="79"/>
  <c r="OIB46" i="79"/>
  <c r="OIA46" i="79"/>
  <c r="OHZ46" i="79"/>
  <c r="OHY46" i="79"/>
  <c r="OHX46" i="79"/>
  <c r="OHW46" i="79"/>
  <c r="OHV46" i="79"/>
  <c r="OHU46" i="79"/>
  <c r="OHT46" i="79"/>
  <c r="OHS46" i="79"/>
  <c r="OHR46" i="79"/>
  <c r="OHQ46" i="79"/>
  <c r="OHP46" i="79"/>
  <c r="OHO46" i="79"/>
  <c r="OHN46" i="79"/>
  <c r="OHM46" i="79"/>
  <c r="OHL46" i="79"/>
  <c r="OHK46" i="79"/>
  <c r="OHJ46" i="79"/>
  <c r="OHI46" i="79"/>
  <c r="OHH46" i="79"/>
  <c r="OHG46" i="79"/>
  <c r="OHF46" i="79"/>
  <c r="OHE46" i="79"/>
  <c r="OHD46" i="79"/>
  <c r="OHC46" i="79"/>
  <c r="OHB46" i="79"/>
  <c r="OHA46" i="79"/>
  <c r="OGZ46" i="79"/>
  <c r="OGY46" i="79"/>
  <c r="OGX46" i="79"/>
  <c r="OGW46" i="79"/>
  <c r="OGV46" i="79"/>
  <c r="OGU46" i="79"/>
  <c r="OGT46" i="79"/>
  <c r="OGS46" i="79"/>
  <c r="OGR46" i="79"/>
  <c r="OGQ46" i="79"/>
  <c r="OGP46" i="79"/>
  <c r="OGO46" i="79"/>
  <c r="OGN46" i="79"/>
  <c r="OGM46" i="79"/>
  <c r="OGL46" i="79"/>
  <c r="OGK46" i="79"/>
  <c r="OGJ46" i="79"/>
  <c r="OGI46" i="79"/>
  <c r="OGH46" i="79"/>
  <c r="OGG46" i="79"/>
  <c r="OGF46" i="79"/>
  <c r="OGE46" i="79"/>
  <c r="OGD46" i="79"/>
  <c r="OGC46" i="79"/>
  <c r="OGB46" i="79"/>
  <c r="OGA46" i="79"/>
  <c r="OFZ46" i="79"/>
  <c r="OFY46" i="79"/>
  <c r="OFX46" i="79"/>
  <c r="OFW46" i="79"/>
  <c r="OFV46" i="79"/>
  <c r="OFU46" i="79"/>
  <c r="OFT46" i="79"/>
  <c r="OFS46" i="79"/>
  <c r="OFR46" i="79"/>
  <c r="OFQ46" i="79"/>
  <c r="OFP46" i="79"/>
  <c r="OFO46" i="79"/>
  <c r="OFN46" i="79"/>
  <c r="OFM46" i="79"/>
  <c r="OFL46" i="79"/>
  <c r="OFK46" i="79"/>
  <c r="OFJ46" i="79"/>
  <c r="OFI46" i="79"/>
  <c r="OFH46" i="79"/>
  <c r="OFG46" i="79"/>
  <c r="OFF46" i="79"/>
  <c r="OFE46" i="79"/>
  <c r="OFD46" i="79"/>
  <c r="OFC46" i="79"/>
  <c r="OFB46" i="79"/>
  <c r="OFA46" i="79"/>
  <c r="OEZ46" i="79"/>
  <c r="OEY46" i="79"/>
  <c r="OEX46" i="79"/>
  <c r="OEW46" i="79"/>
  <c r="OEV46" i="79"/>
  <c r="OEU46" i="79"/>
  <c r="OET46" i="79"/>
  <c r="OES46" i="79"/>
  <c r="OER46" i="79"/>
  <c r="OEQ46" i="79"/>
  <c r="OEP46" i="79"/>
  <c r="OEO46" i="79"/>
  <c r="OEN46" i="79"/>
  <c r="OEM46" i="79"/>
  <c r="OEL46" i="79"/>
  <c r="OEK46" i="79"/>
  <c r="OEJ46" i="79"/>
  <c r="OEI46" i="79"/>
  <c r="OEH46" i="79"/>
  <c r="OEG46" i="79"/>
  <c r="OEF46" i="79"/>
  <c r="OEE46" i="79"/>
  <c r="OED46" i="79"/>
  <c r="OEC46" i="79"/>
  <c r="OEB46" i="79"/>
  <c r="OEA46" i="79"/>
  <c r="ODZ46" i="79"/>
  <c r="ODY46" i="79"/>
  <c r="ODX46" i="79"/>
  <c r="ODW46" i="79"/>
  <c r="ODV46" i="79"/>
  <c r="ODU46" i="79"/>
  <c r="ODT46" i="79"/>
  <c r="ODS46" i="79"/>
  <c r="ODR46" i="79"/>
  <c r="ODQ46" i="79"/>
  <c r="ODP46" i="79"/>
  <c r="ODO46" i="79"/>
  <c r="ODN46" i="79"/>
  <c r="ODM46" i="79"/>
  <c r="ODL46" i="79"/>
  <c r="ODK46" i="79"/>
  <c r="ODJ46" i="79"/>
  <c r="ODI46" i="79"/>
  <c r="ODH46" i="79"/>
  <c r="ODG46" i="79"/>
  <c r="ODF46" i="79"/>
  <c r="ODE46" i="79"/>
  <c r="ODD46" i="79"/>
  <c r="ODC46" i="79"/>
  <c r="ODB46" i="79"/>
  <c r="ODA46" i="79"/>
  <c r="OCZ46" i="79"/>
  <c r="OCY46" i="79"/>
  <c r="OCX46" i="79"/>
  <c r="OCW46" i="79"/>
  <c r="OCV46" i="79"/>
  <c r="OCU46" i="79"/>
  <c r="OCT46" i="79"/>
  <c r="OCS46" i="79"/>
  <c r="OCR46" i="79"/>
  <c r="OCQ46" i="79"/>
  <c r="OCP46" i="79"/>
  <c r="OCO46" i="79"/>
  <c r="OCN46" i="79"/>
  <c r="OCM46" i="79"/>
  <c r="OCL46" i="79"/>
  <c r="OCK46" i="79"/>
  <c r="OCJ46" i="79"/>
  <c r="OCI46" i="79"/>
  <c r="OCH46" i="79"/>
  <c r="OCG46" i="79"/>
  <c r="OCF46" i="79"/>
  <c r="OCE46" i="79"/>
  <c r="OCD46" i="79"/>
  <c r="OCC46" i="79"/>
  <c r="OCB46" i="79"/>
  <c r="OCA46" i="79"/>
  <c r="OBZ46" i="79"/>
  <c r="OBY46" i="79"/>
  <c r="OBX46" i="79"/>
  <c r="OBW46" i="79"/>
  <c r="OBV46" i="79"/>
  <c r="OBU46" i="79"/>
  <c r="OBT46" i="79"/>
  <c r="OBS46" i="79"/>
  <c r="OBR46" i="79"/>
  <c r="OBQ46" i="79"/>
  <c r="OBP46" i="79"/>
  <c r="OBO46" i="79"/>
  <c r="OBN46" i="79"/>
  <c r="OBM46" i="79"/>
  <c r="OBL46" i="79"/>
  <c r="OBK46" i="79"/>
  <c r="OBJ46" i="79"/>
  <c r="OBI46" i="79"/>
  <c r="OBH46" i="79"/>
  <c r="OBG46" i="79"/>
  <c r="OBF46" i="79"/>
  <c r="OBE46" i="79"/>
  <c r="OBD46" i="79"/>
  <c r="OBC46" i="79"/>
  <c r="OBB46" i="79"/>
  <c r="OBA46" i="79"/>
  <c r="OAZ46" i="79"/>
  <c r="OAY46" i="79"/>
  <c r="OAX46" i="79"/>
  <c r="OAW46" i="79"/>
  <c r="OAV46" i="79"/>
  <c r="OAU46" i="79"/>
  <c r="OAT46" i="79"/>
  <c r="OAS46" i="79"/>
  <c r="OAR46" i="79"/>
  <c r="OAQ46" i="79"/>
  <c r="OAP46" i="79"/>
  <c r="OAO46" i="79"/>
  <c r="OAN46" i="79"/>
  <c r="OAM46" i="79"/>
  <c r="OAL46" i="79"/>
  <c r="OAK46" i="79"/>
  <c r="OAJ46" i="79"/>
  <c r="OAI46" i="79"/>
  <c r="OAH46" i="79"/>
  <c r="OAG46" i="79"/>
  <c r="OAF46" i="79"/>
  <c r="OAE46" i="79"/>
  <c r="OAD46" i="79"/>
  <c r="OAC46" i="79"/>
  <c r="OAB46" i="79"/>
  <c r="OAA46" i="79"/>
  <c r="NZZ46" i="79"/>
  <c r="NZY46" i="79"/>
  <c r="NZX46" i="79"/>
  <c r="NZW46" i="79"/>
  <c r="NZV46" i="79"/>
  <c r="NZU46" i="79"/>
  <c r="NZT46" i="79"/>
  <c r="NZS46" i="79"/>
  <c r="NZR46" i="79"/>
  <c r="NZQ46" i="79"/>
  <c r="NZP46" i="79"/>
  <c r="NZO46" i="79"/>
  <c r="NZN46" i="79"/>
  <c r="NZM46" i="79"/>
  <c r="NZL46" i="79"/>
  <c r="NZK46" i="79"/>
  <c r="NZJ46" i="79"/>
  <c r="NZI46" i="79"/>
  <c r="NZH46" i="79"/>
  <c r="NZG46" i="79"/>
  <c r="NZF46" i="79"/>
  <c r="NZE46" i="79"/>
  <c r="NZD46" i="79"/>
  <c r="NZC46" i="79"/>
  <c r="NZB46" i="79"/>
  <c r="NZA46" i="79"/>
  <c r="NYZ46" i="79"/>
  <c r="NYY46" i="79"/>
  <c r="NYX46" i="79"/>
  <c r="NYW46" i="79"/>
  <c r="NYV46" i="79"/>
  <c r="NYU46" i="79"/>
  <c r="NYT46" i="79"/>
  <c r="NYS46" i="79"/>
  <c r="NYR46" i="79"/>
  <c r="NYQ46" i="79"/>
  <c r="NYP46" i="79"/>
  <c r="NYO46" i="79"/>
  <c r="NYN46" i="79"/>
  <c r="NYM46" i="79"/>
  <c r="NYL46" i="79"/>
  <c r="NYK46" i="79"/>
  <c r="NYJ46" i="79"/>
  <c r="NYI46" i="79"/>
  <c r="NYH46" i="79"/>
  <c r="NYG46" i="79"/>
  <c r="NYF46" i="79"/>
  <c r="NYE46" i="79"/>
  <c r="NYD46" i="79"/>
  <c r="NYC46" i="79"/>
  <c r="NYB46" i="79"/>
  <c r="NYA46" i="79"/>
  <c r="NXZ46" i="79"/>
  <c r="NXY46" i="79"/>
  <c r="NXX46" i="79"/>
  <c r="NXW46" i="79"/>
  <c r="NXV46" i="79"/>
  <c r="NXU46" i="79"/>
  <c r="NXT46" i="79"/>
  <c r="NXS46" i="79"/>
  <c r="NXR46" i="79"/>
  <c r="NXQ46" i="79"/>
  <c r="NXP46" i="79"/>
  <c r="NXO46" i="79"/>
  <c r="NXN46" i="79"/>
  <c r="NXM46" i="79"/>
  <c r="NXL46" i="79"/>
  <c r="NXK46" i="79"/>
  <c r="NXJ46" i="79"/>
  <c r="NXI46" i="79"/>
  <c r="NXH46" i="79"/>
  <c r="NXG46" i="79"/>
  <c r="NXF46" i="79"/>
  <c r="NXE46" i="79"/>
  <c r="NXD46" i="79"/>
  <c r="NXC46" i="79"/>
  <c r="NXB46" i="79"/>
  <c r="NXA46" i="79"/>
  <c r="NWZ46" i="79"/>
  <c r="NWY46" i="79"/>
  <c r="NWX46" i="79"/>
  <c r="NWW46" i="79"/>
  <c r="NWV46" i="79"/>
  <c r="NWU46" i="79"/>
  <c r="NWT46" i="79"/>
  <c r="NWS46" i="79"/>
  <c r="NWR46" i="79"/>
  <c r="NWQ46" i="79"/>
  <c r="NWP46" i="79"/>
  <c r="NWO46" i="79"/>
  <c r="NWN46" i="79"/>
  <c r="NWM46" i="79"/>
  <c r="NWL46" i="79"/>
  <c r="NWK46" i="79"/>
  <c r="NWJ46" i="79"/>
  <c r="NWI46" i="79"/>
  <c r="NWH46" i="79"/>
  <c r="NWG46" i="79"/>
  <c r="NWF46" i="79"/>
  <c r="NWE46" i="79"/>
  <c r="NWD46" i="79"/>
  <c r="NWC46" i="79"/>
  <c r="NWB46" i="79"/>
  <c r="NWA46" i="79"/>
  <c r="NVZ46" i="79"/>
  <c r="NVY46" i="79"/>
  <c r="NVX46" i="79"/>
  <c r="NVW46" i="79"/>
  <c r="NVV46" i="79"/>
  <c r="NVU46" i="79"/>
  <c r="NVT46" i="79"/>
  <c r="NVS46" i="79"/>
  <c r="NVR46" i="79"/>
  <c r="NVQ46" i="79"/>
  <c r="NVP46" i="79"/>
  <c r="NVO46" i="79"/>
  <c r="NVN46" i="79"/>
  <c r="NVM46" i="79"/>
  <c r="NVL46" i="79"/>
  <c r="NVK46" i="79"/>
  <c r="NVJ46" i="79"/>
  <c r="NVI46" i="79"/>
  <c r="NVH46" i="79"/>
  <c r="NVG46" i="79"/>
  <c r="NVF46" i="79"/>
  <c r="NVE46" i="79"/>
  <c r="NVD46" i="79"/>
  <c r="NVC46" i="79"/>
  <c r="NVB46" i="79"/>
  <c r="NVA46" i="79"/>
  <c r="NUZ46" i="79"/>
  <c r="NUY46" i="79"/>
  <c r="NUX46" i="79"/>
  <c r="NUW46" i="79"/>
  <c r="NUV46" i="79"/>
  <c r="NUU46" i="79"/>
  <c r="NUT46" i="79"/>
  <c r="NUS46" i="79"/>
  <c r="NUR46" i="79"/>
  <c r="NUQ46" i="79"/>
  <c r="NUP46" i="79"/>
  <c r="NUO46" i="79"/>
  <c r="NUN46" i="79"/>
  <c r="NUM46" i="79"/>
  <c r="NUL46" i="79"/>
  <c r="NUK46" i="79"/>
  <c r="NUJ46" i="79"/>
  <c r="NUI46" i="79"/>
  <c r="NUH46" i="79"/>
  <c r="NUG46" i="79"/>
  <c r="NUF46" i="79"/>
  <c r="NUE46" i="79"/>
  <c r="NUD46" i="79"/>
  <c r="NUC46" i="79"/>
  <c r="NUB46" i="79"/>
  <c r="NUA46" i="79"/>
  <c r="NTZ46" i="79"/>
  <c r="NTY46" i="79"/>
  <c r="NTX46" i="79"/>
  <c r="NTW46" i="79"/>
  <c r="NTV46" i="79"/>
  <c r="NTU46" i="79"/>
  <c r="NTT46" i="79"/>
  <c r="NTS46" i="79"/>
  <c r="NTR46" i="79"/>
  <c r="NTQ46" i="79"/>
  <c r="NTP46" i="79"/>
  <c r="NTO46" i="79"/>
  <c r="NTN46" i="79"/>
  <c r="NTM46" i="79"/>
  <c r="NTL46" i="79"/>
  <c r="NTK46" i="79"/>
  <c r="NTJ46" i="79"/>
  <c r="NTI46" i="79"/>
  <c r="NTH46" i="79"/>
  <c r="NTG46" i="79"/>
  <c r="NTF46" i="79"/>
  <c r="NTE46" i="79"/>
  <c r="NTD46" i="79"/>
  <c r="NTC46" i="79"/>
  <c r="NTB46" i="79"/>
  <c r="NTA46" i="79"/>
  <c r="NSZ46" i="79"/>
  <c r="NSY46" i="79"/>
  <c r="NSX46" i="79"/>
  <c r="NSW46" i="79"/>
  <c r="NSV46" i="79"/>
  <c r="NSU46" i="79"/>
  <c r="NST46" i="79"/>
  <c r="NSS46" i="79"/>
  <c r="NSR46" i="79"/>
  <c r="NSQ46" i="79"/>
  <c r="NSP46" i="79"/>
  <c r="NSO46" i="79"/>
  <c r="NSN46" i="79"/>
  <c r="NSM46" i="79"/>
  <c r="NSL46" i="79"/>
  <c r="NSK46" i="79"/>
  <c r="NSJ46" i="79"/>
  <c r="NSI46" i="79"/>
  <c r="NSH46" i="79"/>
  <c r="NSG46" i="79"/>
  <c r="NSF46" i="79"/>
  <c r="NSE46" i="79"/>
  <c r="NSD46" i="79"/>
  <c r="NSC46" i="79"/>
  <c r="NSB46" i="79"/>
  <c r="NSA46" i="79"/>
  <c r="NRZ46" i="79"/>
  <c r="NRY46" i="79"/>
  <c r="NRX46" i="79"/>
  <c r="NRW46" i="79"/>
  <c r="NRV46" i="79"/>
  <c r="NRU46" i="79"/>
  <c r="NRT46" i="79"/>
  <c r="NRS46" i="79"/>
  <c r="NRR46" i="79"/>
  <c r="NRQ46" i="79"/>
  <c r="NRP46" i="79"/>
  <c r="NRO46" i="79"/>
  <c r="NRN46" i="79"/>
  <c r="NRM46" i="79"/>
  <c r="NRL46" i="79"/>
  <c r="NRK46" i="79"/>
  <c r="NRJ46" i="79"/>
  <c r="NRI46" i="79"/>
  <c r="NRH46" i="79"/>
  <c r="NRG46" i="79"/>
  <c r="NRF46" i="79"/>
  <c r="NRE46" i="79"/>
  <c r="NRD46" i="79"/>
  <c r="NRC46" i="79"/>
  <c r="NRB46" i="79"/>
  <c r="NRA46" i="79"/>
  <c r="NQZ46" i="79"/>
  <c r="NQY46" i="79"/>
  <c r="NQX46" i="79"/>
  <c r="NQW46" i="79"/>
  <c r="NQV46" i="79"/>
  <c r="NQU46" i="79"/>
  <c r="NQT46" i="79"/>
  <c r="NQS46" i="79"/>
  <c r="NQR46" i="79"/>
  <c r="NQQ46" i="79"/>
  <c r="NQP46" i="79"/>
  <c r="NQO46" i="79"/>
  <c r="NQN46" i="79"/>
  <c r="NQM46" i="79"/>
  <c r="NQL46" i="79"/>
  <c r="NQK46" i="79"/>
  <c r="NQJ46" i="79"/>
  <c r="NQI46" i="79"/>
  <c r="NQH46" i="79"/>
  <c r="NQG46" i="79"/>
  <c r="NQF46" i="79"/>
  <c r="NQE46" i="79"/>
  <c r="NQD46" i="79"/>
  <c r="NQC46" i="79"/>
  <c r="NQB46" i="79"/>
  <c r="NQA46" i="79"/>
  <c r="NPZ46" i="79"/>
  <c r="NPY46" i="79"/>
  <c r="NPX46" i="79"/>
  <c r="NPW46" i="79"/>
  <c r="NPV46" i="79"/>
  <c r="NPU46" i="79"/>
  <c r="NPT46" i="79"/>
  <c r="NPS46" i="79"/>
  <c r="NPR46" i="79"/>
  <c r="NPQ46" i="79"/>
  <c r="NPP46" i="79"/>
  <c r="NPO46" i="79"/>
  <c r="NPN46" i="79"/>
  <c r="NPM46" i="79"/>
  <c r="NPL46" i="79"/>
  <c r="NPK46" i="79"/>
  <c r="NPJ46" i="79"/>
  <c r="NPI46" i="79"/>
  <c r="NPH46" i="79"/>
  <c r="NPG46" i="79"/>
  <c r="NPF46" i="79"/>
  <c r="NPE46" i="79"/>
  <c r="NPD46" i="79"/>
  <c r="NPC46" i="79"/>
  <c r="NPB46" i="79"/>
  <c r="NPA46" i="79"/>
  <c r="NOZ46" i="79"/>
  <c r="NOY46" i="79"/>
  <c r="NOX46" i="79"/>
  <c r="NOW46" i="79"/>
  <c r="NOV46" i="79"/>
  <c r="NOU46" i="79"/>
  <c r="NOT46" i="79"/>
  <c r="NOS46" i="79"/>
  <c r="NOR46" i="79"/>
  <c r="NOQ46" i="79"/>
  <c r="NOP46" i="79"/>
  <c r="NOO46" i="79"/>
  <c r="NON46" i="79"/>
  <c r="NOM46" i="79"/>
  <c r="NOL46" i="79"/>
  <c r="NOK46" i="79"/>
  <c r="NOJ46" i="79"/>
  <c r="NOI46" i="79"/>
  <c r="NOH46" i="79"/>
  <c r="NOG46" i="79"/>
  <c r="NOF46" i="79"/>
  <c r="NOE46" i="79"/>
  <c r="NOD46" i="79"/>
  <c r="NOC46" i="79"/>
  <c r="NOB46" i="79"/>
  <c r="NOA46" i="79"/>
  <c r="NNZ46" i="79"/>
  <c r="NNY46" i="79"/>
  <c r="NNX46" i="79"/>
  <c r="NNW46" i="79"/>
  <c r="NNV46" i="79"/>
  <c r="NNU46" i="79"/>
  <c r="NNT46" i="79"/>
  <c r="NNS46" i="79"/>
  <c r="NNR46" i="79"/>
  <c r="NNQ46" i="79"/>
  <c r="NNP46" i="79"/>
  <c r="NNO46" i="79"/>
  <c r="NNN46" i="79"/>
  <c r="NNM46" i="79"/>
  <c r="NNL46" i="79"/>
  <c r="NNK46" i="79"/>
  <c r="NNJ46" i="79"/>
  <c r="NNI46" i="79"/>
  <c r="NNH46" i="79"/>
  <c r="NNG46" i="79"/>
  <c r="NNF46" i="79"/>
  <c r="NNE46" i="79"/>
  <c r="NND46" i="79"/>
  <c r="NNC46" i="79"/>
  <c r="NNB46" i="79"/>
  <c r="NNA46" i="79"/>
  <c r="NMZ46" i="79"/>
  <c r="NMY46" i="79"/>
  <c r="NMX46" i="79"/>
  <c r="NMW46" i="79"/>
  <c r="NMV46" i="79"/>
  <c r="NMU46" i="79"/>
  <c r="NMT46" i="79"/>
  <c r="NMS46" i="79"/>
  <c r="NMR46" i="79"/>
  <c r="NMQ46" i="79"/>
  <c r="NMP46" i="79"/>
  <c r="NMO46" i="79"/>
  <c r="NMN46" i="79"/>
  <c r="NMM46" i="79"/>
  <c r="NML46" i="79"/>
  <c r="NMK46" i="79"/>
  <c r="NMJ46" i="79"/>
  <c r="NMI46" i="79"/>
  <c r="NMH46" i="79"/>
  <c r="NMG46" i="79"/>
  <c r="NMF46" i="79"/>
  <c r="NME46" i="79"/>
  <c r="NMD46" i="79"/>
  <c r="NMC46" i="79"/>
  <c r="NMB46" i="79"/>
  <c r="NMA46" i="79"/>
  <c r="NLZ46" i="79"/>
  <c r="NLY46" i="79"/>
  <c r="NLX46" i="79"/>
  <c r="NLW46" i="79"/>
  <c r="NLV46" i="79"/>
  <c r="NLU46" i="79"/>
  <c r="NLT46" i="79"/>
  <c r="NLS46" i="79"/>
  <c r="NLR46" i="79"/>
  <c r="NLQ46" i="79"/>
  <c r="NLP46" i="79"/>
  <c r="NLO46" i="79"/>
  <c r="NLN46" i="79"/>
  <c r="NLM46" i="79"/>
  <c r="NLL46" i="79"/>
  <c r="NLK46" i="79"/>
  <c r="NLJ46" i="79"/>
  <c r="NLI46" i="79"/>
  <c r="NLH46" i="79"/>
  <c r="NLG46" i="79"/>
  <c r="NLF46" i="79"/>
  <c r="NLE46" i="79"/>
  <c r="NLD46" i="79"/>
  <c r="NLC46" i="79"/>
  <c r="NLB46" i="79"/>
  <c r="NLA46" i="79"/>
  <c r="NKZ46" i="79"/>
  <c r="NKY46" i="79"/>
  <c r="NKX46" i="79"/>
  <c r="NKW46" i="79"/>
  <c r="NKV46" i="79"/>
  <c r="NKU46" i="79"/>
  <c r="NKT46" i="79"/>
  <c r="NKS46" i="79"/>
  <c r="NKR46" i="79"/>
  <c r="NKQ46" i="79"/>
  <c r="NKP46" i="79"/>
  <c r="NKO46" i="79"/>
  <c r="NKN46" i="79"/>
  <c r="NKM46" i="79"/>
  <c r="NKL46" i="79"/>
  <c r="NKK46" i="79"/>
  <c r="NKJ46" i="79"/>
  <c r="NKI46" i="79"/>
  <c r="NKH46" i="79"/>
  <c r="NKG46" i="79"/>
  <c r="NKF46" i="79"/>
  <c r="NKE46" i="79"/>
  <c r="NKD46" i="79"/>
  <c r="NKC46" i="79"/>
  <c r="NKB46" i="79"/>
  <c r="NKA46" i="79"/>
  <c r="NJZ46" i="79"/>
  <c r="NJY46" i="79"/>
  <c r="NJX46" i="79"/>
  <c r="NJW46" i="79"/>
  <c r="NJV46" i="79"/>
  <c r="NJU46" i="79"/>
  <c r="NJT46" i="79"/>
  <c r="NJS46" i="79"/>
  <c r="NJR46" i="79"/>
  <c r="NJQ46" i="79"/>
  <c r="NJP46" i="79"/>
  <c r="NJO46" i="79"/>
  <c r="NJN46" i="79"/>
  <c r="NJM46" i="79"/>
  <c r="NJL46" i="79"/>
  <c r="NJK46" i="79"/>
  <c r="NJJ46" i="79"/>
  <c r="NJI46" i="79"/>
  <c r="NJH46" i="79"/>
  <c r="NJG46" i="79"/>
  <c r="NJF46" i="79"/>
  <c r="NJE46" i="79"/>
  <c r="NJD46" i="79"/>
  <c r="NJC46" i="79"/>
  <c r="NJB46" i="79"/>
  <c r="NJA46" i="79"/>
  <c r="NIZ46" i="79"/>
  <c r="NIY46" i="79"/>
  <c r="NIX46" i="79"/>
  <c r="NIW46" i="79"/>
  <c r="NIV46" i="79"/>
  <c r="NIU46" i="79"/>
  <c r="NIT46" i="79"/>
  <c r="NIS46" i="79"/>
  <c r="NIR46" i="79"/>
  <c r="NIQ46" i="79"/>
  <c r="NIP46" i="79"/>
  <c r="NIO46" i="79"/>
  <c r="NIN46" i="79"/>
  <c r="NIM46" i="79"/>
  <c r="NIL46" i="79"/>
  <c r="NIK46" i="79"/>
  <c r="NIJ46" i="79"/>
  <c r="NII46" i="79"/>
  <c r="NIH46" i="79"/>
  <c r="NIG46" i="79"/>
  <c r="NIF46" i="79"/>
  <c r="NIE46" i="79"/>
  <c r="NID46" i="79"/>
  <c r="NIC46" i="79"/>
  <c r="NIB46" i="79"/>
  <c r="NIA46" i="79"/>
  <c r="NHZ46" i="79"/>
  <c r="NHY46" i="79"/>
  <c r="NHX46" i="79"/>
  <c r="NHW46" i="79"/>
  <c r="NHV46" i="79"/>
  <c r="NHU46" i="79"/>
  <c r="NHT46" i="79"/>
  <c r="NHS46" i="79"/>
  <c r="NHR46" i="79"/>
  <c r="NHQ46" i="79"/>
  <c r="NHP46" i="79"/>
  <c r="NHO46" i="79"/>
  <c r="NHN46" i="79"/>
  <c r="NHM46" i="79"/>
  <c r="NHL46" i="79"/>
  <c r="NHK46" i="79"/>
  <c r="NHJ46" i="79"/>
  <c r="NHI46" i="79"/>
  <c r="NHH46" i="79"/>
  <c r="NHG46" i="79"/>
  <c r="NHF46" i="79"/>
  <c r="NHE46" i="79"/>
  <c r="NHD46" i="79"/>
  <c r="NHC46" i="79"/>
  <c r="NHB46" i="79"/>
  <c r="NHA46" i="79"/>
  <c r="NGZ46" i="79"/>
  <c r="NGY46" i="79"/>
  <c r="NGX46" i="79"/>
  <c r="NGW46" i="79"/>
  <c r="NGV46" i="79"/>
  <c r="NGU46" i="79"/>
  <c r="NGT46" i="79"/>
  <c r="NGS46" i="79"/>
  <c r="NGR46" i="79"/>
  <c r="NGQ46" i="79"/>
  <c r="NGP46" i="79"/>
  <c r="NGO46" i="79"/>
  <c r="NGN46" i="79"/>
  <c r="NGM46" i="79"/>
  <c r="NGL46" i="79"/>
  <c r="NGK46" i="79"/>
  <c r="NGJ46" i="79"/>
  <c r="NGI46" i="79"/>
  <c r="NGH46" i="79"/>
  <c r="NGG46" i="79"/>
  <c r="NGF46" i="79"/>
  <c r="NGE46" i="79"/>
  <c r="NGD46" i="79"/>
  <c r="NGC46" i="79"/>
  <c r="NGB46" i="79"/>
  <c r="NGA46" i="79"/>
  <c r="NFZ46" i="79"/>
  <c r="NFY46" i="79"/>
  <c r="NFX46" i="79"/>
  <c r="NFW46" i="79"/>
  <c r="NFV46" i="79"/>
  <c r="NFU46" i="79"/>
  <c r="NFT46" i="79"/>
  <c r="NFS46" i="79"/>
  <c r="NFR46" i="79"/>
  <c r="NFQ46" i="79"/>
  <c r="NFP46" i="79"/>
  <c r="NFO46" i="79"/>
  <c r="NFN46" i="79"/>
  <c r="NFM46" i="79"/>
  <c r="NFL46" i="79"/>
  <c r="NFK46" i="79"/>
  <c r="NFJ46" i="79"/>
  <c r="NFI46" i="79"/>
  <c r="NFH46" i="79"/>
  <c r="NFG46" i="79"/>
  <c r="NFF46" i="79"/>
  <c r="NFE46" i="79"/>
  <c r="NFD46" i="79"/>
  <c r="NFC46" i="79"/>
  <c r="NFB46" i="79"/>
  <c r="NFA46" i="79"/>
  <c r="NEZ46" i="79"/>
  <c r="NEY46" i="79"/>
  <c r="NEX46" i="79"/>
  <c r="NEW46" i="79"/>
  <c r="NEV46" i="79"/>
  <c r="NEU46" i="79"/>
  <c r="NET46" i="79"/>
  <c r="NES46" i="79"/>
  <c r="NER46" i="79"/>
  <c r="NEQ46" i="79"/>
  <c r="NEP46" i="79"/>
  <c r="NEO46" i="79"/>
  <c r="NEN46" i="79"/>
  <c r="NEM46" i="79"/>
  <c r="NEL46" i="79"/>
  <c r="NEK46" i="79"/>
  <c r="NEJ46" i="79"/>
  <c r="NEI46" i="79"/>
  <c r="NEH46" i="79"/>
  <c r="NEG46" i="79"/>
  <c r="NEF46" i="79"/>
  <c r="NEE46" i="79"/>
  <c r="NED46" i="79"/>
  <c r="NEC46" i="79"/>
  <c r="NEB46" i="79"/>
  <c r="NEA46" i="79"/>
  <c r="NDZ46" i="79"/>
  <c r="NDY46" i="79"/>
  <c r="NDX46" i="79"/>
  <c r="NDW46" i="79"/>
  <c r="NDV46" i="79"/>
  <c r="NDU46" i="79"/>
  <c r="NDT46" i="79"/>
  <c r="NDS46" i="79"/>
  <c r="NDR46" i="79"/>
  <c r="NDQ46" i="79"/>
  <c r="NDP46" i="79"/>
  <c r="NDO46" i="79"/>
  <c r="NDN46" i="79"/>
  <c r="NDM46" i="79"/>
  <c r="NDL46" i="79"/>
  <c r="NDK46" i="79"/>
  <c r="NDJ46" i="79"/>
  <c r="NDI46" i="79"/>
  <c r="NDH46" i="79"/>
  <c r="NDG46" i="79"/>
  <c r="NDF46" i="79"/>
  <c r="NDE46" i="79"/>
  <c r="NDD46" i="79"/>
  <c r="NDC46" i="79"/>
  <c r="NDB46" i="79"/>
  <c r="NDA46" i="79"/>
  <c r="NCZ46" i="79"/>
  <c r="NCY46" i="79"/>
  <c r="NCX46" i="79"/>
  <c r="NCW46" i="79"/>
  <c r="NCV46" i="79"/>
  <c r="NCU46" i="79"/>
  <c r="NCT46" i="79"/>
  <c r="NCS46" i="79"/>
  <c r="NCR46" i="79"/>
  <c r="NCQ46" i="79"/>
  <c r="NCP46" i="79"/>
  <c r="NCO46" i="79"/>
  <c r="NCN46" i="79"/>
  <c r="NCM46" i="79"/>
  <c r="NCL46" i="79"/>
  <c r="NCK46" i="79"/>
  <c r="NCJ46" i="79"/>
  <c r="NCI46" i="79"/>
  <c r="NCH46" i="79"/>
  <c r="NCG46" i="79"/>
  <c r="NCF46" i="79"/>
  <c r="NCE46" i="79"/>
  <c r="NCD46" i="79"/>
  <c r="NCC46" i="79"/>
  <c r="NCB46" i="79"/>
  <c r="NCA46" i="79"/>
  <c r="NBZ46" i="79"/>
  <c r="NBY46" i="79"/>
  <c r="NBX46" i="79"/>
  <c r="NBW46" i="79"/>
  <c r="NBV46" i="79"/>
  <c r="NBU46" i="79"/>
  <c r="NBT46" i="79"/>
  <c r="NBS46" i="79"/>
  <c r="NBR46" i="79"/>
  <c r="NBQ46" i="79"/>
  <c r="NBP46" i="79"/>
  <c r="NBO46" i="79"/>
  <c r="NBN46" i="79"/>
  <c r="NBM46" i="79"/>
  <c r="NBL46" i="79"/>
  <c r="NBK46" i="79"/>
  <c r="NBJ46" i="79"/>
  <c r="NBI46" i="79"/>
  <c r="NBH46" i="79"/>
  <c r="NBG46" i="79"/>
  <c r="NBF46" i="79"/>
  <c r="NBE46" i="79"/>
  <c r="NBD46" i="79"/>
  <c r="NBC46" i="79"/>
  <c r="NBB46" i="79"/>
  <c r="NBA46" i="79"/>
  <c r="NAZ46" i="79"/>
  <c r="NAY46" i="79"/>
  <c r="NAX46" i="79"/>
  <c r="NAW46" i="79"/>
  <c r="NAV46" i="79"/>
  <c r="NAU46" i="79"/>
  <c r="NAT46" i="79"/>
  <c r="NAS46" i="79"/>
  <c r="NAR46" i="79"/>
  <c r="NAQ46" i="79"/>
  <c r="NAP46" i="79"/>
  <c r="NAO46" i="79"/>
  <c r="NAN46" i="79"/>
  <c r="NAM46" i="79"/>
  <c r="NAL46" i="79"/>
  <c r="NAK46" i="79"/>
  <c r="NAJ46" i="79"/>
  <c r="NAI46" i="79"/>
  <c r="NAH46" i="79"/>
  <c r="NAG46" i="79"/>
  <c r="NAF46" i="79"/>
  <c r="NAE46" i="79"/>
  <c r="NAD46" i="79"/>
  <c r="NAC46" i="79"/>
  <c r="NAB46" i="79"/>
  <c r="NAA46" i="79"/>
  <c r="MZZ46" i="79"/>
  <c r="MZY46" i="79"/>
  <c r="MZX46" i="79"/>
  <c r="MZW46" i="79"/>
  <c r="MZV46" i="79"/>
  <c r="MZU46" i="79"/>
  <c r="MZT46" i="79"/>
  <c r="MZS46" i="79"/>
  <c r="MZR46" i="79"/>
  <c r="MZQ46" i="79"/>
  <c r="MZP46" i="79"/>
  <c r="MZO46" i="79"/>
  <c r="MZN46" i="79"/>
  <c r="MZM46" i="79"/>
  <c r="MZL46" i="79"/>
  <c r="MZK46" i="79"/>
  <c r="MZJ46" i="79"/>
  <c r="MZI46" i="79"/>
  <c r="MZH46" i="79"/>
  <c r="MZG46" i="79"/>
  <c r="MZF46" i="79"/>
  <c r="MZE46" i="79"/>
  <c r="MZD46" i="79"/>
  <c r="MZC46" i="79"/>
  <c r="MZB46" i="79"/>
  <c r="MZA46" i="79"/>
  <c r="MYZ46" i="79"/>
  <c r="MYY46" i="79"/>
  <c r="MYX46" i="79"/>
  <c r="MYW46" i="79"/>
  <c r="MYV46" i="79"/>
  <c r="MYU46" i="79"/>
  <c r="MYT46" i="79"/>
  <c r="MYS46" i="79"/>
  <c r="MYR46" i="79"/>
  <c r="MYQ46" i="79"/>
  <c r="MYP46" i="79"/>
  <c r="MYO46" i="79"/>
  <c r="MYN46" i="79"/>
  <c r="MYM46" i="79"/>
  <c r="MYL46" i="79"/>
  <c r="MYK46" i="79"/>
  <c r="MYJ46" i="79"/>
  <c r="MYI46" i="79"/>
  <c r="MYH46" i="79"/>
  <c r="MYG46" i="79"/>
  <c r="MYF46" i="79"/>
  <c r="MYE46" i="79"/>
  <c r="MYD46" i="79"/>
  <c r="MYC46" i="79"/>
  <c r="MYB46" i="79"/>
  <c r="MYA46" i="79"/>
  <c r="MXZ46" i="79"/>
  <c r="MXY46" i="79"/>
  <c r="MXX46" i="79"/>
  <c r="MXW46" i="79"/>
  <c r="MXV46" i="79"/>
  <c r="MXU46" i="79"/>
  <c r="MXT46" i="79"/>
  <c r="MXS46" i="79"/>
  <c r="MXR46" i="79"/>
  <c r="MXQ46" i="79"/>
  <c r="MXP46" i="79"/>
  <c r="MXO46" i="79"/>
  <c r="MXN46" i="79"/>
  <c r="MXM46" i="79"/>
  <c r="MXL46" i="79"/>
  <c r="MXK46" i="79"/>
  <c r="MXJ46" i="79"/>
  <c r="MXI46" i="79"/>
  <c r="MXH46" i="79"/>
  <c r="MXG46" i="79"/>
  <c r="MXF46" i="79"/>
  <c r="MXE46" i="79"/>
  <c r="MXD46" i="79"/>
  <c r="MXC46" i="79"/>
  <c r="MXB46" i="79"/>
  <c r="MXA46" i="79"/>
  <c r="MWZ46" i="79"/>
  <c r="MWY46" i="79"/>
  <c r="MWX46" i="79"/>
  <c r="MWW46" i="79"/>
  <c r="MWV46" i="79"/>
  <c r="MWU46" i="79"/>
  <c r="MWT46" i="79"/>
  <c r="MWS46" i="79"/>
  <c r="MWR46" i="79"/>
  <c r="MWQ46" i="79"/>
  <c r="MWP46" i="79"/>
  <c r="MWO46" i="79"/>
  <c r="MWN46" i="79"/>
  <c r="MWM46" i="79"/>
  <c r="MWL46" i="79"/>
  <c r="MWK46" i="79"/>
  <c r="MWJ46" i="79"/>
  <c r="MWI46" i="79"/>
  <c r="MWH46" i="79"/>
  <c r="MWG46" i="79"/>
  <c r="MWF46" i="79"/>
  <c r="MWE46" i="79"/>
  <c r="MWD46" i="79"/>
  <c r="MWC46" i="79"/>
  <c r="MWB46" i="79"/>
  <c r="MWA46" i="79"/>
  <c r="MVZ46" i="79"/>
  <c r="MVY46" i="79"/>
  <c r="MVX46" i="79"/>
  <c r="MVW46" i="79"/>
  <c r="MVV46" i="79"/>
  <c r="MVU46" i="79"/>
  <c r="MVT46" i="79"/>
  <c r="MVS46" i="79"/>
  <c r="MVR46" i="79"/>
  <c r="MVQ46" i="79"/>
  <c r="MVP46" i="79"/>
  <c r="MVO46" i="79"/>
  <c r="MVN46" i="79"/>
  <c r="MVM46" i="79"/>
  <c r="MVL46" i="79"/>
  <c r="MVK46" i="79"/>
  <c r="MVJ46" i="79"/>
  <c r="MVI46" i="79"/>
  <c r="MVH46" i="79"/>
  <c r="MVG46" i="79"/>
  <c r="MVF46" i="79"/>
  <c r="MVE46" i="79"/>
  <c r="MVD46" i="79"/>
  <c r="MVC46" i="79"/>
  <c r="MVB46" i="79"/>
  <c r="MVA46" i="79"/>
  <c r="MUZ46" i="79"/>
  <c r="MUY46" i="79"/>
  <c r="MUX46" i="79"/>
  <c r="MUW46" i="79"/>
  <c r="MUV46" i="79"/>
  <c r="MUU46" i="79"/>
  <c r="MUT46" i="79"/>
  <c r="MUS46" i="79"/>
  <c r="MUR46" i="79"/>
  <c r="MUQ46" i="79"/>
  <c r="MUP46" i="79"/>
  <c r="MUO46" i="79"/>
  <c r="MUN46" i="79"/>
  <c r="MUM46" i="79"/>
  <c r="MUL46" i="79"/>
  <c r="MUK46" i="79"/>
  <c r="MUJ46" i="79"/>
  <c r="MUI46" i="79"/>
  <c r="MUH46" i="79"/>
  <c r="MUG46" i="79"/>
  <c r="MUF46" i="79"/>
  <c r="MUE46" i="79"/>
  <c r="MUD46" i="79"/>
  <c r="MUC46" i="79"/>
  <c r="MUB46" i="79"/>
  <c r="MUA46" i="79"/>
  <c r="MTZ46" i="79"/>
  <c r="MTY46" i="79"/>
  <c r="MTX46" i="79"/>
  <c r="MTW46" i="79"/>
  <c r="MTV46" i="79"/>
  <c r="MTU46" i="79"/>
  <c r="MTT46" i="79"/>
  <c r="MTS46" i="79"/>
  <c r="MTR46" i="79"/>
  <c r="MTQ46" i="79"/>
  <c r="MTP46" i="79"/>
  <c r="MTO46" i="79"/>
  <c r="MTN46" i="79"/>
  <c r="MTM46" i="79"/>
  <c r="MTL46" i="79"/>
  <c r="MTK46" i="79"/>
  <c r="MTJ46" i="79"/>
  <c r="MTI46" i="79"/>
  <c r="MTH46" i="79"/>
  <c r="MTG46" i="79"/>
  <c r="MTF46" i="79"/>
  <c r="MTE46" i="79"/>
  <c r="MTD46" i="79"/>
  <c r="MTC46" i="79"/>
  <c r="MTB46" i="79"/>
  <c r="MTA46" i="79"/>
  <c r="MSZ46" i="79"/>
  <c r="MSY46" i="79"/>
  <c r="MSX46" i="79"/>
  <c r="MSW46" i="79"/>
  <c r="MSV46" i="79"/>
  <c r="MSU46" i="79"/>
  <c r="MST46" i="79"/>
  <c r="MSS46" i="79"/>
  <c r="MSR46" i="79"/>
  <c r="MSQ46" i="79"/>
  <c r="MSP46" i="79"/>
  <c r="MSO46" i="79"/>
  <c r="MSN46" i="79"/>
  <c r="MSM46" i="79"/>
  <c r="MSL46" i="79"/>
  <c r="MSK46" i="79"/>
  <c r="MSJ46" i="79"/>
  <c r="MSI46" i="79"/>
  <c r="MSH46" i="79"/>
  <c r="MSG46" i="79"/>
  <c r="MSF46" i="79"/>
  <c r="MSE46" i="79"/>
  <c r="MSD46" i="79"/>
  <c r="MSC46" i="79"/>
  <c r="MSB46" i="79"/>
  <c r="MSA46" i="79"/>
  <c r="MRZ46" i="79"/>
  <c r="MRY46" i="79"/>
  <c r="MRX46" i="79"/>
  <c r="MRW46" i="79"/>
  <c r="MRV46" i="79"/>
  <c r="MRU46" i="79"/>
  <c r="MRT46" i="79"/>
  <c r="MRS46" i="79"/>
  <c r="MRR46" i="79"/>
  <c r="MRQ46" i="79"/>
  <c r="MRP46" i="79"/>
  <c r="MRO46" i="79"/>
  <c r="MRN46" i="79"/>
  <c r="MRM46" i="79"/>
  <c r="MRL46" i="79"/>
  <c r="MRK46" i="79"/>
  <c r="MRJ46" i="79"/>
  <c r="MRI46" i="79"/>
  <c r="MRH46" i="79"/>
  <c r="MRG46" i="79"/>
  <c r="MRF46" i="79"/>
  <c r="MRE46" i="79"/>
  <c r="MRD46" i="79"/>
  <c r="MRC46" i="79"/>
  <c r="MRB46" i="79"/>
  <c r="MRA46" i="79"/>
  <c r="MQZ46" i="79"/>
  <c r="MQY46" i="79"/>
  <c r="MQX46" i="79"/>
  <c r="MQW46" i="79"/>
  <c r="MQV46" i="79"/>
  <c r="MQU46" i="79"/>
  <c r="MQT46" i="79"/>
  <c r="MQS46" i="79"/>
  <c r="MQR46" i="79"/>
  <c r="MQQ46" i="79"/>
  <c r="MQP46" i="79"/>
  <c r="MQO46" i="79"/>
  <c r="MQN46" i="79"/>
  <c r="MQM46" i="79"/>
  <c r="MQL46" i="79"/>
  <c r="MQK46" i="79"/>
  <c r="MQJ46" i="79"/>
  <c r="MQI46" i="79"/>
  <c r="MQH46" i="79"/>
  <c r="MQG46" i="79"/>
  <c r="MQF46" i="79"/>
  <c r="MQE46" i="79"/>
  <c r="MQD46" i="79"/>
  <c r="MQC46" i="79"/>
  <c r="MQB46" i="79"/>
  <c r="MQA46" i="79"/>
  <c r="MPZ46" i="79"/>
  <c r="MPY46" i="79"/>
  <c r="MPX46" i="79"/>
  <c r="MPW46" i="79"/>
  <c r="MPV46" i="79"/>
  <c r="MPU46" i="79"/>
  <c r="MPT46" i="79"/>
  <c r="MPS46" i="79"/>
  <c r="MPR46" i="79"/>
  <c r="MPQ46" i="79"/>
  <c r="MPP46" i="79"/>
  <c r="MPO46" i="79"/>
  <c r="MPN46" i="79"/>
  <c r="MPM46" i="79"/>
  <c r="MPL46" i="79"/>
  <c r="MPK46" i="79"/>
  <c r="MPJ46" i="79"/>
  <c r="MPI46" i="79"/>
  <c r="MPH46" i="79"/>
  <c r="MPG46" i="79"/>
  <c r="MPF46" i="79"/>
  <c r="MPE46" i="79"/>
  <c r="MPD46" i="79"/>
  <c r="MPC46" i="79"/>
  <c r="MPB46" i="79"/>
  <c r="MPA46" i="79"/>
  <c r="MOZ46" i="79"/>
  <c r="MOY46" i="79"/>
  <c r="MOX46" i="79"/>
  <c r="MOW46" i="79"/>
  <c r="MOV46" i="79"/>
  <c r="MOU46" i="79"/>
  <c r="MOT46" i="79"/>
  <c r="MOS46" i="79"/>
  <c r="MOR46" i="79"/>
  <c r="MOQ46" i="79"/>
  <c r="MOP46" i="79"/>
  <c r="MOO46" i="79"/>
  <c r="MON46" i="79"/>
  <c r="MOM46" i="79"/>
  <c r="MOL46" i="79"/>
  <c r="MOK46" i="79"/>
  <c r="MOJ46" i="79"/>
  <c r="MOI46" i="79"/>
  <c r="MOH46" i="79"/>
  <c r="MOG46" i="79"/>
  <c r="MOF46" i="79"/>
  <c r="MOE46" i="79"/>
  <c r="MOD46" i="79"/>
  <c r="MOC46" i="79"/>
  <c r="MOB46" i="79"/>
  <c r="MOA46" i="79"/>
  <c r="MNZ46" i="79"/>
  <c r="MNY46" i="79"/>
  <c r="MNX46" i="79"/>
  <c r="MNW46" i="79"/>
  <c r="MNV46" i="79"/>
  <c r="MNU46" i="79"/>
  <c r="MNT46" i="79"/>
  <c r="MNS46" i="79"/>
  <c r="MNR46" i="79"/>
  <c r="MNQ46" i="79"/>
  <c r="MNP46" i="79"/>
  <c r="MNO46" i="79"/>
  <c r="MNN46" i="79"/>
  <c r="MNM46" i="79"/>
  <c r="MNL46" i="79"/>
  <c r="MNK46" i="79"/>
  <c r="MNJ46" i="79"/>
  <c r="MNI46" i="79"/>
  <c r="MNH46" i="79"/>
  <c r="MNG46" i="79"/>
  <c r="MNF46" i="79"/>
  <c r="MNE46" i="79"/>
  <c r="MND46" i="79"/>
  <c r="MNC46" i="79"/>
  <c r="MNB46" i="79"/>
  <c r="MNA46" i="79"/>
  <c r="MMZ46" i="79"/>
  <c r="MMY46" i="79"/>
  <c r="MMX46" i="79"/>
  <c r="MMW46" i="79"/>
  <c r="MMV46" i="79"/>
  <c r="MMU46" i="79"/>
  <c r="MMT46" i="79"/>
  <c r="MMS46" i="79"/>
  <c r="MMR46" i="79"/>
  <c r="MMQ46" i="79"/>
  <c r="MMP46" i="79"/>
  <c r="MMO46" i="79"/>
  <c r="MMN46" i="79"/>
  <c r="MMM46" i="79"/>
  <c r="MML46" i="79"/>
  <c r="MMK46" i="79"/>
  <c r="MMJ46" i="79"/>
  <c r="MMI46" i="79"/>
  <c r="MMH46" i="79"/>
  <c r="MMG46" i="79"/>
  <c r="MMF46" i="79"/>
  <c r="MME46" i="79"/>
  <c r="MMD46" i="79"/>
  <c r="MMC46" i="79"/>
  <c r="MMB46" i="79"/>
  <c r="MMA46" i="79"/>
  <c r="MLZ46" i="79"/>
  <c r="MLY46" i="79"/>
  <c r="MLX46" i="79"/>
  <c r="MLW46" i="79"/>
  <c r="MLV46" i="79"/>
  <c r="MLU46" i="79"/>
  <c r="MLT46" i="79"/>
  <c r="MLS46" i="79"/>
  <c r="MLR46" i="79"/>
  <c r="MLQ46" i="79"/>
  <c r="MLP46" i="79"/>
  <c r="MLO46" i="79"/>
  <c r="MLN46" i="79"/>
  <c r="MLM46" i="79"/>
  <c r="MLL46" i="79"/>
  <c r="MLK46" i="79"/>
  <c r="MLJ46" i="79"/>
  <c r="MLI46" i="79"/>
  <c r="MLH46" i="79"/>
  <c r="MLG46" i="79"/>
  <c r="MLF46" i="79"/>
  <c r="MLE46" i="79"/>
  <c r="MLD46" i="79"/>
  <c r="MLC46" i="79"/>
  <c r="MLB46" i="79"/>
  <c r="MLA46" i="79"/>
  <c r="MKZ46" i="79"/>
  <c r="MKY46" i="79"/>
  <c r="MKX46" i="79"/>
  <c r="MKW46" i="79"/>
  <c r="MKV46" i="79"/>
  <c r="MKU46" i="79"/>
  <c r="MKT46" i="79"/>
  <c r="MKS46" i="79"/>
  <c r="MKR46" i="79"/>
  <c r="MKQ46" i="79"/>
  <c r="MKP46" i="79"/>
  <c r="MKO46" i="79"/>
  <c r="MKN46" i="79"/>
  <c r="MKM46" i="79"/>
  <c r="MKL46" i="79"/>
  <c r="MKK46" i="79"/>
  <c r="MKJ46" i="79"/>
  <c r="MKI46" i="79"/>
  <c r="MKH46" i="79"/>
  <c r="MKG46" i="79"/>
  <c r="MKF46" i="79"/>
  <c r="MKE46" i="79"/>
  <c r="MKD46" i="79"/>
  <c r="MKC46" i="79"/>
  <c r="MKB46" i="79"/>
  <c r="MKA46" i="79"/>
  <c r="MJZ46" i="79"/>
  <c r="MJY46" i="79"/>
  <c r="MJX46" i="79"/>
  <c r="MJW46" i="79"/>
  <c r="MJV46" i="79"/>
  <c r="MJU46" i="79"/>
  <c r="MJT46" i="79"/>
  <c r="MJS46" i="79"/>
  <c r="MJR46" i="79"/>
  <c r="MJQ46" i="79"/>
  <c r="MJP46" i="79"/>
  <c r="MJO46" i="79"/>
  <c r="MJN46" i="79"/>
  <c r="MJM46" i="79"/>
  <c r="MJL46" i="79"/>
  <c r="MJK46" i="79"/>
  <c r="MJJ46" i="79"/>
  <c r="MJI46" i="79"/>
  <c r="MJH46" i="79"/>
  <c r="MJG46" i="79"/>
  <c r="MJF46" i="79"/>
  <c r="MJE46" i="79"/>
  <c r="MJD46" i="79"/>
  <c r="MJC46" i="79"/>
  <c r="MJB46" i="79"/>
  <c r="MJA46" i="79"/>
  <c r="MIZ46" i="79"/>
  <c r="MIY46" i="79"/>
  <c r="MIX46" i="79"/>
  <c r="MIW46" i="79"/>
  <c r="MIV46" i="79"/>
  <c r="MIU46" i="79"/>
  <c r="MIT46" i="79"/>
  <c r="MIS46" i="79"/>
  <c r="MIR46" i="79"/>
  <c r="MIQ46" i="79"/>
  <c r="MIP46" i="79"/>
  <c r="MIO46" i="79"/>
  <c r="MIN46" i="79"/>
  <c r="MIM46" i="79"/>
  <c r="MIL46" i="79"/>
  <c r="MIK46" i="79"/>
  <c r="MIJ46" i="79"/>
  <c r="MII46" i="79"/>
  <c r="MIH46" i="79"/>
  <c r="MIG46" i="79"/>
  <c r="MIF46" i="79"/>
  <c r="MIE46" i="79"/>
  <c r="MID46" i="79"/>
  <c r="MIC46" i="79"/>
  <c r="MIB46" i="79"/>
  <c r="MIA46" i="79"/>
  <c r="MHZ46" i="79"/>
  <c r="MHY46" i="79"/>
  <c r="MHX46" i="79"/>
  <c r="MHW46" i="79"/>
  <c r="MHV46" i="79"/>
  <c r="MHU46" i="79"/>
  <c r="MHT46" i="79"/>
  <c r="MHS46" i="79"/>
  <c r="MHR46" i="79"/>
  <c r="MHQ46" i="79"/>
  <c r="MHP46" i="79"/>
  <c r="MHO46" i="79"/>
  <c r="MHN46" i="79"/>
  <c r="MHM46" i="79"/>
  <c r="MHL46" i="79"/>
  <c r="MHK46" i="79"/>
  <c r="MHJ46" i="79"/>
  <c r="MHI46" i="79"/>
  <c r="MHH46" i="79"/>
  <c r="MHG46" i="79"/>
  <c r="MHF46" i="79"/>
  <c r="MHE46" i="79"/>
  <c r="MHD46" i="79"/>
  <c r="MHC46" i="79"/>
  <c r="MHB46" i="79"/>
  <c r="MHA46" i="79"/>
  <c r="MGZ46" i="79"/>
  <c r="MGY46" i="79"/>
  <c r="MGX46" i="79"/>
  <c r="MGW46" i="79"/>
  <c r="MGV46" i="79"/>
  <c r="MGU46" i="79"/>
  <c r="MGT46" i="79"/>
  <c r="MGS46" i="79"/>
  <c r="MGR46" i="79"/>
  <c r="MGQ46" i="79"/>
  <c r="MGP46" i="79"/>
  <c r="MGO46" i="79"/>
  <c r="MGN46" i="79"/>
  <c r="MGM46" i="79"/>
  <c r="MGL46" i="79"/>
  <c r="MGK46" i="79"/>
  <c r="MGJ46" i="79"/>
  <c r="MGI46" i="79"/>
  <c r="MGH46" i="79"/>
  <c r="MGG46" i="79"/>
  <c r="MGF46" i="79"/>
  <c r="MGE46" i="79"/>
  <c r="MGD46" i="79"/>
  <c r="MGC46" i="79"/>
  <c r="MGB46" i="79"/>
  <c r="MGA46" i="79"/>
  <c r="MFZ46" i="79"/>
  <c r="MFY46" i="79"/>
  <c r="MFX46" i="79"/>
  <c r="MFW46" i="79"/>
  <c r="MFV46" i="79"/>
  <c r="MFU46" i="79"/>
  <c r="MFT46" i="79"/>
  <c r="MFS46" i="79"/>
  <c r="MFR46" i="79"/>
  <c r="MFQ46" i="79"/>
  <c r="MFP46" i="79"/>
  <c r="MFO46" i="79"/>
  <c r="MFN46" i="79"/>
  <c r="MFM46" i="79"/>
  <c r="MFL46" i="79"/>
  <c r="MFK46" i="79"/>
  <c r="MFJ46" i="79"/>
  <c r="MFI46" i="79"/>
  <c r="MFH46" i="79"/>
  <c r="MFG46" i="79"/>
  <c r="MFF46" i="79"/>
  <c r="MFE46" i="79"/>
  <c r="MFD46" i="79"/>
  <c r="MFC46" i="79"/>
  <c r="MFB46" i="79"/>
  <c r="MFA46" i="79"/>
  <c r="MEZ46" i="79"/>
  <c r="MEY46" i="79"/>
  <c r="MEX46" i="79"/>
  <c r="MEW46" i="79"/>
  <c r="MEV46" i="79"/>
  <c r="MEU46" i="79"/>
  <c r="MET46" i="79"/>
  <c r="MES46" i="79"/>
  <c r="MER46" i="79"/>
  <c r="MEQ46" i="79"/>
  <c r="MEP46" i="79"/>
  <c r="MEO46" i="79"/>
  <c r="MEN46" i="79"/>
  <c r="MEM46" i="79"/>
  <c r="MEL46" i="79"/>
  <c r="MEK46" i="79"/>
  <c r="MEJ46" i="79"/>
  <c r="MEI46" i="79"/>
  <c r="MEH46" i="79"/>
  <c r="MEG46" i="79"/>
  <c r="MEF46" i="79"/>
  <c r="MEE46" i="79"/>
  <c r="MED46" i="79"/>
  <c r="MEC46" i="79"/>
  <c r="MEB46" i="79"/>
  <c r="MEA46" i="79"/>
  <c r="MDZ46" i="79"/>
  <c r="MDY46" i="79"/>
  <c r="MDX46" i="79"/>
  <c r="MDW46" i="79"/>
  <c r="MDV46" i="79"/>
  <c r="MDU46" i="79"/>
  <c r="MDT46" i="79"/>
  <c r="MDS46" i="79"/>
  <c r="MDR46" i="79"/>
  <c r="MDQ46" i="79"/>
  <c r="MDP46" i="79"/>
  <c r="MDO46" i="79"/>
  <c r="MDN46" i="79"/>
  <c r="MDM46" i="79"/>
  <c r="MDL46" i="79"/>
  <c r="MDK46" i="79"/>
  <c r="MDJ46" i="79"/>
  <c r="MDI46" i="79"/>
  <c r="MDH46" i="79"/>
  <c r="MDG46" i="79"/>
  <c r="MDF46" i="79"/>
  <c r="MDE46" i="79"/>
  <c r="MDD46" i="79"/>
  <c r="MDC46" i="79"/>
  <c r="MDB46" i="79"/>
  <c r="MDA46" i="79"/>
  <c r="MCZ46" i="79"/>
  <c r="MCY46" i="79"/>
  <c r="MCX46" i="79"/>
  <c r="MCW46" i="79"/>
  <c r="MCV46" i="79"/>
  <c r="MCU46" i="79"/>
  <c r="MCT46" i="79"/>
  <c r="MCS46" i="79"/>
  <c r="MCR46" i="79"/>
  <c r="MCQ46" i="79"/>
  <c r="MCP46" i="79"/>
  <c r="MCO46" i="79"/>
  <c r="MCN46" i="79"/>
  <c r="MCM46" i="79"/>
  <c r="MCL46" i="79"/>
  <c r="MCK46" i="79"/>
  <c r="MCJ46" i="79"/>
  <c r="MCI46" i="79"/>
  <c r="MCH46" i="79"/>
  <c r="MCG46" i="79"/>
  <c r="MCF46" i="79"/>
  <c r="MCE46" i="79"/>
  <c r="MCD46" i="79"/>
  <c r="MCC46" i="79"/>
  <c r="MCB46" i="79"/>
  <c r="MCA46" i="79"/>
  <c r="MBZ46" i="79"/>
  <c r="MBY46" i="79"/>
  <c r="MBX46" i="79"/>
  <c r="MBW46" i="79"/>
  <c r="MBV46" i="79"/>
  <c r="MBU46" i="79"/>
  <c r="MBT46" i="79"/>
  <c r="MBS46" i="79"/>
  <c r="MBR46" i="79"/>
  <c r="MBQ46" i="79"/>
  <c r="MBP46" i="79"/>
  <c r="MBO46" i="79"/>
  <c r="MBN46" i="79"/>
  <c r="MBM46" i="79"/>
  <c r="MBL46" i="79"/>
  <c r="MBK46" i="79"/>
  <c r="MBJ46" i="79"/>
  <c r="MBI46" i="79"/>
  <c r="MBH46" i="79"/>
  <c r="MBG46" i="79"/>
  <c r="MBF46" i="79"/>
  <c r="MBE46" i="79"/>
  <c r="MBD46" i="79"/>
  <c r="MBC46" i="79"/>
  <c r="MBB46" i="79"/>
  <c r="MBA46" i="79"/>
  <c r="MAZ46" i="79"/>
  <c r="MAY46" i="79"/>
  <c r="MAX46" i="79"/>
  <c r="MAW46" i="79"/>
  <c r="MAV46" i="79"/>
  <c r="MAU46" i="79"/>
  <c r="MAT46" i="79"/>
  <c r="MAS46" i="79"/>
  <c r="MAR46" i="79"/>
  <c r="MAQ46" i="79"/>
  <c r="MAP46" i="79"/>
  <c r="MAO46" i="79"/>
  <c r="MAN46" i="79"/>
  <c r="MAM46" i="79"/>
  <c r="MAL46" i="79"/>
  <c r="MAK46" i="79"/>
  <c r="MAJ46" i="79"/>
  <c r="MAI46" i="79"/>
  <c r="MAH46" i="79"/>
  <c r="MAG46" i="79"/>
  <c r="MAF46" i="79"/>
  <c r="MAE46" i="79"/>
  <c r="MAD46" i="79"/>
  <c r="MAC46" i="79"/>
  <c r="MAB46" i="79"/>
  <c r="MAA46" i="79"/>
  <c r="LZZ46" i="79"/>
  <c r="LZY46" i="79"/>
  <c r="LZX46" i="79"/>
  <c r="LZW46" i="79"/>
  <c r="LZV46" i="79"/>
  <c r="LZU46" i="79"/>
  <c r="LZT46" i="79"/>
  <c r="LZS46" i="79"/>
  <c r="LZR46" i="79"/>
  <c r="LZQ46" i="79"/>
  <c r="LZP46" i="79"/>
  <c r="LZO46" i="79"/>
  <c r="LZN46" i="79"/>
  <c r="LZM46" i="79"/>
  <c r="LZL46" i="79"/>
  <c r="LZK46" i="79"/>
  <c r="LZJ46" i="79"/>
  <c r="LZI46" i="79"/>
  <c r="LZH46" i="79"/>
  <c r="LZG46" i="79"/>
  <c r="LZF46" i="79"/>
  <c r="LZE46" i="79"/>
  <c r="LZD46" i="79"/>
  <c r="LZC46" i="79"/>
  <c r="LZB46" i="79"/>
  <c r="LZA46" i="79"/>
  <c r="LYZ46" i="79"/>
  <c r="LYY46" i="79"/>
  <c r="LYX46" i="79"/>
  <c r="LYW46" i="79"/>
  <c r="LYV46" i="79"/>
  <c r="LYU46" i="79"/>
  <c r="LYT46" i="79"/>
  <c r="LYS46" i="79"/>
  <c r="LYR46" i="79"/>
  <c r="LYQ46" i="79"/>
  <c r="LYP46" i="79"/>
  <c r="LYO46" i="79"/>
  <c r="LYN46" i="79"/>
  <c r="LYM46" i="79"/>
  <c r="LYL46" i="79"/>
  <c r="LYK46" i="79"/>
  <c r="LYJ46" i="79"/>
  <c r="LYI46" i="79"/>
  <c r="LYH46" i="79"/>
  <c r="LYG46" i="79"/>
  <c r="LYF46" i="79"/>
  <c r="LYE46" i="79"/>
  <c r="LYD46" i="79"/>
  <c r="LYC46" i="79"/>
  <c r="LYB46" i="79"/>
  <c r="LYA46" i="79"/>
  <c r="LXZ46" i="79"/>
  <c r="LXY46" i="79"/>
  <c r="LXX46" i="79"/>
  <c r="LXW46" i="79"/>
  <c r="LXV46" i="79"/>
  <c r="LXU46" i="79"/>
  <c r="LXT46" i="79"/>
  <c r="LXS46" i="79"/>
  <c r="LXR46" i="79"/>
  <c r="LXQ46" i="79"/>
  <c r="LXP46" i="79"/>
  <c r="LXO46" i="79"/>
  <c r="LXN46" i="79"/>
  <c r="LXM46" i="79"/>
  <c r="LXL46" i="79"/>
  <c r="LXK46" i="79"/>
  <c r="LXJ46" i="79"/>
  <c r="LXI46" i="79"/>
  <c r="LXH46" i="79"/>
  <c r="LXG46" i="79"/>
  <c r="LXF46" i="79"/>
  <c r="LXE46" i="79"/>
  <c r="LXD46" i="79"/>
  <c r="LXC46" i="79"/>
  <c r="LXB46" i="79"/>
  <c r="LXA46" i="79"/>
  <c r="LWZ46" i="79"/>
  <c r="LWY46" i="79"/>
  <c r="LWX46" i="79"/>
  <c r="LWW46" i="79"/>
  <c r="LWV46" i="79"/>
  <c r="LWU46" i="79"/>
  <c r="LWT46" i="79"/>
  <c r="LWS46" i="79"/>
  <c r="LWR46" i="79"/>
  <c r="LWQ46" i="79"/>
  <c r="LWP46" i="79"/>
  <c r="LWO46" i="79"/>
  <c r="LWN46" i="79"/>
  <c r="LWM46" i="79"/>
  <c r="LWL46" i="79"/>
  <c r="LWK46" i="79"/>
  <c r="LWJ46" i="79"/>
  <c r="LWI46" i="79"/>
  <c r="LWH46" i="79"/>
  <c r="LWG46" i="79"/>
  <c r="LWF46" i="79"/>
  <c r="LWE46" i="79"/>
  <c r="LWD46" i="79"/>
  <c r="LWC46" i="79"/>
  <c r="LWB46" i="79"/>
  <c r="LWA46" i="79"/>
  <c r="LVZ46" i="79"/>
  <c r="LVY46" i="79"/>
  <c r="LVX46" i="79"/>
  <c r="LVW46" i="79"/>
  <c r="LVV46" i="79"/>
  <c r="LVU46" i="79"/>
  <c r="LVT46" i="79"/>
  <c r="LVS46" i="79"/>
  <c r="LVR46" i="79"/>
  <c r="LVQ46" i="79"/>
  <c r="LVP46" i="79"/>
  <c r="LVO46" i="79"/>
  <c r="LVN46" i="79"/>
  <c r="LVM46" i="79"/>
  <c r="LVL46" i="79"/>
  <c r="LVK46" i="79"/>
  <c r="LVJ46" i="79"/>
  <c r="LVI46" i="79"/>
  <c r="LVH46" i="79"/>
  <c r="LVG46" i="79"/>
  <c r="LVF46" i="79"/>
  <c r="LVE46" i="79"/>
  <c r="LVD46" i="79"/>
  <c r="LVC46" i="79"/>
  <c r="LVB46" i="79"/>
  <c r="LVA46" i="79"/>
  <c r="LUZ46" i="79"/>
  <c r="LUY46" i="79"/>
  <c r="LUX46" i="79"/>
  <c r="LUW46" i="79"/>
  <c r="LUV46" i="79"/>
  <c r="LUU46" i="79"/>
  <c r="LUT46" i="79"/>
  <c r="LUS46" i="79"/>
  <c r="LUR46" i="79"/>
  <c r="LUQ46" i="79"/>
  <c r="LUP46" i="79"/>
  <c r="LUO46" i="79"/>
  <c r="LUN46" i="79"/>
  <c r="LUM46" i="79"/>
  <c r="LUL46" i="79"/>
  <c r="LUK46" i="79"/>
  <c r="LUJ46" i="79"/>
  <c r="LUI46" i="79"/>
  <c r="LUH46" i="79"/>
  <c r="LUG46" i="79"/>
  <c r="LUF46" i="79"/>
  <c r="LUE46" i="79"/>
  <c r="LUD46" i="79"/>
  <c r="LUC46" i="79"/>
  <c r="LUB46" i="79"/>
  <c r="LUA46" i="79"/>
  <c r="LTZ46" i="79"/>
  <c r="LTY46" i="79"/>
  <c r="LTX46" i="79"/>
  <c r="LTW46" i="79"/>
  <c r="LTV46" i="79"/>
  <c r="LTU46" i="79"/>
  <c r="LTT46" i="79"/>
  <c r="LTS46" i="79"/>
  <c r="LTR46" i="79"/>
  <c r="LTQ46" i="79"/>
  <c r="LTP46" i="79"/>
  <c r="LTO46" i="79"/>
  <c r="LTN46" i="79"/>
  <c r="LTM46" i="79"/>
  <c r="LTL46" i="79"/>
  <c r="LTK46" i="79"/>
  <c r="LTJ46" i="79"/>
  <c r="LTI46" i="79"/>
  <c r="LTH46" i="79"/>
  <c r="LTG46" i="79"/>
  <c r="LTF46" i="79"/>
  <c r="LTE46" i="79"/>
  <c r="LTD46" i="79"/>
  <c r="LTC46" i="79"/>
  <c r="LTB46" i="79"/>
  <c r="LTA46" i="79"/>
  <c r="LSZ46" i="79"/>
  <c r="LSY46" i="79"/>
  <c r="LSX46" i="79"/>
  <c r="LSW46" i="79"/>
  <c r="LSV46" i="79"/>
  <c r="LSU46" i="79"/>
  <c r="LST46" i="79"/>
  <c r="LSS46" i="79"/>
  <c r="LSR46" i="79"/>
  <c r="LSQ46" i="79"/>
  <c r="LSP46" i="79"/>
  <c r="LSO46" i="79"/>
  <c r="LSN46" i="79"/>
  <c r="LSM46" i="79"/>
  <c r="LSL46" i="79"/>
  <c r="LSK46" i="79"/>
  <c r="LSJ46" i="79"/>
  <c r="LSI46" i="79"/>
  <c r="LSH46" i="79"/>
  <c r="LSG46" i="79"/>
  <c r="LSF46" i="79"/>
  <c r="LSE46" i="79"/>
  <c r="LSD46" i="79"/>
  <c r="LSC46" i="79"/>
  <c r="LSB46" i="79"/>
  <c r="LSA46" i="79"/>
  <c r="LRZ46" i="79"/>
  <c r="LRY46" i="79"/>
  <c r="LRX46" i="79"/>
  <c r="LRW46" i="79"/>
  <c r="LRV46" i="79"/>
  <c r="LRU46" i="79"/>
  <c r="LRT46" i="79"/>
  <c r="LRS46" i="79"/>
  <c r="LRR46" i="79"/>
  <c r="LRQ46" i="79"/>
  <c r="LRP46" i="79"/>
  <c r="LRO46" i="79"/>
  <c r="LRN46" i="79"/>
  <c r="LRM46" i="79"/>
  <c r="LRL46" i="79"/>
  <c r="LRK46" i="79"/>
  <c r="LRJ46" i="79"/>
  <c r="LRI46" i="79"/>
  <c r="LRH46" i="79"/>
  <c r="LRG46" i="79"/>
  <c r="LRF46" i="79"/>
  <c r="LRE46" i="79"/>
  <c r="LRD46" i="79"/>
  <c r="LRC46" i="79"/>
  <c r="LRB46" i="79"/>
  <c r="LRA46" i="79"/>
  <c r="LQZ46" i="79"/>
  <c r="LQY46" i="79"/>
  <c r="LQX46" i="79"/>
  <c r="LQW46" i="79"/>
  <c r="LQV46" i="79"/>
  <c r="LQU46" i="79"/>
  <c r="LQT46" i="79"/>
  <c r="LQS46" i="79"/>
  <c r="LQR46" i="79"/>
  <c r="LQQ46" i="79"/>
  <c r="LQP46" i="79"/>
  <c r="LQO46" i="79"/>
  <c r="LQN46" i="79"/>
  <c r="LQM46" i="79"/>
  <c r="LQL46" i="79"/>
  <c r="LQK46" i="79"/>
  <c r="LQJ46" i="79"/>
  <c r="LQI46" i="79"/>
  <c r="LQH46" i="79"/>
  <c r="LQG46" i="79"/>
  <c r="LQF46" i="79"/>
  <c r="LQE46" i="79"/>
  <c r="LQD46" i="79"/>
  <c r="LQC46" i="79"/>
  <c r="LQB46" i="79"/>
  <c r="LQA46" i="79"/>
  <c r="LPZ46" i="79"/>
  <c r="LPY46" i="79"/>
  <c r="LPX46" i="79"/>
  <c r="LPW46" i="79"/>
  <c r="LPV46" i="79"/>
  <c r="LPU46" i="79"/>
  <c r="LPT46" i="79"/>
  <c r="LPS46" i="79"/>
  <c r="LPR46" i="79"/>
  <c r="LPQ46" i="79"/>
  <c r="LPP46" i="79"/>
  <c r="LPO46" i="79"/>
  <c r="LPN46" i="79"/>
  <c r="LPM46" i="79"/>
  <c r="LPL46" i="79"/>
  <c r="LPK46" i="79"/>
  <c r="LPJ46" i="79"/>
  <c r="LPI46" i="79"/>
  <c r="LPH46" i="79"/>
  <c r="LPG46" i="79"/>
  <c r="LPF46" i="79"/>
  <c r="LPE46" i="79"/>
  <c r="LPD46" i="79"/>
  <c r="LPC46" i="79"/>
  <c r="LPB46" i="79"/>
  <c r="LPA46" i="79"/>
  <c r="LOZ46" i="79"/>
  <c r="LOY46" i="79"/>
  <c r="LOX46" i="79"/>
  <c r="LOW46" i="79"/>
  <c r="LOV46" i="79"/>
  <c r="LOU46" i="79"/>
  <c r="LOT46" i="79"/>
  <c r="LOS46" i="79"/>
  <c r="LOR46" i="79"/>
  <c r="LOQ46" i="79"/>
  <c r="LOP46" i="79"/>
  <c r="LOO46" i="79"/>
  <c r="LON46" i="79"/>
  <c r="LOM46" i="79"/>
  <c r="LOL46" i="79"/>
  <c r="LOK46" i="79"/>
  <c r="LOJ46" i="79"/>
  <c r="LOI46" i="79"/>
  <c r="LOH46" i="79"/>
  <c r="LOG46" i="79"/>
  <c r="LOF46" i="79"/>
  <c r="LOE46" i="79"/>
  <c r="LOD46" i="79"/>
  <c r="LOC46" i="79"/>
  <c r="LOB46" i="79"/>
  <c r="LOA46" i="79"/>
  <c r="LNZ46" i="79"/>
  <c r="LNY46" i="79"/>
  <c r="LNX46" i="79"/>
  <c r="LNW46" i="79"/>
  <c r="LNV46" i="79"/>
  <c r="LNU46" i="79"/>
  <c r="LNT46" i="79"/>
  <c r="LNS46" i="79"/>
  <c r="LNR46" i="79"/>
  <c r="LNQ46" i="79"/>
  <c r="LNP46" i="79"/>
  <c r="LNO46" i="79"/>
  <c r="LNN46" i="79"/>
  <c r="LNM46" i="79"/>
  <c r="LNL46" i="79"/>
  <c r="LNK46" i="79"/>
  <c r="LNJ46" i="79"/>
  <c r="LNI46" i="79"/>
  <c r="LNH46" i="79"/>
  <c r="LNG46" i="79"/>
  <c r="LNF46" i="79"/>
  <c r="LNE46" i="79"/>
  <c r="LND46" i="79"/>
  <c r="LNC46" i="79"/>
  <c r="LNB46" i="79"/>
  <c r="LNA46" i="79"/>
  <c r="LMZ46" i="79"/>
  <c r="LMY46" i="79"/>
  <c r="LMX46" i="79"/>
  <c r="LMW46" i="79"/>
  <c r="LMV46" i="79"/>
  <c r="LMU46" i="79"/>
  <c r="LMT46" i="79"/>
  <c r="LMS46" i="79"/>
  <c r="LMR46" i="79"/>
  <c r="LMQ46" i="79"/>
  <c r="LMP46" i="79"/>
  <c r="LMO46" i="79"/>
  <c r="LMN46" i="79"/>
  <c r="LMM46" i="79"/>
  <c r="LML46" i="79"/>
  <c r="LMK46" i="79"/>
  <c r="LMJ46" i="79"/>
  <c r="LMI46" i="79"/>
  <c r="LMH46" i="79"/>
  <c r="LMG46" i="79"/>
  <c r="LMF46" i="79"/>
  <c r="LME46" i="79"/>
  <c r="LMD46" i="79"/>
  <c r="LMC46" i="79"/>
  <c r="LMB46" i="79"/>
  <c r="LMA46" i="79"/>
  <c r="LLZ46" i="79"/>
  <c r="LLY46" i="79"/>
  <c r="LLX46" i="79"/>
  <c r="LLW46" i="79"/>
  <c r="LLV46" i="79"/>
  <c r="LLU46" i="79"/>
  <c r="LLT46" i="79"/>
  <c r="LLS46" i="79"/>
  <c r="LLR46" i="79"/>
  <c r="LLQ46" i="79"/>
  <c r="LLP46" i="79"/>
  <c r="LLO46" i="79"/>
  <c r="LLN46" i="79"/>
  <c r="LLM46" i="79"/>
  <c r="LLL46" i="79"/>
  <c r="LLK46" i="79"/>
  <c r="LLJ46" i="79"/>
  <c r="LLI46" i="79"/>
  <c r="LLH46" i="79"/>
  <c r="LLG46" i="79"/>
  <c r="LLF46" i="79"/>
  <c r="LLE46" i="79"/>
  <c r="LLD46" i="79"/>
  <c r="LLC46" i="79"/>
  <c r="LLB46" i="79"/>
  <c r="LLA46" i="79"/>
  <c r="LKZ46" i="79"/>
  <c r="LKY46" i="79"/>
  <c r="LKX46" i="79"/>
  <c r="LKW46" i="79"/>
  <c r="LKV46" i="79"/>
  <c r="LKU46" i="79"/>
  <c r="LKT46" i="79"/>
  <c r="LKS46" i="79"/>
  <c r="LKR46" i="79"/>
  <c r="LKQ46" i="79"/>
  <c r="LKP46" i="79"/>
  <c r="LKO46" i="79"/>
  <c r="LKN46" i="79"/>
  <c r="LKM46" i="79"/>
  <c r="LKL46" i="79"/>
  <c r="LKK46" i="79"/>
  <c r="LKJ46" i="79"/>
  <c r="LKI46" i="79"/>
  <c r="LKH46" i="79"/>
  <c r="LKG46" i="79"/>
  <c r="LKF46" i="79"/>
  <c r="LKE46" i="79"/>
  <c r="LKD46" i="79"/>
  <c r="LKC46" i="79"/>
  <c r="LKB46" i="79"/>
  <c r="LKA46" i="79"/>
  <c r="LJZ46" i="79"/>
  <c r="LJY46" i="79"/>
  <c r="LJX46" i="79"/>
  <c r="LJW46" i="79"/>
  <c r="LJV46" i="79"/>
  <c r="LJU46" i="79"/>
  <c r="LJT46" i="79"/>
  <c r="LJS46" i="79"/>
  <c r="LJR46" i="79"/>
  <c r="LJQ46" i="79"/>
  <c r="LJP46" i="79"/>
  <c r="LJO46" i="79"/>
  <c r="LJN46" i="79"/>
  <c r="LJM46" i="79"/>
  <c r="LJL46" i="79"/>
  <c r="LJK46" i="79"/>
  <c r="LJJ46" i="79"/>
  <c r="LJI46" i="79"/>
  <c r="LJH46" i="79"/>
  <c r="LJG46" i="79"/>
  <c r="LJF46" i="79"/>
  <c r="LJE46" i="79"/>
  <c r="LJD46" i="79"/>
  <c r="LJC46" i="79"/>
  <c r="LJB46" i="79"/>
  <c r="LJA46" i="79"/>
  <c r="LIZ46" i="79"/>
  <c r="LIY46" i="79"/>
  <c r="LIX46" i="79"/>
  <c r="LIW46" i="79"/>
  <c r="LIV46" i="79"/>
  <c r="LIU46" i="79"/>
  <c r="LIT46" i="79"/>
  <c r="LIS46" i="79"/>
  <c r="LIR46" i="79"/>
  <c r="LIQ46" i="79"/>
  <c r="LIP46" i="79"/>
  <c r="LIO46" i="79"/>
  <c r="LIN46" i="79"/>
  <c r="LIM46" i="79"/>
  <c r="LIL46" i="79"/>
  <c r="LIK46" i="79"/>
  <c r="LIJ46" i="79"/>
  <c r="LII46" i="79"/>
  <c r="LIH46" i="79"/>
  <c r="LIG46" i="79"/>
  <c r="LIF46" i="79"/>
  <c r="LIE46" i="79"/>
  <c r="LID46" i="79"/>
  <c r="LIC46" i="79"/>
  <c r="LIB46" i="79"/>
  <c r="LIA46" i="79"/>
  <c r="LHZ46" i="79"/>
  <c r="LHY46" i="79"/>
  <c r="LHX46" i="79"/>
  <c r="LHW46" i="79"/>
  <c r="LHV46" i="79"/>
  <c r="LHU46" i="79"/>
  <c r="LHT46" i="79"/>
  <c r="LHS46" i="79"/>
  <c r="LHR46" i="79"/>
  <c r="LHQ46" i="79"/>
  <c r="LHP46" i="79"/>
  <c r="LHO46" i="79"/>
  <c r="LHN46" i="79"/>
  <c r="LHM46" i="79"/>
  <c r="LHL46" i="79"/>
  <c r="LHK46" i="79"/>
  <c r="LHJ46" i="79"/>
  <c r="LHI46" i="79"/>
  <c r="LHH46" i="79"/>
  <c r="LHG46" i="79"/>
  <c r="LHF46" i="79"/>
  <c r="LHE46" i="79"/>
  <c r="LHD46" i="79"/>
  <c r="LHC46" i="79"/>
  <c r="LHB46" i="79"/>
  <c r="LHA46" i="79"/>
  <c r="LGZ46" i="79"/>
  <c r="LGY46" i="79"/>
  <c r="LGX46" i="79"/>
  <c r="LGW46" i="79"/>
  <c r="LGV46" i="79"/>
  <c r="LGU46" i="79"/>
  <c r="LGT46" i="79"/>
  <c r="LGS46" i="79"/>
  <c r="LGR46" i="79"/>
  <c r="LGQ46" i="79"/>
  <c r="LGP46" i="79"/>
  <c r="LGO46" i="79"/>
  <c r="LGN46" i="79"/>
  <c r="LGM46" i="79"/>
  <c r="LGL46" i="79"/>
  <c r="LGK46" i="79"/>
  <c r="LGJ46" i="79"/>
  <c r="LGI46" i="79"/>
  <c r="LGH46" i="79"/>
  <c r="LGG46" i="79"/>
  <c r="LGF46" i="79"/>
  <c r="LGE46" i="79"/>
  <c r="LGD46" i="79"/>
  <c r="LGC46" i="79"/>
  <c r="LGB46" i="79"/>
  <c r="LGA46" i="79"/>
  <c r="LFZ46" i="79"/>
  <c r="LFY46" i="79"/>
  <c r="LFX46" i="79"/>
  <c r="LFW46" i="79"/>
  <c r="LFV46" i="79"/>
  <c r="LFU46" i="79"/>
  <c r="LFT46" i="79"/>
  <c r="LFS46" i="79"/>
  <c r="LFR46" i="79"/>
  <c r="LFQ46" i="79"/>
  <c r="LFP46" i="79"/>
  <c r="LFO46" i="79"/>
  <c r="LFN46" i="79"/>
  <c r="LFM46" i="79"/>
  <c r="LFL46" i="79"/>
  <c r="LFK46" i="79"/>
  <c r="LFJ46" i="79"/>
  <c r="LFI46" i="79"/>
  <c r="LFH46" i="79"/>
  <c r="LFG46" i="79"/>
  <c r="LFF46" i="79"/>
  <c r="LFE46" i="79"/>
  <c r="LFD46" i="79"/>
  <c r="LFC46" i="79"/>
  <c r="LFB46" i="79"/>
  <c r="LFA46" i="79"/>
  <c r="LEZ46" i="79"/>
  <c r="LEY46" i="79"/>
  <c r="LEX46" i="79"/>
  <c r="LEW46" i="79"/>
  <c r="LEV46" i="79"/>
  <c r="LEU46" i="79"/>
  <c r="LET46" i="79"/>
  <c r="LES46" i="79"/>
  <c r="LER46" i="79"/>
  <c r="LEQ46" i="79"/>
  <c r="LEP46" i="79"/>
  <c r="LEO46" i="79"/>
  <c r="LEN46" i="79"/>
  <c r="LEM46" i="79"/>
  <c r="LEL46" i="79"/>
  <c r="LEK46" i="79"/>
  <c r="LEJ46" i="79"/>
  <c r="LEI46" i="79"/>
  <c r="LEH46" i="79"/>
  <c r="LEG46" i="79"/>
  <c r="LEF46" i="79"/>
  <c r="LEE46" i="79"/>
  <c r="LED46" i="79"/>
  <c r="LEC46" i="79"/>
  <c r="LEB46" i="79"/>
  <c r="LEA46" i="79"/>
  <c r="LDZ46" i="79"/>
  <c r="LDY46" i="79"/>
  <c r="LDX46" i="79"/>
  <c r="LDW46" i="79"/>
  <c r="LDV46" i="79"/>
  <c r="LDU46" i="79"/>
  <c r="LDT46" i="79"/>
  <c r="LDS46" i="79"/>
  <c r="LDR46" i="79"/>
  <c r="LDQ46" i="79"/>
  <c r="LDP46" i="79"/>
  <c r="LDO46" i="79"/>
  <c r="LDN46" i="79"/>
  <c r="LDM46" i="79"/>
  <c r="LDL46" i="79"/>
  <c r="LDK46" i="79"/>
  <c r="LDJ46" i="79"/>
  <c r="LDI46" i="79"/>
  <c r="LDH46" i="79"/>
  <c r="LDG46" i="79"/>
  <c r="LDF46" i="79"/>
  <c r="LDE46" i="79"/>
  <c r="LDD46" i="79"/>
  <c r="LDC46" i="79"/>
  <c r="LDB46" i="79"/>
  <c r="LDA46" i="79"/>
  <c r="LCZ46" i="79"/>
  <c r="LCY46" i="79"/>
  <c r="LCX46" i="79"/>
  <c r="LCW46" i="79"/>
  <c r="LCV46" i="79"/>
  <c r="LCU46" i="79"/>
  <c r="LCT46" i="79"/>
  <c r="LCS46" i="79"/>
  <c r="LCR46" i="79"/>
  <c r="LCQ46" i="79"/>
  <c r="LCP46" i="79"/>
  <c r="LCO46" i="79"/>
  <c r="LCN46" i="79"/>
  <c r="LCM46" i="79"/>
  <c r="LCL46" i="79"/>
  <c r="LCK46" i="79"/>
  <c r="LCJ46" i="79"/>
  <c r="LCI46" i="79"/>
  <c r="LCH46" i="79"/>
  <c r="LCG46" i="79"/>
  <c r="LCF46" i="79"/>
  <c r="LCE46" i="79"/>
  <c r="LCD46" i="79"/>
  <c r="LCC46" i="79"/>
  <c r="LCB46" i="79"/>
  <c r="LCA46" i="79"/>
  <c r="LBZ46" i="79"/>
  <c r="LBY46" i="79"/>
  <c r="LBX46" i="79"/>
  <c r="LBW46" i="79"/>
  <c r="LBV46" i="79"/>
  <c r="LBU46" i="79"/>
  <c r="LBT46" i="79"/>
  <c r="LBS46" i="79"/>
  <c r="LBR46" i="79"/>
  <c r="LBQ46" i="79"/>
  <c r="LBP46" i="79"/>
  <c r="LBO46" i="79"/>
  <c r="LBN46" i="79"/>
  <c r="LBM46" i="79"/>
  <c r="LBL46" i="79"/>
  <c r="LBK46" i="79"/>
  <c r="LBJ46" i="79"/>
  <c r="LBI46" i="79"/>
  <c r="LBH46" i="79"/>
  <c r="LBG46" i="79"/>
  <c r="LBF46" i="79"/>
  <c r="LBE46" i="79"/>
  <c r="LBD46" i="79"/>
  <c r="LBC46" i="79"/>
  <c r="LBB46" i="79"/>
  <c r="LBA46" i="79"/>
  <c r="LAZ46" i="79"/>
  <c r="LAY46" i="79"/>
  <c r="LAX46" i="79"/>
  <c r="LAW46" i="79"/>
  <c r="LAV46" i="79"/>
  <c r="LAU46" i="79"/>
  <c r="LAT46" i="79"/>
  <c r="LAS46" i="79"/>
  <c r="LAR46" i="79"/>
  <c r="LAQ46" i="79"/>
  <c r="LAP46" i="79"/>
  <c r="LAO46" i="79"/>
  <c r="LAN46" i="79"/>
  <c r="LAM46" i="79"/>
  <c r="LAL46" i="79"/>
  <c r="LAK46" i="79"/>
  <c r="LAJ46" i="79"/>
  <c r="LAI46" i="79"/>
  <c r="LAH46" i="79"/>
  <c r="LAG46" i="79"/>
  <c r="LAF46" i="79"/>
  <c r="LAE46" i="79"/>
  <c r="LAD46" i="79"/>
  <c r="LAC46" i="79"/>
  <c r="LAB46" i="79"/>
  <c r="LAA46" i="79"/>
  <c r="KZZ46" i="79"/>
  <c r="KZY46" i="79"/>
  <c r="KZX46" i="79"/>
  <c r="KZW46" i="79"/>
  <c r="KZV46" i="79"/>
  <c r="KZU46" i="79"/>
  <c r="KZT46" i="79"/>
  <c r="KZS46" i="79"/>
  <c r="KZR46" i="79"/>
  <c r="KZQ46" i="79"/>
  <c r="KZP46" i="79"/>
  <c r="KZO46" i="79"/>
  <c r="KZN46" i="79"/>
  <c r="KZM46" i="79"/>
  <c r="KZL46" i="79"/>
  <c r="KZK46" i="79"/>
  <c r="KZJ46" i="79"/>
  <c r="KZI46" i="79"/>
  <c r="KZH46" i="79"/>
  <c r="KZG46" i="79"/>
  <c r="KZF46" i="79"/>
  <c r="KZE46" i="79"/>
  <c r="KZD46" i="79"/>
  <c r="KZC46" i="79"/>
  <c r="KZB46" i="79"/>
  <c r="KZA46" i="79"/>
  <c r="KYZ46" i="79"/>
  <c r="KYY46" i="79"/>
  <c r="KYX46" i="79"/>
  <c r="KYW46" i="79"/>
  <c r="KYV46" i="79"/>
  <c r="KYU46" i="79"/>
  <c r="KYT46" i="79"/>
  <c r="KYS46" i="79"/>
  <c r="KYR46" i="79"/>
  <c r="KYQ46" i="79"/>
  <c r="KYP46" i="79"/>
  <c r="KYO46" i="79"/>
  <c r="KYN46" i="79"/>
  <c r="KYM46" i="79"/>
  <c r="KYL46" i="79"/>
  <c r="KYK46" i="79"/>
  <c r="KYJ46" i="79"/>
  <c r="KYI46" i="79"/>
  <c r="KYH46" i="79"/>
  <c r="KYG46" i="79"/>
  <c r="KYF46" i="79"/>
  <c r="KYE46" i="79"/>
  <c r="KYD46" i="79"/>
  <c r="KYC46" i="79"/>
  <c r="KYB46" i="79"/>
  <c r="KYA46" i="79"/>
  <c r="KXZ46" i="79"/>
  <c r="KXY46" i="79"/>
  <c r="KXX46" i="79"/>
  <c r="KXW46" i="79"/>
  <c r="KXV46" i="79"/>
  <c r="KXU46" i="79"/>
  <c r="KXT46" i="79"/>
  <c r="KXS46" i="79"/>
  <c r="KXR46" i="79"/>
  <c r="KXQ46" i="79"/>
  <c r="KXP46" i="79"/>
  <c r="KXO46" i="79"/>
  <c r="KXN46" i="79"/>
  <c r="KXM46" i="79"/>
  <c r="KXL46" i="79"/>
  <c r="KXK46" i="79"/>
  <c r="KXJ46" i="79"/>
  <c r="KXI46" i="79"/>
  <c r="KXH46" i="79"/>
  <c r="KXG46" i="79"/>
  <c r="KXF46" i="79"/>
  <c r="KXE46" i="79"/>
  <c r="KXD46" i="79"/>
  <c r="KXC46" i="79"/>
  <c r="KXB46" i="79"/>
  <c r="KXA46" i="79"/>
  <c r="KWZ46" i="79"/>
  <c r="KWY46" i="79"/>
  <c r="KWX46" i="79"/>
  <c r="KWW46" i="79"/>
  <c r="KWV46" i="79"/>
  <c r="KWU46" i="79"/>
  <c r="KWT46" i="79"/>
  <c r="KWS46" i="79"/>
  <c r="KWR46" i="79"/>
  <c r="KWQ46" i="79"/>
  <c r="KWP46" i="79"/>
  <c r="KWO46" i="79"/>
  <c r="KWN46" i="79"/>
  <c r="KWM46" i="79"/>
  <c r="KWL46" i="79"/>
  <c r="KWK46" i="79"/>
  <c r="KWJ46" i="79"/>
  <c r="KWI46" i="79"/>
  <c r="KWH46" i="79"/>
  <c r="KWG46" i="79"/>
  <c r="KWF46" i="79"/>
  <c r="KWE46" i="79"/>
  <c r="KWD46" i="79"/>
  <c r="KWC46" i="79"/>
  <c r="KWB46" i="79"/>
  <c r="KWA46" i="79"/>
  <c r="KVZ46" i="79"/>
  <c r="KVY46" i="79"/>
  <c r="KVX46" i="79"/>
  <c r="KVW46" i="79"/>
  <c r="KVV46" i="79"/>
  <c r="KVU46" i="79"/>
  <c r="KVT46" i="79"/>
  <c r="KVS46" i="79"/>
  <c r="KVR46" i="79"/>
  <c r="KVQ46" i="79"/>
  <c r="KVP46" i="79"/>
  <c r="KVO46" i="79"/>
  <c r="KVN46" i="79"/>
  <c r="KVM46" i="79"/>
  <c r="KVL46" i="79"/>
  <c r="KVK46" i="79"/>
  <c r="KVJ46" i="79"/>
  <c r="KVI46" i="79"/>
  <c r="KVH46" i="79"/>
  <c r="KVG46" i="79"/>
  <c r="KVF46" i="79"/>
  <c r="KVE46" i="79"/>
  <c r="KVD46" i="79"/>
  <c r="KVC46" i="79"/>
  <c r="KVB46" i="79"/>
  <c r="KVA46" i="79"/>
  <c r="KUZ46" i="79"/>
  <c r="KUY46" i="79"/>
  <c r="KUX46" i="79"/>
  <c r="KUW46" i="79"/>
  <c r="KUV46" i="79"/>
  <c r="KUU46" i="79"/>
  <c r="KUT46" i="79"/>
  <c r="KUS46" i="79"/>
  <c r="KUR46" i="79"/>
  <c r="KUQ46" i="79"/>
  <c r="KUP46" i="79"/>
  <c r="KUO46" i="79"/>
  <c r="KUN46" i="79"/>
  <c r="KUM46" i="79"/>
  <c r="KUL46" i="79"/>
  <c r="KUK46" i="79"/>
  <c r="KUJ46" i="79"/>
  <c r="KUI46" i="79"/>
  <c r="KUH46" i="79"/>
  <c r="KUG46" i="79"/>
  <c r="KUF46" i="79"/>
  <c r="KUE46" i="79"/>
  <c r="KUD46" i="79"/>
  <c r="KUC46" i="79"/>
  <c r="KUB46" i="79"/>
  <c r="KUA46" i="79"/>
  <c r="KTZ46" i="79"/>
  <c r="KTY46" i="79"/>
  <c r="KTX46" i="79"/>
  <c r="KTW46" i="79"/>
  <c r="KTV46" i="79"/>
  <c r="KTU46" i="79"/>
  <c r="KTT46" i="79"/>
  <c r="KTS46" i="79"/>
  <c r="KTR46" i="79"/>
  <c r="KTQ46" i="79"/>
  <c r="KTP46" i="79"/>
  <c r="KTO46" i="79"/>
  <c r="KTN46" i="79"/>
  <c r="KTM46" i="79"/>
  <c r="KTL46" i="79"/>
  <c r="KTK46" i="79"/>
  <c r="KTJ46" i="79"/>
  <c r="KTI46" i="79"/>
  <c r="KTH46" i="79"/>
  <c r="KTG46" i="79"/>
  <c r="KTF46" i="79"/>
  <c r="KTE46" i="79"/>
  <c r="KTD46" i="79"/>
  <c r="KTC46" i="79"/>
  <c r="KTB46" i="79"/>
  <c r="KTA46" i="79"/>
  <c r="KSZ46" i="79"/>
  <c r="KSY46" i="79"/>
  <c r="KSX46" i="79"/>
  <c r="KSW46" i="79"/>
  <c r="KSV46" i="79"/>
  <c r="KSU46" i="79"/>
  <c r="KST46" i="79"/>
  <c r="KSS46" i="79"/>
  <c r="KSR46" i="79"/>
  <c r="KSQ46" i="79"/>
  <c r="KSP46" i="79"/>
  <c r="KSO46" i="79"/>
  <c r="KSN46" i="79"/>
  <c r="KSM46" i="79"/>
  <c r="KSL46" i="79"/>
  <c r="KSK46" i="79"/>
  <c r="KSJ46" i="79"/>
  <c r="KSI46" i="79"/>
  <c r="KSH46" i="79"/>
  <c r="KSG46" i="79"/>
  <c r="KSF46" i="79"/>
  <c r="KSE46" i="79"/>
  <c r="KSD46" i="79"/>
  <c r="KSC46" i="79"/>
  <c r="KSB46" i="79"/>
  <c r="KSA46" i="79"/>
  <c r="KRZ46" i="79"/>
  <c r="KRY46" i="79"/>
  <c r="KRX46" i="79"/>
  <c r="KRW46" i="79"/>
  <c r="KRV46" i="79"/>
  <c r="KRU46" i="79"/>
  <c r="KRT46" i="79"/>
  <c r="KRS46" i="79"/>
  <c r="KRR46" i="79"/>
  <c r="KRQ46" i="79"/>
  <c r="KRP46" i="79"/>
  <c r="KRO46" i="79"/>
  <c r="KRN46" i="79"/>
  <c r="KRM46" i="79"/>
  <c r="KRL46" i="79"/>
  <c r="KRK46" i="79"/>
  <c r="KRJ46" i="79"/>
  <c r="KRI46" i="79"/>
  <c r="KRH46" i="79"/>
  <c r="KRG46" i="79"/>
  <c r="KRF46" i="79"/>
  <c r="KRE46" i="79"/>
  <c r="KRD46" i="79"/>
  <c r="KRC46" i="79"/>
  <c r="KRB46" i="79"/>
  <c r="KRA46" i="79"/>
  <c r="KQZ46" i="79"/>
  <c r="KQY46" i="79"/>
  <c r="KQX46" i="79"/>
  <c r="KQW46" i="79"/>
  <c r="KQV46" i="79"/>
  <c r="KQU46" i="79"/>
  <c r="KQT46" i="79"/>
  <c r="KQS46" i="79"/>
  <c r="KQR46" i="79"/>
  <c r="KQQ46" i="79"/>
  <c r="KQP46" i="79"/>
  <c r="KQO46" i="79"/>
  <c r="KQN46" i="79"/>
  <c r="KQM46" i="79"/>
  <c r="KQL46" i="79"/>
  <c r="KQK46" i="79"/>
  <c r="KQJ46" i="79"/>
  <c r="KQI46" i="79"/>
  <c r="KQH46" i="79"/>
  <c r="KQG46" i="79"/>
  <c r="KQF46" i="79"/>
  <c r="KQE46" i="79"/>
  <c r="KQD46" i="79"/>
  <c r="KQC46" i="79"/>
  <c r="KQB46" i="79"/>
  <c r="KQA46" i="79"/>
  <c r="KPZ46" i="79"/>
  <c r="KPY46" i="79"/>
  <c r="KPX46" i="79"/>
  <c r="KPW46" i="79"/>
  <c r="KPV46" i="79"/>
  <c r="KPU46" i="79"/>
  <c r="KPT46" i="79"/>
  <c r="KPS46" i="79"/>
  <c r="KPR46" i="79"/>
  <c r="KPQ46" i="79"/>
  <c r="KPP46" i="79"/>
  <c r="KPO46" i="79"/>
  <c r="KPN46" i="79"/>
  <c r="KPM46" i="79"/>
  <c r="KPL46" i="79"/>
  <c r="KPK46" i="79"/>
  <c r="KPJ46" i="79"/>
  <c r="KPI46" i="79"/>
  <c r="KPH46" i="79"/>
  <c r="KPG46" i="79"/>
  <c r="KPF46" i="79"/>
  <c r="KPE46" i="79"/>
  <c r="KPD46" i="79"/>
  <c r="KPC46" i="79"/>
  <c r="KPB46" i="79"/>
  <c r="KPA46" i="79"/>
  <c r="KOZ46" i="79"/>
  <c r="KOY46" i="79"/>
  <c r="KOX46" i="79"/>
  <c r="KOW46" i="79"/>
  <c r="KOV46" i="79"/>
  <c r="KOU46" i="79"/>
  <c r="KOT46" i="79"/>
  <c r="KOS46" i="79"/>
  <c r="KOR46" i="79"/>
  <c r="KOQ46" i="79"/>
  <c r="KOP46" i="79"/>
  <c r="KOO46" i="79"/>
  <c r="KON46" i="79"/>
  <c r="KOM46" i="79"/>
  <c r="KOL46" i="79"/>
  <c r="KOK46" i="79"/>
  <c r="KOJ46" i="79"/>
  <c r="KOI46" i="79"/>
  <c r="KOH46" i="79"/>
  <c r="KOG46" i="79"/>
  <c r="KOF46" i="79"/>
  <c r="KOE46" i="79"/>
  <c r="KOD46" i="79"/>
  <c r="KOC46" i="79"/>
  <c r="KOB46" i="79"/>
  <c r="KOA46" i="79"/>
  <c r="KNZ46" i="79"/>
  <c r="KNY46" i="79"/>
  <c r="KNX46" i="79"/>
  <c r="KNW46" i="79"/>
  <c r="KNV46" i="79"/>
  <c r="KNU46" i="79"/>
  <c r="KNT46" i="79"/>
  <c r="KNS46" i="79"/>
  <c r="KNR46" i="79"/>
  <c r="KNQ46" i="79"/>
  <c r="KNP46" i="79"/>
  <c r="KNO46" i="79"/>
  <c r="KNN46" i="79"/>
  <c r="KNM46" i="79"/>
  <c r="KNL46" i="79"/>
  <c r="KNK46" i="79"/>
  <c r="KNJ46" i="79"/>
  <c r="KNI46" i="79"/>
  <c r="KNH46" i="79"/>
  <c r="KNG46" i="79"/>
  <c r="KNF46" i="79"/>
  <c r="KNE46" i="79"/>
  <c r="KND46" i="79"/>
  <c r="KNC46" i="79"/>
  <c r="KNB46" i="79"/>
  <c r="KNA46" i="79"/>
  <c r="KMZ46" i="79"/>
  <c r="KMY46" i="79"/>
  <c r="KMX46" i="79"/>
  <c r="KMW46" i="79"/>
  <c r="KMV46" i="79"/>
  <c r="KMU46" i="79"/>
  <c r="KMT46" i="79"/>
  <c r="KMS46" i="79"/>
  <c r="KMR46" i="79"/>
  <c r="KMQ46" i="79"/>
  <c r="KMP46" i="79"/>
  <c r="KMO46" i="79"/>
  <c r="KMN46" i="79"/>
  <c r="KMM46" i="79"/>
  <c r="KML46" i="79"/>
  <c r="KMK46" i="79"/>
  <c r="KMJ46" i="79"/>
  <c r="KMI46" i="79"/>
  <c r="KMH46" i="79"/>
  <c r="KMG46" i="79"/>
  <c r="KMF46" i="79"/>
  <c r="KME46" i="79"/>
  <c r="KMD46" i="79"/>
  <c r="KMC46" i="79"/>
  <c r="KMB46" i="79"/>
  <c r="KMA46" i="79"/>
  <c r="KLZ46" i="79"/>
  <c r="KLY46" i="79"/>
  <c r="KLX46" i="79"/>
  <c r="KLW46" i="79"/>
  <c r="KLV46" i="79"/>
  <c r="KLU46" i="79"/>
  <c r="KLT46" i="79"/>
  <c r="KLS46" i="79"/>
  <c r="KLR46" i="79"/>
  <c r="KLQ46" i="79"/>
  <c r="KLP46" i="79"/>
  <c r="KLO46" i="79"/>
  <c r="KLN46" i="79"/>
  <c r="KLM46" i="79"/>
  <c r="KLL46" i="79"/>
  <c r="KLK46" i="79"/>
  <c r="KLJ46" i="79"/>
  <c r="KLI46" i="79"/>
  <c r="KLH46" i="79"/>
  <c r="KLG46" i="79"/>
  <c r="KLF46" i="79"/>
  <c r="KLE46" i="79"/>
  <c r="KLD46" i="79"/>
  <c r="KLC46" i="79"/>
  <c r="KLB46" i="79"/>
  <c r="KLA46" i="79"/>
  <c r="KKZ46" i="79"/>
  <c r="KKY46" i="79"/>
  <c r="KKX46" i="79"/>
  <c r="KKW46" i="79"/>
  <c r="KKV46" i="79"/>
  <c r="KKU46" i="79"/>
  <c r="KKT46" i="79"/>
  <c r="KKS46" i="79"/>
  <c r="KKR46" i="79"/>
  <c r="KKQ46" i="79"/>
  <c r="KKP46" i="79"/>
  <c r="KKO46" i="79"/>
  <c r="KKN46" i="79"/>
  <c r="KKM46" i="79"/>
  <c r="KKL46" i="79"/>
  <c r="KKK46" i="79"/>
  <c r="KKJ46" i="79"/>
  <c r="KKI46" i="79"/>
  <c r="KKH46" i="79"/>
  <c r="KKG46" i="79"/>
  <c r="KKF46" i="79"/>
  <c r="KKE46" i="79"/>
  <c r="KKD46" i="79"/>
  <c r="KKC46" i="79"/>
  <c r="KKB46" i="79"/>
  <c r="KKA46" i="79"/>
  <c r="KJZ46" i="79"/>
  <c r="KJY46" i="79"/>
  <c r="KJX46" i="79"/>
  <c r="KJW46" i="79"/>
  <c r="KJV46" i="79"/>
  <c r="KJU46" i="79"/>
  <c r="KJT46" i="79"/>
  <c r="KJS46" i="79"/>
  <c r="KJR46" i="79"/>
  <c r="KJQ46" i="79"/>
  <c r="KJP46" i="79"/>
  <c r="KJO46" i="79"/>
  <c r="KJN46" i="79"/>
  <c r="KJM46" i="79"/>
  <c r="KJL46" i="79"/>
  <c r="KJK46" i="79"/>
  <c r="KJJ46" i="79"/>
  <c r="KJI46" i="79"/>
  <c r="KJH46" i="79"/>
  <c r="KJG46" i="79"/>
  <c r="KJF46" i="79"/>
  <c r="KJE46" i="79"/>
  <c r="KJD46" i="79"/>
  <c r="KJC46" i="79"/>
  <c r="KJB46" i="79"/>
  <c r="KJA46" i="79"/>
  <c r="KIZ46" i="79"/>
  <c r="KIY46" i="79"/>
  <c r="KIX46" i="79"/>
  <c r="KIW46" i="79"/>
  <c r="KIV46" i="79"/>
  <c r="KIU46" i="79"/>
  <c r="KIT46" i="79"/>
  <c r="KIS46" i="79"/>
  <c r="KIR46" i="79"/>
  <c r="KIQ46" i="79"/>
  <c r="KIP46" i="79"/>
  <c r="KIO46" i="79"/>
  <c r="KIN46" i="79"/>
  <c r="KIM46" i="79"/>
  <c r="KIL46" i="79"/>
  <c r="KIK46" i="79"/>
  <c r="KIJ46" i="79"/>
  <c r="KII46" i="79"/>
  <c r="KIH46" i="79"/>
  <c r="KIG46" i="79"/>
  <c r="KIF46" i="79"/>
  <c r="KIE46" i="79"/>
  <c r="KID46" i="79"/>
  <c r="KIC46" i="79"/>
  <c r="KIB46" i="79"/>
  <c r="KIA46" i="79"/>
  <c r="KHZ46" i="79"/>
  <c r="KHY46" i="79"/>
  <c r="KHX46" i="79"/>
  <c r="KHW46" i="79"/>
  <c r="KHV46" i="79"/>
  <c r="KHU46" i="79"/>
  <c r="KHT46" i="79"/>
  <c r="KHS46" i="79"/>
  <c r="KHR46" i="79"/>
  <c r="KHQ46" i="79"/>
  <c r="KHP46" i="79"/>
  <c r="KHO46" i="79"/>
  <c r="KHN46" i="79"/>
  <c r="KHM46" i="79"/>
  <c r="KHL46" i="79"/>
  <c r="KHK46" i="79"/>
  <c r="KHJ46" i="79"/>
  <c r="KHI46" i="79"/>
  <c r="KHH46" i="79"/>
  <c r="KHG46" i="79"/>
  <c r="KHF46" i="79"/>
  <c r="KHE46" i="79"/>
  <c r="KHD46" i="79"/>
  <c r="KHC46" i="79"/>
  <c r="KHB46" i="79"/>
  <c r="KHA46" i="79"/>
  <c r="KGZ46" i="79"/>
  <c r="KGY46" i="79"/>
  <c r="KGX46" i="79"/>
  <c r="KGW46" i="79"/>
  <c r="KGV46" i="79"/>
  <c r="KGU46" i="79"/>
  <c r="KGT46" i="79"/>
  <c r="KGS46" i="79"/>
  <c r="KGR46" i="79"/>
  <c r="KGQ46" i="79"/>
  <c r="KGP46" i="79"/>
  <c r="KGO46" i="79"/>
  <c r="KGN46" i="79"/>
  <c r="KGM46" i="79"/>
  <c r="KGL46" i="79"/>
  <c r="KGK46" i="79"/>
  <c r="KGJ46" i="79"/>
  <c r="KGI46" i="79"/>
  <c r="KGH46" i="79"/>
  <c r="KGG46" i="79"/>
  <c r="KGF46" i="79"/>
  <c r="KGE46" i="79"/>
  <c r="KGD46" i="79"/>
  <c r="KGC46" i="79"/>
  <c r="KGB46" i="79"/>
  <c r="KGA46" i="79"/>
  <c r="KFZ46" i="79"/>
  <c r="KFY46" i="79"/>
  <c r="KFX46" i="79"/>
  <c r="KFW46" i="79"/>
  <c r="KFV46" i="79"/>
  <c r="KFU46" i="79"/>
  <c r="KFT46" i="79"/>
  <c r="KFS46" i="79"/>
  <c r="KFR46" i="79"/>
  <c r="KFQ46" i="79"/>
  <c r="KFP46" i="79"/>
  <c r="KFO46" i="79"/>
  <c r="KFN46" i="79"/>
  <c r="KFM46" i="79"/>
  <c r="KFL46" i="79"/>
  <c r="KFK46" i="79"/>
  <c r="KFJ46" i="79"/>
  <c r="KFI46" i="79"/>
  <c r="KFH46" i="79"/>
  <c r="KFG46" i="79"/>
  <c r="KFF46" i="79"/>
  <c r="KFE46" i="79"/>
  <c r="KFD46" i="79"/>
  <c r="KFC46" i="79"/>
  <c r="KFB46" i="79"/>
  <c r="KFA46" i="79"/>
  <c r="KEZ46" i="79"/>
  <c r="KEY46" i="79"/>
  <c r="KEX46" i="79"/>
  <c r="KEW46" i="79"/>
  <c r="KEV46" i="79"/>
  <c r="KEU46" i="79"/>
  <c r="KET46" i="79"/>
  <c r="KES46" i="79"/>
  <c r="KER46" i="79"/>
  <c r="KEQ46" i="79"/>
  <c r="KEP46" i="79"/>
  <c r="KEO46" i="79"/>
  <c r="KEN46" i="79"/>
  <c r="KEM46" i="79"/>
  <c r="KEL46" i="79"/>
  <c r="KEK46" i="79"/>
  <c r="KEJ46" i="79"/>
  <c r="KEI46" i="79"/>
  <c r="KEH46" i="79"/>
  <c r="KEG46" i="79"/>
  <c r="KEF46" i="79"/>
  <c r="KEE46" i="79"/>
  <c r="KED46" i="79"/>
  <c r="KEC46" i="79"/>
  <c r="KEB46" i="79"/>
  <c r="KEA46" i="79"/>
  <c r="KDZ46" i="79"/>
  <c r="KDY46" i="79"/>
  <c r="KDX46" i="79"/>
  <c r="KDW46" i="79"/>
  <c r="KDV46" i="79"/>
  <c r="KDU46" i="79"/>
  <c r="KDT46" i="79"/>
  <c r="KDS46" i="79"/>
  <c r="KDR46" i="79"/>
  <c r="KDQ46" i="79"/>
  <c r="KDP46" i="79"/>
  <c r="KDO46" i="79"/>
  <c r="KDN46" i="79"/>
  <c r="KDM46" i="79"/>
  <c r="KDL46" i="79"/>
  <c r="KDK46" i="79"/>
  <c r="KDJ46" i="79"/>
  <c r="KDI46" i="79"/>
  <c r="KDH46" i="79"/>
  <c r="KDG46" i="79"/>
  <c r="KDF46" i="79"/>
  <c r="KDE46" i="79"/>
  <c r="KDD46" i="79"/>
  <c r="KDC46" i="79"/>
  <c r="KDB46" i="79"/>
  <c r="KDA46" i="79"/>
  <c r="KCZ46" i="79"/>
  <c r="KCY46" i="79"/>
  <c r="KCX46" i="79"/>
  <c r="KCW46" i="79"/>
  <c r="KCV46" i="79"/>
  <c r="KCU46" i="79"/>
  <c r="KCT46" i="79"/>
  <c r="KCS46" i="79"/>
  <c r="KCR46" i="79"/>
  <c r="KCQ46" i="79"/>
  <c r="KCP46" i="79"/>
  <c r="KCO46" i="79"/>
  <c r="KCN46" i="79"/>
  <c r="KCM46" i="79"/>
  <c r="KCL46" i="79"/>
  <c r="KCK46" i="79"/>
  <c r="KCJ46" i="79"/>
  <c r="KCI46" i="79"/>
  <c r="KCH46" i="79"/>
  <c r="KCG46" i="79"/>
  <c r="KCF46" i="79"/>
  <c r="KCE46" i="79"/>
  <c r="KCD46" i="79"/>
  <c r="KCC46" i="79"/>
  <c r="KCB46" i="79"/>
  <c r="KCA46" i="79"/>
  <c r="KBZ46" i="79"/>
  <c r="KBY46" i="79"/>
  <c r="KBX46" i="79"/>
  <c r="KBW46" i="79"/>
  <c r="KBV46" i="79"/>
  <c r="KBU46" i="79"/>
  <c r="KBT46" i="79"/>
  <c r="KBS46" i="79"/>
  <c r="KBR46" i="79"/>
  <c r="KBQ46" i="79"/>
  <c r="KBP46" i="79"/>
  <c r="KBO46" i="79"/>
  <c r="KBN46" i="79"/>
  <c r="KBM46" i="79"/>
  <c r="KBL46" i="79"/>
  <c r="KBK46" i="79"/>
  <c r="KBJ46" i="79"/>
  <c r="KBI46" i="79"/>
  <c r="KBH46" i="79"/>
  <c r="KBG46" i="79"/>
  <c r="KBF46" i="79"/>
  <c r="KBE46" i="79"/>
  <c r="KBD46" i="79"/>
  <c r="KBC46" i="79"/>
  <c r="KBB46" i="79"/>
  <c r="KBA46" i="79"/>
  <c r="KAZ46" i="79"/>
  <c r="KAY46" i="79"/>
  <c r="KAX46" i="79"/>
  <c r="KAW46" i="79"/>
  <c r="KAV46" i="79"/>
  <c r="KAU46" i="79"/>
  <c r="KAT46" i="79"/>
  <c r="KAS46" i="79"/>
  <c r="KAR46" i="79"/>
  <c r="KAQ46" i="79"/>
  <c r="KAP46" i="79"/>
  <c r="KAO46" i="79"/>
  <c r="KAN46" i="79"/>
  <c r="KAM46" i="79"/>
  <c r="KAL46" i="79"/>
  <c r="KAK46" i="79"/>
  <c r="KAJ46" i="79"/>
  <c r="KAI46" i="79"/>
  <c r="KAH46" i="79"/>
  <c r="KAG46" i="79"/>
  <c r="KAF46" i="79"/>
  <c r="KAE46" i="79"/>
  <c r="KAD46" i="79"/>
  <c r="KAC46" i="79"/>
  <c r="KAB46" i="79"/>
  <c r="KAA46" i="79"/>
  <c r="JZZ46" i="79"/>
  <c r="JZY46" i="79"/>
  <c r="JZX46" i="79"/>
  <c r="JZW46" i="79"/>
  <c r="JZV46" i="79"/>
  <c r="JZU46" i="79"/>
  <c r="JZT46" i="79"/>
  <c r="JZS46" i="79"/>
  <c r="JZR46" i="79"/>
  <c r="JZQ46" i="79"/>
  <c r="JZP46" i="79"/>
  <c r="JZO46" i="79"/>
  <c r="JZN46" i="79"/>
  <c r="JZM46" i="79"/>
  <c r="JZL46" i="79"/>
  <c r="JZK46" i="79"/>
  <c r="JZJ46" i="79"/>
  <c r="JZI46" i="79"/>
  <c r="JZH46" i="79"/>
  <c r="JZG46" i="79"/>
  <c r="JZF46" i="79"/>
  <c r="JZE46" i="79"/>
  <c r="JZD46" i="79"/>
  <c r="JZC46" i="79"/>
  <c r="JZB46" i="79"/>
  <c r="JZA46" i="79"/>
  <c r="JYZ46" i="79"/>
  <c r="JYY46" i="79"/>
  <c r="JYX46" i="79"/>
  <c r="JYW46" i="79"/>
  <c r="JYV46" i="79"/>
  <c r="JYU46" i="79"/>
  <c r="JYT46" i="79"/>
  <c r="JYS46" i="79"/>
  <c r="JYR46" i="79"/>
  <c r="JYQ46" i="79"/>
  <c r="JYP46" i="79"/>
  <c r="JYO46" i="79"/>
  <c r="JYN46" i="79"/>
  <c r="JYM46" i="79"/>
  <c r="JYL46" i="79"/>
  <c r="JYK46" i="79"/>
  <c r="JYJ46" i="79"/>
  <c r="JYI46" i="79"/>
  <c r="JYH46" i="79"/>
  <c r="JYG46" i="79"/>
  <c r="JYF46" i="79"/>
  <c r="JYE46" i="79"/>
  <c r="JYD46" i="79"/>
  <c r="JYC46" i="79"/>
  <c r="JYB46" i="79"/>
  <c r="JYA46" i="79"/>
  <c r="JXZ46" i="79"/>
  <c r="JXY46" i="79"/>
  <c r="JXX46" i="79"/>
  <c r="JXW46" i="79"/>
  <c r="JXV46" i="79"/>
  <c r="JXU46" i="79"/>
  <c r="JXT46" i="79"/>
  <c r="JXS46" i="79"/>
  <c r="JXR46" i="79"/>
  <c r="JXQ46" i="79"/>
  <c r="JXP46" i="79"/>
  <c r="JXO46" i="79"/>
  <c r="JXN46" i="79"/>
  <c r="JXM46" i="79"/>
  <c r="JXL46" i="79"/>
  <c r="JXK46" i="79"/>
  <c r="JXJ46" i="79"/>
  <c r="JXI46" i="79"/>
  <c r="JXH46" i="79"/>
  <c r="JXG46" i="79"/>
  <c r="JXF46" i="79"/>
  <c r="JXE46" i="79"/>
  <c r="JXD46" i="79"/>
  <c r="JXC46" i="79"/>
  <c r="JXB46" i="79"/>
  <c r="JXA46" i="79"/>
  <c r="JWZ46" i="79"/>
  <c r="JWY46" i="79"/>
  <c r="JWX46" i="79"/>
  <c r="JWW46" i="79"/>
  <c r="JWV46" i="79"/>
  <c r="JWU46" i="79"/>
  <c r="JWT46" i="79"/>
  <c r="JWS46" i="79"/>
  <c r="JWR46" i="79"/>
  <c r="JWQ46" i="79"/>
  <c r="JWP46" i="79"/>
  <c r="JWO46" i="79"/>
  <c r="JWN46" i="79"/>
  <c r="JWM46" i="79"/>
  <c r="JWL46" i="79"/>
  <c r="JWK46" i="79"/>
  <c r="JWJ46" i="79"/>
  <c r="JWI46" i="79"/>
  <c r="JWH46" i="79"/>
  <c r="JWG46" i="79"/>
  <c r="JWF46" i="79"/>
  <c r="JWE46" i="79"/>
  <c r="JWD46" i="79"/>
  <c r="JWC46" i="79"/>
  <c r="JWB46" i="79"/>
  <c r="JWA46" i="79"/>
  <c r="JVZ46" i="79"/>
  <c r="JVY46" i="79"/>
  <c r="JVX46" i="79"/>
  <c r="JVW46" i="79"/>
  <c r="JVV46" i="79"/>
  <c r="JVU46" i="79"/>
  <c r="JVT46" i="79"/>
  <c r="JVS46" i="79"/>
  <c r="JVR46" i="79"/>
  <c r="JVQ46" i="79"/>
  <c r="JVP46" i="79"/>
  <c r="JVO46" i="79"/>
  <c r="JVN46" i="79"/>
  <c r="JVM46" i="79"/>
  <c r="JVL46" i="79"/>
  <c r="JVK46" i="79"/>
  <c r="JVJ46" i="79"/>
  <c r="JVI46" i="79"/>
  <c r="JVH46" i="79"/>
  <c r="JVG46" i="79"/>
  <c r="JVF46" i="79"/>
  <c r="JVE46" i="79"/>
  <c r="JVD46" i="79"/>
  <c r="JVC46" i="79"/>
  <c r="JVB46" i="79"/>
  <c r="JVA46" i="79"/>
  <c r="JUZ46" i="79"/>
  <c r="JUY46" i="79"/>
  <c r="JUX46" i="79"/>
  <c r="JUW46" i="79"/>
  <c r="JUV46" i="79"/>
  <c r="JUU46" i="79"/>
  <c r="JUT46" i="79"/>
  <c r="JUS46" i="79"/>
  <c r="JUR46" i="79"/>
  <c r="JUQ46" i="79"/>
  <c r="JUP46" i="79"/>
  <c r="JUO46" i="79"/>
  <c r="JUN46" i="79"/>
  <c r="JUM46" i="79"/>
  <c r="JUL46" i="79"/>
  <c r="JUK46" i="79"/>
  <c r="JUJ46" i="79"/>
  <c r="JUI46" i="79"/>
  <c r="JUH46" i="79"/>
  <c r="JUG46" i="79"/>
  <c r="JUF46" i="79"/>
  <c r="JUE46" i="79"/>
  <c r="JUD46" i="79"/>
  <c r="JUC46" i="79"/>
  <c r="JUB46" i="79"/>
  <c r="JUA46" i="79"/>
  <c r="JTZ46" i="79"/>
  <c r="JTY46" i="79"/>
  <c r="JTX46" i="79"/>
  <c r="JTW46" i="79"/>
  <c r="JTV46" i="79"/>
  <c r="JTU46" i="79"/>
  <c r="JTT46" i="79"/>
  <c r="JTS46" i="79"/>
  <c r="JTR46" i="79"/>
  <c r="JTQ46" i="79"/>
  <c r="JTP46" i="79"/>
  <c r="JTO46" i="79"/>
  <c r="JTN46" i="79"/>
  <c r="JTM46" i="79"/>
  <c r="JTL46" i="79"/>
  <c r="JTK46" i="79"/>
  <c r="JTJ46" i="79"/>
  <c r="JTI46" i="79"/>
  <c r="JTH46" i="79"/>
  <c r="JTG46" i="79"/>
  <c r="JTF46" i="79"/>
  <c r="JTE46" i="79"/>
  <c r="JTD46" i="79"/>
  <c r="JTC46" i="79"/>
  <c r="JTB46" i="79"/>
  <c r="JTA46" i="79"/>
  <c r="JSZ46" i="79"/>
  <c r="JSY46" i="79"/>
  <c r="JSX46" i="79"/>
  <c r="JSW46" i="79"/>
  <c r="JSV46" i="79"/>
  <c r="JSU46" i="79"/>
  <c r="JST46" i="79"/>
  <c r="JSS46" i="79"/>
  <c r="JSR46" i="79"/>
  <c r="JSQ46" i="79"/>
  <c r="JSP46" i="79"/>
  <c r="JSO46" i="79"/>
  <c r="JSN46" i="79"/>
  <c r="JSM46" i="79"/>
  <c r="JSL46" i="79"/>
  <c r="JSK46" i="79"/>
  <c r="JSJ46" i="79"/>
  <c r="JSI46" i="79"/>
  <c r="JSH46" i="79"/>
  <c r="JSG46" i="79"/>
  <c r="JSF46" i="79"/>
  <c r="JSE46" i="79"/>
  <c r="JSD46" i="79"/>
  <c r="JSC46" i="79"/>
  <c r="JSB46" i="79"/>
  <c r="JSA46" i="79"/>
  <c r="JRZ46" i="79"/>
  <c r="JRY46" i="79"/>
  <c r="JRX46" i="79"/>
  <c r="JRW46" i="79"/>
  <c r="JRV46" i="79"/>
  <c r="JRU46" i="79"/>
  <c r="JRT46" i="79"/>
  <c r="JRS46" i="79"/>
  <c r="JRR46" i="79"/>
  <c r="JRQ46" i="79"/>
  <c r="JRP46" i="79"/>
  <c r="JRO46" i="79"/>
  <c r="JRN46" i="79"/>
  <c r="JRM46" i="79"/>
  <c r="JRL46" i="79"/>
  <c r="JRK46" i="79"/>
  <c r="JRJ46" i="79"/>
  <c r="JRI46" i="79"/>
  <c r="JRH46" i="79"/>
  <c r="JRG46" i="79"/>
  <c r="JRF46" i="79"/>
  <c r="JRE46" i="79"/>
  <c r="JRD46" i="79"/>
  <c r="JRC46" i="79"/>
  <c r="JRB46" i="79"/>
  <c r="JRA46" i="79"/>
  <c r="JQZ46" i="79"/>
  <c r="JQY46" i="79"/>
  <c r="JQX46" i="79"/>
  <c r="JQW46" i="79"/>
  <c r="JQV46" i="79"/>
  <c r="JQU46" i="79"/>
  <c r="JQT46" i="79"/>
  <c r="JQS46" i="79"/>
  <c r="JQR46" i="79"/>
  <c r="JQQ46" i="79"/>
  <c r="JQP46" i="79"/>
  <c r="JQO46" i="79"/>
  <c r="JQN46" i="79"/>
  <c r="JQM46" i="79"/>
  <c r="JQL46" i="79"/>
  <c r="JQK46" i="79"/>
  <c r="JQJ46" i="79"/>
  <c r="JQI46" i="79"/>
  <c r="JQH46" i="79"/>
  <c r="JQG46" i="79"/>
  <c r="JQF46" i="79"/>
  <c r="JQE46" i="79"/>
  <c r="JQD46" i="79"/>
  <c r="JQC46" i="79"/>
  <c r="JQB46" i="79"/>
  <c r="JQA46" i="79"/>
  <c r="JPZ46" i="79"/>
  <c r="JPY46" i="79"/>
  <c r="JPX46" i="79"/>
  <c r="JPW46" i="79"/>
  <c r="JPV46" i="79"/>
  <c r="JPU46" i="79"/>
  <c r="JPT46" i="79"/>
  <c r="JPS46" i="79"/>
  <c r="JPR46" i="79"/>
  <c r="JPQ46" i="79"/>
  <c r="JPP46" i="79"/>
  <c r="JPO46" i="79"/>
  <c r="JPN46" i="79"/>
  <c r="JPM46" i="79"/>
  <c r="JPL46" i="79"/>
  <c r="JPK46" i="79"/>
  <c r="JPJ46" i="79"/>
  <c r="JPI46" i="79"/>
  <c r="JPH46" i="79"/>
  <c r="JPG46" i="79"/>
  <c r="JPF46" i="79"/>
  <c r="JPE46" i="79"/>
  <c r="JPD46" i="79"/>
  <c r="JPC46" i="79"/>
  <c r="JPB46" i="79"/>
  <c r="JPA46" i="79"/>
  <c r="JOZ46" i="79"/>
  <c r="JOY46" i="79"/>
  <c r="JOX46" i="79"/>
  <c r="JOW46" i="79"/>
  <c r="JOV46" i="79"/>
  <c r="JOU46" i="79"/>
  <c r="JOT46" i="79"/>
  <c r="JOS46" i="79"/>
  <c r="JOR46" i="79"/>
  <c r="JOQ46" i="79"/>
  <c r="JOP46" i="79"/>
  <c r="JOO46" i="79"/>
  <c r="JON46" i="79"/>
  <c r="JOM46" i="79"/>
  <c r="JOL46" i="79"/>
  <c r="JOK46" i="79"/>
  <c r="JOJ46" i="79"/>
  <c r="JOI46" i="79"/>
  <c r="JOH46" i="79"/>
  <c r="JOG46" i="79"/>
  <c r="JOF46" i="79"/>
  <c r="JOE46" i="79"/>
  <c r="JOD46" i="79"/>
  <c r="JOC46" i="79"/>
  <c r="JOB46" i="79"/>
  <c r="JOA46" i="79"/>
  <c r="JNZ46" i="79"/>
  <c r="JNY46" i="79"/>
  <c r="JNX46" i="79"/>
  <c r="JNW46" i="79"/>
  <c r="JNV46" i="79"/>
  <c r="JNU46" i="79"/>
  <c r="JNT46" i="79"/>
  <c r="JNS46" i="79"/>
  <c r="JNR46" i="79"/>
  <c r="JNQ46" i="79"/>
  <c r="JNP46" i="79"/>
  <c r="JNO46" i="79"/>
  <c r="JNN46" i="79"/>
  <c r="JNM46" i="79"/>
  <c r="JNL46" i="79"/>
  <c r="JNK46" i="79"/>
  <c r="JNJ46" i="79"/>
  <c r="JNI46" i="79"/>
  <c r="JNH46" i="79"/>
  <c r="JNG46" i="79"/>
  <c r="JNF46" i="79"/>
  <c r="JNE46" i="79"/>
  <c r="JND46" i="79"/>
  <c r="JNC46" i="79"/>
  <c r="JNB46" i="79"/>
  <c r="JNA46" i="79"/>
  <c r="JMZ46" i="79"/>
  <c r="JMY46" i="79"/>
  <c r="JMX46" i="79"/>
  <c r="JMW46" i="79"/>
  <c r="JMV46" i="79"/>
  <c r="JMU46" i="79"/>
  <c r="JMT46" i="79"/>
  <c r="JMS46" i="79"/>
  <c r="JMR46" i="79"/>
  <c r="JMQ46" i="79"/>
  <c r="JMP46" i="79"/>
  <c r="JMO46" i="79"/>
  <c r="JMN46" i="79"/>
  <c r="JMM46" i="79"/>
  <c r="JML46" i="79"/>
  <c r="JMK46" i="79"/>
  <c r="JMJ46" i="79"/>
  <c r="JMI46" i="79"/>
  <c r="JMH46" i="79"/>
  <c r="JMG46" i="79"/>
  <c r="JMF46" i="79"/>
  <c r="JME46" i="79"/>
  <c r="JMD46" i="79"/>
  <c r="JMC46" i="79"/>
  <c r="JMB46" i="79"/>
  <c r="JMA46" i="79"/>
  <c r="JLZ46" i="79"/>
  <c r="JLY46" i="79"/>
  <c r="JLX46" i="79"/>
  <c r="JLW46" i="79"/>
  <c r="JLV46" i="79"/>
  <c r="JLU46" i="79"/>
  <c r="JLT46" i="79"/>
  <c r="JLS46" i="79"/>
  <c r="JLR46" i="79"/>
  <c r="JLQ46" i="79"/>
  <c r="JLP46" i="79"/>
  <c r="JLO46" i="79"/>
  <c r="JLN46" i="79"/>
  <c r="JLM46" i="79"/>
  <c r="JLL46" i="79"/>
  <c r="JLK46" i="79"/>
  <c r="JLJ46" i="79"/>
  <c r="JLI46" i="79"/>
  <c r="JLH46" i="79"/>
  <c r="JLG46" i="79"/>
  <c r="JLF46" i="79"/>
  <c r="JLE46" i="79"/>
  <c r="JLD46" i="79"/>
  <c r="JLC46" i="79"/>
  <c r="JLB46" i="79"/>
  <c r="JLA46" i="79"/>
  <c r="JKZ46" i="79"/>
  <c r="JKY46" i="79"/>
  <c r="JKX46" i="79"/>
  <c r="JKW46" i="79"/>
  <c r="JKV46" i="79"/>
  <c r="JKU46" i="79"/>
  <c r="JKT46" i="79"/>
  <c r="JKS46" i="79"/>
  <c r="JKR46" i="79"/>
  <c r="JKQ46" i="79"/>
  <c r="JKP46" i="79"/>
  <c r="JKO46" i="79"/>
  <c r="JKN46" i="79"/>
  <c r="JKM46" i="79"/>
  <c r="JKL46" i="79"/>
  <c r="JKK46" i="79"/>
  <c r="JKJ46" i="79"/>
  <c r="JKI46" i="79"/>
  <c r="JKH46" i="79"/>
  <c r="JKG46" i="79"/>
  <c r="JKF46" i="79"/>
  <c r="JKE46" i="79"/>
  <c r="JKD46" i="79"/>
  <c r="JKC46" i="79"/>
  <c r="JKB46" i="79"/>
  <c r="JKA46" i="79"/>
  <c r="JJZ46" i="79"/>
  <c r="JJY46" i="79"/>
  <c r="JJX46" i="79"/>
  <c r="JJW46" i="79"/>
  <c r="JJV46" i="79"/>
  <c r="JJU46" i="79"/>
  <c r="JJT46" i="79"/>
  <c r="JJS46" i="79"/>
  <c r="JJR46" i="79"/>
  <c r="JJQ46" i="79"/>
  <c r="JJP46" i="79"/>
  <c r="JJO46" i="79"/>
  <c r="JJN46" i="79"/>
  <c r="JJM46" i="79"/>
  <c r="JJL46" i="79"/>
  <c r="JJK46" i="79"/>
  <c r="JJJ46" i="79"/>
  <c r="JJI46" i="79"/>
  <c r="JJH46" i="79"/>
  <c r="JJG46" i="79"/>
  <c r="JJF46" i="79"/>
  <c r="JJE46" i="79"/>
  <c r="JJD46" i="79"/>
  <c r="JJC46" i="79"/>
  <c r="JJB46" i="79"/>
  <c r="JJA46" i="79"/>
  <c r="JIZ46" i="79"/>
  <c r="JIY46" i="79"/>
  <c r="JIX46" i="79"/>
  <c r="JIW46" i="79"/>
  <c r="JIV46" i="79"/>
  <c r="JIU46" i="79"/>
  <c r="JIT46" i="79"/>
  <c r="JIS46" i="79"/>
  <c r="JIR46" i="79"/>
  <c r="JIQ46" i="79"/>
  <c r="JIP46" i="79"/>
  <c r="JIO46" i="79"/>
  <c r="JIN46" i="79"/>
  <c r="JIM46" i="79"/>
  <c r="JIL46" i="79"/>
  <c r="JIK46" i="79"/>
  <c r="JIJ46" i="79"/>
  <c r="JII46" i="79"/>
  <c r="JIH46" i="79"/>
  <c r="JIG46" i="79"/>
  <c r="JIF46" i="79"/>
  <c r="JIE46" i="79"/>
  <c r="JID46" i="79"/>
  <c r="JIC46" i="79"/>
  <c r="JIB46" i="79"/>
  <c r="JIA46" i="79"/>
  <c r="JHZ46" i="79"/>
  <c r="JHY46" i="79"/>
  <c r="JHX46" i="79"/>
  <c r="JHW46" i="79"/>
  <c r="JHV46" i="79"/>
  <c r="JHU46" i="79"/>
  <c r="JHT46" i="79"/>
  <c r="JHS46" i="79"/>
  <c r="JHR46" i="79"/>
  <c r="JHQ46" i="79"/>
  <c r="JHP46" i="79"/>
  <c r="JHO46" i="79"/>
  <c r="JHN46" i="79"/>
  <c r="JHM46" i="79"/>
  <c r="JHL46" i="79"/>
  <c r="JHK46" i="79"/>
  <c r="JHJ46" i="79"/>
  <c r="JHI46" i="79"/>
  <c r="JHH46" i="79"/>
  <c r="JHG46" i="79"/>
  <c r="JHF46" i="79"/>
  <c r="JHE46" i="79"/>
  <c r="JHD46" i="79"/>
  <c r="JHC46" i="79"/>
  <c r="JHB46" i="79"/>
  <c r="JHA46" i="79"/>
  <c r="JGZ46" i="79"/>
  <c r="JGY46" i="79"/>
  <c r="JGX46" i="79"/>
  <c r="JGW46" i="79"/>
  <c r="JGV46" i="79"/>
  <c r="JGU46" i="79"/>
  <c r="JGT46" i="79"/>
  <c r="JGS46" i="79"/>
  <c r="JGR46" i="79"/>
  <c r="JGQ46" i="79"/>
  <c r="JGP46" i="79"/>
  <c r="JGO46" i="79"/>
  <c r="JGN46" i="79"/>
  <c r="JGM46" i="79"/>
  <c r="JGL46" i="79"/>
  <c r="JGK46" i="79"/>
  <c r="JGJ46" i="79"/>
  <c r="JGI46" i="79"/>
  <c r="JGH46" i="79"/>
  <c r="JGG46" i="79"/>
  <c r="JGF46" i="79"/>
  <c r="JGE46" i="79"/>
  <c r="JGD46" i="79"/>
  <c r="JGC46" i="79"/>
  <c r="JGB46" i="79"/>
  <c r="JGA46" i="79"/>
  <c r="JFZ46" i="79"/>
  <c r="JFY46" i="79"/>
  <c r="JFX46" i="79"/>
  <c r="JFW46" i="79"/>
  <c r="JFV46" i="79"/>
  <c r="JFU46" i="79"/>
  <c r="JFT46" i="79"/>
  <c r="JFS46" i="79"/>
  <c r="JFR46" i="79"/>
  <c r="JFQ46" i="79"/>
  <c r="JFP46" i="79"/>
  <c r="JFO46" i="79"/>
  <c r="JFN46" i="79"/>
  <c r="JFM46" i="79"/>
  <c r="JFL46" i="79"/>
  <c r="JFK46" i="79"/>
  <c r="JFJ46" i="79"/>
  <c r="JFI46" i="79"/>
  <c r="JFH46" i="79"/>
  <c r="JFG46" i="79"/>
  <c r="JFF46" i="79"/>
  <c r="JFE46" i="79"/>
  <c r="JFD46" i="79"/>
  <c r="JFC46" i="79"/>
  <c r="JFB46" i="79"/>
  <c r="JFA46" i="79"/>
  <c r="JEZ46" i="79"/>
  <c r="JEY46" i="79"/>
  <c r="JEX46" i="79"/>
  <c r="JEW46" i="79"/>
  <c r="JEV46" i="79"/>
  <c r="JEU46" i="79"/>
  <c r="JET46" i="79"/>
  <c r="JES46" i="79"/>
  <c r="JER46" i="79"/>
  <c r="JEQ46" i="79"/>
  <c r="JEP46" i="79"/>
  <c r="JEO46" i="79"/>
  <c r="JEN46" i="79"/>
  <c r="JEM46" i="79"/>
  <c r="JEL46" i="79"/>
  <c r="JEK46" i="79"/>
  <c r="JEJ46" i="79"/>
  <c r="JEI46" i="79"/>
  <c r="JEH46" i="79"/>
  <c r="JEG46" i="79"/>
  <c r="JEF46" i="79"/>
  <c r="JEE46" i="79"/>
  <c r="JED46" i="79"/>
  <c r="JEC46" i="79"/>
  <c r="JEB46" i="79"/>
  <c r="JEA46" i="79"/>
  <c r="JDZ46" i="79"/>
  <c r="JDY46" i="79"/>
  <c r="JDX46" i="79"/>
  <c r="JDW46" i="79"/>
  <c r="JDV46" i="79"/>
  <c r="JDU46" i="79"/>
  <c r="JDT46" i="79"/>
  <c r="JDS46" i="79"/>
  <c r="JDR46" i="79"/>
  <c r="JDQ46" i="79"/>
  <c r="JDP46" i="79"/>
  <c r="JDO46" i="79"/>
  <c r="JDN46" i="79"/>
  <c r="JDM46" i="79"/>
  <c r="JDL46" i="79"/>
  <c r="JDK46" i="79"/>
  <c r="JDJ46" i="79"/>
  <c r="JDI46" i="79"/>
  <c r="JDH46" i="79"/>
  <c r="JDG46" i="79"/>
  <c r="JDF46" i="79"/>
  <c r="JDE46" i="79"/>
  <c r="JDD46" i="79"/>
  <c r="JDC46" i="79"/>
  <c r="JDB46" i="79"/>
  <c r="JDA46" i="79"/>
  <c r="JCZ46" i="79"/>
  <c r="JCY46" i="79"/>
  <c r="JCX46" i="79"/>
  <c r="JCW46" i="79"/>
  <c r="JCV46" i="79"/>
  <c r="JCU46" i="79"/>
  <c r="JCT46" i="79"/>
  <c r="JCS46" i="79"/>
  <c r="JCR46" i="79"/>
  <c r="JCQ46" i="79"/>
  <c r="JCP46" i="79"/>
  <c r="JCO46" i="79"/>
  <c r="JCN46" i="79"/>
  <c r="JCM46" i="79"/>
  <c r="JCL46" i="79"/>
  <c r="JCK46" i="79"/>
  <c r="JCJ46" i="79"/>
  <c r="JCI46" i="79"/>
  <c r="JCH46" i="79"/>
  <c r="JCG46" i="79"/>
  <c r="JCF46" i="79"/>
  <c r="JCE46" i="79"/>
  <c r="JCD46" i="79"/>
  <c r="JCC46" i="79"/>
  <c r="JCB46" i="79"/>
  <c r="JCA46" i="79"/>
  <c r="JBZ46" i="79"/>
  <c r="JBY46" i="79"/>
  <c r="JBX46" i="79"/>
  <c r="JBW46" i="79"/>
  <c r="JBV46" i="79"/>
  <c r="JBU46" i="79"/>
  <c r="JBT46" i="79"/>
  <c r="JBS46" i="79"/>
  <c r="JBR46" i="79"/>
  <c r="JBQ46" i="79"/>
  <c r="JBP46" i="79"/>
  <c r="JBO46" i="79"/>
  <c r="JBN46" i="79"/>
  <c r="JBM46" i="79"/>
  <c r="JBL46" i="79"/>
  <c r="JBK46" i="79"/>
  <c r="JBJ46" i="79"/>
  <c r="JBI46" i="79"/>
  <c r="JBH46" i="79"/>
  <c r="JBG46" i="79"/>
  <c r="JBF46" i="79"/>
  <c r="JBE46" i="79"/>
  <c r="JBD46" i="79"/>
  <c r="JBC46" i="79"/>
  <c r="JBB46" i="79"/>
  <c r="JBA46" i="79"/>
  <c r="JAZ46" i="79"/>
  <c r="JAY46" i="79"/>
  <c r="JAX46" i="79"/>
  <c r="JAW46" i="79"/>
  <c r="JAV46" i="79"/>
  <c r="JAU46" i="79"/>
  <c r="JAT46" i="79"/>
  <c r="JAS46" i="79"/>
  <c r="JAR46" i="79"/>
  <c r="JAQ46" i="79"/>
  <c r="JAP46" i="79"/>
  <c r="JAO46" i="79"/>
  <c r="JAN46" i="79"/>
  <c r="JAM46" i="79"/>
  <c r="JAL46" i="79"/>
  <c r="JAK46" i="79"/>
  <c r="JAJ46" i="79"/>
  <c r="JAI46" i="79"/>
  <c r="JAH46" i="79"/>
  <c r="JAG46" i="79"/>
  <c r="JAF46" i="79"/>
  <c r="JAE46" i="79"/>
  <c r="JAD46" i="79"/>
  <c r="JAC46" i="79"/>
  <c r="JAB46" i="79"/>
  <c r="JAA46" i="79"/>
  <c r="IZZ46" i="79"/>
  <c r="IZY46" i="79"/>
  <c r="IZX46" i="79"/>
  <c r="IZW46" i="79"/>
  <c r="IZV46" i="79"/>
  <c r="IZU46" i="79"/>
  <c r="IZT46" i="79"/>
  <c r="IZS46" i="79"/>
  <c r="IZR46" i="79"/>
  <c r="IZQ46" i="79"/>
  <c r="IZP46" i="79"/>
  <c r="IZO46" i="79"/>
  <c r="IZN46" i="79"/>
  <c r="IZM46" i="79"/>
  <c r="IZL46" i="79"/>
  <c r="IZK46" i="79"/>
  <c r="IZJ46" i="79"/>
  <c r="IZI46" i="79"/>
  <c r="IZH46" i="79"/>
  <c r="IZG46" i="79"/>
  <c r="IZF46" i="79"/>
  <c r="IZE46" i="79"/>
  <c r="IZD46" i="79"/>
  <c r="IZC46" i="79"/>
  <c r="IZB46" i="79"/>
  <c r="IZA46" i="79"/>
  <c r="IYZ46" i="79"/>
  <c r="IYY46" i="79"/>
  <c r="IYX46" i="79"/>
  <c r="IYW46" i="79"/>
  <c r="IYV46" i="79"/>
  <c r="IYU46" i="79"/>
  <c r="IYT46" i="79"/>
  <c r="IYS46" i="79"/>
  <c r="IYR46" i="79"/>
  <c r="IYQ46" i="79"/>
  <c r="IYP46" i="79"/>
  <c r="IYO46" i="79"/>
  <c r="IYN46" i="79"/>
  <c r="IYM46" i="79"/>
  <c r="IYL46" i="79"/>
  <c r="IYK46" i="79"/>
  <c r="IYJ46" i="79"/>
  <c r="IYI46" i="79"/>
  <c r="IYH46" i="79"/>
  <c r="IYG46" i="79"/>
  <c r="IYF46" i="79"/>
  <c r="IYE46" i="79"/>
  <c r="IYD46" i="79"/>
  <c r="IYC46" i="79"/>
  <c r="IYB46" i="79"/>
  <c r="IYA46" i="79"/>
  <c r="IXZ46" i="79"/>
  <c r="IXY46" i="79"/>
  <c r="IXX46" i="79"/>
  <c r="IXW46" i="79"/>
  <c r="IXV46" i="79"/>
  <c r="IXU46" i="79"/>
  <c r="IXT46" i="79"/>
  <c r="IXS46" i="79"/>
  <c r="IXR46" i="79"/>
  <c r="IXQ46" i="79"/>
  <c r="IXP46" i="79"/>
  <c r="IXO46" i="79"/>
  <c r="IXN46" i="79"/>
  <c r="IXM46" i="79"/>
  <c r="IXL46" i="79"/>
  <c r="IXK46" i="79"/>
  <c r="IXJ46" i="79"/>
  <c r="IXI46" i="79"/>
  <c r="IXH46" i="79"/>
  <c r="IXG46" i="79"/>
  <c r="IXF46" i="79"/>
  <c r="IXE46" i="79"/>
  <c r="IXD46" i="79"/>
  <c r="IXC46" i="79"/>
  <c r="IXB46" i="79"/>
  <c r="IXA46" i="79"/>
  <c r="IWZ46" i="79"/>
  <c r="IWY46" i="79"/>
  <c r="IWX46" i="79"/>
  <c r="IWW46" i="79"/>
  <c r="IWV46" i="79"/>
  <c r="IWU46" i="79"/>
  <c r="IWT46" i="79"/>
  <c r="IWS46" i="79"/>
  <c r="IWR46" i="79"/>
  <c r="IWQ46" i="79"/>
  <c r="IWP46" i="79"/>
  <c r="IWO46" i="79"/>
  <c r="IWN46" i="79"/>
  <c r="IWM46" i="79"/>
  <c r="IWL46" i="79"/>
  <c r="IWK46" i="79"/>
  <c r="IWJ46" i="79"/>
  <c r="IWI46" i="79"/>
  <c r="IWH46" i="79"/>
  <c r="IWG46" i="79"/>
  <c r="IWF46" i="79"/>
  <c r="IWE46" i="79"/>
  <c r="IWD46" i="79"/>
  <c r="IWC46" i="79"/>
  <c r="IWB46" i="79"/>
  <c r="IWA46" i="79"/>
  <c r="IVZ46" i="79"/>
  <c r="IVY46" i="79"/>
  <c r="IVX46" i="79"/>
  <c r="IVW46" i="79"/>
  <c r="IVV46" i="79"/>
  <c r="IVU46" i="79"/>
  <c r="IVT46" i="79"/>
  <c r="IVS46" i="79"/>
  <c r="IVR46" i="79"/>
  <c r="IVQ46" i="79"/>
  <c r="IVP46" i="79"/>
  <c r="IVO46" i="79"/>
  <c r="IVN46" i="79"/>
  <c r="IVM46" i="79"/>
  <c r="IVL46" i="79"/>
  <c r="IVK46" i="79"/>
  <c r="IVJ46" i="79"/>
  <c r="IVI46" i="79"/>
  <c r="IVH46" i="79"/>
  <c r="IVG46" i="79"/>
  <c r="IVF46" i="79"/>
  <c r="IVE46" i="79"/>
  <c r="IVD46" i="79"/>
  <c r="IVC46" i="79"/>
  <c r="IVB46" i="79"/>
  <c r="IVA46" i="79"/>
  <c r="IUZ46" i="79"/>
  <c r="IUY46" i="79"/>
  <c r="IUX46" i="79"/>
  <c r="IUW46" i="79"/>
  <c r="IUV46" i="79"/>
  <c r="IUU46" i="79"/>
  <c r="IUT46" i="79"/>
  <c r="IUS46" i="79"/>
  <c r="IUR46" i="79"/>
  <c r="IUQ46" i="79"/>
  <c r="IUP46" i="79"/>
  <c r="IUO46" i="79"/>
  <c r="IUN46" i="79"/>
  <c r="IUM46" i="79"/>
  <c r="IUL46" i="79"/>
  <c r="IUK46" i="79"/>
  <c r="IUJ46" i="79"/>
  <c r="IUI46" i="79"/>
  <c r="IUH46" i="79"/>
  <c r="IUG46" i="79"/>
  <c r="IUF46" i="79"/>
  <c r="IUE46" i="79"/>
  <c r="IUD46" i="79"/>
  <c r="IUC46" i="79"/>
  <c r="IUB46" i="79"/>
  <c r="IUA46" i="79"/>
  <c r="ITZ46" i="79"/>
  <c r="ITY46" i="79"/>
  <c r="ITX46" i="79"/>
  <c r="ITW46" i="79"/>
  <c r="ITV46" i="79"/>
  <c r="ITU46" i="79"/>
  <c r="ITT46" i="79"/>
  <c r="ITS46" i="79"/>
  <c r="ITR46" i="79"/>
  <c r="ITQ46" i="79"/>
  <c r="ITP46" i="79"/>
  <c r="ITO46" i="79"/>
  <c r="ITN46" i="79"/>
  <c r="ITM46" i="79"/>
  <c r="ITL46" i="79"/>
  <c r="ITK46" i="79"/>
  <c r="ITJ46" i="79"/>
  <c r="ITI46" i="79"/>
  <c r="ITH46" i="79"/>
  <c r="ITG46" i="79"/>
  <c r="ITF46" i="79"/>
  <c r="ITE46" i="79"/>
  <c r="ITD46" i="79"/>
  <c r="ITC46" i="79"/>
  <c r="ITB46" i="79"/>
  <c r="ITA46" i="79"/>
  <c r="ISZ46" i="79"/>
  <c r="ISY46" i="79"/>
  <c r="ISX46" i="79"/>
  <c r="ISW46" i="79"/>
  <c r="ISV46" i="79"/>
  <c r="ISU46" i="79"/>
  <c r="IST46" i="79"/>
  <c r="ISS46" i="79"/>
  <c r="ISR46" i="79"/>
  <c r="ISQ46" i="79"/>
  <c r="ISP46" i="79"/>
  <c r="ISO46" i="79"/>
  <c r="ISN46" i="79"/>
  <c r="ISM46" i="79"/>
  <c r="ISL46" i="79"/>
  <c r="ISK46" i="79"/>
  <c r="ISJ46" i="79"/>
  <c r="ISI46" i="79"/>
  <c r="ISH46" i="79"/>
  <c r="ISG46" i="79"/>
  <c r="ISF46" i="79"/>
  <c r="ISE46" i="79"/>
  <c r="ISD46" i="79"/>
  <c r="ISC46" i="79"/>
  <c r="ISB46" i="79"/>
  <c r="ISA46" i="79"/>
  <c r="IRZ46" i="79"/>
  <c r="IRY46" i="79"/>
  <c r="IRX46" i="79"/>
  <c r="IRW46" i="79"/>
  <c r="IRV46" i="79"/>
  <c r="IRU46" i="79"/>
  <c r="IRT46" i="79"/>
  <c r="IRS46" i="79"/>
  <c r="IRR46" i="79"/>
  <c r="IRQ46" i="79"/>
  <c r="IRP46" i="79"/>
  <c r="IRO46" i="79"/>
  <c r="IRN46" i="79"/>
  <c r="IRM46" i="79"/>
  <c r="IRL46" i="79"/>
  <c r="IRK46" i="79"/>
  <c r="IRJ46" i="79"/>
  <c r="IRI46" i="79"/>
  <c r="IRH46" i="79"/>
  <c r="IRG46" i="79"/>
  <c r="IRF46" i="79"/>
  <c r="IRE46" i="79"/>
  <c r="IRD46" i="79"/>
  <c r="IRC46" i="79"/>
  <c r="IRB46" i="79"/>
  <c r="IRA46" i="79"/>
  <c r="IQZ46" i="79"/>
  <c r="IQY46" i="79"/>
  <c r="IQX46" i="79"/>
  <c r="IQW46" i="79"/>
  <c r="IQV46" i="79"/>
  <c r="IQU46" i="79"/>
  <c r="IQT46" i="79"/>
  <c r="IQS46" i="79"/>
  <c r="IQR46" i="79"/>
  <c r="IQQ46" i="79"/>
  <c r="IQP46" i="79"/>
  <c r="IQO46" i="79"/>
  <c r="IQN46" i="79"/>
  <c r="IQM46" i="79"/>
  <c r="IQL46" i="79"/>
  <c r="IQK46" i="79"/>
  <c r="IQJ46" i="79"/>
  <c r="IQI46" i="79"/>
  <c r="IQH46" i="79"/>
  <c r="IQG46" i="79"/>
  <c r="IQF46" i="79"/>
  <c r="IQE46" i="79"/>
  <c r="IQD46" i="79"/>
  <c r="IQC46" i="79"/>
  <c r="IQB46" i="79"/>
  <c r="IQA46" i="79"/>
  <c r="IPZ46" i="79"/>
  <c r="IPY46" i="79"/>
  <c r="IPX46" i="79"/>
  <c r="IPW46" i="79"/>
  <c r="IPV46" i="79"/>
  <c r="IPU46" i="79"/>
  <c r="IPT46" i="79"/>
  <c r="IPS46" i="79"/>
  <c r="IPR46" i="79"/>
  <c r="IPQ46" i="79"/>
  <c r="IPP46" i="79"/>
  <c r="IPO46" i="79"/>
  <c r="IPN46" i="79"/>
  <c r="IPM46" i="79"/>
  <c r="IPL46" i="79"/>
  <c r="IPK46" i="79"/>
  <c r="IPJ46" i="79"/>
  <c r="IPI46" i="79"/>
  <c r="IPH46" i="79"/>
  <c r="IPG46" i="79"/>
  <c r="IPF46" i="79"/>
  <c r="IPE46" i="79"/>
  <c r="IPD46" i="79"/>
  <c r="IPC46" i="79"/>
  <c r="IPB46" i="79"/>
  <c r="IPA46" i="79"/>
  <c r="IOZ46" i="79"/>
  <c r="IOY46" i="79"/>
  <c r="IOX46" i="79"/>
  <c r="IOW46" i="79"/>
  <c r="IOV46" i="79"/>
  <c r="IOU46" i="79"/>
  <c r="IOT46" i="79"/>
  <c r="IOS46" i="79"/>
  <c r="IOR46" i="79"/>
  <c r="IOQ46" i="79"/>
  <c r="IOP46" i="79"/>
  <c r="IOO46" i="79"/>
  <c r="ION46" i="79"/>
  <c r="IOM46" i="79"/>
  <c r="IOL46" i="79"/>
  <c r="IOK46" i="79"/>
  <c r="IOJ46" i="79"/>
  <c r="IOI46" i="79"/>
  <c r="IOH46" i="79"/>
  <c r="IOG46" i="79"/>
  <c r="IOF46" i="79"/>
  <c r="IOE46" i="79"/>
  <c r="IOD46" i="79"/>
  <c r="IOC46" i="79"/>
  <c r="IOB46" i="79"/>
  <c r="IOA46" i="79"/>
  <c r="INZ46" i="79"/>
  <c r="INY46" i="79"/>
  <c r="INX46" i="79"/>
  <c r="INW46" i="79"/>
  <c r="INV46" i="79"/>
  <c r="INU46" i="79"/>
  <c r="INT46" i="79"/>
  <c r="INS46" i="79"/>
  <c r="INR46" i="79"/>
  <c r="INQ46" i="79"/>
  <c r="INP46" i="79"/>
  <c r="INO46" i="79"/>
  <c r="INN46" i="79"/>
  <c r="INM46" i="79"/>
  <c r="INL46" i="79"/>
  <c r="INK46" i="79"/>
  <c r="INJ46" i="79"/>
  <c r="INI46" i="79"/>
  <c r="INH46" i="79"/>
  <c r="ING46" i="79"/>
  <c r="INF46" i="79"/>
  <c r="INE46" i="79"/>
  <c r="IND46" i="79"/>
  <c r="INC46" i="79"/>
  <c r="INB46" i="79"/>
  <c r="INA46" i="79"/>
  <c r="IMZ46" i="79"/>
  <c r="IMY46" i="79"/>
  <c r="IMX46" i="79"/>
  <c r="IMW46" i="79"/>
  <c r="IMV46" i="79"/>
  <c r="IMU46" i="79"/>
  <c r="IMT46" i="79"/>
  <c r="IMS46" i="79"/>
  <c r="IMR46" i="79"/>
  <c r="IMQ46" i="79"/>
  <c r="IMP46" i="79"/>
  <c r="IMO46" i="79"/>
  <c r="IMN46" i="79"/>
  <c r="IMM46" i="79"/>
  <c r="IML46" i="79"/>
  <c r="IMK46" i="79"/>
  <c r="IMJ46" i="79"/>
  <c r="IMI46" i="79"/>
  <c r="IMH46" i="79"/>
  <c r="IMG46" i="79"/>
  <c r="IMF46" i="79"/>
  <c r="IME46" i="79"/>
  <c r="IMD46" i="79"/>
  <c r="IMC46" i="79"/>
  <c r="IMB46" i="79"/>
  <c r="IMA46" i="79"/>
  <c r="ILZ46" i="79"/>
  <c r="ILY46" i="79"/>
  <c r="ILX46" i="79"/>
  <c r="ILW46" i="79"/>
  <c r="ILV46" i="79"/>
  <c r="ILU46" i="79"/>
  <c r="ILT46" i="79"/>
  <c r="ILS46" i="79"/>
  <c r="ILR46" i="79"/>
  <c r="ILQ46" i="79"/>
  <c r="ILP46" i="79"/>
  <c r="ILO46" i="79"/>
  <c r="ILN46" i="79"/>
  <c r="ILM46" i="79"/>
  <c r="ILL46" i="79"/>
  <c r="ILK46" i="79"/>
  <c r="ILJ46" i="79"/>
  <c r="ILI46" i="79"/>
  <c r="ILH46" i="79"/>
  <c r="ILG46" i="79"/>
  <c r="ILF46" i="79"/>
  <c r="ILE46" i="79"/>
  <c r="ILD46" i="79"/>
  <c r="ILC46" i="79"/>
  <c r="ILB46" i="79"/>
  <c r="ILA46" i="79"/>
  <c r="IKZ46" i="79"/>
  <c r="IKY46" i="79"/>
  <c r="IKX46" i="79"/>
  <c r="IKW46" i="79"/>
  <c r="IKV46" i="79"/>
  <c r="IKU46" i="79"/>
  <c r="IKT46" i="79"/>
  <c r="IKS46" i="79"/>
  <c r="IKR46" i="79"/>
  <c r="IKQ46" i="79"/>
  <c r="IKP46" i="79"/>
  <c r="IKO46" i="79"/>
  <c r="IKN46" i="79"/>
  <c r="IKM46" i="79"/>
  <c r="IKL46" i="79"/>
  <c r="IKK46" i="79"/>
  <c r="IKJ46" i="79"/>
  <c r="IKI46" i="79"/>
  <c r="IKH46" i="79"/>
  <c r="IKG46" i="79"/>
  <c r="IKF46" i="79"/>
  <c r="IKE46" i="79"/>
  <c r="IKD46" i="79"/>
  <c r="IKC46" i="79"/>
  <c r="IKB46" i="79"/>
  <c r="IKA46" i="79"/>
  <c r="IJZ46" i="79"/>
  <c r="IJY46" i="79"/>
  <c r="IJX46" i="79"/>
  <c r="IJW46" i="79"/>
  <c r="IJV46" i="79"/>
  <c r="IJU46" i="79"/>
  <c r="IJT46" i="79"/>
  <c r="IJS46" i="79"/>
  <c r="IJR46" i="79"/>
  <c r="IJQ46" i="79"/>
  <c r="IJP46" i="79"/>
  <c r="IJO46" i="79"/>
  <c r="IJN46" i="79"/>
  <c r="IJM46" i="79"/>
  <c r="IJL46" i="79"/>
  <c r="IJK46" i="79"/>
  <c r="IJJ46" i="79"/>
  <c r="IJI46" i="79"/>
  <c r="IJH46" i="79"/>
  <c r="IJG46" i="79"/>
  <c r="IJF46" i="79"/>
  <c r="IJE46" i="79"/>
  <c r="IJD46" i="79"/>
  <c r="IJC46" i="79"/>
  <c r="IJB46" i="79"/>
  <c r="IJA46" i="79"/>
  <c r="IIZ46" i="79"/>
  <c r="IIY46" i="79"/>
  <c r="IIX46" i="79"/>
  <c r="IIW46" i="79"/>
  <c r="IIV46" i="79"/>
  <c r="IIU46" i="79"/>
  <c r="IIT46" i="79"/>
  <c r="IIS46" i="79"/>
  <c r="IIR46" i="79"/>
  <c r="IIQ46" i="79"/>
  <c r="IIP46" i="79"/>
  <c r="IIO46" i="79"/>
  <c r="IIN46" i="79"/>
  <c r="IIM46" i="79"/>
  <c r="IIL46" i="79"/>
  <c r="IIK46" i="79"/>
  <c r="IIJ46" i="79"/>
  <c r="III46" i="79"/>
  <c r="IIH46" i="79"/>
  <c r="IIG46" i="79"/>
  <c r="IIF46" i="79"/>
  <c r="IIE46" i="79"/>
  <c r="IID46" i="79"/>
  <c r="IIC46" i="79"/>
  <c r="IIB46" i="79"/>
  <c r="IIA46" i="79"/>
  <c r="IHZ46" i="79"/>
  <c r="IHY46" i="79"/>
  <c r="IHX46" i="79"/>
  <c r="IHW46" i="79"/>
  <c r="IHV46" i="79"/>
  <c r="IHU46" i="79"/>
  <c r="IHT46" i="79"/>
  <c r="IHS46" i="79"/>
  <c r="IHR46" i="79"/>
  <c r="IHQ46" i="79"/>
  <c r="IHP46" i="79"/>
  <c r="IHO46" i="79"/>
  <c r="IHN46" i="79"/>
  <c r="IHM46" i="79"/>
  <c r="IHL46" i="79"/>
  <c r="IHK46" i="79"/>
  <c r="IHJ46" i="79"/>
  <c r="IHI46" i="79"/>
  <c r="IHH46" i="79"/>
  <c r="IHG46" i="79"/>
  <c r="IHF46" i="79"/>
  <c r="IHE46" i="79"/>
  <c r="IHD46" i="79"/>
  <c r="IHC46" i="79"/>
  <c r="IHB46" i="79"/>
  <c r="IHA46" i="79"/>
  <c r="IGZ46" i="79"/>
  <c r="IGY46" i="79"/>
  <c r="IGX46" i="79"/>
  <c r="IGW46" i="79"/>
  <c r="IGV46" i="79"/>
  <c r="IGU46" i="79"/>
  <c r="IGT46" i="79"/>
  <c r="IGS46" i="79"/>
  <c r="IGR46" i="79"/>
  <c r="IGQ46" i="79"/>
  <c r="IGP46" i="79"/>
  <c r="IGO46" i="79"/>
  <c r="IGN46" i="79"/>
  <c r="IGM46" i="79"/>
  <c r="IGL46" i="79"/>
  <c r="IGK46" i="79"/>
  <c r="IGJ46" i="79"/>
  <c r="IGI46" i="79"/>
  <c r="IGH46" i="79"/>
  <c r="IGG46" i="79"/>
  <c r="IGF46" i="79"/>
  <c r="IGE46" i="79"/>
  <c r="IGD46" i="79"/>
  <c r="IGC46" i="79"/>
  <c r="IGB46" i="79"/>
  <c r="IGA46" i="79"/>
  <c r="IFZ46" i="79"/>
  <c r="IFY46" i="79"/>
  <c r="IFX46" i="79"/>
  <c r="IFW46" i="79"/>
  <c r="IFV46" i="79"/>
  <c r="IFU46" i="79"/>
  <c r="IFT46" i="79"/>
  <c r="IFS46" i="79"/>
  <c r="IFR46" i="79"/>
  <c r="IFQ46" i="79"/>
  <c r="IFP46" i="79"/>
  <c r="IFO46" i="79"/>
  <c r="IFN46" i="79"/>
  <c r="IFM46" i="79"/>
  <c r="IFL46" i="79"/>
  <c r="IFK46" i="79"/>
  <c r="IFJ46" i="79"/>
  <c r="IFI46" i="79"/>
  <c r="IFH46" i="79"/>
  <c r="IFG46" i="79"/>
  <c r="IFF46" i="79"/>
  <c r="IFE46" i="79"/>
  <c r="IFD46" i="79"/>
  <c r="IFC46" i="79"/>
  <c r="IFB46" i="79"/>
  <c r="IFA46" i="79"/>
  <c r="IEZ46" i="79"/>
  <c r="IEY46" i="79"/>
  <c r="IEX46" i="79"/>
  <c r="IEW46" i="79"/>
  <c r="IEV46" i="79"/>
  <c r="IEU46" i="79"/>
  <c r="IET46" i="79"/>
  <c r="IES46" i="79"/>
  <c r="IER46" i="79"/>
  <c r="IEQ46" i="79"/>
  <c r="IEP46" i="79"/>
  <c r="IEO46" i="79"/>
  <c r="IEN46" i="79"/>
  <c r="IEM46" i="79"/>
  <c r="IEL46" i="79"/>
  <c r="IEK46" i="79"/>
  <c r="IEJ46" i="79"/>
  <c r="IEI46" i="79"/>
  <c r="IEH46" i="79"/>
  <c r="IEG46" i="79"/>
  <c r="IEF46" i="79"/>
  <c r="IEE46" i="79"/>
  <c r="IED46" i="79"/>
  <c r="IEC46" i="79"/>
  <c r="IEB46" i="79"/>
  <c r="IEA46" i="79"/>
  <c r="IDZ46" i="79"/>
  <c r="IDY46" i="79"/>
  <c r="IDX46" i="79"/>
  <c r="IDW46" i="79"/>
  <c r="IDV46" i="79"/>
  <c r="IDU46" i="79"/>
  <c r="IDT46" i="79"/>
  <c r="IDS46" i="79"/>
  <c r="IDR46" i="79"/>
  <c r="IDQ46" i="79"/>
  <c r="IDP46" i="79"/>
  <c r="IDO46" i="79"/>
  <c r="IDN46" i="79"/>
  <c r="IDM46" i="79"/>
  <c r="IDL46" i="79"/>
  <c r="IDK46" i="79"/>
  <c r="IDJ46" i="79"/>
  <c r="IDI46" i="79"/>
  <c r="IDH46" i="79"/>
  <c r="IDG46" i="79"/>
  <c r="IDF46" i="79"/>
  <c r="IDE46" i="79"/>
  <c r="IDD46" i="79"/>
  <c r="IDC46" i="79"/>
  <c r="IDB46" i="79"/>
  <c r="IDA46" i="79"/>
  <c r="ICZ46" i="79"/>
  <c r="ICY46" i="79"/>
  <c r="ICX46" i="79"/>
  <c r="ICW46" i="79"/>
  <c r="ICV46" i="79"/>
  <c r="ICU46" i="79"/>
  <c r="ICT46" i="79"/>
  <c r="ICS46" i="79"/>
  <c r="ICR46" i="79"/>
  <c r="ICQ46" i="79"/>
  <c r="ICP46" i="79"/>
  <c r="ICO46" i="79"/>
  <c r="ICN46" i="79"/>
  <c r="ICM46" i="79"/>
  <c r="ICL46" i="79"/>
  <c r="ICK46" i="79"/>
  <c r="ICJ46" i="79"/>
  <c r="ICI46" i="79"/>
  <c r="ICH46" i="79"/>
  <c r="ICG46" i="79"/>
  <c r="ICF46" i="79"/>
  <c r="ICE46" i="79"/>
  <c r="ICD46" i="79"/>
  <c r="ICC46" i="79"/>
  <c r="ICB46" i="79"/>
  <c r="ICA46" i="79"/>
  <c r="IBZ46" i="79"/>
  <c r="IBY46" i="79"/>
  <c r="IBX46" i="79"/>
  <c r="IBW46" i="79"/>
  <c r="IBV46" i="79"/>
  <c r="IBU46" i="79"/>
  <c r="IBT46" i="79"/>
  <c r="IBS46" i="79"/>
  <c r="IBR46" i="79"/>
  <c r="IBQ46" i="79"/>
  <c r="IBP46" i="79"/>
  <c r="IBO46" i="79"/>
  <c r="IBN46" i="79"/>
  <c r="IBM46" i="79"/>
  <c r="IBL46" i="79"/>
  <c r="IBK46" i="79"/>
  <c r="IBJ46" i="79"/>
  <c r="IBI46" i="79"/>
  <c r="IBH46" i="79"/>
  <c r="IBG46" i="79"/>
  <c r="IBF46" i="79"/>
  <c r="IBE46" i="79"/>
  <c r="IBD46" i="79"/>
  <c r="IBC46" i="79"/>
  <c r="IBB46" i="79"/>
  <c r="IBA46" i="79"/>
  <c r="IAZ46" i="79"/>
  <c r="IAY46" i="79"/>
  <c r="IAX46" i="79"/>
  <c r="IAW46" i="79"/>
  <c r="IAV46" i="79"/>
  <c r="IAU46" i="79"/>
  <c r="IAT46" i="79"/>
  <c r="IAS46" i="79"/>
  <c r="IAR46" i="79"/>
  <c r="IAQ46" i="79"/>
  <c r="IAP46" i="79"/>
  <c r="IAO46" i="79"/>
  <c r="IAN46" i="79"/>
  <c r="IAM46" i="79"/>
  <c r="IAL46" i="79"/>
  <c r="IAK46" i="79"/>
  <c r="IAJ46" i="79"/>
  <c r="IAI46" i="79"/>
  <c r="IAH46" i="79"/>
  <c r="IAG46" i="79"/>
  <c r="IAF46" i="79"/>
  <c r="IAE46" i="79"/>
  <c r="IAD46" i="79"/>
  <c r="IAC46" i="79"/>
  <c r="IAB46" i="79"/>
  <c r="IAA46" i="79"/>
  <c r="HZZ46" i="79"/>
  <c r="HZY46" i="79"/>
  <c r="HZX46" i="79"/>
  <c r="HZW46" i="79"/>
  <c r="HZV46" i="79"/>
  <c r="HZU46" i="79"/>
  <c r="HZT46" i="79"/>
  <c r="HZS46" i="79"/>
  <c r="HZR46" i="79"/>
  <c r="HZQ46" i="79"/>
  <c r="HZP46" i="79"/>
  <c r="HZO46" i="79"/>
  <c r="HZN46" i="79"/>
  <c r="HZM46" i="79"/>
  <c r="HZL46" i="79"/>
  <c r="HZK46" i="79"/>
  <c r="HZJ46" i="79"/>
  <c r="HZI46" i="79"/>
  <c r="HZH46" i="79"/>
  <c r="HZG46" i="79"/>
  <c r="HZF46" i="79"/>
  <c r="HZE46" i="79"/>
  <c r="HZD46" i="79"/>
  <c r="HZC46" i="79"/>
  <c r="HZB46" i="79"/>
  <c r="HZA46" i="79"/>
  <c r="HYZ46" i="79"/>
  <c r="HYY46" i="79"/>
  <c r="HYX46" i="79"/>
  <c r="HYW46" i="79"/>
  <c r="HYV46" i="79"/>
  <c r="HYU46" i="79"/>
  <c r="HYT46" i="79"/>
  <c r="HYS46" i="79"/>
  <c r="HYR46" i="79"/>
  <c r="HYQ46" i="79"/>
  <c r="HYP46" i="79"/>
  <c r="HYO46" i="79"/>
  <c r="HYN46" i="79"/>
  <c r="HYM46" i="79"/>
  <c r="HYL46" i="79"/>
  <c r="HYK46" i="79"/>
  <c r="HYJ46" i="79"/>
  <c r="HYI46" i="79"/>
  <c r="HYH46" i="79"/>
  <c r="HYG46" i="79"/>
  <c r="HYF46" i="79"/>
  <c r="HYE46" i="79"/>
  <c r="HYD46" i="79"/>
  <c r="HYC46" i="79"/>
  <c r="HYB46" i="79"/>
  <c r="HYA46" i="79"/>
  <c r="HXZ46" i="79"/>
  <c r="HXY46" i="79"/>
  <c r="HXX46" i="79"/>
  <c r="HXW46" i="79"/>
  <c r="HXV46" i="79"/>
  <c r="HXU46" i="79"/>
  <c r="HXT46" i="79"/>
  <c r="HXS46" i="79"/>
  <c r="HXR46" i="79"/>
  <c r="HXQ46" i="79"/>
  <c r="HXP46" i="79"/>
  <c r="HXO46" i="79"/>
  <c r="HXN46" i="79"/>
  <c r="HXM46" i="79"/>
  <c r="HXL46" i="79"/>
  <c r="HXK46" i="79"/>
  <c r="HXJ46" i="79"/>
  <c r="HXI46" i="79"/>
  <c r="HXH46" i="79"/>
  <c r="HXG46" i="79"/>
  <c r="HXF46" i="79"/>
  <c r="HXE46" i="79"/>
  <c r="HXD46" i="79"/>
  <c r="HXC46" i="79"/>
  <c r="HXB46" i="79"/>
  <c r="HXA46" i="79"/>
  <c r="HWZ46" i="79"/>
  <c r="HWY46" i="79"/>
  <c r="HWX46" i="79"/>
  <c r="HWW46" i="79"/>
  <c r="HWV46" i="79"/>
  <c r="HWU46" i="79"/>
  <c r="HWT46" i="79"/>
  <c r="HWS46" i="79"/>
  <c r="HWR46" i="79"/>
  <c r="HWQ46" i="79"/>
  <c r="HWP46" i="79"/>
  <c r="HWO46" i="79"/>
  <c r="HWN46" i="79"/>
  <c r="HWM46" i="79"/>
  <c r="HWL46" i="79"/>
  <c r="HWK46" i="79"/>
  <c r="HWJ46" i="79"/>
  <c r="HWI46" i="79"/>
  <c r="HWH46" i="79"/>
  <c r="HWG46" i="79"/>
  <c r="HWF46" i="79"/>
  <c r="HWE46" i="79"/>
  <c r="HWD46" i="79"/>
  <c r="HWC46" i="79"/>
  <c r="HWB46" i="79"/>
  <c r="HWA46" i="79"/>
  <c r="HVZ46" i="79"/>
  <c r="HVY46" i="79"/>
  <c r="HVX46" i="79"/>
  <c r="HVW46" i="79"/>
  <c r="HVV46" i="79"/>
  <c r="HVU46" i="79"/>
  <c r="HVT46" i="79"/>
  <c r="HVS46" i="79"/>
  <c r="HVR46" i="79"/>
  <c r="HVQ46" i="79"/>
  <c r="HVP46" i="79"/>
  <c r="HVO46" i="79"/>
  <c r="HVN46" i="79"/>
  <c r="HVM46" i="79"/>
  <c r="HVL46" i="79"/>
  <c r="HVK46" i="79"/>
  <c r="HVJ46" i="79"/>
  <c r="HVI46" i="79"/>
  <c r="HVH46" i="79"/>
  <c r="HVG46" i="79"/>
  <c r="HVF46" i="79"/>
  <c r="HVE46" i="79"/>
  <c r="HVD46" i="79"/>
  <c r="HVC46" i="79"/>
  <c r="HVB46" i="79"/>
  <c r="HVA46" i="79"/>
  <c r="HUZ46" i="79"/>
  <c r="HUY46" i="79"/>
  <c r="HUX46" i="79"/>
  <c r="HUW46" i="79"/>
  <c r="HUV46" i="79"/>
  <c r="HUU46" i="79"/>
  <c r="HUT46" i="79"/>
  <c r="HUS46" i="79"/>
  <c r="HUR46" i="79"/>
  <c r="HUQ46" i="79"/>
  <c r="HUP46" i="79"/>
  <c r="HUO46" i="79"/>
  <c r="HUN46" i="79"/>
  <c r="HUM46" i="79"/>
  <c r="HUL46" i="79"/>
  <c r="HUK46" i="79"/>
  <c r="HUJ46" i="79"/>
  <c r="HUI46" i="79"/>
  <c r="HUH46" i="79"/>
  <c r="HUG46" i="79"/>
  <c r="HUF46" i="79"/>
  <c r="HUE46" i="79"/>
  <c r="HUD46" i="79"/>
  <c r="HUC46" i="79"/>
  <c r="HUB46" i="79"/>
  <c r="HUA46" i="79"/>
  <c r="HTZ46" i="79"/>
  <c r="HTY46" i="79"/>
  <c r="HTX46" i="79"/>
  <c r="HTW46" i="79"/>
  <c r="HTV46" i="79"/>
  <c r="HTU46" i="79"/>
  <c r="HTT46" i="79"/>
  <c r="HTS46" i="79"/>
  <c r="HTR46" i="79"/>
  <c r="HTQ46" i="79"/>
  <c r="HTP46" i="79"/>
  <c r="HTO46" i="79"/>
  <c r="HTN46" i="79"/>
  <c r="HTM46" i="79"/>
  <c r="HTL46" i="79"/>
  <c r="HTK46" i="79"/>
  <c r="HTJ46" i="79"/>
  <c r="HTI46" i="79"/>
  <c r="HTH46" i="79"/>
  <c r="HTG46" i="79"/>
  <c r="HTF46" i="79"/>
  <c r="HTE46" i="79"/>
  <c r="HTD46" i="79"/>
  <c r="HTC46" i="79"/>
  <c r="HTB46" i="79"/>
  <c r="HTA46" i="79"/>
  <c r="HSZ46" i="79"/>
  <c r="HSY46" i="79"/>
  <c r="HSX46" i="79"/>
  <c r="HSW46" i="79"/>
  <c r="HSV46" i="79"/>
  <c r="HSU46" i="79"/>
  <c r="HST46" i="79"/>
  <c r="HSS46" i="79"/>
  <c r="HSR46" i="79"/>
  <c r="HSQ46" i="79"/>
  <c r="HSP46" i="79"/>
  <c r="HSO46" i="79"/>
  <c r="HSN46" i="79"/>
  <c r="HSM46" i="79"/>
  <c r="HSL46" i="79"/>
  <c r="HSK46" i="79"/>
  <c r="HSJ46" i="79"/>
  <c r="HSI46" i="79"/>
  <c r="HSH46" i="79"/>
  <c r="HSG46" i="79"/>
  <c r="HSF46" i="79"/>
  <c r="HSE46" i="79"/>
  <c r="HSD46" i="79"/>
  <c r="HSC46" i="79"/>
  <c r="HSB46" i="79"/>
  <c r="HSA46" i="79"/>
  <c r="HRZ46" i="79"/>
  <c r="HRY46" i="79"/>
  <c r="HRX46" i="79"/>
  <c r="HRW46" i="79"/>
  <c r="HRV46" i="79"/>
  <c r="HRU46" i="79"/>
  <c r="HRT46" i="79"/>
  <c r="HRS46" i="79"/>
  <c r="HRR46" i="79"/>
  <c r="HRQ46" i="79"/>
  <c r="HRP46" i="79"/>
  <c r="HRO46" i="79"/>
  <c r="HRN46" i="79"/>
  <c r="HRM46" i="79"/>
  <c r="HRL46" i="79"/>
  <c r="HRK46" i="79"/>
  <c r="HRJ46" i="79"/>
  <c r="HRI46" i="79"/>
  <c r="HRH46" i="79"/>
  <c r="HRG46" i="79"/>
  <c r="HRF46" i="79"/>
  <c r="HRE46" i="79"/>
  <c r="HRD46" i="79"/>
  <c r="HRC46" i="79"/>
  <c r="HRB46" i="79"/>
  <c r="HRA46" i="79"/>
  <c r="HQZ46" i="79"/>
  <c r="HQY46" i="79"/>
  <c r="HQX46" i="79"/>
  <c r="HQW46" i="79"/>
  <c r="HQV46" i="79"/>
  <c r="HQU46" i="79"/>
  <c r="HQT46" i="79"/>
  <c r="HQS46" i="79"/>
  <c r="HQR46" i="79"/>
  <c r="HQQ46" i="79"/>
  <c r="HQP46" i="79"/>
  <c r="HQO46" i="79"/>
  <c r="HQN46" i="79"/>
  <c r="HQM46" i="79"/>
  <c r="HQL46" i="79"/>
  <c r="HQK46" i="79"/>
  <c r="HQJ46" i="79"/>
  <c r="HQI46" i="79"/>
  <c r="HQH46" i="79"/>
  <c r="HQG46" i="79"/>
  <c r="HQF46" i="79"/>
  <c r="HQE46" i="79"/>
  <c r="HQD46" i="79"/>
  <c r="HQC46" i="79"/>
  <c r="HQB46" i="79"/>
  <c r="HQA46" i="79"/>
  <c r="HPZ46" i="79"/>
  <c r="HPY46" i="79"/>
  <c r="HPX46" i="79"/>
  <c r="HPW46" i="79"/>
  <c r="HPV46" i="79"/>
  <c r="HPU46" i="79"/>
  <c r="HPT46" i="79"/>
  <c r="HPS46" i="79"/>
  <c r="HPR46" i="79"/>
  <c r="HPQ46" i="79"/>
  <c r="HPP46" i="79"/>
  <c r="HPO46" i="79"/>
  <c r="HPN46" i="79"/>
  <c r="HPM46" i="79"/>
  <c r="HPL46" i="79"/>
  <c r="HPK46" i="79"/>
  <c r="HPJ46" i="79"/>
  <c r="HPI46" i="79"/>
  <c r="HPH46" i="79"/>
  <c r="HPG46" i="79"/>
  <c r="HPF46" i="79"/>
  <c r="HPE46" i="79"/>
  <c r="HPD46" i="79"/>
  <c r="HPC46" i="79"/>
  <c r="HPB46" i="79"/>
  <c r="HPA46" i="79"/>
  <c r="HOZ46" i="79"/>
  <c r="HOY46" i="79"/>
  <c r="HOX46" i="79"/>
  <c r="HOW46" i="79"/>
  <c r="HOV46" i="79"/>
  <c r="HOU46" i="79"/>
  <c r="HOT46" i="79"/>
  <c r="HOS46" i="79"/>
  <c r="HOR46" i="79"/>
  <c r="HOQ46" i="79"/>
  <c r="HOP46" i="79"/>
  <c r="HOO46" i="79"/>
  <c r="HON46" i="79"/>
  <c r="HOM46" i="79"/>
  <c r="HOL46" i="79"/>
  <c r="HOK46" i="79"/>
  <c r="HOJ46" i="79"/>
  <c r="HOI46" i="79"/>
  <c r="HOH46" i="79"/>
  <c r="HOG46" i="79"/>
  <c r="HOF46" i="79"/>
  <c r="HOE46" i="79"/>
  <c r="HOD46" i="79"/>
  <c r="HOC46" i="79"/>
  <c r="HOB46" i="79"/>
  <c r="HOA46" i="79"/>
  <c r="HNZ46" i="79"/>
  <c r="HNY46" i="79"/>
  <c r="HNX46" i="79"/>
  <c r="HNW46" i="79"/>
  <c r="HNV46" i="79"/>
  <c r="HNU46" i="79"/>
  <c r="HNT46" i="79"/>
  <c r="HNS46" i="79"/>
  <c r="HNR46" i="79"/>
  <c r="HNQ46" i="79"/>
  <c r="HNP46" i="79"/>
  <c r="HNO46" i="79"/>
  <c r="HNN46" i="79"/>
  <c r="HNM46" i="79"/>
  <c r="HNL46" i="79"/>
  <c r="HNK46" i="79"/>
  <c r="HNJ46" i="79"/>
  <c r="HNI46" i="79"/>
  <c r="HNH46" i="79"/>
  <c r="HNG46" i="79"/>
  <c r="HNF46" i="79"/>
  <c r="HNE46" i="79"/>
  <c r="HND46" i="79"/>
  <c r="HNC46" i="79"/>
  <c r="HNB46" i="79"/>
  <c r="HNA46" i="79"/>
  <c r="HMZ46" i="79"/>
  <c r="HMY46" i="79"/>
  <c r="HMX46" i="79"/>
  <c r="HMW46" i="79"/>
  <c r="HMV46" i="79"/>
  <c r="HMU46" i="79"/>
  <c r="HMT46" i="79"/>
  <c r="HMS46" i="79"/>
  <c r="HMR46" i="79"/>
  <c r="HMQ46" i="79"/>
  <c r="HMP46" i="79"/>
  <c r="HMO46" i="79"/>
  <c r="HMN46" i="79"/>
  <c r="HMM46" i="79"/>
  <c r="HML46" i="79"/>
  <c r="HMK46" i="79"/>
  <c r="HMJ46" i="79"/>
  <c r="HMI46" i="79"/>
  <c r="HMH46" i="79"/>
  <c r="HMG46" i="79"/>
  <c r="HMF46" i="79"/>
  <c r="HME46" i="79"/>
  <c r="HMD46" i="79"/>
  <c r="HMC46" i="79"/>
  <c r="HMB46" i="79"/>
  <c r="HMA46" i="79"/>
  <c r="HLZ46" i="79"/>
  <c r="HLY46" i="79"/>
  <c r="HLX46" i="79"/>
  <c r="HLW46" i="79"/>
  <c r="HLV46" i="79"/>
  <c r="HLU46" i="79"/>
  <c r="HLT46" i="79"/>
  <c r="HLS46" i="79"/>
  <c r="HLR46" i="79"/>
  <c r="HLQ46" i="79"/>
  <c r="HLP46" i="79"/>
  <c r="HLO46" i="79"/>
  <c r="HLN46" i="79"/>
  <c r="HLM46" i="79"/>
  <c r="HLL46" i="79"/>
  <c r="HLK46" i="79"/>
  <c r="HLJ46" i="79"/>
  <c r="HLI46" i="79"/>
  <c r="HLH46" i="79"/>
  <c r="HLG46" i="79"/>
  <c r="HLF46" i="79"/>
  <c r="HLE46" i="79"/>
  <c r="HLD46" i="79"/>
  <c r="HLC46" i="79"/>
  <c r="HLB46" i="79"/>
  <c r="HLA46" i="79"/>
  <c r="HKZ46" i="79"/>
  <c r="HKY46" i="79"/>
  <c r="HKX46" i="79"/>
  <c r="HKW46" i="79"/>
  <c r="HKV46" i="79"/>
  <c r="HKU46" i="79"/>
  <c r="HKT46" i="79"/>
  <c r="HKS46" i="79"/>
  <c r="HKR46" i="79"/>
  <c r="HKQ46" i="79"/>
  <c r="HKP46" i="79"/>
  <c r="HKO46" i="79"/>
  <c r="HKN46" i="79"/>
  <c r="HKM46" i="79"/>
  <c r="HKL46" i="79"/>
  <c r="HKK46" i="79"/>
  <c r="HKJ46" i="79"/>
  <c r="HKI46" i="79"/>
  <c r="HKH46" i="79"/>
  <c r="HKG46" i="79"/>
  <c r="HKF46" i="79"/>
  <c r="HKE46" i="79"/>
  <c r="HKD46" i="79"/>
  <c r="HKC46" i="79"/>
  <c r="HKB46" i="79"/>
  <c r="HKA46" i="79"/>
  <c r="HJZ46" i="79"/>
  <c r="HJY46" i="79"/>
  <c r="HJX46" i="79"/>
  <c r="HJW46" i="79"/>
  <c r="HJV46" i="79"/>
  <c r="HJU46" i="79"/>
  <c r="HJT46" i="79"/>
  <c r="HJS46" i="79"/>
  <c r="HJR46" i="79"/>
  <c r="HJQ46" i="79"/>
  <c r="HJP46" i="79"/>
  <c r="HJO46" i="79"/>
  <c r="HJN46" i="79"/>
  <c r="HJM46" i="79"/>
  <c r="HJL46" i="79"/>
  <c r="HJK46" i="79"/>
  <c r="HJJ46" i="79"/>
  <c r="HJI46" i="79"/>
  <c r="HJH46" i="79"/>
  <c r="HJG46" i="79"/>
  <c r="HJF46" i="79"/>
  <c r="HJE46" i="79"/>
  <c r="HJD46" i="79"/>
  <c r="HJC46" i="79"/>
  <c r="HJB46" i="79"/>
  <c r="HJA46" i="79"/>
  <c r="HIZ46" i="79"/>
  <c r="HIY46" i="79"/>
  <c r="HIX46" i="79"/>
  <c r="HIW46" i="79"/>
  <c r="HIV46" i="79"/>
  <c r="HIU46" i="79"/>
  <c r="HIT46" i="79"/>
  <c r="HIS46" i="79"/>
  <c r="HIR46" i="79"/>
  <c r="HIQ46" i="79"/>
  <c r="HIP46" i="79"/>
  <c r="HIO46" i="79"/>
  <c r="HIN46" i="79"/>
  <c r="HIM46" i="79"/>
  <c r="HIL46" i="79"/>
  <c r="HIK46" i="79"/>
  <c r="HIJ46" i="79"/>
  <c r="HII46" i="79"/>
  <c r="HIH46" i="79"/>
  <c r="HIG46" i="79"/>
  <c r="HIF46" i="79"/>
  <c r="HIE46" i="79"/>
  <c r="HID46" i="79"/>
  <c r="HIC46" i="79"/>
  <c r="HIB46" i="79"/>
  <c r="HIA46" i="79"/>
  <c r="HHZ46" i="79"/>
  <c r="HHY46" i="79"/>
  <c r="HHX46" i="79"/>
  <c r="HHW46" i="79"/>
  <c r="HHV46" i="79"/>
  <c r="HHU46" i="79"/>
  <c r="HHT46" i="79"/>
  <c r="HHS46" i="79"/>
  <c r="HHR46" i="79"/>
  <c r="HHQ46" i="79"/>
  <c r="HHP46" i="79"/>
  <c r="HHO46" i="79"/>
  <c r="HHN46" i="79"/>
  <c r="HHM46" i="79"/>
  <c r="HHL46" i="79"/>
  <c r="HHK46" i="79"/>
  <c r="HHJ46" i="79"/>
  <c r="HHI46" i="79"/>
  <c r="HHH46" i="79"/>
  <c r="HHG46" i="79"/>
  <c r="HHF46" i="79"/>
  <c r="HHE46" i="79"/>
  <c r="HHD46" i="79"/>
  <c r="HHC46" i="79"/>
  <c r="HHB46" i="79"/>
  <c r="HHA46" i="79"/>
  <c r="HGZ46" i="79"/>
  <c r="HGY46" i="79"/>
  <c r="HGX46" i="79"/>
  <c r="HGW46" i="79"/>
  <c r="HGV46" i="79"/>
  <c r="HGU46" i="79"/>
  <c r="HGT46" i="79"/>
  <c r="HGS46" i="79"/>
  <c r="HGR46" i="79"/>
  <c r="HGQ46" i="79"/>
  <c r="HGP46" i="79"/>
  <c r="HGO46" i="79"/>
  <c r="HGN46" i="79"/>
  <c r="HGM46" i="79"/>
  <c r="HGL46" i="79"/>
  <c r="HGK46" i="79"/>
  <c r="HGJ46" i="79"/>
  <c r="HGI46" i="79"/>
  <c r="HGH46" i="79"/>
  <c r="HGG46" i="79"/>
  <c r="HGF46" i="79"/>
  <c r="HGE46" i="79"/>
  <c r="HGD46" i="79"/>
  <c r="HGC46" i="79"/>
  <c r="HGB46" i="79"/>
  <c r="HGA46" i="79"/>
  <c r="HFZ46" i="79"/>
  <c r="HFY46" i="79"/>
  <c r="HFX46" i="79"/>
  <c r="HFW46" i="79"/>
  <c r="HFV46" i="79"/>
  <c r="HFU46" i="79"/>
  <c r="HFT46" i="79"/>
  <c r="HFS46" i="79"/>
  <c r="HFR46" i="79"/>
  <c r="HFQ46" i="79"/>
  <c r="HFP46" i="79"/>
  <c r="HFO46" i="79"/>
  <c r="HFN46" i="79"/>
  <c r="HFM46" i="79"/>
  <c r="HFL46" i="79"/>
  <c r="HFK46" i="79"/>
  <c r="HFJ46" i="79"/>
  <c r="HFI46" i="79"/>
  <c r="HFH46" i="79"/>
  <c r="HFG46" i="79"/>
  <c r="HFF46" i="79"/>
  <c r="HFE46" i="79"/>
  <c r="HFD46" i="79"/>
  <c r="HFC46" i="79"/>
  <c r="HFB46" i="79"/>
  <c r="HFA46" i="79"/>
  <c r="HEZ46" i="79"/>
  <c r="HEY46" i="79"/>
  <c r="HEX46" i="79"/>
  <c r="HEW46" i="79"/>
  <c r="HEV46" i="79"/>
  <c r="HEU46" i="79"/>
  <c r="HET46" i="79"/>
  <c r="HES46" i="79"/>
  <c r="HER46" i="79"/>
  <c r="HEQ46" i="79"/>
  <c r="HEP46" i="79"/>
  <c r="HEO46" i="79"/>
  <c r="HEN46" i="79"/>
  <c r="HEM46" i="79"/>
  <c r="HEL46" i="79"/>
  <c r="HEK46" i="79"/>
  <c r="HEJ46" i="79"/>
  <c r="HEI46" i="79"/>
  <c r="HEH46" i="79"/>
  <c r="HEG46" i="79"/>
  <c r="HEF46" i="79"/>
  <c r="HEE46" i="79"/>
  <c r="HED46" i="79"/>
  <c r="HEC46" i="79"/>
  <c r="HEB46" i="79"/>
  <c r="HEA46" i="79"/>
  <c r="HDZ46" i="79"/>
  <c r="HDY46" i="79"/>
  <c r="HDX46" i="79"/>
  <c r="HDW46" i="79"/>
  <c r="HDV46" i="79"/>
  <c r="HDU46" i="79"/>
  <c r="HDT46" i="79"/>
  <c r="HDS46" i="79"/>
  <c r="HDR46" i="79"/>
  <c r="HDQ46" i="79"/>
  <c r="HDP46" i="79"/>
  <c r="HDO46" i="79"/>
  <c r="HDN46" i="79"/>
  <c r="HDM46" i="79"/>
  <c r="HDL46" i="79"/>
  <c r="HDK46" i="79"/>
  <c r="HDJ46" i="79"/>
  <c r="HDI46" i="79"/>
  <c r="HDH46" i="79"/>
  <c r="HDG46" i="79"/>
  <c r="HDF46" i="79"/>
  <c r="HDE46" i="79"/>
  <c r="HDD46" i="79"/>
  <c r="HDC46" i="79"/>
  <c r="HDB46" i="79"/>
  <c r="HDA46" i="79"/>
  <c r="HCZ46" i="79"/>
  <c r="HCY46" i="79"/>
  <c r="HCX46" i="79"/>
  <c r="HCW46" i="79"/>
  <c r="HCV46" i="79"/>
  <c r="HCU46" i="79"/>
  <c r="HCT46" i="79"/>
  <c r="HCS46" i="79"/>
  <c r="HCR46" i="79"/>
  <c r="HCQ46" i="79"/>
  <c r="HCP46" i="79"/>
  <c r="HCO46" i="79"/>
  <c r="HCN46" i="79"/>
  <c r="HCM46" i="79"/>
  <c r="HCL46" i="79"/>
  <c r="HCK46" i="79"/>
  <c r="HCJ46" i="79"/>
  <c r="HCI46" i="79"/>
  <c r="HCH46" i="79"/>
  <c r="HCG46" i="79"/>
  <c r="HCF46" i="79"/>
  <c r="HCE46" i="79"/>
  <c r="HCD46" i="79"/>
  <c r="HCC46" i="79"/>
  <c r="HCB46" i="79"/>
  <c r="HCA46" i="79"/>
  <c r="HBZ46" i="79"/>
  <c r="HBY46" i="79"/>
  <c r="HBX46" i="79"/>
  <c r="HBW46" i="79"/>
  <c r="HBV46" i="79"/>
  <c r="HBU46" i="79"/>
  <c r="HBT46" i="79"/>
  <c r="HBS46" i="79"/>
  <c r="HBR46" i="79"/>
  <c r="HBQ46" i="79"/>
  <c r="HBP46" i="79"/>
  <c r="HBO46" i="79"/>
  <c r="HBN46" i="79"/>
  <c r="HBM46" i="79"/>
  <c r="HBL46" i="79"/>
  <c r="HBK46" i="79"/>
  <c r="HBJ46" i="79"/>
  <c r="HBI46" i="79"/>
  <c r="HBH46" i="79"/>
  <c r="HBG46" i="79"/>
  <c r="HBF46" i="79"/>
  <c r="HBE46" i="79"/>
  <c r="HBD46" i="79"/>
  <c r="HBC46" i="79"/>
  <c r="HBB46" i="79"/>
  <c r="HBA46" i="79"/>
  <c r="HAZ46" i="79"/>
  <c r="HAY46" i="79"/>
  <c r="HAX46" i="79"/>
  <c r="HAW46" i="79"/>
  <c r="HAV46" i="79"/>
  <c r="HAU46" i="79"/>
  <c r="HAT46" i="79"/>
  <c r="HAS46" i="79"/>
  <c r="HAR46" i="79"/>
  <c r="HAQ46" i="79"/>
  <c r="HAP46" i="79"/>
  <c r="HAO46" i="79"/>
  <c r="HAN46" i="79"/>
  <c r="HAM46" i="79"/>
  <c r="HAL46" i="79"/>
  <c r="HAK46" i="79"/>
  <c r="HAJ46" i="79"/>
  <c r="HAI46" i="79"/>
  <c r="HAH46" i="79"/>
  <c r="HAG46" i="79"/>
  <c r="HAF46" i="79"/>
  <c r="HAE46" i="79"/>
  <c r="HAD46" i="79"/>
  <c r="HAC46" i="79"/>
  <c r="HAB46" i="79"/>
  <c r="HAA46" i="79"/>
  <c r="GZZ46" i="79"/>
  <c r="GZY46" i="79"/>
  <c r="GZX46" i="79"/>
  <c r="GZW46" i="79"/>
  <c r="GZV46" i="79"/>
  <c r="GZU46" i="79"/>
  <c r="GZT46" i="79"/>
  <c r="GZS46" i="79"/>
  <c r="GZR46" i="79"/>
  <c r="GZQ46" i="79"/>
  <c r="GZP46" i="79"/>
  <c r="GZO46" i="79"/>
  <c r="GZN46" i="79"/>
  <c r="GZM46" i="79"/>
  <c r="GZL46" i="79"/>
  <c r="GZK46" i="79"/>
  <c r="GZJ46" i="79"/>
  <c r="GZI46" i="79"/>
  <c r="GZH46" i="79"/>
  <c r="GZG46" i="79"/>
  <c r="GZF46" i="79"/>
  <c r="GZE46" i="79"/>
  <c r="GZD46" i="79"/>
  <c r="GZC46" i="79"/>
  <c r="GZB46" i="79"/>
  <c r="GZA46" i="79"/>
  <c r="GYZ46" i="79"/>
  <c r="GYY46" i="79"/>
  <c r="GYX46" i="79"/>
  <c r="GYW46" i="79"/>
  <c r="GYV46" i="79"/>
  <c r="GYU46" i="79"/>
  <c r="GYT46" i="79"/>
  <c r="GYS46" i="79"/>
  <c r="GYR46" i="79"/>
  <c r="GYQ46" i="79"/>
  <c r="GYP46" i="79"/>
  <c r="GYO46" i="79"/>
  <c r="GYN46" i="79"/>
  <c r="GYM46" i="79"/>
  <c r="GYL46" i="79"/>
  <c r="GYK46" i="79"/>
  <c r="GYJ46" i="79"/>
  <c r="GYI46" i="79"/>
  <c r="GYH46" i="79"/>
  <c r="GYG46" i="79"/>
  <c r="GYF46" i="79"/>
  <c r="GYE46" i="79"/>
  <c r="GYD46" i="79"/>
  <c r="GYC46" i="79"/>
  <c r="GYB46" i="79"/>
  <c r="GYA46" i="79"/>
  <c r="GXZ46" i="79"/>
  <c r="GXY46" i="79"/>
  <c r="GXX46" i="79"/>
  <c r="GXW46" i="79"/>
  <c r="GXV46" i="79"/>
  <c r="GXU46" i="79"/>
  <c r="GXT46" i="79"/>
  <c r="GXS46" i="79"/>
  <c r="GXR46" i="79"/>
  <c r="GXQ46" i="79"/>
  <c r="GXP46" i="79"/>
  <c r="GXO46" i="79"/>
  <c r="GXN46" i="79"/>
  <c r="GXM46" i="79"/>
  <c r="GXL46" i="79"/>
  <c r="GXK46" i="79"/>
  <c r="GXJ46" i="79"/>
  <c r="GXI46" i="79"/>
  <c r="GXH46" i="79"/>
  <c r="GXG46" i="79"/>
  <c r="GXF46" i="79"/>
  <c r="GXE46" i="79"/>
  <c r="GXD46" i="79"/>
  <c r="GXC46" i="79"/>
  <c r="GXB46" i="79"/>
  <c r="GXA46" i="79"/>
  <c r="GWZ46" i="79"/>
  <c r="GWY46" i="79"/>
  <c r="GWX46" i="79"/>
  <c r="GWW46" i="79"/>
  <c r="GWV46" i="79"/>
  <c r="GWU46" i="79"/>
  <c r="GWT46" i="79"/>
  <c r="GWS46" i="79"/>
  <c r="GWR46" i="79"/>
  <c r="GWQ46" i="79"/>
  <c r="GWP46" i="79"/>
  <c r="GWO46" i="79"/>
  <c r="GWN46" i="79"/>
  <c r="GWM46" i="79"/>
  <c r="GWL46" i="79"/>
  <c r="GWK46" i="79"/>
  <c r="GWJ46" i="79"/>
  <c r="GWI46" i="79"/>
  <c r="GWH46" i="79"/>
  <c r="GWG46" i="79"/>
  <c r="GWF46" i="79"/>
  <c r="GWE46" i="79"/>
  <c r="GWD46" i="79"/>
  <c r="GWC46" i="79"/>
  <c r="GWB46" i="79"/>
  <c r="GWA46" i="79"/>
  <c r="GVZ46" i="79"/>
  <c r="GVY46" i="79"/>
  <c r="GVX46" i="79"/>
  <c r="GVW46" i="79"/>
  <c r="GVV46" i="79"/>
  <c r="GVU46" i="79"/>
  <c r="GVT46" i="79"/>
  <c r="GVS46" i="79"/>
  <c r="GVR46" i="79"/>
  <c r="GVQ46" i="79"/>
  <c r="GVP46" i="79"/>
  <c r="GVO46" i="79"/>
  <c r="GVN46" i="79"/>
  <c r="GVM46" i="79"/>
  <c r="GVL46" i="79"/>
  <c r="GVK46" i="79"/>
  <c r="GVJ46" i="79"/>
  <c r="GVI46" i="79"/>
  <c r="GVH46" i="79"/>
  <c r="GVG46" i="79"/>
  <c r="GVF46" i="79"/>
  <c r="GVE46" i="79"/>
  <c r="GVD46" i="79"/>
  <c r="GVC46" i="79"/>
  <c r="GVB46" i="79"/>
  <c r="GVA46" i="79"/>
  <c r="GUZ46" i="79"/>
  <c r="GUY46" i="79"/>
  <c r="GUX46" i="79"/>
  <c r="GUW46" i="79"/>
  <c r="GUV46" i="79"/>
  <c r="GUU46" i="79"/>
  <c r="GUT46" i="79"/>
  <c r="GUS46" i="79"/>
  <c r="GUR46" i="79"/>
  <c r="GUQ46" i="79"/>
  <c r="GUP46" i="79"/>
  <c r="GUO46" i="79"/>
  <c r="GUN46" i="79"/>
  <c r="GUM46" i="79"/>
  <c r="GUL46" i="79"/>
  <c r="GUK46" i="79"/>
  <c r="GUJ46" i="79"/>
  <c r="GUI46" i="79"/>
  <c r="GUH46" i="79"/>
  <c r="GUG46" i="79"/>
  <c r="GUF46" i="79"/>
  <c r="GUE46" i="79"/>
  <c r="GUD46" i="79"/>
  <c r="GUC46" i="79"/>
  <c r="GUB46" i="79"/>
  <c r="GUA46" i="79"/>
  <c r="GTZ46" i="79"/>
  <c r="GTY46" i="79"/>
  <c r="GTX46" i="79"/>
  <c r="GTW46" i="79"/>
  <c r="GTV46" i="79"/>
  <c r="GTU46" i="79"/>
  <c r="GTT46" i="79"/>
  <c r="GTS46" i="79"/>
  <c r="GTR46" i="79"/>
  <c r="GTQ46" i="79"/>
  <c r="GTP46" i="79"/>
  <c r="GTO46" i="79"/>
  <c r="GTN46" i="79"/>
  <c r="GTM46" i="79"/>
  <c r="GTL46" i="79"/>
  <c r="GTK46" i="79"/>
  <c r="GTJ46" i="79"/>
  <c r="GTI46" i="79"/>
  <c r="GTH46" i="79"/>
  <c r="GTG46" i="79"/>
  <c r="GTF46" i="79"/>
  <c r="GTE46" i="79"/>
  <c r="GTD46" i="79"/>
  <c r="GTC46" i="79"/>
  <c r="GTB46" i="79"/>
  <c r="GTA46" i="79"/>
  <c r="GSZ46" i="79"/>
  <c r="GSY46" i="79"/>
  <c r="GSX46" i="79"/>
  <c r="GSW46" i="79"/>
  <c r="GSV46" i="79"/>
  <c r="GSU46" i="79"/>
  <c r="GST46" i="79"/>
  <c r="GSS46" i="79"/>
  <c r="GSR46" i="79"/>
  <c r="GSQ46" i="79"/>
  <c r="GSP46" i="79"/>
  <c r="GSO46" i="79"/>
  <c r="GSN46" i="79"/>
  <c r="GSM46" i="79"/>
  <c r="GSL46" i="79"/>
  <c r="GSK46" i="79"/>
  <c r="GSJ46" i="79"/>
  <c r="GSI46" i="79"/>
  <c r="GSH46" i="79"/>
  <c r="GSG46" i="79"/>
  <c r="GSF46" i="79"/>
  <c r="GSE46" i="79"/>
  <c r="GSD46" i="79"/>
  <c r="GSC46" i="79"/>
  <c r="GSB46" i="79"/>
  <c r="GSA46" i="79"/>
  <c r="GRZ46" i="79"/>
  <c r="GRY46" i="79"/>
  <c r="GRX46" i="79"/>
  <c r="GRW46" i="79"/>
  <c r="GRV46" i="79"/>
  <c r="GRU46" i="79"/>
  <c r="GRT46" i="79"/>
  <c r="GRS46" i="79"/>
  <c r="GRR46" i="79"/>
  <c r="GRQ46" i="79"/>
  <c r="GRP46" i="79"/>
  <c r="GRO46" i="79"/>
  <c r="GRN46" i="79"/>
  <c r="GRM46" i="79"/>
  <c r="GRL46" i="79"/>
  <c r="GRK46" i="79"/>
  <c r="GRJ46" i="79"/>
  <c r="GRI46" i="79"/>
  <c r="GRH46" i="79"/>
  <c r="GRG46" i="79"/>
  <c r="GRF46" i="79"/>
  <c r="GRE46" i="79"/>
  <c r="GRD46" i="79"/>
  <c r="GRC46" i="79"/>
  <c r="GRB46" i="79"/>
  <c r="GRA46" i="79"/>
  <c r="GQZ46" i="79"/>
  <c r="GQY46" i="79"/>
  <c r="GQX46" i="79"/>
  <c r="GQW46" i="79"/>
  <c r="GQV46" i="79"/>
  <c r="GQU46" i="79"/>
  <c r="GQT46" i="79"/>
  <c r="GQS46" i="79"/>
  <c r="GQR46" i="79"/>
  <c r="GQQ46" i="79"/>
  <c r="GQP46" i="79"/>
  <c r="GQO46" i="79"/>
  <c r="GQN46" i="79"/>
  <c r="GQM46" i="79"/>
  <c r="GQL46" i="79"/>
  <c r="GQK46" i="79"/>
  <c r="GQJ46" i="79"/>
  <c r="GQI46" i="79"/>
  <c r="GQH46" i="79"/>
  <c r="GQG46" i="79"/>
  <c r="GQF46" i="79"/>
  <c r="GQE46" i="79"/>
  <c r="GQD46" i="79"/>
  <c r="GQC46" i="79"/>
  <c r="GQB46" i="79"/>
  <c r="GQA46" i="79"/>
  <c r="GPZ46" i="79"/>
  <c r="GPY46" i="79"/>
  <c r="GPX46" i="79"/>
  <c r="GPW46" i="79"/>
  <c r="GPV46" i="79"/>
  <c r="GPU46" i="79"/>
  <c r="GPT46" i="79"/>
  <c r="GPS46" i="79"/>
  <c r="GPR46" i="79"/>
  <c r="GPQ46" i="79"/>
  <c r="GPP46" i="79"/>
  <c r="GPO46" i="79"/>
  <c r="GPN46" i="79"/>
  <c r="GPM46" i="79"/>
  <c r="GPL46" i="79"/>
  <c r="GPK46" i="79"/>
  <c r="GPJ46" i="79"/>
  <c r="GPI46" i="79"/>
  <c r="GPH46" i="79"/>
  <c r="GPG46" i="79"/>
  <c r="GPF46" i="79"/>
  <c r="GPE46" i="79"/>
  <c r="GPD46" i="79"/>
  <c r="GPC46" i="79"/>
  <c r="GPB46" i="79"/>
  <c r="GPA46" i="79"/>
  <c r="GOZ46" i="79"/>
  <c r="GOY46" i="79"/>
  <c r="GOX46" i="79"/>
  <c r="GOW46" i="79"/>
  <c r="GOV46" i="79"/>
  <c r="GOU46" i="79"/>
  <c r="GOT46" i="79"/>
  <c r="GOS46" i="79"/>
  <c r="GOR46" i="79"/>
  <c r="GOQ46" i="79"/>
  <c r="GOP46" i="79"/>
  <c r="GOO46" i="79"/>
  <c r="GON46" i="79"/>
  <c r="GOM46" i="79"/>
  <c r="GOL46" i="79"/>
  <c r="GOK46" i="79"/>
  <c r="GOJ46" i="79"/>
  <c r="GOI46" i="79"/>
  <c r="GOH46" i="79"/>
  <c r="GOG46" i="79"/>
  <c r="GOF46" i="79"/>
  <c r="GOE46" i="79"/>
  <c r="GOD46" i="79"/>
  <c r="GOC46" i="79"/>
  <c r="GOB46" i="79"/>
  <c r="GOA46" i="79"/>
  <c r="GNZ46" i="79"/>
  <c r="GNY46" i="79"/>
  <c r="GNX46" i="79"/>
  <c r="GNW46" i="79"/>
  <c r="GNV46" i="79"/>
  <c r="GNU46" i="79"/>
  <c r="GNT46" i="79"/>
  <c r="GNS46" i="79"/>
  <c r="GNR46" i="79"/>
  <c r="GNQ46" i="79"/>
  <c r="GNP46" i="79"/>
  <c r="GNO46" i="79"/>
  <c r="GNN46" i="79"/>
  <c r="GNM46" i="79"/>
  <c r="GNL46" i="79"/>
  <c r="GNK46" i="79"/>
  <c r="GNJ46" i="79"/>
  <c r="GNI46" i="79"/>
  <c r="GNH46" i="79"/>
  <c r="GNG46" i="79"/>
  <c r="GNF46" i="79"/>
  <c r="GNE46" i="79"/>
  <c r="GND46" i="79"/>
  <c r="GNC46" i="79"/>
  <c r="GNB46" i="79"/>
  <c r="GNA46" i="79"/>
  <c r="GMZ46" i="79"/>
  <c r="GMY46" i="79"/>
  <c r="GMX46" i="79"/>
  <c r="GMW46" i="79"/>
  <c r="GMV46" i="79"/>
  <c r="GMU46" i="79"/>
  <c r="GMT46" i="79"/>
  <c r="GMS46" i="79"/>
  <c r="GMR46" i="79"/>
  <c r="GMQ46" i="79"/>
  <c r="GMP46" i="79"/>
  <c r="GMO46" i="79"/>
  <c r="GMN46" i="79"/>
  <c r="GMM46" i="79"/>
  <c r="GML46" i="79"/>
  <c r="GMK46" i="79"/>
  <c r="GMJ46" i="79"/>
  <c r="GMI46" i="79"/>
  <c r="GMH46" i="79"/>
  <c r="GMG46" i="79"/>
  <c r="GMF46" i="79"/>
  <c r="GME46" i="79"/>
  <c r="GMD46" i="79"/>
  <c r="GMC46" i="79"/>
  <c r="GMB46" i="79"/>
  <c r="GMA46" i="79"/>
  <c r="GLZ46" i="79"/>
  <c r="GLY46" i="79"/>
  <c r="GLX46" i="79"/>
  <c r="GLW46" i="79"/>
  <c r="GLV46" i="79"/>
  <c r="GLU46" i="79"/>
  <c r="GLT46" i="79"/>
  <c r="GLS46" i="79"/>
  <c r="GLR46" i="79"/>
  <c r="GLQ46" i="79"/>
  <c r="GLP46" i="79"/>
  <c r="GLO46" i="79"/>
  <c r="GLN46" i="79"/>
  <c r="GLM46" i="79"/>
  <c r="GLL46" i="79"/>
  <c r="GLK46" i="79"/>
  <c r="GLJ46" i="79"/>
  <c r="GLI46" i="79"/>
  <c r="GLH46" i="79"/>
  <c r="GLG46" i="79"/>
  <c r="GLF46" i="79"/>
  <c r="GLE46" i="79"/>
  <c r="GLD46" i="79"/>
  <c r="GLC46" i="79"/>
  <c r="GLB46" i="79"/>
  <c r="GLA46" i="79"/>
  <c r="GKZ46" i="79"/>
  <c r="GKY46" i="79"/>
  <c r="GKX46" i="79"/>
  <c r="GKW46" i="79"/>
  <c r="GKV46" i="79"/>
  <c r="GKU46" i="79"/>
  <c r="GKT46" i="79"/>
  <c r="GKS46" i="79"/>
  <c r="GKR46" i="79"/>
  <c r="GKQ46" i="79"/>
  <c r="GKP46" i="79"/>
  <c r="GKO46" i="79"/>
  <c r="GKN46" i="79"/>
  <c r="GKM46" i="79"/>
  <c r="GKL46" i="79"/>
  <c r="GKK46" i="79"/>
  <c r="GKJ46" i="79"/>
  <c r="GKI46" i="79"/>
  <c r="GKH46" i="79"/>
  <c r="GKG46" i="79"/>
  <c r="GKF46" i="79"/>
  <c r="GKE46" i="79"/>
  <c r="GKD46" i="79"/>
  <c r="GKC46" i="79"/>
  <c r="GKB46" i="79"/>
  <c r="GKA46" i="79"/>
  <c r="GJZ46" i="79"/>
  <c r="GJY46" i="79"/>
  <c r="GJX46" i="79"/>
  <c r="GJW46" i="79"/>
  <c r="GJV46" i="79"/>
  <c r="GJU46" i="79"/>
  <c r="GJT46" i="79"/>
  <c r="GJS46" i="79"/>
  <c r="GJR46" i="79"/>
  <c r="GJQ46" i="79"/>
  <c r="GJP46" i="79"/>
  <c r="GJO46" i="79"/>
  <c r="GJN46" i="79"/>
  <c r="GJM46" i="79"/>
  <c r="GJL46" i="79"/>
  <c r="GJK46" i="79"/>
  <c r="GJJ46" i="79"/>
  <c r="GJI46" i="79"/>
  <c r="GJH46" i="79"/>
  <c r="GJG46" i="79"/>
  <c r="GJF46" i="79"/>
  <c r="GJE46" i="79"/>
  <c r="GJD46" i="79"/>
  <c r="GJC46" i="79"/>
  <c r="GJB46" i="79"/>
  <c r="GJA46" i="79"/>
  <c r="GIZ46" i="79"/>
  <c r="GIY46" i="79"/>
  <c r="GIX46" i="79"/>
  <c r="GIW46" i="79"/>
  <c r="GIV46" i="79"/>
  <c r="GIU46" i="79"/>
  <c r="GIT46" i="79"/>
  <c r="GIS46" i="79"/>
  <c r="GIR46" i="79"/>
  <c r="GIQ46" i="79"/>
  <c r="GIP46" i="79"/>
  <c r="GIO46" i="79"/>
  <c r="GIN46" i="79"/>
  <c r="GIM46" i="79"/>
  <c r="GIL46" i="79"/>
  <c r="GIK46" i="79"/>
  <c r="GIJ46" i="79"/>
  <c r="GII46" i="79"/>
  <c r="GIH46" i="79"/>
  <c r="GIG46" i="79"/>
  <c r="GIF46" i="79"/>
  <c r="GIE46" i="79"/>
  <c r="GID46" i="79"/>
  <c r="GIC46" i="79"/>
  <c r="GIB46" i="79"/>
  <c r="GIA46" i="79"/>
  <c r="GHZ46" i="79"/>
  <c r="GHY46" i="79"/>
  <c r="GHX46" i="79"/>
  <c r="GHW46" i="79"/>
  <c r="GHV46" i="79"/>
  <c r="GHU46" i="79"/>
  <c r="GHT46" i="79"/>
  <c r="GHS46" i="79"/>
  <c r="GHR46" i="79"/>
  <c r="GHQ46" i="79"/>
  <c r="GHP46" i="79"/>
  <c r="GHO46" i="79"/>
  <c r="GHN46" i="79"/>
  <c r="GHM46" i="79"/>
  <c r="GHL46" i="79"/>
  <c r="GHK46" i="79"/>
  <c r="GHJ46" i="79"/>
  <c r="GHI46" i="79"/>
  <c r="GHH46" i="79"/>
  <c r="GHG46" i="79"/>
  <c r="GHF46" i="79"/>
  <c r="GHE46" i="79"/>
  <c r="GHD46" i="79"/>
  <c r="GHC46" i="79"/>
  <c r="GHB46" i="79"/>
  <c r="GHA46" i="79"/>
  <c r="GGZ46" i="79"/>
  <c r="GGY46" i="79"/>
  <c r="GGX46" i="79"/>
  <c r="GGW46" i="79"/>
  <c r="GGV46" i="79"/>
  <c r="GGU46" i="79"/>
  <c r="GGT46" i="79"/>
  <c r="GGS46" i="79"/>
  <c r="GGR46" i="79"/>
  <c r="GGQ46" i="79"/>
  <c r="GGP46" i="79"/>
  <c r="GGO46" i="79"/>
  <c r="GGN46" i="79"/>
  <c r="GGM46" i="79"/>
  <c r="GGL46" i="79"/>
  <c r="GGK46" i="79"/>
  <c r="GGJ46" i="79"/>
  <c r="GGI46" i="79"/>
  <c r="GGH46" i="79"/>
  <c r="GGG46" i="79"/>
  <c r="GGF46" i="79"/>
  <c r="GGE46" i="79"/>
  <c r="GGD46" i="79"/>
  <c r="GGC46" i="79"/>
  <c r="GGB46" i="79"/>
  <c r="GGA46" i="79"/>
  <c r="GFZ46" i="79"/>
  <c r="GFY46" i="79"/>
  <c r="GFX46" i="79"/>
  <c r="GFW46" i="79"/>
  <c r="GFV46" i="79"/>
  <c r="GFU46" i="79"/>
  <c r="GFT46" i="79"/>
  <c r="GFS46" i="79"/>
  <c r="GFR46" i="79"/>
  <c r="GFQ46" i="79"/>
  <c r="GFP46" i="79"/>
  <c r="GFO46" i="79"/>
  <c r="GFN46" i="79"/>
  <c r="GFM46" i="79"/>
  <c r="GFL46" i="79"/>
  <c r="GFK46" i="79"/>
  <c r="GFJ46" i="79"/>
  <c r="GFI46" i="79"/>
  <c r="GFH46" i="79"/>
  <c r="GFG46" i="79"/>
  <c r="GFF46" i="79"/>
  <c r="GFE46" i="79"/>
  <c r="GFD46" i="79"/>
  <c r="GFC46" i="79"/>
  <c r="GFB46" i="79"/>
  <c r="GFA46" i="79"/>
  <c r="GEZ46" i="79"/>
  <c r="GEY46" i="79"/>
  <c r="GEX46" i="79"/>
  <c r="GEW46" i="79"/>
  <c r="GEV46" i="79"/>
  <c r="GEU46" i="79"/>
  <c r="GET46" i="79"/>
  <c r="GES46" i="79"/>
  <c r="GER46" i="79"/>
  <c r="GEQ46" i="79"/>
  <c r="GEP46" i="79"/>
  <c r="GEO46" i="79"/>
  <c r="GEN46" i="79"/>
  <c r="GEM46" i="79"/>
  <c r="GEL46" i="79"/>
  <c r="GEK46" i="79"/>
  <c r="GEJ46" i="79"/>
  <c r="GEI46" i="79"/>
  <c r="GEH46" i="79"/>
  <c r="GEG46" i="79"/>
  <c r="GEF46" i="79"/>
  <c r="GEE46" i="79"/>
  <c r="GED46" i="79"/>
  <c r="GEC46" i="79"/>
  <c r="GEB46" i="79"/>
  <c r="GEA46" i="79"/>
  <c r="GDZ46" i="79"/>
  <c r="GDY46" i="79"/>
  <c r="GDX46" i="79"/>
  <c r="GDW46" i="79"/>
  <c r="GDV46" i="79"/>
  <c r="GDU46" i="79"/>
  <c r="GDT46" i="79"/>
  <c r="GDS46" i="79"/>
  <c r="GDR46" i="79"/>
  <c r="GDQ46" i="79"/>
  <c r="GDP46" i="79"/>
  <c r="GDO46" i="79"/>
  <c r="GDN46" i="79"/>
  <c r="GDM46" i="79"/>
  <c r="GDL46" i="79"/>
  <c r="GDK46" i="79"/>
  <c r="GDJ46" i="79"/>
  <c r="GDI46" i="79"/>
  <c r="GDH46" i="79"/>
  <c r="GDG46" i="79"/>
  <c r="GDF46" i="79"/>
  <c r="GDE46" i="79"/>
  <c r="GDD46" i="79"/>
  <c r="GDC46" i="79"/>
  <c r="GDB46" i="79"/>
  <c r="GDA46" i="79"/>
  <c r="GCZ46" i="79"/>
  <c r="GCY46" i="79"/>
  <c r="GCX46" i="79"/>
  <c r="GCW46" i="79"/>
  <c r="GCV46" i="79"/>
  <c r="GCU46" i="79"/>
  <c r="GCT46" i="79"/>
  <c r="GCS46" i="79"/>
  <c r="GCR46" i="79"/>
  <c r="GCQ46" i="79"/>
  <c r="GCP46" i="79"/>
  <c r="GCO46" i="79"/>
  <c r="GCN46" i="79"/>
  <c r="GCM46" i="79"/>
  <c r="GCL46" i="79"/>
  <c r="GCK46" i="79"/>
  <c r="GCJ46" i="79"/>
  <c r="GCI46" i="79"/>
  <c r="GCH46" i="79"/>
  <c r="GCG46" i="79"/>
  <c r="GCF46" i="79"/>
  <c r="GCE46" i="79"/>
  <c r="GCD46" i="79"/>
  <c r="GCC46" i="79"/>
  <c r="GCB46" i="79"/>
  <c r="GCA46" i="79"/>
  <c r="GBZ46" i="79"/>
  <c r="GBY46" i="79"/>
  <c r="GBX46" i="79"/>
  <c r="GBW46" i="79"/>
  <c r="GBV46" i="79"/>
  <c r="GBU46" i="79"/>
  <c r="GBT46" i="79"/>
  <c r="GBS46" i="79"/>
  <c r="GBR46" i="79"/>
  <c r="GBQ46" i="79"/>
  <c r="GBP46" i="79"/>
  <c r="GBO46" i="79"/>
  <c r="GBN46" i="79"/>
  <c r="GBM46" i="79"/>
  <c r="GBL46" i="79"/>
  <c r="GBK46" i="79"/>
  <c r="GBJ46" i="79"/>
  <c r="GBI46" i="79"/>
  <c r="GBH46" i="79"/>
  <c r="GBG46" i="79"/>
  <c r="GBF46" i="79"/>
  <c r="GBE46" i="79"/>
  <c r="GBD46" i="79"/>
  <c r="GBC46" i="79"/>
  <c r="GBB46" i="79"/>
  <c r="GBA46" i="79"/>
  <c r="GAZ46" i="79"/>
  <c r="GAY46" i="79"/>
  <c r="GAX46" i="79"/>
  <c r="GAW46" i="79"/>
  <c r="GAV46" i="79"/>
  <c r="GAU46" i="79"/>
  <c r="GAT46" i="79"/>
  <c r="GAS46" i="79"/>
  <c r="GAR46" i="79"/>
  <c r="GAQ46" i="79"/>
  <c r="GAP46" i="79"/>
  <c r="GAO46" i="79"/>
  <c r="GAN46" i="79"/>
  <c r="GAM46" i="79"/>
  <c r="GAL46" i="79"/>
  <c r="GAK46" i="79"/>
  <c r="GAJ46" i="79"/>
  <c r="GAI46" i="79"/>
  <c r="GAH46" i="79"/>
  <c r="GAG46" i="79"/>
  <c r="GAF46" i="79"/>
  <c r="GAE46" i="79"/>
  <c r="GAD46" i="79"/>
  <c r="GAC46" i="79"/>
  <c r="GAB46" i="79"/>
  <c r="GAA46" i="79"/>
  <c r="FZZ46" i="79"/>
  <c r="FZY46" i="79"/>
  <c r="FZX46" i="79"/>
  <c r="FZW46" i="79"/>
  <c r="FZV46" i="79"/>
  <c r="FZU46" i="79"/>
  <c r="FZT46" i="79"/>
  <c r="FZS46" i="79"/>
  <c r="FZR46" i="79"/>
  <c r="FZQ46" i="79"/>
  <c r="FZP46" i="79"/>
  <c r="FZO46" i="79"/>
  <c r="FZN46" i="79"/>
  <c r="FZM46" i="79"/>
  <c r="FZL46" i="79"/>
  <c r="FZK46" i="79"/>
  <c r="FZJ46" i="79"/>
  <c r="FZI46" i="79"/>
  <c r="FZH46" i="79"/>
  <c r="FZG46" i="79"/>
  <c r="FZF46" i="79"/>
  <c r="FZE46" i="79"/>
  <c r="FZD46" i="79"/>
  <c r="FZC46" i="79"/>
  <c r="FZB46" i="79"/>
  <c r="FZA46" i="79"/>
  <c r="FYZ46" i="79"/>
  <c r="FYY46" i="79"/>
  <c r="FYX46" i="79"/>
  <c r="FYW46" i="79"/>
  <c r="FYV46" i="79"/>
  <c r="FYU46" i="79"/>
  <c r="FYT46" i="79"/>
  <c r="FYS46" i="79"/>
  <c r="FYR46" i="79"/>
  <c r="FYQ46" i="79"/>
  <c r="FYP46" i="79"/>
  <c r="FYO46" i="79"/>
  <c r="FYN46" i="79"/>
  <c r="FYM46" i="79"/>
  <c r="FYL46" i="79"/>
  <c r="FYK46" i="79"/>
  <c r="FYJ46" i="79"/>
  <c r="FYI46" i="79"/>
  <c r="FYH46" i="79"/>
  <c r="FYG46" i="79"/>
  <c r="FYF46" i="79"/>
  <c r="FYE46" i="79"/>
  <c r="FYD46" i="79"/>
  <c r="FYC46" i="79"/>
  <c r="FYB46" i="79"/>
  <c r="FYA46" i="79"/>
  <c r="FXZ46" i="79"/>
  <c r="FXY46" i="79"/>
  <c r="FXX46" i="79"/>
  <c r="FXW46" i="79"/>
  <c r="FXV46" i="79"/>
  <c r="FXU46" i="79"/>
  <c r="FXT46" i="79"/>
  <c r="FXS46" i="79"/>
  <c r="FXR46" i="79"/>
  <c r="FXQ46" i="79"/>
  <c r="FXP46" i="79"/>
  <c r="FXO46" i="79"/>
  <c r="FXN46" i="79"/>
  <c r="FXM46" i="79"/>
  <c r="FXL46" i="79"/>
  <c r="FXK46" i="79"/>
  <c r="FXJ46" i="79"/>
  <c r="FXI46" i="79"/>
  <c r="FXH46" i="79"/>
  <c r="FXG46" i="79"/>
  <c r="FXF46" i="79"/>
  <c r="FXE46" i="79"/>
  <c r="FXD46" i="79"/>
  <c r="FXC46" i="79"/>
  <c r="FXB46" i="79"/>
  <c r="FXA46" i="79"/>
  <c r="FWZ46" i="79"/>
  <c r="FWY46" i="79"/>
  <c r="FWX46" i="79"/>
  <c r="FWW46" i="79"/>
  <c r="FWV46" i="79"/>
  <c r="FWU46" i="79"/>
  <c r="FWT46" i="79"/>
  <c r="FWS46" i="79"/>
  <c r="FWR46" i="79"/>
  <c r="FWQ46" i="79"/>
  <c r="FWP46" i="79"/>
  <c r="FWO46" i="79"/>
  <c r="FWN46" i="79"/>
  <c r="FWM46" i="79"/>
  <c r="FWL46" i="79"/>
  <c r="FWK46" i="79"/>
  <c r="FWJ46" i="79"/>
  <c r="FWI46" i="79"/>
  <c r="FWH46" i="79"/>
  <c r="FWG46" i="79"/>
  <c r="FWF46" i="79"/>
  <c r="FWE46" i="79"/>
  <c r="FWD46" i="79"/>
  <c r="FWC46" i="79"/>
  <c r="FWB46" i="79"/>
  <c r="FWA46" i="79"/>
  <c r="FVZ46" i="79"/>
  <c r="FVY46" i="79"/>
  <c r="FVX46" i="79"/>
  <c r="FVW46" i="79"/>
  <c r="FVV46" i="79"/>
  <c r="FVU46" i="79"/>
  <c r="FVT46" i="79"/>
  <c r="FVS46" i="79"/>
  <c r="FVR46" i="79"/>
  <c r="FVQ46" i="79"/>
  <c r="FVP46" i="79"/>
  <c r="FVO46" i="79"/>
  <c r="FVN46" i="79"/>
  <c r="FVM46" i="79"/>
  <c r="FVL46" i="79"/>
  <c r="FVK46" i="79"/>
  <c r="FVJ46" i="79"/>
  <c r="FVI46" i="79"/>
  <c r="FVH46" i="79"/>
  <c r="FVG46" i="79"/>
  <c r="FVF46" i="79"/>
  <c r="FVE46" i="79"/>
  <c r="FVD46" i="79"/>
  <c r="FVC46" i="79"/>
  <c r="FVB46" i="79"/>
  <c r="FVA46" i="79"/>
  <c r="FUZ46" i="79"/>
  <c r="FUY46" i="79"/>
  <c r="FUX46" i="79"/>
  <c r="FUW46" i="79"/>
  <c r="FUV46" i="79"/>
  <c r="FUU46" i="79"/>
  <c r="FUT46" i="79"/>
  <c r="FUS46" i="79"/>
  <c r="FUR46" i="79"/>
  <c r="FUQ46" i="79"/>
  <c r="FUP46" i="79"/>
  <c r="FUO46" i="79"/>
  <c r="FUN46" i="79"/>
  <c r="FUM46" i="79"/>
  <c r="FUL46" i="79"/>
  <c r="FUK46" i="79"/>
  <c r="FUJ46" i="79"/>
  <c r="FUI46" i="79"/>
  <c r="FUH46" i="79"/>
  <c r="FUG46" i="79"/>
  <c r="FUF46" i="79"/>
  <c r="FUE46" i="79"/>
  <c r="FUD46" i="79"/>
  <c r="FUC46" i="79"/>
  <c r="FUB46" i="79"/>
  <c r="FUA46" i="79"/>
  <c r="FTZ46" i="79"/>
  <c r="FTY46" i="79"/>
  <c r="FTX46" i="79"/>
  <c r="FTW46" i="79"/>
  <c r="FTV46" i="79"/>
  <c r="FTU46" i="79"/>
  <c r="FTT46" i="79"/>
  <c r="FTS46" i="79"/>
  <c r="FTR46" i="79"/>
  <c r="FTQ46" i="79"/>
  <c r="FTP46" i="79"/>
  <c r="FTO46" i="79"/>
  <c r="FTN46" i="79"/>
  <c r="FTM46" i="79"/>
  <c r="FTL46" i="79"/>
  <c r="FTK46" i="79"/>
  <c r="FTJ46" i="79"/>
  <c r="FTI46" i="79"/>
  <c r="FTH46" i="79"/>
  <c r="FTG46" i="79"/>
  <c r="FTF46" i="79"/>
  <c r="FTE46" i="79"/>
  <c r="FTD46" i="79"/>
  <c r="FTC46" i="79"/>
  <c r="FTB46" i="79"/>
  <c r="FTA46" i="79"/>
  <c r="FSZ46" i="79"/>
  <c r="FSY46" i="79"/>
  <c r="FSX46" i="79"/>
  <c r="FSW46" i="79"/>
  <c r="FSV46" i="79"/>
  <c r="FSU46" i="79"/>
  <c r="FST46" i="79"/>
  <c r="FSS46" i="79"/>
  <c r="FSR46" i="79"/>
  <c r="FSQ46" i="79"/>
  <c r="FSP46" i="79"/>
  <c r="FSO46" i="79"/>
  <c r="FSN46" i="79"/>
  <c r="FSM46" i="79"/>
  <c r="FSL46" i="79"/>
  <c r="FSK46" i="79"/>
  <c r="FSJ46" i="79"/>
  <c r="FSI46" i="79"/>
  <c r="FSH46" i="79"/>
  <c r="FSG46" i="79"/>
  <c r="FSF46" i="79"/>
  <c r="FSE46" i="79"/>
  <c r="FSD46" i="79"/>
  <c r="FSC46" i="79"/>
  <c r="FSB46" i="79"/>
  <c r="FSA46" i="79"/>
  <c r="FRZ46" i="79"/>
  <c r="FRY46" i="79"/>
  <c r="FRX46" i="79"/>
  <c r="FRW46" i="79"/>
  <c r="FRV46" i="79"/>
  <c r="FRU46" i="79"/>
  <c r="FRT46" i="79"/>
  <c r="FRS46" i="79"/>
  <c r="FRR46" i="79"/>
  <c r="FRQ46" i="79"/>
  <c r="FRP46" i="79"/>
  <c r="FRO46" i="79"/>
  <c r="FRN46" i="79"/>
  <c r="FRM46" i="79"/>
  <c r="FRL46" i="79"/>
  <c r="FRK46" i="79"/>
  <c r="FRJ46" i="79"/>
  <c r="FRI46" i="79"/>
  <c r="FRH46" i="79"/>
  <c r="FRG46" i="79"/>
  <c r="FRF46" i="79"/>
  <c r="FRE46" i="79"/>
  <c r="FRD46" i="79"/>
  <c r="FRC46" i="79"/>
  <c r="FRB46" i="79"/>
  <c r="FRA46" i="79"/>
  <c r="FQZ46" i="79"/>
  <c r="FQY46" i="79"/>
  <c r="FQX46" i="79"/>
  <c r="FQW46" i="79"/>
  <c r="FQV46" i="79"/>
  <c r="FQU46" i="79"/>
  <c r="FQT46" i="79"/>
  <c r="FQS46" i="79"/>
  <c r="FQR46" i="79"/>
  <c r="FQQ46" i="79"/>
  <c r="FQP46" i="79"/>
  <c r="FQO46" i="79"/>
  <c r="FQN46" i="79"/>
  <c r="FQM46" i="79"/>
  <c r="FQL46" i="79"/>
  <c r="FQK46" i="79"/>
  <c r="FQJ46" i="79"/>
  <c r="FQI46" i="79"/>
  <c r="FQH46" i="79"/>
  <c r="FQG46" i="79"/>
  <c r="FQF46" i="79"/>
  <c r="FQE46" i="79"/>
  <c r="FQD46" i="79"/>
  <c r="FQC46" i="79"/>
  <c r="FQB46" i="79"/>
  <c r="FQA46" i="79"/>
  <c r="FPZ46" i="79"/>
  <c r="FPY46" i="79"/>
  <c r="FPX46" i="79"/>
  <c r="FPW46" i="79"/>
  <c r="FPV46" i="79"/>
  <c r="FPU46" i="79"/>
  <c r="FPT46" i="79"/>
  <c r="FPS46" i="79"/>
  <c r="FPR46" i="79"/>
  <c r="FPQ46" i="79"/>
  <c r="FPP46" i="79"/>
  <c r="FPO46" i="79"/>
  <c r="FPN46" i="79"/>
  <c r="FPM46" i="79"/>
  <c r="FPL46" i="79"/>
  <c r="FPK46" i="79"/>
  <c r="FPJ46" i="79"/>
  <c r="FPI46" i="79"/>
  <c r="FPH46" i="79"/>
  <c r="FPG46" i="79"/>
  <c r="FPF46" i="79"/>
  <c r="FPE46" i="79"/>
  <c r="FPD46" i="79"/>
  <c r="FPC46" i="79"/>
  <c r="FPB46" i="79"/>
  <c r="FPA46" i="79"/>
  <c r="FOZ46" i="79"/>
  <c r="FOY46" i="79"/>
  <c r="FOX46" i="79"/>
  <c r="FOW46" i="79"/>
  <c r="FOV46" i="79"/>
  <c r="FOU46" i="79"/>
  <c r="FOT46" i="79"/>
  <c r="FOS46" i="79"/>
  <c r="FOR46" i="79"/>
  <c r="FOQ46" i="79"/>
  <c r="FOP46" i="79"/>
  <c r="FOO46" i="79"/>
  <c r="FON46" i="79"/>
  <c r="FOM46" i="79"/>
  <c r="FOL46" i="79"/>
  <c r="FOK46" i="79"/>
  <c r="FOJ46" i="79"/>
  <c r="FOI46" i="79"/>
  <c r="FOH46" i="79"/>
  <c r="FOG46" i="79"/>
  <c r="FOF46" i="79"/>
  <c r="FOE46" i="79"/>
  <c r="FOD46" i="79"/>
  <c r="FOC46" i="79"/>
  <c r="FOB46" i="79"/>
  <c r="FOA46" i="79"/>
  <c r="FNZ46" i="79"/>
  <c r="FNY46" i="79"/>
  <c r="FNX46" i="79"/>
  <c r="FNW46" i="79"/>
  <c r="FNV46" i="79"/>
  <c r="FNU46" i="79"/>
  <c r="FNT46" i="79"/>
  <c r="FNS46" i="79"/>
  <c r="FNR46" i="79"/>
  <c r="FNQ46" i="79"/>
  <c r="FNP46" i="79"/>
  <c r="FNO46" i="79"/>
  <c r="FNN46" i="79"/>
  <c r="FNM46" i="79"/>
  <c r="FNL46" i="79"/>
  <c r="FNK46" i="79"/>
  <c r="FNJ46" i="79"/>
  <c r="FNI46" i="79"/>
  <c r="FNH46" i="79"/>
  <c r="FNG46" i="79"/>
  <c r="FNF46" i="79"/>
  <c r="FNE46" i="79"/>
  <c r="FND46" i="79"/>
  <c r="FNC46" i="79"/>
  <c r="FNB46" i="79"/>
  <c r="FNA46" i="79"/>
  <c r="FMZ46" i="79"/>
  <c r="FMY46" i="79"/>
  <c r="FMX46" i="79"/>
  <c r="FMW46" i="79"/>
  <c r="FMV46" i="79"/>
  <c r="FMU46" i="79"/>
  <c r="FMT46" i="79"/>
  <c r="FMS46" i="79"/>
  <c r="FMR46" i="79"/>
  <c r="FMQ46" i="79"/>
  <c r="FMP46" i="79"/>
  <c r="FMO46" i="79"/>
  <c r="FMN46" i="79"/>
  <c r="FMM46" i="79"/>
  <c r="FML46" i="79"/>
  <c r="FMK46" i="79"/>
  <c r="FMJ46" i="79"/>
  <c r="FMI46" i="79"/>
  <c r="FMH46" i="79"/>
  <c r="FMG46" i="79"/>
  <c r="FMF46" i="79"/>
  <c r="FME46" i="79"/>
  <c r="FMD46" i="79"/>
  <c r="FMC46" i="79"/>
  <c r="FMB46" i="79"/>
  <c r="FMA46" i="79"/>
  <c r="FLZ46" i="79"/>
  <c r="FLY46" i="79"/>
  <c r="FLX46" i="79"/>
  <c r="FLW46" i="79"/>
  <c r="FLV46" i="79"/>
  <c r="FLU46" i="79"/>
  <c r="FLT46" i="79"/>
  <c r="FLS46" i="79"/>
  <c r="FLR46" i="79"/>
  <c r="FLQ46" i="79"/>
  <c r="FLP46" i="79"/>
  <c r="FLO46" i="79"/>
  <c r="FLN46" i="79"/>
  <c r="FLM46" i="79"/>
  <c r="FLL46" i="79"/>
  <c r="FLK46" i="79"/>
  <c r="FLJ46" i="79"/>
  <c r="FLI46" i="79"/>
  <c r="FLH46" i="79"/>
  <c r="FLG46" i="79"/>
  <c r="FLF46" i="79"/>
  <c r="FLE46" i="79"/>
  <c r="FLD46" i="79"/>
  <c r="FLC46" i="79"/>
  <c r="FLB46" i="79"/>
  <c r="FLA46" i="79"/>
  <c r="FKZ46" i="79"/>
  <c r="FKY46" i="79"/>
  <c r="FKX46" i="79"/>
  <c r="FKW46" i="79"/>
  <c r="FKV46" i="79"/>
  <c r="FKU46" i="79"/>
  <c r="FKT46" i="79"/>
  <c r="FKS46" i="79"/>
  <c r="FKR46" i="79"/>
  <c r="FKQ46" i="79"/>
  <c r="FKP46" i="79"/>
  <c r="FKO46" i="79"/>
  <c r="FKN46" i="79"/>
  <c r="FKM46" i="79"/>
  <c r="FKL46" i="79"/>
  <c r="FKK46" i="79"/>
  <c r="FKJ46" i="79"/>
  <c r="FKI46" i="79"/>
  <c r="FKH46" i="79"/>
  <c r="FKG46" i="79"/>
  <c r="FKF46" i="79"/>
  <c r="FKE46" i="79"/>
  <c r="FKD46" i="79"/>
  <c r="FKC46" i="79"/>
  <c r="FKB46" i="79"/>
  <c r="FKA46" i="79"/>
  <c r="FJZ46" i="79"/>
  <c r="FJY46" i="79"/>
  <c r="FJX46" i="79"/>
  <c r="FJW46" i="79"/>
  <c r="FJV46" i="79"/>
  <c r="FJU46" i="79"/>
  <c r="FJT46" i="79"/>
  <c r="FJS46" i="79"/>
  <c r="FJR46" i="79"/>
  <c r="FJQ46" i="79"/>
  <c r="FJP46" i="79"/>
  <c r="FJO46" i="79"/>
  <c r="FJN46" i="79"/>
  <c r="FJM46" i="79"/>
  <c r="FJL46" i="79"/>
  <c r="FJK46" i="79"/>
  <c r="FJJ46" i="79"/>
  <c r="FJI46" i="79"/>
  <c r="FJH46" i="79"/>
  <c r="FJG46" i="79"/>
  <c r="FJF46" i="79"/>
  <c r="FJE46" i="79"/>
  <c r="FJD46" i="79"/>
  <c r="FJC46" i="79"/>
  <c r="FJB46" i="79"/>
  <c r="FJA46" i="79"/>
  <c r="FIZ46" i="79"/>
  <c r="FIY46" i="79"/>
  <c r="FIX46" i="79"/>
  <c r="FIW46" i="79"/>
  <c r="FIV46" i="79"/>
  <c r="FIU46" i="79"/>
  <c r="FIT46" i="79"/>
  <c r="FIS46" i="79"/>
  <c r="FIR46" i="79"/>
  <c r="FIQ46" i="79"/>
  <c r="FIP46" i="79"/>
  <c r="FIO46" i="79"/>
  <c r="FIN46" i="79"/>
  <c r="FIM46" i="79"/>
  <c r="FIL46" i="79"/>
  <c r="FIK46" i="79"/>
  <c r="FIJ46" i="79"/>
  <c r="FII46" i="79"/>
  <c r="FIH46" i="79"/>
  <c r="FIG46" i="79"/>
  <c r="FIF46" i="79"/>
  <c r="FIE46" i="79"/>
  <c r="FID46" i="79"/>
  <c r="FIC46" i="79"/>
  <c r="FIB46" i="79"/>
  <c r="FIA46" i="79"/>
  <c r="FHZ46" i="79"/>
  <c r="FHY46" i="79"/>
  <c r="FHX46" i="79"/>
  <c r="FHW46" i="79"/>
  <c r="FHV46" i="79"/>
  <c r="FHU46" i="79"/>
  <c r="FHT46" i="79"/>
  <c r="FHS46" i="79"/>
  <c r="FHR46" i="79"/>
  <c r="FHQ46" i="79"/>
  <c r="FHP46" i="79"/>
  <c r="FHO46" i="79"/>
  <c r="FHN46" i="79"/>
  <c r="FHM46" i="79"/>
  <c r="FHL46" i="79"/>
  <c r="FHK46" i="79"/>
  <c r="FHJ46" i="79"/>
  <c r="FHI46" i="79"/>
  <c r="FHH46" i="79"/>
  <c r="FHG46" i="79"/>
  <c r="FHF46" i="79"/>
  <c r="FHE46" i="79"/>
  <c r="FHD46" i="79"/>
  <c r="FHC46" i="79"/>
  <c r="FHB46" i="79"/>
  <c r="FHA46" i="79"/>
  <c r="FGZ46" i="79"/>
  <c r="FGY46" i="79"/>
  <c r="FGX46" i="79"/>
  <c r="FGW46" i="79"/>
  <c r="FGV46" i="79"/>
  <c r="FGU46" i="79"/>
  <c r="FGT46" i="79"/>
  <c r="FGS46" i="79"/>
  <c r="FGR46" i="79"/>
  <c r="FGQ46" i="79"/>
  <c r="FGP46" i="79"/>
  <c r="FGO46" i="79"/>
  <c r="FGN46" i="79"/>
  <c r="FGM46" i="79"/>
  <c r="FGL46" i="79"/>
  <c r="FGK46" i="79"/>
  <c r="FGJ46" i="79"/>
  <c r="FGI46" i="79"/>
  <c r="FGH46" i="79"/>
  <c r="FGG46" i="79"/>
  <c r="FGF46" i="79"/>
  <c r="FGE46" i="79"/>
  <c r="FGD46" i="79"/>
  <c r="FGC46" i="79"/>
  <c r="FGB46" i="79"/>
  <c r="FGA46" i="79"/>
  <c r="FFZ46" i="79"/>
  <c r="FFY46" i="79"/>
  <c r="FFX46" i="79"/>
  <c r="FFW46" i="79"/>
  <c r="FFV46" i="79"/>
  <c r="FFU46" i="79"/>
  <c r="FFT46" i="79"/>
  <c r="FFS46" i="79"/>
  <c r="FFR46" i="79"/>
  <c r="FFQ46" i="79"/>
  <c r="FFP46" i="79"/>
  <c r="FFO46" i="79"/>
  <c r="FFN46" i="79"/>
  <c r="FFM46" i="79"/>
  <c r="FFL46" i="79"/>
  <c r="FFK46" i="79"/>
  <c r="FFJ46" i="79"/>
  <c r="FFI46" i="79"/>
  <c r="FFH46" i="79"/>
  <c r="FFG46" i="79"/>
  <c r="FFF46" i="79"/>
  <c r="FFE46" i="79"/>
  <c r="FFD46" i="79"/>
  <c r="FFC46" i="79"/>
  <c r="FFB46" i="79"/>
  <c r="FFA46" i="79"/>
  <c r="FEZ46" i="79"/>
  <c r="FEY46" i="79"/>
  <c r="FEX46" i="79"/>
  <c r="FEW46" i="79"/>
  <c r="FEV46" i="79"/>
  <c r="FEU46" i="79"/>
  <c r="FET46" i="79"/>
  <c r="FES46" i="79"/>
  <c r="FER46" i="79"/>
  <c r="FEQ46" i="79"/>
  <c r="FEP46" i="79"/>
  <c r="FEO46" i="79"/>
  <c r="FEN46" i="79"/>
  <c r="FEM46" i="79"/>
  <c r="FEL46" i="79"/>
  <c r="FEK46" i="79"/>
  <c r="FEJ46" i="79"/>
  <c r="FEI46" i="79"/>
  <c r="FEH46" i="79"/>
  <c r="FEG46" i="79"/>
  <c r="FEF46" i="79"/>
  <c r="FEE46" i="79"/>
  <c r="FED46" i="79"/>
  <c r="FEC46" i="79"/>
  <c r="FEB46" i="79"/>
  <c r="FEA46" i="79"/>
  <c r="FDZ46" i="79"/>
  <c r="FDY46" i="79"/>
  <c r="FDX46" i="79"/>
  <c r="FDW46" i="79"/>
  <c r="FDV46" i="79"/>
  <c r="FDU46" i="79"/>
  <c r="FDT46" i="79"/>
  <c r="FDS46" i="79"/>
  <c r="FDR46" i="79"/>
  <c r="FDQ46" i="79"/>
  <c r="FDP46" i="79"/>
  <c r="FDO46" i="79"/>
  <c r="FDN46" i="79"/>
  <c r="FDM46" i="79"/>
  <c r="FDL46" i="79"/>
  <c r="FDK46" i="79"/>
  <c r="FDJ46" i="79"/>
  <c r="FDI46" i="79"/>
  <c r="FDH46" i="79"/>
  <c r="FDG46" i="79"/>
  <c r="FDF46" i="79"/>
  <c r="FDE46" i="79"/>
  <c r="FDD46" i="79"/>
  <c r="FDC46" i="79"/>
  <c r="FDB46" i="79"/>
  <c r="FDA46" i="79"/>
  <c r="FCZ46" i="79"/>
  <c r="FCY46" i="79"/>
  <c r="FCX46" i="79"/>
  <c r="FCW46" i="79"/>
  <c r="FCV46" i="79"/>
  <c r="FCU46" i="79"/>
  <c r="FCT46" i="79"/>
  <c r="FCS46" i="79"/>
  <c r="FCR46" i="79"/>
  <c r="FCQ46" i="79"/>
  <c r="FCP46" i="79"/>
  <c r="FCO46" i="79"/>
  <c r="FCN46" i="79"/>
  <c r="FCM46" i="79"/>
  <c r="FCL46" i="79"/>
  <c r="FCK46" i="79"/>
  <c r="FCJ46" i="79"/>
  <c r="FCI46" i="79"/>
  <c r="FCH46" i="79"/>
  <c r="FCG46" i="79"/>
  <c r="FCF46" i="79"/>
  <c r="FCE46" i="79"/>
  <c r="FCD46" i="79"/>
  <c r="FCC46" i="79"/>
  <c r="FCB46" i="79"/>
  <c r="FCA46" i="79"/>
  <c r="FBZ46" i="79"/>
  <c r="FBY46" i="79"/>
  <c r="FBX46" i="79"/>
  <c r="FBW46" i="79"/>
  <c r="FBV46" i="79"/>
  <c r="FBU46" i="79"/>
  <c r="FBT46" i="79"/>
  <c r="FBS46" i="79"/>
  <c r="FBR46" i="79"/>
  <c r="FBQ46" i="79"/>
  <c r="FBP46" i="79"/>
  <c r="FBO46" i="79"/>
  <c r="FBN46" i="79"/>
  <c r="FBM46" i="79"/>
  <c r="FBL46" i="79"/>
  <c r="FBK46" i="79"/>
  <c r="FBJ46" i="79"/>
  <c r="FBI46" i="79"/>
  <c r="FBH46" i="79"/>
  <c r="FBG46" i="79"/>
  <c r="FBF46" i="79"/>
  <c r="FBE46" i="79"/>
  <c r="FBD46" i="79"/>
  <c r="FBC46" i="79"/>
  <c r="FBB46" i="79"/>
  <c r="FBA46" i="79"/>
  <c r="FAZ46" i="79"/>
  <c r="FAY46" i="79"/>
  <c r="FAX46" i="79"/>
  <c r="FAW46" i="79"/>
  <c r="FAV46" i="79"/>
  <c r="FAU46" i="79"/>
  <c r="FAT46" i="79"/>
  <c r="FAS46" i="79"/>
  <c r="FAR46" i="79"/>
  <c r="FAQ46" i="79"/>
  <c r="FAP46" i="79"/>
  <c r="FAO46" i="79"/>
  <c r="FAN46" i="79"/>
  <c r="FAM46" i="79"/>
  <c r="FAL46" i="79"/>
  <c r="FAK46" i="79"/>
  <c r="FAJ46" i="79"/>
  <c r="FAI46" i="79"/>
  <c r="FAH46" i="79"/>
  <c r="FAG46" i="79"/>
  <c r="FAF46" i="79"/>
  <c r="FAE46" i="79"/>
  <c r="FAD46" i="79"/>
  <c r="FAC46" i="79"/>
  <c r="FAB46" i="79"/>
  <c r="FAA46" i="79"/>
  <c r="EZZ46" i="79"/>
  <c r="EZY46" i="79"/>
  <c r="EZX46" i="79"/>
  <c r="EZW46" i="79"/>
  <c r="EZV46" i="79"/>
  <c r="EZU46" i="79"/>
  <c r="EZT46" i="79"/>
  <c r="EZS46" i="79"/>
  <c r="EZR46" i="79"/>
  <c r="EZQ46" i="79"/>
  <c r="EZP46" i="79"/>
  <c r="EZO46" i="79"/>
  <c r="EZN46" i="79"/>
  <c r="EZM46" i="79"/>
  <c r="EZL46" i="79"/>
  <c r="EZK46" i="79"/>
  <c r="EZJ46" i="79"/>
  <c r="EZI46" i="79"/>
  <c r="EZH46" i="79"/>
  <c r="EZG46" i="79"/>
  <c r="EZF46" i="79"/>
  <c r="EZE46" i="79"/>
  <c r="EZD46" i="79"/>
  <c r="EZC46" i="79"/>
  <c r="EZB46" i="79"/>
  <c r="EZA46" i="79"/>
  <c r="EYZ46" i="79"/>
  <c r="EYY46" i="79"/>
  <c r="EYX46" i="79"/>
  <c r="EYW46" i="79"/>
  <c r="EYV46" i="79"/>
  <c r="EYU46" i="79"/>
  <c r="EYT46" i="79"/>
  <c r="EYS46" i="79"/>
  <c r="EYR46" i="79"/>
  <c r="EYQ46" i="79"/>
  <c r="EYP46" i="79"/>
  <c r="EYO46" i="79"/>
  <c r="EYN46" i="79"/>
  <c r="EYM46" i="79"/>
  <c r="EYL46" i="79"/>
  <c r="EYK46" i="79"/>
  <c r="EYJ46" i="79"/>
  <c r="EYI46" i="79"/>
  <c r="EYH46" i="79"/>
  <c r="EYG46" i="79"/>
  <c r="EYF46" i="79"/>
  <c r="EYE46" i="79"/>
  <c r="EYD46" i="79"/>
  <c r="EYC46" i="79"/>
  <c r="EYB46" i="79"/>
  <c r="EYA46" i="79"/>
  <c r="EXZ46" i="79"/>
  <c r="EXY46" i="79"/>
  <c r="EXX46" i="79"/>
  <c r="EXW46" i="79"/>
  <c r="EXV46" i="79"/>
  <c r="EXU46" i="79"/>
  <c r="EXT46" i="79"/>
  <c r="EXS46" i="79"/>
  <c r="EXR46" i="79"/>
  <c r="EXQ46" i="79"/>
  <c r="EXP46" i="79"/>
  <c r="EXO46" i="79"/>
  <c r="EXN46" i="79"/>
  <c r="EXM46" i="79"/>
  <c r="EXL46" i="79"/>
  <c r="EXK46" i="79"/>
  <c r="EXJ46" i="79"/>
  <c r="EXI46" i="79"/>
  <c r="EXH46" i="79"/>
  <c r="EXG46" i="79"/>
  <c r="EXF46" i="79"/>
  <c r="EXE46" i="79"/>
  <c r="EXD46" i="79"/>
  <c r="EXC46" i="79"/>
  <c r="EXB46" i="79"/>
  <c r="EXA46" i="79"/>
  <c r="EWZ46" i="79"/>
  <c r="EWY46" i="79"/>
  <c r="EWX46" i="79"/>
  <c r="EWW46" i="79"/>
  <c r="EWV46" i="79"/>
  <c r="EWU46" i="79"/>
  <c r="EWT46" i="79"/>
  <c r="EWS46" i="79"/>
  <c r="EWR46" i="79"/>
  <c r="EWQ46" i="79"/>
  <c r="EWP46" i="79"/>
  <c r="EWO46" i="79"/>
  <c r="EWN46" i="79"/>
  <c r="EWM46" i="79"/>
  <c r="EWL46" i="79"/>
  <c r="EWK46" i="79"/>
  <c r="EWJ46" i="79"/>
  <c r="EWI46" i="79"/>
  <c r="EWH46" i="79"/>
  <c r="EWG46" i="79"/>
  <c r="EWF46" i="79"/>
  <c r="EWE46" i="79"/>
  <c r="EWD46" i="79"/>
  <c r="EWC46" i="79"/>
  <c r="EWB46" i="79"/>
  <c r="EWA46" i="79"/>
  <c r="EVZ46" i="79"/>
  <c r="EVY46" i="79"/>
  <c r="EVX46" i="79"/>
  <c r="EVW46" i="79"/>
  <c r="EVV46" i="79"/>
  <c r="EVU46" i="79"/>
  <c r="EVT46" i="79"/>
  <c r="EVS46" i="79"/>
  <c r="EVR46" i="79"/>
  <c r="EVQ46" i="79"/>
  <c r="EVP46" i="79"/>
  <c r="EVO46" i="79"/>
  <c r="EVN46" i="79"/>
  <c r="EVM46" i="79"/>
  <c r="EVL46" i="79"/>
  <c r="EVK46" i="79"/>
  <c r="EVJ46" i="79"/>
  <c r="EVI46" i="79"/>
  <c r="EVH46" i="79"/>
  <c r="EVG46" i="79"/>
  <c r="EVF46" i="79"/>
  <c r="EVE46" i="79"/>
  <c r="EVD46" i="79"/>
  <c r="EVC46" i="79"/>
  <c r="EVB46" i="79"/>
  <c r="EVA46" i="79"/>
  <c r="EUZ46" i="79"/>
  <c r="EUY46" i="79"/>
  <c r="EUX46" i="79"/>
  <c r="EUW46" i="79"/>
  <c r="EUV46" i="79"/>
  <c r="EUU46" i="79"/>
  <c r="EUT46" i="79"/>
  <c r="EUS46" i="79"/>
  <c r="EUR46" i="79"/>
  <c r="EUQ46" i="79"/>
  <c r="EUP46" i="79"/>
  <c r="EUO46" i="79"/>
  <c r="EUN46" i="79"/>
  <c r="EUM46" i="79"/>
  <c r="EUL46" i="79"/>
  <c r="EUK46" i="79"/>
  <c r="EUJ46" i="79"/>
  <c r="EUI46" i="79"/>
  <c r="EUH46" i="79"/>
  <c r="EUG46" i="79"/>
  <c r="EUF46" i="79"/>
  <c r="EUE46" i="79"/>
  <c r="EUD46" i="79"/>
  <c r="EUC46" i="79"/>
  <c r="EUB46" i="79"/>
  <c r="EUA46" i="79"/>
  <c r="ETZ46" i="79"/>
  <c r="ETY46" i="79"/>
  <c r="ETX46" i="79"/>
  <c r="ETW46" i="79"/>
  <c r="ETV46" i="79"/>
  <c r="ETU46" i="79"/>
  <c r="ETT46" i="79"/>
  <c r="ETS46" i="79"/>
  <c r="ETR46" i="79"/>
  <c r="ETQ46" i="79"/>
  <c r="ETP46" i="79"/>
  <c r="ETO46" i="79"/>
  <c r="ETN46" i="79"/>
  <c r="ETM46" i="79"/>
  <c r="ETL46" i="79"/>
  <c r="ETK46" i="79"/>
  <c r="ETJ46" i="79"/>
  <c r="ETI46" i="79"/>
  <c r="ETH46" i="79"/>
  <c r="ETG46" i="79"/>
  <c r="ETF46" i="79"/>
  <c r="ETE46" i="79"/>
  <c r="ETD46" i="79"/>
  <c r="ETC46" i="79"/>
  <c r="ETB46" i="79"/>
  <c r="ETA46" i="79"/>
  <c r="ESZ46" i="79"/>
  <c r="ESY46" i="79"/>
  <c r="ESX46" i="79"/>
  <c r="ESW46" i="79"/>
  <c r="ESV46" i="79"/>
  <c r="ESU46" i="79"/>
  <c r="EST46" i="79"/>
  <c r="ESS46" i="79"/>
  <c r="ESR46" i="79"/>
  <c r="ESQ46" i="79"/>
  <c r="ESP46" i="79"/>
  <c r="ESO46" i="79"/>
  <c r="ESN46" i="79"/>
  <c r="ESM46" i="79"/>
  <c r="ESL46" i="79"/>
  <c r="ESK46" i="79"/>
  <c r="ESJ46" i="79"/>
  <c r="ESI46" i="79"/>
  <c r="ESH46" i="79"/>
  <c r="ESG46" i="79"/>
  <c r="ESF46" i="79"/>
  <c r="ESE46" i="79"/>
  <c r="ESD46" i="79"/>
  <c r="ESC46" i="79"/>
  <c r="ESB46" i="79"/>
  <c r="ESA46" i="79"/>
  <c r="ERZ46" i="79"/>
  <c r="ERY46" i="79"/>
  <c r="ERX46" i="79"/>
  <c r="ERW46" i="79"/>
  <c r="ERV46" i="79"/>
  <c r="ERU46" i="79"/>
  <c r="ERT46" i="79"/>
  <c r="ERS46" i="79"/>
  <c r="ERR46" i="79"/>
  <c r="ERQ46" i="79"/>
  <c r="ERP46" i="79"/>
  <c r="ERO46" i="79"/>
  <c r="ERN46" i="79"/>
  <c r="ERM46" i="79"/>
  <c r="ERL46" i="79"/>
  <c r="ERK46" i="79"/>
  <c r="ERJ46" i="79"/>
  <c r="ERI46" i="79"/>
  <c r="ERH46" i="79"/>
  <c r="ERG46" i="79"/>
  <c r="ERF46" i="79"/>
  <c r="ERE46" i="79"/>
  <c r="ERD46" i="79"/>
  <c r="ERC46" i="79"/>
  <c r="ERB46" i="79"/>
  <c r="ERA46" i="79"/>
  <c r="EQZ46" i="79"/>
  <c r="EQY46" i="79"/>
  <c r="EQX46" i="79"/>
  <c r="EQW46" i="79"/>
  <c r="EQV46" i="79"/>
  <c r="EQU46" i="79"/>
  <c r="EQT46" i="79"/>
  <c r="EQS46" i="79"/>
  <c r="EQR46" i="79"/>
  <c r="EQQ46" i="79"/>
  <c r="EQP46" i="79"/>
  <c r="EQO46" i="79"/>
  <c r="EQN46" i="79"/>
  <c r="EQM46" i="79"/>
  <c r="EQL46" i="79"/>
  <c r="EQK46" i="79"/>
  <c r="EQJ46" i="79"/>
  <c r="EQI46" i="79"/>
  <c r="EQH46" i="79"/>
  <c r="EQG46" i="79"/>
  <c r="EQF46" i="79"/>
  <c r="EQE46" i="79"/>
  <c r="EQD46" i="79"/>
  <c r="EQC46" i="79"/>
  <c r="EQB46" i="79"/>
  <c r="EQA46" i="79"/>
  <c r="EPZ46" i="79"/>
  <c r="EPY46" i="79"/>
  <c r="EPX46" i="79"/>
  <c r="EPW46" i="79"/>
  <c r="EPV46" i="79"/>
  <c r="EPU46" i="79"/>
  <c r="EPT46" i="79"/>
  <c r="EPS46" i="79"/>
  <c r="EPR46" i="79"/>
  <c r="EPQ46" i="79"/>
  <c r="EPP46" i="79"/>
  <c r="EPO46" i="79"/>
  <c r="EPN46" i="79"/>
  <c r="EPM46" i="79"/>
  <c r="EPL46" i="79"/>
  <c r="EPK46" i="79"/>
  <c r="EPJ46" i="79"/>
  <c r="EPI46" i="79"/>
  <c r="EPH46" i="79"/>
  <c r="EPG46" i="79"/>
  <c r="EPF46" i="79"/>
  <c r="EPE46" i="79"/>
  <c r="EPD46" i="79"/>
  <c r="EPC46" i="79"/>
  <c r="EPB46" i="79"/>
  <c r="EPA46" i="79"/>
  <c r="EOZ46" i="79"/>
  <c r="EOY46" i="79"/>
  <c r="EOX46" i="79"/>
  <c r="EOW46" i="79"/>
  <c r="EOV46" i="79"/>
  <c r="EOU46" i="79"/>
  <c r="EOT46" i="79"/>
  <c r="EOS46" i="79"/>
  <c r="EOR46" i="79"/>
  <c r="EOQ46" i="79"/>
  <c r="EOP46" i="79"/>
  <c r="EOO46" i="79"/>
  <c r="EON46" i="79"/>
  <c r="EOM46" i="79"/>
  <c r="EOL46" i="79"/>
  <c r="EOK46" i="79"/>
  <c r="EOJ46" i="79"/>
  <c r="EOI46" i="79"/>
  <c r="EOH46" i="79"/>
  <c r="EOG46" i="79"/>
  <c r="EOF46" i="79"/>
  <c r="EOE46" i="79"/>
  <c r="EOD46" i="79"/>
  <c r="EOC46" i="79"/>
  <c r="EOB46" i="79"/>
  <c r="EOA46" i="79"/>
  <c r="ENZ46" i="79"/>
  <c r="ENY46" i="79"/>
  <c r="ENX46" i="79"/>
  <c r="ENW46" i="79"/>
  <c r="ENV46" i="79"/>
  <c r="ENU46" i="79"/>
  <c r="ENT46" i="79"/>
  <c r="ENS46" i="79"/>
  <c r="ENR46" i="79"/>
  <c r="ENQ46" i="79"/>
  <c r="ENP46" i="79"/>
  <c r="ENO46" i="79"/>
  <c r="ENN46" i="79"/>
  <c r="ENM46" i="79"/>
  <c r="ENL46" i="79"/>
  <c r="ENK46" i="79"/>
  <c r="ENJ46" i="79"/>
  <c r="ENI46" i="79"/>
  <c r="ENH46" i="79"/>
  <c r="ENG46" i="79"/>
  <c r="ENF46" i="79"/>
  <c r="ENE46" i="79"/>
  <c r="END46" i="79"/>
  <c r="ENC46" i="79"/>
  <c r="ENB46" i="79"/>
  <c r="ENA46" i="79"/>
  <c r="EMZ46" i="79"/>
  <c r="EMY46" i="79"/>
  <c r="EMX46" i="79"/>
  <c r="EMW46" i="79"/>
  <c r="EMV46" i="79"/>
  <c r="EMU46" i="79"/>
  <c r="EMT46" i="79"/>
  <c r="EMS46" i="79"/>
  <c r="EMR46" i="79"/>
  <c r="EMQ46" i="79"/>
  <c r="EMP46" i="79"/>
  <c r="EMO46" i="79"/>
  <c r="EMN46" i="79"/>
  <c r="EMM46" i="79"/>
  <c r="EML46" i="79"/>
  <c r="EMK46" i="79"/>
  <c r="EMJ46" i="79"/>
  <c r="EMI46" i="79"/>
  <c r="EMH46" i="79"/>
  <c r="EMG46" i="79"/>
  <c r="EMF46" i="79"/>
  <c r="EME46" i="79"/>
  <c r="EMD46" i="79"/>
  <c r="EMC46" i="79"/>
  <c r="EMB46" i="79"/>
  <c r="EMA46" i="79"/>
  <c r="ELZ46" i="79"/>
  <c r="ELY46" i="79"/>
  <c r="ELX46" i="79"/>
  <c r="ELW46" i="79"/>
  <c r="ELV46" i="79"/>
  <c r="ELU46" i="79"/>
  <c r="ELT46" i="79"/>
  <c r="ELS46" i="79"/>
  <c r="ELR46" i="79"/>
  <c r="ELQ46" i="79"/>
  <c r="ELP46" i="79"/>
  <c r="ELO46" i="79"/>
  <c r="ELN46" i="79"/>
  <c r="ELM46" i="79"/>
  <c r="ELL46" i="79"/>
  <c r="ELK46" i="79"/>
  <c r="ELJ46" i="79"/>
  <c r="ELI46" i="79"/>
  <c r="ELH46" i="79"/>
  <c r="ELG46" i="79"/>
  <c r="ELF46" i="79"/>
  <c r="ELE46" i="79"/>
  <c r="ELD46" i="79"/>
  <c r="ELC46" i="79"/>
  <c r="ELB46" i="79"/>
  <c r="ELA46" i="79"/>
  <c r="EKZ46" i="79"/>
  <c r="EKY46" i="79"/>
  <c r="EKX46" i="79"/>
  <c r="EKW46" i="79"/>
  <c r="EKV46" i="79"/>
  <c r="EKU46" i="79"/>
  <c r="EKT46" i="79"/>
  <c r="EKS46" i="79"/>
  <c r="EKR46" i="79"/>
  <c r="EKQ46" i="79"/>
  <c r="EKP46" i="79"/>
  <c r="EKO46" i="79"/>
  <c r="EKN46" i="79"/>
  <c r="EKM46" i="79"/>
  <c r="EKL46" i="79"/>
  <c r="EKK46" i="79"/>
  <c r="EKJ46" i="79"/>
  <c r="EKI46" i="79"/>
  <c r="EKH46" i="79"/>
  <c r="EKG46" i="79"/>
  <c r="EKF46" i="79"/>
  <c r="EKE46" i="79"/>
  <c r="EKD46" i="79"/>
  <c r="EKC46" i="79"/>
  <c r="EKB46" i="79"/>
  <c r="EKA46" i="79"/>
  <c r="EJZ46" i="79"/>
  <c r="EJY46" i="79"/>
  <c r="EJX46" i="79"/>
  <c r="EJW46" i="79"/>
  <c r="EJV46" i="79"/>
  <c r="EJU46" i="79"/>
  <c r="EJT46" i="79"/>
  <c r="EJS46" i="79"/>
  <c r="EJR46" i="79"/>
  <c r="EJQ46" i="79"/>
  <c r="EJP46" i="79"/>
  <c r="EJO46" i="79"/>
  <c r="EJN46" i="79"/>
  <c r="EJM46" i="79"/>
  <c r="EJL46" i="79"/>
  <c r="EJK46" i="79"/>
  <c r="EJJ46" i="79"/>
  <c r="EJI46" i="79"/>
  <c r="EJH46" i="79"/>
  <c r="EJG46" i="79"/>
  <c r="EJF46" i="79"/>
  <c r="EJE46" i="79"/>
  <c r="EJD46" i="79"/>
  <c r="EJC46" i="79"/>
  <c r="EJB46" i="79"/>
  <c r="EJA46" i="79"/>
  <c r="EIZ46" i="79"/>
  <c r="EIY46" i="79"/>
  <c r="EIX46" i="79"/>
  <c r="EIW46" i="79"/>
  <c r="EIV46" i="79"/>
  <c r="EIU46" i="79"/>
  <c r="EIT46" i="79"/>
  <c r="EIS46" i="79"/>
  <c r="EIR46" i="79"/>
  <c r="EIQ46" i="79"/>
  <c r="EIP46" i="79"/>
  <c r="EIO46" i="79"/>
  <c r="EIN46" i="79"/>
  <c r="EIM46" i="79"/>
  <c r="EIL46" i="79"/>
  <c r="EIK46" i="79"/>
  <c r="EIJ46" i="79"/>
  <c r="EII46" i="79"/>
  <c r="EIH46" i="79"/>
  <c r="EIG46" i="79"/>
  <c r="EIF46" i="79"/>
  <c r="EIE46" i="79"/>
  <c r="EID46" i="79"/>
  <c r="EIC46" i="79"/>
  <c r="EIB46" i="79"/>
  <c r="EIA46" i="79"/>
  <c r="EHZ46" i="79"/>
  <c r="EHY46" i="79"/>
  <c r="EHX46" i="79"/>
  <c r="EHW46" i="79"/>
  <c r="EHV46" i="79"/>
  <c r="EHU46" i="79"/>
  <c r="EHT46" i="79"/>
  <c r="EHS46" i="79"/>
  <c r="EHR46" i="79"/>
  <c r="EHQ46" i="79"/>
  <c r="EHP46" i="79"/>
  <c r="EHO46" i="79"/>
  <c r="EHN46" i="79"/>
  <c r="EHM46" i="79"/>
  <c r="EHL46" i="79"/>
  <c r="EHK46" i="79"/>
  <c r="EHJ46" i="79"/>
  <c r="EHI46" i="79"/>
  <c r="EHH46" i="79"/>
  <c r="EHG46" i="79"/>
  <c r="EHF46" i="79"/>
  <c r="EHE46" i="79"/>
  <c r="EHD46" i="79"/>
  <c r="EHC46" i="79"/>
  <c r="EHB46" i="79"/>
  <c r="EHA46" i="79"/>
  <c r="EGZ46" i="79"/>
  <c r="EGY46" i="79"/>
  <c r="EGX46" i="79"/>
  <c r="EGW46" i="79"/>
  <c r="EGV46" i="79"/>
  <c r="EGU46" i="79"/>
  <c r="EGT46" i="79"/>
  <c r="EGS46" i="79"/>
  <c r="EGR46" i="79"/>
  <c r="EGQ46" i="79"/>
  <c r="EGP46" i="79"/>
  <c r="EGO46" i="79"/>
  <c r="EGN46" i="79"/>
  <c r="EGM46" i="79"/>
  <c r="EGL46" i="79"/>
  <c r="EGK46" i="79"/>
  <c r="EGJ46" i="79"/>
  <c r="EGI46" i="79"/>
  <c r="EGH46" i="79"/>
  <c r="EGG46" i="79"/>
  <c r="EGF46" i="79"/>
  <c r="EGE46" i="79"/>
  <c r="EGD46" i="79"/>
  <c r="EGC46" i="79"/>
  <c r="EGB46" i="79"/>
  <c r="EGA46" i="79"/>
  <c r="EFZ46" i="79"/>
  <c r="EFY46" i="79"/>
  <c r="EFX46" i="79"/>
  <c r="EFW46" i="79"/>
  <c r="EFV46" i="79"/>
  <c r="EFU46" i="79"/>
  <c r="EFT46" i="79"/>
  <c r="EFS46" i="79"/>
  <c r="EFR46" i="79"/>
  <c r="EFQ46" i="79"/>
  <c r="EFP46" i="79"/>
  <c r="EFO46" i="79"/>
  <c r="EFN46" i="79"/>
  <c r="EFM46" i="79"/>
  <c r="EFL46" i="79"/>
  <c r="EFK46" i="79"/>
  <c r="EFJ46" i="79"/>
  <c r="EFI46" i="79"/>
  <c r="EFH46" i="79"/>
  <c r="EFG46" i="79"/>
  <c r="EFF46" i="79"/>
  <c r="EFE46" i="79"/>
  <c r="EFD46" i="79"/>
  <c r="EFC46" i="79"/>
  <c r="EFB46" i="79"/>
  <c r="EFA46" i="79"/>
  <c r="EEZ46" i="79"/>
  <c r="EEY46" i="79"/>
  <c r="EEX46" i="79"/>
  <c r="EEW46" i="79"/>
  <c r="EEV46" i="79"/>
  <c r="EEU46" i="79"/>
  <c r="EET46" i="79"/>
  <c r="EES46" i="79"/>
  <c r="EER46" i="79"/>
  <c r="EEQ46" i="79"/>
  <c r="EEP46" i="79"/>
  <c r="EEO46" i="79"/>
  <c r="EEN46" i="79"/>
  <c r="EEM46" i="79"/>
  <c r="EEL46" i="79"/>
  <c r="EEK46" i="79"/>
  <c r="EEJ46" i="79"/>
  <c r="EEI46" i="79"/>
  <c r="EEH46" i="79"/>
  <c r="EEG46" i="79"/>
  <c r="EEF46" i="79"/>
  <c r="EEE46" i="79"/>
  <c r="EED46" i="79"/>
  <c r="EEC46" i="79"/>
  <c r="EEB46" i="79"/>
  <c r="EEA46" i="79"/>
  <c r="EDZ46" i="79"/>
  <c r="EDY46" i="79"/>
  <c r="EDX46" i="79"/>
  <c r="EDW46" i="79"/>
  <c r="EDV46" i="79"/>
  <c r="EDU46" i="79"/>
  <c r="EDT46" i="79"/>
  <c r="EDS46" i="79"/>
  <c r="EDR46" i="79"/>
  <c r="EDQ46" i="79"/>
  <c r="EDP46" i="79"/>
  <c r="EDO46" i="79"/>
  <c r="EDN46" i="79"/>
  <c r="EDM46" i="79"/>
  <c r="EDL46" i="79"/>
  <c r="EDK46" i="79"/>
  <c r="EDJ46" i="79"/>
  <c r="EDI46" i="79"/>
  <c r="EDH46" i="79"/>
  <c r="EDG46" i="79"/>
  <c r="EDF46" i="79"/>
  <c r="EDE46" i="79"/>
  <c r="EDD46" i="79"/>
  <c r="EDC46" i="79"/>
  <c r="EDB46" i="79"/>
  <c r="EDA46" i="79"/>
  <c r="ECZ46" i="79"/>
  <c r="ECY46" i="79"/>
  <c r="ECX46" i="79"/>
  <c r="ECW46" i="79"/>
  <c r="ECV46" i="79"/>
  <c r="ECU46" i="79"/>
  <c r="ECT46" i="79"/>
  <c r="ECS46" i="79"/>
  <c r="ECR46" i="79"/>
  <c r="ECQ46" i="79"/>
  <c r="ECP46" i="79"/>
  <c r="ECO46" i="79"/>
  <c r="ECN46" i="79"/>
  <c r="ECM46" i="79"/>
  <c r="ECL46" i="79"/>
  <c r="ECK46" i="79"/>
  <c r="ECJ46" i="79"/>
  <c r="ECI46" i="79"/>
  <c r="ECH46" i="79"/>
  <c r="ECG46" i="79"/>
  <c r="ECF46" i="79"/>
  <c r="ECE46" i="79"/>
  <c r="ECD46" i="79"/>
  <c r="ECC46" i="79"/>
  <c r="ECB46" i="79"/>
  <c r="ECA46" i="79"/>
  <c r="EBZ46" i="79"/>
  <c r="EBY46" i="79"/>
  <c r="EBX46" i="79"/>
  <c r="EBW46" i="79"/>
  <c r="EBV46" i="79"/>
  <c r="EBU46" i="79"/>
  <c r="EBT46" i="79"/>
  <c r="EBS46" i="79"/>
  <c r="EBR46" i="79"/>
  <c r="EBQ46" i="79"/>
  <c r="EBP46" i="79"/>
  <c r="EBO46" i="79"/>
  <c r="EBN46" i="79"/>
  <c r="EBM46" i="79"/>
  <c r="EBL46" i="79"/>
  <c r="EBK46" i="79"/>
  <c r="EBJ46" i="79"/>
  <c r="EBI46" i="79"/>
  <c r="EBH46" i="79"/>
  <c r="EBG46" i="79"/>
  <c r="EBF46" i="79"/>
  <c r="EBE46" i="79"/>
  <c r="EBD46" i="79"/>
  <c r="EBC46" i="79"/>
  <c r="EBB46" i="79"/>
  <c r="EBA46" i="79"/>
  <c r="EAZ46" i="79"/>
  <c r="EAY46" i="79"/>
  <c r="EAX46" i="79"/>
  <c r="EAW46" i="79"/>
  <c r="EAV46" i="79"/>
  <c r="EAU46" i="79"/>
  <c r="EAT46" i="79"/>
  <c r="EAS46" i="79"/>
  <c r="EAR46" i="79"/>
  <c r="EAQ46" i="79"/>
  <c r="EAP46" i="79"/>
  <c r="EAO46" i="79"/>
  <c r="EAN46" i="79"/>
  <c r="EAM46" i="79"/>
  <c r="EAL46" i="79"/>
  <c r="EAK46" i="79"/>
  <c r="EAJ46" i="79"/>
  <c r="EAI46" i="79"/>
  <c r="EAH46" i="79"/>
  <c r="EAG46" i="79"/>
  <c r="EAF46" i="79"/>
  <c r="EAE46" i="79"/>
  <c r="EAD46" i="79"/>
  <c r="EAC46" i="79"/>
  <c r="EAB46" i="79"/>
  <c r="EAA46" i="79"/>
  <c r="DZZ46" i="79"/>
  <c r="DZY46" i="79"/>
  <c r="DZX46" i="79"/>
  <c r="DZW46" i="79"/>
  <c r="DZV46" i="79"/>
  <c r="DZU46" i="79"/>
  <c r="DZT46" i="79"/>
  <c r="DZS46" i="79"/>
  <c r="DZR46" i="79"/>
  <c r="DZQ46" i="79"/>
  <c r="DZP46" i="79"/>
  <c r="DZO46" i="79"/>
  <c r="DZN46" i="79"/>
  <c r="DZM46" i="79"/>
  <c r="DZL46" i="79"/>
  <c r="DZK46" i="79"/>
  <c r="DZJ46" i="79"/>
  <c r="DZI46" i="79"/>
  <c r="DZH46" i="79"/>
  <c r="DZG46" i="79"/>
  <c r="DZF46" i="79"/>
  <c r="DZE46" i="79"/>
  <c r="DZD46" i="79"/>
  <c r="DZC46" i="79"/>
  <c r="DZB46" i="79"/>
  <c r="DZA46" i="79"/>
  <c r="DYZ46" i="79"/>
  <c r="DYY46" i="79"/>
  <c r="DYX46" i="79"/>
  <c r="DYW46" i="79"/>
  <c r="DYV46" i="79"/>
  <c r="DYU46" i="79"/>
  <c r="DYT46" i="79"/>
  <c r="DYS46" i="79"/>
  <c r="DYR46" i="79"/>
  <c r="DYQ46" i="79"/>
  <c r="DYP46" i="79"/>
  <c r="DYO46" i="79"/>
  <c r="DYN46" i="79"/>
  <c r="DYM46" i="79"/>
  <c r="DYL46" i="79"/>
  <c r="DYK46" i="79"/>
  <c r="DYJ46" i="79"/>
  <c r="DYI46" i="79"/>
  <c r="DYH46" i="79"/>
  <c r="DYG46" i="79"/>
  <c r="DYF46" i="79"/>
  <c r="DYE46" i="79"/>
  <c r="DYD46" i="79"/>
  <c r="DYC46" i="79"/>
  <c r="DYB46" i="79"/>
  <c r="DYA46" i="79"/>
  <c r="DXZ46" i="79"/>
  <c r="DXY46" i="79"/>
  <c r="DXX46" i="79"/>
  <c r="DXW46" i="79"/>
  <c r="DXV46" i="79"/>
  <c r="DXU46" i="79"/>
  <c r="DXT46" i="79"/>
  <c r="DXS46" i="79"/>
  <c r="DXR46" i="79"/>
  <c r="DXQ46" i="79"/>
  <c r="DXP46" i="79"/>
  <c r="DXO46" i="79"/>
  <c r="DXN46" i="79"/>
  <c r="DXM46" i="79"/>
  <c r="DXL46" i="79"/>
  <c r="DXK46" i="79"/>
  <c r="DXJ46" i="79"/>
  <c r="DXI46" i="79"/>
  <c r="DXH46" i="79"/>
  <c r="DXG46" i="79"/>
  <c r="DXF46" i="79"/>
  <c r="DXE46" i="79"/>
  <c r="DXD46" i="79"/>
  <c r="DXC46" i="79"/>
  <c r="DXB46" i="79"/>
  <c r="DXA46" i="79"/>
  <c r="DWZ46" i="79"/>
  <c r="DWY46" i="79"/>
  <c r="DWX46" i="79"/>
  <c r="DWW46" i="79"/>
  <c r="DWV46" i="79"/>
  <c r="DWU46" i="79"/>
  <c r="DWT46" i="79"/>
  <c r="DWS46" i="79"/>
  <c r="DWR46" i="79"/>
  <c r="DWQ46" i="79"/>
  <c r="DWP46" i="79"/>
  <c r="DWO46" i="79"/>
  <c r="DWN46" i="79"/>
  <c r="DWM46" i="79"/>
  <c r="DWL46" i="79"/>
  <c r="DWK46" i="79"/>
  <c r="DWJ46" i="79"/>
  <c r="DWI46" i="79"/>
  <c r="DWH46" i="79"/>
  <c r="DWG46" i="79"/>
  <c r="DWF46" i="79"/>
  <c r="DWE46" i="79"/>
  <c r="DWD46" i="79"/>
  <c r="DWC46" i="79"/>
  <c r="DWB46" i="79"/>
  <c r="DWA46" i="79"/>
  <c r="DVZ46" i="79"/>
  <c r="DVY46" i="79"/>
  <c r="DVX46" i="79"/>
  <c r="DVW46" i="79"/>
  <c r="DVV46" i="79"/>
  <c r="DVU46" i="79"/>
  <c r="DVT46" i="79"/>
  <c r="DVS46" i="79"/>
  <c r="DVR46" i="79"/>
  <c r="DVQ46" i="79"/>
  <c r="DVP46" i="79"/>
  <c r="DVO46" i="79"/>
  <c r="DVN46" i="79"/>
  <c r="DVM46" i="79"/>
  <c r="DVL46" i="79"/>
  <c r="DVK46" i="79"/>
  <c r="DVJ46" i="79"/>
  <c r="DVI46" i="79"/>
  <c r="DVH46" i="79"/>
  <c r="DVG46" i="79"/>
  <c r="DVF46" i="79"/>
  <c r="DVE46" i="79"/>
  <c r="DVD46" i="79"/>
  <c r="DVC46" i="79"/>
  <c r="DVB46" i="79"/>
  <c r="DVA46" i="79"/>
  <c r="DUZ46" i="79"/>
  <c r="DUY46" i="79"/>
  <c r="DUX46" i="79"/>
  <c r="DUW46" i="79"/>
  <c r="DUV46" i="79"/>
  <c r="DUU46" i="79"/>
  <c r="DUT46" i="79"/>
  <c r="DUS46" i="79"/>
  <c r="DUR46" i="79"/>
  <c r="DUQ46" i="79"/>
  <c r="DUP46" i="79"/>
  <c r="DUO46" i="79"/>
  <c r="DUN46" i="79"/>
  <c r="DUM46" i="79"/>
  <c r="DUL46" i="79"/>
  <c r="DUK46" i="79"/>
  <c r="DUJ46" i="79"/>
  <c r="DUI46" i="79"/>
  <c r="DUH46" i="79"/>
  <c r="DUG46" i="79"/>
  <c r="DUF46" i="79"/>
  <c r="DUE46" i="79"/>
  <c r="DUD46" i="79"/>
  <c r="DUC46" i="79"/>
  <c r="DUB46" i="79"/>
  <c r="DUA46" i="79"/>
  <c r="DTZ46" i="79"/>
  <c r="DTY46" i="79"/>
  <c r="DTX46" i="79"/>
  <c r="DTW46" i="79"/>
  <c r="DTV46" i="79"/>
  <c r="DTU46" i="79"/>
  <c r="DTT46" i="79"/>
  <c r="DTS46" i="79"/>
  <c r="DTR46" i="79"/>
  <c r="DTQ46" i="79"/>
  <c r="DTP46" i="79"/>
  <c r="DTO46" i="79"/>
  <c r="DTN46" i="79"/>
  <c r="DTM46" i="79"/>
  <c r="DTL46" i="79"/>
  <c r="DTK46" i="79"/>
  <c r="DTJ46" i="79"/>
  <c r="DTI46" i="79"/>
  <c r="DTH46" i="79"/>
  <c r="DTG46" i="79"/>
  <c r="DTF46" i="79"/>
  <c r="DTE46" i="79"/>
  <c r="DTD46" i="79"/>
  <c r="DTC46" i="79"/>
  <c r="DTB46" i="79"/>
  <c r="DTA46" i="79"/>
  <c r="DSZ46" i="79"/>
  <c r="DSY46" i="79"/>
  <c r="DSX46" i="79"/>
  <c r="DSW46" i="79"/>
  <c r="DSV46" i="79"/>
  <c r="DSU46" i="79"/>
  <c r="DST46" i="79"/>
  <c r="DSS46" i="79"/>
  <c r="DSR46" i="79"/>
  <c r="DSQ46" i="79"/>
  <c r="DSP46" i="79"/>
  <c r="DSO46" i="79"/>
  <c r="DSN46" i="79"/>
  <c r="DSM46" i="79"/>
  <c r="DSL46" i="79"/>
  <c r="DSK46" i="79"/>
  <c r="DSJ46" i="79"/>
  <c r="DSI46" i="79"/>
  <c r="DSH46" i="79"/>
  <c r="DSG46" i="79"/>
  <c r="DSF46" i="79"/>
  <c r="DSE46" i="79"/>
  <c r="DSD46" i="79"/>
  <c r="DSC46" i="79"/>
  <c r="DSB46" i="79"/>
  <c r="DSA46" i="79"/>
  <c r="DRZ46" i="79"/>
  <c r="DRY46" i="79"/>
  <c r="DRX46" i="79"/>
  <c r="DRW46" i="79"/>
  <c r="DRV46" i="79"/>
  <c r="DRU46" i="79"/>
  <c r="DRT46" i="79"/>
  <c r="DRS46" i="79"/>
  <c r="DRR46" i="79"/>
  <c r="DRQ46" i="79"/>
  <c r="DRP46" i="79"/>
  <c r="DRO46" i="79"/>
  <c r="DRN46" i="79"/>
  <c r="DRM46" i="79"/>
  <c r="DRL46" i="79"/>
  <c r="DRK46" i="79"/>
  <c r="DRJ46" i="79"/>
  <c r="DRI46" i="79"/>
  <c r="DRH46" i="79"/>
  <c r="DRG46" i="79"/>
  <c r="DRF46" i="79"/>
  <c r="DRE46" i="79"/>
  <c r="DRD46" i="79"/>
  <c r="DRC46" i="79"/>
  <c r="DRB46" i="79"/>
  <c r="DRA46" i="79"/>
  <c r="DQZ46" i="79"/>
  <c r="DQY46" i="79"/>
  <c r="DQX46" i="79"/>
  <c r="DQW46" i="79"/>
  <c r="DQV46" i="79"/>
  <c r="DQU46" i="79"/>
  <c r="DQT46" i="79"/>
  <c r="DQS46" i="79"/>
  <c r="DQR46" i="79"/>
  <c r="DQQ46" i="79"/>
  <c r="DQP46" i="79"/>
  <c r="DQO46" i="79"/>
  <c r="DQN46" i="79"/>
  <c r="DQM46" i="79"/>
  <c r="DQL46" i="79"/>
  <c r="DQK46" i="79"/>
  <c r="DQJ46" i="79"/>
  <c r="DQI46" i="79"/>
  <c r="DQH46" i="79"/>
  <c r="DQG46" i="79"/>
  <c r="DQF46" i="79"/>
  <c r="DQE46" i="79"/>
  <c r="DQD46" i="79"/>
  <c r="DQC46" i="79"/>
  <c r="DQB46" i="79"/>
  <c r="DQA46" i="79"/>
  <c r="DPZ46" i="79"/>
  <c r="DPY46" i="79"/>
  <c r="DPX46" i="79"/>
  <c r="DPW46" i="79"/>
  <c r="DPV46" i="79"/>
  <c r="DPU46" i="79"/>
  <c r="DPT46" i="79"/>
  <c r="DPS46" i="79"/>
  <c r="DPR46" i="79"/>
  <c r="DPQ46" i="79"/>
  <c r="DPP46" i="79"/>
  <c r="DPO46" i="79"/>
  <c r="DPN46" i="79"/>
  <c r="DPM46" i="79"/>
  <c r="DPL46" i="79"/>
  <c r="DPK46" i="79"/>
  <c r="DPJ46" i="79"/>
  <c r="DPI46" i="79"/>
  <c r="DPH46" i="79"/>
  <c r="DPG46" i="79"/>
  <c r="DPF46" i="79"/>
  <c r="DPE46" i="79"/>
  <c r="DPD46" i="79"/>
  <c r="DPC46" i="79"/>
  <c r="DPB46" i="79"/>
  <c r="DPA46" i="79"/>
  <c r="DOZ46" i="79"/>
  <c r="DOY46" i="79"/>
  <c r="DOX46" i="79"/>
  <c r="DOW46" i="79"/>
  <c r="DOV46" i="79"/>
  <c r="DOU46" i="79"/>
  <c r="DOT46" i="79"/>
  <c r="DOS46" i="79"/>
  <c r="DOR46" i="79"/>
  <c r="DOQ46" i="79"/>
  <c r="DOP46" i="79"/>
  <c r="DOO46" i="79"/>
  <c r="DON46" i="79"/>
  <c r="DOM46" i="79"/>
  <c r="DOL46" i="79"/>
  <c r="DOK46" i="79"/>
  <c r="DOJ46" i="79"/>
  <c r="DOI46" i="79"/>
  <c r="DOH46" i="79"/>
  <c r="DOG46" i="79"/>
  <c r="DOF46" i="79"/>
  <c r="DOE46" i="79"/>
  <c r="DOD46" i="79"/>
  <c r="DOC46" i="79"/>
  <c r="DOB46" i="79"/>
  <c r="DOA46" i="79"/>
  <c r="DNZ46" i="79"/>
  <c r="DNY46" i="79"/>
  <c r="DNX46" i="79"/>
  <c r="DNW46" i="79"/>
  <c r="DNV46" i="79"/>
  <c r="DNU46" i="79"/>
  <c r="DNT46" i="79"/>
  <c r="DNS46" i="79"/>
  <c r="DNR46" i="79"/>
  <c r="DNQ46" i="79"/>
  <c r="DNP46" i="79"/>
  <c r="DNO46" i="79"/>
  <c r="DNN46" i="79"/>
  <c r="DNM46" i="79"/>
  <c r="DNL46" i="79"/>
  <c r="DNK46" i="79"/>
  <c r="DNJ46" i="79"/>
  <c r="DNI46" i="79"/>
  <c r="DNH46" i="79"/>
  <c r="DNG46" i="79"/>
  <c r="DNF46" i="79"/>
  <c r="DNE46" i="79"/>
  <c r="DND46" i="79"/>
  <c r="DNC46" i="79"/>
  <c r="DNB46" i="79"/>
  <c r="DNA46" i="79"/>
  <c r="DMZ46" i="79"/>
  <c r="DMY46" i="79"/>
  <c r="DMX46" i="79"/>
  <c r="DMW46" i="79"/>
  <c r="DMV46" i="79"/>
  <c r="DMU46" i="79"/>
  <c r="DMT46" i="79"/>
  <c r="DMS46" i="79"/>
  <c r="DMR46" i="79"/>
  <c r="DMQ46" i="79"/>
  <c r="DMP46" i="79"/>
  <c r="DMO46" i="79"/>
  <c r="DMN46" i="79"/>
  <c r="DMM46" i="79"/>
  <c r="DML46" i="79"/>
  <c r="DMK46" i="79"/>
  <c r="DMJ46" i="79"/>
  <c r="DMI46" i="79"/>
  <c r="DMH46" i="79"/>
  <c r="DMG46" i="79"/>
  <c r="DMF46" i="79"/>
  <c r="DME46" i="79"/>
  <c r="DMD46" i="79"/>
  <c r="DMC46" i="79"/>
  <c r="DMB46" i="79"/>
  <c r="DMA46" i="79"/>
  <c r="DLZ46" i="79"/>
  <c r="DLY46" i="79"/>
  <c r="DLX46" i="79"/>
  <c r="DLW46" i="79"/>
  <c r="DLV46" i="79"/>
  <c r="DLU46" i="79"/>
  <c r="DLT46" i="79"/>
  <c r="DLS46" i="79"/>
  <c r="DLR46" i="79"/>
  <c r="DLQ46" i="79"/>
  <c r="DLP46" i="79"/>
  <c r="DLO46" i="79"/>
  <c r="DLN46" i="79"/>
  <c r="DLM46" i="79"/>
  <c r="DLL46" i="79"/>
  <c r="DLK46" i="79"/>
  <c r="DLJ46" i="79"/>
  <c r="DLI46" i="79"/>
  <c r="DLH46" i="79"/>
  <c r="DLG46" i="79"/>
  <c r="DLF46" i="79"/>
  <c r="DLE46" i="79"/>
  <c r="DLD46" i="79"/>
  <c r="DLC46" i="79"/>
  <c r="DLB46" i="79"/>
  <c r="DLA46" i="79"/>
  <c r="DKZ46" i="79"/>
  <c r="DKY46" i="79"/>
  <c r="DKX46" i="79"/>
  <c r="DKW46" i="79"/>
  <c r="DKV46" i="79"/>
  <c r="DKU46" i="79"/>
  <c r="DKT46" i="79"/>
  <c r="DKS46" i="79"/>
  <c r="DKR46" i="79"/>
  <c r="DKQ46" i="79"/>
  <c r="DKP46" i="79"/>
  <c r="DKO46" i="79"/>
  <c r="DKN46" i="79"/>
  <c r="DKM46" i="79"/>
  <c r="DKL46" i="79"/>
  <c r="DKK46" i="79"/>
  <c r="DKJ46" i="79"/>
  <c r="DKI46" i="79"/>
  <c r="DKH46" i="79"/>
  <c r="DKG46" i="79"/>
  <c r="DKF46" i="79"/>
  <c r="DKE46" i="79"/>
  <c r="DKD46" i="79"/>
  <c r="DKC46" i="79"/>
  <c r="DKB46" i="79"/>
  <c r="DKA46" i="79"/>
  <c r="DJZ46" i="79"/>
  <c r="DJY46" i="79"/>
  <c r="DJX46" i="79"/>
  <c r="DJW46" i="79"/>
  <c r="DJV46" i="79"/>
  <c r="DJU46" i="79"/>
  <c r="DJT46" i="79"/>
  <c r="DJS46" i="79"/>
  <c r="DJR46" i="79"/>
  <c r="DJQ46" i="79"/>
  <c r="DJP46" i="79"/>
  <c r="DJO46" i="79"/>
  <c r="DJN46" i="79"/>
  <c r="DJM46" i="79"/>
  <c r="DJL46" i="79"/>
  <c r="DJK46" i="79"/>
  <c r="DJJ46" i="79"/>
  <c r="DJI46" i="79"/>
  <c r="DJH46" i="79"/>
  <c r="DJG46" i="79"/>
  <c r="DJF46" i="79"/>
  <c r="DJE46" i="79"/>
  <c r="DJD46" i="79"/>
  <c r="DJC46" i="79"/>
  <c r="DJB46" i="79"/>
  <c r="DJA46" i="79"/>
  <c r="DIZ46" i="79"/>
  <c r="DIY46" i="79"/>
  <c r="DIX46" i="79"/>
  <c r="DIW46" i="79"/>
  <c r="DIV46" i="79"/>
  <c r="DIU46" i="79"/>
  <c r="DIT46" i="79"/>
  <c r="DIS46" i="79"/>
  <c r="DIR46" i="79"/>
  <c r="DIQ46" i="79"/>
  <c r="DIP46" i="79"/>
  <c r="DIO46" i="79"/>
  <c r="DIN46" i="79"/>
  <c r="DIM46" i="79"/>
  <c r="DIL46" i="79"/>
  <c r="DIK46" i="79"/>
  <c r="DIJ46" i="79"/>
  <c r="DII46" i="79"/>
  <c r="DIH46" i="79"/>
  <c r="DIG46" i="79"/>
  <c r="DIF46" i="79"/>
  <c r="DIE46" i="79"/>
  <c r="DID46" i="79"/>
  <c r="DIC46" i="79"/>
  <c r="DIB46" i="79"/>
  <c r="DIA46" i="79"/>
  <c r="DHZ46" i="79"/>
  <c r="DHY46" i="79"/>
  <c r="DHX46" i="79"/>
  <c r="DHW46" i="79"/>
  <c r="DHV46" i="79"/>
  <c r="DHU46" i="79"/>
  <c r="DHT46" i="79"/>
  <c r="DHS46" i="79"/>
  <c r="DHR46" i="79"/>
  <c r="DHQ46" i="79"/>
  <c r="DHP46" i="79"/>
  <c r="DHO46" i="79"/>
  <c r="DHN46" i="79"/>
  <c r="DHM46" i="79"/>
  <c r="DHL46" i="79"/>
  <c r="DHK46" i="79"/>
  <c r="DHJ46" i="79"/>
  <c r="DHI46" i="79"/>
  <c r="DHH46" i="79"/>
  <c r="DHG46" i="79"/>
  <c r="DHF46" i="79"/>
  <c r="DHE46" i="79"/>
  <c r="DHD46" i="79"/>
  <c r="DHC46" i="79"/>
  <c r="DHB46" i="79"/>
  <c r="DHA46" i="79"/>
  <c r="DGZ46" i="79"/>
  <c r="DGY46" i="79"/>
  <c r="DGX46" i="79"/>
  <c r="DGW46" i="79"/>
  <c r="DGV46" i="79"/>
  <c r="DGU46" i="79"/>
  <c r="DGT46" i="79"/>
  <c r="DGS46" i="79"/>
  <c r="DGR46" i="79"/>
  <c r="DGQ46" i="79"/>
  <c r="DGP46" i="79"/>
  <c r="DGO46" i="79"/>
  <c r="DGN46" i="79"/>
  <c r="DGM46" i="79"/>
  <c r="DGL46" i="79"/>
  <c r="DGK46" i="79"/>
  <c r="DGJ46" i="79"/>
  <c r="DGI46" i="79"/>
  <c r="DGH46" i="79"/>
  <c r="DGG46" i="79"/>
  <c r="DGF46" i="79"/>
  <c r="DGE46" i="79"/>
  <c r="DGD46" i="79"/>
  <c r="DGC46" i="79"/>
  <c r="DGB46" i="79"/>
  <c r="DGA46" i="79"/>
  <c r="DFZ46" i="79"/>
  <c r="DFY46" i="79"/>
  <c r="DFX46" i="79"/>
  <c r="DFW46" i="79"/>
  <c r="DFV46" i="79"/>
  <c r="DFU46" i="79"/>
  <c r="DFT46" i="79"/>
  <c r="DFS46" i="79"/>
  <c r="DFR46" i="79"/>
  <c r="DFQ46" i="79"/>
  <c r="DFP46" i="79"/>
  <c r="DFO46" i="79"/>
  <c r="DFN46" i="79"/>
  <c r="DFM46" i="79"/>
  <c r="DFL46" i="79"/>
  <c r="DFK46" i="79"/>
  <c r="DFJ46" i="79"/>
  <c r="DFI46" i="79"/>
  <c r="DFH46" i="79"/>
  <c r="DFG46" i="79"/>
  <c r="DFF46" i="79"/>
  <c r="DFE46" i="79"/>
  <c r="DFD46" i="79"/>
  <c r="DFC46" i="79"/>
  <c r="DFB46" i="79"/>
  <c r="DFA46" i="79"/>
  <c r="DEZ46" i="79"/>
  <c r="DEY46" i="79"/>
  <c r="DEX46" i="79"/>
  <c r="DEW46" i="79"/>
  <c r="DEV46" i="79"/>
  <c r="DEU46" i="79"/>
  <c r="DET46" i="79"/>
  <c r="DES46" i="79"/>
  <c r="DER46" i="79"/>
  <c r="DEQ46" i="79"/>
  <c r="DEP46" i="79"/>
  <c r="DEO46" i="79"/>
  <c r="DEN46" i="79"/>
  <c r="DEM46" i="79"/>
  <c r="DEL46" i="79"/>
  <c r="DEK46" i="79"/>
  <c r="DEJ46" i="79"/>
  <c r="DEI46" i="79"/>
  <c r="DEH46" i="79"/>
  <c r="DEG46" i="79"/>
  <c r="DEF46" i="79"/>
  <c r="DEE46" i="79"/>
  <c r="DED46" i="79"/>
  <c r="DEC46" i="79"/>
  <c r="DEB46" i="79"/>
  <c r="DEA46" i="79"/>
  <c r="DDZ46" i="79"/>
  <c r="DDY46" i="79"/>
  <c r="DDX46" i="79"/>
  <c r="DDW46" i="79"/>
  <c r="DDV46" i="79"/>
  <c r="DDU46" i="79"/>
  <c r="DDT46" i="79"/>
  <c r="DDS46" i="79"/>
  <c r="DDR46" i="79"/>
  <c r="DDQ46" i="79"/>
  <c r="DDP46" i="79"/>
  <c r="DDO46" i="79"/>
  <c r="DDN46" i="79"/>
  <c r="DDM46" i="79"/>
  <c r="DDL46" i="79"/>
  <c r="DDK46" i="79"/>
  <c r="DDJ46" i="79"/>
  <c r="DDI46" i="79"/>
  <c r="DDH46" i="79"/>
  <c r="DDG46" i="79"/>
  <c r="DDF46" i="79"/>
  <c r="DDE46" i="79"/>
  <c r="DDD46" i="79"/>
  <c r="DDC46" i="79"/>
  <c r="DDB46" i="79"/>
  <c r="DDA46" i="79"/>
  <c r="DCZ46" i="79"/>
  <c r="DCY46" i="79"/>
  <c r="DCX46" i="79"/>
  <c r="DCW46" i="79"/>
  <c r="DCV46" i="79"/>
  <c r="DCU46" i="79"/>
  <c r="DCT46" i="79"/>
  <c r="DCS46" i="79"/>
  <c r="DCR46" i="79"/>
  <c r="DCQ46" i="79"/>
  <c r="DCP46" i="79"/>
  <c r="DCO46" i="79"/>
  <c r="DCN46" i="79"/>
  <c r="DCM46" i="79"/>
  <c r="DCL46" i="79"/>
  <c r="DCK46" i="79"/>
  <c r="DCJ46" i="79"/>
  <c r="DCI46" i="79"/>
  <c r="DCH46" i="79"/>
  <c r="DCG46" i="79"/>
  <c r="DCF46" i="79"/>
  <c r="DCE46" i="79"/>
  <c r="DCD46" i="79"/>
  <c r="DCC46" i="79"/>
  <c r="DCB46" i="79"/>
  <c r="DCA46" i="79"/>
  <c r="DBZ46" i="79"/>
  <c r="DBY46" i="79"/>
  <c r="DBX46" i="79"/>
  <c r="DBW46" i="79"/>
  <c r="DBV46" i="79"/>
  <c r="DBU46" i="79"/>
  <c r="DBT46" i="79"/>
  <c r="DBS46" i="79"/>
  <c r="DBR46" i="79"/>
  <c r="DBQ46" i="79"/>
  <c r="DBP46" i="79"/>
  <c r="DBO46" i="79"/>
  <c r="DBN46" i="79"/>
  <c r="DBM46" i="79"/>
  <c r="DBL46" i="79"/>
  <c r="DBK46" i="79"/>
  <c r="DBJ46" i="79"/>
  <c r="DBI46" i="79"/>
  <c r="DBH46" i="79"/>
  <c r="DBG46" i="79"/>
  <c r="DBF46" i="79"/>
  <c r="DBE46" i="79"/>
  <c r="DBD46" i="79"/>
  <c r="DBC46" i="79"/>
  <c r="DBB46" i="79"/>
  <c r="DBA46" i="79"/>
  <c r="DAZ46" i="79"/>
  <c r="DAY46" i="79"/>
  <c r="DAX46" i="79"/>
  <c r="DAW46" i="79"/>
  <c r="DAV46" i="79"/>
  <c r="DAU46" i="79"/>
  <c r="DAT46" i="79"/>
  <c r="DAS46" i="79"/>
  <c r="DAR46" i="79"/>
  <c r="DAQ46" i="79"/>
  <c r="DAP46" i="79"/>
  <c r="DAO46" i="79"/>
  <c r="DAN46" i="79"/>
  <c r="DAM46" i="79"/>
  <c r="DAL46" i="79"/>
  <c r="DAK46" i="79"/>
  <c r="DAJ46" i="79"/>
  <c r="DAI46" i="79"/>
  <c r="DAH46" i="79"/>
  <c r="DAG46" i="79"/>
  <c r="DAF46" i="79"/>
  <c r="DAE46" i="79"/>
  <c r="DAD46" i="79"/>
  <c r="DAC46" i="79"/>
  <c r="DAB46" i="79"/>
  <c r="DAA46" i="79"/>
  <c r="CZZ46" i="79"/>
  <c r="CZY46" i="79"/>
  <c r="CZX46" i="79"/>
  <c r="CZW46" i="79"/>
  <c r="CZV46" i="79"/>
  <c r="CZU46" i="79"/>
  <c r="CZT46" i="79"/>
  <c r="CZS46" i="79"/>
  <c r="CZR46" i="79"/>
  <c r="CZQ46" i="79"/>
  <c r="CZP46" i="79"/>
  <c r="CZO46" i="79"/>
  <c r="CZN46" i="79"/>
  <c r="CZM46" i="79"/>
  <c r="CZL46" i="79"/>
  <c r="CZK46" i="79"/>
  <c r="CZJ46" i="79"/>
  <c r="CZI46" i="79"/>
  <c r="CZH46" i="79"/>
  <c r="CZG46" i="79"/>
  <c r="CZF46" i="79"/>
  <c r="CZE46" i="79"/>
  <c r="CZD46" i="79"/>
  <c r="CZC46" i="79"/>
  <c r="CZB46" i="79"/>
  <c r="CZA46" i="79"/>
  <c r="CYZ46" i="79"/>
  <c r="CYY46" i="79"/>
  <c r="CYX46" i="79"/>
  <c r="CYW46" i="79"/>
  <c r="CYV46" i="79"/>
  <c r="CYU46" i="79"/>
  <c r="CYT46" i="79"/>
  <c r="CYS46" i="79"/>
  <c r="CYR46" i="79"/>
  <c r="CYQ46" i="79"/>
  <c r="CYP46" i="79"/>
  <c r="CYO46" i="79"/>
  <c r="CYN46" i="79"/>
  <c r="CYM46" i="79"/>
  <c r="CYL46" i="79"/>
  <c r="CYK46" i="79"/>
  <c r="CYJ46" i="79"/>
  <c r="CYI46" i="79"/>
  <c r="CYH46" i="79"/>
  <c r="CYG46" i="79"/>
  <c r="CYF46" i="79"/>
  <c r="CYE46" i="79"/>
  <c r="CYD46" i="79"/>
  <c r="CYC46" i="79"/>
  <c r="CYB46" i="79"/>
  <c r="CYA46" i="79"/>
  <c r="CXZ46" i="79"/>
  <c r="CXY46" i="79"/>
  <c r="CXX46" i="79"/>
  <c r="CXW46" i="79"/>
  <c r="CXV46" i="79"/>
  <c r="CXU46" i="79"/>
  <c r="CXT46" i="79"/>
  <c r="CXS46" i="79"/>
  <c r="CXR46" i="79"/>
  <c r="CXQ46" i="79"/>
  <c r="CXP46" i="79"/>
  <c r="CXO46" i="79"/>
  <c r="CXN46" i="79"/>
  <c r="CXM46" i="79"/>
  <c r="CXL46" i="79"/>
  <c r="CXK46" i="79"/>
  <c r="CXJ46" i="79"/>
  <c r="CXI46" i="79"/>
  <c r="CXH46" i="79"/>
  <c r="CXG46" i="79"/>
  <c r="CXF46" i="79"/>
  <c r="CXE46" i="79"/>
  <c r="CXD46" i="79"/>
  <c r="CXC46" i="79"/>
  <c r="CXB46" i="79"/>
  <c r="CXA46" i="79"/>
  <c r="CWZ46" i="79"/>
  <c r="CWY46" i="79"/>
  <c r="CWX46" i="79"/>
  <c r="CWW46" i="79"/>
  <c r="CWV46" i="79"/>
  <c r="CWU46" i="79"/>
  <c r="CWT46" i="79"/>
  <c r="CWS46" i="79"/>
  <c r="CWR46" i="79"/>
  <c r="CWQ46" i="79"/>
  <c r="CWP46" i="79"/>
  <c r="CWO46" i="79"/>
  <c r="CWN46" i="79"/>
  <c r="CWM46" i="79"/>
  <c r="CWL46" i="79"/>
  <c r="CWK46" i="79"/>
  <c r="CWJ46" i="79"/>
  <c r="CWI46" i="79"/>
  <c r="CWH46" i="79"/>
  <c r="CWG46" i="79"/>
  <c r="CWF46" i="79"/>
  <c r="CWE46" i="79"/>
  <c r="CWD46" i="79"/>
  <c r="CWC46" i="79"/>
  <c r="CWB46" i="79"/>
  <c r="CWA46" i="79"/>
  <c r="CVZ46" i="79"/>
  <c r="CVY46" i="79"/>
  <c r="CVX46" i="79"/>
  <c r="CVW46" i="79"/>
  <c r="CVV46" i="79"/>
  <c r="CVU46" i="79"/>
  <c r="CVT46" i="79"/>
  <c r="CVS46" i="79"/>
  <c r="CVR46" i="79"/>
  <c r="CVQ46" i="79"/>
  <c r="CVP46" i="79"/>
  <c r="CVO46" i="79"/>
  <c r="CVN46" i="79"/>
  <c r="CVM46" i="79"/>
  <c r="CVL46" i="79"/>
  <c r="CVK46" i="79"/>
  <c r="CVJ46" i="79"/>
  <c r="CVI46" i="79"/>
  <c r="CVH46" i="79"/>
  <c r="CVG46" i="79"/>
  <c r="CVF46" i="79"/>
  <c r="CVE46" i="79"/>
  <c r="CVD46" i="79"/>
  <c r="CVC46" i="79"/>
  <c r="CVB46" i="79"/>
  <c r="CVA46" i="79"/>
  <c r="CUZ46" i="79"/>
  <c r="CUY46" i="79"/>
  <c r="CUX46" i="79"/>
  <c r="CUW46" i="79"/>
  <c r="CUV46" i="79"/>
  <c r="CUU46" i="79"/>
  <c r="CUT46" i="79"/>
  <c r="CUS46" i="79"/>
  <c r="CUR46" i="79"/>
  <c r="CUQ46" i="79"/>
  <c r="CUP46" i="79"/>
  <c r="CUO46" i="79"/>
  <c r="CUN46" i="79"/>
  <c r="CUM46" i="79"/>
  <c r="CUL46" i="79"/>
  <c r="CUK46" i="79"/>
  <c r="CUJ46" i="79"/>
  <c r="CUI46" i="79"/>
  <c r="CUH46" i="79"/>
  <c r="CUG46" i="79"/>
  <c r="CUF46" i="79"/>
  <c r="CUE46" i="79"/>
  <c r="CUD46" i="79"/>
  <c r="CUC46" i="79"/>
  <c r="CUB46" i="79"/>
  <c r="CUA46" i="79"/>
  <c r="CTZ46" i="79"/>
  <c r="CTY46" i="79"/>
  <c r="CTX46" i="79"/>
  <c r="CTW46" i="79"/>
  <c r="CTV46" i="79"/>
  <c r="CTU46" i="79"/>
  <c r="CTT46" i="79"/>
  <c r="CTS46" i="79"/>
  <c r="CTR46" i="79"/>
  <c r="CTQ46" i="79"/>
  <c r="CTP46" i="79"/>
  <c r="CTO46" i="79"/>
  <c r="CTN46" i="79"/>
  <c r="CTM46" i="79"/>
  <c r="CTL46" i="79"/>
  <c r="CTK46" i="79"/>
  <c r="CTJ46" i="79"/>
  <c r="CTI46" i="79"/>
  <c r="CTH46" i="79"/>
  <c r="CTG46" i="79"/>
  <c r="CTF46" i="79"/>
  <c r="CTE46" i="79"/>
  <c r="CTD46" i="79"/>
  <c r="CTC46" i="79"/>
  <c r="CTB46" i="79"/>
  <c r="CTA46" i="79"/>
  <c r="CSZ46" i="79"/>
  <c r="CSY46" i="79"/>
  <c r="CSX46" i="79"/>
  <c r="CSW46" i="79"/>
  <c r="CSV46" i="79"/>
  <c r="CSU46" i="79"/>
  <c r="CST46" i="79"/>
  <c r="CSS46" i="79"/>
  <c r="CSR46" i="79"/>
  <c r="CSQ46" i="79"/>
  <c r="CSP46" i="79"/>
  <c r="CSO46" i="79"/>
  <c r="CSN46" i="79"/>
  <c r="CSM46" i="79"/>
  <c r="CSL46" i="79"/>
  <c r="CSK46" i="79"/>
  <c r="CSJ46" i="79"/>
  <c r="CSI46" i="79"/>
  <c r="CSH46" i="79"/>
  <c r="CSG46" i="79"/>
  <c r="CSF46" i="79"/>
  <c r="CSE46" i="79"/>
  <c r="CSD46" i="79"/>
  <c r="CSC46" i="79"/>
  <c r="CSB46" i="79"/>
  <c r="CSA46" i="79"/>
  <c r="CRZ46" i="79"/>
  <c r="CRY46" i="79"/>
  <c r="CRX46" i="79"/>
  <c r="CRW46" i="79"/>
  <c r="CRV46" i="79"/>
  <c r="CRU46" i="79"/>
  <c r="CRT46" i="79"/>
  <c r="CRS46" i="79"/>
  <c r="CRR46" i="79"/>
  <c r="CRQ46" i="79"/>
  <c r="CRP46" i="79"/>
  <c r="CRO46" i="79"/>
  <c r="CRN46" i="79"/>
  <c r="CRM46" i="79"/>
  <c r="CRL46" i="79"/>
  <c r="CRK46" i="79"/>
  <c r="CRJ46" i="79"/>
  <c r="CRI46" i="79"/>
  <c r="CRH46" i="79"/>
  <c r="CRG46" i="79"/>
  <c r="CRF46" i="79"/>
  <c r="CRE46" i="79"/>
  <c r="CRD46" i="79"/>
  <c r="CRC46" i="79"/>
  <c r="CRB46" i="79"/>
  <c r="CRA46" i="79"/>
  <c r="CQZ46" i="79"/>
  <c r="CQY46" i="79"/>
  <c r="CQX46" i="79"/>
  <c r="CQW46" i="79"/>
  <c r="CQV46" i="79"/>
  <c r="CQU46" i="79"/>
  <c r="CQT46" i="79"/>
  <c r="CQS46" i="79"/>
  <c r="CQR46" i="79"/>
  <c r="CQQ46" i="79"/>
  <c r="CQP46" i="79"/>
  <c r="CQO46" i="79"/>
  <c r="CQN46" i="79"/>
  <c r="CQM46" i="79"/>
  <c r="CQL46" i="79"/>
  <c r="CQK46" i="79"/>
  <c r="CQJ46" i="79"/>
  <c r="CQI46" i="79"/>
  <c r="CQH46" i="79"/>
  <c r="CQG46" i="79"/>
  <c r="CQF46" i="79"/>
  <c r="CQE46" i="79"/>
  <c r="CQD46" i="79"/>
  <c r="CQC46" i="79"/>
  <c r="CQB46" i="79"/>
  <c r="CQA46" i="79"/>
  <c r="CPZ46" i="79"/>
  <c r="CPY46" i="79"/>
  <c r="CPX46" i="79"/>
  <c r="CPW46" i="79"/>
  <c r="CPV46" i="79"/>
  <c r="CPU46" i="79"/>
  <c r="CPT46" i="79"/>
  <c r="CPS46" i="79"/>
  <c r="CPR46" i="79"/>
  <c r="CPQ46" i="79"/>
  <c r="CPP46" i="79"/>
  <c r="CPO46" i="79"/>
  <c r="CPN46" i="79"/>
  <c r="CPM46" i="79"/>
  <c r="CPL46" i="79"/>
  <c r="CPK46" i="79"/>
  <c r="CPJ46" i="79"/>
  <c r="CPI46" i="79"/>
  <c r="CPH46" i="79"/>
  <c r="CPG46" i="79"/>
  <c r="CPF46" i="79"/>
  <c r="CPE46" i="79"/>
  <c r="CPD46" i="79"/>
  <c r="CPC46" i="79"/>
  <c r="CPB46" i="79"/>
  <c r="CPA46" i="79"/>
  <c r="COZ46" i="79"/>
  <c r="COY46" i="79"/>
  <c r="COX46" i="79"/>
  <c r="COW46" i="79"/>
  <c r="COV46" i="79"/>
  <c r="COU46" i="79"/>
  <c r="COT46" i="79"/>
  <c r="COS46" i="79"/>
  <c r="COR46" i="79"/>
  <c r="COQ46" i="79"/>
  <c r="COP46" i="79"/>
  <c r="COO46" i="79"/>
  <c r="CON46" i="79"/>
  <c r="COM46" i="79"/>
  <c r="COL46" i="79"/>
  <c r="COK46" i="79"/>
  <c r="COJ46" i="79"/>
  <c r="COI46" i="79"/>
  <c r="COH46" i="79"/>
  <c r="COG46" i="79"/>
  <c r="COF46" i="79"/>
  <c r="COE46" i="79"/>
  <c r="COD46" i="79"/>
  <c r="COC46" i="79"/>
  <c r="COB46" i="79"/>
  <c r="COA46" i="79"/>
  <c r="CNZ46" i="79"/>
  <c r="CNY46" i="79"/>
  <c r="CNX46" i="79"/>
  <c r="CNW46" i="79"/>
  <c r="CNV46" i="79"/>
  <c r="CNU46" i="79"/>
  <c r="CNT46" i="79"/>
  <c r="CNS46" i="79"/>
  <c r="CNR46" i="79"/>
  <c r="CNQ46" i="79"/>
  <c r="CNP46" i="79"/>
  <c r="CNO46" i="79"/>
  <c r="CNN46" i="79"/>
  <c r="CNM46" i="79"/>
  <c r="CNL46" i="79"/>
  <c r="CNK46" i="79"/>
  <c r="CNJ46" i="79"/>
  <c r="CNI46" i="79"/>
  <c r="CNH46" i="79"/>
  <c r="CNG46" i="79"/>
  <c r="CNF46" i="79"/>
  <c r="CNE46" i="79"/>
  <c r="CND46" i="79"/>
  <c r="CNC46" i="79"/>
  <c r="CNB46" i="79"/>
  <c r="CNA46" i="79"/>
  <c r="CMZ46" i="79"/>
  <c r="CMY46" i="79"/>
  <c r="CMX46" i="79"/>
  <c r="CMW46" i="79"/>
  <c r="CMV46" i="79"/>
  <c r="CMU46" i="79"/>
  <c r="CMT46" i="79"/>
  <c r="CMS46" i="79"/>
  <c r="CMR46" i="79"/>
  <c r="CMQ46" i="79"/>
  <c r="CMP46" i="79"/>
  <c r="CMO46" i="79"/>
  <c r="CMN46" i="79"/>
  <c r="CMM46" i="79"/>
  <c r="CML46" i="79"/>
  <c r="CMK46" i="79"/>
  <c r="CMJ46" i="79"/>
  <c r="CMI46" i="79"/>
  <c r="CMH46" i="79"/>
  <c r="CMG46" i="79"/>
  <c r="CMF46" i="79"/>
  <c r="CME46" i="79"/>
  <c r="CMD46" i="79"/>
  <c r="CMC46" i="79"/>
  <c r="CMB46" i="79"/>
  <c r="CMA46" i="79"/>
  <c r="CLZ46" i="79"/>
  <c r="CLY46" i="79"/>
  <c r="CLX46" i="79"/>
  <c r="CLW46" i="79"/>
  <c r="CLV46" i="79"/>
  <c r="CLU46" i="79"/>
  <c r="CLT46" i="79"/>
  <c r="CLS46" i="79"/>
  <c r="CLR46" i="79"/>
  <c r="CLQ46" i="79"/>
  <c r="CLP46" i="79"/>
  <c r="CLO46" i="79"/>
  <c r="CLN46" i="79"/>
  <c r="CLM46" i="79"/>
  <c r="CLL46" i="79"/>
  <c r="CLK46" i="79"/>
  <c r="CLJ46" i="79"/>
  <c r="CLI46" i="79"/>
  <c r="CLH46" i="79"/>
  <c r="CLG46" i="79"/>
  <c r="CLF46" i="79"/>
  <c r="CLE46" i="79"/>
  <c r="CLD46" i="79"/>
  <c r="CLC46" i="79"/>
  <c r="CLB46" i="79"/>
  <c r="CLA46" i="79"/>
  <c r="CKZ46" i="79"/>
  <c r="CKY46" i="79"/>
  <c r="CKX46" i="79"/>
  <c r="CKW46" i="79"/>
  <c r="CKV46" i="79"/>
  <c r="CKU46" i="79"/>
  <c r="CKT46" i="79"/>
  <c r="CKS46" i="79"/>
  <c r="CKR46" i="79"/>
  <c r="CKQ46" i="79"/>
  <c r="CKP46" i="79"/>
  <c r="CKO46" i="79"/>
  <c r="CKN46" i="79"/>
  <c r="CKM46" i="79"/>
  <c r="CKL46" i="79"/>
  <c r="CKK46" i="79"/>
  <c r="CKJ46" i="79"/>
  <c r="CKI46" i="79"/>
  <c r="CKH46" i="79"/>
  <c r="CKG46" i="79"/>
  <c r="CKF46" i="79"/>
  <c r="CKE46" i="79"/>
  <c r="CKD46" i="79"/>
  <c r="CKC46" i="79"/>
  <c r="CKB46" i="79"/>
  <c r="CKA46" i="79"/>
  <c r="CJZ46" i="79"/>
  <c r="CJY46" i="79"/>
  <c r="CJX46" i="79"/>
  <c r="CJW46" i="79"/>
  <c r="CJV46" i="79"/>
  <c r="CJU46" i="79"/>
  <c r="CJT46" i="79"/>
  <c r="CJS46" i="79"/>
  <c r="CJR46" i="79"/>
  <c r="CJQ46" i="79"/>
  <c r="CJP46" i="79"/>
  <c r="CJO46" i="79"/>
  <c r="CJN46" i="79"/>
  <c r="CJM46" i="79"/>
  <c r="CJL46" i="79"/>
  <c r="CJK46" i="79"/>
  <c r="CJJ46" i="79"/>
  <c r="CJI46" i="79"/>
  <c r="CJH46" i="79"/>
  <c r="CJG46" i="79"/>
  <c r="CJF46" i="79"/>
  <c r="CJE46" i="79"/>
  <c r="CJD46" i="79"/>
  <c r="CJC46" i="79"/>
  <c r="CJB46" i="79"/>
  <c r="CJA46" i="79"/>
  <c r="CIZ46" i="79"/>
  <c r="CIY46" i="79"/>
  <c r="CIX46" i="79"/>
  <c r="CIW46" i="79"/>
  <c r="CIV46" i="79"/>
  <c r="CIU46" i="79"/>
  <c r="CIT46" i="79"/>
  <c r="CIS46" i="79"/>
  <c r="CIR46" i="79"/>
  <c r="CIQ46" i="79"/>
  <c r="CIP46" i="79"/>
  <c r="CIO46" i="79"/>
  <c r="CIN46" i="79"/>
  <c r="CIM46" i="79"/>
  <c r="CIL46" i="79"/>
  <c r="CIK46" i="79"/>
  <c r="CIJ46" i="79"/>
  <c r="CII46" i="79"/>
  <c r="CIH46" i="79"/>
  <c r="CIG46" i="79"/>
  <c r="CIF46" i="79"/>
  <c r="CIE46" i="79"/>
  <c r="CID46" i="79"/>
  <c r="CIC46" i="79"/>
  <c r="CIB46" i="79"/>
  <c r="CIA46" i="79"/>
  <c r="CHZ46" i="79"/>
  <c r="CHY46" i="79"/>
  <c r="CHX46" i="79"/>
  <c r="CHW46" i="79"/>
  <c r="CHV46" i="79"/>
  <c r="CHU46" i="79"/>
  <c r="CHT46" i="79"/>
  <c r="CHS46" i="79"/>
  <c r="CHR46" i="79"/>
  <c r="CHQ46" i="79"/>
  <c r="CHP46" i="79"/>
  <c r="CHO46" i="79"/>
  <c r="CHN46" i="79"/>
  <c r="CHM46" i="79"/>
  <c r="CHL46" i="79"/>
  <c r="CHK46" i="79"/>
  <c r="CHJ46" i="79"/>
  <c r="CHI46" i="79"/>
  <c r="CHH46" i="79"/>
  <c r="CHG46" i="79"/>
  <c r="CHF46" i="79"/>
  <c r="CHE46" i="79"/>
  <c r="CHD46" i="79"/>
  <c r="CHC46" i="79"/>
  <c r="CHB46" i="79"/>
  <c r="CHA46" i="79"/>
  <c r="CGZ46" i="79"/>
  <c r="CGY46" i="79"/>
  <c r="CGX46" i="79"/>
  <c r="CGW46" i="79"/>
  <c r="CGV46" i="79"/>
  <c r="CGU46" i="79"/>
  <c r="CGT46" i="79"/>
  <c r="CGS46" i="79"/>
  <c r="CGR46" i="79"/>
  <c r="CGQ46" i="79"/>
  <c r="CGP46" i="79"/>
  <c r="CGO46" i="79"/>
  <c r="CGN46" i="79"/>
  <c r="CGM46" i="79"/>
  <c r="CGL46" i="79"/>
  <c r="CGK46" i="79"/>
  <c r="CGJ46" i="79"/>
  <c r="CGI46" i="79"/>
  <c r="CGH46" i="79"/>
  <c r="CGG46" i="79"/>
  <c r="CGF46" i="79"/>
  <c r="CGE46" i="79"/>
  <c r="CGD46" i="79"/>
  <c r="CGC46" i="79"/>
  <c r="CGB46" i="79"/>
  <c r="CGA46" i="79"/>
  <c r="CFZ46" i="79"/>
  <c r="CFY46" i="79"/>
  <c r="CFX46" i="79"/>
  <c r="CFW46" i="79"/>
  <c r="CFV46" i="79"/>
  <c r="CFU46" i="79"/>
  <c r="CFT46" i="79"/>
  <c r="CFS46" i="79"/>
  <c r="CFR46" i="79"/>
  <c r="CFQ46" i="79"/>
  <c r="CFP46" i="79"/>
  <c r="CFO46" i="79"/>
  <c r="CFN46" i="79"/>
  <c r="CFM46" i="79"/>
  <c r="CFL46" i="79"/>
  <c r="CFK46" i="79"/>
  <c r="CFJ46" i="79"/>
  <c r="CFI46" i="79"/>
  <c r="CFH46" i="79"/>
  <c r="CFG46" i="79"/>
  <c r="CFF46" i="79"/>
  <c r="CFE46" i="79"/>
  <c r="CFD46" i="79"/>
  <c r="CFC46" i="79"/>
  <c r="CFB46" i="79"/>
  <c r="CFA46" i="79"/>
  <c r="CEZ46" i="79"/>
  <c r="CEY46" i="79"/>
  <c r="CEX46" i="79"/>
  <c r="CEW46" i="79"/>
  <c r="CEV46" i="79"/>
  <c r="CEU46" i="79"/>
  <c r="CET46" i="79"/>
  <c r="CES46" i="79"/>
  <c r="CER46" i="79"/>
  <c r="CEQ46" i="79"/>
  <c r="CEP46" i="79"/>
  <c r="CEO46" i="79"/>
  <c r="CEN46" i="79"/>
  <c r="CEM46" i="79"/>
  <c r="CEL46" i="79"/>
  <c r="CEK46" i="79"/>
  <c r="CEJ46" i="79"/>
  <c r="CEI46" i="79"/>
  <c r="CEH46" i="79"/>
  <c r="CEG46" i="79"/>
  <c r="CEF46" i="79"/>
  <c r="CEE46" i="79"/>
  <c r="CED46" i="79"/>
  <c r="CEC46" i="79"/>
  <c r="CEB46" i="79"/>
  <c r="CEA46" i="79"/>
  <c r="CDZ46" i="79"/>
  <c r="CDY46" i="79"/>
  <c r="CDX46" i="79"/>
  <c r="CDW46" i="79"/>
  <c r="CDV46" i="79"/>
  <c r="CDU46" i="79"/>
  <c r="CDT46" i="79"/>
  <c r="CDS46" i="79"/>
  <c r="CDR46" i="79"/>
  <c r="CDQ46" i="79"/>
  <c r="CDP46" i="79"/>
  <c r="CDO46" i="79"/>
  <c r="CDN46" i="79"/>
  <c r="CDM46" i="79"/>
  <c r="CDL46" i="79"/>
  <c r="CDK46" i="79"/>
  <c r="CDJ46" i="79"/>
  <c r="CDI46" i="79"/>
  <c r="CDH46" i="79"/>
  <c r="CDG46" i="79"/>
  <c r="CDF46" i="79"/>
  <c r="CDE46" i="79"/>
  <c r="CDD46" i="79"/>
  <c r="CDC46" i="79"/>
  <c r="CDB46" i="79"/>
  <c r="CDA46" i="79"/>
  <c r="CCZ46" i="79"/>
  <c r="CCY46" i="79"/>
  <c r="CCX46" i="79"/>
  <c r="CCW46" i="79"/>
  <c r="CCV46" i="79"/>
  <c r="CCU46" i="79"/>
  <c r="CCT46" i="79"/>
  <c r="CCS46" i="79"/>
  <c r="CCR46" i="79"/>
  <c r="CCQ46" i="79"/>
  <c r="CCP46" i="79"/>
  <c r="CCO46" i="79"/>
  <c r="CCN46" i="79"/>
  <c r="CCM46" i="79"/>
  <c r="CCL46" i="79"/>
  <c r="CCK46" i="79"/>
  <c r="CCJ46" i="79"/>
  <c r="CCI46" i="79"/>
  <c r="CCH46" i="79"/>
  <c r="CCG46" i="79"/>
  <c r="CCF46" i="79"/>
  <c r="CCE46" i="79"/>
  <c r="CCD46" i="79"/>
  <c r="CCC46" i="79"/>
  <c r="CCB46" i="79"/>
  <c r="CCA46" i="79"/>
  <c r="CBZ46" i="79"/>
  <c r="CBY46" i="79"/>
  <c r="CBX46" i="79"/>
  <c r="CBW46" i="79"/>
  <c r="CBV46" i="79"/>
  <c r="CBU46" i="79"/>
  <c r="CBT46" i="79"/>
  <c r="CBS46" i="79"/>
  <c r="CBR46" i="79"/>
  <c r="CBQ46" i="79"/>
  <c r="CBP46" i="79"/>
  <c r="CBO46" i="79"/>
  <c r="CBN46" i="79"/>
  <c r="CBM46" i="79"/>
  <c r="CBL46" i="79"/>
  <c r="CBK46" i="79"/>
  <c r="CBJ46" i="79"/>
  <c r="CBI46" i="79"/>
  <c r="CBH46" i="79"/>
  <c r="CBG46" i="79"/>
  <c r="CBF46" i="79"/>
  <c r="CBE46" i="79"/>
  <c r="CBD46" i="79"/>
  <c r="CBC46" i="79"/>
  <c r="CBB46" i="79"/>
  <c r="CBA46" i="79"/>
  <c r="CAZ46" i="79"/>
  <c r="CAY46" i="79"/>
  <c r="CAX46" i="79"/>
  <c r="CAW46" i="79"/>
  <c r="CAV46" i="79"/>
  <c r="CAU46" i="79"/>
  <c r="CAT46" i="79"/>
  <c r="CAS46" i="79"/>
  <c r="CAR46" i="79"/>
  <c r="CAQ46" i="79"/>
  <c r="CAP46" i="79"/>
  <c r="CAO46" i="79"/>
  <c r="CAN46" i="79"/>
  <c r="CAM46" i="79"/>
  <c r="CAL46" i="79"/>
  <c r="CAK46" i="79"/>
  <c r="CAJ46" i="79"/>
  <c r="CAI46" i="79"/>
  <c r="CAH46" i="79"/>
  <c r="CAG46" i="79"/>
  <c r="CAF46" i="79"/>
  <c r="CAE46" i="79"/>
  <c r="CAD46" i="79"/>
  <c r="CAC46" i="79"/>
  <c r="CAB46" i="79"/>
  <c r="CAA46" i="79"/>
  <c r="BZZ46" i="79"/>
  <c r="BZY46" i="79"/>
  <c r="BZX46" i="79"/>
  <c r="BZW46" i="79"/>
  <c r="BZV46" i="79"/>
  <c r="BZU46" i="79"/>
  <c r="BZT46" i="79"/>
  <c r="BZS46" i="79"/>
  <c r="BZR46" i="79"/>
  <c r="BZQ46" i="79"/>
  <c r="BZP46" i="79"/>
  <c r="BZO46" i="79"/>
  <c r="BZN46" i="79"/>
  <c r="BZM46" i="79"/>
  <c r="BZL46" i="79"/>
  <c r="BZK46" i="79"/>
  <c r="BZJ46" i="79"/>
  <c r="BZI46" i="79"/>
  <c r="BZH46" i="79"/>
  <c r="BZG46" i="79"/>
  <c r="BZF46" i="79"/>
  <c r="BZE46" i="79"/>
  <c r="BZD46" i="79"/>
  <c r="BZC46" i="79"/>
  <c r="BZB46" i="79"/>
  <c r="BZA46" i="79"/>
  <c r="BYZ46" i="79"/>
  <c r="BYY46" i="79"/>
  <c r="BYX46" i="79"/>
  <c r="BYW46" i="79"/>
  <c r="BYV46" i="79"/>
  <c r="BYU46" i="79"/>
  <c r="BYT46" i="79"/>
  <c r="BYS46" i="79"/>
  <c r="BYR46" i="79"/>
  <c r="BYQ46" i="79"/>
  <c r="BYP46" i="79"/>
  <c r="BYO46" i="79"/>
  <c r="BYN46" i="79"/>
  <c r="BYM46" i="79"/>
  <c r="BYL46" i="79"/>
  <c r="BYK46" i="79"/>
  <c r="BYJ46" i="79"/>
  <c r="BYI46" i="79"/>
  <c r="BYH46" i="79"/>
  <c r="BYG46" i="79"/>
  <c r="BYF46" i="79"/>
  <c r="BYE46" i="79"/>
  <c r="BYD46" i="79"/>
  <c r="BYC46" i="79"/>
  <c r="BYB46" i="79"/>
  <c r="BYA46" i="79"/>
  <c r="BXZ46" i="79"/>
  <c r="BXY46" i="79"/>
  <c r="BXX46" i="79"/>
  <c r="BXW46" i="79"/>
  <c r="BXV46" i="79"/>
  <c r="BXU46" i="79"/>
  <c r="BXT46" i="79"/>
  <c r="BXS46" i="79"/>
  <c r="BXR46" i="79"/>
  <c r="BXQ46" i="79"/>
  <c r="BXP46" i="79"/>
  <c r="BXO46" i="79"/>
  <c r="BXN46" i="79"/>
  <c r="BXM46" i="79"/>
  <c r="BXL46" i="79"/>
  <c r="BXK46" i="79"/>
  <c r="BXJ46" i="79"/>
  <c r="BXI46" i="79"/>
  <c r="BXH46" i="79"/>
  <c r="BXG46" i="79"/>
  <c r="BXF46" i="79"/>
  <c r="BXE46" i="79"/>
  <c r="BXD46" i="79"/>
  <c r="BXC46" i="79"/>
  <c r="BXB46" i="79"/>
  <c r="BXA46" i="79"/>
  <c r="BWZ46" i="79"/>
  <c r="BWY46" i="79"/>
  <c r="BWX46" i="79"/>
  <c r="BWW46" i="79"/>
  <c r="BWV46" i="79"/>
  <c r="BWU46" i="79"/>
  <c r="BWT46" i="79"/>
  <c r="BWS46" i="79"/>
  <c r="BWR46" i="79"/>
  <c r="BWQ46" i="79"/>
  <c r="BWP46" i="79"/>
  <c r="BWO46" i="79"/>
  <c r="BWN46" i="79"/>
  <c r="BWM46" i="79"/>
  <c r="BWL46" i="79"/>
  <c r="BWK46" i="79"/>
  <c r="BWJ46" i="79"/>
  <c r="BWI46" i="79"/>
  <c r="BWH46" i="79"/>
  <c r="BWG46" i="79"/>
  <c r="BWF46" i="79"/>
  <c r="BWE46" i="79"/>
  <c r="BWD46" i="79"/>
  <c r="BWC46" i="79"/>
  <c r="BWB46" i="79"/>
  <c r="BWA46" i="79"/>
  <c r="BVZ46" i="79"/>
  <c r="BVY46" i="79"/>
  <c r="BVX46" i="79"/>
  <c r="BVW46" i="79"/>
  <c r="BVV46" i="79"/>
  <c r="BVU46" i="79"/>
  <c r="BVT46" i="79"/>
  <c r="BVS46" i="79"/>
  <c r="BVR46" i="79"/>
  <c r="BVQ46" i="79"/>
  <c r="BVP46" i="79"/>
  <c r="BVO46" i="79"/>
  <c r="BVN46" i="79"/>
  <c r="BVM46" i="79"/>
  <c r="BVL46" i="79"/>
  <c r="BVK46" i="79"/>
  <c r="BVJ46" i="79"/>
  <c r="BVI46" i="79"/>
  <c r="BVH46" i="79"/>
  <c r="BVG46" i="79"/>
  <c r="BVF46" i="79"/>
  <c r="BVE46" i="79"/>
  <c r="BVD46" i="79"/>
  <c r="BVC46" i="79"/>
  <c r="BVB46" i="79"/>
  <c r="BVA46" i="79"/>
  <c r="BUZ46" i="79"/>
  <c r="BUY46" i="79"/>
  <c r="BUX46" i="79"/>
  <c r="BUW46" i="79"/>
  <c r="BUV46" i="79"/>
  <c r="BUU46" i="79"/>
  <c r="BUT46" i="79"/>
  <c r="BUS46" i="79"/>
  <c r="BUR46" i="79"/>
  <c r="BUQ46" i="79"/>
  <c r="BUP46" i="79"/>
  <c r="BUO46" i="79"/>
  <c r="BUN46" i="79"/>
  <c r="BUM46" i="79"/>
  <c r="BUL46" i="79"/>
  <c r="BUK46" i="79"/>
  <c r="BUJ46" i="79"/>
  <c r="BUI46" i="79"/>
  <c r="BUH46" i="79"/>
  <c r="BUG46" i="79"/>
  <c r="BUF46" i="79"/>
  <c r="BUE46" i="79"/>
  <c r="BUD46" i="79"/>
  <c r="BUC46" i="79"/>
  <c r="BUB46" i="79"/>
  <c r="BUA46" i="79"/>
  <c r="BTZ46" i="79"/>
  <c r="BTY46" i="79"/>
  <c r="BTX46" i="79"/>
  <c r="BTW46" i="79"/>
  <c r="BTV46" i="79"/>
  <c r="BTU46" i="79"/>
  <c r="BTT46" i="79"/>
  <c r="BTS46" i="79"/>
  <c r="BTR46" i="79"/>
  <c r="BTQ46" i="79"/>
  <c r="BTP46" i="79"/>
  <c r="BTO46" i="79"/>
  <c r="BTN46" i="79"/>
  <c r="BTM46" i="79"/>
  <c r="BTL46" i="79"/>
  <c r="BTK46" i="79"/>
  <c r="BTJ46" i="79"/>
  <c r="BTI46" i="79"/>
  <c r="BTH46" i="79"/>
  <c r="BTG46" i="79"/>
  <c r="BTF46" i="79"/>
  <c r="BTE46" i="79"/>
  <c r="BTD46" i="79"/>
  <c r="BTC46" i="79"/>
  <c r="BTB46" i="79"/>
  <c r="BTA46" i="79"/>
  <c r="BSZ46" i="79"/>
  <c r="BSY46" i="79"/>
  <c r="BSX46" i="79"/>
  <c r="BSW46" i="79"/>
  <c r="BSV46" i="79"/>
  <c r="BSU46" i="79"/>
  <c r="BST46" i="79"/>
  <c r="BSS46" i="79"/>
  <c r="BSR46" i="79"/>
  <c r="BSQ46" i="79"/>
  <c r="BSP46" i="79"/>
  <c r="BSO46" i="79"/>
  <c r="BSN46" i="79"/>
  <c r="BSM46" i="79"/>
  <c r="BSL46" i="79"/>
  <c r="BSK46" i="79"/>
  <c r="BSJ46" i="79"/>
  <c r="BSI46" i="79"/>
  <c r="BSH46" i="79"/>
  <c r="BSG46" i="79"/>
  <c r="BSF46" i="79"/>
  <c r="BSE46" i="79"/>
  <c r="BSD46" i="79"/>
  <c r="BSC46" i="79"/>
  <c r="BSB46" i="79"/>
  <c r="BSA46" i="79"/>
  <c r="BRZ46" i="79"/>
  <c r="BRY46" i="79"/>
  <c r="BRX46" i="79"/>
  <c r="BRW46" i="79"/>
  <c r="BRV46" i="79"/>
  <c r="BRU46" i="79"/>
  <c r="BRT46" i="79"/>
  <c r="BRS46" i="79"/>
  <c r="BRR46" i="79"/>
  <c r="BRQ46" i="79"/>
  <c r="BRP46" i="79"/>
  <c r="BRO46" i="79"/>
  <c r="BRN46" i="79"/>
  <c r="BRM46" i="79"/>
  <c r="BRL46" i="79"/>
  <c r="BRK46" i="79"/>
  <c r="BRJ46" i="79"/>
  <c r="BRI46" i="79"/>
  <c r="BRH46" i="79"/>
  <c r="BRG46" i="79"/>
  <c r="BRF46" i="79"/>
  <c r="BRE46" i="79"/>
  <c r="BRD46" i="79"/>
  <c r="BRC46" i="79"/>
  <c r="BRB46" i="79"/>
  <c r="BRA46" i="79"/>
  <c r="BQZ46" i="79"/>
  <c r="BQY46" i="79"/>
  <c r="BQX46" i="79"/>
  <c r="BQW46" i="79"/>
  <c r="BQV46" i="79"/>
  <c r="BQU46" i="79"/>
  <c r="BQT46" i="79"/>
  <c r="BQS46" i="79"/>
  <c r="BQR46" i="79"/>
  <c r="BQQ46" i="79"/>
  <c r="BQP46" i="79"/>
  <c r="BQO46" i="79"/>
  <c r="BQN46" i="79"/>
  <c r="BQM46" i="79"/>
  <c r="BQL46" i="79"/>
  <c r="BQK46" i="79"/>
  <c r="BQJ46" i="79"/>
  <c r="BQI46" i="79"/>
  <c r="BQH46" i="79"/>
  <c r="BQG46" i="79"/>
  <c r="BQF46" i="79"/>
  <c r="BQE46" i="79"/>
  <c r="BQD46" i="79"/>
  <c r="BQC46" i="79"/>
  <c r="BQB46" i="79"/>
  <c r="BQA46" i="79"/>
  <c r="BPZ46" i="79"/>
  <c r="BPY46" i="79"/>
  <c r="BPX46" i="79"/>
  <c r="BPW46" i="79"/>
  <c r="BPV46" i="79"/>
  <c r="BPU46" i="79"/>
  <c r="BPT46" i="79"/>
  <c r="BPS46" i="79"/>
  <c r="BPR46" i="79"/>
  <c r="BPQ46" i="79"/>
  <c r="BPP46" i="79"/>
  <c r="BPO46" i="79"/>
  <c r="BPN46" i="79"/>
  <c r="BPM46" i="79"/>
  <c r="BPL46" i="79"/>
  <c r="BPK46" i="79"/>
  <c r="BPJ46" i="79"/>
  <c r="BPI46" i="79"/>
  <c r="BPH46" i="79"/>
  <c r="BPG46" i="79"/>
  <c r="BPF46" i="79"/>
  <c r="BPE46" i="79"/>
  <c r="BPD46" i="79"/>
  <c r="BPC46" i="79"/>
  <c r="BPB46" i="79"/>
  <c r="BPA46" i="79"/>
  <c r="BOZ46" i="79"/>
  <c r="BOY46" i="79"/>
  <c r="BOX46" i="79"/>
  <c r="BOW46" i="79"/>
  <c r="BOV46" i="79"/>
  <c r="BOU46" i="79"/>
  <c r="BOT46" i="79"/>
  <c r="BOS46" i="79"/>
  <c r="BOR46" i="79"/>
  <c r="BOQ46" i="79"/>
  <c r="BOP46" i="79"/>
  <c r="BOO46" i="79"/>
  <c r="BON46" i="79"/>
  <c r="BOM46" i="79"/>
  <c r="BOL46" i="79"/>
  <c r="BOK46" i="79"/>
  <c r="BOJ46" i="79"/>
  <c r="BOI46" i="79"/>
  <c r="BOH46" i="79"/>
  <c r="BOG46" i="79"/>
  <c r="BOF46" i="79"/>
  <c r="BOE46" i="79"/>
  <c r="BOD46" i="79"/>
  <c r="BOC46" i="79"/>
  <c r="BOB46" i="79"/>
  <c r="BOA46" i="79"/>
  <c r="BNZ46" i="79"/>
  <c r="BNY46" i="79"/>
  <c r="BNX46" i="79"/>
  <c r="BNW46" i="79"/>
  <c r="BNV46" i="79"/>
  <c r="BNU46" i="79"/>
  <c r="BNT46" i="79"/>
  <c r="BNS46" i="79"/>
  <c r="BNR46" i="79"/>
  <c r="BNQ46" i="79"/>
  <c r="BNP46" i="79"/>
  <c r="BNO46" i="79"/>
  <c r="BNN46" i="79"/>
  <c r="BNM46" i="79"/>
  <c r="BNL46" i="79"/>
  <c r="BNK46" i="79"/>
  <c r="BNJ46" i="79"/>
  <c r="BNI46" i="79"/>
  <c r="BNH46" i="79"/>
  <c r="BNG46" i="79"/>
  <c r="BNF46" i="79"/>
  <c r="BNE46" i="79"/>
  <c r="BND46" i="79"/>
  <c r="BNC46" i="79"/>
  <c r="BNB46" i="79"/>
  <c r="BNA46" i="79"/>
  <c r="BMZ46" i="79"/>
  <c r="BMY46" i="79"/>
  <c r="BMX46" i="79"/>
  <c r="BMW46" i="79"/>
  <c r="BMV46" i="79"/>
  <c r="BMU46" i="79"/>
  <c r="BMT46" i="79"/>
  <c r="BMS46" i="79"/>
  <c r="BMR46" i="79"/>
  <c r="BMQ46" i="79"/>
  <c r="BMP46" i="79"/>
  <c r="BMO46" i="79"/>
  <c r="BMN46" i="79"/>
  <c r="BMM46" i="79"/>
  <c r="BML46" i="79"/>
  <c r="BMK46" i="79"/>
  <c r="BMJ46" i="79"/>
  <c r="BMI46" i="79"/>
  <c r="BMH46" i="79"/>
  <c r="BMG46" i="79"/>
  <c r="BMF46" i="79"/>
  <c r="BME46" i="79"/>
  <c r="BMD46" i="79"/>
  <c r="BMC46" i="79"/>
  <c r="BMB46" i="79"/>
  <c r="BMA46" i="79"/>
  <c r="BLZ46" i="79"/>
  <c r="BLY46" i="79"/>
  <c r="BLX46" i="79"/>
  <c r="BLW46" i="79"/>
  <c r="BLV46" i="79"/>
  <c r="BLU46" i="79"/>
  <c r="BLT46" i="79"/>
  <c r="BLS46" i="79"/>
  <c r="BLR46" i="79"/>
  <c r="BLQ46" i="79"/>
  <c r="BLP46" i="79"/>
  <c r="BLO46" i="79"/>
  <c r="BLN46" i="79"/>
  <c r="BLM46" i="79"/>
  <c r="BLL46" i="79"/>
  <c r="BLK46" i="79"/>
  <c r="BLJ46" i="79"/>
  <c r="BLI46" i="79"/>
  <c r="BLH46" i="79"/>
  <c r="BLG46" i="79"/>
  <c r="BLF46" i="79"/>
  <c r="BLE46" i="79"/>
  <c r="BLD46" i="79"/>
  <c r="BLC46" i="79"/>
  <c r="BLB46" i="79"/>
  <c r="BLA46" i="79"/>
  <c r="BKZ46" i="79"/>
  <c r="BKY46" i="79"/>
  <c r="BKX46" i="79"/>
  <c r="BKW46" i="79"/>
  <c r="BKV46" i="79"/>
  <c r="BKU46" i="79"/>
  <c r="BKT46" i="79"/>
  <c r="BKS46" i="79"/>
  <c r="BKR46" i="79"/>
  <c r="BKQ46" i="79"/>
  <c r="BKP46" i="79"/>
  <c r="BKO46" i="79"/>
  <c r="BKN46" i="79"/>
  <c r="BKM46" i="79"/>
  <c r="BKL46" i="79"/>
  <c r="BKK46" i="79"/>
  <c r="BKJ46" i="79"/>
  <c r="BKI46" i="79"/>
  <c r="BKH46" i="79"/>
  <c r="BKG46" i="79"/>
  <c r="BKF46" i="79"/>
  <c r="BKE46" i="79"/>
  <c r="BKD46" i="79"/>
  <c r="BKC46" i="79"/>
  <c r="BKB46" i="79"/>
  <c r="BKA46" i="79"/>
  <c r="BJZ46" i="79"/>
  <c r="BJY46" i="79"/>
  <c r="BJX46" i="79"/>
  <c r="BJW46" i="79"/>
  <c r="BJV46" i="79"/>
  <c r="BJU46" i="79"/>
  <c r="BJT46" i="79"/>
  <c r="BJS46" i="79"/>
  <c r="BJR46" i="79"/>
  <c r="BJQ46" i="79"/>
  <c r="BJP46" i="79"/>
  <c r="BJO46" i="79"/>
  <c r="BJN46" i="79"/>
  <c r="BJM46" i="79"/>
  <c r="BJL46" i="79"/>
  <c r="BJK46" i="79"/>
  <c r="BJJ46" i="79"/>
  <c r="BJI46" i="79"/>
  <c r="BJH46" i="79"/>
  <c r="BJG46" i="79"/>
  <c r="BJF46" i="79"/>
  <c r="BJE46" i="79"/>
  <c r="BJD46" i="79"/>
  <c r="BJC46" i="79"/>
  <c r="BJB46" i="79"/>
  <c r="BJA46" i="79"/>
  <c r="BIZ46" i="79"/>
  <c r="BIY46" i="79"/>
  <c r="BIX46" i="79"/>
  <c r="BIW46" i="79"/>
  <c r="BIV46" i="79"/>
  <c r="BIU46" i="79"/>
  <c r="BIT46" i="79"/>
  <c r="BIS46" i="79"/>
  <c r="BIR46" i="79"/>
  <c r="BIQ46" i="79"/>
  <c r="BIP46" i="79"/>
  <c r="BIO46" i="79"/>
  <c r="BIN46" i="79"/>
  <c r="BIM46" i="79"/>
  <c r="BIL46" i="79"/>
  <c r="BIK46" i="79"/>
  <c r="BIJ46" i="79"/>
  <c r="BII46" i="79"/>
  <c r="BIH46" i="79"/>
  <c r="BIG46" i="79"/>
  <c r="BIF46" i="79"/>
  <c r="BIE46" i="79"/>
  <c r="BID46" i="79"/>
  <c r="BIC46" i="79"/>
  <c r="BIB46" i="79"/>
  <c r="BIA46" i="79"/>
  <c r="BHZ46" i="79"/>
  <c r="BHY46" i="79"/>
  <c r="BHX46" i="79"/>
  <c r="BHW46" i="79"/>
  <c r="BHV46" i="79"/>
  <c r="BHU46" i="79"/>
  <c r="BHT46" i="79"/>
  <c r="BHS46" i="79"/>
  <c r="BHR46" i="79"/>
  <c r="BHQ46" i="79"/>
  <c r="BHP46" i="79"/>
  <c r="BHO46" i="79"/>
  <c r="BHN46" i="79"/>
  <c r="BHM46" i="79"/>
  <c r="BHL46" i="79"/>
  <c r="BHK46" i="79"/>
  <c r="BHJ46" i="79"/>
  <c r="BHI46" i="79"/>
  <c r="BHH46" i="79"/>
  <c r="BHG46" i="79"/>
  <c r="BHF46" i="79"/>
  <c r="BHE46" i="79"/>
  <c r="BHD46" i="79"/>
  <c r="BHC46" i="79"/>
  <c r="BHB46" i="79"/>
  <c r="BHA46" i="79"/>
  <c r="BGZ46" i="79"/>
  <c r="BGY46" i="79"/>
  <c r="BGX46" i="79"/>
  <c r="BGW46" i="79"/>
  <c r="BGV46" i="79"/>
  <c r="BGU46" i="79"/>
  <c r="BGT46" i="79"/>
  <c r="BGS46" i="79"/>
  <c r="BGR46" i="79"/>
  <c r="BGQ46" i="79"/>
  <c r="BGP46" i="79"/>
  <c r="BGO46" i="79"/>
  <c r="BGN46" i="79"/>
  <c r="BGM46" i="79"/>
  <c r="BGL46" i="79"/>
  <c r="BGK46" i="79"/>
  <c r="BGJ46" i="79"/>
  <c r="BGI46" i="79"/>
  <c r="BGH46" i="79"/>
  <c r="BGG46" i="79"/>
  <c r="BGF46" i="79"/>
  <c r="BGE46" i="79"/>
  <c r="BGD46" i="79"/>
  <c r="BGC46" i="79"/>
  <c r="BGB46" i="79"/>
  <c r="BGA46" i="79"/>
  <c r="BFZ46" i="79"/>
  <c r="BFY46" i="79"/>
  <c r="BFX46" i="79"/>
  <c r="BFW46" i="79"/>
  <c r="BFV46" i="79"/>
  <c r="BFU46" i="79"/>
  <c r="BFT46" i="79"/>
  <c r="BFS46" i="79"/>
  <c r="BFR46" i="79"/>
  <c r="BFQ46" i="79"/>
  <c r="BFP46" i="79"/>
  <c r="BFO46" i="79"/>
  <c r="BFN46" i="79"/>
  <c r="BFM46" i="79"/>
  <c r="BFL46" i="79"/>
  <c r="BFK46" i="79"/>
  <c r="BFJ46" i="79"/>
  <c r="BFI46" i="79"/>
  <c r="BFH46" i="79"/>
  <c r="BFG46" i="79"/>
  <c r="BFF46" i="79"/>
  <c r="BFE46" i="79"/>
  <c r="BFD46" i="79"/>
  <c r="BFC46" i="79"/>
  <c r="BFB46" i="79"/>
  <c r="BFA46" i="79"/>
  <c r="BEZ46" i="79"/>
  <c r="BEY46" i="79"/>
  <c r="BEX46" i="79"/>
  <c r="BEW46" i="79"/>
  <c r="BEV46" i="79"/>
  <c r="BEU46" i="79"/>
  <c r="BET46" i="79"/>
  <c r="BES46" i="79"/>
  <c r="BER46" i="79"/>
  <c r="BEQ46" i="79"/>
  <c r="BEP46" i="79"/>
  <c r="BEO46" i="79"/>
  <c r="BEN46" i="79"/>
  <c r="BEM46" i="79"/>
  <c r="BEL46" i="79"/>
  <c r="BEK46" i="79"/>
  <c r="BEJ46" i="79"/>
  <c r="BEI46" i="79"/>
  <c r="BEH46" i="79"/>
  <c r="BEG46" i="79"/>
  <c r="BEF46" i="79"/>
  <c r="BEE46" i="79"/>
  <c r="BED46" i="79"/>
  <c r="BEC46" i="79"/>
  <c r="BEB46" i="79"/>
  <c r="BEA46" i="79"/>
  <c r="BDZ46" i="79"/>
  <c r="BDY46" i="79"/>
  <c r="BDX46" i="79"/>
  <c r="BDW46" i="79"/>
  <c r="BDV46" i="79"/>
  <c r="BDU46" i="79"/>
  <c r="BDT46" i="79"/>
  <c r="BDS46" i="79"/>
  <c r="BDR46" i="79"/>
  <c r="BDQ46" i="79"/>
  <c r="BDP46" i="79"/>
  <c r="BDO46" i="79"/>
  <c r="BDN46" i="79"/>
  <c r="BDM46" i="79"/>
  <c r="BDL46" i="79"/>
  <c r="BDK46" i="79"/>
  <c r="BDJ46" i="79"/>
  <c r="BDI46" i="79"/>
  <c r="BDH46" i="79"/>
  <c r="BDG46" i="79"/>
  <c r="BDF46" i="79"/>
  <c r="BDE46" i="79"/>
  <c r="BDD46" i="79"/>
  <c r="BDC46" i="79"/>
  <c r="BDB46" i="79"/>
  <c r="BDA46" i="79"/>
  <c r="BCZ46" i="79"/>
  <c r="BCY46" i="79"/>
  <c r="BCX46" i="79"/>
  <c r="BCW46" i="79"/>
  <c r="BCV46" i="79"/>
  <c r="BCU46" i="79"/>
  <c r="BCT46" i="79"/>
  <c r="BCS46" i="79"/>
  <c r="BCR46" i="79"/>
  <c r="BCQ46" i="79"/>
  <c r="BCP46" i="79"/>
  <c r="BCO46" i="79"/>
  <c r="BCN46" i="79"/>
  <c r="BCM46" i="79"/>
  <c r="BCL46" i="79"/>
  <c r="BCK46" i="79"/>
  <c r="BCJ46" i="79"/>
  <c r="BCI46" i="79"/>
  <c r="BCH46" i="79"/>
  <c r="BCG46" i="79"/>
  <c r="BCF46" i="79"/>
  <c r="BCE46" i="79"/>
  <c r="BCD46" i="79"/>
  <c r="BCC46" i="79"/>
  <c r="BCB46" i="79"/>
  <c r="BCA46" i="79"/>
  <c r="BBZ46" i="79"/>
  <c r="BBY46" i="79"/>
  <c r="BBX46" i="79"/>
  <c r="BBW46" i="79"/>
  <c r="BBV46" i="79"/>
  <c r="BBU46" i="79"/>
  <c r="BBT46" i="79"/>
  <c r="BBS46" i="79"/>
  <c r="BBR46" i="79"/>
  <c r="BBQ46" i="79"/>
  <c r="BBP46" i="79"/>
  <c r="BBO46" i="79"/>
  <c r="BBN46" i="79"/>
  <c r="BBM46" i="79"/>
  <c r="BBL46" i="79"/>
  <c r="BBK46" i="79"/>
  <c r="BBJ46" i="79"/>
  <c r="BBI46" i="79"/>
  <c r="BBH46" i="79"/>
  <c r="BBG46" i="79"/>
  <c r="BBF46" i="79"/>
  <c r="BBE46" i="79"/>
  <c r="BBD46" i="79"/>
  <c r="BBC46" i="79"/>
  <c r="BBB46" i="79"/>
  <c r="BBA46" i="79"/>
  <c r="BAZ46" i="79"/>
  <c r="BAY46" i="79"/>
  <c r="BAX46" i="79"/>
  <c r="BAW46" i="79"/>
  <c r="BAV46" i="79"/>
  <c r="BAU46" i="79"/>
  <c r="BAT46" i="79"/>
  <c r="BAS46" i="79"/>
  <c r="BAR46" i="79"/>
  <c r="BAQ46" i="79"/>
  <c r="BAP46" i="79"/>
  <c r="BAO46" i="79"/>
  <c r="BAN46" i="79"/>
  <c r="BAM46" i="79"/>
  <c r="BAL46" i="79"/>
  <c r="BAK46" i="79"/>
  <c r="BAJ46" i="79"/>
  <c r="BAI46" i="79"/>
  <c r="BAH46" i="79"/>
  <c r="BAG46" i="79"/>
  <c r="BAF46" i="79"/>
  <c r="BAE46" i="79"/>
  <c r="BAD46" i="79"/>
  <c r="BAC46" i="79"/>
  <c r="BAB46" i="79"/>
  <c r="BAA46" i="79"/>
  <c r="AZZ46" i="79"/>
  <c r="AZY46" i="79"/>
  <c r="AZX46" i="79"/>
  <c r="AZW46" i="79"/>
  <c r="AZV46" i="79"/>
  <c r="AZU46" i="79"/>
  <c r="AZT46" i="79"/>
  <c r="AZS46" i="79"/>
  <c r="AZR46" i="79"/>
  <c r="AZQ46" i="79"/>
  <c r="AZP46" i="79"/>
  <c r="AZO46" i="79"/>
  <c r="AZN46" i="79"/>
  <c r="AZM46" i="79"/>
  <c r="AZL46" i="79"/>
  <c r="AZK46" i="79"/>
  <c r="AZJ46" i="79"/>
  <c r="AZI46" i="79"/>
  <c r="AZH46" i="79"/>
  <c r="AZG46" i="79"/>
  <c r="AZF46" i="79"/>
  <c r="AZE46" i="79"/>
  <c r="AZD46" i="79"/>
  <c r="AZC46" i="79"/>
  <c r="AZB46" i="79"/>
  <c r="AZA46" i="79"/>
  <c r="AYZ46" i="79"/>
  <c r="AYY46" i="79"/>
  <c r="AYX46" i="79"/>
  <c r="AYW46" i="79"/>
  <c r="AYV46" i="79"/>
  <c r="AYU46" i="79"/>
  <c r="AYT46" i="79"/>
  <c r="AYS46" i="79"/>
  <c r="AYR46" i="79"/>
  <c r="AYQ46" i="79"/>
  <c r="AYP46" i="79"/>
  <c r="AYO46" i="79"/>
  <c r="AYN46" i="79"/>
  <c r="AYM46" i="79"/>
  <c r="AYL46" i="79"/>
  <c r="AYK46" i="79"/>
  <c r="AYJ46" i="79"/>
  <c r="AYI46" i="79"/>
  <c r="AYH46" i="79"/>
  <c r="AYG46" i="79"/>
  <c r="AYF46" i="79"/>
  <c r="AYE46" i="79"/>
  <c r="AYD46" i="79"/>
  <c r="AYC46" i="79"/>
  <c r="AYB46" i="79"/>
  <c r="AYA46" i="79"/>
  <c r="AXZ46" i="79"/>
  <c r="AXY46" i="79"/>
  <c r="AXX46" i="79"/>
  <c r="AXW46" i="79"/>
  <c r="AXV46" i="79"/>
  <c r="AXU46" i="79"/>
  <c r="AXT46" i="79"/>
  <c r="AXS46" i="79"/>
  <c r="AXR46" i="79"/>
  <c r="AXQ46" i="79"/>
  <c r="AXP46" i="79"/>
  <c r="AXO46" i="79"/>
  <c r="AXN46" i="79"/>
  <c r="AXM46" i="79"/>
  <c r="AXL46" i="79"/>
  <c r="AXK46" i="79"/>
  <c r="AXJ46" i="79"/>
  <c r="AXI46" i="79"/>
  <c r="AXH46" i="79"/>
  <c r="AXG46" i="79"/>
  <c r="AXF46" i="79"/>
  <c r="AXE46" i="79"/>
  <c r="AXD46" i="79"/>
  <c r="AXC46" i="79"/>
  <c r="AXB46" i="79"/>
  <c r="AXA46" i="79"/>
  <c r="AWZ46" i="79"/>
  <c r="AWY46" i="79"/>
  <c r="AWX46" i="79"/>
  <c r="AWW46" i="79"/>
  <c r="AWV46" i="79"/>
  <c r="AWU46" i="79"/>
  <c r="AWT46" i="79"/>
  <c r="AWS46" i="79"/>
  <c r="AWR46" i="79"/>
  <c r="AWQ46" i="79"/>
  <c r="AWP46" i="79"/>
  <c r="AWO46" i="79"/>
  <c r="AWN46" i="79"/>
  <c r="AWM46" i="79"/>
  <c r="AWL46" i="79"/>
  <c r="AWK46" i="79"/>
  <c r="AWJ46" i="79"/>
  <c r="AWI46" i="79"/>
  <c r="AWH46" i="79"/>
  <c r="AWG46" i="79"/>
  <c r="AWF46" i="79"/>
  <c r="AWE46" i="79"/>
  <c r="AWD46" i="79"/>
  <c r="AWC46" i="79"/>
  <c r="AWB46" i="79"/>
  <c r="AWA46" i="79"/>
  <c r="AVZ46" i="79"/>
  <c r="AVY46" i="79"/>
  <c r="AVX46" i="79"/>
  <c r="AVW46" i="79"/>
  <c r="AVV46" i="79"/>
  <c r="AVU46" i="79"/>
  <c r="AVT46" i="79"/>
  <c r="AVS46" i="79"/>
  <c r="AVR46" i="79"/>
  <c r="AVQ46" i="79"/>
  <c r="AVP46" i="79"/>
  <c r="AVO46" i="79"/>
  <c r="AVN46" i="79"/>
  <c r="AVM46" i="79"/>
  <c r="AVL46" i="79"/>
  <c r="AVK46" i="79"/>
  <c r="AVJ46" i="79"/>
  <c r="AVI46" i="79"/>
  <c r="AVH46" i="79"/>
  <c r="AVG46" i="79"/>
  <c r="AVF46" i="79"/>
  <c r="AVE46" i="79"/>
  <c r="AVD46" i="79"/>
  <c r="AVC46" i="79"/>
  <c r="AVB46" i="79"/>
  <c r="AVA46" i="79"/>
  <c r="AUZ46" i="79"/>
  <c r="AUY46" i="79"/>
  <c r="AUX46" i="79"/>
  <c r="AUW46" i="79"/>
  <c r="AUV46" i="79"/>
  <c r="AUU46" i="79"/>
  <c r="AUT46" i="79"/>
  <c r="AUS46" i="79"/>
  <c r="AUR46" i="79"/>
  <c r="AUQ46" i="79"/>
  <c r="AUP46" i="79"/>
  <c r="AUO46" i="79"/>
  <c r="AUN46" i="79"/>
  <c r="AUM46" i="79"/>
  <c r="AUL46" i="79"/>
  <c r="AUK46" i="79"/>
  <c r="AUJ46" i="79"/>
  <c r="AUI46" i="79"/>
  <c r="AUH46" i="79"/>
  <c r="AUG46" i="79"/>
  <c r="AUF46" i="79"/>
  <c r="AUE46" i="79"/>
  <c r="AUD46" i="79"/>
  <c r="AUC46" i="79"/>
  <c r="AUB46" i="79"/>
  <c r="AUA46" i="79"/>
  <c r="ATZ46" i="79"/>
  <c r="ATY46" i="79"/>
  <c r="ATX46" i="79"/>
  <c r="ATW46" i="79"/>
  <c r="ATV46" i="79"/>
  <c r="ATU46" i="79"/>
  <c r="ATT46" i="79"/>
  <c r="ATS46" i="79"/>
  <c r="ATR46" i="79"/>
  <c r="ATQ46" i="79"/>
  <c r="ATP46" i="79"/>
  <c r="ATO46" i="79"/>
  <c r="ATN46" i="79"/>
  <c r="ATM46" i="79"/>
  <c r="ATL46" i="79"/>
  <c r="ATK46" i="79"/>
  <c r="ATJ46" i="79"/>
  <c r="ATI46" i="79"/>
  <c r="ATH46" i="79"/>
  <c r="ATG46" i="79"/>
  <c r="ATF46" i="79"/>
  <c r="ATE46" i="79"/>
  <c r="ATD46" i="79"/>
  <c r="ATC46" i="79"/>
  <c r="ATB46" i="79"/>
  <c r="ATA46" i="79"/>
  <c r="ASZ46" i="79"/>
  <c r="ASY46" i="79"/>
  <c r="ASX46" i="79"/>
  <c r="ASW46" i="79"/>
  <c r="ASV46" i="79"/>
  <c r="ASU46" i="79"/>
  <c r="AST46" i="79"/>
  <c r="ASS46" i="79"/>
  <c r="ASR46" i="79"/>
  <c r="ASQ46" i="79"/>
  <c r="ASP46" i="79"/>
  <c r="ASO46" i="79"/>
  <c r="ASN46" i="79"/>
  <c r="ASM46" i="79"/>
  <c r="ASL46" i="79"/>
  <c r="ASK46" i="79"/>
  <c r="ASJ46" i="79"/>
  <c r="ASI46" i="79"/>
  <c r="ASH46" i="79"/>
  <c r="ASG46" i="79"/>
  <c r="ASF46" i="79"/>
  <c r="ASE46" i="79"/>
  <c r="ASD46" i="79"/>
  <c r="ASC46" i="79"/>
  <c r="ASB46" i="79"/>
  <c r="ASA46" i="79"/>
  <c r="ARZ46" i="79"/>
  <c r="ARY46" i="79"/>
  <c r="ARX46" i="79"/>
  <c r="ARW46" i="79"/>
  <c r="ARV46" i="79"/>
  <c r="ARU46" i="79"/>
  <c r="ART46" i="79"/>
  <c r="ARS46" i="79"/>
  <c r="ARR46" i="79"/>
  <c r="ARQ46" i="79"/>
  <c r="ARP46" i="79"/>
  <c r="ARO46" i="79"/>
  <c r="ARN46" i="79"/>
  <c r="ARM46" i="79"/>
  <c r="ARL46" i="79"/>
  <c r="ARK46" i="79"/>
  <c r="ARJ46" i="79"/>
  <c r="ARI46" i="79"/>
  <c r="ARH46" i="79"/>
  <c r="ARG46" i="79"/>
  <c r="ARF46" i="79"/>
  <c r="ARE46" i="79"/>
  <c r="ARD46" i="79"/>
  <c r="ARC46" i="79"/>
  <c r="ARB46" i="79"/>
  <c r="ARA46" i="79"/>
  <c r="AQZ46" i="79"/>
  <c r="AQY46" i="79"/>
  <c r="AQX46" i="79"/>
  <c r="AQW46" i="79"/>
  <c r="AQV46" i="79"/>
  <c r="AQU46" i="79"/>
  <c r="AQT46" i="79"/>
  <c r="AQS46" i="79"/>
  <c r="AQR46" i="79"/>
  <c r="AQQ46" i="79"/>
  <c r="AQP46" i="79"/>
  <c r="AQO46" i="79"/>
  <c r="AQN46" i="79"/>
  <c r="AQM46" i="79"/>
  <c r="AQL46" i="79"/>
  <c r="AQK46" i="79"/>
  <c r="AQJ46" i="79"/>
  <c r="AQI46" i="79"/>
  <c r="AQH46" i="79"/>
  <c r="AQG46" i="79"/>
  <c r="AQF46" i="79"/>
  <c r="AQE46" i="79"/>
  <c r="AQD46" i="79"/>
  <c r="AQC46" i="79"/>
  <c r="AQB46" i="79"/>
  <c r="AQA46" i="79"/>
  <c r="APZ46" i="79"/>
  <c r="APY46" i="79"/>
  <c r="APX46" i="79"/>
  <c r="APW46" i="79"/>
  <c r="APV46" i="79"/>
  <c r="APU46" i="79"/>
  <c r="APT46" i="79"/>
  <c r="APS46" i="79"/>
  <c r="APR46" i="79"/>
  <c r="APQ46" i="79"/>
  <c r="APP46" i="79"/>
  <c r="APO46" i="79"/>
  <c r="APN46" i="79"/>
  <c r="APM46" i="79"/>
  <c r="APL46" i="79"/>
  <c r="APK46" i="79"/>
  <c r="APJ46" i="79"/>
  <c r="API46" i="79"/>
  <c r="APH46" i="79"/>
  <c r="APG46" i="79"/>
  <c r="APF46" i="79"/>
  <c r="APE46" i="79"/>
  <c r="APD46" i="79"/>
  <c r="APC46" i="79"/>
  <c r="APB46" i="79"/>
  <c r="APA46" i="79"/>
  <c r="AOZ46" i="79"/>
  <c r="AOY46" i="79"/>
  <c r="AOX46" i="79"/>
  <c r="AOW46" i="79"/>
  <c r="AOV46" i="79"/>
  <c r="AOU46" i="79"/>
  <c r="AOT46" i="79"/>
  <c r="AOS46" i="79"/>
  <c r="AOR46" i="79"/>
  <c r="AOQ46" i="79"/>
  <c r="AOP46" i="79"/>
  <c r="AOO46" i="79"/>
  <c r="AON46" i="79"/>
  <c r="AOM46" i="79"/>
  <c r="AOL46" i="79"/>
  <c r="AOK46" i="79"/>
  <c r="AOJ46" i="79"/>
  <c r="AOI46" i="79"/>
  <c r="AOH46" i="79"/>
  <c r="AOG46" i="79"/>
  <c r="AOF46" i="79"/>
  <c r="AOE46" i="79"/>
  <c r="AOD46" i="79"/>
  <c r="AOC46" i="79"/>
  <c r="AOB46" i="79"/>
  <c r="AOA46" i="79"/>
  <c r="ANZ46" i="79"/>
  <c r="ANY46" i="79"/>
  <c r="ANX46" i="79"/>
  <c r="ANW46" i="79"/>
  <c r="ANV46" i="79"/>
  <c r="ANU46" i="79"/>
  <c r="ANT46" i="79"/>
  <c r="ANS46" i="79"/>
  <c r="ANR46" i="79"/>
  <c r="ANQ46" i="79"/>
  <c r="ANP46" i="79"/>
  <c r="ANO46" i="79"/>
  <c r="ANN46" i="79"/>
  <c r="ANM46" i="79"/>
  <c r="ANL46" i="79"/>
  <c r="ANK46" i="79"/>
  <c r="ANJ46" i="79"/>
  <c r="ANI46" i="79"/>
  <c r="ANH46" i="79"/>
  <c r="ANG46" i="79"/>
  <c r="ANF46" i="79"/>
  <c r="ANE46" i="79"/>
  <c r="AND46" i="79"/>
  <c r="ANC46" i="79"/>
  <c r="ANB46" i="79"/>
  <c r="ANA46" i="79"/>
  <c r="AMZ46" i="79"/>
  <c r="AMY46" i="79"/>
  <c r="AMX46" i="79"/>
  <c r="AMW46" i="79"/>
  <c r="AMV46" i="79"/>
  <c r="AMU46" i="79"/>
  <c r="AMT46" i="79"/>
  <c r="AMS46" i="79"/>
  <c r="AMR46" i="79"/>
  <c r="AMQ46" i="79"/>
  <c r="AMP46" i="79"/>
  <c r="AMO46" i="79"/>
  <c r="AMN46" i="79"/>
  <c r="AMM46" i="79"/>
  <c r="AML46" i="79"/>
  <c r="AMK46" i="79"/>
  <c r="AMJ46" i="79"/>
  <c r="AMI46" i="79"/>
  <c r="AMH46" i="79"/>
  <c r="AMG46" i="79"/>
  <c r="AMF46" i="79"/>
  <c r="AME46" i="79"/>
  <c r="AMD46" i="79"/>
  <c r="AMC46" i="79"/>
  <c r="AMB46" i="79"/>
  <c r="AMA46" i="79"/>
  <c r="ALZ46" i="79"/>
  <c r="ALY46" i="79"/>
  <c r="ALX46" i="79"/>
  <c r="ALW46" i="79"/>
  <c r="ALV46" i="79"/>
  <c r="ALU46" i="79"/>
  <c r="ALT46" i="79"/>
  <c r="ALS46" i="79"/>
  <c r="ALR46" i="79"/>
  <c r="ALQ46" i="79"/>
  <c r="ALP46" i="79"/>
  <c r="ALO46" i="79"/>
  <c r="ALN46" i="79"/>
  <c r="ALM46" i="79"/>
  <c r="ALL46" i="79"/>
  <c r="ALK46" i="79"/>
  <c r="ALJ46" i="79"/>
  <c r="ALI46" i="79"/>
  <c r="ALH46" i="79"/>
  <c r="ALG46" i="79"/>
  <c r="ALF46" i="79"/>
  <c r="ALE46" i="79"/>
  <c r="ALD46" i="79"/>
  <c r="ALC46" i="79"/>
  <c r="ALB46" i="79"/>
  <c r="ALA46" i="79"/>
  <c r="AKZ46" i="79"/>
  <c r="AKY46" i="79"/>
  <c r="AKX46" i="79"/>
  <c r="AKW46" i="79"/>
  <c r="AKV46" i="79"/>
  <c r="AKU46" i="79"/>
  <c r="AKT46" i="79"/>
  <c r="AKS46" i="79"/>
  <c r="AKR46" i="79"/>
  <c r="AKQ46" i="79"/>
  <c r="AKP46" i="79"/>
  <c r="AKO46" i="79"/>
  <c r="AKN46" i="79"/>
  <c r="AKM46" i="79"/>
  <c r="AKL46" i="79"/>
  <c r="AKK46" i="79"/>
  <c r="AKJ46" i="79"/>
  <c r="AKI46" i="79"/>
  <c r="AKH46" i="79"/>
  <c r="AKG46" i="79"/>
  <c r="AKF46" i="79"/>
  <c r="AKE46" i="79"/>
  <c r="AKD46" i="79"/>
  <c r="AKC46" i="79"/>
  <c r="AKB46" i="79"/>
  <c r="AKA46" i="79"/>
  <c r="AJZ46" i="79"/>
  <c r="AJY46" i="79"/>
  <c r="AJX46" i="79"/>
  <c r="AJW46" i="79"/>
  <c r="AJV46" i="79"/>
  <c r="AJU46" i="79"/>
  <c r="AJT46" i="79"/>
  <c r="AJS46" i="79"/>
  <c r="AJR46" i="79"/>
  <c r="AJQ46" i="79"/>
  <c r="AJP46" i="79"/>
  <c r="AJO46" i="79"/>
  <c r="AJN46" i="79"/>
  <c r="AJM46" i="79"/>
  <c r="AJL46" i="79"/>
  <c r="AJK46" i="79"/>
  <c r="AJJ46" i="79"/>
  <c r="AJI46" i="79"/>
  <c r="AJH46" i="79"/>
  <c r="AJG46" i="79"/>
  <c r="AJF46" i="79"/>
  <c r="AJE46" i="79"/>
  <c r="AJD46" i="79"/>
  <c r="AJC46" i="79"/>
  <c r="AJB46" i="79"/>
  <c r="AJA46" i="79"/>
  <c r="AIZ46" i="79"/>
  <c r="AIY46" i="79"/>
  <c r="AIX46" i="79"/>
  <c r="AIW46" i="79"/>
  <c r="AIV46" i="79"/>
  <c r="AIU46" i="79"/>
  <c r="AIT46" i="79"/>
  <c r="AIS46" i="79"/>
  <c r="AIR46" i="79"/>
  <c r="AIQ46" i="79"/>
  <c r="AIP46" i="79"/>
  <c r="AIO46" i="79"/>
  <c r="AIN46" i="79"/>
  <c r="AIM46" i="79"/>
  <c r="AIL46" i="79"/>
  <c r="AIK46" i="79"/>
  <c r="AIJ46" i="79"/>
  <c r="AII46" i="79"/>
  <c r="AIH46" i="79"/>
  <c r="AIG46" i="79"/>
  <c r="AIF46" i="79"/>
  <c r="AIE46" i="79"/>
  <c r="AID46" i="79"/>
  <c r="AIC46" i="79"/>
  <c r="AIB46" i="79"/>
  <c r="AIA46" i="79"/>
  <c r="AHZ46" i="79"/>
  <c r="AHY46" i="79"/>
  <c r="AHX46" i="79"/>
  <c r="AHW46" i="79"/>
  <c r="AHV46" i="79"/>
  <c r="AHU46" i="79"/>
  <c r="AHT46" i="79"/>
  <c r="AHS46" i="79"/>
  <c r="AHR46" i="79"/>
  <c r="AHQ46" i="79"/>
  <c r="AHP46" i="79"/>
  <c r="AHO46" i="79"/>
  <c r="AHN46" i="79"/>
  <c r="AHM46" i="79"/>
  <c r="AHL46" i="79"/>
  <c r="AHK46" i="79"/>
  <c r="AHJ46" i="79"/>
  <c r="AHI46" i="79"/>
  <c r="AHH46" i="79"/>
  <c r="AHG46" i="79"/>
  <c r="AHF46" i="79"/>
  <c r="AHE46" i="79"/>
  <c r="AHD46" i="79"/>
  <c r="AHC46" i="79"/>
  <c r="AHB46" i="79"/>
  <c r="AHA46" i="79"/>
  <c r="AGZ46" i="79"/>
  <c r="AGY46" i="79"/>
  <c r="AGX46" i="79"/>
  <c r="AGW46" i="79"/>
  <c r="AGV46" i="79"/>
  <c r="AGU46" i="79"/>
  <c r="AGT46" i="79"/>
  <c r="AGS46" i="79"/>
  <c r="AGR46" i="79"/>
  <c r="AGQ46" i="79"/>
  <c r="AGP46" i="79"/>
  <c r="AGO46" i="79"/>
  <c r="AGN46" i="79"/>
  <c r="AGM46" i="79"/>
  <c r="AGL46" i="79"/>
  <c r="AGK46" i="79"/>
  <c r="AGJ46" i="79"/>
  <c r="AGI46" i="79"/>
  <c r="AGH46" i="79"/>
  <c r="AGG46" i="79"/>
  <c r="AGF46" i="79"/>
  <c r="AGE46" i="79"/>
  <c r="AGD46" i="79"/>
  <c r="AGC46" i="79"/>
  <c r="AGB46" i="79"/>
  <c r="AGA46" i="79"/>
  <c r="AFZ46" i="79"/>
  <c r="AFY46" i="79"/>
  <c r="AFX46" i="79"/>
  <c r="AFW46" i="79"/>
  <c r="AFV46" i="79"/>
  <c r="AFU46" i="79"/>
  <c r="AFT46" i="79"/>
  <c r="AFS46" i="79"/>
  <c r="AFR46" i="79"/>
  <c r="AFQ46" i="79"/>
  <c r="AFP46" i="79"/>
  <c r="AFO46" i="79"/>
  <c r="AFN46" i="79"/>
  <c r="AFM46" i="79"/>
  <c r="AFL46" i="79"/>
  <c r="AFK46" i="79"/>
  <c r="AFJ46" i="79"/>
  <c r="AFI46" i="79"/>
  <c r="AFH46" i="79"/>
  <c r="AFG46" i="79"/>
  <c r="AFF46" i="79"/>
  <c r="AFE46" i="79"/>
  <c r="AFD46" i="79"/>
  <c r="AFC46" i="79"/>
  <c r="AFB46" i="79"/>
  <c r="AFA46" i="79"/>
  <c r="AEZ46" i="79"/>
  <c r="AEY46" i="79"/>
  <c r="AEX46" i="79"/>
  <c r="AEW46" i="79"/>
  <c r="AEV46" i="79"/>
  <c r="AEU46" i="79"/>
  <c r="AET46" i="79"/>
  <c r="AES46" i="79"/>
  <c r="AER46" i="79"/>
  <c r="AEQ46" i="79"/>
  <c r="AEP46" i="79"/>
  <c r="AEO46" i="79"/>
  <c r="AEN46" i="79"/>
  <c r="AEM46" i="79"/>
  <c r="AEL46" i="79"/>
  <c r="AEK46" i="79"/>
  <c r="AEJ46" i="79"/>
  <c r="AEI46" i="79"/>
  <c r="AEH46" i="79"/>
  <c r="AEG46" i="79"/>
  <c r="AEF46" i="79"/>
  <c r="AEE46" i="79"/>
  <c r="AED46" i="79"/>
  <c r="AEC46" i="79"/>
  <c r="AEB46" i="79"/>
  <c r="AEA46" i="79"/>
  <c r="ADZ46" i="79"/>
  <c r="ADY46" i="79"/>
  <c r="ADX46" i="79"/>
  <c r="ADW46" i="79"/>
  <c r="ADV46" i="79"/>
  <c r="ADU46" i="79"/>
  <c r="ADT46" i="79"/>
  <c r="ADS46" i="79"/>
  <c r="ADR46" i="79"/>
  <c r="ADQ46" i="79"/>
  <c r="ADP46" i="79"/>
  <c r="ADO46" i="79"/>
  <c r="ADN46" i="79"/>
  <c r="ADM46" i="79"/>
  <c r="ADL46" i="79"/>
  <c r="ADK46" i="79"/>
  <c r="ADJ46" i="79"/>
  <c r="ADI46" i="79"/>
  <c r="ADH46" i="79"/>
  <c r="ADG46" i="79"/>
  <c r="ADF46" i="79"/>
  <c r="ADE46" i="79"/>
  <c r="ADD46" i="79"/>
  <c r="ADC46" i="79"/>
  <c r="ADB46" i="79"/>
  <c r="ADA46" i="79"/>
  <c r="ACZ46" i="79"/>
  <c r="ACY46" i="79"/>
  <c r="ACX46" i="79"/>
  <c r="ACW46" i="79"/>
  <c r="ACV46" i="79"/>
  <c r="ACU46" i="79"/>
  <c r="ACT46" i="79"/>
  <c r="ACS46" i="79"/>
  <c r="ACR46" i="79"/>
  <c r="ACQ46" i="79"/>
  <c r="ACP46" i="79"/>
  <c r="ACO46" i="79"/>
  <c r="ACN46" i="79"/>
  <c r="ACM46" i="79"/>
  <c r="ACL46" i="79"/>
  <c r="ACK46" i="79"/>
  <c r="ACJ46" i="79"/>
  <c r="ACI46" i="79"/>
  <c r="ACH46" i="79"/>
  <c r="ACG46" i="79"/>
  <c r="ACF46" i="79"/>
  <c r="ACE46" i="79"/>
  <c r="ACD46" i="79"/>
  <c r="ACC46" i="79"/>
  <c r="ACB46" i="79"/>
  <c r="ACA46" i="79"/>
  <c r="ABZ46" i="79"/>
  <c r="ABY46" i="79"/>
  <c r="ABX46" i="79"/>
  <c r="ABW46" i="79"/>
  <c r="ABV46" i="79"/>
  <c r="ABU46" i="79"/>
  <c r="ABT46" i="79"/>
  <c r="ABS46" i="79"/>
  <c r="ABR46" i="79"/>
  <c r="ABQ46" i="79"/>
  <c r="ABP46" i="79"/>
  <c r="ABO46" i="79"/>
  <c r="ABN46" i="79"/>
  <c r="ABM46" i="79"/>
  <c r="ABL46" i="79"/>
  <c r="ABK46" i="79"/>
  <c r="ABJ46" i="79"/>
  <c r="ABI46" i="79"/>
  <c r="ABH46" i="79"/>
  <c r="ABG46" i="79"/>
  <c r="ABF46" i="79"/>
  <c r="ABE46" i="79"/>
  <c r="ABD46" i="79"/>
  <c r="ABC46" i="79"/>
  <c r="ABB46" i="79"/>
  <c r="ABA46" i="79"/>
  <c r="AAZ46" i="79"/>
  <c r="AAY46" i="79"/>
  <c r="AAX46" i="79"/>
  <c r="AAW46" i="79"/>
  <c r="AAV46" i="79"/>
  <c r="AAU46" i="79"/>
  <c r="AAT46" i="79"/>
  <c r="AAS46" i="79"/>
  <c r="AAR46" i="79"/>
  <c r="AAQ46" i="79"/>
  <c r="AAP46" i="79"/>
  <c r="AAO46" i="79"/>
  <c r="AAN46" i="79"/>
  <c r="AAM46" i="79"/>
  <c r="AAL46" i="79"/>
  <c r="AAK46" i="79"/>
  <c r="AAJ46" i="79"/>
  <c r="AAI46" i="79"/>
  <c r="AAH46" i="79"/>
  <c r="AAG46" i="79"/>
  <c r="AAF46" i="79"/>
  <c r="AAE46" i="79"/>
  <c r="AAD46" i="79"/>
  <c r="AAC46" i="79"/>
  <c r="AAB46" i="79"/>
  <c r="AAA46" i="79"/>
  <c r="ZZ46" i="79"/>
  <c r="ZY46" i="79"/>
  <c r="ZX46" i="79"/>
  <c r="ZW46" i="79"/>
  <c r="ZV46" i="79"/>
  <c r="ZU46" i="79"/>
  <c r="ZT46" i="79"/>
  <c r="ZS46" i="79"/>
  <c r="ZR46" i="79"/>
  <c r="ZQ46" i="79"/>
  <c r="ZP46" i="79"/>
  <c r="ZO46" i="79"/>
  <c r="ZN46" i="79"/>
  <c r="ZM46" i="79"/>
  <c r="ZL46" i="79"/>
  <c r="ZK46" i="79"/>
  <c r="ZJ46" i="79"/>
  <c r="ZI46" i="79"/>
  <c r="ZH46" i="79"/>
  <c r="ZG46" i="79"/>
  <c r="ZF46" i="79"/>
  <c r="ZE46" i="79"/>
  <c r="ZD46" i="79"/>
  <c r="ZC46" i="79"/>
  <c r="ZB46" i="79"/>
  <c r="ZA46" i="79"/>
  <c r="YZ46" i="79"/>
  <c r="YY46" i="79"/>
  <c r="YX46" i="79"/>
  <c r="YW46" i="79"/>
  <c r="YV46" i="79"/>
  <c r="YU46" i="79"/>
  <c r="YT46" i="79"/>
  <c r="YS46" i="79"/>
  <c r="YR46" i="79"/>
  <c r="YQ46" i="79"/>
  <c r="YP46" i="79"/>
  <c r="YO46" i="79"/>
  <c r="YN46" i="79"/>
  <c r="YM46" i="79"/>
  <c r="YL46" i="79"/>
  <c r="YK46" i="79"/>
  <c r="YJ46" i="79"/>
  <c r="YI46" i="79"/>
  <c r="YH46" i="79"/>
  <c r="YG46" i="79"/>
  <c r="YF46" i="79"/>
  <c r="YE46" i="79"/>
  <c r="YD46" i="79"/>
  <c r="YC46" i="79"/>
  <c r="YB46" i="79"/>
  <c r="YA46" i="79"/>
  <c r="XZ46" i="79"/>
  <c r="XY46" i="79"/>
  <c r="XX46" i="79"/>
  <c r="XW46" i="79"/>
  <c r="XV46" i="79"/>
  <c r="XU46" i="79"/>
  <c r="XT46" i="79"/>
  <c r="XS46" i="79"/>
  <c r="XR46" i="79"/>
  <c r="XQ46" i="79"/>
  <c r="XP46" i="79"/>
  <c r="XO46" i="79"/>
  <c r="XN46" i="79"/>
  <c r="XM46" i="79"/>
  <c r="XL46" i="79"/>
  <c r="XK46" i="79"/>
  <c r="XJ46" i="79"/>
  <c r="XI46" i="79"/>
  <c r="XH46" i="79"/>
  <c r="XG46" i="79"/>
  <c r="XF46" i="79"/>
  <c r="XE46" i="79"/>
  <c r="XD46" i="79"/>
  <c r="XC46" i="79"/>
  <c r="XB46" i="79"/>
  <c r="XA46" i="79"/>
  <c r="WZ46" i="79"/>
  <c r="WY46" i="79"/>
  <c r="WX46" i="79"/>
  <c r="WW46" i="79"/>
  <c r="WV46" i="79"/>
  <c r="WU46" i="79"/>
  <c r="WT46" i="79"/>
  <c r="WS46" i="79"/>
  <c r="WR46" i="79"/>
  <c r="WQ46" i="79"/>
  <c r="WP46" i="79"/>
  <c r="WO46" i="79"/>
  <c r="WN46" i="79"/>
  <c r="WM46" i="79"/>
  <c r="WL46" i="79"/>
  <c r="WK46" i="79"/>
  <c r="WJ46" i="79"/>
  <c r="WI46" i="79"/>
  <c r="WH46" i="79"/>
  <c r="WG46" i="79"/>
  <c r="WF46" i="79"/>
  <c r="WE46" i="79"/>
  <c r="WD46" i="79"/>
  <c r="WC46" i="79"/>
  <c r="WB46" i="79"/>
  <c r="WA46" i="79"/>
  <c r="VZ46" i="79"/>
  <c r="VY46" i="79"/>
  <c r="VX46" i="79"/>
  <c r="VW46" i="79"/>
  <c r="VV46" i="79"/>
  <c r="VU46" i="79"/>
  <c r="VT46" i="79"/>
  <c r="VS46" i="79"/>
  <c r="VR46" i="79"/>
  <c r="VQ46" i="79"/>
  <c r="VP46" i="79"/>
  <c r="VO46" i="79"/>
  <c r="VN46" i="79"/>
  <c r="VM46" i="79"/>
  <c r="VL46" i="79"/>
  <c r="VK46" i="79"/>
  <c r="VJ46" i="79"/>
  <c r="VI46" i="79"/>
  <c r="VH46" i="79"/>
  <c r="VG46" i="79"/>
  <c r="VF46" i="79"/>
  <c r="VE46" i="79"/>
  <c r="VD46" i="79"/>
  <c r="VC46" i="79"/>
  <c r="VB46" i="79"/>
  <c r="VA46" i="79"/>
  <c r="UZ46" i="79"/>
  <c r="UY46" i="79"/>
  <c r="UX46" i="79"/>
  <c r="UW46" i="79"/>
  <c r="UV46" i="79"/>
  <c r="UU46" i="79"/>
  <c r="UT46" i="79"/>
  <c r="US46" i="79"/>
  <c r="UR46" i="79"/>
  <c r="UQ46" i="79"/>
  <c r="UP46" i="79"/>
  <c r="UO46" i="79"/>
  <c r="UN46" i="79"/>
  <c r="UM46" i="79"/>
  <c r="UL46" i="79"/>
  <c r="UK46" i="79"/>
  <c r="UJ46" i="79"/>
  <c r="UI46" i="79"/>
  <c r="UH46" i="79"/>
  <c r="UG46" i="79"/>
  <c r="UF46" i="79"/>
  <c r="UE46" i="79"/>
  <c r="UD46" i="79"/>
  <c r="UC46" i="79"/>
  <c r="UB46" i="79"/>
  <c r="UA46" i="79"/>
  <c r="TZ46" i="79"/>
  <c r="TY46" i="79"/>
  <c r="TX46" i="79"/>
  <c r="TW46" i="79"/>
  <c r="TV46" i="79"/>
  <c r="TU46" i="79"/>
  <c r="TT46" i="79"/>
  <c r="TS46" i="79"/>
  <c r="TR46" i="79"/>
  <c r="TQ46" i="79"/>
  <c r="TP46" i="79"/>
  <c r="TO46" i="79"/>
  <c r="TN46" i="79"/>
  <c r="TM46" i="79"/>
  <c r="TL46" i="79"/>
  <c r="TK46" i="79"/>
  <c r="TJ46" i="79"/>
  <c r="TI46" i="79"/>
  <c r="TH46" i="79"/>
  <c r="TG46" i="79"/>
  <c r="TF46" i="79"/>
  <c r="TE46" i="79"/>
  <c r="TD46" i="79"/>
  <c r="TC46" i="79"/>
  <c r="TB46" i="79"/>
  <c r="TA46" i="79"/>
  <c r="SZ46" i="79"/>
  <c r="SY46" i="79"/>
  <c r="SX46" i="79"/>
  <c r="SW46" i="79"/>
  <c r="SV46" i="79"/>
  <c r="SU46" i="79"/>
  <c r="ST46" i="79"/>
  <c r="SS46" i="79"/>
  <c r="SR46" i="79"/>
  <c r="SQ46" i="79"/>
  <c r="SP46" i="79"/>
  <c r="SO46" i="79"/>
  <c r="SN46" i="79"/>
  <c r="SM46" i="79"/>
  <c r="SL46" i="79"/>
  <c r="SK46" i="79"/>
  <c r="SJ46" i="79"/>
  <c r="SI46" i="79"/>
  <c r="SH46" i="79"/>
  <c r="SG46" i="79"/>
  <c r="SF46" i="79"/>
  <c r="SE46" i="79"/>
  <c r="SD46" i="79"/>
  <c r="SC46" i="79"/>
  <c r="SB46" i="79"/>
  <c r="SA46" i="79"/>
  <c r="RZ46" i="79"/>
  <c r="RY46" i="79"/>
  <c r="RX46" i="79"/>
  <c r="RW46" i="79"/>
  <c r="RV46" i="79"/>
  <c r="RU46" i="79"/>
  <c r="RT46" i="79"/>
  <c r="RS46" i="79"/>
  <c r="RR46" i="79"/>
  <c r="RQ46" i="79"/>
  <c r="RP46" i="79"/>
  <c r="RO46" i="79"/>
  <c r="RN46" i="79"/>
  <c r="RM46" i="79"/>
  <c r="RL46" i="79"/>
  <c r="RK46" i="79"/>
  <c r="RJ46" i="79"/>
  <c r="RI46" i="79"/>
  <c r="RH46" i="79"/>
  <c r="RG46" i="79"/>
  <c r="RF46" i="79"/>
  <c r="RE46" i="79"/>
  <c r="RD46" i="79"/>
  <c r="RC46" i="79"/>
  <c r="RB46" i="79"/>
  <c r="RA46" i="79"/>
  <c r="QZ46" i="79"/>
  <c r="QY46" i="79"/>
  <c r="QX46" i="79"/>
  <c r="QW46" i="79"/>
  <c r="QV46" i="79"/>
  <c r="QU46" i="79"/>
  <c r="QT46" i="79"/>
  <c r="QS46" i="79"/>
  <c r="QR46" i="79"/>
  <c r="QQ46" i="79"/>
  <c r="QP46" i="79"/>
  <c r="QO46" i="79"/>
  <c r="QN46" i="79"/>
  <c r="QM46" i="79"/>
  <c r="QL46" i="79"/>
  <c r="QK46" i="79"/>
  <c r="QJ46" i="79"/>
  <c r="QI46" i="79"/>
  <c r="QH46" i="79"/>
  <c r="QG46" i="79"/>
  <c r="QF46" i="79"/>
  <c r="QE46" i="79"/>
  <c r="QD46" i="79"/>
  <c r="QC46" i="79"/>
  <c r="QB46" i="79"/>
  <c r="QA46" i="79"/>
  <c r="PZ46" i="79"/>
  <c r="PY46" i="79"/>
  <c r="PX46" i="79"/>
  <c r="PW46" i="79"/>
  <c r="PV46" i="79"/>
  <c r="PU46" i="79"/>
  <c r="PT46" i="79"/>
  <c r="PS46" i="79"/>
  <c r="PR46" i="79"/>
  <c r="PQ46" i="79"/>
  <c r="PP46" i="79"/>
  <c r="PO46" i="79"/>
  <c r="PN46" i="79"/>
  <c r="PM46" i="79"/>
  <c r="PL46" i="79"/>
  <c r="PK46" i="79"/>
  <c r="PJ46" i="79"/>
  <c r="PI46" i="79"/>
  <c r="PH46" i="79"/>
  <c r="PG46" i="79"/>
  <c r="PF46" i="79"/>
  <c r="PE46" i="79"/>
  <c r="PD46" i="79"/>
  <c r="PC46" i="79"/>
  <c r="PB46" i="79"/>
  <c r="PA46" i="79"/>
  <c r="OZ46" i="79"/>
  <c r="OY46" i="79"/>
  <c r="OX46" i="79"/>
  <c r="OW46" i="79"/>
  <c r="OV46" i="79"/>
  <c r="OU46" i="79"/>
  <c r="OT46" i="79"/>
  <c r="OS46" i="79"/>
  <c r="OR46" i="79"/>
  <c r="OQ46" i="79"/>
  <c r="OP46" i="79"/>
  <c r="OO46" i="79"/>
  <c r="ON46" i="79"/>
  <c r="OM46" i="79"/>
  <c r="OL46" i="79"/>
  <c r="OK46" i="79"/>
  <c r="OJ46" i="79"/>
  <c r="OI46" i="79"/>
  <c r="OH46" i="79"/>
  <c r="OG46" i="79"/>
  <c r="OF46" i="79"/>
  <c r="OE46" i="79"/>
  <c r="OD46" i="79"/>
  <c r="OC46" i="79"/>
  <c r="OB46" i="79"/>
  <c r="OA46" i="79"/>
  <c r="NZ46" i="79"/>
  <c r="NY46" i="79"/>
  <c r="NX46" i="79"/>
  <c r="NW46" i="79"/>
  <c r="NV46" i="79"/>
  <c r="NU46" i="79"/>
  <c r="NT46" i="79"/>
  <c r="NS46" i="79"/>
  <c r="NR46" i="79"/>
  <c r="NQ46" i="79"/>
  <c r="NP46" i="79"/>
  <c r="NO46" i="79"/>
  <c r="NN46" i="79"/>
  <c r="NM46" i="79"/>
  <c r="NL46" i="79"/>
  <c r="NK46" i="79"/>
  <c r="NJ46" i="79"/>
  <c r="NI46" i="79"/>
  <c r="NH46" i="79"/>
  <c r="NG46" i="79"/>
  <c r="NF46" i="79"/>
  <c r="NE46" i="79"/>
  <c r="ND46" i="79"/>
  <c r="NC46" i="79"/>
  <c r="NB46" i="79"/>
  <c r="NA46" i="79"/>
  <c r="MZ46" i="79"/>
  <c r="MY46" i="79"/>
  <c r="MX46" i="79"/>
  <c r="MW46" i="79"/>
  <c r="MV46" i="79"/>
  <c r="MU46" i="79"/>
  <c r="MT46" i="79"/>
  <c r="MS46" i="79"/>
  <c r="MR46" i="79"/>
  <c r="MQ46" i="79"/>
  <c r="MP46" i="79"/>
  <c r="MO46" i="79"/>
  <c r="MN46" i="79"/>
  <c r="MM46" i="79"/>
  <c r="ML46" i="79"/>
  <c r="MK46" i="79"/>
  <c r="MJ46" i="79"/>
  <c r="MI46" i="79"/>
  <c r="MH46" i="79"/>
  <c r="MG46" i="79"/>
  <c r="MF46" i="79"/>
  <c r="ME46" i="79"/>
  <c r="MD46" i="79"/>
  <c r="MC46" i="79"/>
  <c r="MB46" i="79"/>
  <c r="MA46" i="79"/>
  <c r="LZ46" i="79"/>
  <c r="LY46" i="79"/>
  <c r="LX46" i="79"/>
  <c r="LW46" i="79"/>
  <c r="LV46" i="79"/>
  <c r="LU46" i="79"/>
  <c r="LT46" i="79"/>
  <c r="LS46" i="79"/>
  <c r="LR46" i="79"/>
  <c r="LQ46" i="79"/>
  <c r="LP46" i="79"/>
  <c r="LO46" i="79"/>
  <c r="LN46" i="79"/>
  <c r="LM46" i="79"/>
  <c r="LL46" i="79"/>
  <c r="LK46" i="79"/>
  <c r="LJ46" i="79"/>
  <c r="LI46" i="79"/>
  <c r="LH46" i="79"/>
  <c r="LG46" i="79"/>
  <c r="LF46" i="79"/>
  <c r="LE46" i="79"/>
  <c r="LD46" i="79"/>
  <c r="LC46" i="79"/>
  <c r="LB46" i="79"/>
  <c r="LA46" i="79"/>
  <c r="KZ46" i="79"/>
  <c r="KY46" i="79"/>
  <c r="KX46" i="79"/>
  <c r="KW46" i="79"/>
  <c r="KV46" i="79"/>
  <c r="KU46" i="79"/>
  <c r="KT46" i="79"/>
  <c r="KS46" i="79"/>
  <c r="KR46" i="79"/>
  <c r="KQ46" i="79"/>
  <c r="KP46" i="79"/>
  <c r="KO46" i="79"/>
  <c r="KN46" i="79"/>
  <c r="KM46" i="79"/>
  <c r="KL46" i="79"/>
  <c r="KK46" i="79"/>
  <c r="KJ46" i="79"/>
  <c r="KI46" i="79"/>
  <c r="KH46" i="79"/>
  <c r="KG46" i="79"/>
  <c r="KF46" i="79"/>
  <c r="KE46" i="79"/>
  <c r="KD46" i="79"/>
  <c r="KC46" i="79"/>
  <c r="KB46" i="79"/>
  <c r="KA46" i="79"/>
  <c r="JZ46" i="79"/>
  <c r="JY46" i="79"/>
  <c r="JX46" i="79"/>
  <c r="JW46" i="79"/>
  <c r="JV46" i="79"/>
  <c r="JU46" i="79"/>
  <c r="JT46" i="79"/>
  <c r="JS46" i="79"/>
  <c r="JR46" i="79"/>
  <c r="JQ46" i="79"/>
  <c r="JP46" i="79"/>
  <c r="JO46" i="79"/>
  <c r="JN46" i="79"/>
  <c r="JM46" i="79"/>
  <c r="JL46" i="79"/>
  <c r="JK46" i="79"/>
  <c r="JJ46" i="79"/>
  <c r="JI46" i="79"/>
  <c r="JH46" i="79"/>
  <c r="JG46" i="79"/>
  <c r="JF46" i="79"/>
  <c r="JE46" i="79"/>
  <c r="JD46" i="79"/>
  <c r="JC46" i="79"/>
  <c r="JB46" i="79"/>
  <c r="JA46" i="79"/>
  <c r="IZ46" i="79"/>
  <c r="IY46" i="79"/>
  <c r="IX46" i="79"/>
  <c r="IW46" i="79"/>
  <c r="IV46" i="79"/>
  <c r="IU46" i="79"/>
  <c r="IT46" i="79"/>
  <c r="IS46" i="79"/>
  <c r="IR46" i="79"/>
  <c r="IQ46" i="79"/>
  <c r="IP46" i="79"/>
  <c r="IO46" i="79"/>
  <c r="IN46" i="79"/>
  <c r="IM46" i="79"/>
  <c r="IL46" i="79"/>
  <c r="IK46" i="79"/>
  <c r="IJ46" i="79"/>
  <c r="II46" i="79"/>
  <c r="IH46" i="79"/>
  <c r="IG46" i="79"/>
  <c r="IF46" i="79"/>
  <c r="IE46" i="79"/>
  <c r="ID46" i="79"/>
  <c r="IC46" i="79"/>
  <c r="IB46" i="79"/>
  <c r="IA46" i="79"/>
  <c r="HZ46" i="79"/>
  <c r="HY46" i="79"/>
  <c r="HX46" i="79"/>
  <c r="HW46" i="79"/>
  <c r="HV46" i="79"/>
  <c r="HU46" i="79"/>
  <c r="HT46" i="79"/>
  <c r="HS46" i="79"/>
  <c r="HR46" i="79"/>
  <c r="HQ46" i="79"/>
  <c r="HP46" i="79"/>
  <c r="HO46" i="79"/>
  <c r="HN46" i="79"/>
  <c r="HM46" i="79"/>
  <c r="HL46" i="79"/>
  <c r="HK46" i="79"/>
  <c r="HJ46" i="79"/>
  <c r="HI46" i="79"/>
  <c r="HH46" i="79"/>
  <c r="HG46" i="79"/>
  <c r="HF46" i="79"/>
  <c r="HE46" i="79"/>
  <c r="HD46" i="79"/>
  <c r="HC46" i="79"/>
  <c r="HB46" i="79"/>
  <c r="HA46" i="79"/>
  <c r="GZ46" i="79"/>
  <c r="GY46" i="79"/>
  <c r="GX46" i="79"/>
  <c r="GW46" i="79"/>
  <c r="GV46" i="79"/>
  <c r="GU46" i="79"/>
  <c r="GT46" i="79"/>
  <c r="GS46" i="79"/>
  <c r="GR46" i="79"/>
  <c r="GQ46" i="79"/>
  <c r="GP46" i="79"/>
  <c r="GO46" i="79"/>
  <c r="GN46" i="79"/>
  <c r="GM46" i="79"/>
  <c r="GL46" i="79"/>
  <c r="GK46" i="79"/>
  <c r="GJ46" i="79"/>
  <c r="GI46" i="79"/>
  <c r="GH46" i="79"/>
  <c r="GG46" i="79"/>
  <c r="GF46" i="79"/>
  <c r="GE46" i="79"/>
  <c r="GD46" i="79"/>
  <c r="GC46" i="79"/>
  <c r="GB46" i="79"/>
  <c r="GA46" i="79"/>
  <c r="FZ46" i="79"/>
  <c r="FY46" i="79"/>
  <c r="FX46" i="79"/>
  <c r="FW46" i="79"/>
  <c r="FV46" i="79"/>
  <c r="FU46" i="79"/>
  <c r="FT46" i="79"/>
  <c r="FS46" i="79"/>
  <c r="FR46" i="79"/>
  <c r="FQ46" i="79"/>
  <c r="FP46" i="79"/>
  <c r="FO46" i="79"/>
  <c r="FN46" i="79"/>
  <c r="FM46" i="79"/>
  <c r="FL46" i="79"/>
  <c r="FK46" i="79"/>
  <c r="FJ46" i="79"/>
  <c r="FI46" i="79"/>
  <c r="FH46" i="79"/>
  <c r="FG46" i="79"/>
  <c r="FF46" i="79"/>
  <c r="FE46" i="79"/>
  <c r="FD46" i="79"/>
  <c r="FC46" i="79"/>
  <c r="FB46" i="79"/>
  <c r="FA46" i="79"/>
  <c r="EZ46" i="79"/>
  <c r="EY46" i="79"/>
  <c r="EX46" i="79"/>
  <c r="EW46" i="79"/>
  <c r="EV46" i="79"/>
  <c r="EU46" i="79"/>
  <c r="ET46" i="79"/>
  <c r="ES46" i="79"/>
  <c r="ER46" i="79"/>
  <c r="EQ46" i="79"/>
  <c r="EP46" i="79"/>
  <c r="EO46" i="79"/>
  <c r="EN46" i="79"/>
  <c r="EM46" i="79"/>
  <c r="EL46" i="79"/>
  <c r="EK46" i="79"/>
  <c r="EJ46" i="79"/>
  <c r="EI46" i="79"/>
  <c r="EH46" i="79"/>
  <c r="EG46" i="79"/>
  <c r="EF46" i="79"/>
  <c r="EE46" i="79"/>
  <c r="ED46" i="79"/>
  <c r="EC46" i="79"/>
  <c r="EB46" i="79"/>
  <c r="EA46" i="79"/>
  <c r="DZ46" i="79"/>
  <c r="DY46" i="79"/>
  <c r="DX46" i="79"/>
  <c r="DW46" i="79"/>
  <c r="DV46" i="79"/>
  <c r="DU46" i="79"/>
  <c r="DT46" i="79"/>
  <c r="DS46" i="79"/>
  <c r="DR46" i="79"/>
  <c r="DQ46" i="79"/>
  <c r="DP46" i="79"/>
  <c r="DO46" i="79"/>
  <c r="DN46" i="79"/>
  <c r="DM46" i="79"/>
  <c r="DL46" i="79"/>
  <c r="DK46" i="79"/>
  <c r="DJ46" i="79"/>
  <c r="DI46" i="79"/>
  <c r="DH46" i="79"/>
  <c r="DG46" i="79"/>
  <c r="DF46" i="79"/>
  <c r="DE46" i="79"/>
  <c r="DD46" i="79"/>
  <c r="DC46" i="79"/>
  <c r="DB46" i="79"/>
  <c r="DA46" i="79"/>
  <c r="CZ46" i="79"/>
  <c r="CY46" i="79"/>
  <c r="CX46" i="79"/>
  <c r="CW46" i="79"/>
  <c r="CV46" i="79"/>
  <c r="CU46" i="79"/>
  <c r="CT46" i="79"/>
  <c r="CS46" i="79"/>
  <c r="CR46" i="79"/>
  <c r="CQ46" i="79"/>
  <c r="CP46" i="79"/>
  <c r="CO46" i="79"/>
  <c r="CN46" i="79"/>
  <c r="CM46" i="79"/>
  <c r="CL46" i="79"/>
  <c r="CK46" i="79"/>
  <c r="CJ46" i="79"/>
  <c r="CI46" i="79"/>
  <c r="CH46" i="79"/>
  <c r="CG46" i="79"/>
  <c r="CF46" i="79"/>
  <c r="CE46" i="79"/>
  <c r="CD46" i="79"/>
  <c r="CC46" i="79"/>
  <c r="CB46" i="79"/>
  <c r="CA46" i="79"/>
  <c r="BZ46" i="79"/>
  <c r="BY46" i="79"/>
  <c r="BX46" i="79"/>
  <c r="BW46" i="79"/>
  <c r="BV46" i="79"/>
  <c r="BU46" i="79"/>
  <c r="BT46" i="79"/>
  <c r="BS46" i="79"/>
  <c r="BR46" i="79"/>
  <c r="BQ46" i="79"/>
  <c r="BP46" i="79"/>
  <c r="BO46" i="79"/>
  <c r="BN46" i="79"/>
  <c r="BM46" i="79"/>
  <c r="BL46" i="79"/>
  <c r="BK46" i="79"/>
  <c r="BJ46" i="79"/>
  <c r="BI46" i="79"/>
  <c r="BH46" i="79"/>
  <c r="BG46" i="79"/>
  <c r="BF46" i="79"/>
  <c r="BE46" i="79"/>
  <c r="BD46" i="79"/>
  <c r="BC46" i="79"/>
  <c r="BB46" i="79"/>
  <c r="BA46" i="79"/>
  <c r="AZ46" i="79"/>
  <c r="AY46" i="79"/>
  <c r="AX46" i="79"/>
  <c r="AW46" i="79"/>
  <c r="AV46" i="79"/>
  <c r="AU46" i="79"/>
  <c r="AT46" i="79"/>
  <c r="AS46" i="79"/>
  <c r="AR46" i="79"/>
  <c r="AQ46" i="79"/>
  <c r="AP46" i="79"/>
  <c r="AO46" i="79"/>
  <c r="AN46" i="79"/>
  <c r="AM46" i="79"/>
  <c r="AL46" i="79"/>
  <c r="AK46" i="79"/>
  <c r="AJ46" i="79"/>
  <c r="AI46" i="79"/>
  <c r="AH46" i="79"/>
  <c r="AG46" i="79"/>
  <c r="AF46" i="79"/>
  <c r="AE46" i="79"/>
  <c r="AD46" i="79"/>
  <c r="AC46" i="79"/>
  <c r="AA46" i="79"/>
  <c r="Z46" i="79"/>
  <c r="Y46" i="79"/>
  <c r="W46" i="79"/>
  <c r="V46" i="79"/>
  <c r="U46" i="79"/>
  <c r="S46" i="79"/>
  <c r="R46" i="79"/>
  <c r="Q46" i="79"/>
  <c r="O46" i="79"/>
  <c r="N46" i="79"/>
  <c r="M46" i="79"/>
  <c r="K46" i="79"/>
  <c r="J46" i="79"/>
  <c r="I46" i="79"/>
  <c r="G46" i="79"/>
  <c r="F46" i="79"/>
  <c r="E46" i="79"/>
  <c r="C46" i="79"/>
  <c r="B46" i="79"/>
  <c r="A46" i="79"/>
  <c r="AB32" i="79" l="1"/>
  <c r="P6" i="96" s="1"/>
  <c r="Q6" i="96" s="1"/>
  <c r="AA32" i="79"/>
  <c r="Z32" i="79"/>
  <c r="AB31" i="79"/>
  <c r="AA31" i="79"/>
  <c r="Z31" i="79"/>
  <c r="AB30" i="79"/>
  <c r="AA30" i="79"/>
  <c r="Z30" i="79"/>
  <c r="AB29" i="79"/>
  <c r="AA29" i="79"/>
  <c r="Z29" i="79"/>
  <c r="AB28" i="79"/>
  <c r="AA28" i="79"/>
  <c r="Z28" i="79"/>
  <c r="AB27" i="79"/>
  <c r="AA27" i="79"/>
  <c r="Z27" i="79"/>
  <c r="AB26" i="79"/>
  <c r="AA26" i="79"/>
  <c r="Z26" i="79"/>
  <c r="AB25" i="79"/>
  <c r="AA25" i="79"/>
  <c r="Z25" i="79"/>
  <c r="AB24" i="79"/>
  <c r="P5" i="96" s="1"/>
  <c r="Q5" i="96" s="1"/>
  <c r="AA24" i="79"/>
  <c r="Z24" i="79"/>
  <c r="AB23" i="79"/>
  <c r="AA23" i="79"/>
  <c r="Z23" i="79"/>
  <c r="X32" i="79"/>
  <c r="N6" i="96" s="1"/>
  <c r="O6" i="96" s="1"/>
  <c r="W32" i="79"/>
  <c r="V32" i="79"/>
  <c r="X31" i="79"/>
  <c r="W31" i="79"/>
  <c r="V31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N5" i="96" s="1"/>
  <c r="O5" i="96" s="1"/>
  <c r="W24" i="79"/>
  <c r="V24" i="79"/>
  <c r="X23" i="79"/>
  <c r="W23" i="79"/>
  <c r="V23" i="79"/>
  <c r="T32" i="79"/>
  <c r="L6" i="96" s="1"/>
  <c r="M6" i="96" s="1"/>
  <c r="S32" i="79"/>
  <c r="R32" i="79"/>
  <c r="T31" i="79"/>
  <c r="S31" i="79"/>
  <c r="R31" i="79"/>
  <c r="T30" i="79"/>
  <c r="S30" i="79"/>
  <c r="R30" i="79"/>
  <c r="T29" i="79"/>
  <c r="S29" i="79"/>
  <c r="R29" i="79"/>
  <c r="T28" i="79"/>
  <c r="S28" i="79"/>
  <c r="R28" i="79"/>
  <c r="T27" i="79"/>
  <c r="S27" i="79"/>
  <c r="R27" i="79"/>
  <c r="T26" i="79"/>
  <c r="S26" i="79"/>
  <c r="R26" i="79"/>
  <c r="T25" i="79"/>
  <c r="S25" i="79"/>
  <c r="R25" i="79"/>
  <c r="T24" i="79"/>
  <c r="L5" i="96" s="1"/>
  <c r="M5" i="96" s="1"/>
  <c r="S24" i="79"/>
  <c r="R24" i="79"/>
  <c r="T23" i="79"/>
  <c r="S23" i="79"/>
  <c r="R23" i="79"/>
  <c r="Z21" i="79"/>
  <c r="V21" i="79"/>
  <c r="R21" i="79"/>
  <c r="AB17" i="79"/>
  <c r="AB33" i="79" s="1"/>
  <c r="Z17" i="79"/>
  <c r="X17" i="79"/>
  <c r="X33" i="79" s="1"/>
  <c r="V17" i="79"/>
  <c r="V33" i="79" s="1"/>
  <c r="T17" i="79"/>
  <c r="T33" i="79" s="1"/>
  <c r="R17" i="79"/>
  <c r="R33" i="79" s="1"/>
  <c r="V40" i="79" l="1"/>
  <c r="V34" i="79" s="1"/>
  <c r="V60" i="79"/>
  <c r="V36" i="79" s="1"/>
  <c r="P4" i="96"/>
  <c r="Q4" i="96" s="1"/>
  <c r="R41" i="79"/>
  <c r="R35" i="79" s="1"/>
  <c r="L4" i="96"/>
  <c r="M4" i="96" s="1"/>
  <c r="N4" i="96"/>
  <c r="O4" i="96" s="1"/>
  <c r="R60" i="79"/>
  <c r="R36" i="79" s="1"/>
  <c r="R40" i="79"/>
  <c r="R34" i="79" s="1"/>
  <c r="V41" i="79"/>
  <c r="V35" i="79" s="1"/>
  <c r="G7" i="78"/>
  <c r="H7" i="78" s="1"/>
  <c r="G6" i="78"/>
  <c r="H6" i="78" s="1"/>
  <c r="G8" i="78"/>
  <c r="H8" i="78" s="1"/>
  <c r="Z33" i="79"/>
  <c r="Z40" i="79" s="1"/>
  <c r="Z34" i="79" s="1"/>
  <c r="J9" i="23"/>
  <c r="Z41" i="79" l="1"/>
  <c r="Z35" i="79" s="1"/>
  <c r="Z60" i="79"/>
  <c r="Z36" i="79" s="1"/>
  <c r="B12" i="23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C5" i="95" l="1"/>
  <c r="C6" i="95"/>
  <c r="C7" i="95"/>
  <c r="C8" i="95"/>
  <c r="C9" i="95"/>
  <c r="C10" i="95"/>
  <c r="C11" i="95"/>
  <c r="C12" i="95"/>
  <c r="C13" i="95"/>
  <c r="C4" i="95"/>
  <c r="G111" i="79"/>
  <c r="G112" i="79"/>
  <c r="G113" i="79"/>
  <c r="G114" i="79"/>
  <c r="G115" i="79"/>
  <c r="H115" i="79"/>
  <c r="F115" i="79"/>
  <c r="D115" i="79"/>
  <c r="C115" i="79"/>
  <c r="H114" i="79"/>
  <c r="F114" i="79"/>
  <c r="D114" i="79"/>
  <c r="C114" i="79"/>
  <c r="B114" i="79"/>
  <c r="F113" i="79"/>
  <c r="D113" i="79"/>
  <c r="C113" i="79"/>
  <c r="B113" i="79"/>
  <c r="F112" i="79"/>
  <c r="D112" i="79"/>
  <c r="C112" i="79"/>
  <c r="B112" i="79"/>
  <c r="H111" i="79"/>
  <c r="F111" i="79"/>
  <c r="D111" i="79"/>
  <c r="C111" i="79"/>
  <c r="B111" i="79"/>
  <c r="B110" i="79"/>
  <c r="G28" i="23" l="1"/>
  <c r="H28" i="23"/>
  <c r="E28" i="23"/>
  <c r="G29" i="51"/>
  <c r="R10" i="80" a="1"/>
  <c r="Q5" i="80" a="1"/>
  <c r="Q8" i="80" a="1"/>
  <c r="R7" i="80" a="1"/>
  <c r="R12" i="80" a="1"/>
  <c r="Q13" i="80" a="1"/>
  <c r="R11" i="80" a="1"/>
  <c r="R13" i="80" a="1"/>
  <c r="R9" i="80" a="1"/>
  <c r="R5" i="80" a="1"/>
  <c r="R4" i="80" a="1"/>
  <c r="Q7" i="80" a="1"/>
  <c r="Q12" i="80" a="1"/>
  <c r="R8" i="80" a="1"/>
  <c r="Q9" i="80" a="1"/>
  <c r="Q6" i="80" a="1"/>
  <c r="Q10" i="80" a="1"/>
  <c r="Q11" i="80" a="1"/>
  <c r="R6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L14" i="95" s="1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E25" i="88" s="1"/>
  <c r="A26" i="88"/>
  <c r="L11" i="80"/>
  <c r="A27" i="88" l="1"/>
  <c r="B26" i="88"/>
  <c r="C26" i="88" s="1"/>
  <c r="B27" i="88" l="1"/>
  <c r="C27" i="88" s="1"/>
  <c r="E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H78" i="79" l="1"/>
  <c r="F78" i="79"/>
  <c r="J82" i="79"/>
  <c r="H93" i="79"/>
  <c r="H109" i="79" s="1"/>
  <c r="G93" i="79"/>
  <c r="G109" i="79" s="1"/>
  <c r="F93" i="79"/>
  <c r="F109" i="79" s="1"/>
  <c r="H92" i="79"/>
  <c r="H108" i="79" s="1"/>
  <c r="G92" i="79"/>
  <c r="G108" i="79" s="1"/>
  <c r="F92" i="79"/>
  <c r="F108" i="79" s="1"/>
  <c r="H91" i="79"/>
  <c r="H107" i="79" s="1"/>
  <c r="G91" i="79"/>
  <c r="G107" i="79" s="1"/>
  <c r="F91" i="79"/>
  <c r="F107" i="79" s="1"/>
  <c r="H90" i="79"/>
  <c r="H106" i="79" s="1"/>
  <c r="G90" i="79"/>
  <c r="G106" i="79" s="1"/>
  <c r="F90" i="79"/>
  <c r="F106" i="79" s="1"/>
  <c r="H89" i="79"/>
  <c r="H105" i="79" s="1"/>
  <c r="G89" i="79"/>
  <c r="G105" i="79" s="1"/>
  <c r="F89" i="79"/>
  <c r="F105" i="79" s="1"/>
  <c r="H88" i="79"/>
  <c r="G88" i="79"/>
  <c r="F88" i="79"/>
  <c r="H87" i="79"/>
  <c r="G87" i="79"/>
  <c r="F87" i="79"/>
  <c r="F103" i="79" s="1"/>
  <c r="H86" i="79"/>
  <c r="G86" i="79"/>
  <c r="F86" i="79"/>
  <c r="H85" i="79"/>
  <c r="G85" i="79"/>
  <c r="F85" i="79"/>
  <c r="C8" i="79" l="1"/>
  <c r="C69" i="79" s="1"/>
  <c r="C85" i="79" s="1"/>
  <c r="C9" i="79"/>
  <c r="C70" i="79" s="1"/>
  <c r="C86" i="79" s="1"/>
  <c r="C10" i="79"/>
  <c r="C71" i="79" s="1"/>
  <c r="C87" i="79" s="1"/>
  <c r="C11" i="79"/>
  <c r="C72" i="79" s="1"/>
  <c r="C88" i="79" s="1"/>
  <c r="C12" i="79"/>
  <c r="C73" i="79" s="1"/>
  <c r="C89" i="79" s="1"/>
  <c r="C105" i="79" s="1"/>
  <c r="C13" i="79"/>
  <c r="C74" i="79" s="1"/>
  <c r="C90" i="79" s="1"/>
  <c r="C106" i="79" s="1"/>
  <c r="C14" i="79"/>
  <c r="C75" i="79" s="1"/>
  <c r="C91" i="79" s="1"/>
  <c r="C107" i="79" s="1"/>
  <c r="C15" i="79"/>
  <c r="C76" i="79" s="1"/>
  <c r="C92" i="79" s="1"/>
  <c r="C108" i="79" s="1"/>
  <c r="C16" i="79"/>
  <c r="B8" i="79"/>
  <c r="B69" i="79" s="1"/>
  <c r="B85" i="79" s="1"/>
  <c r="B9" i="79"/>
  <c r="B70" i="79" s="1"/>
  <c r="B86" i="79" s="1"/>
  <c r="B10" i="79"/>
  <c r="B71" i="79" s="1"/>
  <c r="B87" i="79" s="1"/>
  <c r="B11" i="79"/>
  <c r="B72" i="79" s="1"/>
  <c r="B88" i="79" s="1"/>
  <c r="B12" i="79"/>
  <c r="B73" i="79" s="1"/>
  <c r="B89" i="79" s="1"/>
  <c r="B105" i="79" s="1"/>
  <c r="B13" i="79"/>
  <c r="B74" i="79" s="1"/>
  <c r="B90" i="79" s="1"/>
  <c r="B106" i="79" s="1"/>
  <c r="B14" i="79"/>
  <c r="B75" i="79" s="1"/>
  <c r="B91" i="79" s="1"/>
  <c r="B107" i="79" s="1"/>
  <c r="B15" i="79"/>
  <c r="B76" i="79" s="1"/>
  <c r="B92" i="79" s="1"/>
  <c r="B108" i="79" s="1"/>
  <c r="B16" i="79"/>
  <c r="B77" i="79" l="1"/>
  <c r="B93" i="79" s="1"/>
  <c r="B109" i="79" s="1"/>
  <c r="B32" i="79"/>
  <c r="C77" i="79"/>
  <c r="C93" i="79" s="1"/>
  <c r="C109" i="79" s="1"/>
  <c r="C32" i="79"/>
  <c r="D13" i="95" s="1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93" i="79"/>
  <c r="P77" i="79"/>
  <c r="AC77" i="79" s="1"/>
  <c r="K45" i="23"/>
  <c r="M45" i="23" s="1"/>
  <c r="AD16" i="79"/>
  <c r="AE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J93" i="79"/>
  <c r="G32" i="79"/>
  <c r="F32" i="79"/>
  <c r="K32" i="79"/>
  <c r="J32" i="79"/>
  <c r="O32" i="79"/>
  <c r="N32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25" i="79"/>
  <c r="B26" i="79"/>
  <c r="B27" i="79"/>
  <c r="B28" i="79"/>
  <c r="B29" i="79"/>
  <c r="B30" i="79"/>
  <c r="B31" i="79"/>
  <c r="B7" i="79"/>
  <c r="B68" i="79" s="1"/>
  <c r="B84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L93" i="79"/>
  <c r="D33" i="94"/>
  <c r="D28" i="94"/>
  <c r="AD77" i="79"/>
  <c r="C17" i="79"/>
  <c r="C68" i="79"/>
  <c r="C78" i="79" s="1"/>
  <c r="C94" i="79" s="1"/>
  <c r="C110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F16" i="79"/>
  <c r="C25" i="79"/>
  <c r="D6" i="95" s="1"/>
  <c r="C27" i="79"/>
  <c r="D8" i="95" s="1"/>
  <c r="C26" i="79"/>
  <c r="D7" i="95" s="1"/>
  <c r="C28" i="79"/>
  <c r="D9" i="95" s="1"/>
  <c r="C29" i="79"/>
  <c r="D10" i="95" s="1"/>
  <c r="C30" i="79"/>
  <c r="D11" i="95" s="1"/>
  <c r="C31" i="79"/>
  <c r="D12" i="95" s="1"/>
  <c r="C24" i="79"/>
  <c r="D5" i="95" s="1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H6" i="96" l="1"/>
  <c r="I6" i="96" s="1"/>
  <c r="L54" i="79"/>
  <c r="F6" i="96"/>
  <c r="G6" i="96" s="1"/>
  <c r="H54" i="79"/>
  <c r="J6" i="96"/>
  <c r="K6" i="96" s="1"/>
  <c r="P54" i="79"/>
  <c r="W17" i="79"/>
  <c r="W33" i="79" s="1"/>
  <c r="AA17" i="79"/>
  <c r="AA33" i="79" s="1"/>
  <c r="C33" i="79"/>
  <c r="D14" i="95" s="1"/>
  <c r="S17" i="79"/>
  <c r="S33" i="79" s="1"/>
  <c r="F28" i="92"/>
  <c r="G29" i="92" s="1"/>
  <c r="L24" i="23"/>
  <c r="N24" i="23" s="1"/>
  <c r="E11" i="80"/>
  <c r="I11" i="80" s="1"/>
  <c r="F19" i="80" s="1"/>
  <c r="F45" i="23"/>
  <c r="G45" i="23" s="1"/>
  <c r="F13" i="80" s="1"/>
  <c r="E13" i="80"/>
  <c r="L26" i="23"/>
  <c r="N26" i="23" s="1"/>
  <c r="L21" i="23"/>
  <c r="N21" i="23" s="1"/>
  <c r="J11" i="80" l="1"/>
  <c r="K11" i="80" s="1"/>
  <c r="J13" i="80"/>
  <c r="K13" i="80" s="1"/>
  <c r="I13" i="80"/>
  <c r="F24" i="80" s="1"/>
  <c r="G13" i="80"/>
  <c r="O45" i="23"/>
  <c r="D77" i="79"/>
  <c r="D93" i="79" s="1"/>
  <c r="D109" i="79" s="1"/>
  <c r="L45" i="23"/>
  <c r="N45" i="23" s="1"/>
  <c r="H13" i="80"/>
  <c r="E8" i="80"/>
  <c r="J8" i="80" l="1"/>
  <c r="K8" i="80" s="1"/>
  <c r="I8" i="80"/>
  <c r="D54" i="79"/>
  <c r="F25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A32" i="79" l="1"/>
  <c r="D6" i="96"/>
  <c r="E6" i="96" s="1"/>
  <c r="K88" i="79"/>
  <c r="H49" i="79"/>
  <c r="L49" i="79"/>
  <c r="P49" i="79"/>
  <c r="L88" i="79"/>
  <c r="G27" i="79"/>
  <c r="P72" i="79"/>
  <c r="AC72" i="79" s="1"/>
  <c r="AD72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F11" i="79"/>
  <c r="G23" i="81"/>
  <c r="P23" i="81" s="1"/>
  <c r="I23" i="81"/>
  <c r="R23" i="81" s="1"/>
  <c r="E23" i="81"/>
  <c r="N23" i="81" s="1"/>
  <c r="R9" i="81"/>
  <c r="P9" i="81"/>
  <c r="E9" i="81"/>
  <c r="N9" i="81" s="1"/>
  <c r="AD11" i="79"/>
  <c r="AE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J88" i="79"/>
  <c r="D72" i="79"/>
  <c r="D88" i="79" s="1"/>
  <c r="O27" i="79"/>
  <c r="N27" i="79"/>
  <c r="K27" i="79"/>
  <c r="J27" i="79"/>
  <c r="F27" i="79"/>
  <c r="H14" i="48"/>
  <c r="G14" i="48"/>
  <c r="G8" i="80" l="1"/>
  <c r="E9" i="80"/>
  <c r="I9" i="80" s="1"/>
  <c r="F21" i="80" s="1"/>
  <c r="A27" i="79" l="1"/>
  <c r="D49" i="79"/>
  <c r="J9" i="80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81" i="79"/>
  <c r="F82" i="79"/>
  <c r="F21" i="79"/>
  <c r="B23" i="79"/>
  <c r="C84" i="79" l="1"/>
  <c r="C23" i="79"/>
  <c r="D4" i="95" s="1"/>
  <c r="B3" i="79"/>
  <c r="D17" i="78"/>
  <c r="D16" i="78"/>
  <c r="D15" i="78"/>
  <c r="C11" i="78" l="1"/>
  <c r="E6" i="78" l="1"/>
  <c r="C6" i="78" s="1"/>
  <c r="K6" i="78" s="1"/>
  <c r="E8" i="78"/>
  <c r="C8" i="78" s="1"/>
  <c r="K8" i="78" s="1"/>
  <c r="E7" i="78"/>
  <c r="C7" i="78" s="1"/>
  <c r="K7" i="78" s="1"/>
  <c r="E9" i="78"/>
  <c r="C9" i="78" s="1"/>
  <c r="E11" i="78"/>
  <c r="C17" i="78"/>
  <c r="E10" i="78"/>
  <c r="C10" i="78" s="1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K86" i="79" l="1"/>
  <c r="G25" i="79"/>
  <c r="K90" i="79"/>
  <c r="G29" i="79"/>
  <c r="K30" i="79"/>
  <c r="O30" i="79"/>
  <c r="K89" i="79"/>
  <c r="G28" i="79"/>
  <c r="K92" i="79"/>
  <c r="G31" i="79"/>
  <c r="G26" i="79"/>
  <c r="G30" i="79"/>
  <c r="K87" i="79"/>
  <c r="P74" i="79"/>
  <c r="AC74" i="79" s="1"/>
  <c r="P70" i="79"/>
  <c r="AC70" i="79" s="1"/>
  <c r="P75" i="79"/>
  <c r="AC75" i="79" s="1"/>
  <c r="P73" i="79"/>
  <c r="AC73" i="79" s="1"/>
  <c r="P76" i="79"/>
  <c r="AC76" i="79" s="1"/>
  <c r="P71" i="79"/>
  <c r="AC71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D12" i="79"/>
  <c r="AE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AD13" i="79"/>
  <c r="AE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AD15" i="79"/>
  <c r="AE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AD14" i="79"/>
  <c r="AE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AD9" i="79"/>
  <c r="AE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AD10" i="79"/>
  <c r="AE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J90" i="79" l="1"/>
  <c r="J89" i="79"/>
  <c r="J91" i="79"/>
  <c r="J92" i="79"/>
  <c r="J86" i="79"/>
  <c r="J87" i="79"/>
  <c r="N30" i="79"/>
  <c r="K31" i="79"/>
  <c r="J31" i="79"/>
  <c r="K28" i="79"/>
  <c r="J28" i="79"/>
  <c r="J30" i="79"/>
  <c r="F30" i="79"/>
  <c r="O31" i="79"/>
  <c r="N31" i="79"/>
  <c r="F26" i="79"/>
  <c r="F25" i="79"/>
  <c r="F29" i="79"/>
  <c r="O26" i="79"/>
  <c r="N26" i="79"/>
  <c r="O25" i="79"/>
  <c r="N25" i="79"/>
  <c r="F31" i="79"/>
  <c r="K26" i="79"/>
  <c r="J26" i="79"/>
  <c r="K25" i="79"/>
  <c r="J25" i="79"/>
  <c r="F28" i="79"/>
  <c r="O29" i="79"/>
  <c r="N29" i="79"/>
  <c r="O28" i="79"/>
  <c r="N28" i="79"/>
  <c r="K29" i="79"/>
  <c r="J29" i="79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48" i="79"/>
  <c r="L87" i="79"/>
  <c r="H48" i="79"/>
  <c r="P48" i="79"/>
  <c r="AD71" i="79"/>
  <c r="H7" i="80"/>
  <c r="F26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F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K85" i="79" l="1"/>
  <c r="G24" i="79"/>
  <c r="G23" i="79"/>
  <c r="P69" i="79"/>
  <c r="AC69" i="79" s="1"/>
  <c r="P68" i="79"/>
  <c r="AC68" i="79" s="1"/>
  <c r="H46" i="23"/>
  <c r="AD7" i="79"/>
  <c r="AE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D8" i="79"/>
  <c r="AE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J84" i="79" l="1"/>
  <c r="J85" i="79"/>
  <c r="K84" i="79"/>
  <c r="J78" i="79"/>
  <c r="K78" i="79" s="1"/>
  <c r="K94" i="79" s="1"/>
  <c r="AD17" i="79"/>
  <c r="AE17" i="79" s="1"/>
  <c r="G84" i="79"/>
  <c r="F84" i="79"/>
  <c r="F24" i="79"/>
  <c r="J17" i="79"/>
  <c r="J23" i="79"/>
  <c r="O24" i="79"/>
  <c r="N24" i="79"/>
  <c r="F17" i="79"/>
  <c r="K24" i="79"/>
  <c r="J24" i="79"/>
  <c r="O23" i="79"/>
  <c r="N17" i="79"/>
  <c r="N23" i="79"/>
  <c r="F23" i="79"/>
  <c r="K23" i="79"/>
  <c r="J42" i="23"/>
  <c r="J43" i="23"/>
  <c r="J41" i="23"/>
  <c r="G41" i="23"/>
  <c r="F9" i="80" s="1"/>
  <c r="G42" i="23"/>
  <c r="G39" i="23"/>
  <c r="F7" i="80" s="1"/>
  <c r="G43" i="23"/>
  <c r="F11" i="80" s="1"/>
  <c r="K17" i="79" l="1"/>
  <c r="K33" i="79" s="1"/>
  <c r="O17" i="79"/>
  <c r="O33" i="79" s="1"/>
  <c r="D74" i="79"/>
  <c r="D90" i="79" s="1"/>
  <c r="D106" i="79" s="1"/>
  <c r="F10" i="80"/>
  <c r="G10" i="80" s="1"/>
  <c r="O43" i="23"/>
  <c r="D75" i="79"/>
  <c r="D91" i="79" s="1"/>
  <c r="D107" i="79" s="1"/>
  <c r="D50" i="23"/>
  <c r="O42" i="23"/>
  <c r="O41" i="23"/>
  <c r="D71" i="79"/>
  <c r="D87" i="79" s="1"/>
  <c r="O39" i="23"/>
  <c r="L52" i="79"/>
  <c r="P52" i="79"/>
  <c r="L91" i="79"/>
  <c r="H51" i="79"/>
  <c r="L51" i="79"/>
  <c r="P51" i="79"/>
  <c r="L90" i="79"/>
  <c r="P50" i="79"/>
  <c r="L89" i="79"/>
  <c r="H50" i="79"/>
  <c r="L50" i="79"/>
  <c r="J94" i="79"/>
  <c r="G17" i="79"/>
  <c r="G33" i="79" s="1"/>
  <c r="F33" i="79"/>
  <c r="G11" i="80"/>
  <c r="AD75" i="79"/>
  <c r="AD73" i="79"/>
  <c r="AD74" i="79"/>
  <c r="F94" i="79"/>
  <c r="F110" i="79" s="1"/>
  <c r="G78" i="79"/>
  <c r="G94" i="79" s="1"/>
  <c r="G110" i="79" s="1"/>
  <c r="D73" i="79"/>
  <c r="D89" i="79" s="1"/>
  <c r="D105" i="79" s="1"/>
  <c r="J33" i="79"/>
  <c r="H52" i="79"/>
  <c r="N33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F12" i="79"/>
  <c r="I24" i="81"/>
  <c r="R24" i="81" s="1"/>
  <c r="E24" i="81"/>
  <c r="N24" i="81" s="1"/>
  <c r="R10" i="81"/>
  <c r="P10" i="81"/>
  <c r="E10" i="81"/>
  <c r="N10" i="81" s="1"/>
  <c r="G24" i="81"/>
  <c r="P24" i="81" s="1"/>
  <c r="AF14" i="79"/>
  <c r="I26" i="81"/>
  <c r="R26" i="81" s="1"/>
  <c r="E26" i="81"/>
  <c r="N26" i="81" s="1"/>
  <c r="R12" i="81"/>
  <c r="G26" i="81"/>
  <c r="P26" i="81" s="1"/>
  <c r="P12" i="81"/>
  <c r="E12" i="81"/>
  <c r="N12" i="81" s="1"/>
  <c r="AF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C16" i="78" l="1"/>
  <c r="E16" i="78" s="1"/>
  <c r="C15" i="78"/>
  <c r="G9" i="80"/>
  <c r="L53" i="79"/>
  <c r="L92" i="79"/>
  <c r="P53" i="79"/>
  <c r="H53" i="79"/>
  <c r="AD76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F15" i="79"/>
  <c r="G27" i="81"/>
  <c r="P27" i="81" s="1"/>
  <c r="I27" i="81"/>
  <c r="R27" i="81" s="1"/>
  <c r="E27" i="81"/>
  <c r="N27" i="81" s="1"/>
  <c r="R13" i="81"/>
  <c r="P13" i="81"/>
  <c r="E13" i="81"/>
  <c r="N13" i="81" s="1"/>
  <c r="A28" i="79" l="1"/>
  <c r="D50" i="79"/>
  <c r="A29" i="79"/>
  <c r="D51" i="79"/>
  <c r="A26" i="79"/>
  <c r="D48" i="79"/>
  <c r="A30" i="79"/>
  <c r="D52" i="79"/>
  <c r="E15" i="78"/>
  <c r="D76" i="79"/>
  <c r="D92" i="79" s="1"/>
  <c r="D108" i="79" s="1"/>
  <c r="F12" i="80"/>
  <c r="G12" i="80" s="1"/>
  <c r="L44" i="23"/>
  <c r="N44" i="23" s="1"/>
  <c r="O44" i="23"/>
  <c r="C12" i="23"/>
  <c r="G9" i="48" l="1"/>
  <c r="D9" i="48"/>
  <c r="I12" i="48"/>
  <c r="I12" i="50"/>
  <c r="I12" i="51"/>
  <c r="D9" i="50"/>
  <c r="D9" i="51"/>
  <c r="G12" i="51"/>
  <c r="A31" i="79" l="1"/>
  <c r="D53" i="79"/>
  <c r="A22" i="5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70" i="79"/>
  <c r="D86" i="79" s="1"/>
  <c r="N17" i="23"/>
  <c r="H4" i="80"/>
  <c r="F36" i="23"/>
  <c r="J36" i="23"/>
  <c r="L84" i="79" l="1"/>
  <c r="L86" i="79"/>
  <c r="H47" i="79"/>
  <c r="L47" i="79"/>
  <c r="P47" i="79"/>
  <c r="AD68" i="79"/>
  <c r="G36" i="23"/>
  <c r="F4" i="80" s="1"/>
  <c r="AF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C3" i="79"/>
  <c r="I19" i="81"/>
  <c r="R19" i="81" s="1"/>
  <c r="E19" i="81"/>
  <c r="N19" i="81" s="1"/>
  <c r="R5" i="81"/>
  <c r="E5" i="81"/>
  <c r="N5" i="81" s="1"/>
  <c r="G19" i="81"/>
  <c r="P19" i="81" s="1"/>
  <c r="A25" i="79" l="1"/>
  <c r="D47" i="79"/>
  <c r="D68" i="79"/>
  <c r="D84" i="79" s="1"/>
  <c r="O36" i="23"/>
  <c r="G4" i="80"/>
  <c r="H84" i="79"/>
  <c r="D45" i="79"/>
  <c r="H4" i="96" l="1"/>
  <c r="I4" i="96" s="1"/>
  <c r="L45" i="79"/>
  <c r="F4" i="96"/>
  <c r="G4" i="96" s="1"/>
  <c r="H45" i="79"/>
  <c r="J4" i="96"/>
  <c r="K4" i="96" s="1"/>
  <c r="P45" i="79"/>
  <c r="A23" i="79"/>
  <c r="D4" i="96"/>
  <c r="E4" i="96" s="1"/>
  <c r="B9" i="50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0" i="5"/>
  <c r="B34" i="5"/>
  <c r="B31" i="5"/>
  <c r="B33" i="5"/>
  <c r="B45" i="5"/>
  <c r="B44" i="5"/>
  <c r="B27" i="5"/>
  <c r="B39" i="5"/>
  <c r="B42" i="5"/>
  <c r="B38" i="5"/>
  <c r="B28" i="5"/>
  <c r="B46" i="5"/>
  <c r="B32" i="5"/>
  <c r="B40" i="5"/>
  <c r="B29" i="5"/>
  <c r="B35" i="5"/>
  <c r="B43" i="5"/>
  <c r="E9" i="5"/>
  <c r="B36" i="5"/>
  <c r="B47" i="5"/>
  <c r="B3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8" i="23" l="1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20" i="80" s="1"/>
  <c r="F37" i="23"/>
  <c r="F46" i="23" s="1"/>
  <c r="J37" i="23"/>
  <c r="J5" i="80" l="1"/>
  <c r="K5" i="80" s="1"/>
  <c r="K14" i="80" s="1"/>
  <c r="E14" i="80"/>
  <c r="I14" i="80" s="1"/>
  <c r="J14" i="80"/>
  <c r="L78" i="79"/>
  <c r="AD69" i="79"/>
  <c r="L85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F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69" i="79" l="1"/>
  <c r="F5" i="80"/>
  <c r="F14" i="80" s="1"/>
  <c r="O37" i="23"/>
  <c r="F27" i="80"/>
  <c r="L94" i="79"/>
  <c r="H94" i="79"/>
  <c r="H110" i="79" s="1"/>
  <c r="G46" i="23"/>
  <c r="G49" i="23" s="1"/>
  <c r="L37" i="23"/>
  <c r="H5" i="96" l="1"/>
  <c r="I5" i="96" s="1"/>
  <c r="L46" i="79"/>
  <c r="F5" i="96"/>
  <c r="G5" i="96" s="1"/>
  <c r="H46" i="79"/>
  <c r="J5" i="96"/>
  <c r="K5" i="96" s="1"/>
  <c r="P46" i="79"/>
  <c r="F11" i="78"/>
  <c r="G5" i="80"/>
  <c r="G14" i="80"/>
  <c r="D85" i="79"/>
  <c r="D78" i="79"/>
  <c r="N37" i="23"/>
  <c r="D46" i="79"/>
  <c r="L13" i="23"/>
  <c r="L55" i="79"/>
  <c r="G10" i="78"/>
  <c r="H10" i="78" s="1"/>
  <c r="G9" i="78"/>
  <c r="H9" i="78" s="1"/>
  <c r="P55" i="79"/>
  <c r="H55" i="79"/>
  <c r="G11" i="78"/>
  <c r="H11" i="78" s="1"/>
  <c r="L11" i="78" s="1"/>
  <c r="A24" i="79" l="1"/>
  <c r="D5" i="96"/>
  <c r="E5" i="96" s="1"/>
  <c r="N34" i="79"/>
  <c r="N35" i="79"/>
  <c r="N60" i="79"/>
  <c r="F35" i="79"/>
  <c r="F60" i="79"/>
  <c r="F34" i="79"/>
  <c r="J60" i="79"/>
  <c r="J35" i="79"/>
  <c r="J34" i="79"/>
  <c r="G15" i="78"/>
  <c r="I15" i="78" s="1"/>
  <c r="L9" i="78"/>
  <c r="G16" i="78"/>
  <c r="I16" i="78" s="1"/>
  <c r="L10" i="78"/>
  <c r="J7" i="78"/>
  <c r="J8" i="78"/>
  <c r="J6" i="78"/>
  <c r="I8" i="78"/>
  <c r="I7" i="78"/>
  <c r="I6" i="78"/>
  <c r="D79" i="79"/>
  <c r="D94" i="79"/>
  <c r="D18" i="79"/>
  <c r="D55" i="79"/>
  <c r="K9" i="78"/>
  <c r="F16" i="78"/>
  <c r="H16" i="78" s="1"/>
  <c r="K11" i="78"/>
  <c r="K10" i="78"/>
  <c r="F15" i="78"/>
  <c r="H15" i="78" s="1"/>
  <c r="D37" i="79" l="1"/>
  <c r="C60" i="79"/>
  <c r="T37" i="79"/>
  <c r="T38" i="79" s="1"/>
  <c r="C35" i="79"/>
  <c r="C34" i="79"/>
  <c r="H37" i="79"/>
  <c r="X37" i="79"/>
  <c r="AB37" i="79"/>
  <c r="L96" i="79"/>
  <c r="L97" i="79" s="1"/>
  <c r="D110" i="79"/>
  <c r="H96" i="79"/>
  <c r="I10" i="78"/>
  <c r="L37" i="79"/>
  <c r="P37" i="79"/>
  <c r="J9" i="78"/>
  <c r="J10" i="78"/>
  <c r="J11" i="78"/>
  <c r="I9" i="78"/>
  <c r="I11" i="78"/>
  <c r="F9" i="89"/>
  <c r="J19" i="23" s="1"/>
  <c r="P38" i="79" l="1"/>
  <c r="P41" i="79"/>
  <c r="P60" i="79" s="1"/>
  <c r="P39" i="79"/>
  <c r="P40" i="79" s="1"/>
  <c r="X38" i="79"/>
  <c r="X41" i="79"/>
  <c r="X60" i="79" s="1"/>
  <c r="X39" i="79"/>
  <c r="X40" i="79" s="1"/>
  <c r="T41" i="79"/>
  <c r="T60" i="79" s="1"/>
  <c r="T39" i="79"/>
  <c r="T40" i="79" s="1"/>
  <c r="L41" i="79"/>
  <c r="L60" i="79" s="1"/>
  <c r="L39" i="79"/>
  <c r="L40" i="79" s="1"/>
  <c r="L38" i="79"/>
  <c r="H38" i="79"/>
  <c r="H39" i="79"/>
  <c r="H40" i="79" s="1"/>
  <c r="H41" i="79"/>
  <c r="H60" i="79" s="1"/>
  <c r="AB38" i="79"/>
  <c r="AB41" i="79"/>
  <c r="AB60" i="79" s="1"/>
  <c r="AB39" i="79"/>
  <c r="AB40" i="79" s="1"/>
  <c r="H97" i="79"/>
  <c r="H113" i="79" s="1"/>
  <c r="H112" i="79"/>
  <c r="I38" i="23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AF9" i="79"/>
  <c r="AF17" i="79" s="1"/>
  <c r="I21" i="86"/>
  <c r="R21" i="86" s="1"/>
  <c r="AD70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<sst xmlns="http://schemas.openxmlformats.org/spreadsheetml/2006/main" count="1312" uniqueCount="331">
  <si>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</si>
  <si>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</si>
  <si>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</si>
  <si>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</si>
  <si>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</si>
  <si>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</si>
  <si>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</si>
  <si>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</si>
  <si>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</si>
  <si>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</si>
  <si>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</si>
  <si>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</si>
  <si>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</si>
  <si>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</si>
  <si>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</si>
  <si>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</si>
  <si>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</si>
  <si>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</si>
  <si>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</si>
  <si>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</si>
  <si>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</si>
  <si>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</si>
  <si>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</si>
  <si>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</si>
  <si>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</si>
  <si>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</si>
  <si>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</si>
  <si>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</si>
  <si>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</si>
  <si>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</si>
  <si>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</si>
  <si>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</si>
  <si>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</si>
  <si>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</si>
  <si>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</si>
  <si>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</si>
  <si>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</si>
  <si>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</si>
  <si>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</si>
  <si>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</si>
  <si>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</si>
  <si>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</si>
  <si>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</si>
  <si>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</si>
  <si>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</si>
  <si>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</si>
  <si>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</si>
  <si>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</si>
  <si>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</si>
  <si>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</si>
  <si>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</si>
  <si>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</si>
  <si>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</si>
  <si>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</si>
  <si>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</si>
  <si>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</si>
  <si>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</si>
  <si>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</si>
  <si>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</si>
  <si>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</si>
  <si>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</si>
  <si>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</si>
  <si>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</si>
  <si>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</si>
  <si>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</si>
  <si>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</si>
  <si>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</si>
  <si>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</si>
  <si>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</si>
  <si>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</si>
  <si>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</si>
  <si>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</si>
  <si>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</si>
  <si>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</si>
  <si>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</si>
  <si>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</si>
  <si>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</si>
  <si>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</si>
  <si>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</si>
  <si>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</si>
  <si>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</si>
  <si>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</si>
  <si>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</si>
  <si>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</si>
  <si>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</si>
  <si>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</si>
  <si>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</si>
  <si>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</si>
  <si>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</si>
  <si>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</si>
  <si>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</si>
  <si>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</si>
  <si>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</si>
  <si>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</si>
  <si>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</si>
  <si>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</si>
  <si>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</si>
  <si>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</si>
  <si>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</si>
  <si>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</si>
  <si>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</si>
  <si>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</si>
  <si>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</si>
  <si>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</si>
  <si>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</si>
  <si>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</si>
  <si>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</si>
  <si>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</si>
  <si>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</si>
  <si>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</si>
  <si>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</si>
  <si>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</si>
  <si>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</si>
  <si>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</si>
  <si>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</si>
  <si>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</si>
  <si>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</si>
  <si>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</si>
  <si>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</si>
  <si>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</si>
  <si>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</si>
  <si>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</si>
  <si>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</si>
  <si>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</si>
  <si>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</si>
  <si>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</si>
  <si>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</si>
  <si>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</si>
  <si>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</si>
  <si>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</si>
  <si>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</si>
  <si>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</si>
  <si>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</si>
  <si>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</si>
  <si>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</si>
  <si>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</si>
  <si>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</si>
  <si>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</si>
  <si>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</si>
  <si>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</si>
  <si>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</si>
  <si>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</si>
  <si>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</si>
  <si>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</si>
  <si>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</si>
  <si>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</si>
  <si>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</si>
  <si>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</si>
  <si>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</si>
  <si>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</si>
  <si>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</si>
  <si>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</si>
  <si>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</si>
  <si>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</si>
  <si>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</si>
  <si>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</si>
  <si>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</si>
  <si>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</si>
  <si>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</si>
  <si>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</si>
  <si>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</si>
  <si>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</si>
  <si>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</si>
  <si>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</si>
  <si>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</si>
  <si>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</si>
  <si>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</si>
  <si>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</si>
  <si>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</si>
  <si>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</si>
  <si>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</si>
  <si>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</si>
  <si>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</si>
  <si>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</si>
  <si>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</si>
  <si>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</si>
  <si>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</si>
  <si>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</si>
  <si>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</si>
  <si>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</si>
  <si>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</si>
  <si>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</si>
  <si>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</si>
  <si>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</si>
  <si>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</si>
  <si>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</si>
  <si>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</si>
  <si>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</si>
  <si>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</si>
  <si>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</si>
  <si>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</si>
  <si>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</si>
  <si>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</si>
  <si>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</si>
  <si>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</si>
  <si>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</si>
  <si>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</si>
  <si>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</si>
  <si>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</si>
  <si>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</si>
  <si>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</si>
  <si>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</si>
  <si>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</si>
  <si>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</si>
  <si>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</si>
  <si>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</si>
  <si>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</si>
  <si>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</si>
  <si>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</si>
  <si>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</si>
  <si>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</si>
  <si>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</si>
  <si>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</si>
  <si>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</si>
  <si>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</si>
  <si>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</si>
  <si>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</si>
  <si>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</si>
  <si>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</si>
  <si>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</si>
  <si>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</si>
  <si>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</si>
  <si>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</si>
  <si>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</si>
  <si>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</si>
  <si>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</si>
  <si>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</si>
  <si>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</si>
  <si>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</si>
  <si>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</si>
  <si>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</si>
  <si>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</si>
  <si>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</si>
  <si>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</si>
  <si>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</si>
  <si>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</si>
  <si>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</si>
  <si>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</si>
  <si>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</si>
  <si>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</si>
  <si>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</si>
  <si>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</si>
  <si>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</si>
  <si>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</si>
  <si>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</si>
  <si>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</si>
  <si>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</si>
  <si>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</si>
  <si>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</si>
  <si>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</si>
  <si>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</si>
  <si>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</si>
  <si>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</si>
  <si>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</si>
  <si>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</si>
  <si>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</si>
  <si>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</si>
  <si>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</si>
  <si>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</si>
  <si>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</si>
  <si>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</si>
  <si>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</si>
  <si>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</si>
  <si>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</si>
  <si>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</si>
  <si>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</si>
  <si>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</si>
  <si>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</si>
  <si>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</si>
  <si>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</si>
  <si>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</si>
  <si>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</si>
  <si>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</si>
  <si>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</si>
  <si>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</si>
  <si>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</si>
  <si>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</si>
  <si>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</si>
  <si>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</si>
  <si>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</si>
  <si>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</si>
  <si>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</si>
  <si>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  (8.5%)</t>
  </si>
  <si>
    <t>Maximum Spend</t>
  </si>
  <si>
    <t>Current optimal ($60MM)</t>
  </si>
  <si>
    <t>Δ Pre-tax Revenue w.r.t 2023 Current baseline</t>
  </si>
  <si>
    <t>Optimal channel spend allowed to vary based on custom limits  for 2023 channel spend</t>
  </si>
  <si>
    <t>Total In Scope Budget</t>
  </si>
  <si>
    <t>In Scope Promotion</t>
  </si>
  <si>
    <t>Minimum Spend</t>
  </si>
  <si>
    <t xml:space="preserve"> 6M Increase in Spend ($66M)</t>
  </si>
  <si>
    <t xml:space="preserve"> 11M Increase in Spend ($71M)</t>
  </si>
  <si>
    <t xml:space="preserve"> 21M Increase in Spend ($81M)</t>
  </si>
  <si>
    <t>30M Increase in Spend ($90M)</t>
  </si>
  <si>
    <t>60M Increase in Spend ($120M)</t>
  </si>
  <si>
    <t>60M Increase in Spend ($90M)</t>
  </si>
  <si>
    <t>Custom Scenario</t>
  </si>
  <si>
    <t>Expected pre-tax Revenue($MM)</t>
  </si>
  <si>
    <t>Current Optimal ($60MM)</t>
  </si>
  <si>
    <t>Custom Scenario (Private Doses)</t>
  </si>
  <si>
    <t>Custom Scenario (Adult Doses)</t>
  </si>
  <si>
    <t>Δ Pre-tax Adult Revenue w.r.t 2023 Current baseline</t>
  </si>
  <si>
    <t>Δ Pre-tax Projected Revenue w.r.t 2023 Current baseline</t>
  </si>
  <si>
    <t>+$72 (41.9%)</t>
  </si>
  <si>
    <t>+$101 (58.7%)</t>
  </si>
  <si>
    <t>+$132 (76.7%)</t>
  </si>
  <si>
    <t>+$90 (41.9%)</t>
  </si>
  <si>
    <t>+$58 (41.9%)</t>
  </si>
  <si>
    <t>+$126 (58.7%)</t>
  </si>
  <si>
    <t>+$81 (58.7%)</t>
  </si>
  <si>
    <t>+$165 (76.7%)</t>
  </si>
  <si>
    <t>+$106 (76.7%)</t>
  </si>
  <si>
    <t>HCP</t>
  </si>
  <si>
    <t>Doses vol</t>
  </si>
  <si>
    <t>% Contribution</t>
  </si>
  <si>
    <t>2024 projected</t>
  </si>
  <si>
    <t>Current B: Stretch Max</t>
  </si>
  <si>
    <t>1b: Stretch Max</t>
  </si>
  <si>
    <t>2b: Stretch Max</t>
  </si>
  <si>
    <t>Expected Incr. Doses (K)</t>
  </si>
  <si>
    <t>Current Optimal ($60MM) (Stretch Max)</t>
  </si>
  <si>
    <t xml:space="preserve"> 6M Increase in Spend ($66M)  (Stretch Max)</t>
  </si>
  <si>
    <t>+171  (22.5%)</t>
  </si>
  <si>
    <t>+214  (22.5%)</t>
  </si>
  <si>
    <t>+137  (22.5%)</t>
  </si>
  <si>
    <t>+268 (35.2%)</t>
  </si>
  <si>
    <t>+335 (35.2%)</t>
  </si>
  <si>
    <t>+215 (35.2%)</t>
  </si>
  <si>
    <t>+239 (31.4%)</t>
  </si>
  <si>
    <t>+299 (31.4%)</t>
  </si>
  <si>
    <t>+191 (31.4%)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</si>
</sst>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0,\ &quot;K&quot;"/>
    <numFmt numFmtId="177" formatCode="#,\ "/>
    <numFmt numFmtId="178" formatCode="#,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2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7" borderId="84" xfId="0" applyFont="1" applyFill="1" applyBorder="1" applyAlignment="1">
      <alignment horizontal="left" wrapText="1" indent="1"/>
    </xf>
    <xf numFmtId="170" fontId="28" fillId="47" borderId="85" xfId="0" applyNumberFormat="1" applyFont="1" applyFill="1" applyBorder="1" applyAlignment="1">
      <alignment horizontal="center" vertical="center"/>
    </xf>
    <xf numFmtId="170" fontId="28" fillId="47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7" xfId="4" applyNumberFormat="1" applyFont="1" applyFill="1" applyBorder="1" applyAlignment="1">
      <alignment horizontal="center" vertical="center" wrapText="1"/>
    </xf>
    <xf numFmtId="9" fontId="28" fillId="47" borderId="88" xfId="3" applyFont="1" applyFill="1" applyBorder="1" applyAlignment="1">
      <alignment horizontal="center" vertical="center"/>
    </xf>
    <xf numFmtId="170" fontId="28" fillId="47" borderId="89" xfId="4" applyNumberFormat="1" applyFont="1" applyFill="1" applyBorder="1" applyAlignment="1">
      <alignment horizontal="center" vertical="center" wrapText="1"/>
    </xf>
    <xf numFmtId="166" fontId="38" fillId="47" borderId="89" xfId="4" applyNumberFormat="1" applyFont="1" applyFill="1" applyBorder="1" applyAlignment="1">
      <alignment horizontal="center" vertical="center" wrapText="1"/>
    </xf>
    <xf numFmtId="166" fontId="28" fillId="47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7" borderId="84" xfId="0" applyFont="1" applyFill="1" applyBorder="1" applyAlignment="1">
      <alignment horizontal="left" wrapText="1" indent="1"/>
    </xf>
    <xf numFmtId="166" fontId="38" fillId="47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7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7" borderId="84" xfId="0" applyFont="1" applyFill="1" applyBorder="1" applyAlignment="1">
      <alignment horizontal="left" vertical="center" wrapText="1" indent="1"/>
    </xf>
    <xf numFmtId="170" fontId="42" fillId="47" borderId="85" xfId="0" applyNumberFormat="1" applyFont="1" applyFill="1" applyBorder="1" applyAlignment="1">
      <alignment horizontal="center" vertical="center"/>
    </xf>
    <xf numFmtId="170" fontId="42" fillId="47" borderId="87" xfId="4" applyNumberFormat="1" applyFont="1" applyFill="1" applyBorder="1" applyAlignment="1">
      <alignment horizontal="center" vertical="center" wrapText="1"/>
    </xf>
    <xf numFmtId="9" fontId="42" fillId="47" borderId="88" xfId="3" applyFont="1" applyFill="1" applyBorder="1" applyAlignment="1">
      <alignment horizontal="center" vertical="center"/>
    </xf>
    <xf numFmtId="0" fontId="46" fillId="46" borderId="47" xfId="0" applyFont="1" applyFill="1" applyBorder="1" applyAlignment="1">
      <alignment horizontal="center" vertical="center" wrapText="1"/>
    </xf>
    <xf numFmtId="0" fontId="46" fillId="46" borderId="48" xfId="0" applyFont="1" applyFill="1" applyBorder="1" applyAlignment="1">
      <alignment horizontal="center" vertical="center" wrapText="1"/>
    </xf>
    <xf numFmtId="0" fontId="46" fillId="46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1" fontId="45" fillId="0" borderId="42" xfId="3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0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2" fillId="47" borderId="84" xfId="0" applyFont="1" applyFill="1" applyBorder="1" applyAlignment="1">
      <alignment horizontal="left" vertical="center" wrapText="1"/>
    </xf>
    <xf numFmtId="170" fontId="42" fillId="47" borderId="86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42" fillId="47" borderId="89" xfId="4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170" fontId="47" fillId="0" borderId="79" xfId="4" applyNumberFormat="1" applyFont="1" applyBorder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70" fontId="47" fillId="0" borderId="83" xfId="4" applyNumberFormat="1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166" fontId="48" fillId="47" borderId="89" xfId="4" quotePrefix="1" applyNumberFormat="1" applyFont="1" applyFill="1" applyBorder="1" applyAlignment="1">
      <alignment horizontal="center" vertical="center" wrapText="1"/>
    </xf>
    <xf numFmtId="166" fontId="42" fillId="47" borderId="89" xfId="4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49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5" fontId="1" fillId="0" borderId="0" xfId="0" applyNumberFormat="1" applyFont="1"/>
    <xf numFmtId="168" fontId="47" fillId="0" borderId="80" xfId="4" applyNumberFormat="1" applyFont="1" applyBorder="1" applyAlignment="1">
      <alignment horizontal="center" vertical="center"/>
    </xf>
    <xf numFmtId="168" fontId="47" fillId="0" borderId="82" xfId="4" applyNumberFormat="1" applyFont="1" applyBorder="1" applyAlignment="1">
      <alignment horizontal="center" vertical="center"/>
    </xf>
    <xf numFmtId="10" fontId="45" fillId="0" borderId="42" xfId="3" applyNumberFormat="1" applyFont="1" applyBorder="1" applyAlignment="1">
      <alignment horizontal="center" vertical="center"/>
    </xf>
    <xf numFmtId="0" fontId="44" fillId="0" borderId="0" xfId="0" applyFont="1"/>
    <xf numFmtId="0" fontId="44" fillId="0" borderId="70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9" fontId="42" fillId="47" borderId="0" xfId="3" applyFont="1" applyFill="1" applyBorder="1" applyAlignment="1">
      <alignment horizontal="center" vertical="center"/>
    </xf>
    <xf numFmtId="164" fontId="28" fillId="0" borderId="0" xfId="0" quotePrefix="1" applyNumberFormat="1" applyFont="1" applyAlignment="1">
      <alignment horizontal="center" vertical="center" wrapText="1"/>
    </xf>
    <xf numFmtId="2" fontId="41" fillId="0" borderId="0" xfId="0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43" borderId="2" xfId="0" applyNumberFormat="1" applyFill="1" applyBorder="1" applyAlignment="1">
      <alignment horizontal="center" vertical="center"/>
    </xf>
    <xf numFmtId="171" fontId="0" fillId="0" borderId="2" xfId="3" applyNumberFormat="1" applyFont="1" applyBorder="1" applyAlignment="1">
      <alignment horizontal="center" vertical="center"/>
    </xf>
    <xf numFmtId="0" fontId="25" fillId="48" borderId="2" xfId="0" applyFont="1" applyFill="1" applyBorder="1" applyAlignment="1">
      <alignment horizontal="center" vertical="center"/>
    </xf>
    <xf numFmtId="174" fontId="0" fillId="0" borderId="2" xfId="0" applyNumberFormat="1" applyBorder="1" applyAlignment="1">
      <alignment horizontal="center" vertical="center"/>
    </xf>
    <xf numFmtId="166" fontId="42" fillId="47" borderId="0" xfId="4" applyNumberFormat="1" applyFont="1" applyFill="1" applyBorder="1" applyAlignment="1">
      <alignment horizontal="center" vertical="center" wrapText="1"/>
    </xf>
    <xf numFmtId="165" fontId="41" fillId="0" borderId="0" xfId="2" applyNumberFormat="1" applyFont="1"/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7" borderId="0" xfId="0" applyFont="1" applyFill="1" applyAlignment="1">
      <alignment horizontal="center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5" fillId="46" borderId="67" xfId="0" applyFont="1" applyFill="1" applyBorder="1" applyAlignment="1">
      <alignment horizontal="center" vertic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43" fillId="46" borderId="67" xfId="0" applyFont="1" applyFill="1" applyBorder="1" applyAlignment="1">
      <alignment horizontal="center" vertical="center"/>
    </xf>
    <xf numFmtId="0" fontId="43" fillId="46" borderId="68" xfId="0" applyFont="1" applyFill="1" applyBorder="1" applyAlignment="1">
      <alignment horizontal="center" vertical="center"/>
    </xf>
    <xf numFmtId="0" fontId="43" fillId="46" borderId="69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50" fillId="0" borderId="101" xfId="0" applyFont="1" applyBorder="1" applyAlignment="1">
      <alignment horizontal="center" vertical="center"/>
    </xf>
    <xf numFmtId="0" fontId="50" fillId="0" borderId="99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25" fillId="48" borderId="2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0" fillId="0" borderId="103" xfId="0" applyBorder="1" applyAlignment="1">
      <alignment horizontal="center"/>
    </xf>
    <xf numFmtId="1" fontId="0" fillId="0" borderId="0" xfId="0" applyNumberFormat="1"/>
    <xf numFmtId="177" fontId="0" fillId="0" borderId="0" xfId="4" applyNumberFormat="1" applyFont="1" applyAlignment="1">
      <alignment horizontal="center"/>
    </xf>
    <xf numFmtId="177" fontId="0" fillId="0" borderId="0" xfId="0" applyNumberFormat="1" applyAlignment="1">
      <alignment horizontal="center" vertical="center"/>
    </xf>
    <xf numFmtId="177" fontId="47" fillId="0" borderId="77" xfId="4" applyNumberFormat="1" applyFont="1" applyBorder="1" applyAlignment="1">
      <alignment horizontal="center" vertical="center"/>
    </xf>
    <xf numFmtId="177" fontId="42" fillId="47" borderId="86" xfId="0" applyNumberFormat="1" applyFont="1" applyFill="1" applyBorder="1" applyAlignment="1">
      <alignment horizontal="center" vertical="center"/>
    </xf>
    <xf numFmtId="178" fontId="42" fillId="47" borderId="89" xfId="4" applyNumberFormat="1" applyFont="1" applyFill="1" applyBorder="1" applyAlignment="1">
      <alignment horizontal="center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3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3.0498572699284314</c:v>
                </c:pt>
                <c:pt idx="1">
                  <c:v>3.0498572699284314</c:v>
                </c:pt>
                <c:pt idx="2">
                  <c:v>3.0498572699284314</c:v>
                </c:pt>
                <c:pt idx="3">
                  <c:v>3.0498572699284314</c:v>
                </c:pt>
                <c:pt idx="4">
                  <c:v>3.0498572699284314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2.2775007120514013</c:v>
                </c:pt>
                <c:pt idx="1">
                  <c:v>2.2775007120514013</c:v>
                </c:pt>
                <c:pt idx="2">
                  <c:v>2.2775007120514013</c:v>
                </c:pt>
                <c:pt idx="3">
                  <c:v>2.2775007120514013</c:v>
                </c:pt>
                <c:pt idx="4">
                  <c:v>2.2775007120514013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8.3069009999999999</c:v>
                </c:pt>
                <c:pt idx="1">
                  <c:v>8.3069009999999999</c:v>
                </c:pt>
                <c:pt idx="2">
                  <c:v>8.3069009999999999</c:v>
                </c:pt>
                <c:pt idx="3">
                  <c:v>8.3069009999999999</c:v>
                </c:pt>
                <c:pt idx="4">
                  <c:v>8.3069009999999999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120000000.09829633</c:v>
                </c:pt>
                <c:pt idx="1">
                  <c:v>90000000</c:v>
                </c:pt>
                <c:pt idx="2">
                  <c:v>81407662.933894485</c:v>
                </c:pt>
                <c:pt idx="3">
                  <c:v>71407663.045681015</c:v>
                </c:pt>
                <c:pt idx="4">
                  <c:v>66407663</c:v>
                </c:pt>
                <c:pt idx="5">
                  <c:v>59976092.18</c:v>
                </c:pt>
              </c:numCache>
            </c:numRef>
          </c:xVal>
          <c:yVal>
            <c:numRef>
              <c:f>'Scenario summary'!$G$6:$G$11</c:f>
              <c:numCache>
                <c:formatCode>_("$"* #,##0_);_("$"* \(#,##0\);_("$"* "-"??_);_(@_)</c:formatCode>
                <c:ptCount val="6"/>
                <c:pt idx="0">
                  <c:v>304095262.45109439</c:v>
                </c:pt>
                <c:pt idx="1">
                  <c:v>273064454.84179378</c:v>
                </c:pt>
                <c:pt idx="2">
                  <c:v>244200742.91037884</c:v>
                </c:pt>
                <c:pt idx="3">
                  <c:v>1029810.877995803</c:v>
                </c:pt>
                <c:pt idx="4">
                  <c:v>1000540.4294075908</c:v>
                </c:pt>
                <c:pt idx="5">
                  <c:v>932496.94530570577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  <c:pt idx="0">
                  <c:v>Custom Scenario (Adult Doses)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120000000.09829633</c:v>
                </c:pt>
                <c:pt idx="1">
                  <c:v>90000000</c:v>
                </c:pt>
                <c:pt idx="2">
                  <c:v>81407662.933894485</c:v>
                </c:pt>
                <c:pt idx="3">
                  <c:v>71407663.045681015</c:v>
                </c:pt>
                <c:pt idx="4">
                  <c:v>66407663</c:v>
                </c:pt>
                <c:pt idx="5">
                  <c:v>59976092.18</c:v>
                </c:pt>
              </c:numCache>
            </c:numRef>
          </c:xVal>
          <c:yVal>
            <c:numRef>
              <c:f>'Scenario summary'!$H$6:$H$11</c:f>
              <c:numCache>
                <c:formatCode>_("$"* #,##0_);_("$"* \(#,##0\);_("$"* "-"??_);_(@_)</c:formatCode>
                <c:ptCount val="6"/>
                <c:pt idx="0">
                  <c:v>243276209.96087551</c:v>
                </c:pt>
                <c:pt idx="1">
                  <c:v>218451563.87343502</c:v>
                </c:pt>
                <c:pt idx="2">
                  <c:v>195360594.3283031</c:v>
                </c:pt>
                <c:pt idx="3">
                  <c:v>823848.70239664242</c:v>
                </c:pt>
                <c:pt idx="4">
                  <c:v>800432.34352607268</c:v>
                </c:pt>
                <c:pt idx="5">
                  <c:v>745997.55624456471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summary'!$F$11</c:f>
              <c:numCache>
                <c:formatCode>_("$"* #,##0_);_("$"* \(#,##0\);_("$"* "-"??_);_(@_)</c:formatCode>
                <c:ptCount val="1"/>
                <c:pt idx="0">
                  <c:v>761479.22554221447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21000000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467933.02080957498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20273404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142300.5770089858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2200000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37608.450193722703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2277500.7120514014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32853.279778552242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3049857.2699284316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33231.132088102815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8306901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72062.483379729863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21000000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467933.02080957498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20273404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142300.5770089858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6242.5057294806466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37608.450193722703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2277500.7120514014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32853.279778552242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3049857.2699284316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33231.132088102815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8306901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72062.483379729863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3.0498572699284314</c:v>
                </c:pt>
                <c:pt idx="2">
                  <c:v>3.0498572699284314</c:v>
                </c:pt>
                <c:pt idx="3">
                  <c:v>3.0498572699284314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2.2775007120514013</c:v>
                </c:pt>
                <c:pt idx="2">
                  <c:v>2.2775007120514013</c:v>
                </c:pt>
                <c:pt idx="3">
                  <c:v>2.2775007120514013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8.3069009999999999</c:v>
                </c:pt>
                <c:pt idx="2">
                  <c:v>8.3069009999999999</c:v>
                </c:pt>
                <c:pt idx="3">
                  <c:v>8.3069009999999999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20.273403999999999</c:v>
                </c:pt>
                <c:pt idx="2">
                  <c:v>20.273403999999999</c:v>
                </c:pt>
                <c:pt idx="3">
                  <c:v>20.273403999999999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18</xdr:row>
      <xdr:rowOff>149225</xdr:rowOff>
    </xdr:from>
    <xdr:to>
      <xdr:col>9</xdr:col>
      <xdr:colOff>406400</xdr:colOff>
      <xdr:row>39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1" t="s">
        <v>212</v>
      </c>
    </row>
    <row r="2" spans="2:20" ht="15.75" thickBot="1" x14ac:dyDescent="0.3"/>
    <row r="3" spans="2:20" ht="30.2" customHeight="1" x14ac:dyDescent="0.25">
      <c r="B3" s="425" t="s">
        <v>2</v>
      </c>
      <c r="C3" s="423" t="s">
        <v>3</v>
      </c>
      <c r="D3" s="421" t="s">
        <v>213</v>
      </c>
      <c r="E3" s="422"/>
      <c r="F3" s="421" t="s">
        <v>214</v>
      </c>
      <c r="G3" s="422"/>
      <c r="H3" s="421" t="s">
        <v>215</v>
      </c>
      <c r="I3" s="422"/>
      <c r="K3" s="425" t="s">
        <v>2</v>
      </c>
      <c r="L3" s="423" t="s">
        <v>3</v>
      </c>
      <c r="M3" s="421" t="s">
        <v>213</v>
      </c>
      <c r="N3" s="422"/>
      <c r="O3" s="421" t="s">
        <v>214</v>
      </c>
      <c r="P3" s="422"/>
      <c r="Q3" s="421" t="s">
        <v>215</v>
      </c>
      <c r="R3" s="422"/>
    </row>
    <row r="4" spans="2:20" ht="25.5" x14ac:dyDescent="0.25">
      <c r="B4" s="424"/>
      <c r="C4" s="424"/>
      <c r="D4" s="212" t="s">
        <v>216</v>
      </c>
      <c r="E4" s="213" t="s">
        <v>217</v>
      </c>
      <c r="F4" s="212" t="s">
        <v>216</v>
      </c>
      <c r="G4" s="213" t="s">
        <v>217</v>
      </c>
      <c r="H4" s="212" t="s">
        <v>216</v>
      </c>
      <c r="I4" s="213" t="s">
        <v>217</v>
      </c>
      <c r="K4" s="424"/>
      <c r="L4" s="424"/>
      <c r="M4" s="212" t="s">
        <v>216</v>
      </c>
      <c r="N4" s="213" t="s">
        <v>217</v>
      </c>
      <c r="O4" s="212" t="s">
        <v>216</v>
      </c>
      <c r="P4" s="213" t="s">
        <v>217</v>
      </c>
      <c r="Q4" s="212" t="s">
        <v>216</v>
      </c>
      <c r="R4" s="213" t="s">
        <v>217</v>
      </c>
    </row>
    <row r="5" spans="2:20" x14ac:dyDescent="0.25">
      <c r="B5" s="53" t="s">
        <v>154</v>
      </c>
      <c r="C5" s="214" t="str">
        <f>VAC_Optim_Scenario!B17</f>
        <v>HCC InOffice</v>
      </c>
      <c r="D5" s="215">
        <f>VAC_Optim_Scenario!$H36</f>
        <v>900000</v>
      </c>
      <c r="E5" s="216">
        <f>VAC_Optim_Scenario!$J36</f>
        <v>1410431.7445188572</v>
      </c>
      <c r="F5" s="215">
        <f>VAC_Optim_Scenario!$H36</f>
        <v>900000</v>
      </c>
      <c r="G5" s="216">
        <f>VAC_Optim_Scenario!$J36</f>
        <v>1410431.7445188572</v>
      </c>
      <c r="H5" s="215">
        <f>VAC_Optim_Scenario!$H36</f>
        <v>900000</v>
      </c>
      <c r="I5" s="216">
        <f>VAC_Optim_Scenario!$J36</f>
        <v>1410431.7445188572</v>
      </c>
      <c r="J5" s="217"/>
      <c r="K5" s="53" t="s">
        <v>154</v>
      </c>
      <c r="L5" s="53" t="str">
        <f>VAC_Optim_Scenario!B17</f>
        <v>HCC InOffice</v>
      </c>
      <c r="M5" s="218">
        <f>D5/1000000</f>
        <v>0.9</v>
      </c>
      <c r="N5" s="219">
        <f t="shared" ref="N5:R13" si="0">E5/1000000</f>
        <v>1.4104317445188572</v>
      </c>
      <c r="O5" s="218">
        <f t="shared" si="0"/>
        <v>0.9</v>
      </c>
      <c r="P5" s="219">
        <f t="shared" si="0"/>
        <v>1.4104317445188572</v>
      </c>
      <c r="Q5" s="218">
        <f t="shared" si="0"/>
        <v>0.9</v>
      </c>
      <c r="R5" s="219">
        <f t="shared" si="0"/>
        <v>1.4104317445188572</v>
      </c>
    </row>
    <row r="6" spans="2:20" x14ac:dyDescent="0.25">
      <c r="B6" s="54" t="s">
        <v>154</v>
      </c>
      <c r="C6" s="220" t="str">
        <f>VAC_Optim_Scenario!B18</f>
        <v>HCP MCM</v>
      </c>
      <c r="D6" s="221">
        <f>VAC_Optim_Scenario!$H37</f>
        <v>21000000</v>
      </c>
      <c r="E6" s="222">
        <f>VAC_Optim_Scenario!$J37</f>
        <v>105724786.72171538</v>
      </c>
      <c r="F6" s="221">
        <f>VAC_Optim_Scenario!$H37</f>
        <v>21000000</v>
      </c>
      <c r="G6" s="222">
        <f>VAC_Optim_Scenario!$J37</f>
        <v>105724786.72171538</v>
      </c>
      <c r="H6" s="221">
        <f>VAC_Optim_Scenario!$H37</f>
        <v>21000000</v>
      </c>
      <c r="I6" s="222">
        <f>VAC_Optim_Scenario!$J37</f>
        <v>105724786.72171538</v>
      </c>
      <c r="J6" s="217"/>
      <c r="K6" s="54" t="s">
        <v>154</v>
      </c>
      <c r="L6" s="54" t="str">
        <f>VAC_Optim_Scenario!B18</f>
        <v>HCP MCM</v>
      </c>
      <c r="M6" s="223">
        <f t="shared" ref="M6:M13" si="1">D6/1000000</f>
        <v>21</v>
      </c>
      <c r="N6" s="224">
        <f t="shared" si="0"/>
        <v>105.72478672171538</v>
      </c>
      <c r="O6" s="223">
        <f t="shared" si="0"/>
        <v>21</v>
      </c>
      <c r="P6" s="224">
        <f t="shared" si="0"/>
        <v>105.72478672171538</v>
      </c>
      <c r="Q6" s="223">
        <f t="shared" si="0"/>
        <v>21</v>
      </c>
      <c r="R6" s="224">
        <f t="shared" si="0"/>
        <v>105.72478672171538</v>
      </c>
    </row>
    <row r="7" spans="2:20" x14ac:dyDescent="0.25">
      <c r="B7" s="54" t="s">
        <v>154</v>
      </c>
      <c r="C7" s="220" t="str">
        <f>VAC_Optim_Scenario!B19</f>
        <v>HCC Social</v>
      </c>
      <c r="D7" s="221">
        <f>VAC_Optim_Scenario!$H38</f>
        <v>3049857.2699284316</v>
      </c>
      <c r="E7" s="222">
        <f>VAC_Optim_Scenario!$J38</f>
        <v>7508241.9839859502</v>
      </c>
      <c r="F7" s="221">
        <f>VAC_Optim_Scenario!$H38</f>
        <v>3049857.2699284316</v>
      </c>
      <c r="G7" s="222">
        <f>VAC_Optim_Scenario!$J38</f>
        <v>7508241.9839859502</v>
      </c>
      <c r="H7" s="221">
        <f>VAC_Optim_Scenario!$H38</f>
        <v>3049857.2699284316</v>
      </c>
      <c r="I7" s="222">
        <f>VAC_Optim_Scenario!$J38</f>
        <v>7508241.9839859502</v>
      </c>
      <c r="J7" s="225"/>
      <c r="K7" s="54" t="s">
        <v>154</v>
      </c>
      <c r="L7" s="54" t="str">
        <f>VAC_Optim_Scenario!B19</f>
        <v>HCC Social</v>
      </c>
      <c r="M7" s="223">
        <f t="shared" si="1"/>
        <v>3.0498572699284314</v>
      </c>
      <c r="N7" s="224">
        <f t="shared" si="0"/>
        <v>7.5082419839859504</v>
      </c>
      <c r="O7" s="223">
        <f t="shared" si="0"/>
        <v>3.0498572699284314</v>
      </c>
      <c r="P7" s="224">
        <f t="shared" si="0"/>
        <v>7.5082419839859504</v>
      </c>
      <c r="Q7" s="223">
        <f t="shared" si="0"/>
        <v>3.0498572699284314</v>
      </c>
      <c r="R7" s="224">
        <f t="shared" si="0"/>
        <v>7.5082419839859504</v>
      </c>
    </row>
    <row r="8" spans="2:20" x14ac:dyDescent="0.25">
      <c r="B8" s="54" t="s">
        <v>154</v>
      </c>
      <c r="C8" s="220" t="str">
        <f>VAC_Optim_Scenario!B20</f>
        <v>HCC Online Video</v>
      </c>
      <c r="D8" s="221">
        <f>VAC_Optim_Scenario!$H39</f>
        <v>2277500.7120514014</v>
      </c>
      <c r="E8" s="222">
        <f>VAC_Optim_Scenario!$J39</f>
        <v>7422870.0331660938</v>
      </c>
      <c r="F8" s="221">
        <f>VAC_Optim_Scenario!$H39</f>
        <v>2277500.7120514014</v>
      </c>
      <c r="G8" s="222">
        <f>VAC_Optim_Scenario!$J39</f>
        <v>7422870.0331660938</v>
      </c>
      <c r="H8" s="221">
        <f>VAC_Optim_Scenario!$H39</f>
        <v>2277500.7120514014</v>
      </c>
      <c r="I8" s="222">
        <f>VAC_Optim_Scenario!$J39</f>
        <v>7422870.0331660938</v>
      </c>
      <c r="J8" s="217"/>
      <c r="K8" s="54" t="s">
        <v>154</v>
      </c>
      <c r="L8" s="54" t="str">
        <f>VAC_Optim_Scenario!B20</f>
        <v>HCC Online Video</v>
      </c>
      <c r="M8" s="223">
        <f t="shared" si="1"/>
        <v>2.2775007120514013</v>
      </c>
      <c r="N8" s="224">
        <f t="shared" si="0"/>
        <v>7.4228700331660935</v>
      </c>
      <c r="O8" s="223">
        <f t="shared" si="0"/>
        <v>2.2775007120514013</v>
      </c>
      <c r="P8" s="224">
        <f t="shared" si="0"/>
        <v>7.4228700331660935</v>
      </c>
      <c r="Q8" s="223">
        <f t="shared" si="0"/>
        <v>2.2775007120514013</v>
      </c>
      <c r="R8" s="224">
        <f t="shared" si="0"/>
        <v>7.4228700331660935</v>
      </c>
    </row>
    <row r="9" spans="2:20" x14ac:dyDescent="0.25">
      <c r="B9" s="54" t="s">
        <v>154</v>
      </c>
      <c r="C9" s="220" t="str">
        <f>VAC_Optim_Scenario!B21</f>
        <v>HCC Streaming Video</v>
      </c>
      <c r="D9" s="221">
        <f>VAC_Optim_Scenario!$H40</f>
        <v>8306901</v>
      </c>
      <c r="E9" s="222">
        <f>VAC_Optim_Scenario!$J40</f>
        <v>16281797.494816165</v>
      </c>
      <c r="F9" s="221">
        <f>VAC_Optim_Scenario!$H40</f>
        <v>8306901</v>
      </c>
      <c r="G9" s="222">
        <f>VAC_Optim_Scenario!$J40</f>
        <v>16281797.494816165</v>
      </c>
      <c r="H9" s="221">
        <f>VAC_Optim_Scenario!$H40</f>
        <v>8306901</v>
      </c>
      <c r="I9" s="222">
        <f>VAC_Optim_Scenario!$J40</f>
        <v>16281797.494816165</v>
      </c>
      <c r="J9" s="225"/>
      <c r="K9" s="54" t="s">
        <v>154</v>
      </c>
      <c r="L9" s="54" t="str">
        <f>VAC_Optim_Scenario!B21</f>
        <v>HCC Streaming Video</v>
      </c>
      <c r="M9" s="223">
        <f t="shared" si="1"/>
        <v>8.3069009999999999</v>
      </c>
      <c r="N9" s="224">
        <f t="shared" si="0"/>
        <v>16.281797494816164</v>
      </c>
      <c r="O9" s="223">
        <f t="shared" si="0"/>
        <v>8.3069009999999999</v>
      </c>
      <c r="P9" s="224">
        <f t="shared" si="0"/>
        <v>16.281797494816164</v>
      </c>
      <c r="Q9" s="223">
        <f t="shared" si="0"/>
        <v>8.3069009999999999</v>
      </c>
      <c r="R9" s="224">
        <f t="shared" si="0"/>
        <v>16.281797494816164</v>
      </c>
    </row>
    <row r="10" spans="2:20" x14ac:dyDescent="0.25">
      <c r="B10" s="54" t="s">
        <v>154</v>
      </c>
      <c r="C10" s="220" t="str">
        <f>VAC_Optim_Scenario!B22</f>
        <v>HCC Display</v>
      </c>
      <c r="D10" s="221">
        <f>VAC_Optim_Scenario!$H41</f>
        <v>5000000</v>
      </c>
      <c r="E10" s="222">
        <f>VAC_Optim_Scenario!$J41</f>
        <v>24032152.746086098</v>
      </c>
      <c r="F10" s="221">
        <f>VAC_Optim_Scenario!$H41</f>
        <v>5000000</v>
      </c>
      <c r="G10" s="222">
        <f>VAC_Optim_Scenario!$J41</f>
        <v>24032152.746086098</v>
      </c>
      <c r="H10" s="221">
        <f>VAC_Optim_Scenario!$H41</f>
        <v>5000000</v>
      </c>
      <c r="I10" s="222">
        <f>VAC_Optim_Scenario!$J41</f>
        <v>24032152.746086098</v>
      </c>
      <c r="J10" s="225"/>
      <c r="K10" s="54" t="s">
        <v>154</v>
      </c>
      <c r="L10" s="54" t="str">
        <f>VAC_Optim_Scenario!B22</f>
        <v>HCC Display</v>
      </c>
      <c r="M10" s="223">
        <f t="shared" si="1"/>
        <v>5</v>
      </c>
      <c r="N10" s="224">
        <f t="shared" si="0"/>
        <v>24.032152746086098</v>
      </c>
      <c r="O10" s="223">
        <f t="shared" si="0"/>
        <v>5</v>
      </c>
      <c r="P10" s="224">
        <f t="shared" si="0"/>
        <v>24.032152746086098</v>
      </c>
      <c r="Q10" s="223">
        <f t="shared" si="0"/>
        <v>5</v>
      </c>
      <c r="R10" s="224">
        <f t="shared" si="0"/>
        <v>24.032152746086098</v>
      </c>
    </row>
    <row r="11" spans="2:20" x14ac:dyDescent="0.25">
      <c r="B11" s="54" t="s">
        <v>154</v>
      </c>
      <c r="C11" s="220" t="str">
        <f>VAC_Optim_Scenario!B23</f>
        <v>HCC Paid Search</v>
      </c>
      <c r="D11" s="221">
        <f>VAC_Optim_Scenario!$H42</f>
        <v>200000</v>
      </c>
      <c r="E11" s="222">
        <f>VAC_Optim_Scenario!$J42</f>
        <v>17969341.094351832</v>
      </c>
      <c r="F11" s="221">
        <f>VAC_Optim_Scenario!$H42</f>
        <v>200000</v>
      </c>
      <c r="G11" s="222">
        <f>VAC_Optim_Scenario!$J42</f>
        <v>17969341.094351832</v>
      </c>
      <c r="H11" s="221">
        <f>VAC_Optim_Scenario!$H42</f>
        <v>200000</v>
      </c>
      <c r="I11" s="222">
        <f>VAC_Optim_Scenario!$J42</f>
        <v>17969341.094351832</v>
      </c>
      <c r="J11" s="217"/>
      <c r="K11" s="54" t="s">
        <v>154</v>
      </c>
      <c r="L11" s="54" t="str">
        <f>VAC_Optim_Scenario!B23</f>
        <v>HCC Paid Search</v>
      </c>
      <c r="M11" s="223">
        <f t="shared" si="1"/>
        <v>0.2</v>
      </c>
      <c r="N11" s="224">
        <f t="shared" si="0"/>
        <v>17.969341094351833</v>
      </c>
      <c r="O11" s="223">
        <f t="shared" si="0"/>
        <v>0.2</v>
      </c>
      <c r="P11" s="224">
        <f t="shared" si="0"/>
        <v>17.969341094351833</v>
      </c>
      <c r="Q11" s="223">
        <f t="shared" si="0"/>
        <v>0.2</v>
      </c>
      <c r="R11" s="224">
        <f t="shared" si="0"/>
        <v>17.969341094351833</v>
      </c>
    </row>
    <row r="12" spans="2:20" x14ac:dyDescent="0.25">
      <c r="B12" s="54" t="s">
        <v>154</v>
      </c>
      <c r="C12" s="220" t="str">
        <f>VAC_Optim_Scenario!B24</f>
        <v>HCC Radio</v>
      </c>
      <c r="D12" s="221">
        <f>VAC_Optim_Scenario!$H43</f>
        <v>2200000</v>
      </c>
      <c r="E12" s="222">
        <f>VAC_Optim_Scenario!$J43</f>
        <v>8497253.2367697079</v>
      </c>
      <c r="F12" s="221">
        <f>VAC_Optim_Scenario!$H43</f>
        <v>2200000</v>
      </c>
      <c r="G12" s="222">
        <f>VAC_Optim_Scenario!$J43</f>
        <v>8497253.2367697079</v>
      </c>
      <c r="H12" s="221">
        <f>VAC_Optim_Scenario!$H43</f>
        <v>2200000</v>
      </c>
      <c r="I12" s="222">
        <f>VAC_Optim_Scenario!$J43</f>
        <v>8497253.2367697079</v>
      </c>
      <c r="J12" s="217"/>
      <c r="K12" s="54" t="s">
        <v>154</v>
      </c>
      <c r="L12" s="54" t="str">
        <f>VAC_Optim_Scenario!B24</f>
        <v>HCC Radio</v>
      </c>
      <c r="M12" s="223">
        <f t="shared" si="1"/>
        <v>2.2000000000000002</v>
      </c>
      <c r="N12" s="224">
        <f t="shared" si="0"/>
        <v>8.4972532367697085</v>
      </c>
      <c r="O12" s="223">
        <f t="shared" si="0"/>
        <v>2.2000000000000002</v>
      </c>
      <c r="P12" s="224">
        <f t="shared" si="0"/>
        <v>8.4972532367697085</v>
      </c>
      <c r="Q12" s="223">
        <f t="shared" si="0"/>
        <v>2.2000000000000002</v>
      </c>
      <c r="R12" s="224">
        <f t="shared" si="0"/>
        <v>8.4972532367697085</v>
      </c>
    </row>
    <row r="13" spans="2:20" x14ac:dyDescent="0.25">
      <c r="B13" s="234" t="s">
        <v>154</v>
      </c>
      <c r="C13" s="208" t="str">
        <f>VAC_Optim_Scenario!B25</f>
        <v>HCC Linear TV</v>
      </c>
      <c r="D13" s="235">
        <f>VAC_Optim_Scenario!$H44</f>
        <v>20273404</v>
      </c>
      <c r="E13" s="235">
        <f>VAC_Optim_Scenario!$J44</f>
        <v>32151392.36941025</v>
      </c>
      <c r="F13" s="235">
        <f>VAC_Optim_Scenario!$H44</f>
        <v>20273404</v>
      </c>
      <c r="G13" s="235">
        <f>VAC_Optim_Scenario!$J44</f>
        <v>32151392.36941025</v>
      </c>
      <c r="H13" s="235">
        <f>VAC_Optim_Scenario!$H44</f>
        <v>20273404</v>
      </c>
      <c r="I13" s="235">
        <f>VAC_Optim_Scenario!$J44</f>
        <v>32151392.36941025</v>
      </c>
      <c r="J13" s="217"/>
      <c r="K13" s="234" t="s">
        <v>154</v>
      </c>
      <c r="L13" s="234" t="str">
        <f>VAC_Optim_Scenario!B25</f>
        <v>HCC Linear TV</v>
      </c>
      <c r="M13" s="228">
        <f t="shared" si="1"/>
        <v>20.273403999999999</v>
      </c>
      <c r="N13" s="228">
        <f t="shared" si="0"/>
        <v>32.151392369410253</v>
      </c>
      <c r="O13" s="228">
        <f t="shared" si="0"/>
        <v>20.273403999999999</v>
      </c>
      <c r="P13" s="228">
        <f t="shared" si="0"/>
        <v>32.151392369410253</v>
      </c>
      <c r="Q13" s="228">
        <f t="shared" si="0"/>
        <v>20.273403999999999</v>
      </c>
      <c r="R13" s="228">
        <f t="shared" si="0"/>
        <v>32.151392369410253</v>
      </c>
    </row>
    <row r="14" spans="2:20" x14ac:dyDescent="0.25">
      <c r="T14" s="276"/>
    </row>
    <row r="15" spans="2:20" x14ac:dyDescent="0.25">
      <c r="C15" s="211" t="s">
        <v>218</v>
      </c>
    </row>
    <row r="17" spans="2:19" ht="38.1" customHeight="1" x14ac:dyDescent="0.25">
      <c r="C17" s="423" t="s">
        <v>3</v>
      </c>
      <c r="D17" s="421" t="s">
        <v>213</v>
      </c>
      <c r="E17" s="422"/>
      <c r="F17" s="421" t="s">
        <v>219</v>
      </c>
      <c r="G17" s="422"/>
      <c r="H17" s="421" t="s">
        <v>220</v>
      </c>
      <c r="I17" s="422"/>
      <c r="L17" s="423" t="s">
        <v>3</v>
      </c>
      <c r="M17" s="421" t="s">
        <v>213</v>
      </c>
      <c r="N17" s="422"/>
      <c r="O17" s="421" t="s">
        <v>219</v>
      </c>
      <c r="P17" s="422"/>
      <c r="Q17" s="421" t="s">
        <v>220</v>
      </c>
      <c r="R17" s="422"/>
    </row>
    <row r="18" spans="2:19" ht="25.5" x14ac:dyDescent="0.25">
      <c r="C18" s="424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4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4" t="str">
        <f>VAC_Optim_Scenario!B17</f>
        <v>HCC InOffice</v>
      </c>
      <c r="D19" s="215">
        <f>VAC_Optim_Scenario!$H36</f>
        <v>900000</v>
      </c>
      <c r="E19" s="216">
        <f>VAC_Optim_Scenario!$J36</f>
        <v>1410431.7445188572</v>
      </c>
      <c r="F19" s="215">
        <f>VAC_Optim_Scenario!$H36</f>
        <v>900000</v>
      </c>
      <c r="G19" s="216">
        <f>VAC_Optim_Scenario!$J36</f>
        <v>1410431.7445188572</v>
      </c>
      <c r="H19" s="215">
        <f>VAC_Optim_Scenario!$H36</f>
        <v>900000</v>
      </c>
      <c r="I19" s="216">
        <f>VAC_Optim_Scenario!$J36</f>
        <v>1410431.7445188572</v>
      </c>
      <c r="J19" s="217"/>
      <c r="K19" s="53" t="s">
        <v>154</v>
      </c>
      <c r="L19" s="214" t="str">
        <f>VAC_Optim_Scenario!B17</f>
        <v>HCC InOffice</v>
      </c>
      <c r="M19" s="218">
        <f>D19/1000000</f>
        <v>0.9</v>
      </c>
      <c r="N19" s="219">
        <f t="shared" ref="N19:R27" si="2">E19/1000000</f>
        <v>1.4104317445188572</v>
      </c>
      <c r="O19" s="218">
        <f t="shared" si="2"/>
        <v>0.9</v>
      </c>
      <c r="P19" s="219">
        <f t="shared" si="2"/>
        <v>1.4104317445188572</v>
      </c>
      <c r="Q19" s="218">
        <f t="shared" si="2"/>
        <v>0.9</v>
      </c>
      <c r="R19" s="219">
        <f t="shared" si="2"/>
        <v>1.4104317445188572</v>
      </c>
    </row>
    <row r="20" spans="2:19" x14ac:dyDescent="0.25">
      <c r="B20" s="54" t="s">
        <v>154</v>
      </c>
      <c r="C20" s="220" t="str">
        <f>VAC_Optim_Scenario!B18</f>
        <v>HCP MCM</v>
      </c>
      <c r="D20" s="221">
        <f>VAC_Optim_Scenario!$H37</f>
        <v>21000000</v>
      </c>
      <c r="E20" s="222">
        <f>VAC_Optim_Scenario!$J37</f>
        <v>105724786.72171538</v>
      </c>
      <c r="F20" s="221">
        <f>VAC_Optim_Scenario!$H37</f>
        <v>21000000</v>
      </c>
      <c r="G20" s="222">
        <f>VAC_Optim_Scenario!$J37</f>
        <v>105724786.72171538</v>
      </c>
      <c r="H20" s="221">
        <f>VAC_Optim_Scenario!$H37</f>
        <v>21000000</v>
      </c>
      <c r="I20" s="222">
        <f>VAC_Optim_Scenario!$J37</f>
        <v>105724786.72171538</v>
      </c>
      <c r="J20" s="217"/>
      <c r="K20" s="54" t="s">
        <v>154</v>
      </c>
      <c r="L20" s="220" t="str">
        <f>VAC_Optim_Scenario!B18</f>
        <v>HCP MCM</v>
      </c>
      <c r="M20" s="223">
        <f t="shared" ref="M20:M27" si="3">D20/1000000</f>
        <v>21</v>
      </c>
      <c r="N20" s="224">
        <f t="shared" si="2"/>
        <v>105.72478672171538</v>
      </c>
      <c r="O20" s="223">
        <f t="shared" si="2"/>
        <v>21</v>
      </c>
      <c r="P20" s="224">
        <f t="shared" si="2"/>
        <v>105.72478672171538</v>
      </c>
      <c r="Q20" s="223">
        <f t="shared" si="2"/>
        <v>21</v>
      </c>
      <c r="R20" s="224">
        <f t="shared" si="2"/>
        <v>105.72478672171538</v>
      </c>
    </row>
    <row r="21" spans="2:19" x14ac:dyDescent="0.25">
      <c r="B21" s="54" t="s">
        <v>154</v>
      </c>
      <c r="C21" s="220" t="str">
        <f>VAC_Optim_Scenario!B19</f>
        <v>HCC Social</v>
      </c>
      <c r="D21" s="221">
        <f>VAC_Optim_Scenario!$H38</f>
        <v>3049857.2699284316</v>
      </c>
      <c r="E21" s="222">
        <f>VAC_Optim_Scenario!$J38</f>
        <v>7508241.9839859502</v>
      </c>
      <c r="F21" s="221">
        <f>VAC_Optim_Scenario!$H38</f>
        <v>3049857.2699284316</v>
      </c>
      <c r="G21" s="222">
        <f>VAC_Optim_Scenario!$J38</f>
        <v>7508241.9839859502</v>
      </c>
      <c r="H21" s="221">
        <f>VAC_Optim_Scenario!$H38</f>
        <v>3049857.2699284316</v>
      </c>
      <c r="I21" s="222">
        <f>VAC_Optim_Scenario!$J38</f>
        <v>7508241.9839859502</v>
      </c>
      <c r="J21" s="225"/>
      <c r="K21" s="54" t="s">
        <v>154</v>
      </c>
      <c r="L21" s="220" t="str">
        <f>VAC_Optim_Scenario!B19</f>
        <v>HCC Social</v>
      </c>
      <c r="M21" s="223">
        <f t="shared" si="3"/>
        <v>3.0498572699284314</v>
      </c>
      <c r="N21" s="224">
        <f t="shared" si="2"/>
        <v>7.5082419839859504</v>
      </c>
      <c r="O21" s="223">
        <f t="shared" si="2"/>
        <v>3.0498572699284314</v>
      </c>
      <c r="P21" s="224">
        <f t="shared" si="2"/>
        <v>7.5082419839859504</v>
      </c>
      <c r="Q21" s="223">
        <f t="shared" si="2"/>
        <v>3.0498572699284314</v>
      </c>
      <c r="R21" s="224">
        <f t="shared" si="2"/>
        <v>7.5082419839859504</v>
      </c>
    </row>
    <row r="22" spans="2:19" x14ac:dyDescent="0.25">
      <c r="B22" s="54" t="s">
        <v>154</v>
      </c>
      <c r="C22" s="220" t="str">
        <f>VAC_Optim_Scenario!B20</f>
        <v>HCC Online Video</v>
      </c>
      <c r="D22" s="221">
        <f>VAC_Optim_Scenario!$H39</f>
        <v>2277500.7120514014</v>
      </c>
      <c r="E22" s="222">
        <f>VAC_Optim_Scenario!$J39</f>
        <v>7422870.0331660938</v>
      </c>
      <c r="F22" s="221">
        <f>VAC_Optim_Scenario!$H39</f>
        <v>2277500.7120514014</v>
      </c>
      <c r="G22" s="222">
        <f>VAC_Optim_Scenario!$J39</f>
        <v>7422870.0331660938</v>
      </c>
      <c r="H22" s="221">
        <f>VAC_Optim_Scenario!$H39</f>
        <v>2277500.7120514014</v>
      </c>
      <c r="I22" s="222">
        <f>VAC_Optim_Scenario!$J39</f>
        <v>7422870.0331660938</v>
      </c>
      <c r="J22" s="217"/>
      <c r="K22" s="54" t="s">
        <v>154</v>
      </c>
      <c r="L22" s="220" t="str">
        <f>VAC_Optim_Scenario!B20</f>
        <v>HCC Online Video</v>
      </c>
      <c r="M22" s="223">
        <f t="shared" si="3"/>
        <v>2.2775007120514013</v>
      </c>
      <c r="N22" s="224">
        <f t="shared" si="2"/>
        <v>7.4228700331660935</v>
      </c>
      <c r="O22" s="223">
        <f t="shared" si="2"/>
        <v>2.2775007120514013</v>
      </c>
      <c r="P22" s="224">
        <f t="shared" si="2"/>
        <v>7.4228700331660935</v>
      </c>
      <c r="Q22" s="223">
        <f t="shared" si="2"/>
        <v>2.2775007120514013</v>
      </c>
      <c r="R22" s="224">
        <f t="shared" si="2"/>
        <v>7.4228700331660935</v>
      </c>
    </row>
    <row r="23" spans="2:19" x14ac:dyDescent="0.25">
      <c r="B23" s="54" t="s">
        <v>154</v>
      </c>
      <c r="C23" s="220" t="str">
        <f>VAC_Optim_Scenario!B21</f>
        <v>HCC Streaming Video</v>
      </c>
      <c r="D23" s="221">
        <f>VAC_Optim_Scenario!$H40</f>
        <v>8306901</v>
      </c>
      <c r="E23" s="222">
        <f>VAC_Optim_Scenario!$J40</f>
        <v>16281797.494816165</v>
      </c>
      <c r="F23" s="221">
        <f>VAC_Optim_Scenario!$H40</f>
        <v>8306901</v>
      </c>
      <c r="G23" s="222">
        <f>VAC_Optim_Scenario!$J40</f>
        <v>16281797.494816165</v>
      </c>
      <c r="H23" s="221">
        <f>VAC_Optim_Scenario!$H40</f>
        <v>8306901</v>
      </c>
      <c r="I23" s="222">
        <f>VAC_Optim_Scenario!$J40</f>
        <v>16281797.494816165</v>
      </c>
      <c r="J23" s="225"/>
      <c r="K23" s="54" t="s">
        <v>154</v>
      </c>
      <c r="L23" s="220" t="str">
        <f>VAC_Optim_Scenario!B21</f>
        <v>HCC Streaming Video</v>
      </c>
      <c r="M23" s="223">
        <f t="shared" si="3"/>
        <v>8.3069009999999999</v>
      </c>
      <c r="N23" s="224">
        <f t="shared" si="2"/>
        <v>16.281797494816164</v>
      </c>
      <c r="O23" s="223">
        <f t="shared" si="2"/>
        <v>8.3069009999999999</v>
      </c>
      <c r="P23" s="224">
        <f t="shared" si="2"/>
        <v>16.281797494816164</v>
      </c>
      <c r="Q23" s="223">
        <f t="shared" si="2"/>
        <v>8.3069009999999999</v>
      </c>
      <c r="R23" s="224">
        <f t="shared" si="2"/>
        <v>16.281797494816164</v>
      </c>
    </row>
    <row r="24" spans="2:19" x14ac:dyDescent="0.25">
      <c r="B24" s="54" t="s">
        <v>154</v>
      </c>
      <c r="C24" s="220" t="str">
        <f>VAC_Optim_Scenario!B22</f>
        <v>HCC Display</v>
      </c>
      <c r="D24" s="221">
        <f>VAC_Optim_Scenario!$H41</f>
        <v>5000000</v>
      </c>
      <c r="E24" s="222">
        <f>VAC_Optim_Scenario!$J41</f>
        <v>24032152.746086098</v>
      </c>
      <c r="F24" s="221">
        <f>VAC_Optim_Scenario!$H41</f>
        <v>5000000</v>
      </c>
      <c r="G24" s="222">
        <f>VAC_Optim_Scenario!$J41</f>
        <v>24032152.746086098</v>
      </c>
      <c r="H24" s="221">
        <f>VAC_Optim_Scenario!$H41</f>
        <v>5000000</v>
      </c>
      <c r="I24" s="222">
        <f>VAC_Optim_Scenario!$J41</f>
        <v>24032152.746086098</v>
      </c>
      <c r="J24" s="225"/>
      <c r="K24" s="54" t="s">
        <v>154</v>
      </c>
      <c r="L24" s="220" t="str">
        <f>VAC_Optim_Scenario!B22</f>
        <v>HCC Display</v>
      </c>
      <c r="M24" s="223">
        <f t="shared" si="3"/>
        <v>5</v>
      </c>
      <c r="N24" s="224">
        <f t="shared" si="2"/>
        <v>24.032152746086098</v>
      </c>
      <c r="O24" s="223">
        <f t="shared" si="2"/>
        <v>5</v>
      </c>
      <c r="P24" s="224">
        <f t="shared" si="2"/>
        <v>24.032152746086098</v>
      </c>
      <c r="Q24" s="223">
        <f t="shared" si="2"/>
        <v>5</v>
      </c>
      <c r="R24" s="224">
        <f t="shared" si="2"/>
        <v>24.032152746086098</v>
      </c>
    </row>
    <row r="25" spans="2:19" x14ac:dyDescent="0.25">
      <c r="B25" s="54" t="s">
        <v>154</v>
      </c>
      <c r="C25" s="220" t="str">
        <f>VAC_Optim_Scenario!B23</f>
        <v>HCC Paid Search</v>
      </c>
      <c r="D25" s="221">
        <f>VAC_Optim_Scenario!$H42</f>
        <v>200000</v>
      </c>
      <c r="E25" s="222">
        <f>VAC_Optim_Scenario!$J42</f>
        <v>17969341.094351832</v>
      </c>
      <c r="F25" s="221">
        <f>VAC_Optim_Scenario!$H42</f>
        <v>200000</v>
      </c>
      <c r="G25" s="222">
        <f>VAC_Optim_Scenario!$J42</f>
        <v>17969341.094351832</v>
      </c>
      <c r="H25" s="221">
        <f>VAC_Optim_Scenario!$H42</f>
        <v>200000</v>
      </c>
      <c r="I25" s="222">
        <f>VAC_Optim_Scenario!$J42</f>
        <v>17969341.094351832</v>
      </c>
      <c r="J25" s="225"/>
      <c r="K25" s="54" t="s">
        <v>154</v>
      </c>
      <c r="L25" s="220" t="str">
        <f>VAC_Optim_Scenario!B23</f>
        <v>HCC Paid Search</v>
      </c>
      <c r="M25" s="223">
        <f t="shared" si="3"/>
        <v>0.2</v>
      </c>
      <c r="N25" s="224">
        <f t="shared" si="2"/>
        <v>17.969341094351833</v>
      </c>
      <c r="O25" s="223">
        <f t="shared" si="2"/>
        <v>0.2</v>
      </c>
      <c r="P25" s="224">
        <f t="shared" si="2"/>
        <v>17.969341094351833</v>
      </c>
      <c r="Q25" s="223">
        <f t="shared" si="2"/>
        <v>0.2</v>
      </c>
      <c r="R25" s="224">
        <f t="shared" si="2"/>
        <v>17.969341094351833</v>
      </c>
    </row>
    <row r="26" spans="2:19" x14ac:dyDescent="0.25">
      <c r="B26" s="54" t="s">
        <v>154</v>
      </c>
      <c r="C26" s="220" t="str">
        <f>VAC_Optim_Scenario!B24</f>
        <v>HCC Radio</v>
      </c>
      <c r="D26" s="221">
        <f>VAC_Optim_Scenario!$H43</f>
        <v>2200000</v>
      </c>
      <c r="E26" s="222">
        <f>VAC_Optim_Scenario!$J43</f>
        <v>8497253.2367697079</v>
      </c>
      <c r="F26" s="221">
        <f>VAC_Optim_Scenario!$H43</f>
        <v>2200000</v>
      </c>
      <c r="G26" s="222">
        <f>VAC_Optim_Scenario!$J43</f>
        <v>8497253.2367697079</v>
      </c>
      <c r="H26" s="221">
        <f>VAC_Optim_Scenario!$H43</f>
        <v>2200000</v>
      </c>
      <c r="I26" s="222">
        <f>VAC_Optim_Scenario!$J43</f>
        <v>8497253.2367697079</v>
      </c>
      <c r="J26" s="225"/>
      <c r="K26" s="54" t="s">
        <v>154</v>
      </c>
      <c r="L26" s="220" t="str">
        <f>VAC_Optim_Scenario!B24</f>
        <v>HCC Radio</v>
      </c>
      <c r="M26" s="223">
        <f t="shared" si="3"/>
        <v>2.2000000000000002</v>
      </c>
      <c r="N26" s="224">
        <f t="shared" si="2"/>
        <v>8.4972532367697085</v>
      </c>
      <c r="O26" s="223">
        <f t="shared" si="2"/>
        <v>2.2000000000000002</v>
      </c>
      <c r="P26" s="224">
        <f t="shared" si="2"/>
        <v>8.4972532367697085</v>
      </c>
      <c r="Q26" s="223">
        <f t="shared" si="2"/>
        <v>2.2000000000000002</v>
      </c>
      <c r="R26" s="224">
        <f t="shared" si="2"/>
        <v>8.4972532367697085</v>
      </c>
    </row>
    <row r="27" spans="2:19" x14ac:dyDescent="0.25">
      <c r="B27" s="234" t="s">
        <v>154</v>
      </c>
      <c r="C27" s="208" t="str">
        <f>VAC_Optim_Scenario!B25</f>
        <v>HCC Linear TV</v>
      </c>
      <c r="D27" s="235">
        <f>VAC_Optim_Scenario!$H44</f>
        <v>20273404</v>
      </c>
      <c r="E27" s="235">
        <f>VAC_Optim_Scenario!$J44</f>
        <v>32151392.36941025</v>
      </c>
      <c r="F27" s="235">
        <f>VAC_Optim_Scenario!$H44</f>
        <v>20273404</v>
      </c>
      <c r="G27" s="235">
        <f>VAC_Optim_Scenario!$J44</f>
        <v>32151392.36941025</v>
      </c>
      <c r="H27" s="235">
        <f>VAC_Optim_Scenario!$H44</f>
        <v>20273404</v>
      </c>
      <c r="I27" s="235">
        <f>VAC_Optim_Scenario!$J44</f>
        <v>32151392.36941025</v>
      </c>
      <c r="J27" s="225"/>
      <c r="K27" s="234" t="s">
        <v>154</v>
      </c>
      <c r="L27" s="208" t="str">
        <f>VAC_Optim_Scenario!B25</f>
        <v>HCC Linear TV</v>
      </c>
      <c r="M27" s="228">
        <f t="shared" si="3"/>
        <v>20.273403999999999</v>
      </c>
      <c r="N27" s="228">
        <f t="shared" si="2"/>
        <v>32.151392369410253</v>
      </c>
      <c r="O27" s="228">
        <f t="shared" si="2"/>
        <v>20.273403999999999</v>
      </c>
      <c r="P27" s="228">
        <f t="shared" si="2"/>
        <v>32.151392369410253</v>
      </c>
      <c r="Q27" s="228">
        <f t="shared" si="2"/>
        <v>20.273403999999999</v>
      </c>
      <c r="R27" s="228">
        <f t="shared" si="2"/>
        <v>32.151392369410253</v>
      </c>
    </row>
    <row r="30" spans="2:19" ht="34.35" customHeight="1" x14ac:dyDescent="0.25">
      <c r="C30" s="253" t="s">
        <v>3</v>
      </c>
      <c r="D30" s="254" t="s">
        <v>221</v>
      </c>
      <c r="E30" s="226">
        <v>-0.5</v>
      </c>
      <c r="F30" s="226">
        <v>2</v>
      </c>
      <c r="G30" s="226">
        <v>-0.4</v>
      </c>
      <c r="H30" s="226">
        <v>0.4</v>
      </c>
      <c r="J30" s="97" t="s">
        <v>3</v>
      </c>
      <c r="K30" s="97" t="s">
        <v>206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7" t="str">
        <f>VAC_Optim_Scenario!B17</f>
        <v>HCC InOffice</v>
      </c>
      <c r="D31" s="218">
        <f>M19</f>
        <v>0.9</v>
      </c>
      <c r="E31" s="218">
        <f>O5</f>
        <v>0.9</v>
      </c>
      <c r="F31" s="218">
        <f>Q5</f>
        <v>0.9</v>
      </c>
      <c r="G31" s="218">
        <f>O19</f>
        <v>0.9</v>
      </c>
      <c r="H31" s="218">
        <f>Q19</f>
        <v>0.9</v>
      </c>
      <c r="J31" s="227">
        <v>-0.5</v>
      </c>
      <c r="K31" s="228">
        <f>E$31</f>
        <v>0.9</v>
      </c>
      <c r="L31" s="228">
        <f>E$32</f>
        <v>21</v>
      </c>
      <c r="M31" s="228">
        <f>E$33</f>
        <v>3.0498572699284314</v>
      </c>
      <c r="N31" s="228">
        <f>E$34</f>
        <v>2.2775007120514013</v>
      </c>
      <c r="O31" s="228">
        <f>E$35</f>
        <v>8.3069009999999999</v>
      </c>
      <c r="P31" s="228">
        <f>E$36</f>
        <v>5</v>
      </c>
      <c r="Q31" s="228">
        <f>E$37</f>
        <v>0.2</v>
      </c>
      <c r="R31" s="228">
        <f>E$38</f>
        <v>2.2000000000000002</v>
      </c>
      <c r="S31" s="228">
        <f>E$39</f>
        <v>20.273403999999999</v>
      </c>
    </row>
    <row r="32" spans="2:19" x14ac:dyDescent="0.25">
      <c r="B32" s="54" t="s">
        <v>154</v>
      </c>
      <c r="C32" s="278" t="str">
        <f>VAC_Optim_Scenario!B18</f>
        <v>HCP MCM</v>
      </c>
      <c r="D32" s="223">
        <f t="shared" ref="D32:D39" si="4">M20</f>
        <v>21</v>
      </c>
      <c r="E32" s="223">
        <f t="shared" ref="E32:E39" si="5">O6</f>
        <v>21</v>
      </c>
      <c r="F32" s="223">
        <f t="shared" ref="F32:F39" si="6">Q6</f>
        <v>21</v>
      </c>
      <c r="G32" s="223">
        <f t="shared" ref="G32:G39" si="7">O20</f>
        <v>21</v>
      </c>
      <c r="H32" s="223">
        <f t="shared" ref="H32:H39" si="8">Q20</f>
        <v>21</v>
      </c>
      <c r="J32" s="227">
        <v>-0.4</v>
      </c>
      <c r="K32" s="228">
        <f>G$31</f>
        <v>0.9</v>
      </c>
      <c r="L32" s="228">
        <f>G$32</f>
        <v>21</v>
      </c>
      <c r="M32" s="228">
        <f>G$33</f>
        <v>3.0498572699284314</v>
      </c>
      <c r="N32" s="228">
        <f>G$34</f>
        <v>2.2775007120514013</v>
      </c>
      <c r="O32" s="228">
        <f>G$35</f>
        <v>8.3069009999999999</v>
      </c>
      <c r="P32" s="228">
        <f>G$36</f>
        <v>5</v>
      </c>
      <c r="Q32" s="228">
        <f>G$37</f>
        <v>0.2</v>
      </c>
      <c r="R32" s="228">
        <f>G$38</f>
        <v>2.2000000000000002</v>
      </c>
      <c r="S32" s="228">
        <f>G$39</f>
        <v>20.273403999999999</v>
      </c>
    </row>
    <row r="33" spans="2:22" x14ac:dyDescent="0.25">
      <c r="B33" s="54" t="s">
        <v>154</v>
      </c>
      <c r="C33" s="278" t="str">
        <f>VAC_Optim_Scenario!B19</f>
        <v>HCC Social</v>
      </c>
      <c r="D33" s="223">
        <f t="shared" si="4"/>
        <v>3.0498572699284314</v>
      </c>
      <c r="E33" s="223">
        <f t="shared" si="5"/>
        <v>3.0498572699284314</v>
      </c>
      <c r="F33" s="223">
        <f t="shared" si="6"/>
        <v>3.0498572699284314</v>
      </c>
      <c r="G33" s="223">
        <f t="shared" si="7"/>
        <v>3.0498572699284314</v>
      </c>
      <c r="H33" s="223">
        <f t="shared" si="8"/>
        <v>3.0498572699284314</v>
      </c>
      <c r="J33" s="227" t="s">
        <v>221</v>
      </c>
      <c r="K33" s="228">
        <f>D$31</f>
        <v>0.9</v>
      </c>
      <c r="L33" s="228">
        <f>D$32</f>
        <v>21</v>
      </c>
      <c r="M33" s="228">
        <f>D$33</f>
        <v>3.0498572699284314</v>
      </c>
      <c r="N33" s="228">
        <f>D$34</f>
        <v>2.2775007120514013</v>
      </c>
      <c r="O33" s="228">
        <f>D$35</f>
        <v>8.3069009999999999</v>
      </c>
      <c r="P33" s="228">
        <f>D$36</f>
        <v>5</v>
      </c>
      <c r="Q33" s="228">
        <f>D$37</f>
        <v>0.2</v>
      </c>
      <c r="R33" s="228">
        <f>D$38</f>
        <v>2.2000000000000002</v>
      </c>
      <c r="S33" s="228">
        <f>D$39</f>
        <v>20.273403999999999</v>
      </c>
    </row>
    <row r="34" spans="2:22" x14ac:dyDescent="0.25">
      <c r="B34" s="54" t="s">
        <v>154</v>
      </c>
      <c r="C34" s="278" t="str">
        <f>VAC_Optim_Scenario!B20</f>
        <v>HCC Online Video</v>
      </c>
      <c r="D34" s="223">
        <f t="shared" si="4"/>
        <v>2.2775007120514013</v>
      </c>
      <c r="E34" s="223">
        <f t="shared" si="5"/>
        <v>2.2775007120514013</v>
      </c>
      <c r="F34" s="223">
        <f t="shared" si="6"/>
        <v>2.2775007120514013</v>
      </c>
      <c r="G34" s="223">
        <f t="shared" si="7"/>
        <v>2.2775007120514013</v>
      </c>
      <c r="H34" s="223">
        <f t="shared" si="8"/>
        <v>2.2775007120514013</v>
      </c>
      <c r="J34" s="227">
        <v>0.4</v>
      </c>
      <c r="K34" s="228">
        <f>H$31</f>
        <v>0.9</v>
      </c>
      <c r="L34" s="228">
        <f>H$32</f>
        <v>21</v>
      </c>
      <c r="M34" s="228">
        <f>H$33</f>
        <v>3.0498572699284314</v>
      </c>
      <c r="N34" s="228">
        <f>H$34</f>
        <v>2.2775007120514013</v>
      </c>
      <c r="O34" s="228">
        <f>H$35</f>
        <v>8.3069009999999999</v>
      </c>
      <c r="P34" s="228">
        <f>H$36</f>
        <v>5</v>
      </c>
      <c r="Q34" s="228">
        <f>H$37</f>
        <v>0.2</v>
      </c>
      <c r="R34" s="228">
        <f>H$38</f>
        <v>2.2000000000000002</v>
      </c>
      <c r="S34" s="228">
        <f>H$39</f>
        <v>20.273403999999999</v>
      </c>
    </row>
    <row r="35" spans="2:22" x14ac:dyDescent="0.25">
      <c r="B35" s="54" t="s">
        <v>154</v>
      </c>
      <c r="C35" s="278" t="str">
        <f>VAC_Optim_Scenario!B21</f>
        <v>HCC Streaming Video</v>
      </c>
      <c r="D35" s="223">
        <f t="shared" si="4"/>
        <v>8.3069009999999999</v>
      </c>
      <c r="E35" s="223">
        <f t="shared" si="5"/>
        <v>8.3069009999999999</v>
      </c>
      <c r="F35" s="223">
        <f t="shared" si="6"/>
        <v>8.3069009999999999</v>
      </c>
      <c r="G35" s="223">
        <f t="shared" si="7"/>
        <v>8.3069009999999999</v>
      </c>
      <c r="H35" s="223">
        <f t="shared" si="8"/>
        <v>8.3069009999999999</v>
      </c>
      <c r="J35" s="226">
        <v>2</v>
      </c>
      <c r="K35" s="228">
        <f>F$31</f>
        <v>0.9</v>
      </c>
      <c r="L35" s="228">
        <f>F$32</f>
        <v>21</v>
      </c>
      <c r="M35" s="228">
        <f>F$33</f>
        <v>3.0498572699284314</v>
      </c>
      <c r="N35" s="228">
        <f>F$34</f>
        <v>2.2775007120514013</v>
      </c>
      <c r="O35" s="228">
        <f>F$35</f>
        <v>8.3069009999999999</v>
      </c>
      <c r="P35" s="228">
        <f>F$36</f>
        <v>5</v>
      </c>
      <c r="Q35" s="228">
        <f>F$37</f>
        <v>0.2</v>
      </c>
      <c r="R35" s="228">
        <f>F$38</f>
        <v>2.2000000000000002</v>
      </c>
      <c r="S35" s="228">
        <f>F$39</f>
        <v>20.273403999999999</v>
      </c>
    </row>
    <row r="36" spans="2:22" x14ac:dyDescent="0.25">
      <c r="B36" s="54" t="s">
        <v>154</v>
      </c>
      <c r="C36" s="278" t="str">
        <f>VAC_Optim_Scenario!B22</f>
        <v>HCC Display</v>
      </c>
      <c r="D36" s="223">
        <f t="shared" si="4"/>
        <v>5</v>
      </c>
      <c r="E36" s="223">
        <f t="shared" si="5"/>
        <v>5</v>
      </c>
      <c r="F36" s="223">
        <f t="shared" si="6"/>
        <v>5</v>
      </c>
      <c r="G36" s="223">
        <f t="shared" si="7"/>
        <v>5</v>
      </c>
      <c r="H36" s="223">
        <f t="shared" si="8"/>
        <v>5</v>
      </c>
    </row>
    <row r="37" spans="2:22" x14ac:dyDescent="0.25">
      <c r="B37" s="54" t="s">
        <v>154</v>
      </c>
      <c r="C37" s="278" t="str">
        <f>VAC_Optim_Scenario!B23</f>
        <v>HCC Paid Search</v>
      </c>
      <c r="D37" s="223">
        <f t="shared" si="4"/>
        <v>0.2</v>
      </c>
      <c r="E37" s="223">
        <f t="shared" si="5"/>
        <v>0.2</v>
      </c>
      <c r="F37" s="223">
        <f t="shared" si="6"/>
        <v>0.2</v>
      </c>
      <c r="G37" s="223">
        <f t="shared" si="7"/>
        <v>0.2</v>
      </c>
      <c r="H37" s="223">
        <f t="shared" si="8"/>
        <v>0.2</v>
      </c>
      <c r="J37" s="244"/>
      <c r="K37" s="229"/>
      <c r="L37" s="229"/>
      <c r="M37" s="229"/>
      <c r="N37" s="229"/>
      <c r="O37" s="229"/>
      <c r="P37" s="229"/>
      <c r="Q37" s="229"/>
      <c r="R37" s="229"/>
    </row>
    <row r="38" spans="2:22" x14ac:dyDescent="0.25">
      <c r="B38" s="54" t="s">
        <v>154</v>
      </c>
      <c r="C38" s="278" t="str">
        <f>VAC_Optim_Scenario!B24</f>
        <v>HCC Radio</v>
      </c>
      <c r="D38" s="223">
        <f t="shared" si="4"/>
        <v>2.2000000000000002</v>
      </c>
      <c r="E38" s="223">
        <f t="shared" si="5"/>
        <v>2.2000000000000002</v>
      </c>
      <c r="F38" s="223">
        <f t="shared" si="6"/>
        <v>2.2000000000000002</v>
      </c>
      <c r="G38" s="223">
        <f t="shared" si="7"/>
        <v>2.2000000000000002</v>
      </c>
      <c r="H38" s="223">
        <f t="shared" si="8"/>
        <v>2.2000000000000002</v>
      </c>
      <c r="J38" s="245"/>
      <c r="K38" s="230"/>
      <c r="L38" s="230"/>
      <c r="M38" s="230"/>
      <c r="N38" s="230"/>
      <c r="O38" s="230"/>
      <c r="P38" s="230"/>
      <c r="Q38" s="230"/>
      <c r="R38" s="230"/>
    </row>
    <row r="39" spans="2:22" x14ac:dyDescent="0.25">
      <c r="B39" s="97" t="s">
        <v>154</v>
      </c>
      <c r="C39" s="279" t="str">
        <f>VAC_Optim_Scenario!B25</f>
        <v>HCC Linear TV</v>
      </c>
      <c r="D39" s="223">
        <f t="shared" si="4"/>
        <v>20.273403999999999</v>
      </c>
      <c r="E39" s="223">
        <f t="shared" si="5"/>
        <v>20.273403999999999</v>
      </c>
      <c r="F39" s="223">
        <f t="shared" si="6"/>
        <v>20.273403999999999</v>
      </c>
      <c r="G39" s="223">
        <f t="shared" si="7"/>
        <v>20.273403999999999</v>
      </c>
      <c r="H39" s="223">
        <f t="shared" si="8"/>
        <v>20.273403999999999</v>
      </c>
      <c r="J39" s="244"/>
      <c r="K39" s="229"/>
      <c r="L39" s="229"/>
      <c r="M39" s="229"/>
      <c r="N39" s="229"/>
      <c r="O39" s="229"/>
      <c r="P39" s="229"/>
      <c r="Q39" s="229"/>
      <c r="R39" s="229"/>
    </row>
    <row r="40" spans="2:22" x14ac:dyDescent="0.25">
      <c r="L40" s="167"/>
      <c r="M40" s="167"/>
      <c r="O40" s="167"/>
      <c r="P40" s="167"/>
    </row>
    <row r="41" spans="2:22" x14ac:dyDescent="0.25">
      <c r="L41" s="228"/>
      <c r="M41" s="228"/>
      <c r="N41" s="228"/>
      <c r="O41" s="228"/>
      <c r="P41" s="228"/>
    </row>
    <row r="42" spans="2:22" x14ac:dyDescent="0.25">
      <c r="L42" s="228"/>
      <c r="M42" s="228"/>
      <c r="N42" s="228"/>
      <c r="O42" s="228"/>
      <c r="P42" s="228"/>
    </row>
    <row r="43" spans="2:22" x14ac:dyDescent="0.25">
      <c r="L43" s="228"/>
      <c r="M43" s="228"/>
      <c r="N43" s="228"/>
      <c r="O43" s="228"/>
      <c r="P43" s="228"/>
    </row>
    <row r="44" spans="2:22" x14ac:dyDescent="0.25">
      <c r="L44" s="228"/>
      <c r="M44" s="228"/>
      <c r="N44" s="228"/>
      <c r="O44" s="228"/>
      <c r="P44" s="228"/>
      <c r="S44" s="231"/>
      <c r="T44" s="231"/>
      <c r="V44" s="231"/>
    </row>
    <row r="45" spans="2:22" x14ac:dyDescent="0.25">
      <c r="L45" s="228"/>
      <c r="M45" s="228"/>
      <c r="N45" s="228"/>
      <c r="O45" s="228"/>
      <c r="P45" s="232"/>
      <c r="S45" s="233"/>
      <c r="T45" s="233"/>
      <c r="U45" s="233"/>
      <c r="V45" s="233"/>
    </row>
    <row r="46" spans="2:22" x14ac:dyDescent="0.25">
      <c r="L46" s="228"/>
      <c r="M46" s="228"/>
      <c r="N46" s="228"/>
      <c r="O46" s="228"/>
      <c r="P46" s="228"/>
      <c r="S46" s="233"/>
      <c r="T46" s="233"/>
      <c r="U46" s="233"/>
      <c r="V46" s="233"/>
    </row>
    <row r="47" spans="2:22" x14ac:dyDescent="0.25">
      <c r="L47" s="228"/>
      <c r="M47" s="228"/>
      <c r="N47" s="228"/>
      <c r="O47" s="228"/>
      <c r="P47" s="228"/>
    </row>
    <row r="48" spans="2:22" x14ac:dyDescent="0.25">
      <c r="L48" s="228"/>
      <c r="M48" s="228"/>
      <c r="N48" s="228"/>
      <c r="O48" s="228"/>
      <c r="P48" s="228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1"/>
  <sheetViews>
    <sheetView topLeftCell="A16" workbookViewId="0">
      <selection activeCell="D22" sqref="D22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3.710937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2.14062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26" t="s">
        <v>185</v>
      </c>
      <c r="H4" s="426"/>
      <c r="I4" s="427" t="s">
        <v>186</v>
      </c>
      <c r="J4" s="427"/>
      <c r="K4" s="428" t="s">
        <v>187</v>
      </c>
      <c r="L4" s="428"/>
    </row>
    <row r="5" spans="2:13" ht="42.75" customHeight="1" x14ac:dyDescent="0.25">
      <c r="B5" s="173"/>
      <c r="C5" s="242" t="s">
        <v>188</v>
      </c>
      <c r="D5" s="242" t="s">
        <v>189</v>
      </c>
      <c r="E5" s="158" t="s">
        <v>190</v>
      </c>
      <c r="F5" s="242" t="s">
        <v>271</v>
      </c>
      <c r="G5" s="264" t="s">
        <v>299</v>
      </c>
      <c r="H5" s="264" t="s">
        <v>300</v>
      </c>
      <c r="I5" s="264" t="s">
        <v>296</v>
      </c>
      <c r="J5" s="264"/>
      <c r="K5" s="264" t="s">
        <v>296</v>
      </c>
      <c r="L5" s="264"/>
      <c r="M5" s="265"/>
    </row>
    <row r="6" spans="2:13" ht="14.25" customHeight="1" x14ac:dyDescent="0.25">
      <c r="B6" s="173"/>
      <c r="C6" s="160">
        <f t="shared" ref="C6:C9" si="0">$C$11+E6</f>
        <v>120000000.09829633</v>
      </c>
      <c r="D6" s="161">
        <v>1.0007972466454271</v>
      </c>
      <c r="E6" s="162">
        <f t="shared" ref="E6:E8" si="1">D6*$C$11</f>
        <v>60023907.91829633</v>
      </c>
      <c r="F6" s="242"/>
      <c r="G6" s="160">
        <f>'Scenario deep dive'!AB17</f>
        <v>304095262.45109439</v>
      </c>
      <c r="H6" s="412">
        <f>0.8*G6</f>
        <v>243276209.96087551</v>
      </c>
      <c r="I6" s="160">
        <f t="shared" ref="I6:J8" si="2">G6-$F$11</f>
        <v>303333783.2255522</v>
      </c>
      <c r="J6" s="160">
        <f t="shared" si="2"/>
        <v>242514730.73533329</v>
      </c>
      <c r="K6" s="163">
        <f t="shared" ref="K6:K8" si="3">G6/$C6</f>
        <v>2.5341271850166582</v>
      </c>
      <c r="L6" s="264"/>
      <c r="M6" s="265"/>
    </row>
    <row r="7" spans="2:13" ht="14.25" customHeight="1" x14ac:dyDescent="0.25">
      <c r="B7" s="173"/>
      <c r="C7" s="160">
        <f t="shared" si="0"/>
        <v>90000000</v>
      </c>
      <c r="D7" s="161">
        <v>0.50059793375487638</v>
      </c>
      <c r="E7" s="162">
        <f t="shared" si="1"/>
        <v>30023907.82</v>
      </c>
      <c r="F7" s="242"/>
      <c r="G7" s="160">
        <f>'Scenario deep dive'!X17</f>
        <v>273064454.84179378</v>
      </c>
      <c r="H7" s="412">
        <f t="shared" ref="H7:H11" si="4">0.8*G7</f>
        <v>218451563.87343502</v>
      </c>
      <c r="I7" s="160">
        <f t="shared" si="2"/>
        <v>272302975.61625159</v>
      </c>
      <c r="J7" s="160">
        <f t="shared" si="2"/>
        <v>217690084.6478928</v>
      </c>
      <c r="K7" s="163">
        <f t="shared" si="3"/>
        <v>3.0340494982421529</v>
      </c>
      <c r="L7" s="264"/>
      <c r="M7" s="265"/>
    </row>
    <row r="8" spans="2:13" ht="14.25" customHeight="1" x14ac:dyDescent="0.25">
      <c r="B8" s="173"/>
      <c r="C8" s="160">
        <f t="shared" si="0"/>
        <v>81407662.933894485</v>
      </c>
      <c r="D8" s="161">
        <v>0.35733523100461673</v>
      </c>
      <c r="E8" s="162">
        <f t="shared" si="1"/>
        <v>21431570.753894486</v>
      </c>
      <c r="F8" s="242"/>
      <c r="G8" s="160">
        <f>'Scenario deep dive'!T17</f>
        <v>244200742.91037884</v>
      </c>
      <c r="H8" s="412">
        <f t="shared" si="4"/>
        <v>195360594.3283031</v>
      </c>
      <c r="I8" s="160">
        <f t="shared" si="2"/>
        <v>243439263.68483663</v>
      </c>
      <c r="J8" s="160">
        <f t="shared" si="2"/>
        <v>194599115.10276088</v>
      </c>
      <c r="K8" s="163">
        <f t="shared" si="3"/>
        <v>2.9997267346770209</v>
      </c>
      <c r="L8" s="264"/>
      <c r="M8" s="265"/>
    </row>
    <row r="9" spans="2:13" x14ac:dyDescent="0.25">
      <c r="C9" s="160">
        <f t="shared" si="0"/>
        <v>71407663.045681015</v>
      </c>
      <c r="D9" s="161">
        <v>0.19060212911792637</v>
      </c>
      <c r="E9" s="162">
        <f t="shared" ref="E9:E11" si="5">D9*$C$11</f>
        <v>11431570.865681015</v>
      </c>
      <c r="F9" s="160"/>
      <c r="G9" s="160">
        <f>'Scenario deep dive'!P17</f>
        <v>1029810.877995803</v>
      </c>
      <c r="H9" s="412">
        <f t="shared" si="4"/>
        <v>823848.70239664242</v>
      </c>
      <c r="I9" s="160">
        <f t="shared" ref="I9:J11" si="6">G9-$F$11</f>
        <v>268331.65245358855</v>
      </c>
      <c r="J9" s="160">
        <f t="shared" si="6"/>
        <v>62369.47685442795</v>
      </c>
      <c r="K9" s="163">
        <f t="shared" ref="K9:L11" si="7">G9/$C9</f>
        <v>1.4421573736939282E-2</v>
      </c>
      <c r="L9" s="163">
        <f t="shared" si="7"/>
        <v>1.1537258989551425E-2</v>
      </c>
    </row>
    <row r="10" spans="2:13" x14ac:dyDescent="0.25">
      <c r="B10" s="166"/>
      <c r="C10" s="160">
        <f>$C$11+E10</f>
        <v>66407663</v>
      </c>
      <c r="D10" s="161">
        <v>0.10723557648100174</v>
      </c>
      <c r="E10" s="162">
        <f t="shared" si="5"/>
        <v>6431570.8200000003</v>
      </c>
      <c r="F10" s="160"/>
      <c r="G10" s="160">
        <f>'Scenario deep dive'!L17</f>
        <v>1000540.4294075908</v>
      </c>
      <c r="H10" s="412">
        <f t="shared" si="4"/>
        <v>800432.34352607268</v>
      </c>
      <c r="I10" s="160">
        <f t="shared" si="6"/>
        <v>239061.2038653763</v>
      </c>
      <c r="J10" s="160">
        <f t="shared" si="6"/>
        <v>38953.117983858217</v>
      </c>
      <c r="K10" s="163">
        <f t="shared" si="7"/>
        <v>1.5066641170727401E-2</v>
      </c>
      <c r="L10" s="163">
        <f t="shared" si="7"/>
        <v>1.2053312936581923E-2</v>
      </c>
    </row>
    <row r="11" spans="2:13" x14ac:dyDescent="0.25">
      <c r="B11" s="164"/>
      <c r="C11" s="160">
        <f>'Scenario deep dive'!C17</f>
        <v>59976092.18</v>
      </c>
      <c r="D11" s="161">
        <v>0</v>
      </c>
      <c r="E11" s="162">
        <f t="shared" si="5"/>
        <v>0</v>
      </c>
      <c r="F11" s="160">
        <f>'Scenario deep dive'!D17</f>
        <v>761479.22554221447</v>
      </c>
      <c r="G11" s="160">
        <f>'Scenario deep dive'!H17</f>
        <v>932496.94530570577</v>
      </c>
      <c r="H11" s="412">
        <f t="shared" si="4"/>
        <v>745997.55624456471</v>
      </c>
      <c r="I11" s="160">
        <f t="shared" si="6"/>
        <v>171017.7197634913</v>
      </c>
      <c r="J11" s="160">
        <f t="shared" si="6"/>
        <v>-15481.669297649758</v>
      </c>
      <c r="K11" s="163">
        <f t="shared" si="7"/>
        <v>1.5547810992871957E-2</v>
      </c>
      <c r="L11" s="163">
        <f t="shared" si="7"/>
        <v>1.2438248794297566E-2</v>
      </c>
    </row>
    <row r="12" spans="2:13" x14ac:dyDescent="0.25">
      <c r="D12" s="165"/>
      <c r="E12" s="165"/>
    </row>
    <row r="13" spans="2:13" x14ac:dyDescent="0.25">
      <c r="F13" s="429" t="s">
        <v>191</v>
      </c>
      <c r="G13" s="429"/>
      <c r="H13" s="429" t="s">
        <v>192</v>
      </c>
      <c r="I13" s="429"/>
    </row>
    <row r="14" spans="2:13" ht="30" x14ac:dyDescent="0.25">
      <c r="C14" s="157" t="s">
        <v>188</v>
      </c>
      <c r="D14" s="157" t="s">
        <v>189</v>
      </c>
      <c r="E14" s="97" t="s">
        <v>193</v>
      </c>
      <c r="F14" s="264" t="s">
        <v>296</v>
      </c>
      <c r="G14" s="159"/>
      <c r="H14" s="264" t="s">
        <v>296</v>
      </c>
      <c r="I14" s="159"/>
    </row>
    <row r="15" spans="2:13" x14ac:dyDescent="0.25">
      <c r="C15" s="166">
        <f t="shared" ref="C15:D17" si="8">C9</f>
        <v>71407663.045681015</v>
      </c>
      <c r="D15" s="167">
        <f t="shared" si="8"/>
        <v>0.19060212911792637</v>
      </c>
      <c r="E15" s="166">
        <f>C15-C16</f>
        <v>5000000.0456810147</v>
      </c>
      <c r="F15" s="168">
        <f>G9-G10</f>
        <v>29270.448588212254</v>
      </c>
      <c r="G15" s="168">
        <f>H9-H10</f>
        <v>23416.358870569733</v>
      </c>
      <c r="H15" s="163">
        <f t="shared" ref="H15:I16" si="9">F15/$E15</f>
        <v>5.8540896641582994E-3</v>
      </c>
      <c r="I15" s="163">
        <f t="shared" si="9"/>
        <v>4.6832717313266253E-3</v>
      </c>
    </row>
    <row r="16" spans="2:13" x14ac:dyDescent="0.25">
      <c r="C16" s="166">
        <f t="shared" si="8"/>
        <v>66407663</v>
      </c>
      <c r="D16" s="167">
        <f t="shared" si="8"/>
        <v>0.10723557648100174</v>
      </c>
      <c r="E16" s="166">
        <f>C16-C17</f>
        <v>6431570.8200000003</v>
      </c>
      <c r="F16" s="168">
        <f>G10-G11</f>
        <v>68043.484101884998</v>
      </c>
      <c r="G16" s="168">
        <f>H10-H11</f>
        <v>54434.787281507975</v>
      </c>
      <c r="H16" s="163">
        <f t="shared" si="9"/>
        <v>1.0579605823556024E-2</v>
      </c>
      <c r="I16" s="163">
        <f t="shared" si="9"/>
        <v>8.4636846588448163E-3</v>
      </c>
    </row>
    <row r="17" spans="3:9" x14ac:dyDescent="0.25">
      <c r="C17" s="166">
        <f t="shared" si="8"/>
        <v>59976092.18</v>
      </c>
      <c r="D17" s="167">
        <f t="shared" si="8"/>
        <v>0</v>
      </c>
      <c r="E17" s="166"/>
      <c r="F17" s="168"/>
      <c r="G17" s="168"/>
      <c r="H17" s="163"/>
      <c r="I17" s="163"/>
    </row>
    <row r="18" spans="3:9" x14ac:dyDescent="0.25">
      <c r="H18" s="163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  <row r="57" spans="21:22" x14ac:dyDescent="0.25">
      <c r="U57" s="169"/>
      <c r="V57" s="169"/>
    </row>
    <row r="58" spans="21:22" x14ac:dyDescent="0.25">
      <c r="U58" s="169"/>
      <c r="V58" s="169"/>
    </row>
    <row r="59" spans="21:22" x14ac:dyDescent="0.25">
      <c r="U59" s="169"/>
      <c r="V59" s="169"/>
    </row>
    <row r="60" spans="21:22" x14ac:dyDescent="0.25">
      <c r="U60" s="169"/>
      <c r="V60" s="169"/>
    </row>
    <row r="61" spans="21:22" x14ac:dyDescent="0.25">
      <c r="U61" s="169"/>
      <c r="V61" s="16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1" t="s">
        <v>212</v>
      </c>
    </row>
    <row r="2" spans="2:20" ht="15.75" thickBot="1" x14ac:dyDescent="0.3"/>
    <row r="3" spans="2:20" ht="30.2" customHeight="1" x14ac:dyDescent="0.25">
      <c r="B3" s="425" t="s">
        <v>2</v>
      </c>
      <c r="C3" s="423" t="s">
        <v>3</v>
      </c>
      <c r="D3" s="421" t="s">
        <v>213</v>
      </c>
      <c r="E3" s="422"/>
      <c r="F3" s="421" t="s">
        <v>214</v>
      </c>
      <c r="G3" s="422"/>
      <c r="H3" s="421" t="s">
        <v>215</v>
      </c>
      <c r="I3" s="422"/>
      <c r="K3" s="425" t="s">
        <v>2</v>
      </c>
      <c r="L3" s="423" t="s">
        <v>3</v>
      </c>
      <c r="M3" s="421" t="s">
        <v>213</v>
      </c>
      <c r="N3" s="422"/>
      <c r="O3" s="421" t="s">
        <v>214</v>
      </c>
      <c r="P3" s="422"/>
      <c r="Q3" s="421" t="s">
        <v>215</v>
      </c>
      <c r="R3" s="422"/>
    </row>
    <row r="4" spans="2:20" ht="25.5" x14ac:dyDescent="0.25">
      <c r="B4" s="424"/>
      <c r="C4" s="424"/>
      <c r="D4" s="212" t="s">
        <v>216</v>
      </c>
      <c r="E4" s="213" t="s">
        <v>217</v>
      </c>
      <c r="F4" s="212" t="s">
        <v>216</v>
      </c>
      <c r="G4" s="213" t="s">
        <v>217</v>
      </c>
      <c r="H4" s="212" t="s">
        <v>216</v>
      </c>
      <c r="I4" s="213" t="s">
        <v>217</v>
      </c>
      <c r="K4" s="424"/>
      <c r="L4" s="424"/>
      <c r="M4" s="212" t="s">
        <v>216</v>
      </c>
      <c r="N4" s="213" t="s">
        <v>217</v>
      </c>
      <c r="O4" s="212" t="s">
        <v>216</v>
      </c>
      <c r="P4" s="213" t="s">
        <v>217</v>
      </c>
      <c r="Q4" s="212" t="s">
        <v>216</v>
      </c>
      <c r="R4" s="213" t="s">
        <v>217</v>
      </c>
    </row>
    <row r="5" spans="2:20" x14ac:dyDescent="0.25">
      <c r="B5" s="53" t="s">
        <v>154</v>
      </c>
      <c r="C5" s="214" t="str">
        <f>VAC_Optim_Scenario!B17</f>
        <v>HCC InOffice</v>
      </c>
      <c r="D5" s="215">
        <f>VAC_Optim_Scenario!$H36</f>
        <v>900000</v>
      </c>
      <c r="E5" s="216">
        <f>VAC_Optim_Scenario!$J36</f>
        <v>1410431.7445188572</v>
      </c>
      <c r="F5" s="215">
        <v>2304599.9176017214</v>
      </c>
      <c r="G5" s="216">
        <v>5246917.9893056815</v>
      </c>
      <c r="H5" s="215">
        <v>2340000</v>
      </c>
      <c r="I5" s="216">
        <v>21257821.983019568</v>
      </c>
      <c r="J5" s="217"/>
      <c r="K5" s="53" t="s">
        <v>154</v>
      </c>
      <c r="L5" s="53" t="str">
        <f>VAC_Optim_Scenario!B17</f>
        <v>HCC InOffice</v>
      </c>
      <c r="M5" s="218">
        <f>D5/1000000</f>
        <v>0.9</v>
      </c>
      <c r="N5" s="219">
        <f t="shared" ref="N5:R5" si="0">E5/1000000</f>
        <v>1.4104317445188572</v>
      </c>
      <c r="O5" s="218">
        <f t="shared" si="0"/>
        <v>2.3045999176017213</v>
      </c>
      <c r="P5" s="219">
        <f t="shared" si="0"/>
        <v>5.2469179893056817</v>
      </c>
      <c r="Q5" s="218">
        <f t="shared" si="0"/>
        <v>2.34</v>
      </c>
      <c r="R5" s="219">
        <f t="shared" si="0"/>
        <v>21.257821983019568</v>
      </c>
    </row>
    <row r="6" spans="2:20" x14ac:dyDescent="0.25">
      <c r="B6" s="54" t="s">
        <v>154</v>
      </c>
      <c r="C6" s="220" t="str">
        <f>VAC_Optim_Scenario!B18</f>
        <v>HCP MCM</v>
      </c>
      <c r="D6" s="221">
        <f>VAC_Optim_Scenario!$H37</f>
        <v>21000000</v>
      </c>
      <c r="E6" s="222">
        <f>VAC_Optim_Scenario!$J37</f>
        <v>105724786.72171538</v>
      </c>
      <c r="F6" s="221">
        <v>5980821.2879999997</v>
      </c>
      <c r="G6" s="222">
        <v>43271084.653430037</v>
      </c>
      <c r="H6" s="221">
        <v>5980821.2879999997</v>
      </c>
      <c r="I6" s="222">
        <v>173084338.61372015</v>
      </c>
      <c r="J6" s="217"/>
      <c r="K6" s="54" t="s">
        <v>154</v>
      </c>
      <c r="L6" s="54" t="str">
        <f>VAC_Optim_Scenario!B18</f>
        <v>HCP MCM</v>
      </c>
      <c r="M6" s="223">
        <f t="shared" ref="M6:M13" si="1">D6/1000000</f>
        <v>21</v>
      </c>
      <c r="N6" s="224">
        <f t="shared" ref="N6:N13" si="2">E6/1000000</f>
        <v>105.72478672171538</v>
      </c>
      <c r="O6" s="223">
        <f t="shared" ref="O6:O13" si="3">F6/1000000</f>
        <v>5.9808212879999996</v>
      </c>
      <c r="P6" s="224">
        <f t="shared" ref="P6:P13" si="4">G6/1000000</f>
        <v>43.271084653430037</v>
      </c>
      <c r="Q6" s="223">
        <f t="shared" ref="Q6:Q13" si="5">H6/1000000</f>
        <v>5.9808212879999996</v>
      </c>
      <c r="R6" s="224">
        <f t="shared" ref="R6:R13" si="6">I6/1000000</f>
        <v>173.08433861372015</v>
      </c>
    </row>
    <row r="7" spans="2:20" x14ac:dyDescent="0.25">
      <c r="B7" s="54" t="s">
        <v>154</v>
      </c>
      <c r="C7" s="220" t="str">
        <f>VAC_Optim_Scenario!B19</f>
        <v>HCC Social</v>
      </c>
      <c r="D7" s="221">
        <f>VAC_Optim_Scenario!$H38</f>
        <v>3049857.2699284316</v>
      </c>
      <c r="E7" s="222">
        <f>VAC_Optim_Scenario!$J38</f>
        <v>7508241.9839859502</v>
      </c>
      <c r="F7" s="221">
        <v>2368423.2000000002</v>
      </c>
      <c r="G7" s="222">
        <v>10014038.796038335</v>
      </c>
      <c r="H7" s="221">
        <v>2368423.2000000002</v>
      </c>
      <c r="I7" s="222">
        <v>40056155.184153341</v>
      </c>
      <c r="J7" s="225"/>
      <c r="K7" s="54" t="s">
        <v>154</v>
      </c>
      <c r="L7" s="54" t="str">
        <f>VAC_Optim_Scenario!B19</f>
        <v>HCC Social</v>
      </c>
      <c r="M7" s="223">
        <f t="shared" si="1"/>
        <v>3.0498572699284314</v>
      </c>
      <c r="N7" s="224">
        <f t="shared" si="2"/>
        <v>7.5082419839859504</v>
      </c>
      <c r="O7" s="223">
        <f t="shared" si="3"/>
        <v>2.3684232000000001</v>
      </c>
      <c r="P7" s="224">
        <f t="shared" si="4"/>
        <v>10.014038796038335</v>
      </c>
      <c r="Q7" s="223">
        <f t="shared" si="5"/>
        <v>2.3684232000000001</v>
      </c>
      <c r="R7" s="224">
        <f t="shared" si="6"/>
        <v>40.05615518415334</v>
      </c>
    </row>
    <row r="8" spans="2:20" x14ac:dyDescent="0.25">
      <c r="B8" s="54" t="s">
        <v>154</v>
      </c>
      <c r="C8" s="220" t="str">
        <f>VAC_Optim_Scenario!B20</f>
        <v>HCC Online Video</v>
      </c>
      <c r="D8" s="221">
        <f>VAC_Optim_Scenario!$H39</f>
        <v>2277500.7120514014</v>
      </c>
      <c r="E8" s="222">
        <f>VAC_Optim_Scenario!$J39</f>
        <v>7422870.0331660938</v>
      </c>
      <c r="F8" s="221">
        <v>468720.00002084277</v>
      </c>
      <c r="G8" s="222">
        <v>434197.29403638421</v>
      </c>
      <c r="H8" s="221">
        <v>870480</v>
      </c>
      <c r="I8" s="222">
        <v>3181635.2333120089</v>
      </c>
      <c r="J8" s="217"/>
      <c r="K8" s="54" t="s">
        <v>154</v>
      </c>
      <c r="L8" s="54" t="str">
        <f>VAC_Optim_Scenario!B20</f>
        <v>HCC Online Video</v>
      </c>
      <c r="M8" s="223">
        <f t="shared" si="1"/>
        <v>2.2775007120514013</v>
      </c>
      <c r="N8" s="224">
        <f t="shared" si="2"/>
        <v>7.4228700331660935</v>
      </c>
      <c r="O8" s="223">
        <f t="shared" si="3"/>
        <v>0.46872000002084274</v>
      </c>
      <c r="P8" s="224">
        <f t="shared" si="4"/>
        <v>0.43419729403638418</v>
      </c>
      <c r="Q8" s="223">
        <f t="shared" si="5"/>
        <v>0.87048000000000003</v>
      </c>
      <c r="R8" s="224">
        <f t="shared" si="6"/>
        <v>3.1816352333120088</v>
      </c>
    </row>
    <row r="9" spans="2:20" x14ac:dyDescent="0.25">
      <c r="B9" s="54" t="s">
        <v>154</v>
      </c>
      <c r="C9" s="220" t="str">
        <f>VAC_Optim_Scenario!B21</f>
        <v>HCC Streaming Video</v>
      </c>
      <c r="D9" s="221">
        <f>VAC_Optim_Scenario!$H40</f>
        <v>8306901</v>
      </c>
      <c r="E9" s="222">
        <f>VAC_Optim_Scenario!$J40</f>
        <v>16281797.494816165</v>
      </c>
      <c r="F9" s="221">
        <v>5499757.2028695699</v>
      </c>
      <c r="G9" s="222">
        <v>7382876.6944708871</v>
      </c>
      <c r="H9" s="221">
        <v>10213834.800000001</v>
      </c>
      <c r="I9" s="222">
        <v>42814688.994375341</v>
      </c>
      <c r="J9" s="225"/>
      <c r="K9" s="54" t="s">
        <v>154</v>
      </c>
      <c r="L9" s="54" t="str">
        <f>VAC_Optim_Scenario!B21</f>
        <v>HCC Streaming Video</v>
      </c>
      <c r="M9" s="223">
        <f t="shared" si="1"/>
        <v>8.3069009999999999</v>
      </c>
      <c r="N9" s="224">
        <f t="shared" si="2"/>
        <v>16.281797494816164</v>
      </c>
      <c r="O9" s="223">
        <f t="shared" si="3"/>
        <v>5.4997572028695698</v>
      </c>
      <c r="P9" s="224">
        <f t="shared" si="4"/>
        <v>7.3828766944708875</v>
      </c>
      <c r="Q9" s="223">
        <f t="shared" si="5"/>
        <v>10.213834800000001</v>
      </c>
      <c r="R9" s="224">
        <f t="shared" si="6"/>
        <v>42.814688994375338</v>
      </c>
    </row>
    <row r="10" spans="2:20" x14ac:dyDescent="0.25">
      <c r="B10" s="54" t="s">
        <v>154</v>
      </c>
      <c r="C10" s="220" t="str">
        <f>VAC_Optim_Scenario!B22</f>
        <v>HCC Display</v>
      </c>
      <c r="D10" s="221">
        <f>VAC_Optim_Scenario!$H41</f>
        <v>5000000</v>
      </c>
      <c r="E10" s="222">
        <f>VAC_Optim_Scenario!$J41</f>
        <v>24032152.746086098</v>
      </c>
      <c r="F10" s="221">
        <v>2247758.2947281389</v>
      </c>
      <c r="G10" s="222">
        <v>8494262.302786056</v>
      </c>
      <c r="H10" s="221">
        <v>2714286.9</v>
      </c>
      <c r="I10" s="222">
        <v>37336940.701959558</v>
      </c>
      <c r="J10" s="225"/>
      <c r="K10" s="54" t="s">
        <v>154</v>
      </c>
      <c r="L10" s="54" t="str">
        <f>VAC_Optim_Scenario!B22</f>
        <v>HCC Display</v>
      </c>
      <c r="M10" s="223">
        <f t="shared" si="1"/>
        <v>5</v>
      </c>
      <c r="N10" s="224">
        <f t="shared" si="2"/>
        <v>24.032152746086098</v>
      </c>
      <c r="O10" s="223">
        <f t="shared" si="3"/>
        <v>2.2477582947281389</v>
      </c>
      <c r="P10" s="224">
        <f t="shared" si="4"/>
        <v>8.4942623027860567</v>
      </c>
      <c r="Q10" s="223">
        <f t="shared" si="5"/>
        <v>2.7142868999999998</v>
      </c>
      <c r="R10" s="224">
        <f t="shared" si="6"/>
        <v>37.336940701959556</v>
      </c>
    </row>
    <row r="11" spans="2:20" x14ac:dyDescent="0.25">
      <c r="B11" s="54" t="s">
        <v>154</v>
      </c>
      <c r="C11" s="220" t="str">
        <f>VAC_Optim_Scenario!B23</f>
        <v>HCC Paid Search</v>
      </c>
      <c r="D11" s="221">
        <f>VAC_Optim_Scenario!$H42</f>
        <v>200000</v>
      </c>
      <c r="E11" s="222">
        <f>VAC_Optim_Scenario!$J42</f>
        <v>17969341.094351832</v>
      </c>
      <c r="F11" s="221">
        <v>1503022.5591430741</v>
      </c>
      <c r="G11" s="222">
        <v>5708578.4926482635</v>
      </c>
      <c r="H11" s="221">
        <v>1791576.8</v>
      </c>
      <c r="I11" s="222">
        <v>24930037.611909606</v>
      </c>
      <c r="J11" s="217"/>
      <c r="K11" s="54" t="s">
        <v>154</v>
      </c>
      <c r="L11" s="54" t="str">
        <f>VAC_Optim_Scenario!B23</f>
        <v>HCC Paid Search</v>
      </c>
      <c r="M11" s="223">
        <f t="shared" si="1"/>
        <v>0.2</v>
      </c>
      <c r="N11" s="224">
        <f t="shared" si="2"/>
        <v>17.969341094351833</v>
      </c>
      <c r="O11" s="223">
        <f t="shared" si="3"/>
        <v>1.5030225591430741</v>
      </c>
      <c r="P11" s="224">
        <f t="shared" si="4"/>
        <v>5.7085784926482637</v>
      </c>
      <c r="Q11" s="223">
        <f t="shared" si="5"/>
        <v>1.7915768000000001</v>
      </c>
      <c r="R11" s="224">
        <f t="shared" si="6"/>
        <v>24.930037611909604</v>
      </c>
    </row>
    <row r="12" spans="2:20" x14ac:dyDescent="0.25">
      <c r="B12" s="54" t="s">
        <v>154</v>
      </c>
      <c r="C12" s="220" t="str">
        <f>VAC_Optim_Scenario!B24</f>
        <v>HCC Radio</v>
      </c>
      <c r="D12" s="221">
        <f>VAC_Optim_Scenario!$H43</f>
        <v>2200000</v>
      </c>
      <c r="E12" s="222">
        <f>VAC_Optim_Scenario!$J43</f>
        <v>8497253.2367697079</v>
      </c>
      <c r="F12" s="221">
        <v>855611.9</v>
      </c>
      <c r="G12" s="222">
        <v>4509891.717737359</v>
      </c>
      <c r="H12" s="221">
        <v>855611.9</v>
      </c>
      <c r="I12" s="222">
        <v>18039566.870949436</v>
      </c>
      <c r="J12" s="217"/>
      <c r="K12" s="54" t="s">
        <v>154</v>
      </c>
      <c r="L12" s="54" t="str">
        <f>VAC_Optim_Scenario!B24</f>
        <v>HCC Radio</v>
      </c>
      <c r="M12" s="223">
        <f t="shared" si="1"/>
        <v>2.2000000000000002</v>
      </c>
      <c r="N12" s="224">
        <f t="shared" si="2"/>
        <v>8.4972532367697085</v>
      </c>
      <c r="O12" s="223">
        <f t="shared" si="3"/>
        <v>0.85561189999999998</v>
      </c>
      <c r="P12" s="224">
        <f t="shared" si="4"/>
        <v>4.509891717737359</v>
      </c>
      <c r="Q12" s="223">
        <f t="shared" si="5"/>
        <v>0.85561189999999998</v>
      </c>
      <c r="R12" s="224">
        <f t="shared" si="6"/>
        <v>18.039566870949436</v>
      </c>
    </row>
    <row r="13" spans="2:20" x14ac:dyDescent="0.25">
      <c r="B13" s="234" t="s">
        <v>154</v>
      </c>
      <c r="C13" s="208" t="str">
        <f>VAC_Optim_Scenario!B25</f>
        <v>HCC Linear TV</v>
      </c>
      <c r="D13" s="235">
        <f>VAC_Optim_Scenario!$H44</f>
        <v>20273404</v>
      </c>
      <c r="E13" s="235">
        <f>VAC_Optim_Scenario!$J44</f>
        <v>32151392.36941025</v>
      </c>
      <c r="F13" s="235">
        <v>15717664.872</v>
      </c>
      <c r="G13" s="235">
        <v>44549150.696473777</v>
      </c>
      <c r="H13" s="235">
        <v>21525379.182791278</v>
      </c>
      <c r="I13" s="235">
        <v>202080559.00711048</v>
      </c>
      <c r="J13" s="217"/>
      <c r="K13" s="234" t="s">
        <v>154</v>
      </c>
      <c r="L13" s="234" t="str">
        <f>VAC_Optim_Scenario!B25</f>
        <v>HCC Linear TV</v>
      </c>
      <c r="M13" s="228">
        <f t="shared" si="1"/>
        <v>20.273403999999999</v>
      </c>
      <c r="N13" s="228">
        <f t="shared" si="2"/>
        <v>32.151392369410253</v>
      </c>
      <c r="O13" s="228">
        <f t="shared" si="3"/>
        <v>15.717664872</v>
      </c>
      <c r="P13" s="228">
        <f t="shared" si="4"/>
        <v>44.549150696473774</v>
      </c>
      <c r="Q13" s="228">
        <f t="shared" si="5"/>
        <v>21.525379182791276</v>
      </c>
      <c r="R13" s="228">
        <f t="shared" si="6"/>
        <v>202.08055900711048</v>
      </c>
    </row>
    <row r="14" spans="2:20" x14ac:dyDescent="0.25">
      <c r="T14" s="276"/>
    </row>
    <row r="15" spans="2:20" x14ac:dyDescent="0.25">
      <c r="C15" s="211" t="s">
        <v>218</v>
      </c>
    </row>
    <row r="17" spans="2:19" ht="38.1" customHeight="1" x14ac:dyDescent="0.25">
      <c r="C17" s="423" t="s">
        <v>3</v>
      </c>
      <c r="D17" s="421" t="s">
        <v>213</v>
      </c>
      <c r="E17" s="422"/>
      <c r="F17" s="421" t="s">
        <v>219</v>
      </c>
      <c r="G17" s="422"/>
      <c r="H17" s="421" t="s">
        <v>220</v>
      </c>
      <c r="I17" s="422"/>
      <c r="L17" s="423" t="s">
        <v>3</v>
      </c>
      <c r="M17" s="421" t="s">
        <v>213</v>
      </c>
      <c r="N17" s="422"/>
      <c r="O17" s="421" t="s">
        <v>219</v>
      </c>
      <c r="P17" s="422"/>
      <c r="Q17" s="421" t="s">
        <v>220</v>
      </c>
      <c r="R17" s="422"/>
    </row>
    <row r="18" spans="2:19" ht="25.5" x14ac:dyDescent="0.25">
      <c r="C18" s="424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4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4" t="str">
        <f>VAC_Optim_Scenario!B17</f>
        <v>HCC InOffice</v>
      </c>
      <c r="D19" s="215">
        <f>VAC_Optim_Scenario!$H36</f>
        <v>900000</v>
      </c>
      <c r="E19" s="216">
        <f>VAC_Optim_Scenario!$J36</f>
        <v>1410431.7445188572</v>
      </c>
      <c r="F19" s="215">
        <f>VAC_Optim_Scenario!$H36</f>
        <v>900000</v>
      </c>
      <c r="G19" s="216">
        <f>VAC_Optim_Scenario!$J36</f>
        <v>1410431.7445188572</v>
      </c>
      <c r="H19" s="215">
        <f>VAC_Optim_Scenario!$H36</f>
        <v>900000</v>
      </c>
      <c r="I19" s="216">
        <f>VAC_Optim_Scenario!$J36</f>
        <v>1410431.7445188572</v>
      </c>
      <c r="J19" s="217"/>
      <c r="K19" s="53" t="s">
        <v>154</v>
      </c>
      <c r="L19" s="214" t="str">
        <f>VAC_Optim_Scenario!B17</f>
        <v>HCC InOffice</v>
      </c>
      <c r="M19" s="218">
        <f>D19/1000000</f>
        <v>0.9</v>
      </c>
      <c r="N19" s="219">
        <f t="shared" ref="N19:R19" si="7">E19/1000000</f>
        <v>1.4104317445188572</v>
      </c>
      <c r="O19" s="218">
        <f t="shared" si="7"/>
        <v>0.9</v>
      </c>
      <c r="P19" s="219">
        <f t="shared" si="7"/>
        <v>1.4104317445188572</v>
      </c>
      <c r="Q19" s="218">
        <f t="shared" si="7"/>
        <v>0.9</v>
      </c>
      <c r="R19" s="219">
        <f t="shared" si="7"/>
        <v>1.4104317445188572</v>
      </c>
    </row>
    <row r="20" spans="2:19" x14ac:dyDescent="0.25">
      <c r="B20" s="54" t="s">
        <v>154</v>
      </c>
      <c r="C20" s="220" t="str">
        <f>VAC_Optim_Scenario!B18</f>
        <v>HCP MCM</v>
      </c>
      <c r="D20" s="221">
        <f>VAC_Optim_Scenario!$H37</f>
        <v>21000000</v>
      </c>
      <c r="E20" s="222">
        <f>VAC_Optim_Scenario!$J37</f>
        <v>105724786.72171538</v>
      </c>
      <c r="F20" s="221">
        <f>VAC_Optim_Scenario!$H37</f>
        <v>21000000</v>
      </c>
      <c r="G20" s="222">
        <f>VAC_Optim_Scenario!$J37</f>
        <v>105724786.72171538</v>
      </c>
      <c r="H20" s="221">
        <f>VAC_Optim_Scenario!$H37</f>
        <v>21000000</v>
      </c>
      <c r="I20" s="222">
        <f>VAC_Optim_Scenario!$J37</f>
        <v>105724786.72171538</v>
      </c>
      <c r="J20" s="217"/>
      <c r="K20" s="54" t="s">
        <v>154</v>
      </c>
      <c r="L20" s="220" t="str">
        <f>VAC_Optim_Scenario!B18</f>
        <v>HCP MCM</v>
      </c>
      <c r="M20" s="223">
        <f t="shared" ref="M20:M27" si="8">D20/1000000</f>
        <v>21</v>
      </c>
      <c r="N20" s="224">
        <f t="shared" ref="N20:N27" si="9">E20/1000000</f>
        <v>105.72478672171538</v>
      </c>
      <c r="O20" s="223">
        <f t="shared" ref="O20:O27" si="10">F20/1000000</f>
        <v>21</v>
      </c>
      <c r="P20" s="224">
        <f t="shared" ref="P20:P27" si="11">G20/1000000</f>
        <v>105.72478672171538</v>
      </c>
      <c r="Q20" s="223">
        <f t="shared" ref="Q20:Q27" si="12">H20/1000000</f>
        <v>21</v>
      </c>
      <c r="R20" s="224">
        <f t="shared" ref="R20:R27" si="13">I20/1000000</f>
        <v>105.72478672171538</v>
      </c>
    </row>
    <row r="21" spans="2:19" x14ac:dyDescent="0.25">
      <c r="B21" s="54" t="s">
        <v>154</v>
      </c>
      <c r="C21" s="220" t="str">
        <f>VAC_Optim_Scenario!B19</f>
        <v>HCC Social</v>
      </c>
      <c r="D21" s="221">
        <f>VAC_Optim_Scenario!$H38</f>
        <v>3049857.2699284316</v>
      </c>
      <c r="E21" s="222">
        <f>VAC_Optim_Scenario!$J38</f>
        <v>7508241.9839859502</v>
      </c>
      <c r="F21" s="221">
        <f>VAC_Optim_Scenario!$H38</f>
        <v>3049857.2699284316</v>
      </c>
      <c r="G21" s="222">
        <f>VAC_Optim_Scenario!$J38</f>
        <v>7508241.9839859502</v>
      </c>
      <c r="H21" s="221">
        <f>VAC_Optim_Scenario!$H38</f>
        <v>3049857.2699284316</v>
      </c>
      <c r="I21" s="222">
        <f>VAC_Optim_Scenario!$J38</f>
        <v>7508241.9839859502</v>
      </c>
      <c r="J21" s="225"/>
      <c r="K21" s="54" t="s">
        <v>154</v>
      </c>
      <c r="L21" s="220" t="str">
        <f>VAC_Optim_Scenario!B19</f>
        <v>HCC Social</v>
      </c>
      <c r="M21" s="223">
        <f t="shared" si="8"/>
        <v>3.0498572699284314</v>
      </c>
      <c r="N21" s="224">
        <f t="shared" si="9"/>
        <v>7.5082419839859504</v>
      </c>
      <c r="O21" s="223">
        <f t="shared" si="10"/>
        <v>3.0498572699284314</v>
      </c>
      <c r="P21" s="224">
        <f t="shared" si="11"/>
        <v>7.5082419839859504</v>
      </c>
      <c r="Q21" s="223">
        <f t="shared" si="12"/>
        <v>3.0498572699284314</v>
      </c>
      <c r="R21" s="224">
        <f t="shared" si="13"/>
        <v>7.5082419839859504</v>
      </c>
    </row>
    <row r="22" spans="2:19" x14ac:dyDescent="0.25">
      <c r="B22" s="54" t="s">
        <v>154</v>
      </c>
      <c r="C22" s="220" t="str">
        <f>VAC_Optim_Scenario!B20</f>
        <v>HCC Online Video</v>
      </c>
      <c r="D22" s="221">
        <f>VAC_Optim_Scenario!$H39</f>
        <v>2277500.7120514014</v>
      </c>
      <c r="E22" s="222">
        <f>VAC_Optim_Scenario!$J39</f>
        <v>7422870.0331660938</v>
      </c>
      <c r="F22" s="221">
        <f>VAC_Optim_Scenario!$H39</f>
        <v>2277500.7120514014</v>
      </c>
      <c r="G22" s="222">
        <f>VAC_Optim_Scenario!$J39</f>
        <v>7422870.0331660938</v>
      </c>
      <c r="H22" s="221">
        <f>VAC_Optim_Scenario!$H39</f>
        <v>2277500.7120514014</v>
      </c>
      <c r="I22" s="222">
        <f>VAC_Optim_Scenario!$J39</f>
        <v>7422870.0331660938</v>
      </c>
      <c r="J22" s="217"/>
      <c r="K22" s="54" t="s">
        <v>154</v>
      </c>
      <c r="L22" s="220" t="str">
        <f>VAC_Optim_Scenario!B20</f>
        <v>HCC Online Video</v>
      </c>
      <c r="M22" s="223">
        <f t="shared" si="8"/>
        <v>2.2775007120514013</v>
      </c>
      <c r="N22" s="224">
        <f t="shared" si="9"/>
        <v>7.4228700331660935</v>
      </c>
      <c r="O22" s="223">
        <f t="shared" si="10"/>
        <v>2.2775007120514013</v>
      </c>
      <c r="P22" s="224">
        <f t="shared" si="11"/>
        <v>7.4228700331660935</v>
      </c>
      <c r="Q22" s="223">
        <f t="shared" si="12"/>
        <v>2.2775007120514013</v>
      </c>
      <c r="R22" s="224">
        <f t="shared" si="13"/>
        <v>7.4228700331660935</v>
      </c>
    </row>
    <row r="23" spans="2:19" x14ac:dyDescent="0.25">
      <c r="B23" s="54" t="s">
        <v>154</v>
      </c>
      <c r="C23" s="220" t="str">
        <f>VAC_Optim_Scenario!B21</f>
        <v>HCC Streaming Video</v>
      </c>
      <c r="D23" s="221">
        <f>VAC_Optim_Scenario!$H40</f>
        <v>8306901</v>
      </c>
      <c r="E23" s="222">
        <f>VAC_Optim_Scenario!$J40</f>
        <v>16281797.494816165</v>
      </c>
      <c r="F23" s="221">
        <f>VAC_Optim_Scenario!$H40</f>
        <v>8306901</v>
      </c>
      <c r="G23" s="222">
        <f>VAC_Optim_Scenario!$J40</f>
        <v>16281797.494816165</v>
      </c>
      <c r="H23" s="221">
        <f>VAC_Optim_Scenario!$H40</f>
        <v>8306901</v>
      </c>
      <c r="I23" s="222">
        <f>VAC_Optim_Scenario!$J40</f>
        <v>16281797.494816165</v>
      </c>
      <c r="J23" s="225"/>
      <c r="K23" s="54" t="s">
        <v>154</v>
      </c>
      <c r="L23" s="220" t="str">
        <f>VAC_Optim_Scenario!B21</f>
        <v>HCC Streaming Video</v>
      </c>
      <c r="M23" s="223">
        <f t="shared" si="8"/>
        <v>8.3069009999999999</v>
      </c>
      <c r="N23" s="224">
        <f t="shared" si="9"/>
        <v>16.281797494816164</v>
      </c>
      <c r="O23" s="223">
        <f t="shared" si="10"/>
        <v>8.3069009999999999</v>
      </c>
      <c r="P23" s="224">
        <f t="shared" si="11"/>
        <v>16.281797494816164</v>
      </c>
      <c r="Q23" s="223">
        <f t="shared" si="12"/>
        <v>8.3069009999999999</v>
      </c>
      <c r="R23" s="224">
        <f t="shared" si="13"/>
        <v>16.281797494816164</v>
      </c>
    </row>
    <row r="24" spans="2:19" x14ac:dyDescent="0.25">
      <c r="B24" s="54" t="s">
        <v>154</v>
      </c>
      <c r="C24" s="220" t="str">
        <f>VAC_Optim_Scenario!B22</f>
        <v>HCC Display</v>
      </c>
      <c r="D24" s="221">
        <f>VAC_Optim_Scenario!$H41</f>
        <v>5000000</v>
      </c>
      <c r="E24" s="222">
        <f>VAC_Optim_Scenario!$J41</f>
        <v>24032152.746086098</v>
      </c>
      <c r="F24" s="221">
        <f>VAC_Optim_Scenario!$H41</f>
        <v>5000000</v>
      </c>
      <c r="G24" s="222">
        <f>VAC_Optim_Scenario!$J41</f>
        <v>24032152.746086098</v>
      </c>
      <c r="H24" s="221">
        <f>VAC_Optim_Scenario!$H41</f>
        <v>5000000</v>
      </c>
      <c r="I24" s="222">
        <f>VAC_Optim_Scenario!$J41</f>
        <v>24032152.746086098</v>
      </c>
      <c r="J24" s="225"/>
      <c r="K24" s="54" t="s">
        <v>154</v>
      </c>
      <c r="L24" s="220" t="str">
        <f>VAC_Optim_Scenario!B22</f>
        <v>HCC Display</v>
      </c>
      <c r="M24" s="223">
        <f t="shared" si="8"/>
        <v>5</v>
      </c>
      <c r="N24" s="224">
        <f t="shared" si="9"/>
        <v>24.032152746086098</v>
      </c>
      <c r="O24" s="223">
        <f t="shared" si="10"/>
        <v>5</v>
      </c>
      <c r="P24" s="224">
        <f t="shared" si="11"/>
        <v>24.032152746086098</v>
      </c>
      <c r="Q24" s="223">
        <f t="shared" si="12"/>
        <v>5</v>
      </c>
      <c r="R24" s="224">
        <f t="shared" si="13"/>
        <v>24.032152746086098</v>
      </c>
    </row>
    <row r="25" spans="2:19" x14ac:dyDescent="0.25">
      <c r="B25" s="54" t="s">
        <v>154</v>
      </c>
      <c r="C25" s="220" t="str">
        <f>VAC_Optim_Scenario!B23</f>
        <v>HCC Paid Search</v>
      </c>
      <c r="D25" s="221">
        <f>VAC_Optim_Scenario!$H42</f>
        <v>200000</v>
      </c>
      <c r="E25" s="222">
        <f>VAC_Optim_Scenario!$J42</f>
        <v>17969341.094351832</v>
      </c>
      <c r="F25" s="221">
        <f>VAC_Optim_Scenario!$H42</f>
        <v>200000</v>
      </c>
      <c r="G25" s="222">
        <f>VAC_Optim_Scenario!$J42</f>
        <v>17969341.094351832</v>
      </c>
      <c r="H25" s="221">
        <f>VAC_Optim_Scenario!$H42</f>
        <v>200000</v>
      </c>
      <c r="I25" s="222">
        <f>VAC_Optim_Scenario!$J42</f>
        <v>17969341.094351832</v>
      </c>
      <c r="J25" s="225"/>
      <c r="K25" s="54" t="s">
        <v>154</v>
      </c>
      <c r="L25" s="220" t="str">
        <f>VAC_Optim_Scenario!B23</f>
        <v>HCC Paid Search</v>
      </c>
      <c r="M25" s="223">
        <f t="shared" si="8"/>
        <v>0.2</v>
      </c>
      <c r="N25" s="224">
        <f t="shared" si="9"/>
        <v>17.969341094351833</v>
      </c>
      <c r="O25" s="223">
        <f t="shared" si="10"/>
        <v>0.2</v>
      </c>
      <c r="P25" s="224">
        <f t="shared" si="11"/>
        <v>17.969341094351833</v>
      </c>
      <c r="Q25" s="223">
        <f t="shared" si="12"/>
        <v>0.2</v>
      </c>
      <c r="R25" s="224">
        <f t="shared" si="13"/>
        <v>17.969341094351833</v>
      </c>
    </row>
    <row r="26" spans="2:19" x14ac:dyDescent="0.25">
      <c r="B26" s="54" t="s">
        <v>154</v>
      </c>
      <c r="C26" s="220" t="str">
        <f>VAC_Optim_Scenario!B24</f>
        <v>HCC Radio</v>
      </c>
      <c r="D26" s="221">
        <f>VAC_Optim_Scenario!$H43</f>
        <v>2200000</v>
      </c>
      <c r="E26" s="222">
        <f>VAC_Optim_Scenario!$J43</f>
        <v>8497253.2367697079</v>
      </c>
      <c r="F26" s="221">
        <f>VAC_Optim_Scenario!$H43</f>
        <v>2200000</v>
      </c>
      <c r="G26" s="222">
        <f>VAC_Optim_Scenario!$J43</f>
        <v>8497253.2367697079</v>
      </c>
      <c r="H26" s="221">
        <f>VAC_Optim_Scenario!$H43</f>
        <v>2200000</v>
      </c>
      <c r="I26" s="222">
        <f>VAC_Optim_Scenario!$J43</f>
        <v>8497253.2367697079</v>
      </c>
      <c r="J26" s="225"/>
      <c r="K26" s="54" t="s">
        <v>154</v>
      </c>
      <c r="L26" s="220" t="str">
        <f>VAC_Optim_Scenario!B24</f>
        <v>HCC Radio</v>
      </c>
      <c r="M26" s="223">
        <f t="shared" si="8"/>
        <v>2.2000000000000002</v>
      </c>
      <c r="N26" s="224">
        <f t="shared" si="9"/>
        <v>8.4972532367697085</v>
      </c>
      <c r="O26" s="223">
        <f t="shared" si="10"/>
        <v>2.2000000000000002</v>
      </c>
      <c r="P26" s="224">
        <f t="shared" si="11"/>
        <v>8.4972532367697085</v>
      </c>
      <c r="Q26" s="223">
        <f t="shared" si="12"/>
        <v>2.2000000000000002</v>
      </c>
      <c r="R26" s="224">
        <f t="shared" si="13"/>
        <v>8.4972532367697085</v>
      </c>
    </row>
    <row r="27" spans="2:19" x14ac:dyDescent="0.25">
      <c r="B27" s="234" t="s">
        <v>154</v>
      </c>
      <c r="C27" s="208" t="str">
        <f>VAC_Optim_Scenario!B25</f>
        <v>HCC Linear TV</v>
      </c>
      <c r="D27" s="235">
        <f>VAC_Optim_Scenario!$H44</f>
        <v>20273404</v>
      </c>
      <c r="E27" s="235">
        <f>VAC_Optim_Scenario!$J44</f>
        <v>32151392.36941025</v>
      </c>
      <c r="F27" s="235">
        <f>VAC_Optim_Scenario!$H44</f>
        <v>20273404</v>
      </c>
      <c r="G27" s="235">
        <f>VAC_Optim_Scenario!$J44</f>
        <v>32151392.36941025</v>
      </c>
      <c r="H27" s="235">
        <f>VAC_Optim_Scenario!$H44</f>
        <v>20273404</v>
      </c>
      <c r="I27" s="235">
        <f>VAC_Optim_Scenario!$J44</f>
        <v>32151392.36941025</v>
      </c>
      <c r="J27" s="225"/>
      <c r="K27" s="234" t="s">
        <v>154</v>
      </c>
      <c r="L27" s="208" t="str">
        <f>VAC_Optim_Scenario!B25</f>
        <v>HCC Linear TV</v>
      </c>
      <c r="M27" s="228">
        <f t="shared" si="8"/>
        <v>20.273403999999999</v>
      </c>
      <c r="N27" s="228">
        <f t="shared" si="9"/>
        <v>32.151392369410253</v>
      </c>
      <c r="O27" s="228">
        <f t="shared" si="10"/>
        <v>20.273403999999999</v>
      </c>
      <c r="P27" s="228">
        <f t="shared" si="11"/>
        <v>32.151392369410253</v>
      </c>
      <c r="Q27" s="228">
        <f t="shared" si="12"/>
        <v>20.273403999999999</v>
      </c>
      <c r="R27" s="228">
        <f t="shared" si="13"/>
        <v>32.151392369410253</v>
      </c>
    </row>
    <row r="30" spans="2:19" ht="34.35" customHeight="1" x14ac:dyDescent="0.25">
      <c r="C30" s="141" t="s">
        <v>3</v>
      </c>
      <c r="D30" s="142" t="s">
        <v>221</v>
      </c>
      <c r="E30" s="226">
        <v>-0.5</v>
      </c>
      <c r="F30" s="226">
        <v>2</v>
      </c>
      <c r="G30" s="226">
        <v>-0.4</v>
      </c>
      <c r="H30" s="226">
        <v>0.4</v>
      </c>
      <c r="J30" s="97" t="s">
        <v>3</v>
      </c>
      <c r="K30" s="97" t="s">
        <v>229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7" t="str">
        <f>VAC_Optim_Scenario!B17</f>
        <v>HCC InOffice</v>
      </c>
      <c r="D31" s="218">
        <f>M19</f>
        <v>0.9</v>
      </c>
      <c r="E31" s="218">
        <f>O5</f>
        <v>2.3045999176017213</v>
      </c>
      <c r="F31" s="218">
        <f>Q5</f>
        <v>2.34</v>
      </c>
      <c r="G31" s="218">
        <f>O19</f>
        <v>0.9</v>
      </c>
      <c r="H31" s="218">
        <f>Q19</f>
        <v>0.9</v>
      </c>
      <c r="J31" s="227">
        <v>-0.5</v>
      </c>
      <c r="K31" s="228">
        <f>E$31</f>
        <v>2.3045999176017213</v>
      </c>
      <c r="L31" s="228">
        <f>E$32</f>
        <v>5.9808212879999996</v>
      </c>
      <c r="M31" s="228">
        <f>E$33</f>
        <v>2.3684232000000001</v>
      </c>
      <c r="N31" s="228">
        <f>E$34</f>
        <v>0.46872000002084274</v>
      </c>
      <c r="O31" s="228">
        <f>E$35</f>
        <v>5.4997572028695698</v>
      </c>
      <c r="P31" s="228">
        <f>E$36</f>
        <v>2.2477582947281389</v>
      </c>
      <c r="Q31" s="228">
        <f>E$37</f>
        <v>1.5030225591430741</v>
      </c>
      <c r="R31" s="228">
        <f>E$38</f>
        <v>0.85561189999999998</v>
      </c>
      <c r="S31" s="228">
        <f>E$39</f>
        <v>15.717664872</v>
      </c>
    </row>
    <row r="32" spans="2:19" x14ac:dyDescent="0.25">
      <c r="B32" s="54" t="s">
        <v>154</v>
      </c>
      <c r="C32" s="278" t="str">
        <f>VAC_Optim_Scenario!B18</f>
        <v>HCP MCM</v>
      </c>
      <c r="D32" s="223">
        <f t="shared" ref="D32:D39" si="14">M20</f>
        <v>21</v>
      </c>
      <c r="E32" s="223">
        <f t="shared" ref="E32:E39" si="15">O6</f>
        <v>5.9808212879999996</v>
      </c>
      <c r="F32" s="223">
        <f t="shared" ref="F32:F39" si="16">Q6</f>
        <v>5.9808212879999996</v>
      </c>
      <c r="G32" s="223">
        <f t="shared" ref="G32:G39" si="17">O20</f>
        <v>21</v>
      </c>
      <c r="H32" s="223">
        <f t="shared" ref="H32:H39" si="18">Q20</f>
        <v>21</v>
      </c>
      <c r="J32" s="227">
        <v>-0.4</v>
      </c>
      <c r="K32" s="228">
        <f>G$31</f>
        <v>0.9</v>
      </c>
      <c r="L32" s="228">
        <f>G$32</f>
        <v>21</v>
      </c>
      <c r="M32" s="228">
        <f>G$33</f>
        <v>3.0498572699284314</v>
      </c>
      <c r="N32" s="228">
        <f>G$34</f>
        <v>2.2775007120514013</v>
      </c>
      <c r="O32" s="228">
        <f>G$35</f>
        <v>8.3069009999999999</v>
      </c>
      <c r="P32" s="228">
        <f>G$36</f>
        <v>5</v>
      </c>
      <c r="Q32" s="228">
        <f>G$37</f>
        <v>0.2</v>
      </c>
      <c r="R32" s="228">
        <f>G$38</f>
        <v>2.2000000000000002</v>
      </c>
      <c r="S32" s="228">
        <f>G$39</f>
        <v>20.273403999999999</v>
      </c>
    </row>
    <row r="33" spans="2:22" x14ac:dyDescent="0.25">
      <c r="B33" s="54" t="s">
        <v>154</v>
      </c>
      <c r="C33" s="278" t="str">
        <f>VAC_Optim_Scenario!B19</f>
        <v>HCC Social</v>
      </c>
      <c r="D33" s="223">
        <f t="shared" si="14"/>
        <v>3.0498572699284314</v>
      </c>
      <c r="E33" s="223">
        <f t="shared" si="15"/>
        <v>2.3684232000000001</v>
      </c>
      <c r="F33" s="223">
        <f t="shared" si="16"/>
        <v>2.3684232000000001</v>
      </c>
      <c r="G33" s="223">
        <f t="shared" si="17"/>
        <v>3.0498572699284314</v>
      </c>
      <c r="H33" s="223">
        <f t="shared" si="18"/>
        <v>3.0498572699284314</v>
      </c>
      <c r="J33" s="227" t="s">
        <v>221</v>
      </c>
      <c r="K33" s="228">
        <f>D$31</f>
        <v>0.9</v>
      </c>
      <c r="L33" s="228">
        <f>D$32</f>
        <v>21</v>
      </c>
      <c r="M33" s="228">
        <f>D$33</f>
        <v>3.0498572699284314</v>
      </c>
      <c r="N33" s="228">
        <f>D$34</f>
        <v>2.2775007120514013</v>
      </c>
      <c r="O33" s="228">
        <f>D$35</f>
        <v>8.3069009999999999</v>
      </c>
      <c r="P33" s="228">
        <f>D$36</f>
        <v>5</v>
      </c>
      <c r="Q33" s="228">
        <f>D$37</f>
        <v>0.2</v>
      </c>
      <c r="R33" s="228">
        <f>D$38</f>
        <v>2.2000000000000002</v>
      </c>
      <c r="S33" s="228">
        <f>D$39</f>
        <v>20.273403999999999</v>
      </c>
    </row>
    <row r="34" spans="2:22" x14ac:dyDescent="0.25">
      <c r="B34" s="54" t="s">
        <v>154</v>
      </c>
      <c r="C34" s="278" t="str">
        <f>VAC_Optim_Scenario!B20</f>
        <v>HCC Online Video</v>
      </c>
      <c r="D34" s="223">
        <f t="shared" si="14"/>
        <v>2.2775007120514013</v>
      </c>
      <c r="E34" s="223">
        <f t="shared" si="15"/>
        <v>0.46872000002084274</v>
      </c>
      <c r="F34" s="223">
        <f t="shared" si="16"/>
        <v>0.87048000000000003</v>
      </c>
      <c r="G34" s="223">
        <f t="shared" si="17"/>
        <v>2.2775007120514013</v>
      </c>
      <c r="H34" s="223">
        <f t="shared" si="18"/>
        <v>2.2775007120514013</v>
      </c>
      <c r="J34" s="227">
        <v>0.4</v>
      </c>
      <c r="K34" s="228">
        <f>H$31</f>
        <v>0.9</v>
      </c>
      <c r="L34" s="228">
        <f>H$32</f>
        <v>21</v>
      </c>
      <c r="M34" s="228">
        <f>H$33</f>
        <v>3.0498572699284314</v>
      </c>
      <c r="N34" s="228">
        <f>H$34</f>
        <v>2.2775007120514013</v>
      </c>
      <c r="O34" s="228">
        <f>H$35</f>
        <v>8.3069009999999999</v>
      </c>
      <c r="P34" s="228">
        <f>H$36</f>
        <v>5</v>
      </c>
      <c r="Q34" s="228">
        <f>H$37</f>
        <v>0.2</v>
      </c>
      <c r="R34" s="228">
        <f>H$38</f>
        <v>2.2000000000000002</v>
      </c>
      <c r="S34" s="228">
        <f>H$39</f>
        <v>20.273403999999999</v>
      </c>
    </row>
    <row r="35" spans="2:22" x14ac:dyDescent="0.25">
      <c r="B35" s="54" t="s">
        <v>154</v>
      </c>
      <c r="C35" s="278" t="str">
        <f>VAC_Optim_Scenario!B21</f>
        <v>HCC Streaming Video</v>
      </c>
      <c r="D35" s="223">
        <f t="shared" si="14"/>
        <v>8.3069009999999999</v>
      </c>
      <c r="E35" s="223">
        <f t="shared" si="15"/>
        <v>5.4997572028695698</v>
      </c>
      <c r="F35" s="223">
        <f t="shared" si="16"/>
        <v>10.213834800000001</v>
      </c>
      <c r="G35" s="223">
        <f t="shared" si="17"/>
        <v>8.3069009999999999</v>
      </c>
      <c r="H35" s="223">
        <f t="shared" si="18"/>
        <v>8.3069009999999999</v>
      </c>
      <c r="J35" s="226">
        <v>2</v>
      </c>
      <c r="K35" s="228">
        <f>F$31</f>
        <v>2.34</v>
      </c>
      <c r="L35" s="228">
        <f>F$32</f>
        <v>5.9808212879999996</v>
      </c>
      <c r="M35" s="228">
        <f>F$33</f>
        <v>2.3684232000000001</v>
      </c>
      <c r="N35" s="228">
        <f>F$34</f>
        <v>0.87048000000000003</v>
      </c>
      <c r="O35" s="228">
        <f>F$35</f>
        <v>10.213834800000001</v>
      </c>
      <c r="P35" s="228">
        <f>F$36</f>
        <v>2.7142868999999998</v>
      </c>
      <c r="Q35" s="228">
        <f>F$37</f>
        <v>1.7915768000000001</v>
      </c>
      <c r="R35" s="228">
        <f>F$38</f>
        <v>0.85561189999999998</v>
      </c>
      <c r="S35" s="228">
        <f>F$39</f>
        <v>21.525379182791276</v>
      </c>
    </row>
    <row r="36" spans="2:22" x14ac:dyDescent="0.25">
      <c r="B36" s="54" t="s">
        <v>154</v>
      </c>
      <c r="C36" s="278" t="str">
        <f>VAC_Optim_Scenario!B22</f>
        <v>HCC Display</v>
      </c>
      <c r="D36" s="223">
        <f t="shared" si="14"/>
        <v>5</v>
      </c>
      <c r="E36" s="223">
        <f t="shared" si="15"/>
        <v>2.2477582947281389</v>
      </c>
      <c r="F36" s="223">
        <f t="shared" si="16"/>
        <v>2.7142868999999998</v>
      </c>
      <c r="G36" s="223">
        <f t="shared" si="17"/>
        <v>5</v>
      </c>
      <c r="H36" s="223">
        <f t="shared" si="18"/>
        <v>5</v>
      </c>
    </row>
    <row r="37" spans="2:22" x14ac:dyDescent="0.25">
      <c r="B37" s="54" t="s">
        <v>154</v>
      </c>
      <c r="C37" s="278" t="str">
        <f>VAC_Optim_Scenario!B23</f>
        <v>HCC Paid Search</v>
      </c>
      <c r="D37" s="223">
        <f t="shared" si="14"/>
        <v>0.2</v>
      </c>
      <c r="E37" s="223">
        <f t="shared" si="15"/>
        <v>1.5030225591430741</v>
      </c>
      <c r="F37" s="223">
        <f t="shared" si="16"/>
        <v>1.7915768000000001</v>
      </c>
      <c r="G37" s="223">
        <f t="shared" si="17"/>
        <v>0.2</v>
      </c>
      <c r="H37" s="223">
        <f t="shared" si="18"/>
        <v>0.2</v>
      </c>
      <c r="J37" s="244"/>
      <c r="K37" s="229"/>
      <c r="L37" s="229"/>
      <c r="M37" s="229"/>
      <c r="N37" s="229"/>
      <c r="O37" s="229"/>
      <c r="P37" s="229"/>
      <c r="Q37" s="229"/>
      <c r="R37" s="229"/>
    </row>
    <row r="38" spans="2:22" x14ac:dyDescent="0.25">
      <c r="B38" s="54" t="s">
        <v>154</v>
      </c>
      <c r="C38" s="278" t="str">
        <f>VAC_Optim_Scenario!B24</f>
        <v>HCC Radio</v>
      </c>
      <c r="D38" s="223">
        <f t="shared" si="14"/>
        <v>2.2000000000000002</v>
      </c>
      <c r="E38" s="223">
        <f t="shared" si="15"/>
        <v>0.85561189999999998</v>
      </c>
      <c r="F38" s="223">
        <f t="shared" si="16"/>
        <v>0.85561189999999998</v>
      </c>
      <c r="G38" s="223">
        <f t="shared" si="17"/>
        <v>2.2000000000000002</v>
      </c>
      <c r="H38" s="223">
        <f t="shared" si="18"/>
        <v>2.2000000000000002</v>
      </c>
      <c r="J38" s="245"/>
      <c r="K38" s="230"/>
      <c r="L38" s="230"/>
      <c r="M38" s="230"/>
      <c r="N38" s="230"/>
      <c r="O38" s="230"/>
      <c r="P38" s="230"/>
      <c r="Q38" s="230"/>
      <c r="R38" s="230"/>
    </row>
    <row r="39" spans="2:22" x14ac:dyDescent="0.25">
      <c r="B39" s="97" t="s">
        <v>154</v>
      </c>
      <c r="C39" s="279" t="str">
        <f>VAC_Optim_Scenario!B25</f>
        <v>HCC Linear TV</v>
      </c>
      <c r="D39" s="223">
        <f t="shared" si="14"/>
        <v>20.273403999999999</v>
      </c>
      <c r="E39" s="223">
        <f t="shared" si="15"/>
        <v>15.717664872</v>
      </c>
      <c r="F39" s="223">
        <f t="shared" si="16"/>
        <v>21.525379182791276</v>
      </c>
      <c r="G39" s="223">
        <f t="shared" si="17"/>
        <v>20.273403999999999</v>
      </c>
      <c r="H39" s="223">
        <f t="shared" si="18"/>
        <v>20.273403999999999</v>
      </c>
      <c r="J39" s="244"/>
      <c r="K39" s="229"/>
      <c r="L39" s="229"/>
      <c r="M39" s="229"/>
      <c r="N39" s="229"/>
      <c r="O39" s="229"/>
      <c r="P39" s="229"/>
      <c r="Q39" s="229"/>
      <c r="R39" s="229"/>
    </row>
    <row r="40" spans="2:22" x14ac:dyDescent="0.25">
      <c r="L40" s="167"/>
      <c r="M40" s="167"/>
      <c r="O40" s="167"/>
      <c r="P40" s="167"/>
    </row>
    <row r="41" spans="2:22" x14ac:dyDescent="0.25">
      <c r="L41" s="228"/>
      <c r="M41" s="228"/>
      <c r="N41" s="228"/>
      <c r="O41" s="228"/>
      <c r="P41" s="228"/>
    </row>
    <row r="42" spans="2:22" x14ac:dyDescent="0.25">
      <c r="L42" s="228"/>
      <c r="M42" s="228"/>
      <c r="N42" s="228"/>
      <c r="O42" s="228"/>
      <c r="P42" s="228"/>
    </row>
    <row r="43" spans="2:22" x14ac:dyDescent="0.25">
      <c r="L43" s="228"/>
      <c r="M43" s="228"/>
      <c r="N43" s="228"/>
      <c r="O43" s="228"/>
      <c r="P43" s="228"/>
    </row>
    <row r="44" spans="2:22" x14ac:dyDescent="0.25">
      <c r="L44" s="228"/>
      <c r="M44" s="228"/>
      <c r="N44" s="228"/>
      <c r="O44" s="228"/>
      <c r="P44" s="228"/>
      <c r="S44" s="231"/>
      <c r="T44" s="231"/>
      <c r="V44" s="231"/>
    </row>
    <row r="45" spans="2:22" x14ac:dyDescent="0.25">
      <c r="L45" s="228"/>
      <c r="M45" s="228"/>
      <c r="N45" s="228"/>
      <c r="O45" s="228"/>
      <c r="P45" s="232"/>
      <c r="S45" s="233"/>
      <c r="T45" s="233"/>
      <c r="U45" s="233"/>
      <c r="V45" s="233"/>
    </row>
    <row r="46" spans="2:22" x14ac:dyDescent="0.25">
      <c r="L46" s="228"/>
      <c r="M46" s="228"/>
      <c r="N46" s="228"/>
      <c r="O46" s="228"/>
      <c r="P46" s="228"/>
      <c r="S46" s="233"/>
      <c r="T46" s="233"/>
      <c r="U46" s="233"/>
      <c r="V46" s="233"/>
    </row>
    <row r="47" spans="2:22" x14ac:dyDescent="0.25">
      <c r="L47" s="228"/>
      <c r="M47" s="228"/>
      <c r="N47" s="228"/>
      <c r="O47" s="228"/>
      <c r="P47" s="228"/>
    </row>
    <row r="48" spans="2:22" x14ac:dyDescent="0.25">
      <c r="L48" s="228"/>
      <c r="M48" s="228"/>
      <c r="N48" s="228"/>
      <c r="O48" s="228"/>
      <c r="P48" s="228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N3" sqref="N3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30">
        <v>2023</v>
      </c>
      <c r="E2" s="430"/>
      <c r="F2" s="430"/>
      <c r="G2" s="430"/>
      <c r="H2" s="430"/>
      <c r="I2" s="430"/>
      <c r="J2" s="323"/>
      <c r="K2" s="323"/>
      <c r="N2" s="97" t="s">
        <v>270</v>
      </c>
    </row>
    <row r="3" spans="1:20" ht="63" x14ac:dyDescent="0.25">
      <c r="B3" s="354" t="s">
        <v>2</v>
      </c>
      <c r="C3" s="355" t="s">
        <v>3</v>
      </c>
      <c r="D3" s="355" t="s">
        <v>265</v>
      </c>
      <c r="E3" s="355" t="s">
        <v>266</v>
      </c>
      <c r="F3" s="355" t="s">
        <v>267</v>
      </c>
      <c r="G3" s="355" t="s">
        <v>268</v>
      </c>
      <c r="H3" s="355" t="s">
        <v>204</v>
      </c>
      <c r="I3" s="355" t="s">
        <v>205</v>
      </c>
      <c r="J3" s="355" t="s">
        <v>260</v>
      </c>
      <c r="K3" s="355" t="s">
        <v>261</v>
      </c>
      <c r="L3" s="356" t="s">
        <v>192</v>
      </c>
      <c r="N3" s="332">
        <v>4647854</v>
      </c>
      <c r="O3"/>
    </row>
    <row r="4" spans="1:20" x14ac:dyDescent="0.25">
      <c r="A4" s="97" t="s">
        <v>272</v>
      </c>
      <c r="B4" s="365" t="s">
        <v>228</v>
      </c>
      <c r="C4" s="366" t="str">
        <f>VAC_Optim_Scenario!B17</f>
        <v>HCC InOffice</v>
      </c>
      <c r="D4" s="400">
        <f>VAC_Optim_Scenario!E17</f>
        <v>1134710</v>
      </c>
      <c r="E4" s="367">
        <f>VAC_Optim_Scenario!F17</f>
        <v>7367.8666140222922</v>
      </c>
      <c r="F4" s="400">
        <f>VAC_Optim_Scenario!G36</f>
        <v>1664695.7827721967</v>
      </c>
      <c r="G4" s="369">
        <f t="shared" ref="G4:G12" si="0">F4/D4</f>
        <v>1.4670671649780092</v>
      </c>
      <c r="H4" s="370" t="e">
        <f>E4/#REF!</f>
        <v>#REF!</v>
      </c>
      <c r="I4" s="368">
        <f>(D4/E4)</f>
        <v>154.00794550765286</v>
      </c>
      <c r="J4" s="371">
        <f>E4/N$3</f>
        <v>1.5852190309812427E-3</v>
      </c>
      <c r="K4" s="371">
        <f>J4*0.54</f>
        <v>8.5601827672987106E-4</v>
      </c>
      <c r="L4" s="372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399" cm="1">
        <f t="array" aca="1" ref="Q4" ca="1">MAX(_xlfn._xlws.FILTER(INDIRECT("'"&amp;A4&amp;"'!"&amp;"A20:A42"),INDIRECT("'"&amp;A4&amp;"'!"&amp;"A20:A42")&lt;$D4))</f>
        <v>1000000</v>
      </c>
      <c r="R4" s="399" cm="1">
        <f t="array" aca="1" ref="R4" ca="1">MIN(_xlfn._xlws.FILTER(INDIRECT("'"&amp;A4&amp;"'!"&amp;"A20:A42"),INDIRECT("'"&amp;A4&amp;"'!"&amp;"A20:A42")&gt;=$D4))</f>
        <v>1200000</v>
      </c>
      <c r="S4" s="399"/>
      <c r="T4" s="399"/>
    </row>
    <row r="5" spans="1:20" x14ac:dyDescent="0.25">
      <c r="A5" s="97" t="s">
        <v>273</v>
      </c>
      <c r="B5" s="373" t="s">
        <v>228</v>
      </c>
      <c r="C5" s="374" t="str">
        <f>VAC_Optim_Scenario!B18</f>
        <v>HCP MCM</v>
      </c>
      <c r="D5" s="400">
        <f>VAC_Optim_Scenario!E18</f>
        <v>10503728.719999999</v>
      </c>
      <c r="E5" s="375">
        <f>VAC_Optim_Scenario!F18</f>
        <v>288339.09761974216</v>
      </c>
      <c r="F5" s="400">
        <f>VAC_Optim_Scenario!G37</f>
        <v>65147335.716204539</v>
      </c>
      <c r="G5" s="376">
        <f t="shared" si="0"/>
        <v>6.2023056243025803</v>
      </c>
      <c r="H5" s="377" t="e">
        <f>E5/#REF!</f>
        <v>#REF!</v>
      </c>
      <c r="I5" s="368">
        <f t="shared" ref="I5:I13" si="1">(D5/E5)</f>
        <v>36.428388680927966</v>
      </c>
      <c r="J5" s="371">
        <f t="shared" ref="J5:J13" si="2">E5/N$3</f>
        <v>6.2037038517075226E-2</v>
      </c>
      <c r="K5" s="371">
        <f t="shared" ref="K5:K13" si="3">J5*0.54</f>
        <v>3.3500000799220622E-2</v>
      </c>
      <c r="L5" s="372">
        <f ca="1">(VLOOKUP($Q5,INDIRECT("'"&amp;A5&amp;"'!"&amp;"A20:E42"),5,0)-VLOOKUP($R5,INDIRECT("'"&amp;A5&amp;"'!"&amp;"A20:E42"),5,0))/(Q5-R5)</f>
        <v>4.9357259150992991</v>
      </c>
      <c r="M5"/>
      <c r="N5" s="333"/>
      <c r="O5" s="97">
        <v>0</v>
      </c>
      <c r="P5" s="97">
        <v>625000</v>
      </c>
      <c r="Q5" s="399" cm="1">
        <f t="array" aca="1" ref="Q5" ca="1">MAX(_xlfn._xlws.FILTER(INDIRECT("'"&amp;A5&amp;"'!"&amp;"A20:A42"),INDIRECT("'"&amp;A5&amp;"'!"&amp;"A20:A42")&lt;$D5))</f>
        <v>10000000</v>
      </c>
      <c r="R5" s="399" cm="1">
        <f t="array" aca="1" ref="R5" ca="1">MIN(_xlfn._xlws.FILTER(INDIRECT("'"&amp;A5&amp;"'!"&amp;"A20:A42"),INDIRECT("'"&amp;A5&amp;"'!"&amp;"A20:A42")&gt;=$D5))</f>
        <v>10625000</v>
      </c>
      <c r="S5" s="399"/>
      <c r="T5" s="399"/>
    </row>
    <row r="6" spans="1:20" x14ac:dyDescent="0.25">
      <c r="A6" s="97" t="s">
        <v>274</v>
      </c>
      <c r="B6" s="373" t="s">
        <v>228</v>
      </c>
      <c r="C6" s="374" t="str">
        <f>VAC_Optim_Scenario!B19</f>
        <v>HCC Social</v>
      </c>
      <c r="D6" s="400">
        <f>VAC_Optim_Scenario!E19</f>
        <v>1751000</v>
      </c>
      <c r="E6" s="375">
        <f>VAC_Optim_Scenario!F19</f>
        <v>23820.403572058858</v>
      </c>
      <c r="F6" s="400">
        <f>VAC_Optim_Scenario!G38</f>
        <v>5381981.983070978</v>
      </c>
      <c r="G6" s="376">
        <f t="shared" si="0"/>
        <v>3.0736618978132371</v>
      </c>
      <c r="H6" s="377" t="e">
        <f>E6/#REF!</f>
        <v>#REF!</v>
      </c>
      <c r="I6" s="368">
        <f t="shared" si="1"/>
        <v>73.508410329953804</v>
      </c>
      <c r="J6" s="371">
        <f t="shared" si="2"/>
        <v>5.1250326649801949E-3</v>
      </c>
      <c r="K6" s="371">
        <f t="shared" si="3"/>
        <v>2.7675176390893055E-3</v>
      </c>
      <c r="L6" s="372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399" cm="1">
        <f t="array" aca="1" ref="Q6" ca="1">MAX(_xlfn._xlws.FILTER(INDIRECT("'"&amp;A6&amp;"'!"&amp;"A20:A42"),INDIRECT("'"&amp;A6&amp;"'!"&amp;"A20:A42")&lt;$D6))</f>
        <v>1750000</v>
      </c>
      <c r="R6" s="399" cm="1">
        <f t="array" aca="1" ref="R6" ca="1">MIN(_xlfn._xlws.FILTER(INDIRECT("'"&amp;A6&amp;"'!"&amp;"A20:A42"),INDIRECT("'"&amp;A6&amp;"'!"&amp;"A20:A42")&gt;=$D6))</f>
        <v>2000000</v>
      </c>
      <c r="S6" s="399"/>
      <c r="T6" s="399"/>
    </row>
    <row r="7" spans="1:20" x14ac:dyDescent="0.25">
      <c r="A7" s="244" t="s">
        <v>275</v>
      </c>
      <c r="B7" s="373" t="s">
        <v>228</v>
      </c>
      <c r="C7" s="374" t="str">
        <f>VAC_Optim_Scenario!B20</f>
        <v>HCC Online Video</v>
      </c>
      <c r="D7" s="400">
        <f>VAC_Optim_Scenario!E20</f>
        <v>1111779.04</v>
      </c>
      <c r="E7" s="375">
        <f>VAC_Optim_Scenario!F20</f>
        <v>21646.235649615526</v>
      </c>
      <c r="F7" s="400">
        <f>VAC_Optim_Scenario!G39</f>
        <v>4890750.4826741321</v>
      </c>
      <c r="G7" s="376">
        <f t="shared" si="0"/>
        <v>4.3990310184963839</v>
      </c>
      <c r="H7" s="377" t="e">
        <f>E7/#REF!</f>
        <v>#REF!</v>
      </c>
      <c r="I7" s="368">
        <f t="shared" si="1"/>
        <v>51.361310945524473</v>
      </c>
      <c r="J7" s="371">
        <f t="shared" si="2"/>
        <v>4.6572537884398968E-3</v>
      </c>
      <c r="K7" s="371">
        <f t="shared" si="3"/>
        <v>2.5149170457575446E-3</v>
      </c>
      <c r="L7" s="372">
        <f ca="1">(VLOOKUP($Q7,INDIRECT("'"&amp;A7&amp;"'!"&amp;"A20:E42"),5,0)-VLOOKUP($R7,INDIRECT("'"&amp;A7&amp;"'!"&amp;"A20:E42"),5,0))/(Q7-R7)</f>
        <v>3.0799076810741566</v>
      </c>
      <c r="M7"/>
      <c r="O7" s="97">
        <v>0</v>
      </c>
      <c r="P7" s="97">
        <v>200000</v>
      </c>
      <c r="Q7" s="399" cm="1">
        <f t="array" aca="1" ref="Q7" ca="1">MAX(_xlfn._xlws.FILTER(INDIRECT("'"&amp;A7&amp;"'!"&amp;"A20:A42"),INDIRECT("'"&amp;A7&amp;"'!"&amp;"A20:A42")&lt;$D7))</f>
        <v>1000000</v>
      </c>
      <c r="R7" s="399" cm="1">
        <f t="array" aca="1" ref="R7" ca="1">MIN(_xlfn._xlws.FILTER(INDIRECT("'"&amp;A7&amp;"'!"&amp;"A20:A42"),INDIRECT("'"&amp;A7&amp;"'!"&amp;"A20:A42")&gt;=$D7))</f>
        <v>1200000</v>
      </c>
      <c r="S7" s="399"/>
      <c r="T7" s="399"/>
    </row>
    <row r="8" spans="1:20" x14ac:dyDescent="0.25">
      <c r="A8" s="244" t="s">
        <v>276</v>
      </c>
      <c r="B8" s="373" t="s">
        <v>228</v>
      </c>
      <c r="C8" s="374" t="str">
        <f>VAC_Optim_Scenario!B21</f>
        <v>HCC Streaming Video</v>
      </c>
      <c r="D8" s="400">
        <f>VAC_Optim_Scenario!E21</f>
        <v>13418576</v>
      </c>
      <c r="E8" s="375">
        <f>VAC_Optim_Scenario!F21</f>
        <v>100808.3256282994</v>
      </c>
      <c r="F8" s="400">
        <f>VAC_Optim_Scenario!G40</f>
        <v>22776633.092457965</v>
      </c>
      <c r="G8" s="376">
        <f t="shared" si="0"/>
        <v>1.6973956917975472</v>
      </c>
      <c r="H8" s="377" t="e">
        <f>E8/#REF!</f>
        <v>#REF!</v>
      </c>
      <c r="I8" s="368">
        <f t="shared" si="1"/>
        <v>133.10979937785092</v>
      </c>
      <c r="J8" s="371">
        <f t="shared" si="2"/>
        <v>2.1689219503947282E-2</v>
      </c>
      <c r="K8" s="371">
        <f t="shared" si="3"/>
        <v>1.1712178532131533E-2</v>
      </c>
      <c r="L8" s="372">
        <f t="shared" ca="1" si="4"/>
        <v>1.1961518650093477</v>
      </c>
      <c r="M8"/>
      <c r="O8" s="97">
        <v>0</v>
      </c>
      <c r="P8" s="97">
        <v>750000</v>
      </c>
      <c r="Q8" s="399" cm="1">
        <f t="array" aca="1" ref="Q8" ca="1">MAX(_xlfn._xlws.FILTER(INDIRECT("'"&amp;A8&amp;"'!"&amp;"A20:A42"),INDIRECT("'"&amp;A8&amp;"'!"&amp;"A20:A42")&lt;$D8))</f>
        <v>12750000</v>
      </c>
      <c r="R8" s="399" cm="1">
        <f t="array" aca="1" ref="R8" ca="1">MIN(_xlfn._xlws.FILTER(INDIRECT("'"&amp;A8&amp;"'!"&amp;"A20:A42"),INDIRECT("'"&amp;A8&amp;"'!"&amp;"A20:A42")&gt;=$D8))</f>
        <v>13500000</v>
      </c>
      <c r="S8" s="399"/>
      <c r="T8" s="399"/>
    </row>
    <row r="9" spans="1:20" x14ac:dyDescent="0.25">
      <c r="A9" s="244" t="s">
        <v>277</v>
      </c>
      <c r="B9" s="373" t="s">
        <v>228</v>
      </c>
      <c r="C9" s="374" t="str">
        <f>VAC_Optim_Scenario!B22</f>
        <v>HCC Display</v>
      </c>
      <c r="D9" s="400">
        <f>VAC_Optim_Scenario!E22</f>
        <v>2859426.82</v>
      </c>
      <c r="E9" s="375">
        <f>VAC_Optim_Scenario!F22</f>
        <v>76065.012406995462</v>
      </c>
      <c r="F9" s="400">
        <f>VAC_Optim_Scenario!G41</f>
        <v>17186128.903236553</v>
      </c>
      <c r="G9" s="376">
        <f t="shared" si="0"/>
        <v>6.010340528049098</v>
      </c>
      <c r="H9" s="377" t="e">
        <f>E9/#REF!</f>
        <v>#REF!</v>
      </c>
      <c r="I9" s="368">
        <f t="shared" si="1"/>
        <v>37.591880018375271</v>
      </c>
      <c r="J9" s="371">
        <f t="shared" si="2"/>
        <v>1.6365620005920036E-2</v>
      </c>
      <c r="K9" s="371">
        <f t="shared" si="3"/>
        <v>8.8374348031968197E-3</v>
      </c>
      <c r="L9" s="372">
        <f t="shared" ca="1" si="4"/>
        <v>3.5990133726234732</v>
      </c>
      <c r="M9"/>
      <c r="O9" s="97">
        <v>0</v>
      </c>
      <c r="P9" s="97">
        <v>250000</v>
      </c>
      <c r="Q9" s="399" cm="1">
        <f t="array" aca="1" ref="Q9" ca="1">MAX(_xlfn._xlws.FILTER(INDIRECT("'"&amp;A9&amp;"'!"&amp;"A20:A42"),INDIRECT("'"&amp;A9&amp;"'!"&amp;"A20:A42")&lt;$D9))</f>
        <v>2750000</v>
      </c>
      <c r="R9" s="399" cm="1">
        <f t="array" aca="1" ref="R9" ca="1">MIN(_xlfn._xlws.FILTER(INDIRECT("'"&amp;A9&amp;"'!"&amp;"A20:A42"),INDIRECT("'"&amp;A9&amp;"'!"&amp;"A20:A42")&gt;=$D9))</f>
        <v>3000000</v>
      </c>
      <c r="S9" s="399"/>
      <c r="T9" s="399"/>
    </row>
    <row r="10" spans="1:20" x14ac:dyDescent="0.25">
      <c r="A10" s="97" t="s">
        <v>278</v>
      </c>
      <c r="B10" s="373" t="s">
        <v>228</v>
      </c>
      <c r="C10" s="374" t="str">
        <f>VAC_Optim_Scenario!B23</f>
        <v>HCC Paid Search</v>
      </c>
      <c r="D10" s="400">
        <f>VAC_Optim_Scenario!E23</f>
        <v>50000</v>
      </c>
      <c r="E10" s="375">
        <f>VAC_Optim_Scenario!F23</f>
        <v>30136.792938374307</v>
      </c>
      <c r="F10" s="400">
        <f>VAC_Optim_Scenario!G42</f>
        <v>6809106.9964962909</v>
      </c>
      <c r="G10" s="376">
        <f t="shared" si="0"/>
        <v>136.18213992992582</v>
      </c>
      <c r="H10" s="377" t="e">
        <f>E10/#REF!</f>
        <v>#REF!</v>
      </c>
      <c r="I10" s="368">
        <f t="shared" si="1"/>
        <v>1.6591015541117227</v>
      </c>
      <c r="J10" s="371">
        <f t="shared" si="2"/>
        <v>6.4840231509798512E-3</v>
      </c>
      <c r="K10" s="371">
        <f t="shared" si="3"/>
        <v>3.5013725015291199E-3</v>
      </c>
      <c r="L10" s="372">
        <f t="shared" ca="1" si="4"/>
        <v>84.028991834438983</v>
      </c>
      <c r="M10"/>
      <c r="O10" s="97">
        <v>0</v>
      </c>
      <c r="P10" s="97">
        <v>250000</v>
      </c>
      <c r="Q10" s="399" cm="1">
        <f t="array" aca="1" ref="Q10" ca="1">MAX(_xlfn._xlws.FILTER(INDIRECT("'"&amp;A10&amp;"'!"&amp;"A20:A42"),INDIRECT("'"&amp;A10&amp;"'!"&amp;"A20:A42")&lt;$D10))</f>
        <v>0</v>
      </c>
      <c r="R10" s="399" cm="1">
        <f t="array" aca="1" ref="R10" ca="1">MIN(_xlfn._xlws.FILTER(INDIRECT("'"&amp;A10&amp;"'!"&amp;"A20:A42"),INDIRECT("'"&amp;A10&amp;"'!"&amp;"A20:A42")&gt;=$D10))</f>
        <v>250000</v>
      </c>
      <c r="S10" s="399"/>
      <c r="T10" s="399"/>
    </row>
    <row r="11" spans="1:20" x14ac:dyDescent="0.25">
      <c r="A11" s="97" t="s">
        <v>279</v>
      </c>
      <c r="B11" s="373" t="s">
        <v>228</v>
      </c>
      <c r="C11" s="374" t="str">
        <f>VAC_Optim_Scenario!B24</f>
        <v>HCC Radio</v>
      </c>
      <c r="D11" s="400">
        <f>VAC_Optim_Scenario!E24</f>
        <v>923975</v>
      </c>
      <c r="E11" s="375">
        <f>VAC_Optim_Scenario!F24</f>
        <v>26581.559263521289</v>
      </c>
      <c r="F11" s="400">
        <f>VAC_Optim_Scenario!G43</f>
        <v>6005837.5</v>
      </c>
      <c r="G11" s="376">
        <f t="shared" si="0"/>
        <v>6.5</v>
      </c>
      <c r="H11" s="377" t="e">
        <f>E11/#REF!</f>
        <v>#REF!</v>
      </c>
      <c r="I11" s="368">
        <f t="shared" si="1"/>
        <v>34.76</v>
      </c>
      <c r="J11" s="371">
        <f t="shared" si="2"/>
        <v>5.7191037548772593E-3</v>
      </c>
      <c r="K11" s="371">
        <f t="shared" si="3"/>
        <v>3.0883160276337202E-3</v>
      </c>
      <c r="L11" s="372">
        <f t="shared" ca="1" si="4"/>
        <v>2.6952193392368331</v>
      </c>
      <c r="M11"/>
      <c r="O11" s="97">
        <v>0</v>
      </c>
      <c r="P11" s="97">
        <v>250000</v>
      </c>
      <c r="Q11" s="399" cm="1">
        <f t="array" aca="1" ref="Q11" ca="1">MAX(_xlfn._xlws.FILTER(INDIRECT("'"&amp;A11&amp;"'!"&amp;"A20:A42"),INDIRECT("'"&amp;A11&amp;"'!"&amp;"A20:A42")&lt;$D11))</f>
        <v>750000</v>
      </c>
      <c r="R11" s="399" cm="1">
        <f t="array" aca="1" ref="R11" ca="1">MIN(_xlfn._xlws.FILTER(INDIRECT("'"&amp;A11&amp;"'!"&amp;"A20:A42"),INDIRECT("'"&amp;A11&amp;"'!"&amp;"A20:A42")&gt;=$D11))</f>
        <v>1000000</v>
      </c>
      <c r="S11" s="399"/>
      <c r="T11" s="399"/>
    </row>
    <row r="12" spans="1:20" x14ac:dyDescent="0.25">
      <c r="A12" s="97" t="s">
        <v>280</v>
      </c>
      <c r="B12" s="373" t="s">
        <v>228</v>
      </c>
      <c r="C12" s="374" t="str">
        <f>VAC_Optim_Scenario!B25</f>
        <v>HCC Linear TV</v>
      </c>
      <c r="D12" s="400">
        <f>VAC_Optim_Scenario!E25</f>
        <v>25810928.600000001</v>
      </c>
      <c r="E12" s="375">
        <f>VAC_Optim_Scenario!F25</f>
        <v>168508.00202805389</v>
      </c>
      <c r="F12" s="400">
        <f>VAC_Optim_Scenario!G44</f>
        <v>38072697.978218496</v>
      </c>
      <c r="G12" s="376">
        <f t="shared" si="0"/>
        <v>1.4750611482540188</v>
      </c>
      <c r="H12" s="377" t="e">
        <f>E12/#REF!</f>
        <v>#REF!</v>
      </c>
      <c r="I12" s="368">
        <f t="shared" si="1"/>
        <v>153.17331099625105</v>
      </c>
      <c r="J12" s="371">
        <f t="shared" si="2"/>
        <v>3.6255011888939259E-2</v>
      </c>
      <c r="K12" s="371">
        <f t="shared" si="3"/>
        <v>1.9577706420027201E-2</v>
      </c>
      <c r="L12" s="372">
        <f t="shared" ca="1" si="4"/>
        <v>1.0273854514533429</v>
      </c>
      <c r="M12"/>
      <c r="O12" s="97">
        <v>0</v>
      </c>
      <c r="P12" s="97">
        <v>1500000</v>
      </c>
      <c r="Q12" s="399" cm="1">
        <f t="array" aca="1" ref="Q12" ca="1">MAX(_xlfn._xlws.FILTER(INDIRECT("'"&amp;A12&amp;"'!"&amp;"A20:A42"),INDIRECT("'"&amp;A12&amp;"'!"&amp;"A20:A42")&lt;$D12))</f>
        <v>25500000</v>
      </c>
      <c r="R12" s="399" cm="1">
        <f t="array" aca="1" ref="R12" ca="1">MIN(_xlfn._xlws.FILTER(INDIRECT("'"&amp;A12&amp;"'!"&amp;"A20:A42"),INDIRECT("'"&amp;A12&amp;"'!"&amp;"A20:A42")&gt;=$D12))</f>
        <v>27000000</v>
      </c>
      <c r="S12" s="399"/>
      <c r="T12" s="399"/>
    </row>
    <row r="13" spans="1:20" x14ac:dyDescent="0.25">
      <c r="A13" s="97" t="s">
        <v>281</v>
      </c>
      <c r="B13" s="373" t="s">
        <v>228</v>
      </c>
      <c r="C13" s="374" t="str">
        <f>VAC_Optim_Scenario!B26</f>
        <v>HCC Pharmacy</v>
      </c>
      <c r="D13" s="400">
        <f>VAC_Optim_Scenario!E26</f>
        <v>2411968</v>
      </c>
      <c r="E13" s="375">
        <f>VAC_Optim_Scenario!F26</f>
        <v>18205.929821531288</v>
      </c>
      <c r="F13" s="400">
        <f>VAC_Optim_Scenario!G45</f>
        <v>4113447.783876779</v>
      </c>
      <c r="G13" s="376">
        <f t="shared" ref="G13" si="5">F13/D13</f>
        <v>1.7054321549360436</v>
      </c>
      <c r="H13" s="377" t="e">
        <f>E13/#REF!</f>
        <v>#REF!</v>
      </c>
      <c r="I13" s="368">
        <f t="shared" si="1"/>
        <v>132.48254956731077</v>
      </c>
      <c r="J13" s="371">
        <f t="shared" si="2"/>
        <v>3.9170614699883619E-3</v>
      </c>
      <c r="K13" s="371">
        <f t="shared" si="3"/>
        <v>2.1152131937937158E-3</v>
      </c>
      <c r="L13" s="372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399" cm="1">
        <f t="array" aca="1" ref="Q13" ca="1">MAX(_xlfn._xlws.FILTER(INDIRECT("'"&amp;A13&amp;"'!"&amp;"A20:A42"),INDIRECT("'"&amp;A13&amp;"'!"&amp;"A20:A42")&lt;$D13))</f>
        <v>2400000</v>
      </c>
      <c r="R13" s="399" cm="1">
        <f t="array" aca="1" ref="R13" ca="1">MIN(_xlfn._xlws.FILTER(INDIRECT("'"&amp;A13&amp;"'!"&amp;"A20:A42"),INDIRECT("'"&amp;A13&amp;"'!"&amp;"A20:A42")&gt;=$D13))</f>
        <v>2600000</v>
      </c>
      <c r="S13" s="399"/>
      <c r="T13" s="399"/>
    </row>
    <row r="14" spans="1:20" x14ac:dyDescent="0.25">
      <c r="B14" s="363" t="s">
        <v>154</v>
      </c>
      <c r="C14" s="364" t="s">
        <v>211</v>
      </c>
      <c r="D14" s="401">
        <f>SUM(D4:D13)</f>
        <v>59976092.18</v>
      </c>
      <c r="E14" s="357">
        <f>SUM(E4:E13)</f>
        <v>761479.22554221447</v>
      </c>
      <c r="F14" s="401">
        <f>SUM(F4:F13)</f>
        <v>172048616.21900794</v>
      </c>
      <c r="G14" s="358">
        <f>F14/D14</f>
        <v>2.8686199778181005</v>
      </c>
      <c r="H14" s="359" t="e">
        <f>SUM(H4:H12)</f>
        <v>#REF!</v>
      </c>
      <c r="I14" s="360">
        <f>(D14/E14)</f>
        <v>78.762611202286934</v>
      </c>
      <c r="J14" s="361">
        <f>SUM(J4:J13)</f>
        <v>0.16383458377612861</v>
      </c>
      <c r="K14" s="405">
        <f>SUM(K4:K13)</f>
        <v>8.8470675239109467E-2</v>
      </c>
      <c r="L14" s="362"/>
    </row>
    <row r="15" spans="1:20" x14ac:dyDescent="0.25">
      <c r="G15" s="209"/>
      <c r="H15" s="210"/>
    </row>
    <row r="17" spans="5:6" ht="25.5" x14ac:dyDescent="0.25">
      <c r="E17" s="206" t="s">
        <v>3</v>
      </c>
      <c r="F17" s="207" t="s">
        <v>269</v>
      </c>
    </row>
    <row r="18" spans="5:6" x14ac:dyDescent="0.25">
      <c r="E18" s="334" t="s">
        <v>210</v>
      </c>
      <c r="F18" s="243">
        <f t="shared" ref="F18:F23" si="6">VLOOKUP(E18,$C$4:$I$13,7,0)</f>
        <v>1.6591015541117227</v>
      </c>
    </row>
    <row r="19" spans="5:6" x14ac:dyDescent="0.25">
      <c r="E19" s="335" t="s">
        <v>177</v>
      </c>
      <c r="F19" s="243">
        <f t="shared" si="6"/>
        <v>34.76</v>
      </c>
    </row>
    <row r="20" spans="5:6" x14ac:dyDescent="0.25">
      <c r="E20" s="335" t="s">
        <v>207</v>
      </c>
      <c r="F20" s="243">
        <f t="shared" si="6"/>
        <v>36.428388680927966</v>
      </c>
    </row>
    <row r="21" spans="5:6" x14ac:dyDescent="0.25">
      <c r="E21" s="335" t="s">
        <v>209</v>
      </c>
      <c r="F21" s="243">
        <f t="shared" si="6"/>
        <v>37.591880018375271</v>
      </c>
    </row>
    <row r="22" spans="5:6" x14ac:dyDescent="0.25">
      <c r="E22" s="335" t="s">
        <v>224</v>
      </c>
      <c r="F22" s="243">
        <f t="shared" si="6"/>
        <v>51.361310945524473</v>
      </c>
    </row>
    <row r="23" spans="5:6" x14ac:dyDescent="0.25">
      <c r="E23" s="335" t="s">
        <v>208</v>
      </c>
      <c r="F23" s="243">
        <f t="shared" si="6"/>
        <v>73.508410329953804</v>
      </c>
    </row>
    <row r="24" spans="5:6" x14ac:dyDescent="0.25">
      <c r="E24" s="331" t="s">
        <v>235</v>
      </c>
      <c r="F24" s="243">
        <f>VLOOKUP(E24,$C$4:$I$13,7,0)</f>
        <v>132.48254956731077</v>
      </c>
    </row>
    <row r="25" spans="5:6" x14ac:dyDescent="0.25">
      <c r="E25" s="335" t="s">
        <v>226</v>
      </c>
      <c r="F25" s="243">
        <f>VLOOKUP(E25,$C$4:$I$13,7,0)</f>
        <v>133.10979937785092</v>
      </c>
    </row>
    <row r="26" spans="5:6" x14ac:dyDescent="0.25">
      <c r="E26" s="335" t="s">
        <v>234</v>
      </c>
      <c r="F26" s="243">
        <f>VLOOKUP(E26,$C$4:$I$12,7,0)</f>
        <v>153.17331099625105</v>
      </c>
    </row>
    <row r="27" spans="5:6" x14ac:dyDescent="0.25">
      <c r="E27" s="335" t="s">
        <v>233</v>
      </c>
      <c r="F27" s="243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XFD116"/>
  <sheetViews>
    <sheetView showGridLines="0" tabSelected="1" topLeftCell="A25" zoomScale="75" zoomScaleNormal="75" workbookViewId="0">
      <selection activeCell="L37" sqref="L37"/>
    </sheetView>
  </sheetViews>
  <sheetFormatPr defaultColWidth="8.85546875" defaultRowHeight="15" x14ac:dyDescent="0.25"/>
  <cols>
    <col min="1" max="1" width="7.28515625" style="97" bestFit="1" customWidth="1"/>
    <col min="2" max="2" width="27.42578125" style="97" customWidth="1"/>
    <col min="3" max="3" width="13.7109375" style="97" bestFit="1" customWidth="1"/>
    <col min="4" max="4" width="16.710937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7.140625" style="97" bestFit="1" customWidth="1"/>
    <col min="9" max="9" width="0.42578125" style="97" customWidth="1"/>
    <col min="10" max="10" width="16.42578125" style="97" bestFit="1" customWidth="1"/>
    <col min="11" max="11" width="12.5703125" style="97" bestFit="1" customWidth="1"/>
    <col min="12" max="12" width="16" style="97" customWidth="1"/>
    <col min="13" max="13" width="0.28515625" style="97" customWidth="1"/>
    <col min="14" max="14" width="13.140625" style="97" bestFit="1" customWidth="1"/>
    <col min="15" max="15" width="12.5703125" style="97" bestFit="1" customWidth="1"/>
    <col min="16" max="16" width="15.7109375" style="97" customWidth="1"/>
    <col min="17" max="17" width="0.28515625" style="97" customWidth="1"/>
    <col min="18" max="18" width="13.140625" style="97" hidden="1" customWidth="1"/>
    <col min="19" max="19" width="12.5703125" style="97" hidden="1" customWidth="1"/>
    <col min="20" max="20" width="15.7109375" style="97" hidden="1" customWidth="1"/>
    <col min="21" max="21" width="0.28515625" style="97" hidden="1" customWidth="1"/>
    <col min="22" max="22" width="13.140625" style="97" hidden="1" customWidth="1"/>
    <col min="23" max="23" width="12.5703125" style="97" hidden="1" customWidth="1"/>
    <col min="24" max="24" width="15.7109375" style="97" hidden="1" customWidth="1"/>
    <col min="25" max="25" width="0.28515625" style="97" hidden="1" customWidth="1"/>
    <col min="26" max="26" width="13.85546875" style="97" hidden="1" customWidth="1"/>
    <col min="27" max="27" width="12.5703125" style="97" hidden="1" customWidth="1"/>
    <col min="28" max="28" width="15.7109375" style="97" hidden="1" customWidth="1"/>
    <col min="29" max="29" width="14.42578125" style="97" bestFit="1" customWidth="1"/>
    <col min="30" max="30" width="18.28515625" style="97" bestFit="1" customWidth="1"/>
    <col min="31" max="31" width="12.5703125" style="97" bestFit="1" customWidth="1"/>
    <col min="32" max="32" width="14" style="97" bestFit="1" customWidth="1"/>
    <col min="33" max="33" width="12.140625" style="97" bestFit="1" customWidth="1"/>
    <col min="34" max="34" width="14.85546875" style="97" bestFit="1" customWidth="1"/>
    <col min="35" max="35" width="8.85546875" style="97"/>
    <col min="36" max="36" width="14.85546875" style="97" bestFit="1" customWidth="1"/>
    <col min="37" max="37" width="12.5703125" style="97" bestFit="1" customWidth="1"/>
    <col min="38" max="16384" width="8.85546875" style="97"/>
  </cols>
  <sheetData>
    <row r="3" spans="2:37" x14ac:dyDescent="0.25">
      <c r="B3" s="170">
        <f>SUM(C9:C13)</f>
        <v>19190781.859999999</v>
      </c>
      <c r="C3" s="170">
        <f>SUM(D9:D13)</f>
        <v>252476.77019534356</v>
      </c>
    </row>
    <row r="4" spans="2:37" x14ac:dyDescent="0.25">
      <c r="F4" s="438" t="s">
        <v>286</v>
      </c>
      <c r="G4" s="438"/>
      <c r="H4" s="438"/>
      <c r="I4" s="438"/>
      <c r="J4" s="438"/>
      <c r="K4" s="438"/>
      <c r="L4" s="438"/>
      <c r="M4" s="438"/>
      <c r="N4" s="438"/>
      <c r="O4" s="438"/>
      <c r="P4" s="438"/>
      <c r="Q4" s="409"/>
      <c r="R4" s="409"/>
      <c r="S4" s="409"/>
      <c r="T4" s="409"/>
      <c r="U4" s="409"/>
      <c r="V4" s="409"/>
      <c r="W4" s="409"/>
      <c r="X4" s="409"/>
      <c r="Y4" s="409"/>
      <c r="Z4" s="409"/>
      <c r="AA4" s="409"/>
      <c r="AB4" s="409"/>
    </row>
    <row r="5" spans="2:37" x14ac:dyDescent="0.25">
      <c r="F5" s="433" t="s">
        <v>320</v>
      </c>
      <c r="G5" s="434"/>
      <c r="H5" s="435"/>
      <c r="I5" s="171"/>
      <c r="J5" s="433" t="s">
        <v>321</v>
      </c>
      <c r="K5" s="434"/>
      <c r="L5" s="435"/>
      <c r="N5" s="433" t="s">
        <v>291</v>
      </c>
      <c r="O5" s="434"/>
      <c r="P5" s="435"/>
      <c r="R5" s="433" t="s">
        <v>292</v>
      </c>
      <c r="S5" s="434"/>
      <c r="T5" s="435"/>
      <c r="V5" s="433" t="s">
        <v>293</v>
      </c>
      <c r="W5" s="434"/>
      <c r="X5" s="435"/>
      <c r="Z5" s="433" t="s">
        <v>294</v>
      </c>
      <c r="AA5" s="434"/>
      <c r="AB5" s="435"/>
      <c r="AD5" s="97" t="s">
        <v>227</v>
      </c>
    </row>
    <row r="6" spans="2:37" ht="38.1" customHeight="1" x14ac:dyDescent="0.25">
      <c r="B6" s="172" t="s">
        <v>194</v>
      </c>
      <c r="C6" s="169" t="s">
        <v>195</v>
      </c>
      <c r="D6" s="183" t="s">
        <v>319</v>
      </c>
      <c r="E6" s="173"/>
      <c r="F6" s="183" t="s">
        <v>203</v>
      </c>
      <c r="G6" s="183" t="s">
        <v>197</v>
      </c>
      <c r="H6" s="183" t="s">
        <v>319</v>
      </c>
      <c r="I6" s="183"/>
      <c r="J6" s="183" t="s">
        <v>203</v>
      </c>
      <c r="K6" s="183" t="s">
        <v>197</v>
      </c>
      <c r="L6" s="183" t="s">
        <v>319</v>
      </c>
      <c r="M6" s="169"/>
      <c r="N6" s="183" t="s">
        <v>203</v>
      </c>
      <c r="O6" s="183" t="s">
        <v>197</v>
      </c>
      <c r="P6" s="183" t="s">
        <v>319</v>
      </c>
      <c r="Q6" s="169"/>
      <c r="R6" s="183" t="s">
        <v>203</v>
      </c>
      <c r="S6" s="183" t="s">
        <v>197</v>
      </c>
      <c r="T6" s="183" t="s">
        <v>297</v>
      </c>
      <c r="U6" s="169"/>
      <c r="V6" s="183" t="s">
        <v>203</v>
      </c>
      <c r="W6" s="183" t="s">
        <v>197</v>
      </c>
      <c r="X6" s="183" t="s">
        <v>297</v>
      </c>
      <c r="Y6" s="169"/>
      <c r="Z6" s="183" t="s">
        <v>203</v>
      </c>
      <c r="AA6" s="183" t="s">
        <v>197</v>
      </c>
      <c r="AB6" s="183" t="s">
        <v>297</v>
      </c>
      <c r="AD6" s="173" t="s">
        <v>203</v>
      </c>
      <c r="AE6" s="173" t="s">
        <v>197</v>
      </c>
      <c r="AF6" s="173" t="s">
        <v>198</v>
      </c>
    </row>
    <row r="7" spans="2:37" x14ac:dyDescent="0.25">
      <c r="B7" s="174" t="str">
        <f>VAC_Optim_Scenario!B17</f>
        <v>HCC InOffice</v>
      </c>
      <c r="C7" s="175">
        <f>VAC_Optim_Scenario!E17</f>
        <v>1134710</v>
      </c>
      <c r="D7" s="517">
        <v>7367.8666140222922</v>
      </c>
      <c r="E7" s="175"/>
      <c r="F7" s="175">
        <v>900000</v>
      </c>
      <c r="G7" s="167">
        <v>-0.20684580201108654</v>
      </c>
      <c r="H7" s="517">
        <v>6242.5057294806466</v>
      </c>
      <c r="I7" s="175"/>
      <c r="J7" s="175">
        <v>900000</v>
      </c>
      <c r="K7" s="167">
        <v>-0.20684580201108654</v>
      </c>
      <c r="L7" s="517">
        <v>6242.5057294806466</v>
      </c>
      <c r="N7" s="175">
        <v>900000</v>
      </c>
      <c r="O7" s="167">
        <v>-0.20684580201108654</v>
      </c>
      <c r="P7" s="517">
        <v>6242.5057294806466</v>
      </c>
      <c r="R7" s="175">
        <v>1007001.9976595872</v>
      </c>
      <c r="S7" s="167">
        <v>-0.11254682019230712</v>
      </c>
      <c r="T7" s="175">
        <v>1531015.4755120121</v>
      </c>
      <c r="V7" s="175">
        <v>930136.30216571828</v>
      </c>
      <c r="W7" s="167">
        <v>-0.1802872080393067</v>
      </c>
      <c r="X7" s="175">
        <v>1445218.7034120846</v>
      </c>
      <c r="Z7" s="175">
        <v>1210716.2635795076</v>
      </c>
      <c r="AA7" s="167">
        <v>6.6982985590598121E-2</v>
      </c>
      <c r="AB7" s="175">
        <v>1739301.4458719336</v>
      </c>
      <c r="AC7" s="516"/>
      <c r="AD7" s="175">
        <f>VAC_Optim_Scenario!$H36</f>
        <v>900000</v>
      </c>
      <c r="AE7" s="167">
        <f>IFERROR((AD7-$C7)/$C7,"")</f>
        <v>-0.20684580201108654</v>
      </c>
      <c r="AF7" s="175">
        <f>VAC_Optim_Scenario!$J36</f>
        <v>1410431.7445188572</v>
      </c>
      <c r="AH7" s="175"/>
      <c r="AI7" s="167"/>
      <c r="AJ7" s="175"/>
      <c r="AK7" s="170"/>
    </row>
    <row r="8" spans="2:37" x14ac:dyDescent="0.25">
      <c r="B8" s="174" t="str">
        <f>VAC_Optim_Scenario!B18</f>
        <v>HCP MCM</v>
      </c>
      <c r="C8" s="175">
        <f>VAC_Optim_Scenario!E18</f>
        <v>10503728.719999999</v>
      </c>
      <c r="D8" s="517">
        <v>288339.09761974216</v>
      </c>
      <c r="E8" s="175"/>
      <c r="F8" s="175">
        <v>19619615.917402152</v>
      </c>
      <c r="G8" s="167">
        <v>0.86787153785157489</v>
      </c>
      <c r="H8" s="517">
        <v>449146.84024295304</v>
      </c>
      <c r="I8" s="175"/>
      <c r="J8" s="175">
        <v>21000000</v>
      </c>
      <c r="K8" s="167">
        <v>0.99929001974453147</v>
      </c>
      <c r="L8" s="517">
        <v>467933.02080957498</v>
      </c>
      <c r="N8" s="175">
        <v>21000000</v>
      </c>
      <c r="O8" s="167">
        <v>0.99929001974453147</v>
      </c>
      <c r="P8" s="517">
        <v>467933.02080957498</v>
      </c>
      <c r="R8" s="175">
        <v>21000000</v>
      </c>
      <c r="S8" s="167">
        <v>0.99929001974453147</v>
      </c>
      <c r="T8" s="175">
        <v>105724786.72171538</v>
      </c>
      <c r="V8" s="175">
        <v>28000000.000000004</v>
      </c>
      <c r="W8" s="167">
        <v>1.6657200263260423</v>
      </c>
      <c r="X8" s="175">
        <v>123284278.49031536</v>
      </c>
      <c r="Z8" s="175">
        <v>28000000</v>
      </c>
      <c r="AA8" s="167">
        <v>1.6657200263260419</v>
      </c>
      <c r="AB8" s="175">
        <v>123284278.49031536</v>
      </c>
      <c r="AC8" s="516"/>
      <c r="AD8" s="175">
        <f>VAC_Optim_Scenario!$H37</f>
        <v>21000000</v>
      </c>
      <c r="AE8" s="167">
        <f t="shared" ref="AE8:AE16" si="0">IFERROR((AD8-$C8)/$C8,"")</f>
        <v>0.99929001974453147</v>
      </c>
      <c r="AF8" s="175">
        <f>VAC_Optim_Scenario!$J37</f>
        <v>105724786.72171538</v>
      </c>
      <c r="AH8" s="175"/>
      <c r="AI8" s="167"/>
      <c r="AJ8" s="175"/>
      <c r="AK8" s="170"/>
    </row>
    <row r="9" spans="2:37" x14ac:dyDescent="0.25">
      <c r="B9" s="174" t="str">
        <f>VAC_Optim_Scenario!B19</f>
        <v>HCC Social</v>
      </c>
      <c r="C9" s="175">
        <f>VAC_Optim_Scenario!E19</f>
        <v>1751000</v>
      </c>
      <c r="D9" s="517">
        <v>23820.403572058858</v>
      </c>
      <c r="E9" s="175"/>
      <c r="F9" s="175">
        <v>1799999.9999999998</v>
      </c>
      <c r="G9" s="167">
        <v>2.7984009137635504E-2</v>
      </c>
      <c r="H9" s="517">
        <v>24218.148093092652</v>
      </c>
      <c r="I9" s="175"/>
      <c r="J9" s="175">
        <v>3049857.2699284316</v>
      </c>
      <c r="K9" s="167">
        <v>0.74178027979921846</v>
      </c>
      <c r="L9" s="517">
        <v>33231.132088102815</v>
      </c>
      <c r="N9" s="175">
        <v>4658742.3639296666</v>
      </c>
      <c r="O9" s="167">
        <v>1.6606181404509803</v>
      </c>
      <c r="P9" s="517">
        <v>42848.798030073864</v>
      </c>
      <c r="R9" s="175">
        <v>6528743.1288018953</v>
      </c>
      <c r="S9" s="167">
        <v>2.7285797423197575</v>
      </c>
      <c r="T9" s="175">
        <v>11854092.204486091</v>
      </c>
      <c r="V9" s="175">
        <v>5784972.941267143</v>
      </c>
      <c r="W9" s="167">
        <v>2.3038109316202986</v>
      </c>
      <c r="X9" s="175">
        <v>11024308.327534562</v>
      </c>
      <c r="Z9" s="175">
        <v>8996714.61340243</v>
      </c>
      <c r="AA9" s="167">
        <v>4.1380437540847685</v>
      </c>
      <c r="AB9" s="175">
        <v>14368813.852026943</v>
      </c>
      <c r="AC9" s="516"/>
      <c r="AD9" s="175">
        <f>VAC_Optim_Scenario!$H38</f>
        <v>3049857.2699284316</v>
      </c>
      <c r="AE9" s="167">
        <f t="shared" si="0"/>
        <v>0.74178027979921846</v>
      </c>
      <c r="AF9" s="175">
        <f>VAC_Optim_Scenario!$J38</f>
        <v>7508241.9839859502</v>
      </c>
      <c r="AH9" s="175"/>
      <c r="AI9" s="167"/>
      <c r="AJ9" s="175"/>
      <c r="AK9" s="170"/>
    </row>
    <row r="10" spans="2:37" x14ac:dyDescent="0.25">
      <c r="B10" s="174" t="str">
        <f>VAC_Optim_Scenario!B20</f>
        <v>HCC Online Video</v>
      </c>
      <c r="C10" s="175">
        <f>VAC_Optim_Scenario!E20</f>
        <v>1111779.04</v>
      </c>
      <c r="D10" s="517">
        <v>21646.235649615526</v>
      </c>
      <c r="E10" s="175"/>
      <c r="F10" s="175">
        <v>1100000</v>
      </c>
      <c r="G10" s="167">
        <v>-1.0594767104082154E-2</v>
      </c>
      <c r="H10" s="517">
        <v>21486.35797297582</v>
      </c>
      <c r="I10" s="175"/>
      <c r="J10" s="175">
        <v>2277500.7120514014</v>
      </c>
      <c r="K10" s="167">
        <v>1.0485192022071232</v>
      </c>
      <c r="L10" s="517">
        <v>32853.279778552242</v>
      </c>
      <c r="N10" s="175">
        <v>2548604.012811522</v>
      </c>
      <c r="O10" s="167">
        <v>1.2923655880502316</v>
      </c>
      <c r="P10" s="517">
        <v>34483.618072205223</v>
      </c>
      <c r="R10" s="175">
        <v>2764429.9191965135</v>
      </c>
      <c r="S10" s="167">
        <v>1.4864922072973361</v>
      </c>
      <c r="T10" s="175">
        <v>8042960.479822807</v>
      </c>
      <c r="V10" s="175">
        <v>2687088.5942371185</v>
      </c>
      <c r="W10" s="167">
        <v>1.4169268330846734</v>
      </c>
      <c r="X10" s="175">
        <v>7956632.7392025841</v>
      </c>
      <c r="Z10" s="175">
        <v>2969408.2523278315</v>
      </c>
      <c r="AA10" s="167">
        <v>1.670861875870435</v>
      </c>
      <c r="AB10" s="175">
        <v>8252539.173327812</v>
      </c>
      <c r="AC10" s="516"/>
      <c r="AD10" s="175">
        <f>VAC_Optim_Scenario!$H39</f>
        <v>2277500.7120514014</v>
      </c>
      <c r="AE10" s="167">
        <f t="shared" si="0"/>
        <v>1.0485192022071232</v>
      </c>
      <c r="AF10" s="175">
        <f>VAC_Optim_Scenario!$J39</f>
        <v>7422870.0331660938</v>
      </c>
      <c r="AH10" s="175"/>
      <c r="AI10" s="167"/>
      <c r="AJ10" s="175"/>
      <c r="AK10" s="170"/>
    </row>
    <row r="11" spans="2:37" x14ac:dyDescent="0.25">
      <c r="B11" s="174" t="str">
        <f>VAC_Optim_Scenario!B21</f>
        <v>HCC Streaming Video</v>
      </c>
      <c r="C11" s="175">
        <f>VAC_Optim_Scenario!E21</f>
        <v>13418576</v>
      </c>
      <c r="D11" s="517">
        <v>100808.3256282994</v>
      </c>
      <c r="E11" s="175"/>
      <c r="F11" s="175">
        <v>8306901</v>
      </c>
      <c r="G11" s="167">
        <v>-0.38094019812534502</v>
      </c>
      <c r="H11" s="517">
        <v>72062.483379729863</v>
      </c>
      <c r="I11" s="175"/>
      <c r="J11" s="175">
        <v>8306901</v>
      </c>
      <c r="K11" s="167">
        <v>-0.38094019812534502</v>
      </c>
      <c r="L11" s="517">
        <v>72062.483379729863</v>
      </c>
      <c r="N11" s="175">
        <v>11426912.612048863</v>
      </c>
      <c r="O11" s="167">
        <v>-0.14842583802865053</v>
      </c>
      <c r="P11" s="517">
        <v>90084.927732318116</v>
      </c>
      <c r="R11" s="175">
        <v>17920238.441694278</v>
      </c>
      <c r="S11" s="167">
        <v>0.33547989307466591</v>
      </c>
      <c r="T11" s="175">
        <v>27889175.383842021</v>
      </c>
      <c r="V11" s="175">
        <v>15251273.220494822</v>
      </c>
      <c r="W11" s="167">
        <v>0.13657911394583314</v>
      </c>
      <c r="X11" s="175">
        <v>24912040.173992749</v>
      </c>
      <c r="Z11" s="175">
        <v>27479972.230020165</v>
      </c>
      <c r="AA11" s="167">
        <v>1.0479052494109782</v>
      </c>
      <c r="AB11" s="175">
        <v>37618929.011793204</v>
      </c>
      <c r="AC11" s="516"/>
      <c r="AD11" s="175">
        <f>VAC_Optim_Scenario!$H40</f>
        <v>8306901</v>
      </c>
      <c r="AE11" s="167">
        <f t="shared" si="0"/>
        <v>-0.38094019812534502</v>
      </c>
      <c r="AF11" s="175">
        <f>VAC_Optim_Scenario!$J40</f>
        <v>16281797.494816165</v>
      </c>
      <c r="AH11" s="175"/>
      <c r="AI11" s="167"/>
      <c r="AJ11" s="175"/>
      <c r="AK11" s="170"/>
    </row>
    <row r="12" spans="2:37" x14ac:dyDescent="0.25">
      <c r="B12" s="174" t="str">
        <f>VAC_Optim_Scenario!B22</f>
        <v>HCC Display</v>
      </c>
      <c r="C12" s="175">
        <f>VAC_Optim_Scenario!E22</f>
        <v>2859426.82</v>
      </c>
      <c r="D12" s="517">
        <v>76065.012406995462</v>
      </c>
      <c r="E12" s="175"/>
      <c r="F12" s="175">
        <v>3915656.6529732733</v>
      </c>
      <c r="G12" s="167">
        <v>0.369385159845872</v>
      </c>
      <c r="H12" s="517">
        <v>91854.473182501024</v>
      </c>
      <c r="I12" s="175"/>
      <c r="J12" s="175">
        <v>5000000</v>
      </c>
      <c r="K12" s="167">
        <v>0.7486021901410298</v>
      </c>
      <c r="L12" s="517">
        <v>106365.19760151411</v>
      </c>
      <c r="N12" s="175">
        <v>5000000</v>
      </c>
      <c r="O12" s="167">
        <v>0.7486021901410298</v>
      </c>
      <c r="P12" s="517">
        <v>106365.19760151411</v>
      </c>
      <c r="R12" s="175">
        <v>5000000</v>
      </c>
      <c r="S12" s="167">
        <v>0.7486021901410298</v>
      </c>
      <c r="T12" s="175">
        <v>24032152.746086098</v>
      </c>
      <c r="V12" s="175">
        <v>10000000</v>
      </c>
      <c r="W12" s="167">
        <v>2.4972043802820596</v>
      </c>
      <c r="X12" s="175">
        <v>36425932.046151049</v>
      </c>
      <c r="Z12" s="175">
        <v>10000000</v>
      </c>
      <c r="AA12" s="167">
        <v>2.4972043802820596</v>
      </c>
      <c r="AB12" s="175">
        <v>36425932.046151049</v>
      </c>
      <c r="AC12" s="516"/>
      <c r="AD12" s="175">
        <f>VAC_Optim_Scenario!$H41</f>
        <v>5000000</v>
      </c>
      <c r="AE12" s="167">
        <f t="shared" si="0"/>
        <v>0.7486021901410298</v>
      </c>
      <c r="AF12" s="175">
        <f>VAC_Optim_Scenario!$J41</f>
        <v>24032152.746086098</v>
      </c>
      <c r="AH12" s="175"/>
      <c r="AI12" s="167"/>
      <c r="AJ12" s="175"/>
      <c r="AK12" s="170"/>
    </row>
    <row r="13" spans="2:37" x14ac:dyDescent="0.25">
      <c r="B13" s="174" t="str">
        <f>VAC_Optim_Scenario!B23</f>
        <v>HCC Paid Search</v>
      </c>
      <c r="C13" s="175">
        <f>VAC_Optim_Scenario!E23</f>
        <v>50000</v>
      </c>
      <c r="D13" s="517">
        <v>30136.792938374307</v>
      </c>
      <c r="E13" s="175"/>
      <c r="F13" s="175">
        <v>200000</v>
      </c>
      <c r="G13" s="167">
        <v>3</v>
      </c>
      <c r="H13" s="517">
        <v>79531.473375019166</v>
      </c>
      <c r="I13" s="175"/>
      <c r="J13" s="175">
        <v>200000</v>
      </c>
      <c r="K13" s="167">
        <v>3</v>
      </c>
      <c r="L13" s="517">
        <v>79531.473375019166</v>
      </c>
      <c r="N13" s="175">
        <v>200000</v>
      </c>
      <c r="O13" s="167">
        <v>3</v>
      </c>
      <c r="P13" s="517">
        <v>79531.473375019166</v>
      </c>
      <c r="R13" s="175">
        <v>200000</v>
      </c>
      <c r="S13" s="167">
        <v>3</v>
      </c>
      <c r="T13" s="175">
        <v>17969341.094351832</v>
      </c>
      <c r="V13" s="175">
        <v>240000</v>
      </c>
      <c r="W13" s="167">
        <v>3.8</v>
      </c>
      <c r="X13" s="175">
        <v>20415453.17978172</v>
      </c>
      <c r="Z13" s="175">
        <v>240000</v>
      </c>
      <c r="AA13" s="167">
        <v>3.8</v>
      </c>
      <c r="AB13" s="175">
        <v>20415453.17978172</v>
      </c>
      <c r="AC13" s="516"/>
      <c r="AD13" s="175">
        <f>VAC_Optim_Scenario!$H42</f>
        <v>200000</v>
      </c>
      <c r="AE13" s="167">
        <f t="shared" si="0"/>
        <v>3</v>
      </c>
      <c r="AF13" s="175">
        <f>VAC_Optim_Scenario!$J42</f>
        <v>17969341.094351832</v>
      </c>
      <c r="AH13" s="175"/>
      <c r="AI13" s="167"/>
      <c r="AJ13" s="175"/>
      <c r="AK13" s="170"/>
    </row>
    <row r="14" spans="2:37" x14ac:dyDescent="0.25">
      <c r="B14" s="174" t="str">
        <f>VAC_Optim_Scenario!B24</f>
        <v>HCC Radio</v>
      </c>
      <c r="C14" s="175">
        <f>VAC_Optim_Scenario!E24</f>
        <v>923975</v>
      </c>
      <c r="D14" s="517">
        <v>26581.559263521289</v>
      </c>
      <c r="E14" s="175"/>
      <c r="F14" s="175">
        <v>660514.57842273905</v>
      </c>
      <c r="G14" s="167">
        <v>-0.28513804115615787</v>
      </c>
      <c r="H14" s="517">
        <v>23241.776878059347</v>
      </c>
      <c r="I14" s="175"/>
      <c r="J14" s="175">
        <v>2200000</v>
      </c>
      <c r="K14" s="167">
        <v>1.3810168024026623</v>
      </c>
      <c r="L14" s="517">
        <v>37608.450193722703</v>
      </c>
      <c r="N14" s="175">
        <v>2200000</v>
      </c>
      <c r="O14" s="167">
        <v>1.3810168024026623</v>
      </c>
      <c r="P14" s="517">
        <v>37608.450193722703</v>
      </c>
      <c r="R14" s="175">
        <v>2200000</v>
      </c>
      <c r="S14" s="167">
        <v>1.3810168024026623</v>
      </c>
      <c r="T14" s="175">
        <v>8497253.2367697079</v>
      </c>
      <c r="V14" s="175">
        <v>3633124.9587398786</v>
      </c>
      <c r="W14" s="167">
        <v>2.9320598054491502</v>
      </c>
      <c r="X14" s="175">
        <v>10385361.616462639</v>
      </c>
      <c r="Z14" s="175">
        <v>4800000</v>
      </c>
      <c r="AA14" s="167">
        <v>4.1949457506967178</v>
      </c>
      <c r="AB14" s="175">
        <v>11609298.660703454</v>
      </c>
      <c r="AC14" s="516"/>
      <c r="AD14" s="175">
        <f>VAC_Optim_Scenario!$H43</f>
        <v>2200000</v>
      </c>
      <c r="AE14" s="167">
        <f t="shared" si="0"/>
        <v>1.3810168024026623</v>
      </c>
      <c r="AF14" s="175">
        <f>VAC_Optim_Scenario!$J43</f>
        <v>8497253.2367697079</v>
      </c>
      <c r="AG14" s="170"/>
      <c r="AH14" s="175"/>
      <c r="AI14" s="167"/>
      <c r="AJ14" s="175"/>
      <c r="AK14" s="170"/>
    </row>
    <row r="15" spans="2:37" x14ac:dyDescent="0.25">
      <c r="B15" s="174" t="str">
        <f>VAC_Optim_Scenario!B25</f>
        <v>HCC Linear TV</v>
      </c>
      <c r="C15" s="175">
        <f>VAC_Optim_Scenario!E25</f>
        <v>25810928.600000001</v>
      </c>
      <c r="D15" s="517">
        <v>168508.00202805389</v>
      </c>
      <c r="E15" s="175"/>
      <c r="F15" s="175">
        <v>20273404</v>
      </c>
      <c r="G15" s="167">
        <v>-0.21454185883106899</v>
      </c>
      <c r="H15" s="517">
        <v>142300.5770089858</v>
      </c>
      <c r="I15" s="175"/>
      <c r="J15" s="175">
        <v>20273404</v>
      </c>
      <c r="K15" s="167">
        <v>-0.21454185883106899</v>
      </c>
      <c r="L15" s="517">
        <v>142300.5770089858</v>
      </c>
      <c r="N15" s="175">
        <v>20273404</v>
      </c>
      <c r="O15" s="167">
        <v>-0.21454185883106899</v>
      </c>
      <c r="P15" s="517">
        <v>142300.5770089858</v>
      </c>
      <c r="R15" s="175">
        <v>21587249.589267053</v>
      </c>
      <c r="S15" s="167">
        <v>-0.16363917301034062</v>
      </c>
      <c r="T15" s="175">
        <v>33596128.372262165</v>
      </c>
      <c r="V15" s="175">
        <v>20273404</v>
      </c>
      <c r="W15" s="167">
        <v>-0.21454185883106899</v>
      </c>
      <c r="X15" s="175">
        <v>32151392.36941025</v>
      </c>
      <c r="Z15" s="175">
        <v>33103188.923204653</v>
      </c>
      <c r="AA15" s="167">
        <v>0.282526073982656</v>
      </c>
      <c r="AB15" s="175">
        <v>45316879.395592161</v>
      </c>
      <c r="AC15" s="516"/>
      <c r="AD15" s="175">
        <f>VAC_Optim_Scenario!$H44</f>
        <v>20273404</v>
      </c>
      <c r="AE15" s="167">
        <f t="shared" si="0"/>
        <v>-0.21454185883106899</v>
      </c>
      <c r="AF15" s="175">
        <f>VAC_Optim_Scenario!$J44</f>
        <v>32151392.36941025</v>
      </c>
      <c r="AH15" s="175"/>
      <c r="AI15" s="167"/>
      <c r="AJ15" s="175"/>
      <c r="AK15" s="170"/>
    </row>
    <row r="16" spans="2:37" x14ac:dyDescent="0.25">
      <c r="B16" s="174" t="str">
        <f>VAC_Optim_Scenario!B26</f>
        <v>HCC Pharmacy</v>
      </c>
      <c r="C16" s="175">
        <f>VAC_Optim_Scenario!E26</f>
        <v>2411968</v>
      </c>
      <c r="D16" s="517">
        <v>18205.929821531288</v>
      </c>
      <c r="E16" s="175"/>
      <c r="F16" s="175">
        <v>3200000</v>
      </c>
      <c r="G16" s="167">
        <v>0.32671743572054024</v>
      </c>
      <c r="H16" s="517">
        <v>22412.309442908503</v>
      </c>
      <c r="I16" s="175"/>
      <c r="J16" s="175">
        <v>3200000</v>
      </c>
      <c r="K16" s="167">
        <v>0.32671743572054024</v>
      </c>
      <c r="L16" s="517">
        <v>22412.309442908503</v>
      </c>
      <c r="N16" s="175">
        <v>3200000</v>
      </c>
      <c r="O16" s="167">
        <v>0.32671743572054024</v>
      </c>
      <c r="P16" s="517">
        <v>22412.309442908503</v>
      </c>
      <c r="R16" s="175">
        <v>3200000</v>
      </c>
      <c r="S16" s="167">
        <v>0.32671743572054024</v>
      </c>
      <c r="T16" s="175">
        <v>5063837.1955307471</v>
      </c>
      <c r="V16" s="175">
        <v>3200000</v>
      </c>
      <c r="W16" s="167">
        <v>0.32671743572054024</v>
      </c>
      <c r="X16" s="175">
        <v>5063837.1955307471</v>
      </c>
      <c r="Z16" s="175">
        <v>3200000</v>
      </c>
      <c r="AA16" s="167">
        <v>0.32671743572054024</v>
      </c>
      <c r="AB16" s="175">
        <v>5063837.1955307471</v>
      </c>
      <c r="AC16" s="516"/>
      <c r="AD16" s="175">
        <f>VAC_Optim_Scenario!$H45</f>
        <v>3200000</v>
      </c>
      <c r="AE16" s="167">
        <f t="shared" si="0"/>
        <v>0.32671743572054024</v>
      </c>
      <c r="AF16" s="175">
        <f>VAC_Optim_Scenario!$J45</f>
        <v>5063837.1955307471</v>
      </c>
      <c r="AH16" s="175"/>
      <c r="AI16" s="167"/>
      <c r="AJ16" s="175"/>
      <c r="AK16" s="170"/>
    </row>
    <row r="17" spans="1:36" ht="34.35" customHeight="1" x14ac:dyDescent="0.25">
      <c r="B17" s="176" t="s">
        <v>199</v>
      </c>
      <c r="C17" s="177">
        <f>SUM(C7:C16)</f>
        <v>59976092.18</v>
      </c>
      <c r="D17" s="518">
        <v>761479.22554221447</v>
      </c>
      <c r="E17" s="169"/>
      <c r="F17" s="177">
        <f>SUM(F7:F16)</f>
        <v>59976092.148798168</v>
      </c>
      <c r="G17" s="178">
        <f>(F17-$C$17)/$C$17</f>
        <v>-5.2023782914695542E-10</v>
      </c>
      <c r="H17" s="518">
        <v>932496.94530570577</v>
      </c>
      <c r="I17" s="169"/>
      <c r="J17" s="177">
        <f>SUM(J7:J16)</f>
        <v>66407662.981979832</v>
      </c>
      <c r="K17" s="178">
        <f>(J17-$C$17)/$C$17</f>
        <v>0.10723557618054588</v>
      </c>
      <c r="L17" s="518">
        <v>1000540.4294075908</v>
      </c>
      <c r="N17" s="177">
        <f>SUM(N7:N16)</f>
        <v>71407662.98879005</v>
      </c>
      <c r="O17" s="178">
        <f>(N17-$C$17)/$C$17</f>
        <v>0.19060212816936567</v>
      </c>
      <c r="P17" s="518">
        <v>1029810.877995803</v>
      </c>
      <c r="R17" s="177">
        <f>SUM(R7:R16)</f>
        <v>81407663.076619327</v>
      </c>
      <c r="S17" s="178">
        <f>(R17-$C$17)/$C$17</f>
        <v>0.35733523338431228</v>
      </c>
      <c r="T17" s="177">
        <f>SUM(T7:T16)</f>
        <v>244200742.91037884</v>
      </c>
      <c r="V17" s="177">
        <f>SUM(V7:V16)</f>
        <v>90000000.016904682</v>
      </c>
      <c r="W17" s="178">
        <f>(V17-$C$17)/$C$17</f>
        <v>0.50059793403673336</v>
      </c>
      <c r="X17" s="177">
        <f>SUM(X7:X16)</f>
        <v>273064454.84179378</v>
      </c>
      <c r="Z17" s="177">
        <f>SUM(Z7:Z16)</f>
        <v>120000000.2825346</v>
      </c>
      <c r="AA17" s="178">
        <f>(Z17-$C$17)/$C$17</f>
        <v>1.000797249717289</v>
      </c>
      <c r="AB17" s="177">
        <f>SUM(AB7:AB16)</f>
        <v>304095262.45109439</v>
      </c>
      <c r="AC17" s="516"/>
      <c r="AD17" s="177">
        <f>SUM(AD7:AD16)</f>
        <v>66407662.981979832</v>
      </c>
      <c r="AE17" s="178">
        <f>(AD17-$C$17)/$C$17</f>
        <v>0.10723557618054588</v>
      </c>
      <c r="AF17" s="177">
        <f>SUM(AF7:AF16)</f>
        <v>226062104.62035105</v>
      </c>
      <c r="AH17" s="177"/>
      <c r="AI17" s="178"/>
      <c r="AJ17" s="177"/>
    </row>
    <row r="18" spans="1:36" x14ac:dyDescent="0.25">
      <c r="D18" s="97">
        <f>D17/C17</f>
        <v>1.2696379471621229E-2</v>
      </c>
      <c r="J18" s="170"/>
      <c r="N18" s="170"/>
      <c r="P18" s="170"/>
      <c r="R18" s="170"/>
      <c r="T18" s="170"/>
      <c r="V18" s="170"/>
      <c r="X18" s="170"/>
      <c r="Z18" s="170"/>
      <c r="AB18" s="170"/>
      <c r="AD18" s="170"/>
      <c r="AF18" s="170"/>
    </row>
    <row r="19" spans="1:36" x14ac:dyDescent="0.25">
      <c r="N19" s="170"/>
      <c r="P19" s="170"/>
      <c r="R19" s="170"/>
      <c r="T19" s="170"/>
      <c r="V19" s="170"/>
      <c r="X19" s="170"/>
      <c r="Z19" s="170"/>
      <c r="AB19" s="170"/>
      <c r="AF19" s="170"/>
    </row>
    <row r="20" spans="1:36" ht="26.85" customHeight="1" x14ac:dyDescent="0.25">
      <c r="F20" s="445" t="str">
        <f>F4</f>
        <v>Optimal channel spend allowed to vary based on custom limits  for 2023 channel spend</v>
      </c>
      <c r="G20" s="446"/>
      <c r="H20" s="446"/>
      <c r="I20" s="446"/>
      <c r="J20" s="446"/>
      <c r="K20" s="446"/>
      <c r="L20" s="446"/>
      <c r="M20" s="446"/>
      <c r="N20" s="446"/>
      <c r="O20" s="446"/>
      <c r="P20" s="447"/>
      <c r="Q20" s="410"/>
      <c r="R20" s="410"/>
      <c r="S20" s="410"/>
      <c r="T20" s="410"/>
      <c r="U20" s="410"/>
      <c r="V20" s="410"/>
      <c r="W20" s="410"/>
      <c r="X20" s="410"/>
      <c r="Y20" s="410"/>
      <c r="Z20" s="410"/>
      <c r="AA20" s="410"/>
      <c r="AB20" s="410"/>
      <c r="AF20" s="170"/>
    </row>
    <row r="21" spans="1:36" ht="30.2" customHeight="1" x14ac:dyDescent="0.25">
      <c r="B21" s="338"/>
      <c r="C21" s="439" t="s">
        <v>264</v>
      </c>
      <c r="D21" s="440"/>
      <c r="E21" s="339"/>
      <c r="F21" s="441" t="str">
        <f>F5</f>
        <v>Current Optimal ($60MM) (Stretch Max)</v>
      </c>
      <c r="G21" s="442"/>
      <c r="H21" s="443"/>
      <c r="I21" s="395"/>
      <c r="J21" s="441" t="str">
        <f>J5</f>
        <v xml:space="preserve"> 6M Increase in Spend ($66M)  (Stretch Max)</v>
      </c>
      <c r="K21" s="442"/>
      <c r="L21" s="443"/>
      <c r="M21" s="338"/>
      <c r="N21" s="441" t="str">
        <f>N5</f>
        <v xml:space="preserve"> 11M Increase in Spend ($71M)</v>
      </c>
      <c r="O21" s="442"/>
      <c r="P21" s="443"/>
      <c r="Q21" s="338"/>
      <c r="R21" s="441" t="str">
        <f>R5</f>
        <v xml:space="preserve"> 21M Increase in Spend ($81M)</v>
      </c>
      <c r="S21" s="442"/>
      <c r="T21" s="443"/>
      <c r="U21" s="338"/>
      <c r="V21" s="441" t="str">
        <f>V5</f>
        <v>30M Increase in Spend ($90M)</v>
      </c>
      <c r="W21" s="442"/>
      <c r="X21" s="443"/>
      <c r="Y21" s="338"/>
      <c r="Z21" s="441" t="str">
        <f>Z5</f>
        <v>60M Increase in Spend ($120M)</v>
      </c>
      <c r="AA21" s="442"/>
      <c r="AB21" s="443"/>
    </row>
    <row r="22" spans="1:36" ht="30" x14ac:dyDescent="0.25">
      <c r="B22" s="344" t="s">
        <v>194</v>
      </c>
      <c r="C22" s="340" t="s">
        <v>200</v>
      </c>
      <c r="D22" s="183" t="s">
        <v>319</v>
      </c>
      <c r="E22" s="342"/>
      <c r="F22" s="343" t="s">
        <v>203</v>
      </c>
      <c r="G22" s="341" t="s">
        <v>197</v>
      </c>
      <c r="H22" s="183" t="s">
        <v>319</v>
      </c>
      <c r="I22" s="342"/>
      <c r="J22" s="343" t="s">
        <v>203</v>
      </c>
      <c r="K22" s="341" t="s">
        <v>197</v>
      </c>
      <c r="L22" s="183" t="s">
        <v>319</v>
      </c>
      <c r="M22" s="338"/>
      <c r="N22" s="343" t="s">
        <v>203</v>
      </c>
      <c r="O22" s="341" t="s">
        <v>197</v>
      </c>
      <c r="P22" s="183" t="s">
        <v>319</v>
      </c>
      <c r="Q22" s="338"/>
      <c r="R22" s="343" t="s">
        <v>203</v>
      </c>
      <c r="S22" s="341" t="s">
        <v>197</v>
      </c>
      <c r="T22" s="342" t="s">
        <v>297</v>
      </c>
      <c r="U22" s="338"/>
      <c r="V22" s="343" t="s">
        <v>203</v>
      </c>
      <c r="W22" s="341" t="s">
        <v>197</v>
      </c>
      <c r="X22" s="342" t="s">
        <v>297</v>
      </c>
      <c r="Y22" s="338"/>
      <c r="Z22" s="343" t="s">
        <v>203</v>
      </c>
      <c r="AA22" s="341" t="s">
        <v>197</v>
      </c>
      <c r="AB22" s="342" t="s">
        <v>297</v>
      </c>
    </row>
    <row r="23" spans="1:36" x14ac:dyDescent="0.25">
      <c r="A23" s="336">
        <f>D23/C23</f>
        <v>6493.1714834823797</v>
      </c>
      <c r="B23" s="383" t="str">
        <f t="shared" ref="B23:B32" si="1">B7</f>
        <v>HCC InOffice</v>
      </c>
      <c r="C23" s="384">
        <f>C7/1000000</f>
        <v>1.1347100000000001</v>
      </c>
      <c r="D23" s="519">
        <f>D7</f>
        <v>7367.8666140222922</v>
      </c>
      <c r="E23" s="385"/>
      <c r="F23" s="386">
        <f t="shared" ref="F23:F32" si="2">F7/1000000</f>
        <v>0.9</v>
      </c>
      <c r="G23" s="387">
        <f>IFERROR(G7,"")</f>
        <v>-0.20684580201108654</v>
      </c>
      <c r="H23" s="519">
        <f t="shared" ref="H23:H31" si="3">H7</f>
        <v>6242.5057294806466</v>
      </c>
      <c r="I23" s="385"/>
      <c r="J23" s="386">
        <f t="shared" ref="J23:J32" si="4">J7/1000000</f>
        <v>0.9</v>
      </c>
      <c r="K23" s="387">
        <f t="shared" ref="K23:L32" si="5">K7</f>
        <v>-0.20684580201108654</v>
      </c>
      <c r="L23" s="519">
        <f>L7</f>
        <v>6242.5057294806466</v>
      </c>
      <c r="M23" s="389"/>
      <c r="N23" s="386">
        <f t="shared" ref="N23:N32" si="6">N7/1000000</f>
        <v>0.9</v>
      </c>
      <c r="O23" s="387">
        <f t="shared" ref="O23:P32" si="7">O7</f>
        <v>-0.20684580201108654</v>
      </c>
      <c r="P23" s="519">
        <f>P7</f>
        <v>6242.5057294806466</v>
      </c>
      <c r="Q23" s="389"/>
      <c r="R23" s="386">
        <f t="shared" ref="R23:R32" si="8">R7/1000000</f>
        <v>1.0070019976595872</v>
      </c>
      <c r="S23" s="387">
        <f t="shared" ref="S23:S32" si="9">S7</f>
        <v>-0.11254682019230712</v>
      </c>
      <c r="T23" s="388">
        <f t="shared" ref="T23:T32" si="10">T7/1000000</f>
        <v>1.5310154755120122</v>
      </c>
      <c r="U23" s="389"/>
      <c r="V23" s="386">
        <f t="shared" ref="V23:V32" si="11">V7/1000000</f>
        <v>0.9301363021657183</v>
      </c>
      <c r="W23" s="387">
        <f t="shared" ref="W23:W32" si="12">W7</f>
        <v>-0.1802872080393067</v>
      </c>
      <c r="X23" s="388">
        <f t="shared" ref="X23:X32" si="13">X7/1000000</f>
        <v>1.4452187034120847</v>
      </c>
      <c r="Y23" s="389"/>
      <c r="Z23" s="386">
        <f t="shared" ref="Z23:Z32" si="14">Z7/1000000</f>
        <v>1.2107162635795077</v>
      </c>
      <c r="AA23" s="387">
        <f t="shared" ref="AA23:AA32" si="15">AA7</f>
        <v>6.6982985590598121E-2</v>
      </c>
      <c r="AB23" s="388">
        <f t="shared" ref="AB23:AB32" si="16">AB7/1000000</f>
        <v>1.7393014458719336</v>
      </c>
    </row>
    <row r="24" spans="1:36" x14ac:dyDescent="0.25">
      <c r="A24" s="336">
        <f t="shared" ref="A24:A32" si="17">D24/C24</f>
        <v>27451.118103490226</v>
      </c>
      <c r="B24" s="383" t="str">
        <f t="shared" si="1"/>
        <v>HCP MCM</v>
      </c>
      <c r="C24" s="390">
        <f t="shared" ref="C24:D24" si="18">C8/1000000</f>
        <v>10.503728719999998</v>
      </c>
      <c r="D24" s="519">
        <f t="shared" ref="D24:D32" si="19">D8</f>
        <v>288339.09761974216</v>
      </c>
      <c r="E24" s="385"/>
      <c r="F24" s="391">
        <f t="shared" si="2"/>
        <v>19.61961591740215</v>
      </c>
      <c r="G24" s="392">
        <f t="shared" ref="G24:G32" si="20">IFERROR(G8,"")</f>
        <v>0.86787153785157489</v>
      </c>
      <c r="H24" s="519">
        <f t="shared" si="3"/>
        <v>449146.84024295304</v>
      </c>
      <c r="I24" s="385"/>
      <c r="J24" s="391">
        <f t="shared" si="4"/>
        <v>21</v>
      </c>
      <c r="K24" s="387">
        <f t="shared" si="5"/>
        <v>0.99929001974453147</v>
      </c>
      <c r="L24" s="519">
        <f t="shared" si="5"/>
        <v>467933.02080957498</v>
      </c>
      <c r="M24" s="389"/>
      <c r="N24" s="391">
        <f t="shared" si="6"/>
        <v>21</v>
      </c>
      <c r="O24" s="387">
        <f t="shared" si="7"/>
        <v>0.99929001974453147</v>
      </c>
      <c r="P24" s="519">
        <f t="shared" si="7"/>
        <v>467933.02080957498</v>
      </c>
      <c r="Q24" s="389"/>
      <c r="R24" s="391">
        <f t="shared" si="8"/>
        <v>21</v>
      </c>
      <c r="S24" s="387">
        <f t="shared" si="9"/>
        <v>0.99929001974453147</v>
      </c>
      <c r="T24" s="393">
        <f t="shared" si="10"/>
        <v>105.72478672171538</v>
      </c>
      <c r="U24" s="389"/>
      <c r="V24" s="391">
        <f t="shared" si="11"/>
        <v>28.000000000000004</v>
      </c>
      <c r="W24" s="387">
        <f t="shared" si="12"/>
        <v>1.6657200263260423</v>
      </c>
      <c r="X24" s="393">
        <f t="shared" si="13"/>
        <v>123.28427849031536</v>
      </c>
      <c r="Y24" s="389"/>
      <c r="Z24" s="391">
        <f t="shared" si="14"/>
        <v>28</v>
      </c>
      <c r="AA24" s="387">
        <f t="shared" si="15"/>
        <v>1.6657200263260419</v>
      </c>
      <c r="AB24" s="393">
        <f t="shared" si="16"/>
        <v>123.28427849031536</v>
      </c>
    </row>
    <row r="25" spans="1:36" x14ac:dyDescent="0.25">
      <c r="A25" s="336">
        <f t="shared" si="17"/>
        <v>13603.885535156402</v>
      </c>
      <c r="B25" s="383" t="str">
        <f t="shared" si="1"/>
        <v>HCC Social</v>
      </c>
      <c r="C25" s="390">
        <f t="shared" ref="C25:D25" si="21">C9/1000000</f>
        <v>1.7509999999999999</v>
      </c>
      <c r="D25" s="519">
        <f t="shared" si="19"/>
        <v>23820.403572058858</v>
      </c>
      <c r="E25" s="385"/>
      <c r="F25" s="391">
        <f t="shared" si="2"/>
        <v>1.7999999999999998</v>
      </c>
      <c r="G25" s="392">
        <f t="shared" si="20"/>
        <v>2.7984009137635504E-2</v>
      </c>
      <c r="H25" s="519">
        <f t="shared" si="3"/>
        <v>24218.148093092652</v>
      </c>
      <c r="I25" s="385"/>
      <c r="J25" s="391">
        <f t="shared" si="4"/>
        <v>3.0498572699284314</v>
      </c>
      <c r="K25" s="387">
        <f t="shared" si="5"/>
        <v>0.74178027979921846</v>
      </c>
      <c r="L25" s="519">
        <f t="shared" si="5"/>
        <v>33231.132088102815</v>
      </c>
      <c r="M25" s="389"/>
      <c r="N25" s="391">
        <f t="shared" si="6"/>
        <v>4.658742363929667</v>
      </c>
      <c r="O25" s="387">
        <f t="shared" si="7"/>
        <v>1.6606181404509803</v>
      </c>
      <c r="P25" s="519">
        <f t="shared" si="7"/>
        <v>42848.798030073864</v>
      </c>
      <c r="Q25" s="389"/>
      <c r="R25" s="391">
        <f t="shared" si="8"/>
        <v>6.5287431288018949</v>
      </c>
      <c r="S25" s="387">
        <f t="shared" si="9"/>
        <v>2.7285797423197575</v>
      </c>
      <c r="T25" s="393">
        <f t="shared" si="10"/>
        <v>11.85409220448609</v>
      </c>
      <c r="U25" s="389"/>
      <c r="V25" s="391">
        <f t="shared" si="11"/>
        <v>5.7849729412671431</v>
      </c>
      <c r="W25" s="387">
        <f t="shared" si="12"/>
        <v>2.3038109316202986</v>
      </c>
      <c r="X25" s="393">
        <f t="shared" si="13"/>
        <v>11.024308327534563</v>
      </c>
      <c r="Y25" s="389"/>
      <c r="Z25" s="391">
        <f t="shared" si="14"/>
        <v>8.9967146134024301</v>
      </c>
      <c r="AA25" s="387">
        <f t="shared" si="15"/>
        <v>4.1380437540847685</v>
      </c>
      <c r="AB25" s="393">
        <f t="shared" si="16"/>
        <v>14.368813852026943</v>
      </c>
    </row>
    <row r="26" spans="1:36" x14ac:dyDescent="0.25">
      <c r="A26" s="336">
        <f t="shared" si="17"/>
        <v>19469.908022025244</v>
      </c>
      <c r="B26" s="383" t="str">
        <f t="shared" si="1"/>
        <v>HCC Online Video</v>
      </c>
      <c r="C26" s="390">
        <f t="shared" ref="C26:D26" si="22">C10/1000000</f>
        <v>1.1117790400000001</v>
      </c>
      <c r="D26" s="519">
        <f t="shared" si="19"/>
        <v>21646.235649615526</v>
      </c>
      <c r="E26" s="385"/>
      <c r="F26" s="391">
        <f t="shared" si="2"/>
        <v>1.1000000000000001</v>
      </c>
      <c r="G26" s="392">
        <f t="shared" si="20"/>
        <v>-1.0594767104082154E-2</v>
      </c>
      <c r="H26" s="519">
        <f t="shared" si="3"/>
        <v>21486.35797297582</v>
      </c>
      <c r="I26" s="385"/>
      <c r="J26" s="391">
        <f t="shared" si="4"/>
        <v>2.2775007120514013</v>
      </c>
      <c r="K26" s="387">
        <f t="shared" si="5"/>
        <v>1.0485192022071232</v>
      </c>
      <c r="L26" s="519">
        <f t="shared" si="5"/>
        <v>32853.279778552242</v>
      </c>
      <c r="M26" s="389"/>
      <c r="N26" s="391">
        <f t="shared" si="6"/>
        <v>2.5486040128115222</v>
      </c>
      <c r="O26" s="387">
        <f t="shared" si="7"/>
        <v>1.2923655880502316</v>
      </c>
      <c r="P26" s="519">
        <f t="shared" si="7"/>
        <v>34483.618072205223</v>
      </c>
      <c r="Q26" s="389"/>
      <c r="R26" s="391">
        <f t="shared" si="8"/>
        <v>2.7644299191965134</v>
      </c>
      <c r="S26" s="387">
        <f t="shared" si="9"/>
        <v>1.4864922072973361</v>
      </c>
      <c r="T26" s="393">
        <f t="shared" si="10"/>
        <v>8.0429604798228063</v>
      </c>
      <c r="U26" s="389"/>
      <c r="V26" s="391">
        <f t="shared" si="11"/>
        <v>2.6870885942371183</v>
      </c>
      <c r="W26" s="387">
        <f t="shared" si="12"/>
        <v>1.4169268330846734</v>
      </c>
      <c r="X26" s="393">
        <f t="shared" si="13"/>
        <v>7.9566327392025844</v>
      </c>
      <c r="Y26" s="389"/>
      <c r="Z26" s="391">
        <f t="shared" si="14"/>
        <v>2.9694082523278316</v>
      </c>
      <c r="AA26" s="387">
        <f t="shared" si="15"/>
        <v>1.670861875870435</v>
      </c>
      <c r="AB26" s="393">
        <f t="shared" si="16"/>
        <v>8.2525391733278113</v>
      </c>
    </row>
    <row r="27" spans="1:36" x14ac:dyDescent="0.25">
      <c r="A27" s="336">
        <f t="shared" si="17"/>
        <v>7512.5949004051845</v>
      </c>
      <c r="B27" s="383" t="str">
        <f t="shared" si="1"/>
        <v>HCC Streaming Video</v>
      </c>
      <c r="C27" s="390">
        <f t="shared" ref="C27:D27" si="23">C11/1000000</f>
        <v>13.418576</v>
      </c>
      <c r="D27" s="519">
        <f t="shared" si="19"/>
        <v>100808.3256282994</v>
      </c>
      <c r="E27" s="385"/>
      <c r="F27" s="391">
        <f t="shared" si="2"/>
        <v>8.3069009999999999</v>
      </c>
      <c r="G27" s="394">
        <f t="shared" si="20"/>
        <v>-0.38094019812534502</v>
      </c>
      <c r="H27" s="519">
        <f t="shared" si="3"/>
        <v>72062.483379729863</v>
      </c>
      <c r="I27" s="385"/>
      <c r="J27" s="391">
        <f t="shared" si="4"/>
        <v>8.3069009999999999</v>
      </c>
      <c r="K27" s="387">
        <f t="shared" si="5"/>
        <v>-0.38094019812534502</v>
      </c>
      <c r="L27" s="519">
        <f t="shared" si="5"/>
        <v>72062.483379729863</v>
      </c>
      <c r="M27" s="389"/>
      <c r="N27" s="391">
        <f t="shared" si="6"/>
        <v>11.426912612048863</v>
      </c>
      <c r="O27" s="387">
        <f t="shared" si="7"/>
        <v>-0.14842583802865053</v>
      </c>
      <c r="P27" s="519">
        <f t="shared" si="7"/>
        <v>90084.927732318116</v>
      </c>
      <c r="Q27" s="389"/>
      <c r="R27" s="391">
        <f t="shared" si="8"/>
        <v>17.920238441694277</v>
      </c>
      <c r="S27" s="387">
        <f t="shared" si="9"/>
        <v>0.33547989307466591</v>
      </c>
      <c r="T27" s="393">
        <f t="shared" si="10"/>
        <v>27.889175383842023</v>
      </c>
      <c r="U27" s="389"/>
      <c r="V27" s="391">
        <f t="shared" si="11"/>
        <v>15.251273220494822</v>
      </c>
      <c r="W27" s="387">
        <f t="shared" si="12"/>
        <v>0.13657911394583314</v>
      </c>
      <c r="X27" s="393">
        <f t="shared" si="13"/>
        <v>24.91204017399275</v>
      </c>
      <c r="Y27" s="389"/>
      <c r="Z27" s="391">
        <f t="shared" si="14"/>
        <v>27.479972230020167</v>
      </c>
      <c r="AA27" s="387">
        <f t="shared" si="15"/>
        <v>1.0479052494109782</v>
      </c>
      <c r="AB27" s="393">
        <f t="shared" si="16"/>
        <v>37.618929011793206</v>
      </c>
    </row>
    <row r="28" spans="1:36" x14ac:dyDescent="0.25">
      <c r="A28" s="336">
        <f t="shared" si="17"/>
        <v>26601.489457595373</v>
      </c>
      <c r="B28" s="383" t="str">
        <f t="shared" si="1"/>
        <v>HCC Display</v>
      </c>
      <c r="C28" s="390">
        <f t="shared" ref="C28:D28" si="24">C12/1000000</f>
        <v>2.8594268199999999</v>
      </c>
      <c r="D28" s="519">
        <f t="shared" si="19"/>
        <v>76065.012406995462</v>
      </c>
      <c r="E28" s="385"/>
      <c r="F28" s="391">
        <f t="shared" si="2"/>
        <v>3.9156566529732735</v>
      </c>
      <c r="G28" s="394">
        <f t="shared" si="20"/>
        <v>0.369385159845872</v>
      </c>
      <c r="H28" s="519">
        <f t="shared" si="3"/>
        <v>91854.473182501024</v>
      </c>
      <c r="I28" s="385"/>
      <c r="J28" s="391">
        <f t="shared" si="4"/>
        <v>5</v>
      </c>
      <c r="K28" s="387">
        <f t="shared" si="5"/>
        <v>0.7486021901410298</v>
      </c>
      <c r="L28" s="519">
        <f t="shared" si="5"/>
        <v>106365.19760151411</v>
      </c>
      <c r="M28" s="389"/>
      <c r="N28" s="391">
        <f t="shared" si="6"/>
        <v>5</v>
      </c>
      <c r="O28" s="387">
        <f t="shared" si="7"/>
        <v>0.7486021901410298</v>
      </c>
      <c r="P28" s="519">
        <f t="shared" si="7"/>
        <v>106365.19760151411</v>
      </c>
      <c r="Q28" s="389"/>
      <c r="R28" s="391">
        <f t="shared" si="8"/>
        <v>5</v>
      </c>
      <c r="S28" s="387">
        <f t="shared" si="9"/>
        <v>0.7486021901410298</v>
      </c>
      <c r="T28" s="393">
        <f t="shared" si="10"/>
        <v>24.032152746086098</v>
      </c>
      <c r="U28" s="389"/>
      <c r="V28" s="391">
        <f t="shared" si="11"/>
        <v>10</v>
      </c>
      <c r="W28" s="387">
        <f t="shared" si="12"/>
        <v>2.4972043802820596</v>
      </c>
      <c r="X28" s="393">
        <f t="shared" si="13"/>
        <v>36.425932046151047</v>
      </c>
      <c r="Y28" s="389"/>
      <c r="Z28" s="391">
        <f t="shared" si="14"/>
        <v>10</v>
      </c>
      <c r="AA28" s="387">
        <f t="shared" si="15"/>
        <v>2.4972043802820596</v>
      </c>
      <c r="AB28" s="393">
        <f t="shared" si="16"/>
        <v>36.425932046151047</v>
      </c>
    </row>
    <row r="29" spans="1:36" x14ac:dyDescent="0.25">
      <c r="A29" s="336">
        <f t="shared" si="17"/>
        <v>602735.85876748606</v>
      </c>
      <c r="B29" s="383" t="str">
        <f t="shared" si="1"/>
        <v>HCC Paid Search</v>
      </c>
      <c r="C29" s="403">
        <f t="shared" ref="C29:D29" si="25">C13/1000000</f>
        <v>0.05</v>
      </c>
      <c r="D29" s="519">
        <f t="shared" si="19"/>
        <v>30136.792938374307</v>
      </c>
      <c r="E29" s="385"/>
      <c r="F29" s="404">
        <f t="shared" si="2"/>
        <v>0.2</v>
      </c>
      <c r="G29" s="392">
        <f t="shared" si="20"/>
        <v>3</v>
      </c>
      <c r="H29" s="519">
        <f t="shared" si="3"/>
        <v>79531.473375019166</v>
      </c>
      <c r="I29" s="385"/>
      <c r="J29" s="391">
        <f t="shared" si="4"/>
        <v>0.2</v>
      </c>
      <c r="K29" s="387">
        <f t="shared" si="5"/>
        <v>3</v>
      </c>
      <c r="L29" s="519">
        <f t="shared" si="5"/>
        <v>79531.473375019166</v>
      </c>
      <c r="M29" s="389"/>
      <c r="N29" s="391">
        <f t="shared" si="6"/>
        <v>0.2</v>
      </c>
      <c r="O29" s="387">
        <f t="shared" si="7"/>
        <v>3</v>
      </c>
      <c r="P29" s="519">
        <f t="shared" si="7"/>
        <v>79531.473375019166</v>
      </c>
      <c r="Q29" s="389"/>
      <c r="R29" s="391">
        <f t="shared" si="8"/>
        <v>0.2</v>
      </c>
      <c r="S29" s="387">
        <f t="shared" si="9"/>
        <v>3</v>
      </c>
      <c r="T29" s="393">
        <f t="shared" si="10"/>
        <v>17.969341094351833</v>
      </c>
      <c r="U29" s="389"/>
      <c r="V29" s="391">
        <f t="shared" si="11"/>
        <v>0.24</v>
      </c>
      <c r="W29" s="387">
        <f t="shared" si="12"/>
        <v>3.8</v>
      </c>
      <c r="X29" s="393">
        <f t="shared" si="13"/>
        <v>20.415453179781721</v>
      </c>
      <c r="Y29" s="389"/>
      <c r="Z29" s="391">
        <f t="shared" si="14"/>
        <v>0.24</v>
      </c>
      <c r="AA29" s="387">
        <f t="shared" si="15"/>
        <v>3.8</v>
      </c>
      <c r="AB29" s="393">
        <f t="shared" si="16"/>
        <v>20.415453179781721</v>
      </c>
    </row>
    <row r="30" spans="1:36" x14ac:dyDescent="0.25">
      <c r="A30" s="336">
        <f t="shared" si="17"/>
        <v>28768.699654775606</v>
      </c>
      <c r="B30" s="383" t="str">
        <f t="shared" si="1"/>
        <v>HCC Radio</v>
      </c>
      <c r="C30" s="390">
        <f t="shared" ref="C30:D30" si="26">C14/1000000</f>
        <v>0.92397499999999999</v>
      </c>
      <c r="D30" s="519">
        <f t="shared" si="19"/>
        <v>26581.559263521289</v>
      </c>
      <c r="E30" s="385"/>
      <c r="F30" s="391">
        <f t="shared" si="2"/>
        <v>0.66051457842273908</v>
      </c>
      <c r="G30" s="392">
        <f t="shared" si="20"/>
        <v>-0.28513804115615787</v>
      </c>
      <c r="H30" s="519">
        <f t="shared" si="3"/>
        <v>23241.776878059347</v>
      </c>
      <c r="I30" s="385"/>
      <c r="J30" s="391">
        <f t="shared" si="4"/>
        <v>2.2000000000000002</v>
      </c>
      <c r="K30" s="392">
        <f t="shared" ref="K30" si="27">IFERROR(K14,"")</f>
        <v>1.3810168024026623</v>
      </c>
      <c r="L30" s="519">
        <f t="shared" ref="L30:L33" si="28">L14</f>
        <v>37608.450193722703</v>
      </c>
      <c r="M30" s="389"/>
      <c r="N30" s="391">
        <f t="shared" si="6"/>
        <v>2.2000000000000002</v>
      </c>
      <c r="O30" s="392">
        <f t="shared" ref="O30" si="29">IFERROR(O14,"")</f>
        <v>1.3810168024026623</v>
      </c>
      <c r="P30" s="519">
        <f t="shared" ref="P30:P33" si="30">P14</f>
        <v>37608.450193722703</v>
      </c>
      <c r="Q30" s="389"/>
      <c r="R30" s="391">
        <f t="shared" si="8"/>
        <v>2.2000000000000002</v>
      </c>
      <c r="S30" s="392">
        <f t="shared" ref="S30" si="31">IFERROR(S14,"")</f>
        <v>1.3810168024026623</v>
      </c>
      <c r="T30" s="393">
        <f t="shared" si="10"/>
        <v>8.4972532367697085</v>
      </c>
      <c r="U30" s="389"/>
      <c r="V30" s="391">
        <f t="shared" si="11"/>
        <v>3.6331249587398786</v>
      </c>
      <c r="W30" s="392">
        <f t="shared" ref="W30" si="32">IFERROR(W14,"")</f>
        <v>2.9320598054491502</v>
      </c>
      <c r="X30" s="393">
        <f t="shared" si="13"/>
        <v>10.385361616462639</v>
      </c>
      <c r="Y30" s="389"/>
      <c r="Z30" s="391">
        <f t="shared" si="14"/>
        <v>4.8</v>
      </c>
      <c r="AA30" s="392">
        <f t="shared" ref="AA30" si="33">IFERROR(AA14,"")</f>
        <v>4.1949457506967178</v>
      </c>
      <c r="AB30" s="393">
        <f t="shared" si="16"/>
        <v>11.609298660703454</v>
      </c>
    </row>
    <row r="31" spans="1:36" x14ac:dyDescent="0.25">
      <c r="A31" s="336">
        <f t="shared" si="17"/>
        <v>6528.5524840843536</v>
      </c>
      <c r="B31" s="383" t="str">
        <f t="shared" si="1"/>
        <v>HCC Linear TV</v>
      </c>
      <c r="C31" s="390">
        <f t="shared" ref="C31:D32" si="34">C15/1000000</f>
        <v>25.8109286</v>
      </c>
      <c r="D31" s="519">
        <f t="shared" si="19"/>
        <v>168508.00202805389</v>
      </c>
      <c r="E31" s="385"/>
      <c r="F31" s="391">
        <f t="shared" si="2"/>
        <v>20.273403999999999</v>
      </c>
      <c r="G31" s="392">
        <f t="shared" si="20"/>
        <v>-0.21454185883106899</v>
      </c>
      <c r="H31" s="519">
        <f t="shared" si="3"/>
        <v>142300.5770089858</v>
      </c>
      <c r="I31" s="385"/>
      <c r="J31" s="391">
        <f t="shared" si="4"/>
        <v>20.273403999999999</v>
      </c>
      <c r="K31" s="387">
        <f t="shared" si="5"/>
        <v>-0.21454185883106899</v>
      </c>
      <c r="L31" s="519">
        <f t="shared" si="28"/>
        <v>142300.5770089858</v>
      </c>
      <c r="M31" s="389"/>
      <c r="N31" s="391">
        <f t="shared" si="6"/>
        <v>20.273403999999999</v>
      </c>
      <c r="O31" s="387">
        <f t="shared" si="7"/>
        <v>-0.21454185883106899</v>
      </c>
      <c r="P31" s="519">
        <f t="shared" si="30"/>
        <v>142300.5770089858</v>
      </c>
      <c r="Q31" s="389"/>
      <c r="R31" s="391">
        <f t="shared" si="8"/>
        <v>21.587249589267053</v>
      </c>
      <c r="S31" s="387">
        <f t="shared" si="9"/>
        <v>-0.16363917301034062</v>
      </c>
      <c r="T31" s="393">
        <f t="shared" si="10"/>
        <v>33.596128372262164</v>
      </c>
      <c r="U31" s="389"/>
      <c r="V31" s="391">
        <f t="shared" si="11"/>
        <v>20.273403999999999</v>
      </c>
      <c r="W31" s="387">
        <f t="shared" si="12"/>
        <v>-0.21454185883106899</v>
      </c>
      <c r="X31" s="393">
        <f t="shared" si="13"/>
        <v>32.151392369410253</v>
      </c>
      <c r="Y31" s="389"/>
      <c r="Z31" s="391">
        <f t="shared" si="14"/>
        <v>33.103188923204655</v>
      </c>
      <c r="AA31" s="387">
        <f t="shared" si="15"/>
        <v>0.282526073982656</v>
      </c>
      <c r="AB31" s="393">
        <f t="shared" si="16"/>
        <v>45.31687939559216</v>
      </c>
    </row>
    <row r="32" spans="1:36" x14ac:dyDescent="0.25">
      <c r="A32" s="336">
        <f t="shared" si="17"/>
        <v>7548.1639149156581</v>
      </c>
      <c r="B32" s="383" t="str">
        <f t="shared" si="1"/>
        <v>HCC Pharmacy</v>
      </c>
      <c r="C32" s="390">
        <f t="shared" si="34"/>
        <v>2.4119679999999999</v>
      </c>
      <c r="D32" s="519">
        <f t="shared" si="19"/>
        <v>18205.929821531288</v>
      </c>
      <c r="E32" s="385"/>
      <c r="F32" s="391">
        <f t="shared" si="2"/>
        <v>3.2</v>
      </c>
      <c r="G32" s="392">
        <f t="shared" si="20"/>
        <v>0.32671743572054024</v>
      </c>
      <c r="H32" s="519">
        <f>H16</f>
        <v>22412.309442908503</v>
      </c>
      <c r="I32" s="385"/>
      <c r="J32" s="391">
        <f t="shared" si="4"/>
        <v>3.2</v>
      </c>
      <c r="K32" s="387">
        <f t="shared" si="5"/>
        <v>0.32671743572054024</v>
      </c>
      <c r="L32" s="519">
        <f t="shared" si="28"/>
        <v>22412.309442908503</v>
      </c>
      <c r="M32" s="389"/>
      <c r="N32" s="391">
        <f t="shared" si="6"/>
        <v>3.2</v>
      </c>
      <c r="O32" s="387">
        <f t="shared" si="7"/>
        <v>0.32671743572054024</v>
      </c>
      <c r="P32" s="519">
        <f t="shared" si="30"/>
        <v>22412.309442908503</v>
      </c>
      <c r="Q32" s="389"/>
      <c r="R32" s="391">
        <f t="shared" si="8"/>
        <v>3.2</v>
      </c>
      <c r="S32" s="387">
        <f t="shared" si="9"/>
        <v>0.32671743572054024</v>
      </c>
      <c r="T32" s="393">
        <f t="shared" si="10"/>
        <v>5.0638371955307466</v>
      </c>
      <c r="U32" s="389"/>
      <c r="V32" s="391">
        <f t="shared" si="11"/>
        <v>3.2</v>
      </c>
      <c r="W32" s="387">
        <f t="shared" si="12"/>
        <v>0.32671743572054024</v>
      </c>
      <c r="X32" s="393">
        <f t="shared" si="13"/>
        <v>5.0638371955307466</v>
      </c>
      <c r="Y32" s="389"/>
      <c r="Z32" s="391">
        <f t="shared" si="14"/>
        <v>3.2</v>
      </c>
      <c r="AA32" s="387">
        <f t="shared" si="15"/>
        <v>0.32671743572054024</v>
      </c>
      <c r="AB32" s="393">
        <f t="shared" si="16"/>
        <v>5.0638371955307466</v>
      </c>
    </row>
    <row r="33" spans="1:16384" ht="29.45" customHeight="1" x14ac:dyDescent="0.25">
      <c r="B33" s="378" t="s">
        <v>199</v>
      </c>
      <c r="C33" s="351">
        <f>C17/1000000</f>
        <v>59.976092180000002</v>
      </c>
      <c r="D33" s="520">
        <f>D17</f>
        <v>761479.22554221447</v>
      </c>
      <c r="E33" s="380"/>
      <c r="F33" s="352">
        <f>F17/1000000</f>
        <v>59.976092148798166</v>
      </c>
      <c r="G33" s="353">
        <f>G17</f>
        <v>-5.2023782914695542E-10</v>
      </c>
      <c r="H33" s="520">
        <f>H17</f>
        <v>932496.94530570577</v>
      </c>
      <c r="I33" s="380"/>
      <c r="J33" s="352">
        <f>J17/1000000</f>
        <v>66.407662981979826</v>
      </c>
      <c r="K33" s="353">
        <f>K17</f>
        <v>0.10723557618054588</v>
      </c>
      <c r="L33" s="520">
        <f t="shared" si="28"/>
        <v>1000540.4294075908</v>
      </c>
      <c r="M33" s="382"/>
      <c r="N33" s="352">
        <f>N17/1000000</f>
        <v>71.407662988790051</v>
      </c>
      <c r="O33" s="353">
        <f>O17</f>
        <v>0.19060212816936567</v>
      </c>
      <c r="P33" s="520">
        <f t="shared" si="30"/>
        <v>1029810.877995803</v>
      </c>
      <c r="Q33" s="382"/>
      <c r="R33" s="352">
        <f>R17/1000000</f>
        <v>81.407663076619329</v>
      </c>
      <c r="S33" s="353">
        <f>S17</f>
        <v>0.35733523338431228</v>
      </c>
      <c r="T33" s="381">
        <f>T17/1000000</f>
        <v>244.20074291037884</v>
      </c>
      <c r="U33" s="382"/>
      <c r="V33" s="352">
        <f>V17/1000000</f>
        <v>90.000000016904679</v>
      </c>
      <c r="W33" s="353">
        <f>W17</f>
        <v>0.50059793403673336</v>
      </c>
      <c r="X33" s="381">
        <f>X17/1000000</f>
        <v>273.06445484179375</v>
      </c>
      <c r="Y33" s="382"/>
      <c r="Z33" s="352">
        <f>Z17/1000000</f>
        <v>120.0000002825346</v>
      </c>
      <c r="AA33" s="353">
        <f>AA17</f>
        <v>1.000797249717289</v>
      </c>
      <c r="AB33" s="381">
        <f>AB17/1000000</f>
        <v>304.09526245109441</v>
      </c>
      <c r="AC33" s="265"/>
    </row>
    <row r="34" spans="1:16384" ht="25.5" x14ac:dyDescent="0.25">
      <c r="B34" s="378" t="s">
        <v>285</v>
      </c>
      <c r="C34" s="351" t="str">
        <f>_xlfn.CONCAT("ROI  ",C40)</f>
        <v>ROI  2.9</v>
      </c>
      <c r="D34" s="396"/>
      <c r="E34" s="380"/>
      <c r="F34" s="351" t="str">
        <f t="shared" ref="F34:F35" si="35">_xlfn.CONCAT("ROI  ",F40)</f>
        <v>ROI  3.5</v>
      </c>
      <c r="G34" s="353"/>
      <c r="H34" s="396" t="s">
        <v>322</v>
      </c>
      <c r="I34" s="380"/>
      <c r="J34" s="351" t="str">
        <f t="shared" ref="J34:J35" si="36">_xlfn.CONCAT("ROI  ",J40)</f>
        <v>ROI  3.4</v>
      </c>
      <c r="K34" s="353"/>
      <c r="L34" s="396" t="s">
        <v>328</v>
      </c>
      <c r="M34" s="382"/>
      <c r="N34" s="351" t="str">
        <f t="shared" ref="N34:N35" si="37">_xlfn.CONCAT("ROI  ",N40)</f>
        <v>ROI  3.3</v>
      </c>
      <c r="O34" s="353"/>
      <c r="P34" s="396" t="s">
        <v>325</v>
      </c>
      <c r="Q34" s="382"/>
      <c r="R34" s="351" t="str">
        <f t="shared" ref="R34:R35" si="38">_xlfn.CONCAT("ROI  ",R40)</f>
        <v>ROI  3</v>
      </c>
      <c r="S34" s="353"/>
      <c r="T34" s="396" t="s">
        <v>303</v>
      </c>
      <c r="U34" s="382"/>
      <c r="V34" s="351" t="str">
        <f t="shared" ref="V34:V35" si="39">_xlfn.CONCAT("ROI  ",V40)</f>
        <v>ROI  3</v>
      </c>
      <c r="W34" s="353"/>
      <c r="X34" s="396" t="s">
        <v>304</v>
      </c>
      <c r="Y34" s="382"/>
      <c r="Z34" s="351" t="str">
        <f t="shared" ref="Z34:Z35" si="40">_xlfn.CONCAT("ROI  ",Z40)</f>
        <v>ROI  2.5</v>
      </c>
      <c r="AA34" s="353"/>
      <c r="AB34" s="396" t="s">
        <v>305</v>
      </c>
      <c r="AC34" s="265"/>
    </row>
    <row r="35" spans="1:16384" ht="30.6" customHeight="1" x14ac:dyDescent="0.25">
      <c r="B35" s="378" t="s">
        <v>302</v>
      </c>
      <c r="C35" s="351" t="str">
        <f t="shared" ref="C35" si="41">_xlfn.CONCAT("ROI  ",C41)</f>
        <v>ROI  3.6</v>
      </c>
      <c r="D35" s="396"/>
      <c r="E35" s="380"/>
      <c r="F35" s="351" t="str">
        <f t="shared" si="35"/>
        <v>ROI  4.4</v>
      </c>
      <c r="G35" s="411"/>
      <c r="H35" s="396" t="s">
        <v>323</v>
      </c>
      <c r="I35" s="380"/>
      <c r="J35" s="351" t="str">
        <f t="shared" si="36"/>
        <v>ROI  4.3</v>
      </c>
      <c r="K35" s="411"/>
      <c r="L35" s="396" t="s">
        <v>329</v>
      </c>
      <c r="M35" s="382"/>
      <c r="N35" s="351" t="str">
        <f t="shared" si="37"/>
        <v>ROI  4.1</v>
      </c>
      <c r="O35" s="411"/>
      <c r="P35" s="396" t="s">
        <v>326</v>
      </c>
      <c r="Q35" s="382"/>
      <c r="R35" s="351" t="str">
        <f t="shared" si="38"/>
        <v>ROI  3.7</v>
      </c>
      <c r="S35" s="411"/>
      <c r="T35" s="396" t="s">
        <v>306</v>
      </c>
      <c r="U35" s="382"/>
      <c r="V35" s="351" t="str">
        <f t="shared" si="39"/>
        <v>ROI  3.8</v>
      </c>
      <c r="W35" s="411"/>
      <c r="X35" s="396" t="s">
        <v>308</v>
      </c>
      <c r="Y35" s="382"/>
      <c r="Z35" s="351" t="str">
        <f t="shared" si="40"/>
        <v>ROI  3.2</v>
      </c>
      <c r="AA35" s="411"/>
      <c r="AB35" s="396" t="s">
        <v>310</v>
      </c>
      <c r="AC35" s="265"/>
    </row>
    <row r="36" spans="1:16384" ht="25.5" x14ac:dyDescent="0.25">
      <c r="B36" s="378" t="s">
        <v>301</v>
      </c>
      <c r="C36" s="351" t="str">
        <f>_xlfn.CONCAT("ROI  ",C42)</f>
        <v>ROI  2.3</v>
      </c>
      <c r="D36" s="396"/>
      <c r="E36" s="380"/>
      <c r="F36" s="351" t="str">
        <f>_xlfn.CONCAT("ROI  ",F42)</f>
        <v>ROI  2.8</v>
      </c>
      <c r="G36" s="411"/>
      <c r="H36" s="396" t="s">
        <v>324</v>
      </c>
      <c r="I36" s="380"/>
      <c r="J36" s="351" t="str">
        <f>_xlfn.CONCAT("ROI  ",J42)</f>
        <v>ROI  2.7</v>
      </c>
      <c r="K36" s="411"/>
      <c r="L36" s="396" t="s">
        <v>330</v>
      </c>
      <c r="M36" s="382"/>
      <c r="N36" s="351" t="str">
        <f>_xlfn.CONCAT("ROI  ",N42)</f>
        <v>ROI  2.6</v>
      </c>
      <c r="O36" s="411"/>
      <c r="P36" s="396" t="s">
        <v>327</v>
      </c>
      <c r="Q36" s="382"/>
      <c r="R36" s="351" t="str">
        <f>_xlfn.CONCAT("ROI  ",R60)</f>
        <v>ROI  2.4</v>
      </c>
      <c r="S36" s="411"/>
      <c r="T36" s="396" t="s">
        <v>307</v>
      </c>
      <c r="U36" s="382"/>
      <c r="V36" s="351" t="str">
        <f>_xlfn.CONCAT("ROI  ",V60)</f>
        <v>ROI  2.4</v>
      </c>
      <c r="W36" s="411"/>
      <c r="X36" s="396" t="s">
        <v>309</v>
      </c>
      <c r="Y36" s="382"/>
      <c r="Z36" s="351" t="str">
        <f>_xlfn.CONCAT("ROI  ",Z60)</f>
        <v>ROI  2</v>
      </c>
      <c r="AA36" s="411"/>
      <c r="AB36" s="396" t="s">
        <v>311</v>
      </c>
      <c r="AC36" s="265"/>
    </row>
    <row r="37" spans="1:16384" x14ac:dyDescent="0.25">
      <c r="B37" s="338"/>
      <c r="C37" s="338"/>
      <c r="D37" s="338">
        <f>D33/C33</f>
        <v>12696.379471621227</v>
      </c>
      <c r="E37" s="338"/>
      <c r="F37" s="338"/>
      <c r="G37" s="338"/>
      <c r="H37" s="521">
        <f>(H33-$D$33)</f>
        <v>171017.7197634913</v>
      </c>
      <c r="I37" s="338"/>
      <c r="J37" s="338"/>
      <c r="K37" s="338"/>
      <c r="L37" s="521">
        <f>(L33-$D$33)</f>
        <v>239061.2038653763</v>
      </c>
      <c r="M37" s="338"/>
      <c r="N37" s="338"/>
      <c r="O37" s="338"/>
      <c r="P37" s="521">
        <f>(P33-$D$33)</f>
        <v>268331.65245358855</v>
      </c>
      <c r="Q37" s="338"/>
      <c r="R37" s="338"/>
      <c r="S37" s="338"/>
      <c r="T37" s="397">
        <f>(T33-$D$33)</f>
        <v>-761235.02479930408</v>
      </c>
      <c r="U37" s="338"/>
      <c r="V37" s="338"/>
      <c r="W37" s="338"/>
      <c r="X37" s="397">
        <f>(X33-$D$33)</f>
        <v>-761206.16108737269</v>
      </c>
      <c r="Y37" s="338"/>
      <c r="Z37" s="338"/>
      <c r="AA37" s="338"/>
      <c r="AB37" s="397">
        <f>(AB33-$D$33)</f>
        <v>-761175.13027976337</v>
      </c>
    </row>
    <row r="38" spans="1:16384" x14ac:dyDescent="0.25">
      <c r="B38" s="338"/>
      <c r="C38" s="338"/>
      <c r="D38" s="338"/>
      <c r="E38" s="338"/>
      <c r="F38" s="338"/>
      <c r="G38" s="338"/>
      <c r="H38" s="398">
        <f>H37/$D$33</f>
        <v>0.22458619227821669</v>
      </c>
      <c r="I38" s="338"/>
      <c r="J38" s="338"/>
      <c r="K38" s="338"/>
      <c r="L38" s="398">
        <f>L37/$D$33</f>
        <v>0.31394317250763049</v>
      </c>
      <c r="M38" s="338"/>
      <c r="N38" s="338"/>
      <c r="O38" s="338"/>
      <c r="P38" s="398">
        <f>P37/$D$33</f>
        <v>0.35238210505680162</v>
      </c>
      <c r="Q38" s="338"/>
      <c r="R38" s="338"/>
      <c r="S38" s="338"/>
      <c r="T38" s="398">
        <f>T37/$D$33</f>
        <v>-0.9996793074128365</v>
      </c>
      <c r="U38" s="338"/>
      <c r="V38" s="338"/>
      <c r="W38" s="338"/>
      <c r="X38" s="398">
        <f>X37/$D$33</f>
        <v>-0.99964140262047552</v>
      </c>
      <c r="Y38" s="338"/>
      <c r="Z38" s="338"/>
      <c r="AA38" s="338"/>
      <c r="AB38" s="398">
        <f>AB37/$D$33</f>
        <v>-0.99960065192555381</v>
      </c>
    </row>
    <row r="39" spans="1:16384" x14ac:dyDescent="0.25">
      <c r="B39" s="338"/>
      <c r="C39" s="338"/>
      <c r="D39" s="338"/>
      <c r="E39" s="338"/>
      <c r="F39" s="338"/>
      <c r="G39" s="338"/>
      <c r="H39" s="521">
        <f>H37*1.25</f>
        <v>213772.14970436413</v>
      </c>
      <c r="I39" s="338"/>
      <c r="J39" s="338"/>
      <c r="K39" s="338"/>
      <c r="L39" s="521">
        <f>L37*1.25</f>
        <v>298826.50483172038</v>
      </c>
      <c r="M39" s="338"/>
      <c r="N39" s="338"/>
      <c r="O39" s="338"/>
      <c r="P39" s="521">
        <f>P37*1.25</f>
        <v>335414.56556698569</v>
      </c>
      <c r="Q39" s="338"/>
      <c r="R39" s="338"/>
      <c r="S39" s="338"/>
      <c r="T39" s="397">
        <f>T37*1.25</f>
        <v>-951543.7809991301</v>
      </c>
      <c r="U39" s="338"/>
      <c r="V39" s="338"/>
      <c r="W39" s="338"/>
      <c r="X39" s="397">
        <f>X37*1.25</f>
        <v>-951507.70135921589</v>
      </c>
      <c r="Y39" s="338"/>
      <c r="Z39" s="338"/>
      <c r="AA39" s="338"/>
      <c r="AB39" s="397">
        <f>AB37*1.25</f>
        <v>-951468.91284970427</v>
      </c>
    </row>
    <row r="40" spans="1:16384" x14ac:dyDescent="0.25">
      <c r="B40" s="338"/>
      <c r="C40" s="413">
        <f>ROUND(($D$33*VAC_Optim_Scenario!$E$33)/($C$33*1000000),1)</f>
        <v>2.9</v>
      </c>
      <c r="D40" s="338"/>
      <c r="E40" s="338"/>
      <c r="F40" s="413">
        <f>ROUND((H$33*VAC_Optim_Scenario!$E$33)/(F$33*1000000),1)</f>
        <v>3.5</v>
      </c>
      <c r="G40" s="338"/>
      <c r="H40" s="398">
        <f>H39/(D33*1.25)</f>
        <v>0.22458619227821666</v>
      </c>
      <c r="I40" s="338"/>
      <c r="J40" s="413">
        <f>ROUND((L$33*VAC_Optim_Scenario!$E$33)/(J$33*1000000),1)</f>
        <v>3.4</v>
      </c>
      <c r="K40" s="338"/>
      <c r="L40" s="398">
        <f>L39/($D$33*1.25)</f>
        <v>0.31394317250763049</v>
      </c>
      <c r="M40" s="338"/>
      <c r="N40" s="413">
        <f>ROUND((P$33*VAC_Optim_Scenario!$E$33)/(N$33*1000000),1)</f>
        <v>3.3</v>
      </c>
      <c r="O40" s="338"/>
      <c r="P40" s="398">
        <f>P39/($D$33*1.25)</f>
        <v>0.35238210505680162</v>
      </c>
      <c r="Q40" s="338"/>
      <c r="R40" s="413">
        <f>ROUND(T33/R33,1)</f>
        <v>3</v>
      </c>
      <c r="S40" s="338"/>
      <c r="T40" s="398">
        <f>T39/($D$33*1.25)</f>
        <v>-0.9996793074128365</v>
      </c>
      <c r="U40" s="338"/>
      <c r="V40" s="413">
        <f>ROUND(X33/V33,1)</f>
        <v>3</v>
      </c>
      <c r="W40" s="338"/>
      <c r="X40" s="398">
        <f>X39/($D$33*1.25)</f>
        <v>-0.99964140262047552</v>
      </c>
      <c r="Y40" s="338"/>
      <c r="Z40" s="413">
        <f>ROUND(AB33/Z33,1)</f>
        <v>2.5</v>
      </c>
      <c r="AA40" s="338"/>
      <c r="AB40" s="398">
        <f>AB39/($D$33*1.25)</f>
        <v>-0.99960065192555381</v>
      </c>
    </row>
    <row r="41" spans="1:16384" s="97" customFormat="1" x14ac:dyDescent="0.25">
      <c r="B41" s="338"/>
      <c r="C41" s="413">
        <f>ROUND(($D$33*VAC_Optim_Scenario!$E$33*1.25)/($C$33*1000000),1)</f>
        <v>3.6</v>
      </c>
      <c r="D41" s="338"/>
      <c r="E41" s="338"/>
      <c r="F41" s="413">
        <f>ROUND((H$33*VAC_Optim_Scenario!$E$33*1.25)/(F$33*1000000),1)</f>
        <v>4.4000000000000004</v>
      </c>
      <c r="G41" s="338"/>
      <c r="H41" s="521">
        <f>H37*0.8</f>
        <v>136814.17581079304</v>
      </c>
      <c r="I41" s="338"/>
      <c r="J41" s="413">
        <f>ROUND((L$33*VAC_Optim_Scenario!$E$33*1.25)/(J$33*1000000),1)</f>
        <v>4.3</v>
      </c>
      <c r="K41" s="338"/>
      <c r="L41" s="521">
        <f>L37*0.8</f>
        <v>191248.96309230104</v>
      </c>
      <c r="M41" s="338"/>
      <c r="N41" s="413">
        <f>ROUND((P$33*VAC_Optim_Scenario!$E$33*1.25)/(N$33*1000000),1)</f>
        <v>4.0999999999999996</v>
      </c>
      <c r="O41" s="338"/>
      <c r="P41" s="521">
        <f>P37*0.8</f>
        <v>214665.32196287086</v>
      </c>
      <c r="Q41" s="338"/>
      <c r="R41" s="413">
        <f>ROUND(T33*1.25/R33,1)</f>
        <v>3.7</v>
      </c>
      <c r="S41" s="338"/>
      <c r="T41" s="397">
        <f>T37*0.8</f>
        <v>-608988.01983944327</v>
      </c>
      <c r="U41" s="338"/>
      <c r="V41" s="413">
        <f>ROUND(X33*1.25/V33,1)</f>
        <v>3.8</v>
      </c>
      <c r="W41" s="338"/>
      <c r="X41" s="397">
        <f>X37*0.8</f>
        <v>-608964.9288698982</v>
      </c>
      <c r="Y41" s="338"/>
      <c r="Z41" s="413">
        <f>ROUND(AB33*1.25/Z33,1)</f>
        <v>3.2</v>
      </c>
      <c r="AA41" s="338"/>
      <c r="AB41" s="397">
        <f>AB37*0.8</f>
        <v>-608940.10422381072</v>
      </c>
    </row>
    <row r="42" spans="1:16384" s="97" customFormat="1" x14ac:dyDescent="0.25">
      <c r="B42" s="338"/>
      <c r="C42" s="413">
        <f>ROUND(($D$33*VAC_Optim_Scenario!$E$33*0.8)/($C$33*1000000),1)</f>
        <v>2.2999999999999998</v>
      </c>
      <c r="D42" s="338"/>
      <c r="E42" s="338"/>
      <c r="F42" s="413">
        <f>ROUND((H$33*VAC_Optim_Scenario!$E$33*0.8)/(F$33*1000000),1)</f>
        <v>2.8</v>
      </c>
      <c r="G42" s="338"/>
      <c r="H42" s="419"/>
      <c r="I42" s="338"/>
      <c r="J42" s="413">
        <f>ROUND((L$33*VAC_Optim_Scenario!$E$33*0.8)/(J$33*1000000),1)</f>
        <v>2.7</v>
      </c>
      <c r="K42" s="338"/>
      <c r="L42" s="419"/>
      <c r="M42" s="338"/>
      <c r="N42" s="413">
        <f>ROUND((P$33*VAC_Optim_Scenario!$E$33*0.8)/(N$33*1000000),1)</f>
        <v>2.6</v>
      </c>
      <c r="O42" s="338"/>
      <c r="P42" s="419"/>
      <c r="Q42" s="338"/>
      <c r="R42" s="413"/>
      <c r="S42" s="338"/>
      <c r="T42" s="419"/>
      <c r="U42" s="338"/>
      <c r="V42" s="413"/>
      <c r="W42" s="338"/>
      <c r="X42" s="419"/>
      <c r="Y42" s="338"/>
      <c r="Z42" s="413"/>
      <c r="AA42" s="338"/>
      <c r="AB42" s="419"/>
    </row>
    <row r="43" spans="1:16384" s="97" customFormat="1" x14ac:dyDescent="0.25">
      <c r="B43" s="338"/>
      <c r="C43" s="413"/>
      <c r="D43" s="338"/>
      <c r="E43" s="338"/>
      <c r="F43" s="413"/>
      <c r="G43" s="338"/>
      <c r="H43" s="419"/>
      <c r="I43" s="338"/>
      <c r="J43" s="413"/>
      <c r="K43" s="338"/>
      <c r="L43" s="419"/>
      <c r="M43" s="338"/>
      <c r="N43" s="413"/>
      <c r="O43" s="338"/>
      <c r="P43" s="419"/>
      <c r="Q43" s="338"/>
      <c r="R43" s="413"/>
      <c r="S43" s="338"/>
      <c r="T43" s="419"/>
      <c r="U43" s="338"/>
      <c r="V43" s="413"/>
      <c r="W43" s="338"/>
      <c r="X43" s="419"/>
      <c r="Y43" s="338"/>
      <c r="Z43" s="413"/>
      <c r="AA43" s="338"/>
      <c r="AB43" s="419"/>
    </row>
    <row r="44" spans="1:16384" s="97" customFormat="1" x14ac:dyDescent="0.25">
      <c r="B44" s="338"/>
      <c r="C44" s="413"/>
      <c r="D44" s="338"/>
      <c r="E44" s="338"/>
      <c r="F44" s="413"/>
      <c r="G44" s="338"/>
      <c r="H44" s="419"/>
      <c r="I44" s="338"/>
      <c r="J44" s="413"/>
      <c r="K44" s="338"/>
      <c r="L44" s="419"/>
      <c r="M44" s="338"/>
      <c r="N44" s="413"/>
      <c r="O44" s="338"/>
      <c r="P44" s="419"/>
      <c r="Q44" s="338"/>
      <c r="R44" s="413"/>
      <c r="S44" s="338"/>
      <c r="T44" s="419"/>
      <c r="U44" s="338"/>
      <c r="V44" s="413"/>
      <c r="W44" s="338"/>
      <c r="X44" s="419"/>
      <c r="Y44" s="338"/>
      <c r="Z44" s="413"/>
      <c r="AA44" s="338"/>
      <c r="AB44" s="419"/>
    </row>
    <row r="45" spans="1:16384" s="97" customFormat="1" x14ac:dyDescent="0.25">
      <c r="B45" s="338"/>
      <c r="C45" s="413"/>
      <c r="D45" s="420">
        <f>D23*1000000/VAC_Optim_Scenario!$E$33</f>
        <v>32609837.186962433</v>
      </c>
      <c r="E45" s="338"/>
      <c r="F45" s="413"/>
      <c r="G45" s="338"/>
      <c r="H45" s="420">
        <f>H23*1000000/VAC_Optim_Scenario!$E$33</f>
        <v>27629041.911483783</v>
      </c>
      <c r="I45" s="338"/>
      <c r="J45" s="413"/>
      <c r="K45" s="338"/>
      <c r="L45" s="420">
        <f>L23*1000000/VAC_Optim_Scenario!$E$33</f>
        <v>27629041.911483783</v>
      </c>
      <c r="M45" s="338"/>
      <c r="N45" s="413"/>
      <c r="O45" s="338"/>
      <c r="P45" s="420">
        <f>P23*1000000/VAC_Optim_Scenario!$E$33</f>
        <v>27629041.911483783</v>
      </c>
      <c r="Q45" s="338"/>
      <c r="R45" s="413"/>
      <c r="S45" s="338"/>
      <c r="T45" s="420">
        <f>T23*1000000/VAC_Optim_Scenario!$E$33</f>
        <v>6776.2037510490045</v>
      </c>
      <c r="U45" s="338"/>
      <c r="V45" s="413"/>
      <c r="W45" s="338"/>
      <c r="X45" s="420">
        <f>X23*1000000/VAC_Optim_Scenario!$E$33</f>
        <v>6396.4712021425357</v>
      </c>
      <c r="Y45" s="338"/>
      <c r="Z45" s="413"/>
      <c r="AA45" s="338"/>
      <c r="AB45" s="420">
        <f>AB23*1000000/VAC_Optim_Scenario!$E$33</f>
        <v>7698.0678316010162</v>
      </c>
    </row>
    <row r="46" spans="1:16384" s="97" customFormat="1" x14ac:dyDescent="0.25">
      <c r="A46" s="420">
        <f t="shared" ref="A46:C46" si="42">A45*0.8</f>
        <v>0</v>
      </c>
      <c r="B46" s="420">
        <f t="shared" si="42"/>
        <v>0</v>
      </c>
      <c r="C46" s="420">
        <f t="shared" si="42"/>
        <v>0</v>
      </c>
      <c r="D46" s="420">
        <f>D24*1000000/VAC_Optim_Scenario!$E$33</f>
        <v>1276175522.7925208</v>
      </c>
      <c r="E46" s="420">
        <f t="shared" ref="E46:BP46" si="43">E45*0.8</f>
        <v>0</v>
      </c>
      <c r="F46" s="420">
        <f t="shared" si="43"/>
        <v>0</v>
      </c>
      <c r="G46" s="420">
        <f t="shared" si="43"/>
        <v>0</v>
      </c>
      <c r="H46" s="420">
        <f>H24*1000000/VAC_Optim_Scenario!$E$33</f>
        <v>1987903161.2063072</v>
      </c>
      <c r="I46" s="420">
        <f t="shared" si="43"/>
        <v>0</v>
      </c>
      <c r="J46" s="420">
        <f t="shared" si="43"/>
        <v>0</v>
      </c>
      <c r="K46" s="420">
        <f t="shared" si="43"/>
        <v>0</v>
      </c>
      <c r="L46" s="420">
        <f>L24*1000000/VAC_Optim_Scenario!$E$33</f>
        <v>2071049928.3419271</v>
      </c>
      <c r="M46" s="420">
        <f t="shared" si="43"/>
        <v>0</v>
      </c>
      <c r="N46" s="420">
        <f t="shared" si="43"/>
        <v>0</v>
      </c>
      <c r="O46" s="420">
        <f t="shared" si="43"/>
        <v>0</v>
      </c>
      <c r="P46" s="420">
        <f>P24*1000000/VAC_Optim_Scenario!$E$33</f>
        <v>2071049928.3419271</v>
      </c>
      <c r="Q46" s="420">
        <f t="shared" si="43"/>
        <v>0</v>
      </c>
      <c r="R46" s="420">
        <f t="shared" si="43"/>
        <v>0</v>
      </c>
      <c r="S46" s="420">
        <f t="shared" si="43"/>
        <v>0</v>
      </c>
      <c r="T46" s="420">
        <f>T24*1000000/VAC_Optim_Scenario!$E$33</f>
        <v>467933.02080957498</v>
      </c>
      <c r="U46" s="420">
        <f t="shared" si="43"/>
        <v>0</v>
      </c>
      <c r="V46" s="420">
        <f t="shared" si="43"/>
        <v>0</v>
      </c>
      <c r="W46" s="420">
        <f t="shared" si="43"/>
        <v>0</v>
      </c>
      <c r="X46" s="420">
        <f>X24*1000000/VAC_Optim_Scenario!$E$33</f>
        <v>545650.52000670694</v>
      </c>
      <c r="Y46" s="420">
        <f t="shared" si="43"/>
        <v>0</v>
      </c>
      <c r="Z46" s="420">
        <f t="shared" si="43"/>
        <v>0</v>
      </c>
      <c r="AA46" s="420">
        <f t="shared" si="43"/>
        <v>0</v>
      </c>
      <c r="AB46" s="420">
        <f>AB24*1000000/VAC_Optim_Scenario!$E$33</f>
        <v>545650.52000670694</v>
      </c>
      <c r="AC46" s="420">
        <f t="shared" si="43"/>
        <v>0</v>
      </c>
      <c r="AD46" s="420">
        <f t="shared" si="43"/>
        <v>0</v>
      </c>
      <c r="AE46" s="420">
        <f t="shared" si="43"/>
        <v>0</v>
      </c>
      <c r="AF46" s="420">
        <f t="shared" si="43"/>
        <v>0</v>
      </c>
      <c r="AG46" s="420">
        <f t="shared" si="43"/>
        <v>0</v>
      </c>
      <c r="AH46" s="420">
        <f t="shared" si="43"/>
        <v>0</v>
      </c>
      <c r="AI46" s="420">
        <f t="shared" si="43"/>
        <v>0</v>
      </c>
      <c r="AJ46" s="420">
        <f t="shared" si="43"/>
        <v>0</v>
      </c>
      <c r="AK46" s="420">
        <f t="shared" si="43"/>
        <v>0</v>
      </c>
      <c r="AL46" s="420">
        <f t="shared" si="43"/>
        <v>0</v>
      </c>
      <c r="AM46" s="420">
        <f t="shared" si="43"/>
        <v>0</v>
      </c>
      <c r="AN46" s="420">
        <f t="shared" si="43"/>
        <v>0</v>
      </c>
      <c r="AO46" s="420">
        <f t="shared" si="43"/>
        <v>0</v>
      </c>
      <c r="AP46" s="420">
        <f t="shared" si="43"/>
        <v>0</v>
      </c>
      <c r="AQ46" s="420">
        <f t="shared" si="43"/>
        <v>0</v>
      </c>
      <c r="AR46" s="420">
        <f t="shared" si="43"/>
        <v>0</v>
      </c>
      <c r="AS46" s="420">
        <f t="shared" si="43"/>
        <v>0</v>
      </c>
      <c r="AT46" s="420">
        <f t="shared" si="43"/>
        <v>0</v>
      </c>
      <c r="AU46" s="420">
        <f t="shared" si="43"/>
        <v>0</v>
      </c>
      <c r="AV46" s="420">
        <f t="shared" si="43"/>
        <v>0</v>
      </c>
      <c r="AW46" s="420">
        <f t="shared" si="43"/>
        <v>0</v>
      </c>
      <c r="AX46" s="420">
        <f t="shared" si="43"/>
        <v>0</v>
      </c>
      <c r="AY46" s="420">
        <f t="shared" si="43"/>
        <v>0</v>
      </c>
      <c r="AZ46" s="420">
        <f t="shared" si="43"/>
        <v>0</v>
      </c>
      <c r="BA46" s="420">
        <f t="shared" si="43"/>
        <v>0</v>
      </c>
      <c r="BB46" s="420">
        <f t="shared" si="43"/>
        <v>0</v>
      </c>
      <c r="BC46" s="420">
        <f t="shared" si="43"/>
        <v>0</v>
      </c>
      <c r="BD46" s="420">
        <f t="shared" si="43"/>
        <v>0</v>
      </c>
      <c r="BE46" s="420">
        <f t="shared" si="43"/>
        <v>0</v>
      </c>
      <c r="BF46" s="420">
        <f t="shared" si="43"/>
        <v>0</v>
      </c>
      <c r="BG46" s="420">
        <f t="shared" si="43"/>
        <v>0</v>
      </c>
      <c r="BH46" s="420">
        <f t="shared" si="43"/>
        <v>0</v>
      </c>
      <c r="BI46" s="420">
        <f t="shared" si="43"/>
        <v>0</v>
      </c>
      <c r="BJ46" s="420">
        <f t="shared" si="43"/>
        <v>0</v>
      </c>
      <c r="BK46" s="420">
        <f t="shared" si="43"/>
        <v>0</v>
      </c>
      <c r="BL46" s="420">
        <f t="shared" si="43"/>
        <v>0</v>
      </c>
      <c r="BM46" s="420">
        <f t="shared" si="43"/>
        <v>0</v>
      </c>
      <c r="BN46" s="420">
        <f t="shared" si="43"/>
        <v>0</v>
      </c>
      <c r="BO46" s="420">
        <f t="shared" si="43"/>
        <v>0</v>
      </c>
      <c r="BP46" s="420">
        <f t="shared" si="43"/>
        <v>0</v>
      </c>
      <c r="BQ46" s="420">
        <f t="shared" ref="BQ46:EB46" si="44">BQ45*0.8</f>
        <v>0</v>
      </c>
      <c r="BR46" s="420">
        <f t="shared" si="44"/>
        <v>0</v>
      </c>
      <c r="BS46" s="420">
        <f t="shared" si="44"/>
        <v>0</v>
      </c>
      <c r="BT46" s="420">
        <f t="shared" si="44"/>
        <v>0</v>
      </c>
      <c r="BU46" s="420">
        <f t="shared" si="44"/>
        <v>0</v>
      </c>
      <c r="BV46" s="420">
        <f t="shared" si="44"/>
        <v>0</v>
      </c>
      <c r="BW46" s="420">
        <f t="shared" si="44"/>
        <v>0</v>
      </c>
      <c r="BX46" s="420">
        <f t="shared" si="44"/>
        <v>0</v>
      </c>
      <c r="BY46" s="420">
        <f t="shared" si="44"/>
        <v>0</v>
      </c>
      <c r="BZ46" s="420">
        <f t="shared" si="44"/>
        <v>0</v>
      </c>
      <c r="CA46" s="420">
        <f t="shared" si="44"/>
        <v>0</v>
      </c>
      <c r="CB46" s="420">
        <f t="shared" si="44"/>
        <v>0</v>
      </c>
      <c r="CC46" s="420">
        <f t="shared" si="44"/>
        <v>0</v>
      </c>
      <c r="CD46" s="420">
        <f t="shared" si="44"/>
        <v>0</v>
      </c>
      <c r="CE46" s="420">
        <f t="shared" si="44"/>
        <v>0</v>
      </c>
      <c r="CF46" s="420">
        <f t="shared" si="44"/>
        <v>0</v>
      </c>
      <c r="CG46" s="420">
        <f t="shared" si="44"/>
        <v>0</v>
      </c>
      <c r="CH46" s="420">
        <f t="shared" si="44"/>
        <v>0</v>
      </c>
      <c r="CI46" s="420">
        <f t="shared" si="44"/>
        <v>0</v>
      </c>
      <c r="CJ46" s="420">
        <f t="shared" si="44"/>
        <v>0</v>
      </c>
      <c r="CK46" s="420">
        <f t="shared" si="44"/>
        <v>0</v>
      </c>
      <c r="CL46" s="420">
        <f t="shared" si="44"/>
        <v>0</v>
      </c>
      <c r="CM46" s="420">
        <f t="shared" si="44"/>
        <v>0</v>
      </c>
      <c r="CN46" s="420">
        <f t="shared" si="44"/>
        <v>0</v>
      </c>
      <c r="CO46" s="420">
        <f t="shared" si="44"/>
        <v>0</v>
      </c>
      <c r="CP46" s="420">
        <f t="shared" si="44"/>
        <v>0</v>
      </c>
      <c r="CQ46" s="420">
        <f t="shared" si="44"/>
        <v>0</v>
      </c>
      <c r="CR46" s="420">
        <f t="shared" si="44"/>
        <v>0</v>
      </c>
      <c r="CS46" s="420">
        <f t="shared" si="44"/>
        <v>0</v>
      </c>
      <c r="CT46" s="420">
        <f t="shared" si="44"/>
        <v>0</v>
      </c>
      <c r="CU46" s="420">
        <f t="shared" si="44"/>
        <v>0</v>
      </c>
      <c r="CV46" s="420">
        <f t="shared" si="44"/>
        <v>0</v>
      </c>
      <c r="CW46" s="420">
        <f t="shared" si="44"/>
        <v>0</v>
      </c>
      <c r="CX46" s="420">
        <f t="shared" si="44"/>
        <v>0</v>
      </c>
      <c r="CY46" s="420">
        <f t="shared" si="44"/>
        <v>0</v>
      </c>
      <c r="CZ46" s="420">
        <f t="shared" si="44"/>
        <v>0</v>
      </c>
      <c r="DA46" s="420">
        <f t="shared" si="44"/>
        <v>0</v>
      </c>
      <c r="DB46" s="420">
        <f t="shared" si="44"/>
        <v>0</v>
      </c>
      <c r="DC46" s="420">
        <f t="shared" si="44"/>
        <v>0</v>
      </c>
      <c r="DD46" s="420">
        <f t="shared" si="44"/>
        <v>0</v>
      </c>
      <c r="DE46" s="420">
        <f t="shared" si="44"/>
        <v>0</v>
      </c>
      <c r="DF46" s="420">
        <f t="shared" si="44"/>
        <v>0</v>
      </c>
      <c r="DG46" s="420">
        <f t="shared" si="44"/>
        <v>0</v>
      </c>
      <c r="DH46" s="420">
        <f t="shared" si="44"/>
        <v>0</v>
      </c>
      <c r="DI46" s="420">
        <f t="shared" si="44"/>
        <v>0</v>
      </c>
      <c r="DJ46" s="420">
        <f t="shared" si="44"/>
        <v>0</v>
      </c>
      <c r="DK46" s="420">
        <f t="shared" si="44"/>
        <v>0</v>
      </c>
      <c r="DL46" s="420">
        <f t="shared" si="44"/>
        <v>0</v>
      </c>
      <c r="DM46" s="420">
        <f t="shared" si="44"/>
        <v>0</v>
      </c>
      <c r="DN46" s="420">
        <f t="shared" si="44"/>
        <v>0</v>
      </c>
      <c r="DO46" s="420">
        <f t="shared" si="44"/>
        <v>0</v>
      </c>
      <c r="DP46" s="420">
        <f t="shared" si="44"/>
        <v>0</v>
      </c>
      <c r="DQ46" s="420">
        <f t="shared" si="44"/>
        <v>0</v>
      </c>
      <c r="DR46" s="420">
        <f t="shared" si="44"/>
        <v>0</v>
      </c>
      <c r="DS46" s="420">
        <f t="shared" si="44"/>
        <v>0</v>
      </c>
      <c r="DT46" s="420">
        <f t="shared" si="44"/>
        <v>0</v>
      </c>
      <c r="DU46" s="420">
        <f t="shared" si="44"/>
        <v>0</v>
      </c>
      <c r="DV46" s="420">
        <f t="shared" si="44"/>
        <v>0</v>
      </c>
      <c r="DW46" s="420">
        <f t="shared" si="44"/>
        <v>0</v>
      </c>
      <c r="DX46" s="420">
        <f t="shared" si="44"/>
        <v>0</v>
      </c>
      <c r="DY46" s="420">
        <f t="shared" si="44"/>
        <v>0</v>
      </c>
      <c r="DZ46" s="420">
        <f t="shared" si="44"/>
        <v>0</v>
      </c>
      <c r="EA46" s="420">
        <f t="shared" si="44"/>
        <v>0</v>
      </c>
      <c r="EB46" s="420">
        <f t="shared" si="44"/>
        <v>0</v>
      </c>
      <c r="EC46" s="420">
        <f t="shared" ref="EC46:GN46" si="45">EC45*0.8</f>
        <v>0</v>
      </c>
      <c r="ED46" s="420">
        <f t="shared" si="45"/>
        <v>0</v>
      </c>
      <c r="EE46" s="420">
        <f t="shared" si="45"/>
        <v>0</v>
      </c>
      <c r="EF46" s="420">
        <f t="shared" si="45"/>
        <v>0</v>
      </c>
      <c r="EG46" s="420">
        <f t="shared" si="45"/>
        <v>0</v>
      </c>
      <c r="EH46" s="420">
        <f t="shared" si="45"/>
        <v>0</v>
      </c>
      <c r="EI46" s="420">
        <f t="shared" si="45"/>
        <v>0</v>
      </c>
      <c r="EJ46" s="420">
        <f t="shared" si="45"/>
        <v>0</v>
      </c>
      <c r="EK46" s="420">
        <f t="shared" si="45"/>
        <v>0</v>
      </c>
      <c r="EL46" s="420">
        <f t="shared" si="45"/>
        <v>0</v>
      </c>
      <c r="EM46" s="420">
        <f t="shared" si="45"/>
        <v>0</v>
      </c>
      <c r="EN46" s="420">
        <f t="shared" si="45"/>
        <v>0</v>
      </c>
      <c r="EO46" s="420">
        <f t="shared" si="45"/>
        <v>0</v>
      </c>
      <c r="EP46" s="420">
        <f t="shared" si="45"/>
        <v>0</v>
      </c>
      <c r="EQ46" s="420">
        <f t="shared" si="45"/>
        <v>0</v>
      </c>
      <c r="ER46" s="420">
        <f t="shared" si="45"/>
        <v>0</v>
      </c>
      <c r="ES46" s="420">
        <f t="shared" si="45"/>
        <v>0</v>
      </c>
      <c r="ET46" s="420">
        <f t="shared" si="45"/>
        <v>0</v>
      </c>
      <c r="EU46" s="420">
        <f t="shared" si="45"/>
        <v>0</v>
      </c>
      <c r="EV46" s="420">
        <f t="shared" si="45"/>
        <v>0</v>
      </c>
      <c r="EW46" s="420">
        <f t="shared" si="45"/>
        <v>0</v>
      </c>
      <c r="EX46" s="420">
        <f t="shared" si="45"/>
        <v>0</v>
      </c>
      <c r="EY46" s="420">
        <f t="shared" si="45"/>
        <v>0</v>
      </c>
      <c r="EZ46" s="420">
        <f t="shared" si="45"/>
        <v>0</v>
      </c>
      <c r="FA46" s="420">
        <f t="shared" si="45"/>
        <v>0</v>
      </c>
      <c r="FB46" s="420">
        <f t="shared" si="45"/>
        <v>0</v>
      </c>
      <c r="FC46" s="420">
        <f t="shared" si="45"/>
        <v>0</v>
      </c>
      <c r="FD46" s="420">
        <f t="shared" si="45"/>
        <v>0</v>
      </c>
      <c r="FE46" s="420">
        <f t="shared" si="45"/>
        <v>0</v>
      </c>
      <c r="FF46" s="420">
        <f t="shared" si="45"/>
        <v>0</v>
      </c>
      <c r="FG46" s="420">
        <f t="shared" si="45"/>
        <v>0</v>
      </c>
      <c r="FH46" s="420">
        <f t="shared" si="45"/>
        <v>0</v>
      </c>
      <c r="FI46" s="420">
        <f t="shared" si="45"/>
        <v>0</v>
      </c>
      <c r="FJ46" s="420">
        <f t="shared" si="45"/>
        <v>0</v>
      </c>
      <c r="FK46" s="420">
        <f t="shared" si="45"/>
        <v>0</v>
      </c>
      <c r="FL46" s="420">
        <f t="shared" si="45"/>
        <v>0</v>
      </c>
      <c r="FM46" s="420">
        <f t="shared" si="45"/>
        <v>0</v>
      </c>
      <c r="FN46" s="420">
        <f t="shared" si="45"/>
        <v>0</v>
      </c>
      <c r="FO46" s="420">
        <f t="shared" si="45"/>
        <v>0</v>
      </c>
      <c r="FP46" s="420">
        <f t="shared" si="45"/>
        <v>0</v>
      </c>
      <c r="FQ46" s="420">
        <f t="shared" si="45"/>
        <v>0</v>
      </c>
      <c r="FR46" s="420">
        <f t="shared" si="45"/>
        <v>0</v>
      </c>
      <c r="FS46" s="420">
        <f t="shared" si="45"/>
        <v>0</v>
      </c>
      <c r="FT46" s="420">
        <f t="shared" si="45"/>
        <v>0</v>
      </c>
      <c r="FU46" s="420">
        <f t="shared" si="45"/>
        <v>0</v>
      </c>
      <c r="FV46" s="420">
        <f t="shared" si="45"/>
        <v>0</v>
      </c>
      <c r="FW46" s="420">
        <f t="shared" si="45"/>
        <v>0</v>
      </c>
      <c r="FX46" s="420">
        <f t="shared" si="45"/>
        <v>0</v>
      </c>
      <c r="FY46" s="420">
        <f t="shared" si="45"/>
        <v>0</v>
      </c>
      <c r="FZ46" s="420">
        <f t="shared" si="45"/>
        <v>0</v>
      </c>
      <c r="GA46" s="420">
        <f t="shared" si="45"/>
        <v>0</v>
      </c>
      <c r="GB46" s="420">
        <f t="shared" si="45"/>
        <v>0</v>
      </c>
      <c r="GC46" s="420">
        <f t="shared" si="45"/>
        <v>0</v>
      </c>
      <c r="GD46" s="420">
        <f t="shared" si="45"/>
        <v>0</v>
      </c>
      <c r="GE46" s="420">
        <f t="shared" si="45"/>
        <v>0</v>
      </c>
      <c r="GF46" s="420">
        <f t="shared" si="45"/>
        <v>0</v>
      </c>
      <c r="GG46" s="420">
        <f t="shared" si="45"/>
        <v>0</v>
      </c>
      <c r="GH46" s="420">
        <f t="shared" si="45"/>
        <v>0</v>
      </c>
      <c r="GI46" s="420">
        <f t="shared" si="45"/>
        <v>0</v>
      </c>
      <c r="GJ46" s="420">
        <f t="shared" si="45"/>
        <v>0</v>
      </c>
      <c r="GK46" s="420">
        <f t="shared" si="45"/>
        <v>0</v>
      </c>
      <c r="GL46" s="420">
        <f t="shared" si="45"/>
        <v>0</v>
      </c>
      <c r="GM46" s="420">
        <f t="shared" si="45"/>
        <v>0</v>
      </c>
      <c r="GN46" s="420">
        <f t="shared" si="45"/>
        <v>0</v>
      </c>
      <c r="GO46" s="420">
        <f t="shared" ref="GO46:IZ46" si="46">GO45*0.8</f>
        <v>0</v>
      </c>
      <c r="GP46" s="420">
        <f t="shared" si="46"/>
        <v>0</v>
      </c>
      <c r="GQ46" s="420">
        <f t="shared" si="46"/>
        <v>0</v>
      </c>
      <c r="GR46" s="420">
        <f t="shared" si="46"/>
        <v>0</v>
      </c>
      <c r="GS46" s="420">
        <f t="shared" si="46"/>
        <v>0</v>
      </c>
      <c r="GT46" s="420">
        <f t="shared" si="46"/>
        <v>0</v>
      </c>
      <c r="GU46" s="420">
        <f t="shared" si="46"/>
        <v>0</v>
      </c>
      <c r="GV46" s="420">
        <f t="shared" si="46"/>
        <v>0</v>
      </c>
      <c r="GW46" s="420">
        <f t="shared" si="46"/>
        <v>0</v>
      </c>
      <c r="GX46" s="420">
        <f t="shared" si="46"/>
        <v>0</v>
      </c>
      <c r="GY46" s="420">
        <f t="shared" si="46"/>
        <v>0</v>
      </c>
      <c r="GZ46" s="420">
        <f t="shared" si="46"/>
        <v>0</v>
      </c>
      <c r="HA46" s="420">
        <f t="shared" si="46"/>
        <v>0</v>
      </c>
      <c r="HB46" s="420">
        <f t="shared" si="46"/>
        <v>0</v>
      </c>
      <c r="HC46" s="420">
        <f t="shared" si="46"/>
        <v>0</v>
      </c>
      <c r="HD46" s="420">
        <f t="shared" si="46"/>
        <v>0</v>
      </c>
      <c r="HE46" s="420">
        <f t="shared" si="46"/>
        <v>0</v>
      </c>
      <c r="HF46" s="420">
        <f t="shared" si="46"/>
        <v>0</v>
      </c>
      <c r="HG46" s="420">
        <f t="shared" si="46"/>
        <v>0</v>
      </c>
      <c r="HH46" s="420">
        <f t="shared" si="46"/>
        <v>0</v>
      </c>
      <c r="HI46" s="420">
        <f t="shared" si="46"/>
        <v>0</v>
      </c>
      <c r="HJ46" s="420">
        <f t="shared" si="46"/>
        <v>0</v>
      </c>
      <c r="HK46" s="420">
        <f t="shared" si="46"/>
        <v>0</v>
      </c>
      <c r="HL46" s="420">
        <f t="shared" si="46"/>
        <v>0</v>
      </c>
      <c r="HM46" s="420">
        <f t="shared" si="46"/>
        <v>0</v>
      </c>
      <c r="HN46" s="420">
        <f t="shared" si="46"/>
        <v>0</v>
      </c>
      <c r="HO46" s="420">
        <f t="shared" si="46"/>
        <v>0</v>
      </c>
      <c r="HP46" s="420">
        <f t="shared" si="46"/>
        <v>0</v>
      </c>
      <c r="HQ46" s="420">
        <f t="shared" si="46"/>
        <v>0</v>
      </c>
      <c r="HR46" s="420">
        <f t="shared" si="46"/>
        <v>0</v>
      </c>
      <c r="HS46" s="420">
        <f t="shared" si="46"/>
        <v>0</v>
      </c>
      <c r="HT46" s="420">
        <f t="shared" si="46"/>
        <v>0</v>
      </c>
      <c r="HU46" s="420">
        <f t="shared" si="46"/>
        <v>0</v>
      </c>
      <c r="HV46" s="420">
        <f t="shared" si="46"/>
        <v>0</v>
      </c>
      <c r="HW46" s="420">
        <f t="shared" si="46"/>
        <v>0</v>
      </c>
      <c r="HX46" s="420">
        <f t="shared" si="46"/>
        <v>0</v>
      </c>
      <c r="HY46" s="420">
        <f t="shared" si="46"/>
        <v>0</v>
      </c>
      <c r="HZ46" s="420">
        <f t="shared" si="46"/>
        <v>0</v>
      </c>
      <c r="IA46" s="420">
        <f t="shared" si="46"/>
        <v>0</v>
      </c>
      <c r="IB46" s="420">
        <f t="shared" si="46"/>
        <v>0</v>
      </c>
      <c r="IC46" s="420">
        <f t="shared" si="46"/>
        <v>0</v>
      </c>
      <c r="ID46" s="420">
        <f t="shared" si="46"/>
        <v>0</v>
      </c>
      <c r="IE46" s="420">
        <f t="shared" si="46"/>
        <v>0</v>
      </c>
      <c r="IF46" s="420">
        <f t="shared" si="46"/>
        <v>0</v>
      </c>
      <c r="IG46" s="420">
        <f t="shared" si="46"/>
        <v>0</v>
      </c>
      <c r="IH46" s="420">
        <f t="shared" si="46"/>
        <v>0</v>
      </c>
      <c r="II46" s="420">
        <f t="shared" si="46"/>
        <v>0</v>
      </c>
      <c r="IJ46" s="420">
        <f t="shared" si="46"/>
        <v>0</v>
      </c>
      <c r="IK46" s="420">
        <f t="shared" si="46"/>
        <v>0</v>
      </c>
      <c r="IL46" s="420">
        <f t="shared" si="46"/>
        <v>0</v>
      </c>
      <c r="IM46" s="420">
        <f t="shared" si="46"/>
        <v>0</v>
      </c>
      <c r="IN46" s="420">
        <f t="shared" si="46"/>
        <v>0</v>
      </c>
      <c r="IO46" s="420">
        <f t="shared" si="46"/>
        <v>0</v>
      </c>
      <c r="IP46" s="420">
        <f t="shared" si="46"/>
        <v>0</v>
      </c>
      <c r="IQ46" s="420">
        <f t="shared" si="46"/>
        <v>0</v>
      </c>
      <c r="IR46" s="420">
        <f t="shared" si="46"/>
        <v>0</v>
      </c>
      <c r="IS46" s="420">
        <f t="shared" si="46"/>
        <v>0</v>
      </c>
      <c r="IT46" s="420">
        <f t="shared" si="46"/>
        <v>0</v>
      </c>
      <c r="IU46" s="420">
        <f t="shared" si="46"/>
        <v>0</v>
      </c>
      <c r="IV46" s="420">
        <f t="shared" si="46"/>
        <v>0</v>
      </c>
      <c r="IW46" s="420">
        <f t="shared" si="46"/>
        <v>0</v>
      </c>
      <c r="IX46" s="420">
        <f t="shared" si="46"/>
        <v>0</v>
      </c>
      <c r="IY46" s="420">
        <f t="shared" si="46"/>
        <v>0</v>
      </c>
      <c r="IZ46" s="420">
        <f t="shared" si="46"/>
        <v>0</v>
      </c>
      <c r="JA46" s="420">
        <f t="shared" ref="JA46:LL46" si="47">JA45*0.8</f>
        <v>0</v>
      </c>
      <c r="JB46" s="420">
        <f t="shared" si="47"/>
        <v>0</v>
      </c>
      <c r="JC46" s="420">
        <f t="shared" si="47"/>
        <v>0</v>
      </c>
      <c r="JD46" s="420">
        <f t="shared" si="47"/>
        <v>0</v>
      </c>
      <c r="JE46" s="420">
        <f t="shared" si="47"/>
        <v>0</v>
      </c>
      <c r="JF46" s="420">
        <f t="shared" si="47"/>
        <v>0</v>
      </c>
      <c r="JG46" s="420">
        <f t="shared" si="47"/>
        <v>0</v>
      </c>
      <c r="JH46" s="420">
        <f t="shared" si="47"/>
        <v>0</v>
      </c>
      <c r="JI46" s="420">
        <f t="shared" si="47"/>
        <v>0</v>
      </c>
      <c r="JJ46" s="420">
        <f t="shared" si="47"/>
        <v>0</v>
      </c>
      <c r="JK46" s="420">
        <f t="shared" si="47"/>
        <v>0</v>
      </c>
      <c r="JL46" s="420">
        <f t="shared" si="47"/>
        <v>0</v>
      </c>
      <c r="JM46" s="420">
        <f t="shared" si="47"/>
        <v>0</v>
      </c>
      <c r="JN46" s="420">
        <f t="shared" si="47"/>
        <v>0</v>
      </c>
      <c r="JO46" s="420">
        <f t="shared" si="47"/>
        <v>0</v>
      </c>
      <c r="JP46" s="420">
        <f t="shared" si="47"/>
        <v>0</v>
      </c>
      <c r="JQ46" s="420">
        <f t="shared" si="47"/>
        <v>0</v>
      </c>
      <c r="JR46" s="420">
        <f t="shared" si="47"/>
        <v>0</v>
      </c>
      <c r="JS46" s="420">
        <f t="shared" si="47"/>
        <v>0</v>
      </c>
      <c r="JT46" s="420">
        <f t="shared" si="47"/>
        <v>0</v>
      </c>
      <c r="JU46" s="420">
        <f t="shared" si="47"/>
        <v>0</v>
      </c>
      <c r="JV46" s="420">
        <f t="shared" si="47"/>
        <v>0</v>
      </c>
      <c r="JW46" s="420">
        <f t="shared" si="47"/>
        <v>0</v>
      </c>
      <c r="JX46" s="420">
        <f t="shared" si="47"/>
        <v>0</v>
      </c>
      <c r="JY46" s="420">
        <f t="shared" si="47"/>
        <v>0</v>
      </c>
      <c r="JZ46" s="420">
        <f t="shared" si="47"/>
        <v>0</v>
      </c>
      <c r="KA46" s="420">
        <f t="shared" si="47"/>
        <v>0</v>
      </c>
      <c r="KB46" s="420">
        <f t="shared" si="47"/>
        <v>0</v>
      </c>
      <c r="KC46" s="420">
        <f t="shared" si="47"/>
        <v>0</v>
      </c>
      <c r="KD46" s="420">
        <f t="shared" si="47"/>
        <v>0</v>
      </c>
      <c r="KE46" s="420">
        <f t="shared" si="47"/>
        <v>0</v>
      </c>
      <c r="KF46" s="420">
        <f t="shared" si="47"/>
        <v>0</v>
      </c>
      <c r="KG46" s="420">
        <f t="shared" si="47"/>
        <v>0</v>
      </c>
      <c r="KH46" s="420">
        <f t="shared" si="47"/>
        <v>0</v>
      </c>
      <c r="KI46" s="420">
        <f t="shared" si="47"/>
        <v>0</v>
      </c>
      <c r="KJ46" s="420">
        <f t="shared" si="47"/>
        <v>0</v>
      </c>
      <c r="KK46" s="420">
        <f t="shared" si="47"/>
        <v>0</v>
      </c>
      <c r="KL46" s="420">
        <f t="shared" si="47"/>
        <v>0</v>
      </c>
      <c r="KM46" s="420">
        <f t="shared" si="47"/>
        <v>0</v>
      </c>
      <c r="KN46" s="420">
        <f t="shared" si="47"/>
        <v>0</v>
      </c>
      <c r="KO46" s="420">
        <f t="shared" si="47"/>
        <v>0</v>
      </c>
      <c r="KP46" s="420">
        <f t="shared" si="47"/>
        <v>0</v>
      </c>
      <c r="KQ46" s="420">
        <f t="shared" si="47"/>
        <v>0</v>
      </c>
      <c r="KR46" s="420">
        <f t="shared" si="47"/>
        <v>0</v>
      </c>
      <c r="KS46" s="420">
        <f t="shared" si="47"/>
        <v>0</v>
      </c>
      <c r="KT46" s="420">
        <f t="shared" si="47"/>
        <v>0</v>
      </c>
      <c r="KU46" s="420">
        <f t="shared" si="47"/>
        <v>0</v>
      </c>
      <c r="KV46" s="420">
        <f t="shared" si="47"/>
        <v>0</v>
      </c>
      <c r="KW46" s="420">
        <f t="shared" si="47"/>
        <v>0</v>
      </c>
      <c r="KX46" s="420">
        <f t="shared" si="47"/>
        <v>0</v>
      </c>
      <c r="KY46" s="420">
        <f t="shared" si="47"/>
        <v>0</v>
      </c>
      <c r="KZ46" s="420">
        <f t="shared" si="47"/>
        <v>0</v>
      </c>
      <c r="LA46" s="420">
        <f t="shared" si="47"/>
        <v>0</v>
      </c>
      <c r="LB46" s="420">
        <f t="shared" si="47"/>
        <v>0</v>
      </c>
      <c r="LC46" s="420">
        <f t="shared" si="47"/>
        <v>0</v>
      </c>
      <c r="LD46" s="420">
        <f t="shared" si="47"/>
        <v>0</v>
      </c>
      <c r="LE46" s="420">
        <f t="shared" si="47"/>
        <v>0</v>
      </c>
      <c r="LF46" s="420">
        <f t="shared" si="47"/>
        <v>0</v>
      </c>
      <c r="LG46" s="420">
        <f t="shared" si="47"/>
        <v>0</v>
      </c>
      <c r="LH46" s="420">
        <f t="shared" si="47"/>
        <v>0</v>
      </c>
      <c r="LI46" s="420">
        <f t="shared" si="47"/>
        <v>0</v>
      </c>
      <c r="LJ46" s="420">
        <f t="shared" si="47"/>
        <v>0</v>
      </c>
      <c r="LK46" s="420">
        <f t="shared" si="47"/>
        <v>0</v>
      </c>
      <c r="LL46" s="420">
        <f t="shared" si="47"/>
        <v>0</v>
      </c>
      <c r="LM46" s="420">
        <f t="shared" ref="LM46:NX46" si="48">LM45*0.8</f>
        <v>0</v>
      </c>
      <c r="LN46" s="420">
        <f t="shared" si="48"/>
        <v>0</v>
      </c>
      <c r="LO46" s="420">
        <f t="shared" si="48"/>
        <v>0</v>
      </c>
      <c r="LP46" s="420">
        <f t="shared" si="48"/>
        <v>0</v>
      </c>
      <c r="LQ46" s="420">
        <f t="shared" si="48"/>
        <v>0</v>
      </c>
      <c r="LR46" s="420">
        <f t="shared" si="48"/>
        <v>0</v>
      </c>
      <c r="LS46" s="420">
        <f t="shared" si="48"/>
        <v>0</v>
      </c>
      <c r="LT46" s="420">
        <f t="shared" si="48"/>
        <v>0</v>
      </c>
      <c r="LU46" s="420">
        <f t="shared" si="48"/>
        <v>0</v>
      </c>
      <c r="LV46" s="420">
        <f t="shared" si="48"/>
        <v>0</v>
      </c>
      <c r="LW46" s="420">
        <f t="shared" si="48"/>
        <v>0</v>
      </c>
      <c r="LX46" s="420">
        <f t="shared" si="48"/>
        <v>0</v>
      </c>
      <c r="LY46" s="420">
        <f t="shared" si="48"/>
        <v>0</v>
      </c>
      <c r="LZ46" s="420">
        <f t="shared" si="48"/>
        <v>0</v>
      </c>
      <c r="MA46" s="420">
        <f t="shared" si="48"/>
        <v>0</v>
      </c>
      <c r="MB46" s="420">
        <f t="shared" si="48"/>
        <v>0</v>
      </c>
      <c r="MC46" s="420">
        <f t="shared" si="48"/>
        <v>0</v>
      </c>
      <c r="MD46" s="420">
        <f t="shared" si="48"/>
        <v>0</v>
      </c>
      <c r="ME46" s="420">
        <f t="shared" si="48"/>
        <v>0</v>
      </c>
      <c r="MF46" s="420">
        <f t="shared" si="48"/>
        <v>0</v>
      </c>
      <c r="MG46" s="420">
        <f t="shared" si="48"/>
        <v>0</v>
      </c>
      <c r="MH46" s="420">
        <f t="shared" si="48"/>
        <v>0</v>
      </c>
      <c r="MI46" s="420">
        <f t="shared" si="48"/>
        <v>0</v>
      </c>
      <c r="MJ46" s="420">
        <f t="shared" si="48"/>
        <v>0</v>
      </c>
      <c r="MK46" s="420">
        <f t="shared" si="48"/>
        <v>0</v>
      </c>
      <c r="ML46" s="420">
        <f t="shared" si="48"/>
        <v>0</v>
      </c>
      <c r="MM46" s="420">
        <f t="shared" si="48"/>
        <v>0</v>
      </c>
      <c r="MN46" s="420">
        <f t="shared" si="48"/>
        <v>0</v>
      </c>
      <c r="MO46" s="420">
        <f t="shared" si="48"/>
        <v>0</v>
      </c>
      <c r="MP46" s="420">
        <f t="shared" si="48"/>
        <v>0</v>
      </c>
      <c r="MQ46" s="420">
        <f t="shared" si="48"/>
        <v>0</v>
      </c>
      <c r="MR46" s="420">
        <f t="shared" si="48"/>
        <v>0</v>
      </c>
      <c r="MS46" s="420">
        <f t="shared" si="48"/>
        <v>0</v>
      </c>
      <c r="MT46" s="420">
        <f t="shared" si="48"/>
        <v>0</v>
      </c>
      <c r="MU46" s="420">
        <f t="shared" si="48"/>
        <v>0</v>
      </c>
      <c r="MV46" s="420">
        <f t="shared" si="48"/>
        <v>0</v>
      </c>
      <c r="MW46" s="420">
        <f t="shared" si="48"/>
        <v>0</v>
      </c>
      <c r="MX46" s="420">
        <f t="shared" si="48"/>
        <v>0</v>
      </c>
      <c r="MY46" s="420">
        <f t="shared" si="48"/>
        <v>0</v>
      </c>
      <c r="MZ46" s="420">
        <f t="shared" si="48"/>
        <v>0</v>
      </c>
      <c r="NA46" s="420">
        <f t="shared" si="48"/>
        <v>0</v>
      </c>
      <c r="NB46" s="420">
        <f t="shared" si="48"/>
        <v>0</v>
      </c>
      <c r="NC46" s="420">
        <f t="shared" si="48"/>
        <v>0</v>
      </c>
      <c r="ND46" s="420">
        <f t="shared" si="48"/>
        <v>0</v>
      </c>
      <c r="NE46" s="420">
        <f t="shared" si="48"/>
        <v>0</v>
      </c>
      <c r="NF46" s="420">
        <f t="shared" si="48"/>
        <v>0</v>
      </c>
      <c r="NG46" s="420">
        <f t="shared" si="48"/>
        <v>0</v>
      </c>
      <c r="NH46" s="420">
        <f t="shared" si="48"/>
        <v>0</v>
      </c>
      <c r="NI46" s="420">
        <f t="shared" si="48"/>
        <v>0</v>
      </c>
      <c r="NJ46" s="420">
        <f t="shared" si="48"/>
        <v>0</v>
      </c>
      <c r="NK46" s="420">
        <f t="shared" si="48"/>
        <v>0</v>
      </c>
      <c r="NL46" s="420">
        <f t="shared" si="48"/>
        <v>0</v>
      </c>
      <c r="NM46" s="420">
        <f t="shared" si="48"/>
        <v>0</v>
      </c>
      <c r="NN46" s="420">
        <f t="shared" si="48"/>
        <v>0</v>
      </c>
      <c r="NO46" s="420">
        <f t="shared" si="48"/>
        <v>0</v>
      </c>
      <c r="NP46" s="420">
        <f t="shared" si="48"/>
        <v>0</v>
      </c>
      <c r="NQ46" s="420">
        <f t="shared" si="48"/>
        <v>0</v>
      </c>
      <c r="NR46" s="420">
        <f t="shared" si="48"/>
        <v>0</v>
      </c>
      <c r="NS46" s="420">
        <f t="shared" si="48"/>
        <v>0</v>
      </c>
      <c r="NT46" s="420">
        <f t="shared" si="48"/>
        <v>0</v>
      </c>
      <c r="NU46" s="420">
        <f t="shared" si="48"/>
        <v>0</v>
      </c>
      <c r="NV46" s="420">
        <f t="shared" si="48"/>
        <v>0</v>
      </c>
      <c r="NW46" s="420">
        <f t="shared" si="48"/>
        <v>0</v>
      </c>
      <c r="NX46" s="420">
        <f t="shared" si="48"/>
        <v>0</v>
      </c>
      <c r="NY46" s="420">
        <f t="shared" ref="NY46:QJ46" si="49">NY45*0.8</f>
        <v>0</v>
      </c>
      <c r="NZ46" s="420">
        <f t="shared" si="49"/>
        <v>0</v>
      </c>
      <c r="OA46" s="420">
        <f t="shared" si="49"/>
        <v>0</v>
      </c>
      <c r="OB46" s="420">
        <f t="shared" si="49"/>
        <v>0</v>
      </c>
      <c r="OC46" s="420">
        <f t="shared" si="49"/>
        <v>0</v>
      </c>
      <c r="OD46" s="420">
        <f t="shared" si="49"/>
        <v>0</v>
      </c>
      <c r="OE46" s="420">
        <f t="shared" si="49"/>
        <v>0</v>
      </c>
      <c r="OF46" s="420">
        <f t="shared" si="49"/>
        <v>0</v>
      </c>
      <c r="OG46" s="420">
        <f t="shared" si="49"/>
        <v>0</v>
      </c>
      <c r="OH46" s="420">
        <f t="shared" si="49"/>
        <v>0</v>
      </c>
      <c r="OI46" s="420">
        <f t="shared" si="49"/>
        <v>0</v>
      </c>
      <c r="OJ46" s="420">
        <f t="shared" si="49"/>
        <v>0</v>
      </c>
      <c r="OK46" s="420">
        <f t="shared" si="49"/>
        <v>0</v>
      </c>
      <c r="OL46" s="420">
        <f t="shared" si="49"/>
        <v>0</v>
      </c>
      <c r="OM46" s="420">
        <f t="shared" si="49"/>
        <v>0</v>
      </c>
      <c r="ON46" s="420">
        <f t="shared" si="49"/>
        <v>0</v>
      </c>
      <c r="OO46" s="420">
        <f t="shared" si="49"/>
        <v>0</v>
      </c>
      <c r="OP46" s="420">
        <f t="shared" si="49"/>
        <v>0</v>
      </c>
      <c r="OQ46" s="420">
        <f t="shared" si="49"/>
        <v>0</v>
      </c>
      <c r="OR46" s="420">
        <f t="shared" si="49"/>
        <v>0</v>
      </c>
      <c r="OS46" s="420">
        <f t="shared" si="49"/>
        <v>0</v>
      </c>
      <c r="OT46" s="420">
        <f t="shared" si="49"/>
        <v>0</v>
      </c>
      <c r="OU46" s="420">
        <f t="shared" si="49"/>
        <v>0</v>
      </c>
      <c r="OV46" s="420">
        <f t="shared" si="49"/>
        <v>0</v>
      </c>
      <c r="OW46" s="420">
        <f t="shared" si="49"/>
        <v>0</v>
      </c>
      <c r="OX46" s="420">
        <f t="shared" si="49"/>
        <v>0</v>
      </c>
      <c r="OY46" s="420">
        <f t="shared" si="49"/>
        <v>0</v>
      </c>
      <c r="OZ46" s="420">
        <f t="shared" si="49"/>
        <v>0</v>
      </c>
      <c r="PA46" s="420">
        <f t="shared" si="49"/>
        <v>0</v>
      </c>
      <c r="PB46" s="420">
        <f t="shared" si="49"/>
        <v>0</v>
      </c>
      <c r="PC46" s="420">
        <f t="shared" si="49"/>
        <v>0</v>
      </c>
      <c r="PD46" s="420">
        <f t="shared" si="49"/>
        <v>0</v>
      </c>
      <c r="PE46" s="420">
        <f t="shared" si="49"/>
        <v>0</v>
      </c>
      <c r="PF46" s="420">
        <f t="shared" si="49"/>
        <v>0</v>
      </c>
      <c r="PG46" s="420">
        <f t="shared" si="49"/>
        <v>0</v>
      </c>
      <c r="PH46" s="420">
        <f t="shared" si="49"/>
        <v>0</v>
      </c>
      <c r="PI46" s="420">
        <f t="shared" si="49"/>
        <v>0</v>
      </c>
      <c r="PJ46" s="420">
        <f t="shared" si="49"/>
        <v>0</v>
      </c>
      <c r="PK46" s="420">
        <f t="shared" si="49"/>
        <v>0</v>
      </c>
      <c r="PL46" s="420">
        <f t="shared" si="49"/>
        <v>0</v>
      </c>
      <c r="PM46" s="420">
        <f t="shared" si="49"/>
        <v>0</v>
      </c>
      <c r="PN46" s="420">
        <f t="shared" si="49"/>
        <v>0</v>
      </c>
      <c r="PO46" s="420">
        <f t="shared" si="49"/>
        <v>0</v>
      </c>
      <c r="PP46" s="420">
        <f t="shared" si="49"/>
        <v>0</v>
      </c>
      <c r="PQ46" s="420">
        <f t="shared" si="49"/>
        <v>0</v>
      </c>
      <c r="PR46" s="420">
        <f t="shared" si="49"/>
        <v>0</v>
      </c>
      <c r="PS46" s="420">
        <f t="shared" si="49"/>
        <v>0</v>
      </c>
      <c r="PT46" s="420">
        <f t="shared" si="49"/>
        <v>0</v>
      </c>
      <c r="PU46" s="420">
        <f t="shared" si="49"/>
        <v>0</v>
      </c>
      <c r="PV46" s="420">
        <f t="shared" si="49"/>
        <v>0</v>
      </c>
      <c r="PW46" s="420">
        <f t="shared" si="49"/>
        <v>0</v>
      </c>
      <c r="PX46" s="420">
        <f t="shared" si="49"/>
        <v>0</v>
      </c>
      <c r="PY46" s="420">
        <f t="shared" si="49"/>
        <v>0</v>
      </c>
      <c r="PZ46" s="420">
        <f t="shared" si="49"/>
        <v>0</v>
      </c>
      <c r="QA46" s="420">
        <f t="shared" si="49"/>
        <v>0</v>
      </c>
      <c r="QB46" s="420">
        <f t="shared" si="49"/>
        <v>0</v>
      </c>
      <c r="QC46" s="420">
        <f t="shared" si="49"/>
        <v>0</v>
      </c>
      <c r="QD46" s="420">
        <f t="shared" si="49"/>
        <v>0</v>
      </c>
      <c r="QE46" s="420">
        <f t="shared" si="49"/>
        <v>0</v>
      </c>
      <c r="QF46" s="420">
        <f t="shared" si="49"/>
        <v>0</v>
      </c>
      <c r="QG46" s="420">
        <f t="shared" si="49"/>
        <v>0</v>
      </c>
      <c r="QH46" s="420">
        <f t="shared" si="49"/>
        <v>0</v>
      </c>
      <c r="QI46" s="420">
        <f t="shared" si="49"/>
        <v>0</v>
      </c>
      <c r="QJ46" s="420">
        <f t="shared" si="49"/>
        <v>0</v>
      </c>
      <c r="QK46" s="420">
        <f t="shared" ref="QK46:SV46" si="50">QK45*0.8</f>
        <v>0</v>
      </c>
      <c r="QL46" s="420">
        <f t="shared" si="50"/>
        <v>0</v>
      </c>
      <c r="QM46" s="420">
        <f t="shared" si="50"/>
        <v>0</v>
      </c>
      <c r="QN46" s="420">
        <f t="shared" si="50"/>
        <v>0</v>
      </c>
      <c r="QO46" s="420">
        <f t="shared" si="50"/>
        <v>0</v>
      </c>
      <c r="QP46" s="420">
        <f t="shared" si="50"/>
        <v>0</v>
      </c>
      <c r="QQ46" s="420">
        <f t="shared" si="50"/>
        <v>0</v>
      </c>
      <c r="QR46" s="420">
        <f t="shared" si="50"/>
        <v>0</v>
      </c>
      <c r="QS46" s="420">
        <f t="shared" si="50"/>
        <v>0</v>
      </c>
      <c r="QT46" s="420">
        <f t="shared" si="50"/>
        <v>0</v>
      </c>
      <c r="QU46" s="420">
        <f t="shared" si="50"/>
        <v>0</v>
      </c>
      <c r="QV46" s="420">
        <f t="shared" si="50"/>
        <v>0</v>
      </c>
      <c r="QW46" s="420">
        <f t="shared" si="50"/>
        <v>0</v>
      </c>
      <c r="QX46" s="420">
        <f t="shared" si="50"/>
        <v>0</v>
      </c>
      <c r="QY46" s="420">
        <f t="shared" si="50"/>
        <v>0</v>
      </c>
      <c r="QZ46" s="420">
        <f t="shared" si="50"/>
        <v>0</v>
      </c>
      <c r="RA46" s="420">
        <f t="shared" si="50"/>
        <v>0</v>
      </c>
      <c r="RB46" s="420">
        <f t="shared" si="50"/>
        <v>0</v>
      </c>
      <c r="RC46" s="420">
        <f t="shared" si="50"/>
        <v>0</v>
      </c>
      <c r="RD46" s="420">
        <f t="shared" si="50"/>
        <v>0</v>
      </c>
      <c r="RE46" s="420">
        <f t="shared" si="50"/>
        <v>0</v>
      </c>
      <c r="RF46" s="420">
        <f t="shared" si="50"/>
        <v>0</v>
      </c>
      <c r="RG46" s="420">
        <f t="shared" si="50"/>
        <v>0</v>
      </c>
      <c r="RH46" s="420">
        <f t="shared" si="50"/>
        <v>0</v>
      </c>
      <c r="RI46" s="420">
        <f t="shared" si="50"/>
        <v>0</v>
      </c>
      <c r="RJ46" s="420">
        <f t="shared" si="50"/>
        <v>0</v>
      </c>
      <c r="RK46" s="420">
        <f t="shared" si="50"/>
        <v>0</v>
      </c>
      <c r="RL46" s="420">
        <f t="shared" si="50"/>
        <v>0</v>
      </c>
      <c r="RM46" s="420">
        <f t="shared" si="50"/>
        <v>0</v>
      </c>
      <c r="RN46" s="420">
        <f t="shared" si="50"/>
        <v>0</v>
      </c>
      <c r="RO46" s="420">
        <f t="shared" si="50"/>
        <v>0</v>
      </c>
      <c r="RP46" s="420">
        <f t="shared" si="50"/>
        <v>0</v>
      </c>
      <c r="RQ46" s="420">
        <f t="shared" si="50"/>
        <v>0</v>
      </c>
      <c r="RR46" s="420">
        <f t="shared" si="50"/>
        <v>0</v>
      </c>
      <c r="RS46" s="420">
        <f t="shared" si="50"/>
        <v>0</v>
      </c>
      <c r="RT46" s="420">
        <f t="shared" si="50"/>
        <v>0</v>
      </c>
      <c r="RU46" s="420">
        <f t="shared" si="50"/>
        <v>0</v>
      </c>
      <c r="RV46" s="420">
        <f t="shared" si="50"/>
        <v>0</v>
      </c>
      <c r="RW46" s="420">
        <f t="shared" si="50"/>
        <v>0</v>
      </c>
      <c r="RX46" s="420">
        <f t="shared" si="50"/>
        <v>0</v>
      </c>
      <c r="RY46" s="420">
        <f t="shared" si="50"/>
        <v>0</v>
      </c>
      <c r="RZ46" s="420">
        <f t="shared" si="50"/>
        <v>0</v>
      </c>
      <c r="SA46" s="420">
        <f t="shared" si="50"/>
        <v>0</v>
      </c>
      <c r="SB46" s="420">
        <f t="shared" si="50"/>
        <v>0</v>
      </c>
      <c r="SC46" s="420">
        <f t="shared" si="50"/>
        <v>0</v>
      </c>
      <c r="SD46" s="420">
        <f t="shared" si="50"/>
        <v>0</v>
      </c>
      <c r="SE46" s="420">
        <f t="shared" si="50"/>
        <v>0</v>
      </c>
      <c r="SF46" s="420">
        <f t="shared" si="50"/>
        <v>0</v>
      </c>
      <c r="SG46" s="420">
        <f t="shared" si="50"/>
        <v>0</v>
      </c>
      <c r="SH46" s="420">
        <f t="shared" si="50"/>
        <v>0</v>
      </c>
      <c r="SI46" s="420">
        <f t="shared" si="50"/>
        <v>0</v>
      </c>
      <c r="SJ46" s="420">
        <f t="shared" si="50"/>
        <v>0</v>
      </c>
      <c r="SK46" s="420">
        <f t="shared" si="50"/>
        <v>0</v>
      </c>
      <c r="SL46" s="420">
        <f t="shared" si="50"/>
        <v>0</v>
      </c>
      <c r="SM46" s="420">
        <f t="shared" si="50"/>
        <v>0</v>
      </c>
      <c r="SN46" s="420">
        <f t="shared" si="50"/>
        <v>0</v>
      </c>
      <c r="SO46" s="420">
        <f t="shared" si="50"/>
        <v>0</v>
      </c>
      <c r="SP46" s="420">
        <f t="shared" si="50"/>
        <v>0</v>
      </c>
      <c r="SQ46" s="420">
        <f t="shared" si="50"/>
        <v>0</v>
      </c>
      <c r="SR46" s="420">
        <f t="shared" si="50"/>
        <v>0</v>
      </c>
      <c r="SS46" s="420">
        <f t="shared" si="50"/>
        <v>0</v>
      </c>
      <c r="ST46" s="420">
        <f t="shared" si="50"/>
        <v>0</v>
      </c>
      <c r="SU46" s="420">
        <f t="shared" si="50"/>
        <v>0</v>
      </c>
      <c r="SV46" s="420">
        <f t="shared" si="50"/>
        <v>0</v>
      </c>
      <c r="SW46" s="420">
        <f t="shared" ref="SW46:VH46" si="51">SW45*0.8</f>
        <v>0</v>
      </c>
      <c r="SX46" s="420">
        <f t="shared" si="51"/>
        <v>0</v>
      </c>
      <c r="SY46" s="420">
        <f t="shared" si="51"/>
        <v>0</v>
      </c>
      <c r="SZ46" s="420">
        <f t="shared" si="51"/>
        <v>0</v>
      </c>
      <c r="TA46" s="420">
        <f t="shared" si="51"/>
        <v>0</v>
      </c>
      <c r="TB46" s="420">
        <f t="shared" si="51"/>
        <v>0</v>
      </c>
      <c r="TC46" s="420">
        <f t="shared" si="51"/>
        <v>0</v>
      </c>
      <c r="TD46" s="420">
        <f t="shared" si="51"/>
        <v>0</v>
      </c>
      <c r="TE46" s="420">
        <f t="shared" si="51"/>
        <v>0</v>
      </c>
      <c r="TF46" s="420">
        <f t="shared" si="51"/>
        <v>0</v>
      </c>
      <c r="TG46" s="420">
        <f t="shared" si="51"/>
        <v>0</v>
      </c>
      <c r="TH46" s="420">
        <f t="shared" si="51"/>
        <v>0</v>
      </c>
      <c r="TI46" s="420">
        <f t="shared" si="51"/>
        <v>0</v>
      </c>
      <c r="TJ46" s="420">
        <f t="shared" si="51"/>
        <v>0</v>
      </c>
      <c r="TK46" s="420">
        <f t="shared" si="51"/>
        <v>0</v>
      </c>
      <c r="TL46" s="420">
        <f t="shared" si="51"/>
        <v>0</v>
      </c>
      <c r="TM46" s="420">
        <f t="shared" si="51"/>
        <v>0</v>
      </c>
      <c r="TN46" s="420">
        <f t="shared" si="51"/>
        <v>0</v>
      </c>
      <c r="TO46" s="420">
        <f t="shared" si="51"/>
        <v>0</v>
      </c>
      <c r="TP46" s="420">
        <f t="shared" si="51"/>
        <v>0</v>
      </c>
      <c r="TQ46" s="420">
        <f t="shared" si="51"/>
        <v>0</v>
      </c>
      <c r="TR46" s="420">
        <f t="shared" si="51"/>
        <v>0</v>
      </c>
      <c r="TS46" s="420">
        <f t="shared" si="51"/>
        <v>0</v>
      </c>
      <c r="TT46" s="420">
        <f t="shared" si="51"/>
        <v>0</v>
      </c>
      <c r="TU46" s="420">
        <f t="shared" si="51"/>
        <v>0</v>
      </c>
      <c r="TV46" s="420">
        <f t="shared" si="51"/>
        <v>0</v>
      </c>
      <c r="TW46" s="420">
        <f t="shared" si="51"/>
        <v>0</v>
      </c>
      <c r="TX46" s="420">
        <f t="shared" si="51"/>
        <v>0</v>
      </c>
      <c r="TY46" s="420">
        <f t="shared" si="51"/>
        <v>0</v>
      </c>
      <c r="TZ46" s="420">
        <f t="shared" si="51"/>
        <v>0</v>
      </c>
      <c r="UA46" s="420">
        <f t="shared" si="51"/>
        <v>0</v>
      </c>
      <c r="UB46" s="420">
        <f t="shared" si="51"/>
        <v>0</v>
      </c>
      <c r="UC46" s="420">
        <f t="shared" si="51"/>
        <v>0</v>
      </c>
      <c r="UD46" s="420">
        <f t="shared" si="51"/>
        <v>0</v>
      </c>
      <c r="UE46" s="420">
        <f t="shared" si="51"/>
        <v>0</v>
      </c>
      <c r="UF46" s="420">
        <f t="shared" si="51"/>
        <v>0</v>
      </c>
      <c r="UG46" s="420">
        <f t="shared" si="51"/>
        <v>0</v>
      </c>
      <c r="UH46" s="420">
        <f t="shared" si="51"/>
        <v>0</v>
      </c>
      <c r="UI46" s="420">
        <f t="shared" si="51"/>
        <v>0</v>
      </c>
      <c r="UJ46" s="420">
        <f t="shared" si="51"/>
        <v>0</v>
      </c>
      <c r="UK46" s="420">
        <f t="shared" si="51"/>
        <v>0</v>
      </c>
      <c r="UL46" s="420">
        <f t="shared" si="51"/>
        <v>0</v>
      </c>
      <c r="UM46" s="420">
        <f t="shared" si="51"/>
        <v>0</v>
      </c>
      <c r="UN46" s="420">
        <f t="shared" si="51"/>
        <v>0</v>
      </c>
      <c r="UO46" s="420">
        <f t="shared" si="51"/>
        <v>0</v>
      </c>
      <c r="UP46" s="420">
        <f t="shared" si="51"/>
        <v>0</v>
      </c>
      <c r="UQ46" s="420">
        <f t="shared" si="51"/>
        <v>0</v>
      </c>
      <c r="UR46" s="420">
        <f t="shared" si="51"/>
        <v>0</v>
      </c>
      <c r="US46" s="420">
        <f t="shared" si="51"/>
        <v>0</v>
      </c>
      <c r="UT46" s="420">
        <f t="shared" si="51"/>
        <v>0</v>
      </c>
      <c r="UU46" s="420">
        <f t="shared" si="51"/>
        <v>0</v>
      </c>
      <c r="UV46" s="420">
        <f t="shared" si="51"/>
        <v>0</v>
      </c>
      <c r="UW46" s="420">
        <f t="shared" si="51"/>
        <v>0</v>
      </c>
      <c r="UX46" s="420">
        <f t="shared" si="51"/>
        <v>0</v>
      </c>
      <c r="UY46" s="420">
        <f t="shared" si="51"/>
        <v>0</v>
      </c>
      <c r="UZ46" s="420">
        <f t="shared" si="51"/>
        <v>0</v>
      </c>
      <c r="VA46" s="420">
        <f t="shared" si="51"/>
        <v>0</v>
      </c>
      <c r="VB46" s="420">
        <f t="shared" si="51"/>
        <v>0</v>
      </c>
      <c r="VC46" s="420">
        <f t="shared" si="51"/>
        <v>0</v>
      </c>
      <c r="VD46" s="420">
        <f t="shared" si="51"/>
        <v>0</v>
      </c>
      <c r="VE46" s="420">
        <f t="shared" si="51"/>
        <v>0</v>
      </c>
      <c r="VF46" s="420">
        <f t="shared" si="51"/>
        <v>0</v>
      </c>
      <c r="VG46" s="420">
        <f t="shared" si="51"/>
        <v>0</v>
      </c>
      <c r="VH46" s="420">
        <f t="shared" si="51"/>
        <v>0</v>
      </c>
      <c r="VI46" s="420">
        <f t="shared" ref="VI46:XT46" si="52">VI45*0.8</f>
        <v>0</v>
      </c>
      <c r="VJ46" s="420">
        <f t="shared" si="52"/>
        <v>0</v>
      </c>
      <c r="VK46" s="420">
        <f t="shared" si="52"/>
        <v>0</v>
      </c>
      <c r="VL46" s="420">
        <f t="shared" si="52"/>
        <v>0</v>
      </c>
      <c r="VM46" s="420">
        <f t="shared" si="52"/>
        <v>0</v>
      </c>
      <c r="VN46" s="420">
        <f t="shared" si="52"/>
        <v>0</v>
      </c>
      <c r="VO46" s="420">
        <f t="shared" si="52"/>
        <v>0</v>
      </c>
      <c r="VP46" s="420">
        <f t="shared" si="52"/>
        <v>0</v>
      </c>
      <c r="VQ46" s="420">
        <f t="shared" si="52"/>
        <v>0</v>
      </c>
      <c r="VR46" s="420">
        <f t="shared" si="52"/>
        <v>0</v>
      </c>
      <c r="VS46" s="420">
        <f t="shared" si="52"/>
        <v>0</v>
      </c>
      <c r="VT46" s="420">
        <f t="shared" si="52"/>
        <v>0</v>
      </c>
      <c r="VU46" s="420">
        <f t="shared" si="52"/>
        <v>0</v>
      </c>
      <c r="VV46" s="420">
        <f t="shared" si="52"/>
        <v>0</v>
      </c>
      <c r="VW46" s="420">
        <f t="shared" si="52"/>
        <v>0</v>
      </c>
      <c r="VX46" s="420">
        <f t="shared" si="52"/>
        <v>0</v>
      </c>
      <c r="VY46" s="420">
        <f t="shared" si="52"/>
        <v>0</v>
      </c>
      <c r="VZ46" s="420">
        <f t="shared" si="52"/>
        <v>0</v>
      </c>
      <c r="WA46" s="420">
        <f t="shared" si="52"/>
        <v>0</v>
      </c>
      <c r="WB46" s="420">
        <f t="shared" si="52"/>
        <v>0</v>
      </c>
      <c r="WC46" s="420">
        <f t="shared" si="52"/>
        <v>0</v>
      </c>
      <c r="WD46" s="420">
        <f t="shared" si="52"/>
        <v>0</v>
      </c>
      <c r="WE46" s="420">
        <f t="shared" si="52"/>
        <v>0</v>
      </c>
      <c r="WF46" s="420">
        <f t="shared" si="52"/>
        <v>0</v>
      </c>
      <c r="WG46" s="420">
        <f t="shared" si="52"/>
        <v>0</v>
      </c>
      <c r="WH46" s="420">
        <f t="shared" si="52"/>
        <v>0</v>
      </c>
      <c r="WI46" s="420">
        <f t="shared" si="52"/>
        <v>0</v>
      </c>
      <c r="WJ46" s="420">
        <f t="shared" si="52"/>
        <v>0</v>
      </c>
      <c r="WK46" s="420">
        <f t="shared" si="52"/>
        <v>0</v>
      </c>
      <c r="WL46" s="420">
        <f t="shared" si="52"/>
        <v>0</v>
      </c>
      <c r="WM46" s="420">
        <f t="shared" si="52"/>
        <v>0</v>
      </c>
      <c r="WN46" s="420">
        <f t="shared" si="52"/>
        <v>0</v>
      </c>
      <c r="WO46" s="420">
        <f t="shared" si="52"/>
        <v>0</v>
      </c>
      <c r="WP46" s="420">
        <f t="shared" si="52"/>
        <v>0</v>
      </c>
      <c r="WQ46" s="420">
        <f t="shared" si="52"/>
        <v>0</v>
      </c>
      <c r="WR46" s="420">
        <f t="shared" si="52"/>
        <v>0</v>
      </c>
      <c r="WS46" s="420">
        <f t="shared" si="52"/>
        <v>0</v>
      </c>
      <c r="WT46" s="420">
        <f t="shared" si="52"/>
        <v>0</v>
      </c>
      <c r="WU46" s="420">
        <f t="shared" si="52"/>
        <v>0</v>
      </c>
      <c r="WV46" s="420">
        <f t="shared" si="52"/>
        <v>0</v>
      </c>
      <c r="WW46" s="420">
        <f t="shared" si="52"/>
        <v>0</v>
      </c>
      <c r="WX46" s="420">
        <f t="shared" si="52"/>
        <v>0</v>
      </c>
      <c r="WY46" s="420">
        <f t="shared" si="52"/>
        <v>0</v>
      </c>
      <c r="WZ46" s="420">
        <f t="shared" si="52"/>
        <v>0</v>
      </c>
      <c r="XA46" s="420">
        <f t="shared" si="52"/>
        <v>0</v>
      </c>
      <c r="XB46" s="420">
        <f t="shared" si="52"/>
        <v>0</v>
      </c>
      <c r="XC46" s="420">
        <f t="shared" si="52"/>
        <v>0</v>
      </c>
      <c r="XD46" s="420">
        <f t="shared" si="52"/>
        <v>0</v>
      </c>
      <c r="XE46" s="420">
        <f t="shared" si="52"/>
        <v>0</v>
      </c>
      <c r="XF46" s="420">
        <f t="shared" si="52"/>
        <v>0</v>
      </c>
      <c r="XG46" s="420">
        <f t="shared" si="52"/>
        <v>0</v>
      </c>
      <c r="XH46" s="420">
        <f t="shared" si="52"/>
        <v>0</v>
      </c>
      <c r="XI46" s="420">
        <f t="shared" si="52"/>
        <v>0</v>
      </c>
      <c r="XJ46" s="420">
        <f t="shared" si="52"/>
        <v>0</v>
      </c>
      <c r="XK46" s="420">
        <f t="shared" si="52"/>
        <v>0</v>
      </c>
      <c r="XL46" s="420">
        <f t="shared" si="52"/>
        <v>0</v>
      </c>
      <c r="XM46" s="420">
        <f t="shared" si="52"/>
        <v>0</v>
      </c>
      <c r="XN46" s="420">
        <f t="shared" si="52"/>
        <v>0</v>
      </c>
      <c r="XO46" s="420">
        <f t="shared" si="52"/>
        <v>0</v>
      </c>
      <c r="XP46" s="420">
        <f t="shared" si="52"/>
        <v>0</v>
      </c>
      <c r="XQ46" s="420">
        <f t="shared" si="52"/>
        <v>0</v>
      </c>
      <c r="XR46" s="420">
        <f t="shared" si="52"/>
        <v>0</v>
      </c>
      <c r="XS46" s="420">
        <f t="shared" si="52"/>
        <v>0</v>
      </c>
      <c r="XT46" s="420">
        <f t="shared" si="52"/>
        <v>0</v>
      </c>
      <c r="XU46" s="420">
        <f t="shared" ref="XU46:AAF46" si="53">XU45*0.8</f>
        <v>0</v>
      </c>
      <c r="XV46" s="420">
        <f t="shared" si="53"/>
        <v>0</v>
      </c>
      <c r="XW46" s="420">
        <f t="shared" si="53"/>
        <v>0</v>
      </c>
      <c r="XX46" s="420">
        <f t="shared" si="53"/>
        <v>0</v>
      </c>
      <c r="XY46" s="420">
        <f t="shared" si="53"/>
        <v>0</v>
      </c>
      <c r="XZ46" s="420">
        <f t="shared" si="53"/>
        <v>0</v>
      </c>
      <c r="YA46" s="420">
        <f t="shared" si="53"/>
        <v>0</v>
      </c>
      <c r="YB46" s="420">
        <f t="shared" si="53"/>
        <v>0</v>
      </c>
      <c r="YC46" s="420">
        <f t="shared" si="53"/>
        <v>0</v>
      </c>
      <c r="YD46" s="420">
        <f t="shared" si="53"/>
        <v>0</v>
      </c>
      <c r="YE46" s="420">
        <f t="shared" si="53"/>
        <v>0</v>
      </c>
      <c r="YF46" s="420">
        <f t="shared" si="53"/>
        <v>0</v>
      </c>
      <c r="YG46" s="420">
        <f t="shared" si="53"/>
        <v>0</v>
      </c>
      <c r="YH46" s="420">
        <f t="shared" si="53"/>
        <v>0</v>
      </c>
      <c r="YI46" s="420">
        <f t="shared" si="53"/>
        <v>0</v>
      </c>
      <c r="YJ46" s="420">
        <f t="shared" si="53"/>
        <v>0</v>
      </c>
      <c r="YK46" s="420">
        <f t="shared" si="53"/>
        <v>0</v>
      </c>
      <c r="YL46" s="420">
        <f t="shared" si="53"/>
        <v>0</v>
      </c>
      <c r="YM46" s="420">
        <f t="shared" si="53"/>
        <v>0</v>
      </c>
      <c r="YN46" s="420">
        <f t="shared" si="53"/>
        <v>0</v>
      </c>
      <c r="YO46" s="420">
        <f t="shared" si="53"/>
        <v>0</v>
      </c>
      <c r="YP46" s="420">
        <f t="shared" si="53"/>
        <v>0</v>
      </c>
      <c r="YQ46" s="420">
        <f t="shared" si="53"/>
        <v>0</v>
      </c>
      <c r="YR46" s="420">
        <f t="shared" si="53"/>
        <v>0</v>
      </c>
      <c r="YS46" s="420">
        <f t="shared" si="53"/>
        <v>0</v>
      </c>
      <c r="YT46" s="420">
        <f t="shared" si="53"/>
        <v>0</v>
      </c>
      <c r="YU46" s="420">
        <f t="shared" si="53"/>
        <v>0</v>
      </c>
      <c r="YV46" s="420">
        <f t="shared" si="53"/>
        <v>0</v>
      </c>
      <c r="YW46" s="420">
        <f t="shared" si="53"/>
        <v>0</v>
      </c>
      <c r="YX46" s="420">
        <f t="shared" si="53"/>
        <v>0</v>
      </c>
      <c r="YY46" s="420">
        <f t="shared" si="53"/>
        <v>0</v>
      </c>
      <c r="YZ46" s="420">
        <f t="shared" si="53"/>
        <v>0</v>
      </c>
      <c r="ZA46" s="420">
        <f t="shared" si="53"/>
        <v>0</v>
      </c>
      <c r="ZB46" s="420">
        <f t="shared" si="53"/>
        <v>0</v>
      </c>
      <c r="ZC46" s="420">
        <f t="shared" si="53"/>
        <v>0</v>
      </c>
      <c r="ZD46" s="420">
        <f t="shared" si="53"/>
        <v>0</v>
      </c>
      <c r="ZE46" s="420">
        <f t="shared" si="53"/>
        <v>0</v>
      </c>
      <c r="ZF46" s="420">
        <f t="shared" si="53"/>
        <v>0</v>
      </c>
      <c r="ZG46" s="420">
        <f t="shared" si="53"/>
        <v>0</v>
      </c>
      <c r="ZH46" s="420">
        <f t="shared" si="53"/>
        <v>0</v>
      </c>
      <c r="ZI46" s="420">
        <f t="shared" si="53"/>
        <v>0</v>
      </c>
      <c r="ZJ46" s="420">
        <f t="shared" si="53"/>
        <v>0</v>
      </c>
      <c r="ZK46" s="420">
        <f t="shared" si="53"/>
        <v>0</v>
      </c>
      <c r="ZL46" s="420">
        <f t="shared" si="53"/>
        <v>0</v>
      </c>
      <c r="ZM46" s="420">
        <f t="shared" si="53"/>
        <v>0</v>
      </c>
      <c r="ZN46" s="420">
        <f t="shared" si="53"/>
        <v>0</v>
      </c>
      <c r="ZO46" s="420">
        <f t="shared" si="53"/>
        <v>0</v>
      </c>
      <c r="ZP46" s="420">
        <f t="shared" si="53"/>
        <v>0</v>
      </c>
      <c r="ZQ46" s="420">
        <f t="shared" si="53"/>
        <v>0</v>
      </c>
      <c r="ZR46" s="420">
        <f t="shared" si="53"/>
        <v>0</v>
      </c>
      <c r="ZS46" s="420">
        <f t="shared" si="53"/>
        <v>0</v>
      </c>
      <c r="ZT46" s="420">
        <f t="shared" si="53"/>
        <v>0</v>
      </c>
      <c r="ZU46" s="420">
        <f t="shared" si="53"/>
        <v>0</v>
      </c>
      <c r="ZV46" s="420">
        <f t="shared" si="53"/>
        <v>0</v>
      </c>
      <c r="ZW46" s="420">
        <f t="shared" si="53"/>
        <v>0</v>
      </c>
      <c r="ZX46" s="420">
        <f t="shared" si="53"/>
        <v>0</v>
      </c>
      <c r="ZY46" s="420">
        <f t="shared" si="53"/>
        <v>0</v>
      </c>
      <c r="ZZ46" s="420">
        <f t="shared" si="53"/>
        <v>0</v>
      </c>
      <c r="AAA46" s="420">
        <f t="shared" si="53"/>
        <v>0</v>
      </c>
      <c r="AAB46" s="420">
        <f t="shared" si="53"/>
        <v>0</v>
      </c>
      <c r="AAC46" s="420">
        <f t="shared" si="53"/>
        <v>0</v>
      </c>
      <c r="AAD46" s="420">
        <f t="shared" si="53"/>
        <v>0</v>
      </c>
      <c r="AAE46" s="420">
        <f t="shared" si="53"/>
        <v>0</v>
      </c>
      <c r="AAF46" s="420">
        <f t="shared" si="53"/>
        <v>0</v>
      </c>
      <c r="AAG46" s="420">
        <f t="shared" ref="AAG46:ACR46" si="54">AAG45*0.8</f>
        <v>0</v>
      </c>
      <c r="AAH46" s="420">
        <f t="shared" si="54"/>
        <v>0</v>
      </c>
      <c r="AAI46" s="420">
        <f t="shared" si="54"/>
        <v>0</v>
      </c>
      <c r="AAJ46" s="420">
        <f t="shared" si="54"/>
        <v>0</v>
      </c>
      <c r="AAK46" s="420">
        <f t="shared" si="54"/>
        <v>0</v>
      </c>
      <c r="AAL46" s="420">
        <f t="shared" si="54"/>
        <v>0</v>
      </c>
      <c r="AAM46" s="420">
        <f t="shared" si="54"/>
        <v>0</v>
      </c>
      <c r="AAN46" s="420">
        <f t="shared" si="54"/>
        <v>0</v>
      </c>
      <c r="AAO46" s="420">
        <f t="shared" si="54"/>
        <v>0</v>
      </c>
      <c r="AAP46" s="420">
        <f t="shared" si="54"/>
        <v>0</v>
      </c>
      <c r="AAQ46" s="420">
        <f t="shared" si="54"/>
        <v>0</v>
      </c>
      <c r="AAR46" s="420">
        <f t="shared" si="54"/>
        <v>0</v>
      </c>
      <c r="AAS46" s="420">
        <f t="shared" si="54"/>
        <v>0</v>
      </c>
      <c r="AAT46" s="420">
        <f t="shared" si="54"/>
        <v>0</v>
      </c>
      <c r="AAU46" s="420">
        <f t="shared" si="54"/>
        <v>0</v>
      </c>
      <c r="AAV46" s="420">
        <f t="shared" si="54"/>
        <v>0</v>
      </c>
      <c r="AAW46" s="420">
        <f t="shared" si="54"/>
        <v>0</v>
      </c>
      <c r="AAX46" s="420">
        <f t="shared" si="54"/>
        <v>0</v>
      </c>
      <c r="AAY46" s="420">
        <f t="shared" si="54"/>
        <v>0</v>
      </c>
      <c r="AAZ46" s="420">
        <f t="shared" si="54"/>
        <v>0</v>
      </c>
      <c r="ABA46" s="420">
        <f t="shared" si="54"/>
        <v>0</v>
      </c>
      <c r="ABB46" s="420">
        <f t="shared" si="54"/>
        <v>0</v>
      </c>
      <c r="ABC46" s="420">
        <f t="shared" si="54"/>
        <v>0</v>
      </c>
      <c r="ABD46" s="420">
        <f t="shared" si="54"/>
        <v>0</v>
      </c>
      <c r="ABE46" s="420">
        <f t="shared" si="54"/>
        <v>0</v>
      </c>
      <c r="ABF46" s="420">
        <f t="shared" si="54"/>
        <v>0</v>
      </c>
      <c r="ABG46" s="420">
        <f t="shared" si="54"/>
        <v>0</v>
      </c>
      <c r="ABH46" s="420">
        <f t="shared" si="54"/>
        <v>0</v>
      </c>
      <c r="ABI46" s="420">
        <f t="shared" si="54"/>
        <v>0</v>
      </c>
      <c r="ABJ46" s="420">
        <f t="shared" si="54"/>
        <v>0</v>
      </c>
      <c r="ABK46" s="420">
        <f t="shared" si="54"/>
        <v>0</v>
      </c>
      <c r="ABL46" s="420">
        <f t="shared" si="54"/>
        <v>0</v>
      </c>
      <c r="ABM46" s="420">
        <f t="shared" si="54"/>
        <v>0</v>
      </c>
      <c r="ABN46" s="420">
        <f t="shared" si="54"/>
        <v>0</v>
      </c>
      <c r="ABO46" s="420">
        <f t="shared" si="54"/>
        <v>0</v>
      </c>
      <c r="ABP46" s="420">
        <f t="shared" si="54"/>
        <v>0</v>
      </c>
      <c r="ABQ46" s="420">
        <f t="shared" si="54"/>
        <v>0</v>
      </c>
      <c r="ABR46" s="420">
        <f t="shared" si="54"/>
        <v>0</v>
      </c>
      <c r="ABS46" s="420">
        <f t="shared" si="54"/>
        <v>0</v>
      </c>
      <c r="ABT46" s="420">
        <f t="shared" si="54"/>
        <v>0</v>
      </c>
      <c r="ABU46" s="420">
        <f t="shared" si="54"/>
        <v>0</v>
      </c>
      <c r="ABV46" s="420">
        <f t="shared" si="54"/>
        <v>0</v>
      </c>
      <c r="ABW46" s="420">
        <f t="shared" si="54"/>
        <v>0</v>
      </c>
      <c r="ABX46" s="420">
        <f t="shared" si="54"/>
        <v>0</v>
      </c>
      <c r="ABY46" s="420">
        <f t="shared" si="54"/>
        <v>0</v>
      </c>
      <c r="ABZ46" s="420">
        <f t="shared" si="54"/>
        <v>0</v>
      </c>
      <c r="ACA46" s="420">
        <f t="shared" si="54"/>
        <v>0</v>
      </c>
      <c r="ACB46" s="420">
        <f t="shared" si="54"/>
        <v>0</v>
      </c>
      <c r="ACC46" s="420">
        <f t="shared" si="54"/>
        <v>0</v>
      </c>
      <c r="ACD46" s="420">
        <f t="shared" si="54"/>
        <v>0</v>
      </c>
      <c r="ACE46" s="420">
        <f t="shared" si="54"/>
        <v>0</v>
      </c>
      <c r="ACF46" s="420">
        <f t="shared" si="54"/>
        <v>0</v>
      </c>
      <c r="ACG46" s="420">
        <f t="shared" si="54"/>
        <v>0</v>
      </c>
      <c r="ACH46" s="420">
        <f t="shared" si="54"/>
        <v>0</v>
      </c>
      <c r="ACI46" s="420">
        <f t="shared" si="54"/>
        <v>0</v>
      </c>
      <c r="ACJ46" s="420">
        <f t="shared" si="54"/>
        <v>0</v>
      </c>
      <c r="ACK46" s="420">
        <f t="shared" si="54"/>
        <v>0</v>
      </c>
      <c r="ACL46" s="420">
        <f t="shared" si="54"/>
        <v>0</v>
      </c>
      <c r="ACM46" s="420">
        <f t="shared" si="54"/>
        <v>0</v>
      </c>
      <c r="ACN46" s="420">
        <f t="shared" si="54"/>
        <v>0</v>
      </c>
      <c r="ACO46" s="420">
        <f t="shared" si="54"/>
        <v>0</v>
      </c>
      <c r="ACP46" s="420">
        <f t="shared" si="54"/>
        <v>0</v>
      </c>
      <c r="ACQ46" s="420">
        <f t="shared" si="54"/>
        <v>0</v>
      </c>
      <c r="ACR46" s="420">
        <f t="shared" si="54"/>
        <v>0</v>
      </c>
      <c r="ACS46" s="420">
        <f t="shared" ref="ACS46:AFD46" si="55">ACS45*0.8</f>
        <v>0</v>
      </c>
      <c r="ACT46" s="420">
        <f t="shared" si="55"/>
        <v>0</v>
      </c>
      <c r="ACU46" s="420">
        <f t="shared" si="55"/>
        <v>0</v>
      </c>
      <c r="ACV46" s="420">
        <f t="shared" si="55"/>
        <v>0</v>
      </c>
      <c r="ACW46" s="420">
        <f t="shared" si="55"/>
        <v>0</v>
      </c>
      <c r="ACX46" s="420">
        <f t="shared" si="55"/>
        <v>0</v>
      </c>
      <c r="ACY46" s="420">
        <f t="shared" si="55"/>
        <v>0</v>
      </c>
      <c r="ACZ46" s="420">
        <f t="shared" si="55"/>
        <v>0</v>
      </c>
      <c r="ADA46" s="420">
        <f t="shared" si="55"/>
        <v>0</v>
      </c>
      <c r="ADB46" s="420">
        <f t="shared" si="55"/>
        <v>0</v>
      </c>
      <c r="ADC46" s="420">
        <f t="shared" si="55"/>
        <v>0</v>
      </c>
      <c r="ADD46" s="420">
        <f t="shared" si="55"/>
        <v>0</v>
      </c>
      <c r="ADE46" s="420">
        <f t="shared" si="55"/>
        <v>0</v>
      </c>
      <c r="ADF46" s="420">
        <f t="shared" si="55"/>
        <v>0</v>
      </c>
      <c r="ADG46" s="420">
        <f t="shared" si="55"/>
        <v>0</v>
      </c>
      <c r="ADH46" s="420">
        <f t="shared" si="55"/>
        <v>0</v>
      </c>
      <c r="ADI46" s="420">
        <f t="shared" si="55"/>
        <v>0</v>
      </c>
      <c r="ADJ46" s="420">
        <f t="shared" si="55"/>
        <v>0</v>
      </c>
      <c r="ADK46" s="420">
        <f t="shared" si="55"/>
        <v>0</v>
      </c>
      <c r="ADL46" s="420">
        <f t="shared" si="55"/>
        <v>0</v>
      </c>
      <c r="ADM46" s="420">
        <f t="shared" si="55"/>
        <v>0</v>
      </c>
      <c r="ADN46" s="420">
        <f t="shared" si="55"/>
        <v>0</v>
      </c>
      <c r="ADO46" s="420">
        <f t="shared" si="55"/>
        <v>0</v>
      </c>
      <c r="ADP46" s="420">
        <f t="shared" si="55"/>
        <v>0</v>
      </c>
      <c r="ADQ46" s="420">
        <f t="shared" si="55"/>
        <v>0</v>
      </c>
      <c r="ADR46" s="420">
        <f t="shared" si="55"/>
        <v>0</v>
      </c>
      <c r="ADS46" s="420">
        <f t="shared" si="55"/>
        <v>0</v>
      </c>
      <c r="ADT46" s="420">
        <f t="shared" si="55"/>
        <v>0</v>
      </c>
      <c r="ADU46" s="420">
        <f t="shared" si="55"/>
        <v>0</v>
      </c>
      <c r="ADV46" s="420">
        <f t="shared" si="55"/>
        <v>0</v>
      </c>
      <c r="ADW46" s="420">
        <f t="shared" si="55"/>
        <v>0</v>
      </c>
      <c r="ADX46" s="420">
        <f t="shared" si="55"/>
        <v>0</v>
      </c>
      <c r="ADY46" s="420">
        <f t="shared" si="55"/>
        <v>0</v>
      </c>
      <c r="ADZ46" s="420">
        <f t="shared" si="55"/>
        <v>0</v>
      </c>
      <c r="AEA46" s="420">
        <f t="shared" si="55"/>
        <v>0</v>
      </c>
      <c r="AEB46" s="420">
        <f t="shared" si="55"/>
        <v>0</v>
      </c>
      <c r="AEC46" s="420">
        <f t="shared" si="55"/>
        <v>0</v>
      </c>
      <c r="AED46" s="420">
        <f t="shared" si="55"/>
        <v>0</v>
      </c>
      <c r="AEE46" s="420">
        <f t="shared" si="55"/>
        <v>0</v>
      </c>
      <c r="AEF46" s="420">
        <f t="shared" si="55"/>
        <v>0</v>
      </c>
      <c r="AEG46" s="420">
        <f t="shared" si="55"/>
        <v>0</v>
      </c>
      <c r="AEH46" s="420">
        <f t="shared" si="55"/>
        <v>0</v>
      </c>
      <c r="AEI46" s="420">
        <f t="shared" si="55"/>
        <v>0</v>
      </c>
      <c r="AEJ46" s="420">
        <f t="shared" si="55"/>
        <v>0</v>
      </c>
      <c r="AEK46" s="420">
        <f t="shared" si="55"/>
        <v>0</v>
      </c>
      <c r="AEL46" s="420">
        <f t="shared" si="55"/>
        <v>0</v>
      </c>
      <c r="AEM46" s="420">
        <f t="shared" si="55"/>
        <v>0</v>
      </c>
      <c r="AEN46" s="420">
        <f t="shared" si="55"/>
        <v>0</v>
      </c>
      <c r="AEO46" s="420">
        <f t="shared" si="55"/>
        <v>0</v>
      </c>
      <c r="AEP46" s="420">
        <f t="shared" si="55"/>
        <v>0</v>
      </c>
      <c r="AEQ46" s="420">
        <f t="shared" si="55"/>
        <v>0</v>
      </c>
      <c r="AER46" s="420">
        <f t="shared" si="55"/>
        <v>0</v>
      </c>
      <c r="AES46" s="420">
        <f t="shared" si="55"/>
        <v>0</v>
      </c>
      <c r="AET46" s="420">
        <f t="shared" si="55"/>
        <v>0</v>
      </c>
      <c r="AEU46" s="420">
        <f t="shared" si="55"/>
        <v>0</v>
      </c>
      <c r="AEV46" s="420">
        <f t="shared" si="55"/>
        <v>0</v>
      </c>
      <c r="AEW46" s="420">
        <f t="shared" si="55"/>
        <v>0</v>
      </c>
      <c r="AEX46" s="420">
        <f t="shared" si="55"/>
        <v>0</v>
      </c>
      <c r="AEY46" s="420">
        <f t="shared" si="55"/>
        <v>0</v>
      </c>
      <c r="AEZ46" s="420">
        <f t="shared" si="55"/>
        <v>0</v>
      </c>
      <c r="AFA46" s="420">
        <f t="shared" si="55"/>
        <v>0</v>
      </c>
      <c r="AFB46" s="420">
        <f t="shared" si="55"/>
        <v>0</v>
      </c>
      <c r="AFC46" s="420">
        <f t="shared" si="55"/>
        <v>0</v>
      </c>
      <c r="AFD46" s="420">
        <f t="shared" si="55"/>
        <v>0</v>
      </c>
      <c r="AFE46" s="420">
        <f t="shared" ref="AFE46:AHP46" si="56">AFE45*0.8</f>
        <v>0</v>
      </c>
      <c r="AFF46" s="420">
        <f t="shared" si="56"/>
        <v>0</v>
      </c>
      <c r="AFG46" s="420">
        <f t="shared" si="56"/>
        <v>0</v>
      </c>
      <c r="AFH46" s="420">
        <f t="shared" si="56"/>
        <v>0</v>
      </c>
      <c r="AFI46" s="420">
        <f t="shared" si="56"/>
        <v>0</v>
      </c>
      <c r="AFJ46" s="420">
        <f t="shared" si="56"/>
        <v>0</v>
      </c>
      <c r="AFK46" s="420">
        <f t="shared" si="56"/>
        <v>0</v>
      </c>
      <c r="AFL46" s="420">
        <f t="shared" si="56"/>
        <v>0</v>
      </c>
      <c r="AFM46" s="420">
        <f t="shared" si="56"/>
        <v>0</v>
      </c>
      <c r="AFN46" s="420">
        <f t="shared" si="56"/>
        <v>0</v>
      </c>
      <c r="AFO46" s="420">
        <f t="shared" si="56"/>
        <v>0</v>
      </c>
      <c r="AFP46" s="420">
        <f t="shared" si="56"/>
        <v>0</v>
      </c>
      <c r="AFQ46" s="420">
        <f t="shared" si="56"/>
        <v>0</v>
      </c>
      <c r="AFR46" s="420">
        <f t="shared" si="56"/>
        <v>0</v>
      </c>
      <c r="AFS46" s="420">
        <f t="shared" si="56"/>
        <v>0</v>
      </c>
      <c r="AFT46" s="420">
        <f t="shared" si="56"/>
        <v>0</v>
      </c>
      <c r="AFU46" s="420">
        <f t="shared" si="56"/>
        <v>0</v>
      </c>
      <c r="AFV46" s="420">
        <f t="shared" si="56"/>
        <v>0</v>
      </c>
      <c r="AFW46" s="420">
        <f t="shared" si="56"/>
        <v>0</v>
      </c>
      <c r="AFX46" s="420">
        <f t="shared" si="56"/>
        <v>0</v>
      </c>
      <c r="AFY46" s="420">
        <f t="shared" si="56"/>
        <v>0</v>
      </c>
      <c r="AFZ46" s="420">
        <f t="shared" si="56"/>
        <v>0</v>
      </c>
      <c r="AGA46" s="420">
        <f t="shared" si="56"/>
        <v>0</v>
      </c>
      <c r="AGB46" s="420">
        <f t="shared" si="56"/>
        <v>0</v>
      </c>
      <c r="AGC46" s="420">
        <f t="shared" si="56"/>
        <v>0</v>
      </c>
      <c r="AGD46" s="420">
        <f t="shared" si="56"/>
        <v>0</v>
      </c>
      <c r="AGE46" s="420">
        <f t="shared" si="56"/>
        <v>0</v>
      </c>
      <c r="AGF46" s="420">
        <f t="shared" si="56"/>
        <v>0</v>
      </c>
      <c r="AGG46" s="420">
        <f t="shared" si="56"/>
        <v>0</v>
      </c>
      <c r="AGH46" s="420">
        <f t="shared" si="56"/>
        <v>0</v>
      </c>
      <c r="AGI46" s="420">
        <f t="shared" si="56"/>
        <v>0</v>
      </c>
      <c r="AGJ46" s="420">
        <f t="shared" si="56"/>
        <v>0</v>
      </c>
      <c r="AGK46" s="420">
        <f t="shared" si="56"/>
        <v>0</v>
      </c>
      <c r="AGL46" s="420">
        <f t="shared" si="56"/>
        <v>0</v>
      </c>
      <c r="AGM46" s="420">
        <f t="shared" si="56"/>
        <v>0</v>
      </c>
      <c r="AGN46" s="420">
        <f t="shared" si="56"/>
        <v>0</v>
      </c>
      <c r="AGO46" s="420">
        <f t="shared" si="56"/>
        <v>0</v>
      </c>
      <c r="AGP46" s="420">
        <f t="shared" si="56"/>
        <v>0</v>
      </c>
      <c r="AGQ46" s="420">
        <f t="shared" si="56"/>
        <v>0</v>
      </c>
      <c r="AGR46" s="420">
        <f t="shared" si="56"/>
        <v>0</v>
      </c>
      <c r="AGS46" s="420">
        <f t="shared" si="56"/>
        <v>0</v>
      </c>
      <c r="AGT46" s="420">
        <f t="shared" si="56"/>
        <v>0</v>
      </c>
      <c r="AGU46" s="420">
        <f t="shared" si="56"/>
        <v>0</v>
      </c>
      <c r="AGV46" s="420">
        <f t="shared" si="56"/>
        <v>0</v>
      </c>
      <c r="AGW46" s="420">
        <f t="shared" si="56"/>
        <v>0</v>
      </c>
      <c r="AGX46" s="420">
        <f t="shared" si="56"/>
        <v>0</v>
      </c>
      <c r="AGY46" s="420">
        <f t="shared" si="56"/>
        <v>0</v>
      </c>
      <c r="AGZ46" s="420">
        <f t="shared" si="56"/>
        <v>0</v>
      </c>
      <c r="AHA46" s="420">
        <f t="shared" si="56"/>
        <v>0</v>
      </c>
      <c r="AHB46" s="420">
        <f t="shared" si="56"/>
        <v>0</v>
      </c>
      <c r="AHC46" s="420">
        <f t="shared" si="56"/>
        <v>0</v>
      </c>
      <c r="AHD46" s="420">
        <f t="shared" si="56"/>
        <v>0</v>
      </c>
      <c r="AHE46" s="420">
        <f t="shared" si="56"/>
        <v>0</v>
      </c>
      <c r="AHF46" s="420">
        <f t="shared" si="56"/>
        <v>0</v>
      </c>
      <c r="AHG46" s="420">
        <f t="shared" si="56"/>
        <v>0</v>
      </c>
      <c r="AHH46" s="420">
        <f t="shared" si="56"/>
        <v>0</v>
      </c>
      <c r="AHI46" s="420">
        <f t="shared" si="56"/>
        <v>0</v>
      </c>
      <c r="AHJ46" s="420">
        <f t="shared" si="56"/>
        <v>0</v>
      </c>
      <c r="AHK46" s="420">
        <f t="shared" si="56"/>
        <v>0</v>
      </c>
      <c r="AHL46" s="420">
        <f t="shared" si="56"/>
        <v>0</v>
      </c>
      <c r="AHM46" s="420">
        <f t="shared" si="56"/>
        <v>0</v>
      </c>
      <c r="AHN46" s="420">
        <f t="shared" si="56"/>
        <v>0</v>
      </c>
      <c r="AHO46" s="420">
        <f t="shared" si="56"/>
        <v>0</v>
      </c>
      <c r="AHP46" s="420">
        <f t="shared" si="56"/>
        <v>0</v>
      </c>
      <c r="AHQ46" s="420">
        <f t="shared" ref="AHQ46:AKB46" si="57">AHQ45*0.8</f>
        <v>0</v>
      </c>
      <c r="AHR46" s="420">
        <f t="shared" si="57"/>
        <v>0</v>
      </c>
      <c r="AHS46" s="420">
        <f t="shared" si="57"/>
        <v>0</v>
      </c>
      <c r="AHT46" s="420">
        <f t="shared" si="57"/>
        <v>0</v>
      </c>
      <c r="AHU46" s="420">
        <f t="shared" si="57"/>
        <v>0</v>
      </c>
      <c r="AHV46" s="420">
        <f t="shared" si="57"/>
        <v>0</v>
      </c>
      <c r="AHW46" s="420">
        <f t="shared" si="57"/>
        <v>0</v>
      </c>
      <c r="AHX46" s="420">
        <f t="shared" si="57"/>
        <v>0</v>
      </c>
      <c r="AHY46" s="420">
        <f t="shared" si="57"/>
        <v>0</v>
      </c>
      <c r="AHZ46" s="420">
        <f t="shared" si="57"/>
        <v>0</v>
      </c>
      <c r="AIA46" s="420">
        <f t="shared" si="57"/>
        <v>0</v>
      </c>
      <c r="AIB46" s="420">
        <f t="shared" si="57"/>
        <v>0</v>
      </c>
      <c r="AIC46" s="420">
        <f t="shared" si="57"/>
        <v>0</v>
      </c>
      <c r="AID46" s="420">
        <f t="shared" si="57"/>
        <v>0</v>
      </c>
      <c r="AIE46" s="420">
        <f t="shared" si="57"/>
        <v>0</v>
      </c>
      <c r="AIF46" s="420">
        <f t="shared" si="57"/>
        <v>0</v>
      </c>
      <c r="AIG46" s="420">
        <f t="shared" si="57"/>
        <v>0</v>
      </c>
      <c r="AIH46" s="420">
        <f t="shared" si="57"/>
        <v>0</v>
      </c>
      <c r="AII46" s="420">
        <f t="shared" si="57"/>
        <v>0</v>
      </c>
      <c r="AIJ46" s="420">
        <f t="shared" si="57"/>
        <v>0</v>
      </c>
      <c r="AIK46" s="420">
        <f t="shared" si="57"/>
        <v>0</v>
      </c>
      <c r="AIL46" s="420">
        <f t="shared" si="57"/>
        <v>0</v>
      </c>
      <c r="AIM46" s="420">
        <f t="shared" si="57"/>
        <v>0</v>
      </c>
      <c r="AIN46" s="420">
        <f t="shared" si="57"/>
        <v>0</v>
      </c>
      <c r="AIO46" s="420">
        <f t="shared" si="57"/>
        <v>0</v>
      </c>
      <c r="AIP46" s="420">
        <f t="shared" si="57"/>
        <v>0</v>
      </c>
      <c r="AIQ46" s="420">
        <f t="shared" si="57"/>
        <v>0</v>
      </c>
      <c r="AIR46" s="420">
        <f t="shared" si="57"/>
        <v>0</v>
      </c>
      <c r="AIS46" s="420">
        <f t="shared" si="57"/>
        <v>0</v>
      </c>
      <c r="AIT46" s="420">
        <f t="shared" si="57"/>
        <v>0</v>
      </c>
      <c r="AIU46" s="420">
        <f t="shared" si="57"/>
        <v>0</v>
      </c>
      <c r="AIV46" s="420">
        <f t="shared" si="57"/>
        <v>0</v>
      </c>
      <c r="AIW46" s="420">
        <f t="shared" si="57"/>
        <v>0</v>
      </c>
      <c r="AIX46" s="420">
        <f t="shared" si="57"/>
        <v>0</v>
      </c>
      <c r="AIY46" s="420">
        <f t="shared" si="57"/>
        <v>0</v>
      </c>
      <c r="AIZ46" s="420">
        <f t="shared" si="57"/>
        <v>0</v>
      </c>
      <c r="AJA46" s="420">
        <f t="shared" si="57"/>
        <v>0</v>
      </c>
      <c r="AJB46" s="420">
        <f t="shared" si="57"/>
        <v>0</v>
      </c>
      <c r="AJC46" s="420">
        <f t="shared" si="57"/>
        <v>0</v>
      </c>
      <c r="AJD46" s="420">
        <f t="shared" si="57"/>
        <v>0</v>
      </c>
      <c r="AJE46" s="420">
        <f t="shared" si="57"/>
        <v>0</v>
      </c>
      <c r="AJF46" s="420">
        <f t="shared" si="57"/>
        <v>0</v>
      </c>
      <c r="AJG46" s="420">
        <f t="shared" si="57"/>
        <v>0</v>
      </c>
      <c r="AJH46" s="420">
        <f t="shared" si="57"/>
        <v>0</v>
      </c>
      <c r="AJI46" s="420">
        <f t="shared" si="57"/>
        <v>0</v>
      </c>
      <c r="AJJ46" s="420">
        <f t="shared" si="57"/>
        <v>0</v>
      </c>
      <c r="AJK46" s="420">
        <f t="shared" si="57"/>
        <v>0</v>
      </c>
      <c r="AJL46" s="420">
        <f t="shared" si="57"/>
        <v>0</v>
      </c>
      <c r="AJM46" s="420">
        <f t="shared" si="57"/>
        <v>0</v>
      </c>
      <c r="AJN46" s="420">
        <f t="shared" si="57"/>
        <v>0</v>
      </c>
      <c r="AJO46" s="420">
        <f t="shared" si="57"/>
        <v>0</v>
      </c>
      <c r="AJP46" s="420">
        <f t="shared" si="57"/>
        <v>0</v>
      </c>
      <c r="AJQ46" s="420">
        <f t="shared" si="57"/>
        <v>0</v>
      </c>
      <c r="AJR46" s="420">
        <f t="shared" si="57"/>
        <v>0</v>
      </c>
      <c r="AJS46" s="420">
        <f t="shared" si="57"/>
        <v>0</v>
      </c>
      <c r="AJT46" s="420">
        <f t="shared" si="57"/>
        <v>0</v>
      </c>
      <c r="AJU46" s="420">
        <f t="shared" si="57"/>
        <v>0</v>
      </c>
      <c r="AJV46" s="420">
        <f t="shared" si="57"/>
        <v>0</v>
      </c>
      <c r="AJW46" s="420">
        <f t="shared" si="57"/>
        <v>0</v>
      </c>
      <c r="AJX46" s="420">
        <f t="shared" si="57"/>
        <v>0</v>
      </c>
      <c r="AJY46" s="420">
        <f t="shared" si="57"/>
        <v>0</v>
      </c>
      <c r="AJZ46" s="420">
        <f t="shared" si="57"/>
        <v>0</v>
      </c>
      <c r="AKA46" s="420">
        <f t="shared" si="57"/>
        <v>0</v>
      </c>
      <c r="AKB46" s="420">
        <f t="shared" si="57"/>
        <v>0</v>
      </c>
      <c r="AKC46" s="420">
        <f t="shared" ref="AKC46:AMN46" si="58">AKC45*0.8</f>
        <v>0</v>
      </c>
      <c r="AKD46" s="420">
        <f t="shared" si="58"/>
        <v>0</v>
      </c>
      <c r="AKE46" s="420">
        <f t="shared" si="58"/>
        <v>0</v>
      </c>
      <c r="AKF46" s="420">
        <f t="shared" si="58"/>
        <v>0</v>
      </c>
      <c r="AKG46" s="420">
        <f t="shared" si="58"/>
        <v>0</v>
      </c>
      <c r="AKH46" s="420">
        <f t="shared" si="58"/>
        <v>0</v>
      </c>
      <c r="AKI46" s="420">
        <f t="shared" si="58"/>
        <v>0</v>
      </c>
      <c r="AKJ46" s="420">
        <f t="shared" si="58"/>
        <v>0</v>
      </c>
      <c r="AKK46" s="420">
        <f t="shared" si="58"/>
        <v>0</v>
      </c>
      <c r="AKL46" s="420">
        <f t="shared" si="58"/>
        <v>0</v>
      </c>
      <c r="AKM46" s="420">
        <f t="shared" si="58"/>
        <v>0</v>
      </c>
      <c r="AKN46" s="420">
        <f t="shared" si="58"/>
        <v>0</v>
      </c>
      <c r="AKO46" s="420">
        <f t="shared" si="58"/>
        <v>0</v>
      </c>
      <c r="AKP46" s="420">
        <f t="shared" si="58"/>
        <v>0</v>
      </c>
      <c r="AKQ46" s="420">
        <f t="shared" si="58"/>
        <v>0</v>
      </c>
      <c r="AKR46" s="420">
        <f t="shared" si="58"/>
        <v>0</v>
      </c>
      <c r="AKS46" s="420">
        <f t="shared" si="58"/>
        <v>0</v>
      </c>
      <c r="AKT46" s="420">
        <f t="shared" si="58"/>
        <v>0</v>
      </c>
      <c r="AKU46" s="420">
        <f t="shared" si="58"/>
        <v>0</v>
      </c>
      <c r="AKV46" s="420">
        <f t="shared" si="58"/>
        <v>0</v>
      </c>
      <c r="AKW46" s="420">
        <f t="shared" si="58"/>
        <v>0</v>
      </c>
      <c r="AKX46" s="420">
        <f t="shared" si="58"/>
        <v>0</v>
      </c>
      <c r="AKY46" s="420">
        <f t="shared" si="58"/>
        <v>0</v>
      </c>
      <c r="AKZ46" s="420">
        <f t="shared" si="58"/>
        <v>0</v>
      </c>
      <c r="ALA46" s="420">
        <f t="shared" si="58"/>
        <v>0</v>
      </c>
      <c r="ALB46" s="420">
        <f t="shared" si="58"/>
        <v>0</v>
      </c>
      <c r="ALC46" s="420">
        <f t="shared" si="58"/>
        <v>0</v>
      </c>
      <c r="ALD46" s="420">
        <f t="shared" si="58"/>
        <v>0</v>
      </c>
      <c r="ALE46" s="420">
        <f t="shared" si="58"/>
        <v>0</v>
      </c>
      <c r="ALF46" s="420">
        <f t="shared" si="58"/>
        <v>0</v>
      </c>
      <c r="ALG46" s="420">
        <f t="shared" si="58"/>
        <v>0</v>
      </c>
      <c r="ALH46" s="420">
        <f t="shared" si="58"/>
        <v>0</v>
      </c>
      <c r="ALI46" s="420">
        <f t="shared" si="58"/>
        <v>0</v>
      </c>
      <c r="ALJ46" s="420">
        <f t="shared" si="58"/>
        <v>0</v>
      </c>
      <c r="ALK46" s="420">
        <f t="shared" si="58"/>
        <v>0</v>
      </c>
      <c r="ALL46" s="420">
        <f t="shared" si="58"/>
        <v>0</v>
      </c>
      <c r="ALM46" s="420">
        <f t="shared" si="58"/>
        <v>0</v>
      </c>
      <c r="ALN46" s="420">
        <f t="shared" si="58"/>
        <v>0</v>
      </c>
      <c r="ALO46" s="420">
        <f t="shared" si="58"/>
        <v>0</v>
      </c>
      <c r="ALP46" s="420">
        <f t="shared" si="58"/>
        <v>0</v>
      </c>
      <c r="ALQ46" s="420">
        <f t="shared" si="58"/>
        <v>0</v>
      </c>
      <c r="ALR46" s="420">
        <f t="shared" si="58"/>
        <v>0</v>
      </c>
      <c r="ALS46" s="420">
        <f t="shared" si="58"/>
        <v>0</v>
      </c>
      <c r="ALT46" s="420">
        <f t="shared" si="58"/>
        <v>0</v>
      </c>
      <c r="ALU46" s="420">
        <f t="shared" si="58"/>
        <v>0</v>
      </c>
      <c r="ALV46" s="420">
        <f t="shared" si="58"/>
        <v>0</v>
      </c>
      <c r="ALW46" s="420">
        <f t="shared" si="58"/>
        <v>0</v>
      </c>
      <c r="ALX46" s="420">
        <f t="shared" si="58"/>
        <v>0</v>
      </c>
      <c r="ALY46" s="420">
        <f t="shared" si="58"/>
        <v>0</v>
      </c>
      <c r="ALZ46" s="420">
        <f t="shared" si="58"/>
        <v>0</v>
      </c>
      <c r="AMA46" s="420">
        <f t="shared" si="58"/>
        <v>0</v>
      </c>
      <c r="AMB46" s="420">
        <f t="shared" si="58"/>
        <v>0</v>
      </c>
      <c r="AMC46" s="420">
        <f t="shared" si="58"/>
        <v>0</v>
      </c>
      <c r="AMD46" s="420">
        <f t="shared" si="58"/>
        <v>0</v>
      </c>
      <c r="AME46" s="420">
        <f t="shared" si="58"/>
        <v>0</v>
      </c>
      <c r="AMF46" s="420">
        <f t="shared" si="58"/>
        <v>0</v>
      </c>
      <c r="AMG46" s="420">
        <f t="shared" si="58"/>
        <v>0</v>
      </c>
      <c r="AMH46" s="420">
        <f t="shared" si="58"/>
        <v>0</v>
      </c>
      <c r="AMI46" s="420">
        <f t="shared" si="58"/>
        <v>0</v>
      </c>
      <c r="AMJ46" s="420">
        <f t="shared" si="58"/>
        <v>0</v>
      </c>
      <c r="AMK46" s="420">
        <f t="shared" si="58"/>
        <v>0</v>
      </c>
      <c r="AML46" s="420">
        <f t="shared" si="58"/>
        <v>0</v>
      </c>
      <c r="AMM46" s="420">
        <f t="shared" si="58"/>
        <v>0</v>
      </c>
      <c r="AMN46" s="420">
        <f t="shared" si="58"/>
        <v>0</v>
      </c>
      <c r="AMO46" s="420">
        <f t="shared" ref="AMO46:AOZ46" si="59">AMO45*0.8</f>
        <v>0</v>
      </c>
      <c r="AMP46" s="420">
        <f t="shared" si="59"/>
        <v>0</v>
      </c>
      <c r="AMQ46" s="420">
        <f t="shared" si="59"/>
        <v>0</v>
      </c>
      <c r="AMR46" s="420">
        <f t="shared" si="59"/>
        <v>0</v>
      </c>
      <c r="AMS46" s="420">
        <f t="shared" si="59"/>
        <v>0</v>
      </c>
      <c r="AMT46" s="420">
        <f t="shared" si="59"/>
        <v>0</v>
      </c>
      <c r="AMU46" s="420">
        <f t="shared" si="59"/>
        <v>0</v>
      </c>
      <c r="AMV46" s="420">
        <f t="shared" si="59"/>
        <v>0</v>
      </c>
      <c r="AMW46" s="420">
        <f t="shared" si="59"/>
        <v>0</v>
      </c>
      <c r="AMX46" s="420">
        <f t="shared" si="59"/>
        <v>0</v>
      </c>
      <c r="AMY46" s="420">
        <f t="shared" si="59"/>
        <v>0</v>
      </c>
      <c r="AMZ46" s="420">
        <f t="shared" si="59"/>
        <v>0</v>
      </c>
      <c r="ANA46" s="420">
        <f t="shared" si="59"/>
        <v>0</v>
      </c>
      <c r="ANB46" s="420">
        <f t="shared" si="59"/>
        <v>0</v>
      </c>
      <c r="ANC46" s="420">
        <f t="shared" si="59"/>
        <v>0</v>
      </c>
      <c r="AND46" s="420">
        <f t="shared" si="59"/>
        <v>0</v>
      </c>
      <c r="ANE46" s="420">
        <f t="shared" si="59"/>
        <v>0</v>
      </c>
      <c r="ANF46" s="420">
        <f t="shared" si="59"/>
        <v>0</v>
      </c>
      <c r="ANG46" s="420">
        <f t="shared" si="59"/>
        <v>0</v>
      </c>
      <c r="ANH46" s="420">
        <f t="shared" si="59"/>
        <v>0</v>
      </c>
      <c r="ANI46" s="420">
        <f t="shared" si="59"/>
        <v>0</v>
      </c>
      <c r="ANJ46" s="420">
        <f t="shared" si="59"/>
        <v>0</v>
      </c>
      <c r="ANK46" s="420">
        <f t="shared" si="59"/>
        <v>0</v>
      </c>
      <c r="ANL46" s="420">
        <f t="shared" si="59"/>
        <v>0</v>
      </c>
      <c r="ANM46" s="420">
        <f t="shared" si="59"/>
        <v>0</v>
      </c>
      <c r="ANN46" s="420">
        <f t="shared" si="59"/>
        <v>0</v>
      </c>
      <c r="ANO46" s="420">
        <f t="shared" si="59"/>
        <v>0</v>
      </c>
      <c r="ANP46" s="420">
        <f t="shared" si="59"/>
        <v>0</v>
      </c>
      <c r="ANQ46" s="420">
        <f t="shared" si="59"/>
        <v>0</v>
      </c>
      <c r="ANR46" s="420">
        <f t="shared" si="59"/>
        <v>0</v>
      </c>
      <c r="ANS46" s="420">
        <f t="shared" si="59"/>
        <v>0</v>
      </c>
      <c r="ANT46" s="420">
        <f t="shared" si="59"/>
        <v>0</v>
      </c>
      <c r="ANU46" s="420">
        <f t="shared" si="59"/>
        <v>0</v>
      </c>
      <c r="ANV46" s="420">
        <f t="shared" si="59"/>
        <v>0</v>
      </c>
      <c r="ANW46" s="420">
        <f t="shared" si="59"/>
        <v>0</v>
      </c>
      <c r="ANX46" s="420">
        <f t="shared" si="59"/>
        <v>0</v>
      </c>
      <c r="ANY46" s="420">
        <f t="shared" si="59"/>
        <v>0</v>
      </c>
      <c r="ANZ46" s="420">
        <f t="shared" si="59"/>
        <v>0</v>
      </c>
      <c r="AOA46" s="420">
        <f t="shared" si="59"/>
        <v>0</v>
      </c>
      <c r="AOB46" s="420">
        <f t="shared" si="59"/>
        <v>0</v>
      </c>
      <c r="AOC46" s="420">
        <f t="shared" si="59"/>
        <v>0</v>
      </c>
      <c r="AOD46" s="420">
        <f t="shared" si="59"/>
        <v>0</v>
      </c>
      <c r="AOE46" s="420">
        <f t="shared" si="59"/>
        <v>0</v>
      </c>
      <c r="AOF46" s="420">
        <f t="shared" si="59"/>
        <v>0</v>
      </c>
      <c r="AOG46" s="420">
        <f t="shared" si="59"/>
        <v>0</v>
      </c>
      <c r="AOH46" s="420">
        <f t="shared" si="59"/>
        <v>0</v>
      </c>
      <c r="AOI46" s="420">
        <f t="shared" si="59"/>
        <v>0</v>
      </c>
      <c r="AOJ46" s="420">
        <f t="shared" si="59"/>
        <v>0</v>
      </c>
      <c r="AOK46" s="420">
        <f t="shared" si="59"/>
        <v>0</v>
      </c>
      <c r="AOL46" s="420">
        <f t="shared" si="59"/>
        <v>0</v>
      </c>
      <c r="AOM46" s="420">
        <f t="shared" si="59"/>
        <v>0</v>
      </c>
      <c r="AON46" s="420">
        <f t="shared" si="59"/>
        <v>0</v>
      </c>
      <c r="AOO46" s="420">
        <f t="shared" si="59"/>
        <v>0</v>
      </c>
      <c r="AOP46" s="420">
        <f t="shared" si="59"/>
        <v>0</v>
      </c>
      <c r="AOQ46" s="420">
        <f t="shared" si="59"/>
        <v>0</v>
      </c>
      <c r="AOR46" s="420">
        <f t="shared" si="59"/>
        <v>0</v>
      </c>
      <c r="AOS46" s="420">
        <f t="shared" si="59"/>
        <v>0</v>
      </c>
      <c r="AOT46" s="420">
        <f t="shared" si="59"/>
        <v>0</v>
      </c>
      <c r="AOU46" s="420">
        <f t="shared" si="59"/>
        <v>0</v>
      </c>
      <c r="AOV46" s="420">
        <f t="shared" si="59"/>
        <v>0</v>
      </c>
      <c r="AOW46" s="420">
        <f t="shared" si="59"/>
        <v>0</v>
      </c>
      <c r="AOX46" s="420">
        <f t="shared" si="59"/>
        <v>0</v>
      </c>
      <c r="AOY46" s="420">
        <f t="shared" si="59"/>
        <v>0</v>
      </c>
      <c r="AOZ46" s="420">
        <f t="shared" si="59"/>
        <v>0</v>
      </c>
      <c r="APA46" s="420">
        <f t="shared" ref="APA46:ARL46" si="60">APA45*0.8</f>
        <v>0</v>
      </c>
      <c r="APB46" s="420">
        <f t="shared" si="60"/>
        <v>0</v>
      </c>
      <c r="APC46" s="420">
        <f t="shared" si="60"/>
        <v>0</v>
      </c>
      <c r="APD46" s="420">
        <f t="shared" si="60"/>
        <v>0</v>
      </c>
      <c r="APE46" s="420">
        <f t="shared" si="60"/>
        <v>0</v>
      </c>
      <c r="APF46" s="420">
        <f t="shared" si="60"/>
        <v>0</v>
      </c>
      <c r="APG46" s="420">
        <f t="shared" si="60"/>
        <v>0</v>
      </c>
      <c r="APH46" s="420">
        <f t="shared" si="60"/>
        <v>0</v>
      </c>
      <c r="API46" s="420">
        <f t="shared" si="60"/>
        <v>0</v>
      </c>
      <c r="APJ46" s="420">
        <f t="shared" si="60"/>
        <v>0</v>
      </c>
      <c r="APK46" s="420">
        <f t="shared" si="60"/>
        <v>0</v>
      </c>
      <c r="APL46" s="420">
        <f t="shared" si="60"/>
        <v>0</v>
      </c>
      <c r="APM46" s="420">
        <f t="shared" si="60"/>
        <v>0</v>
      </c>
      <c r="APN46" s="420">
        <f t="shared" si="60"/>
        <v>0</v>
      </c>
      <c r="APO46" s="420">
        <f t="shared" si="60"/>
        <v>0</v>
      </c>
      <c r="APP46" s="420">
        <f t="shared" si="60"/>
        <v>0</v>
      </c>
      <c r="APQ46" s="420">
        <f t="shared" si="60"/>
        <v>0</v>
      </c>
      <c r="APR46" s="420">
        <f t="shared" si="60"/>
        <v>0</v>
      </c>
      <c r="APS46" s="420">
        <f t="shared" si="60"/>
        <v>0</v>
      </c>
      <c r="APT46" s="420">
        <f t="shared" si="60"/>
        <v>0</v>
      </c>
      <c r="APU46" s="420">
        <f t="shared" si="60"/>
        <v>0</v>
      </c>
      <c r="APV46" s="420">
        <f t="shared" si="60"/>
        <v>0</v>
      </c>
      <c r="APW46" s="420">
        <f t="shared" si="60"/>
        <v>0</v>
      </c>
      <c r="APX46" s="420">
        <f t="shared" si="60"/>
        <v>0</v>
      </c>
      <c r="APY46" s="420">
        <f t="shared" si="60"/>
        <v>0</v>
      </c>
      <c r="APZ46" s="420">
        <f t="shared" si="60"/>
        <v>0</v>
      </c>
      <c r="AQA46" s="420">
        <f t="shared" si="60"/>
        <v>0</v>
      </c>
      <c r="AQB46" s="420">
        <f t="shared" si="60"/>
        <v>0</v>
      </c>
      <c r="AQC46" s="420">
        <f t="shared" si="60"/>
        <v>0</v>
      </c>
      <c r="AQD46" s="420">
        <f t="shared" si="60"/>
        <v>0</v>
      </c>
      <c r="AQE46" s="420">
        <f t="shared" si="60"/>
        <v>0</v>
      </c>
      <c r="AQF46" s="420">
        <f t="shared" si="60"/>
        <v>0</v>
      </c>
      <c r="AQG46" s="420">
        <f t="shared" si="60"/>
        <v>0</v>
      </c>
      <c r="AQH46" s="420">
        <f t="shared" si="60"/>
        <v>0</v>
      </c>
      <c r="AQI46" s="420">
        <f t="shared" si="60"/>
        <v>0</v>
      </c>
      <c r="AQJ46" s="420">
        <f t="shared" si="60"/>
        <v>0</v>
      </c>
      <c r="AQK46" s="420">
        <f t="shared" si="60"/>
        <v>0</v>
      </c>
      <c r="AQL46" s="420">
        <f t="shared" si="60"/>
        <v>0</v>
      </c>
      <c r="AQM46" s="420">
        <f t="shared" si="60"/>
        <v>0</v>
      </c>
      <c r="AQN46" s="420">
        <f t="shared" si="60"/>
        <v>0</v>
      </c>
      <c r="AQO46" s="420">
        <f t="shared" si="60"/>
        <v>0</v>
      </c>
      <c r="AQP46" s="420">
        <f t="shared" si="60"/>
        <v>0</v>
      </c>
      <c r="AQQ46" s="420">
        <f t="shared" si="60"/>
        <v>0</v>
      </c>
      <c r="AQR46" s="420">
        <f t="shared" si="60"/>
        <v>0</v>
      </c>
      <c r="AQS46" s="420">
        <f t="shared" si="60"/>
        <v>0</v>
      </c>
      <c r="AQT46" s="420">
        <f t="shared" si="60"/>
        <v>0</v>
      </c>
      <c r="AQU46" s="420">
        <f t="shared" si="60"/>
        <v>0</v>
      </c>
      <c r="AQV46" s="420">
        <f t="shared" si="60"/>
        <v>0</v>
      </c>
      <c r="AQW46" s="420">
        <f t="shared" si="60"/>
        <v>0</v>
      </c>
      <c r="AQX46" s="420">
        <f t="shared" si="60"/>
        <v>0</v>
      </c>
      <c r="AQY46" s="420">
        <f t="shared" si="60"/>
        <v>0</v>
      </c>
      <c r="AQZ46" s="420">
        <f t="shared" si="60"/>
        <v>0</v>
      </c>
      <c r="ARA46" s="420">
        <f t="shared" si="60"/>
        <v>0</v>
      </c>
      <c r="ARB46" s="420">
        <f t="shared" si="60"/>
        <v>0</v>
      </c>
      <c r="ARC46" s="420">
        <f t="shared" si="60"/>
        <v>0</v>
      </c>
      <c r="ARD46" s="420">
        <f t="shared" si="60"/>
        <v>0</v>
      </c>
      <c r="ARE46" s="420">
        <f t="shared" si="60"/>
        <v>0</v>
      </c>
      <c r="ARF46" s="420">
        <f t="shared" si="60"/>
        <v>0</v>
      </c>
      <c r="ARG46" s="420">
        <f t="shared" si="60"/>
        <v>0</v>
      </c>
      <c r="ARH46" s="420">
        <f t="shared" si="60"/>
        <v>0</v>
      </c>
      <c r="ARI46" s="420">
        <f t="shared" si="60"/>
        <v>0</v>
      </c>
      <c r="ARJ46" s="420">
        <f t="shared" si="60"/>
        <v>0</v>
      </c>
      <c r="ARK46" s="420">
        <f t="shared" si="60"/>
        <v>0</v>
      </c>
      <c r="ARL46" s="420">
        <f t="shared" si="60"/>
        <v>0</v>
      </c>
      <c r="ARM46" s="420">
        <f t="shared" ref="ARM46:ATX46" si="61">ARM45*0.8</f>
        <v>0</v>
      </c>
      <c r="ARN46" s="420">
        <f t="shared" si="61"/>
        <v>0</v>
      </c>
      <c r="ARO46" s="420">
        <f t="shared" si="61"/>
        <v>0</v>
      </c>
      <c r="ARP46" s="420">
        <f t="shared" si="61"/>
        <v>0</v>
      </c>
      <c r="ARQ46" s="420">
        <f t="shared" si="61"/>
        <v>0</v>
      </c>
      <c r="ARR46" s="420">
        <f t="shared" si="61"/>
        <v>0</v>
      </c>
      <c r="ARS46" s="420">
        <f t="shared" si="61"/>
        <v>0</v>
      </c>
      <c r="ART46" s="420">
        <f t="shared" si="61"/>
        <v>0</v>
      </c>
      <c r="ARU46" s="420">
        <f t="shared" si="61"/>
        <v>0</v>
      </c>
      <c r="ARV46" s="420">
        <f t="shared" si="61"/>
        <v>0</v>
      </c>
      <c r="ARW46" s="420">
        <f t="shared" si="61"/>
        <v>0</v>
      </c>
      <c r="ARX46" s="420">
        <f t="shared" si="61"/>
        <v>0</v>
      </c>
      <c r="ARY46" s="420">
        <f t="shared" si="61"/>
        <v>0</v>
      </c>
      <c r="ARZ46" s="420">
        <f t="shared" si="61"/>
        <v>0</v>
      </c>
      <c r="ASA46" s="420">
        <f t="shared" si="61"/>
        <v>0</v>
      </c>
      <c r="ASB46" s="420">
        <f t="shared" si="61"/>
        <v>0</v>
      </c>
      <c r="ASC46" s="420">
        <f t="shared" si="61"/>
        <v>0</v>
      </c>
      <c r="ASD46" s="420">
        <f t="shared" si="61"/>
        <v>0</v>
      </c>
      <c r="ASE46" s="420">
        <f t="shared" si="61"/>
        <v>0</v>
      </c>
      <c r="ASF46" s="420">
        <f t="shared" si="61"/>
        <v>0</v>
      </c>
      <c r="ASG46" s="420">
        <f t="shared" si="61"/>
        <v>0</v>
      </c>
      <c r="ASH46" s="420">
        <f t="shared" si="61"/>
        <v>0</v>
      </c>
      <c r="ASI46" s="420">
        <f t="shared" si="61"/>
        <v>0</v>
      </c>
      <c r="ASJ46" s="420">
        <f t="shared" si="61"/>
        <v>0</v>
      </c>
      <c r="ASK46" s="420">
        <f t="shared" si="61"/>
        <v>0</v>
      </c>
      <c r="ASL46" s="420">
        <f t="shared" si="61"/>
        <v>0</v>
      </c>
      <c r="ASM46" s="420">
        <f t="shared" si="61"/>
        <v>0</v>
      </c>
      <c r="ASN46" s="420">
        <f t="shared" si="61"/>
        <v>0</v>
      </c>
      <c r="ASO46" s="420">
        <f t="shared" si="61"/>
        <v>0</v>
      </c>
      <c r="ASP46" s="420">
        <f t="shared" si="61"/>
        <v>0</v>
      </c>
      <c r="ASQ46" s="420">
        <f t="shared" si="61"/>
        <v>0</v>
      </c>
      <c r="ASR46" s="420">
        <f t="shared" si="61"/>
        <v>0</v>
      </c>
      <c r="ASS46" s="420">
        <f t="shared" si="61"/>
        <v>0</v>
      </c>
      <c r="AST46" s="420">
        <f t="shared" si="61"/>
        <v>0</v>
      </c>
      <c r="ASU46" s="420">
        <f t="shared" si="61"/>
        <v>0</v>
      </c>
      <c r="ASV46" s="420">
        <f t="shared" si="61"/>
        <v>0</v>
      </c>
      <c r="ASW46" s="420">
        <f t="shared" si="61"/>
        <v>0</v>
      </c>
      <c r="ASX46" s="420">
        <f t="shared" si="61"/>
        <v>0</v>
      </c>
      <c r="ASY46" s="420">
        <f t="shared" si="61"/>
        <v>0</v>
      </c>
      <c r="ASZ46" s="420">
        <f t="shared" si="61"/>
        <v>0</v>
      </c>
      <c r="ATA46" s="420">
        <f t="shared" si="61"/>
        <v>0</v>
      </c>
      <c r="ATB46" s="420">
        <f t="shared" si="61"/>
        <v>0</v>
      </c>
      <c r="ATC46" s="420">
        <f t="shared" si="61"/>
        <v>0</v>
      </c>
      <c r="ATD46" s="420">
        <f t="shared" si="61"/>
        <v>0</v>
      </c>
      <c r="ATE46" s="420">
        <f t="shared" si="61"/>
        <v>0</v>
      </c>
      <c r="ATF46" s="420">
        <f t="shared" si="61"/>
        <v>0</v>
      </c>
      <c r="ATG46" s="420">
        <f t="shared" si="61"/>
        <v>0</v>
      </c>
      <c r="ATH46" s="420">
        <f t="shared" si="61"/>
        <v>0</v>
      </c>
      <c r="ATI46" s="420">
        <f t="shared" si="61"/>
        <v>0</v>
      </c>
      <c r="ATJ46" s="420">
        <f t="shared" si="61"/>
        <v>0</v>
      </c>
      <c r="ATK46" s="420">
        <f t="shared" si="61"/>
        <v>0</v>
      </c>
      <c r="ATL46" s="420">
        <f t="shared" si="61"/>
        <v>0</v>
      </c>
      <c r="ATM46" s="420">
        <f t="shared" si="61"/>
        <v>0</v>
      </c>
      <c r="ATN46" s="420">
        <f t="shared" si="61"/>
        <v>0</v>
      </c>
      <c r="ATO46" s="420">
        <f t="shared" si="61"/>
        <v>0</v>
      </c>
      <c r="ATP46" s="420">
        <f t="shared" si="61"/>
        <v>0</v>
      </c>
      <c r="ATQ46" s="420">
        <f t="shared" si="61"/>
        <v>0</v>
      </c>
      <c r="ATR46" s="420">
        <f t="shared" si="61"/>
        <v>0</v>
      </c>
      <c r="ATS46" s="420">
        <f t="shared" si="61"/>
        <v>0</v>
      </c>
      <c r="ATT46" s="420">
        <f t="shared" si="61"/>
        <v>0</v>
      </c>
      <c r="ATU46" s="420">
        <f t="shared" si="61"/>
        <v>0</v>
      </c>
      <c r="ATV46" s="420">
        <f t="shared" si="61"/>
        <v>0</v>
      </c>
      <c r="ATW46" s="420">
        <f t="shared" si="61"/>
        <v>0</v>
      </c>
      <c r="ATX46" s="420">
        <f t="shared" si="61"/>
        <v>0</v>
      </c>
      <c r="ATY46" s="420">
        <f t="shared" ref="ATY46:AWJ46" si="62">ATY45*0.8</f>
        <v>0</v>
      </c>
      <c r="ATZ46" s="420">
        <f t="shared" si="62"/>
        <v>0</v>
      </c>
      <c r="AUA46" s="420">
        <f t="shared" si="62"/>
        <v>0</v>
      </c>
      <c r="AUB46" s="420">
        <f t="shared" si="62"/>
        <v>0</v>
      </c>
      <c r="AUC46" s="420">
        <f t="shared" si="62"/>
        <v>0</v>
      </c>
      <c r="AUD46" s="420">
        <f t="shared" si="62"/>
        <v>0</v>
      </c>
      <c r="AUE46" s="420">
        <f t="shared" si="62"/>
        <v>0</v>
      </c>
      <c r="AUF46" s="420">
        <f t="shared" si="62"/>
        <v>0</v>
      </c>
      <c r="AUG46" s="420">
        <f t="shared" si="62"/>
        <v>0</v>
      </c>
      <c r="AUH46" s="420">
        <f t="shared" si="62"/>
        <v>0</v>
      </c>
      <c r="AUI46" s="420">
        <f t="shared" si="62"/>
        <v>0</v>
      </c>
      <c r="AUJ46" s="420">
        <f t="shared" si="62"/>
        <v>0</v>
      </c>
      <c r="AUK46" s="420">
        <f t="shared" si="62"/>
        <v>0</v>
      </c>
      <c r="AUL46" s="420">
        <f t="shared" si="62"/>
        <v>0</v>
      </c>
      <c r="AUM46" s="420">
        <f t="shared" si="62"/>
        <v>0</v>
      </c>
      <c r="AUN46" s="420">
        <f t="shared" si="62"/>
        <v>0</v>
      </c>
      <c r="AUO46" s="420">
        <f t="shared" si="62"/>
        <v>0</v>
      </c>
      <c r="AUP46" s="420">
        <f t="shared" si="62"/>
        <v>0</v>
      </c>
      <c r="AUQ46" s="420">
        <f t="shared" si="62"/>
        <v>0</v>
      </c>
      <c r="AUR46" s="420">
        <f t="shared" si="62"/>
        <v>0</v>
      </c>
      <c r="AUS46" s="420">
        <f t="shared" si="62"/>
        <v>0</v>
      </c>
      <c r="AUT46" s="420">
        <f t="shared" si="62"/>
        <v>0</v>
      </c>
      <c r="AUU46" s="420">
        <f t="shared" si="62"/>
        <v>0</v>
      </c>
      <c r="AUV46" s="420">
        <f t="shared" si="62"/>
        <v>0</v>
      </c>
      <c r="AUW46" s="420">
        <f t="shared" si="62"/>
        <v>0</v>
      </c>
      <c r="AUX46" s="420">
        <f t="shared" si="62"/>
        <v>0</v>
      </c>
      <c r="AUY46" s="420">
        <f t="shared" si="62"/>
        <v>0</v>
      </c>
      <c r="AUZ46" s="420">
        <f t="shared" si="62"/>
        <v>0</v>
      </c>
      <c r="AVA46" s="420">
        <f t="shared" si="62"/>
        <v>0</v>
      </c>
      <c r="AVB46" s="420">
        <f t="shared" si="62"/>
        <v>0</v>
      </c>
      <c r="AVC46" s="420">
        <f t="shared" si="62"/>
        <v>0</v>
      </c>
      <c r="AVD46" s="420">
        <f t="shared" si="62"/>
        <v>0</v>
      </c>
      <c r="AVE46" s="420">
        <f t="shared" si="62"/>
        <v>0</v>
      </c>
      <c r="AVF46" s="420">
        <f t="shared" si="62"/>
        <v>0</v>
      </c>
      <c r="AVG46" s="420">
        <f t="shared" si="62"/>
        <v>0</v>
      </c>
      <c r="AVH46" s="420">
        <f t="shared" si="62"/>
        <v>0</v>
      </c>
      <c r="AVI46" s="420">
        <f t="shared" si="62"/>
        <v>0</v>
      </c>
      <c r="AVJ46" s="420">
        <f t="shared" si="62"/>
        <v>0</v>
      </c>
      <c r="AVK46" s="420">
        <f t="shared" si="62"/>
        <v>0</v>
      </c>
      <c r="AVL46" s="420">
        <f t="shared" si="62"/>
        <v>0</v>
      </c>
      <c r="AVM46" s="420">
        <f t="shared" si="62"/>
        <v>0</v>
      </c>
      <c r="AVN46" s="420">
        <f t="shared" si="62"/>
        <v>0</v>
      </c>
      <c r="AVO46" s="420">
        <f t="shared" si="62"/>
        <v>0</v>
      </c>
      <c r="AVP46" s="420">
        <f t="shared" si="62"/>
        <v>0</v>
      </c>
      <c r="AVQ46" s="420">
        <f t="shared" si="62"/>
        <v>0</v>
      </c>
      <c r="AVR46" s="420">
        <f t="shared" si="62"/>
        <v>0</v>
      </c>
      <c r="AVS46" s="420">
        <f t="shared" si="62"/>
        <v>0</v>
      </c>
      <c r="AVT46" s="420">
        <f t="shared" si="62"/>
        <v>0</v>
      </c>
      <c r="AVU46" s="420">
        <f t="shared" si="62"/>
        <v>0</v>
      </c>
      <c r="AVV46" s="420">
        <f t="shared" si="62"/>
        <v>0</v>
      </c>
      <c r="AVW46" s="420">
        <f t="shared" si="62"/>
        <v>0</v>
      </c>
      <c r="AVX46" s="420">
        <f t="shared" si="62"/>
        <v>0</v>
      </c>
      <c r="AVY46" s="420">
        <f t="shared" si="62"/>
        <v>0</v>
      </c>
      <c r="AVZ46" s="420">
        <f t="shared" si="62"/>
        <v>0</v>
      </c>
      <c r="AWA46" s="420">
        <f t="shared" si="62"/>
        <v>0</v>
      </c>
      <c r="AWB46" s="420">
        <f t="shared" si="62"/>
        <v>0</v>
      </c>
      <c r="AWC46" s="420">
        <f t="shared" si="62"/>
        <v>0</v>
      </c>
      <c r="AWD46" s="420">
        <f t="shared" si="62"/>
        <v>0</v>
      </c>
      <c r="AWE46" s="420">
        <f t="shared" si="62"/>
        <v>0</v>
      </c>
      <c r="AWF46" s="420">
        <f t="shared" si="62"/>
        <v>0</v>
      </c>
      <c r="AWG46" s="420">
        <f t="shared" si="62"/>
        <v>0</v>
      </c>
      <c r="AWH46" s="420">
        <f t="shared" si="62"/>
        <v>0</v>
      </c>
      <c r="AWI46" s="420">
        <f t="shared" si="62"/>
        <v>0</v>
      </c>
      <c r="AWJ46" s="420">
        <f t="shared" si="62"/>
        <v>0</v>
      </c>
      <c r="AWK46" s="420">
        <f t="shared" ref="AWK46:AYV46" si="63">AWK45*0.8</f>
        <v>0</v>
      </c>
      <c r="AWL46" s="420">
        <f t="shared" si="63"/>
        <v>0</v>
      </c>
      <c r="AWM46" s="420">
        <f t="shared" si="63"/>
        <v>0</v>
      </c>
      <c r="AWN46" s="420">
        <f t="shared" si="63"/>
        <v>0</v>
      </c>
      <c r="AWO46" s="420">
        <f t="shared" si="63"/>
        <v>0</v>
      </c>
      <c r="AWP46" s="420">
        <f t="shared" si="63"/>
        <v>0</v>
      </c>
      <c r="AWQ46" s="420">
        <f t="shared" si="63"/>
        <v>0</v>
      </c>
      <c r="AWR46" s="420">
        <f t="shared" si="63"/>
        <v>0</v>
      </c>
      <c r="AWS46" s="420">
        <f t="shared" si="63"/>
        <v>0</v>
      </c>
      <c r="AWT46" s="420">
        <f t="shared" si="63"/>
        <v>0</v>
      </c>
      <c r="AWU46" s="420">
        <f t="shared" si="63"/>
        <v>0</v>
      </c>
      <c r="AWV46" s="420">
        <f t="shared" si="63"/>
        <v>0</v>
      </c>
      <c r="AWW46" s="420">
        <f t="shared" si="63"/>
        <v>0</v>
      </c>
      <c r="AWX46" s="420">
        <f t="shared" si="63"/>
        <v>0</v>
      </c>
      <c r="AWY46" s="420">
        <f t="shared" si="63"/>
        <v>0</v>
      </c>
      <c r="AWZ46" s="420">
        <f t="shared" si="63"/>
        <v>0</v>
      </c>
      <c r="AXA46" s="420">
        <f t="shared" si="63"/>
        <v>0</v>
      </c>
      <c r="AXB46" s="420">
        <f t="shared" si="63"/>
        <v>0</v>
      </c>
      <c r="AXC46" s="420">
        <f t="shared" si="63"/>
        <v>0</v>
      </c>
      <c r="AXD46" s="420">
        <f t="shared" si="63"/>
        <v>0</v>
      </c>
      <c r="AXE46" s="420">
        <f t="shared" si="63"/>
        <v>0</v>
      </c>
      <c r="AXF46" s="420">
        <f t="shared" si="63"/>
        <v>0</v>
      </c>
      <c r="AXG46" s="420">
        <f t="shared" si="63"/>
        <v>0</v>
      </c>
      <c r="AXH46" s="420">
        <f t="shared" si="63"/>
        <v>0</v>
      </c>
      <c r="AXI46" s="420">
        <f t="shared" si="63"/>
        <v>0</v>
      </c>
      <c r="AXJ46" s="420">
        <f t="shared" si="63"/>
        <v>0</v>
      </c>
      <c r="AXK46" s="420">
        <f t="shared" si="63"/>
        <v>0</v>
      </c>
      <c r="AXL46" s="420">
        <f t="shared" si="63"/>
        <v>0</v>
      </c>
      <c r="AXM46" s="420">
        <f t="shared" si="63"/>
        <v>0</v>
      </c>
      <c r="AXN46" s="420">
        <f t="shared" si="63"/>
        <v>0</v>
      </c>
      <c r="AXO46" s="420">
        <f t="shared" si="63"/>
        <v>0</v>
      </c>
      <c r="AXP46" s="420">
        <f t="shared" si="63"/>
        <v>0</v>
      </c>
      <c r="AXQ46" s="420">
        <f t="shared" si="63"/>
        <v>0</v>
      </c>
      <c r="AXR46" s="420">
        <f t="shared" si="63"/>
        <v>0</v>
      </c>
      <c r="AXS46" s="420">
        <f t="shared" si="63"/>
        <v>0</v>
      </c>
      <c r="AXT46" s="420">
        <f t="shared" si="63"/>
        <v>0</v>
      </c>
      <c r="AXU46" s="420">
        <f t="shared" si="63"/>
        <v>0</v>
      </c>
      <c r="AXV46" s="420">
        <f t="shared" si="63"/>
        <v>0</v>
      </c>
      <c r="AXW46" s="420">
        <f t="shared" si="63"/>
        <v>0</v>
      </c>
      <c r="AXX46" s="420">
        <f t="shared" si="63"/>
        <v>0</v>
      </c>
      <c r="AXY46" s="420">
        <f t="shared" si="63"/>
        <v>0</v>
      </c>
      <c r="AXZ46" s="420">
        <f t="shared" si="63"/>
        <v>0</v>
      </c>
      <c r="AYA46" s="420">
        <f t="shared" si="63"/>
        <v>0</v>
      </c>
      <c r="AYB46" s="420">
        <f t="shared" si="63"/>
        <v>0</v>
      </c>
      <c r="AYC46" s="420">
        <f t="shared" si="63"/>
        <v>0</v>
      </c>
      <c r="AYD46" s="420">
        <f t="shared" si="63"/>
        <v>0</v>
      </c>
      <c r="AYE46" s="420">
        <f t="shared" si="63"/>
        <v>0</v>
      </c>
      <c r="AYF46" s="420">
        <f t="shared" si="63"/>
        <v>0</v>
      </c>
      <c r="AYG46" s="420">
        <f t="shared" si="63"/>
        <v>0</v>
      </c>
      <c r="AYH46" s="420">
        <f t="shared" si="63"/>
        <v>0</v>
      </c>
      <c r="AYI46" s="420">
        <f t="shared" si="63"/>
        <v>0</v>
      </c>
      <c r="AYJ46" s="420">
        <f t="shared" si="63"/>
        <v>0</v>
      </c>
      <c r="AYK46" s="420">
        <f t="shared" si="63"/>
        <v>0</v>
      </c>
      <c r="AYL46" s="420">
        <f t="shared" si="63"/>
        <v>0</v>
      </c>
      <c r="AYM46" s="420">
        <f t="shared" si="63"/>
        <v>0</v>
      </c>
      <c r="AYN46" s="420">
        <f t="shared" si="63"/>
        <v>0</v>
      </c>
      <c r="AYO46" s="420">
        <f t="shared" si="63"/>
        <v>0</v>
      </c>
      <c r="AYP46" s="420">
        <f t="shared" si="63"/>
        <v>0</v>
      </c>
      <c r="AYQ46" s="420">
        <f t="shared" si="63"/>
        <v>0</v>
      </c>
      <c r="AYR46" s="420">
        <f t="shared" si="63"/>
        <v>0</v>
      </c>
      <c r="AYS46" s="420">
        <f t="shared" si="63"/>
        <v>0</v>
      </c>
      <c r="AYT46" s="420">
        <f t="shared" si="63"/>
        <v>0</v>
      </c>
      <c r="AYU46" s="420">
        <f t="shared" si="63"/>
        <v>0</v>
      </c>
      <c r="AYV46" s="420">
        <f t="shared" si="63"/>
        <v>0</v>
      </c>
      <c r="AYW46" s="420">
        <f t="shared" ref="AYW46:BBH46" si="64">AYW45*0.8</f>
        <v>0</v>
      </c>
      <c r="AYX46" s="420">
        <f t="shared" si="64"/>
        <v>0</v>
      </c>
      <c r="AYY46" s="420">
        <f t="shared" si="64"/>
        <v>0</v>
      </c>
      <c r="AYZ46" s="420">
        <f t="shared" si="64"/>
        <v>0</v>
      </c>
      <c r="AZA46" s="420">
        <f t="shared" si="64"/>
        <v>0</v>
      </c>
      <c r="AZB46" s="420">
        <f t="shared" si="64"/>
        <v>0</v>
      </c>
      <c r="AZC46" s="420">
        <f t="shared" si="64"/>
        <v>0</v>
      </c>
      <c r="AZD46" s="420">
        <f t="shared" si="64"/>
        <v>0</v>
      </c>
      <c r="AZE46" s="420">
        <f t="shared" si="64"/>
        <v>0</v>
      </c>
      <c r="AZF46" s="420">
        <f t="shared" si="64"/>
        <v>0</v>
      </c>
      <c r="AZG46" s="420">
        <f t="shared" si="64"/>
        <v>0</v>
      </c>
      <c r="AZH46" s="420">
        <f t="shared" si="64"/>
        <v>0</v>
      </c>
      <c r="AZI46" s="420">
        <f t="shared" si="64"/>
        <v>0</v>
      </c>
      <c r="AZJ46" s="420">
        <f t="shared" si="64"/>
        <v>0</v>
      </c>
      <c r="AZK46" s="420">
        <f t="shared" si="64"/>
        <v>0</v>
      </c>
      <c r="AZL46" s="420">
        <f t="shared" si="64"/>
        <v>0</v>
      </c>
      <c r="AZM46" s="420">
        <f t="shared" si="64"/>
        <v>0</v>
      </c>
      <c r="AZN46" s="420">
        <f t="shared" si="64"/>
        <v>0</v>
      </c>
      <c r="AZO46" s="420">
        <f t="shared" si="64"/>
        <v>0</v>
      </c>
      <c r="AZP46" s="420">
        <f t="shared" si="64"/>
        <v>0</v>
      </c>
      <c r="AZQ46" s="420">
        <f t="shared" si="64"/>
        <v>0</v>
      </c>
      <c r="AZR46" s="420">
        <f t="shared" si="64"/>
        <v>0</v>
      </c>
      <c r="AZS46" s="420">
        <f t="shared" si="64"/>
        <v>0</v>
      </c>
      <c r="AZT46" s="420">
        <f t="shared" si="64"/>
        <v>0</v>
      </c>
      <c r="AZU46" s="420">
        <f t="shared" si="64"/>
        <v>0</v>
      </c>
      <c r="AZV46" s="420">
        <f t="shared" si="64"/>
        <v>0</v>
      </c>
      <c r="AZW46" s="420">
        <f t="shared" si="64"/>
        <v>0</v>
      </c>
      <c r="AZX46" s="420">
        <f t="shared" si="64"/>
        <v>0</v>
      </c>
      <c r="AZY46" s="420">
        <f t="shared" si="64"/>
        <v>0</v>
      </c>
      <c r="AZZ46" s="420">
        <f t="shared" si="64"/>
        <v>0</v>
      </c>
      <c r="BAA46" s="420">
        <f t="shared" si="64"/>
        <v>0</v>
      </c>
      <c r="BAB46" s="420">
        <f t="shared" si="64"/>
        <v>0</v>
      </c>
      <c r="BAC46" s="420">
        <f t="shared" si="64"/>
        <v>0</v>
      </c>
      <c r="BAD46" s="420">
        <f t="shared" si="64"/>
        <v>0</v>
      </c>
      <c r="BAE46" s="420">
        <f t="shared" si="64"/>
        <v>0</v>
      </c>
      <c r="BAF46" s="420">
        <f t="shared" si="64"/>
        <v>0</v>
      </c>
      <c r="BAG46" s="420">
        <f t="shared" si="64"/>
        <v>0</v>
      </c>
      <c r="BAH46" s="420">
        <f t="shared" si="64"/>
        <v>0</v>
      </c>
      <c r="BAI46" s="420">
        <f t="shared" si="64"/>
        <v>0</v>
      </c>
      <c r="BAJ46" s="420">
        <f t="shared" si="64"/>
        <v>0</v>
      </c>
      <c r="BAK46" s="420">
        <f t="shared" si="64"/>
        <v>0</v>
      </c>
      <c r="BAL46" s="420">
        <f t="shared" si="64"/>
        <v>0</v>
      </c>
      <c r="BAM46" s="420">
        <f t="shared" si="64"/>
        <v>0</v>
      </c>
      <c r="BAN46" s="420">
        <f t="shared" si="64"/>
        <v>0</v>
      </c>
      <c r="BAO46" s="420">
        <f t="shared" si="64"/>
        <v>0</v>
      </c>
      <c r="BAP46" s="420">
        <f t="shared" si="64"/>
        <v>0</v>
      </c>
      <c r="BAQ46" s="420">
        <f t="shared" si="64"/>
        <v>0</v>
      </c>
      <c r="BAR46" s="420">
        <f t="shared" si="64"/>
        <v>0</v>
      </c>
      <c r="BAS46" s="420">
        <f t="shared" si="64"/>
        <v>0</v>
      </c>
      <c r="BAT46" s="420">
        <f t="shared" si="64"/>
        <v>0</v>
      </c>
      <c r="BAU46" s="420">
        <f t="shared" si="64"/>
        <v>0</v>
      </c>
      <c r="BAV46" s="420">
        <f t="shared" si="64"/>
        <v>0</v>
      </c>
      <c r="BAW46" s="420">
        <f t="shared" si="64"/>
        <v>0</v>
      </c>
      <c r="BAX46" s="420">
        <f t="shared" si="64"/>
        <v>0</v>
      </c>
      <c r="BAY46" s="420">
        <f t="shared" si="64"/>
        <v>0</v>
      </c>
      <c r="BAZ46" s="420">
        <f t="shared" si="64"/>
        <v>0</v>
      </c>
      <c r="BBA46" s="420">
        <f t="shared" si="64"/>
        <v>0</v>
      </c>
      <c r="BBB46" s="420">
        <f t="shared" si="64"/>
        <v>0</v>
      </c>
      <c r="BBC46" s="420">
        <f t="shared" si="64"/>
        <v>0</v>
      </c>
      <c r="BBD46" s="420">
        <f t="shared" si="64"/>
        <v>0</v>
      </c>
      <c r="BBE46" s="420">
        <f t="shared" si="64"/>
        <v>0</v>
      </c>
      <c r="BBF46" s="420">
        <f t="shared" si="64"/>
        <v>0</v>
      </c>
      <c r="BBG46" s="420">
        <f t="shared" si="64"/>
        <v>0</v>
      </c>
      <c r="BBH46" s="420">
        <f t="shared" si="64"/>
        <v>0</v>
      </c>
      <c r="BBI46" s="420">
        <f t="shared" ref="BBI46:BDT46" si="65">BBI45*0.8</f>
        <v>0</v>
      </c>
      <c r="BBJ46" s="420">
        <f t="shared" si="65"/>
        <v>0</v>
      </c>
      <c r="BBK46" s="420">
        <f t="shared" si="65"/>
        <v>0</v>
      </c>
      <c r="BBL46" s="420">
        <f t="shared" si="65"/>
        <v>0</v>
      </c>
      <c r="BBM46" s="420">
        <f t="shared" si="65"/>
        <v>0</v>
      </c>
      <c r="BBN46" s="420">
        <f t="shared" si="65"/>
        <v>0</v>
      </c>
      <c r="BBO46" s="420">
        <f t="shared" si="65"/>
        <v>0</v>
      </c>
      <c r="BBP46" s="420">
        <f t="shared" si="65"/>
        <v>0</v>
      </c>
      <c r="BBQ46" s="420">
        <f t="shared" si="65"/>
        <v>0</v>
      </c>
      <c r="BBR46" s="420">
        <f t="shared" si="65"/>
        <v>0</v>
      </c>
      <c r="BBS46" s="420">
        <f t="shared" si="65"/>
        <v>0</v>
      </c>
      <c r="BBT46" s="420">
        <f t="shared" si="65"/>
        <v>0</v>
      </c>
      <c r="BBU46" s="420">
        <f t="shared" si="65"/>
        <v>0</v>
      </c>
      <c r="BBV46" s="420">
        <f t="shared" si="65"/>
        <v>0</v>
      </c>
      <c r="BBW46" s="420">
        <f t="shared" si="65"/>
        <v>0</v>
      </c>
      <c r="BBX46" s="420">
        <f t="shared" si="65"/>
        <v>0</v>
      </c>
      <c r="BBY46" s="420">
        <f t="shared" si="65"/>
        <v>0</v>
      </c>
      <c r="BBZ46" s="420">
        <f t="shared" si="65"/>
        <v>0</v>
      </c>
      <c r="BCA46" s="420">
        <f t="shared" si="65"/>
        <v>0</v>
      </c>
      <c r="BCB46" s="420">
        <f t="shared" si="65"/>
        <v>0</v>
      </c>
      <c r="BCC46" s="420">
        <f t="shared" si="65"/>
        <v>0</v>
      </c>
      <c r="BCD46" s="420">
        <f t="shared" si="65"/>
        <v>0</v>
      </c>
      <c r="BCE46" s="420">
        <f t="shared" si="65"/>
        <v>0</v>
      </c>
      <c r="BCF46" s="420">
        <f t="shared" si="65"/>
        <v>0</v>
      </c>
      <c r="BCG46" s="420">
        <f t="shared" si="65"/>
        <v>0</v>
      </c>
      <c r="BCH46" s="420">
        <f t="shared" si="65"/>
        <v>0</v>
      </c>
      <c r="BCI46" s="420">
        <f t="shared" si="65"/>
        <v>0</v>
      </c>
      <c r="BCJ46" s="420">
        <f t="shared" si="65"/>
        <v>0</v>
      </c>
      <c r="BCK46" s="420">
        <f t="shared" si="65"/>
        <v>0</v>
      </c>
      <c r="BCL46" s="420">
        <f t="shared" si="65"/>
        <v>0</v>
      </c>
      <c r="BCM46" s="420">
        <f t="shared" si="65"/>
        <v>0</v>
      </c>
      <c r="BCN46" s="420">
        <f t="shared" si="65"/>
        <v>0</v>
      </c>
      <c r="BCO46" s="420">
        <f t="shared" si="65"/>
        <v>0</v>
      </c>
      <c r="BCP46" s="420">
        <f t="shared" si="65"/>
        <v>0</v>
      </c>
      <c r="BCQ46" s="420">
        <f t="shared" si="65"/>
        <v>0</v>
      </c>
      <c r="BCR46" s="420">
        <f t="shared" si="65"/>
        <v>0</v>
      </c>
      <c r="BCS46" s="420">
        <f t="shared" si="65"/>
        <v>0</v>
      </c>
      <c r="BCT46" s="420">
        <f t="shared" si="65"/>
        <v>0</v>
      </c>
      <c r="BCU46" s="420">
        <f t="shared" si="65"/>
        <v>0</v>
      </c>
      <c r="BCV46" s="420">
        <f t="shared" si="65"/>
        <v>0</v>
      </c>
      <c r="BCW46" s="420">
        <f t="shared" si="65"/>
        <v>0</v>
      </c>
      <c r="BCX46" s="420">
        <f t="shared" si="65"/>
        <v>0</v>
      </c>
      <c r="BCY46" s="420">
        <f t="shared" si="65"/>
        <v>0</v>
      </c>
      <c r="BCZ46" s="420">
        <f t="shared" si="65"/>
        <v>0</v>
      </c>
      <c r="BDA46" s="420">
        <f t="shared" si="65"/>
        <v>0</v>
      </c>
      <c r="BDB46" s="420">
        <f t="shared" si="65"/>
        <v>0</v>
      </c>
      <c r="BDC46" s="420">
        <f t="shared" si="65"/>
        <v>0</v>
      </c>
      <c r="BDD46" s="420">
        <f t="shared" si="65"/>
        <v>0</v>
      </c>
      <c r="BDE46" s="420">
        <f t="shared" si="65"/>
        <v>0</v>
      </c>
      <c r="BDF46" s="420">
        <f t="shared" si="65"/>
        <v>0</v>
      </c>
      <c r="BDG46" s="420">
        <f t="shared" si="65"/>
        <v>0</v>
      </c>
      <c r="BDH46" s="420">
        <f t="shared" si="65"/>
        <v>0</v>
      </c>
      <c r="BDI46" s="420">
        <f t="shared" si="65"/>
        <v>0</v>
      </c>
      <c r="BDJ46" s="420">
        <f t="shared" si="65"/>
        <v>0</v>
      </c>
      <c r="BDK46" s="420">
        <f t="shared" si="65"/>
        <v>0</v>
      </c>
      <c r="BDL46" s="420">
        <f t="shared" si="65"/>
        <v>0</v>
      </c>
      <c r="BDM46" s="420">
        <f t="shared" si="65"/>
        <v>0</v>
      </c>
      <c r="BDN46" s="420">
        <f t="shared" si="65"/>
        <v>0</v>
      </c>
      <c r="BDO46" s="420">
        <f t="shared" si="65"/>
        <v>0</v>
      </c>
      <c r="BDP46" s="420">
        <f t="shared" si="65"/>
        <v>0</v>
      </c>
      <c r="BDQ46" s="420">
        <f t="shared" si="65"/>
        <v>0</v>
      </c>
      <c r="BDR46" s="420">
        <f t="shared" si="65"/>
        <v>0</v>
      </c>
      <c r="BDS46" s="420">
        <f t="shared" si="65"/>
        <v>0</v>
      </c>
      <c r="BDT46" s="420">
        <f t="shared" si="65"/>
        <v>0</v>
      </c>
      <c r="BDU46" s="420">
        <f t="shared" ref="BDU46:BGF46" si="66">BDU45*0.8</f>
        <v>0</v>
      </c>
      <c r="BDV46" s="420">
        <f t="shared" si="66"/>
        <v>0</v>
      </c>
      <c r="BDW46" s="420">
        <f t="shared" si="66"/>
        <v>0</v>
      </c>
      <c r="BDX46" s="420">
        <f t="shared" si="66"/>
        <v>0</v>
      </c>
      <c r="BDY46" s="420">
        <f t="shared" si="66"/>
        <v>0</v>
      </c>
      <c r="BDZ46" s="420">
        <f t="shared" si="66"/>
        <v>0</v>
      </c>
      <c r="BEA46" s="420">
        <f t="shared" si="66"/>
        <v>0</v>
      </c>
      <c r="BEB46" s="420">
        <f t="shared" si="66"/>
        <v>0</v>
      </c>
      <c r="BEC46" s="420">
        <f t="shared" si="66"/>
        <v>0</v>
      </c>
      <c r="BED46" s="420">
        <f t="shared" si="66"/>
        <v>0</v>
      </c>
      <c r="BEE46" s="420">
        <f t="shared" si="66"/>
        <v>0</v>
      </c>
      <c r="BEF46" s="420">
        <f t="shared" si="66"/>
        <v>0</v>
      </c>
      <c r="BEG46" s="420">
        <f t="shared" si="66"/>
        <v>0</v>
      </c>
      <c r="BEH46" s="420">
        <f t="shared" si="66"/>
        <v>0</v>
      </c>
      <c r="BEI46" s="420">
        <f t="shared" si="66"/>
        <v>0</v>
      </c>
      <c r="BEJ46" s="420">
        <f t="shared" si="66"/>
        <v>0</v>
      </c>
      <c r="BEK46" s="420">
        <f t="shared" si="66"/>
        <v>0</v>
      </c>
      <c r="BEL46" s="420">
        <f t="shared" si="66"/>
        <v>0</v>
      </c>
      <c r="BEM46" s="420">
        <f t="shared" si="66"/>
        <v>0</v>
      </c>
      <c r="BEN46" s="420">
        <f t="shared" si="66"/>
        <v>0</v>
      </c>
      <c r="BEO46" s="420">
        <f t="shared" si="66"/>
        <v>0</v>
      </c>
      <c r="BEP46" s="420">
        <f t="shared" si="66"/>
        <v>0</v>
      </c>
      <c r="BEQ46" s="420">
        <f t="shared" si="66"/>
        <v>0</v>
      </c>
      <c r="BER46" s="420">
        <f t="shared" si="66"/>
        <v>0</v>
      </c>
      <c r="BES46" s="420">
        <f t="shared" si="66"/>
        <v>0</v>
      </c>
      <c r="BET46" s="420">
        <f t="shared" si="66"/>
        <v>0</v>
      </c>
      <c r="BEU46" s="420">
        <f t="shared" si="66"/>
        <v>0</v>
      </c>
      <c r="BEV46" s="420">
        <f t="shared" si="66"/>
        <v>0</v>
      </c>
      <c r="BEW46" s="420">
        <f t="shared" si="66"/>
        <v>0</v>
      </c>
      <c r="BEX46" s="420">
        <f t="shared" si="66"/>
        <v>0</v>
      </c>
      <c r="BEY46" s="420">
        <f t="shared" si="66"/>
        <v>0</v>
      </c>
      <c r="BEZ46" s="420">
        <f t="shared" si="66"/>
        <v>0</v>
      </c>
      <c r="BFA46" s="420">
        <f t="shared" si="66"/>
        <v>0</v>
      </c>
      <c r="BFB46" s="420">
        <f t="shared" si="66"/>
        <v>0</v>
      </c>
      <c r="BFC46" s="420">
        <f t="shared" si="66"/>
        <v>0</v>
      </c>
      <c r="BFD46" s="420">
        <f t="shared" si="66"/>
        <v>0</v>
      </c>
      <c r="BFE46" s="420">
        <f t="shared" si="66"/>
        <v>0</v>
      </c>
      <c r="BFF46" s="420">
        <f t="shared" si="66"/>
        <v>0</v>
      </c>
      <c r="BFG46" s="420">
        <f t="shared" si="66"/>
        <v>0</v>
      </c>
      <c r="BFH46" s="420">
        <f t="shared" si="66"/>
        <v>0</v>
      </c>
      <c r="BFI46" s="420">
        <f t="shared" si="66"/>
        <v>0</v>
      </c>
      <c r="BFJ46" s="420">
        <f t="shared" si="66"/>
        <v>0</v>
      </c>
      <c r="BFK46" s="420">
        <f t="shared" si="66"/>
        <v>0</v>
      </c>
      <c r="BFL46" s="420">
        <f t="shared" si="66"/>
        <v>0</v>
      </c>
      <c r="BFM46" s="420">
        <f t="shared" si="66"/>
        <v>0</v>
      </c>
      <c r="BFN46" s="420">
        <f t="shared" si="66"/>
        <v>0</v>
      </c>
      <c r="BFO46" s="420">
        <f t="shared" si="66"/>
        <v>0</v>
      </c>
      <c r="BFP46" s="420">
        <f t="shared" si="66"/>
        <v>0</v>
      </c>
      <c r="BFQ46" s="420">
        <f t="shared" si="66"/>
        <v>0</v>
      </c>
      <c r="BFR46" s="420">
        <f t="shared" si="66"/>
        <v>0</v>
      </c>
      <c r="BFS46" s="420">
        <f t="shared" si="66"/>
        <v>0</v>
      </c>
      <c r="BFT46" s="420">
        <f t="shared" si="66"/>
        <v>0</v>
      </c>
      <c r="BFU46" s="420">
        <f t="shared" si="66"/>
        <v>0</v>
      </c>
      <c r="BFV46" s="420">
        <f t="shared" si="66"/>
        <v>0</v>
      </c>
      <c r="BFW46" s="420">
        <f t="shared" si="66"/>
        <v>0</v>
      </c>
      <c r="BFX46" s="420">
        <f t="shared" si="66"/>
        <v>0</v>
      </c>
      <c r="BFY46" s="420">
        <f t="shared" si="66"/>
        <v>0</v>
      </c>
      <c r="BFZ46" s="420">
        <f t="shared" si="66"/>
        <v>0</v>
      </c>
      <c r="BGA46" s="420">
        <f t="shared" si="66"/>
        <v>0</v>
      </c>
      <c r="BGB46" s="420">
        <f t="shared" si="66"/>
        <v>0</v>
      </c>
      <c r="BGC46" s="420">
        <f t="shared" si="66"/>
        <v>0</v>
      </c>
      <c r="BGD46" s="420">
        <f t="shared" si="66"/>
        <v>0</v>
      </c>
      <c r="BGE46" s="420">
        <f t="shared" si="66"/>
        <v>0</v>
      </c>
      <c r="BGF46" s="420">
        <f t="shared" si="66"/>
        <v>0</v>
      </c>
      <c r="BGG46" s="420">
        <f t="shared" ref="BGG46:BIR46" si="67">BGG45*0.8</f>
        <v>0</v>
      </c>
      <c r="BGH46" s="420">
        <f t="shared" si="67"/>
        <v>0</v>
      </c>
      <c r="BGI46" s="420">
        <f t="shared" si="67"/>
        <v>0</v>
      </c>
      <c r="BGJ46" s="420">
        <f t="shared" si="67"/>
        <v>0</v>
      </c>
      <c r="BGK46" s="420">
        <f t="shared" si="67"/>
        <v>0</v>
      </c>
      <c r="BGL46" s="420">
        <f t="shared" si="67"/>
        <v>0</v>
      </c>
      <c r="BGM46" s="420">
        <f t="shared" si="67"/>
        <v>0</v>
      </c>
      <c r="BGN46" s="420">
        <f t="shared" si="67"/>
        <v>0</v>
      </c>
      <c r="BGO46" s="420">
        <f t="shared" si="67"/>
        <v>0</v>
      </c>
      <c r="BGP46" s="420">
        <f t="shared" si="67"/>
        <v>0</v>
      </c>
      <c r="BGQ46" s="420">
        <f t="shared" si="67"/>
        <v>0</v>
      </c>
      <c r="BGR46" s="420">
        <f t="shared" si="67"/>
        <v>0</v>
      </c>
      <c r="BGS46" s="420">
        <f t="shared" si="67"/>
        <v>0</v>
      </c>
      <c r="BGT46" s="420">
        <f t="shared" si="67"/>
        <v>0</v>
      </c>
      <c r="BGU46" s="420">
        <f t="shared" si="67"/>
        <v>0</v>
      </c>
      <c r="BGV46" s="420">
        <f t="shared" si="67"/>
        <v>0</v>
      </c>
      <c r="BGW46" s="420">
        <f t="shared" si="67"/>
        <v>0</v>
      </c>
      <c r="BGX46" s="420">
        <f t="shared" si="67"/>
        <v>0</v>
      </c>
      <c r="BGY46" s="420">
        <f t="shared" si="67"/>
        <v>0</v>
      </c>
      <c r="BGZ46" s="420">
        <f t="shared" si="67"/>
        <v>0</v>
      </c>
      <c r="BHA46" s="420">
        <f t="shared" si="67"/>
        <v>0</v>
      </c>
      <c r="BHB46" s="420">
        <f t="shared" si="67"/>
        <v>0</v>
      </c>
      <c r="BHC46" s="420">
        <f t="shared" si="67"/>
        <v>0</v>
      </c>
      <c r="BHD46" s="420">
        <f t="shared" si="67"/>
        <v>0</v>
      </c>
      <c r="BHE46" s="420">
        <f t="shared" si="67"/>
        <v>0</v>
      </c>
      <c r="BHF46" s="420">
        <f t="shared" si="67"/>
        <v>0</v>
      </c>
      <c r="BHG46" s="420">
        <f t="shared" si="67"/>
        <v>0</v>
      </c>
      <c r="BHH46" s="420">
        <f t="shared" si="67"/>
        <v>0</v>
      </c>
      <c r="BHI46" s="420">
        <f t="shared" si="67"/>
        <v>0</v>
      </c>
      <c r="BHJ46" s="420">
        <f t="shared" si="67"/>
        <v>0</v>
      </c>
      <c r="BHK46" s="420">
        <f t="shared" si="67"/>
        <v>0</v>
      </c>
      <c r="BHL46" s="420">
        <f t="shared" si="67"/>
        <v>0</v>
      </c>
      <c r="BHM46" s="420">
        <f t="shared" si="67"/>
        <v>0</v>
      </c>
      <c r="BHN46" s="420">
        <f t="shared" si="67"/>
        <v>0</v>
      </c>
      <c r="BHO46" s="420">
        <f t="shared" si="67"/>
        <v>0</v>
      </c>
      <c r="BHP46" s="420">
        <f t="shared" si="67"/>
        <v>0</v>
      </c>
      <c r="BHQ46" s="420">
        <f t="shared" si="67"/>
        <v>0</v>
      </c>
      <c r="BHR46" s="420">
        <f t="shared" si="67"/>
        <v>0</v>
      </c>
      <c r="BHS46" s="420">
        <f t="shared" si="67"/>
        <v>0</v>
      </c>
      <c r="BHT46" s="420">
        <f t="shared" si="67"/>
        <v>0</v>
      </c>
      <c r="BHU46" s="420">
        <f t="shared" si="67"/>
        <v>0</v>
      </c>
      <c r="BHV46" s="420">
        <f t="shared" si="67"/>
        <v>0</v>
      </c>
      <c r="BHW46" s="420">
        <f t="shared" si="67"/>
        <v>0</v>
      </c>
      <c r="BHX46" s="420">
        <f t="shared" si="67"/>
        <v>0</v>
      </c>
      <c r="BHY46" s="420">
        <f t="shared" si="67"/>
        <v>0</v>
      </c>
      <c r="BHZ46" s="420">
        <f t="shared" si="67"/>
        <v>0</v>
      </c>
      <c r="BIA46" s="420">
        <f t="shared" si="67"/>
        <v>0</v>
      </c>
      <c r="BIB46" s="420">
        <f t="shared" si="67"/>
        <v>0</v>
      </c>
      <c r="BIC46" s="420">
        <f t="shared" si="67"/>
        <v>0</v>
      </c>
      <c r="BID46" s="420">
        <f t="shared" si="67"/>
        <v>0</v>
      </c>
      <c r="BIE46" s="420">
        <f t="shared" si="67"/>
        <v>0</v>
      </c>
      <c r="BIF46" s="420">
        <f t="shared" si="67"/>
        <v>0</v>
      </c>
      <c r="BIG46" s="420">
        <f t="shared" si="67"/>
        <v>0</v>
      </c>
      <c r="BIH46" s="420">
        <f t="shared" si="67"/>
        <v>0</v>
      </c>
      <c r="BII46" s="420">
        <f t="shared" si="67"/>
        <v>0</v>
      </c>
      <c r="BIJ46" s="420">
        <f t="shared" si="67"/>
        <v>0</v>
      </c>
      <c r="BIK46" s="420">
        <f t="shared" si="67"/>
        <v>0</v>
      </c>
      <c r="BIL46" s="420">
        <f t="shared" si="67"/>
        <v>0</v>
      </c>
      <c r="BIM46" s="420">
        <f t="shared" si="67"/>
        <v>0</v>
      </c>
      <c r="BIN46" s="420">
        <f t="shared" si="67"/>
        <v>0</v>
      </c>
      <c r="BIO46" s="420">
        <f t="shared" si="67"/>
        <v>0</v>
      </c>
      <c r="BIP46" s="420">
        <f t="shared" si="67"/>
        <v>0</v>
      </c>
      <c r="BIQ46" s="420">
        <f t="shared" si="67"/>
        <v>0</v>
      </c>
      <c r="BIR46" s="420">
        <f t="shared" si="67"/>
        <v>0</v>
      </c>
      <c r="BIS46" s="420">
        <f t="shared" ref="BIS46:BLD46" si="68">BIS45*0.8</f>
        <v>0</v>
      </c>
      <c r="BIT46" s="420">
        <f t="shared" si="68"/>
        <v>0</v>
      </c>
      <c r="BIU46" s="420">
        <f t="shared" si="68"/>
        <v>0</v>
      </c>
      <c r="BIV46" s="420">
        <f t="shared" si="68"/>
        <v>0</v>
      </c>
      <c r="BIW46" s="420">
        <f t="shared" si="68"/>
        <v>0</v>
      </c>
      <c r="BIX46" s="420">
        <f t="shared" si="68"/>
        <v>0</v>
      </c>
      <c r="BIY46" s="420">
        <f t="shared" si="68"/>
        <v>0</v>
      </c>
      <c r="BIZ46" s="420">
        <f t="shared" si="68"/>
        <v>0</v>
      </c>
      <c r="BJA46" s="420">
        <f t="shared" si="68"/>
        <v>0</v>
      </c>
      <c r="BJB46" s="420">
        <f t="shared" si="68"/>
        <v>0</v>
      </c>
      <c r="BJC46" s="420">
        <f t="shared" si="68"/>
        <v>0</v>
      </c>
      <c r="BJD46" s="420">
        <f t="shared" si="68"/>
        <v>0</v>
      </c>
      <c r="BJE46" s="420">
        <f t="shared" si="68"/>
        <v>0</v>
      </c>
      <c r="BJF46" s="420">
        <f t="shared" si="68"/>
        <v>0</v>
      </c>
      <c r="BJG46" s="420">
        <f t="shared" si="68"/>
        <v>0</v>
      </c>
      <c r="BJH46" s="420">
        <f t="shared" si="68"/>
        <v>0</v>
      </c>
      <c r="BJI46" s="420">
        <f t="shared" si="68"/>
        <v>0</v>
      </c>
      <c r="BJJ46" s="420">
        <f t="shared" si="68"/>
        <v>0</v>
      </c>
      <c r="BJK46" s="420">
        <f t="shared" si="68"/>
        <v>0</v>
      </c>
      <c r="BJL46" s="420">
        <f t="shared" si="68"/>
        <v>0</v>
      </c>
      <c r="BJM46" s="420">
        <f t="shared" si="68"/>
        <v>0</v>
      </c>
      <c r="BJN46" s="420">
        <f t="shared" si="68"/>
        <v>0</v>
      </c>
      <c r="BJO46" s="420">
        <f t="shared" si="68"/>
        <v>0</v>
      </c>
      <c r="BJP46" s="420">
        <f t="shared" si="68"/>
        <v>0</v>
      </c>
      <c r="BJQ46" s="420">
        <f t="shared" si="68"/>
        <v>0</v>
      </c>
      <c r="BJR46" s="420">
        <f t="shared" si="68"/>
        <v>0</v>
      </c>
      <c r="BJS46" s="420">
        <f t="shared" si="68"/>
        <v>0</v>
      </c>
      <c r="BJT46" s="420">
        <f t="shared" si="68"/>
        <v>0</v>
      </c>
      <c r="BJU46" s="420">
        <f t="shared" si="68"/>
        <v>0</v>
      </c>
      <c r="BJV46" s="420">
        <f t="shared" si="68"/>
        <v>0</v>
      </c>
      <c r="BJW46" s="420">
        <f t="shared" si="68"/>
        <v>0</v>
      </c>
      <c r="BJX46" s="420">
        <f t="shared" si="68"/>
        <v>0</v>
      </c>
      <c r="BJY46" s="420">
        <f t="shared" si="68"/>
        <v>0</v>
      </c>
      <c r="BJZ46" s="420">
        <f t="shared" si="68"/>
        <v>0</v>
      </c>
      <c r="BKA46" s="420">
        <f t="shared" si="68"/>
        <v>0</v>
      </c>
      <c r="BKB46" s="420">
        <f t="shared" si="68"/>
        <v>0</v>
      </c>
      <c r="BKC46" s="420">
        <f t="shared" si="68"/>
        <v>0</v>
      </c>
      <c r="BKD46" s="420">
        <f t="shared" si="68"/>
        <v>0</v>
      </c>
      <c r="BKE46" s="420">
        <f t="shared" si="68"/>
        <v>0</v>
      </c>
      <c r="BKF46" s="420">
        <f t="shared" si="68"/>
        <v>0</v>
      </c>
      <c r="BKG46" s="420">
        <f t="shared" si="68"/>
        <v>0</v>
      </c>
      <c r="BKH46" s="420">
        <f t="shared" si="68"/>
        <v>0</v>
      </c>
      <c r="BKI46" s="420">
        <f t="shared" si="68"/>
        <v>0</v>
      </c>
      <c r="BKJ46" s="420">
        <f t="shared" si="68"/>
        <v>0</v>
      </c>
      <c r="BKK46" s="420">
        <f t="shared" si="68"/>
        <v>0</v>
      </c>
      <c r="BKL46" s="420">
        <f t="shared" si="68"/>
        <v>0</v>
      </c>
      <c r="BKM46" s="420">
        <f t="shared" si="68"/>
        <v>0</v>
      </c>
      <c r="BKN46" s="420">
        <f t="shared" si="68"/>
        <v>0</v>
      </c>
      <c r="BKO46" s="420">
        <f t="shared" si="68"/>
        <v>0</v>
      </c>
      <c r="BKP46" s="420">
        <f t="shared" si="68"/>
        <v>0</v>
      </c>
      <c r="BKQ46" s="420">
        <f t="shared" si="68"/>
        <v>0</v>
      </c>
      <c r="BKR46" s="420">
        <f t="shared" si="68"/>
        <v>0</v>
      </c>
      <c r="BKS46" s="420">
        <f t="shared" si="68"/>
        <v>0</v>
      </c>
      <c r="BKT46" s="420">
        <f t="shared" si="68"/>
        <v>0</v>
      </c>
      <c r="BKU46" s="420">
        <f t="shared" si="68"/>
        <v>0</v>
      </c>
      <c r="BKV46" s="420">
        <f t="shared" si="68"/>
        <v>0</v>
      </c>
      <c r="BKW46" s="420">
        <f t="shared" si="68"/>
        <v>0</v>
      </c>
      <c r="BKX46" s="420">
        <f t="shared" si="68"/>
        <v>0</v>
      </c>
      <c r="BKY46" s="420">
        <f t="shared" si="68"/>
        <v>0</v>
      </c>
      <c r="BKZ46" s="420">
        <f t="shared" si="68"/>
        <v>0</v>
      </c>
      <c r="BLA46" s="420">
        <f t="shared" si="68"/>
        <v>0</v>
      </c>
      <c r="BLB46" s="420">
        <f t="shared" si="68"/>
        <v>0</v>
      </c>
      <c r="BLC46" s="420">
        <f t="shared" si="68"/>
        <v>0</v>
      </c>
      <c r="BLD46" s="420">
        <f t="shared" si="68"/>
        <v>0</v>
      </c>
      <c r="BLE46" s="420">
        <f t="shared" ref="BLE46:BNP46" si="69">BLE45*0.8</f>
        <v>0</v>
      </c>
      <c r="BLF46" s="420">
        <f t="shared" si="69"/>
        <v>0</v>
      </c>
      <c r="BLG46" s="420">
        <f t="shared" si="69"/>
        <v>0</v>
      </c>
      <c r="BLH46" s="420">
        <f t="shared" si="69"/>
        <v>0</v>
      </c>
      <c r="BLI46" s="420">
        <f t="shared" si="69"/>
        <v>0</v>
      </c>
      <c r="BLJ46" s="420">
        <f t="shared" si="69"/>
        <v>0</v>
      </c>
      <c r="BLK46" s="420">
        <f t="shared" si="69"/>
        <v>0</v>
      </c>
      <c r="BLL46" s="420">
        <f t="shared" si="69"/>
        <v>0</v>
      </c>
      <c r="BLM46" s="420">
        <f t="shared" si="69"/>
        <v>0</v>
      </c>
      <c r="BLN46" s="420">
        <f t="shared" si="69"/>
        <v>0</v>
      </c>
      <c r="BLO46" s="420">
        <f t="shared" si="69"/>
        <v>0</v>
      </c>
      <c r="BLP46" s="420">
        <f t="shared" si="69"/>
        <v>0</v>
      </c>
      <c r="BLQ46" s="420">
        <f t="shared" si="69"/>
        <v>0</v>
      </c>
      <c r="BLR46" s="420">
        <f t="shared" si="69"/>
        <v>0</v>
      </c>
      <c r="BLS46" s="420">
        <f t="shared" si="69"/>
        <v>0</v>
      </c>
      <c r="BLT46" s="420">
        <f t="shared" si="69"/>
        <v>0</v>
      </c>
      <c r="BLU46" s="420">
        <f t="shared" si="69"/>
        <v>0</v>
      </c>
      <c r="BLV46" s="420">
        <f t="shared" si="69"/>
        <v>0</v>
      </c>
      <c r="BLW46" s="420">
        <f t="shared" si="69"/>
        <v>0</v>
      </c>
      <c r="BLX46" s="420">
        <f t="shared" si="69"/>
        <v>0</v>
      </c>
      <c r="BLY46" s="420">
        <f t="shared" si="69"/>
        <v>0</v>
      </c>
      <c r="BLZ46" s="420">
        <f t="shared" si="69"/>
        <v>0</v>
      </c>
      <c r="BMA46" s="420">
        <f t="shared" si="69"/>
        <v>0</v>
      </c>
      <c r="BMB46" s="420">
        <f t="shared" si="69"/>
        <v>0</v>
      </c>
      <c r="BMC46" s="420">
        <f t="shared" si="69"/>
        <v>0</v>
      </c>
      <c r="BMD46" s="420">
        <f t="shared" si="69"/>
        <v>0</v>
      </c>
      <c r="BME46" s="420">
        <f t="shared" si="69"/>
        <v>0</v>
      </c>
      <c r="BMF46" s="420">
        <f t="shared" si="69"/>
        <v>0</v>
      </c>
      <c r="BMG46" s="420">
        <f t="shared" si="69"/>
        <v>0</v>
      </c>
      <c r="BMH46" s="420">
        <f t="shared" si="69"/>
        <v>0</v>
      </c>
      <c r="BMI46" s="420">
        <f t="shared" si="69"/>
        <v>0</v>
      </c>
      <c r="BMJ46" s="420">
        <f t="shared" si="69"/>
        <v>0</v>
      </c>
      <c r="BMK46" s="420">
        <f t="shared" si="69"/>
        <v>0</v>
      </c>
      <c r="BML46" s="420">
        <f t="shared" si="69"/>
        <v>0</v>
      </c>
      <c r="BMM46" s="420">
        <f t="shared" si="69"/>
        <v>0</v>
      </c>
      <c r="BMN46" s="420">
        <f t="shared" si="69"/>
        <v>0</v>
      </c>
      <c r="BMO46" s="420">
        <f t="shared" si="69"/>
        <v>0</v>
      </c>
      <c r="BMP46" s="420">
        <f t="shared" si="69"/>
        <v>0</v>
      </c>
      <c r="BMQ46" s="420">
        <f t="shared" si="69"/>
        <v>0</v>
      </c>
      <c r="BMR46" s="420">
        <f t="shared" si="69"/>
        <v>0</v>
      </c>
      <c r="BMS46" s="420">
        <f t="shared" si="69"/>
        <v>0</v>
      </c>
      <c r="BMT46" s="420">
        <f t="shared" si="69"/>
        <v>0</v>
      </c>
      <c r="BMU46" s="420">
        <f t="shared" si="69"/>
        <v>0</v>
      </c>
      <c r="BMV46" s="420">
        <f t="shared" si="69"/>
        <v>0</v>
      </c>
      <c r="BMW46" s="420">
        <f t="shared" si="69"/>
        <v>0</v>
      </c>
      <c r="BMX46" s="420">
        <f t="shared" si="69"/>
        <v>0</v>
      </c>
      <c r="BMY46" s="420">
        <f t="shared" si="69"/>
        <v>0</v>
      </c>
      <c r="BMZ46" s="420">
        <f t="shared" si="69"/>
        <v>0</v>
      </c>
      <c r="BNA46" s="420">
        <f t="shared" si="69"/>
        <v>0</v>
      </c>
      <c r="BNB46" s="420">
        <f t="shared" si="69"/>
        <v>0</v>
      </c>
      <c r="BNC46" s="420">
        <f t="shared" si="69"/>
        <v>0</v>
      </c>
      <c r="BND46" s="420">
        <f t="shared" si="69"/>
        <v>0</v>
      </c>
      <c r="BNE46" s="420">
        <f t="shared" si="69"/>
        <v>0</v>
      </c>
      <c r="BNF46" s="420">
        <f t="shared" si="69"/>
        <v>0</v>
      </c>
      <c r="BNG46" s="420">
        <f t="shared" si="69"/>
        <v>0</v>
      </c>
      <c r="BNH46" s="420">
        <f t="shared" si="69"/>
        <v>0</v>
      </c>
      <c r="BNI46" s="420">
        <f t="shared" si="69"/>
        <v>0</v>
      </c>
      <c r="BNJ46" s="420">
        <f t="shared" si="69"/>
        <v>0</v>
      </c>
      <c r="BNK46" s="420">
        <f t="shared" si="69"/>
        <v>0</v>
      </c>
      <c r="BNL46" s="420">
        <f t="shared" si="69"/>
        <v>0</v>
      </c>
      <c r="BNM46" s="420">
        <f t="shared" si="69"/>
        <v>0</v>
      </c>
      <c r="BNN46" s="420">
        <f t="shared" si="69"/>
        <v>0</v>
      </c>
      <c r="BNO46" s="420">
        <f t="shared" si="69"/>
        <v>0</v>
      </c>
      <c r="BNP46" s="420">
        <f t="shared" si="69"/>
        <v>0</v>
      </c>
      <c r="BNQ46" s="420">
        <f t="shared" ref="BNQ46:BQB46" si="70">BNQ45*0.8</f>
        <v>0</v>
      </c>
      <c r="BNR46" s="420">
        <f t="shared" si="70"/>
        <v>0</v>
      </c>
      <c r="BNS46" s="420">
        <f t="shared" si="70"/>
        <v>0</v>
      </c>
      <c r="BNT46" s="420">
        <f t="shared" si="70"/>
        <v>0</v>
      </c>
      <c r="BNU46" s="420">
        <f t="shared" si="70"/>
        <v>0</v>
      </c>
      <c r="BNV46" s="420">
        <f t="shared" si="70"/>
        <v>0</v>
      </c>
      <c r="BNW46" s="420">
        <f t="shared" si="70"/>
        <v>0</v>
      </c>
      <c r="BNX46" s="420">
        <f t="shared" si="70"/>
        <v>0</v>
      </c>
      <c r="BNY46" s="420">
        <f t="shared" si="70"/>
        <v>0</v>
      </c>
      <c r="BNZ46" s="420">
        <f t="shared" si="70"/>
        <v>0</v>
      </c>
      <c r="BOA46" s="420">
        <f t="shared" si="70"/>
        <v>0</v>
      </c>
      <c r="BOB46" s="420">
        <f t="shared" si="70"/>
        <v>0</v>
      </c>
      <c r="BOC46" s="420">
        <f t="shared" si="70"/>
        <v>0</v>
      </c>
      <c r="BOD46" s="420">
        <f t="shared" si="70"/>
        <v>0</v>
      </c>
      <c r="BOE46" s="420">
        <f t="shared" si="70"/>
        <v>0</v>
      </c>
      <c r="BOF46" s="420">
        <f t="shared" si="70"/>
        <v>0</v>
      </c>
      <c r="BOG46" s="420">
        <f t="shared" si="70"/>
        <v>0</v>
      </c>
      <c r="BOH46" s="420">
        <f t="shared" si="70"/>
        <v>0</v>
      </c>
      <c r="BOI46" s="420">
        <f t="shared" si="70"/>
        <v>0</v>
      </c>
      <c r="BOJ46" s="420">
        <f t="shared" si="70"/>
        <v>0</v>
      </c>
      <c r="BOK46" s="420">
        <f t="shared" si="70"/>
        <v>0</v>
      </c>
      <c r="BOL46" s="420">
        <f t="shared" si="70"/>
        <v>0</v>
      </c>
      <c r="BOM46" s="420">
        <f t="shared" si="70"/>
        <v>0</v>
      </c>
      <c r="BON46" s="420">
        <f t="shared" si="70"/>
        <v>0</v>
      </c>
      <c r="BOO46" s="420">
        <f t="shared" si="70"/>
        <v>0</v>
      </c>
      <c r="BOP46" s="420">
        <f t="shared" si="70"/>
        <v>0</v>
      </c>
      <c r="BOQ46" s="420">
        <f t="shared" si="70"/>
        <v>0</v>
      </c>
      <c r="BOR46" s="420">
        <f t="shared" si="70"/>
        <v>0</v>
      </c>
      <c r="BOS46" s="420">
        <f t="shared" si="70"/>
        <v>0</v>
      </c>
      <c r="BOT46" s="420">
        <f t="shared" si="70"/>
        <v>0</v>
      </c>
      <c r="BOU46" s="420">
        <f t="shared" si="70"/>
        <v>0</v>
      </c>
      <c r="BOV46" s="420">
        <f t="shared" si="70"/>
        <v>0</v>
      </c>
      <c r="BOW46" s="420">
        <f t="shared" si="70"/>
        <v>0</v>
      </c>
      <c r="BOX46" s="420">
        <f t="shared" si="70"/>
        <v>0</v>
      </c>
      <c r="BOY46" s="420">
        <f t="shared" si="70"/>
        <v>0</v>
      </c>
      <c r="BOZ46" s="420">
        <f t="shared" si="70"/>
        <v>0</v>
      </c>
      <c r="BPA46" s="420">
        <f t="shared" si="70"/>
        <v>0</v>
      </c>
      <c r="BPB46" s="420">
        <f t="shared" si="70"/>
        <v>0</v>
      </c>
      <c r="BPC46" s="420">
        <f t="shared" si="70"/>
        <v>0</v>
      </c>
      <c r="BPD46" s="420">
        <f t="shared" si="70"/>
        <v>0</v>
      </c>
      <c r="BPE46" s="420">
        <f t="shared" si="70"/>
        <v>0</v>
      </c>
      <c r="BPF46" s="420">
        <f t="shared" si="70"/>
        <v>0</v>
      </c>
      <c r="BPG46" s="420">
        <f t="shared" si="70"/>
        <v>0</v>
      </c>
      <c r="BPH46" s="420">
        <f t="shared" si="70"/>
        <v>0</v>
      </c>
      <c r="BPI46" s="420">
        <f t="shared" si="70"/>
        <v>0</v>
      </c>
      <c r="BPJ46" s="420">
        <f t="shared" si="70"/>
        <v>0</v>
      </c>
      <c r="BPK46" s="420">
        <f t="shared" si="70"/>
        <v>0</v>
      </c>
      <c r="BPL46" s="420">
        <f t="shared" si="70"/>
        <v>0</v>
      </c>
      <c r="BPM46" s="420">
        <f t="shared" si="70"/>
        <v>0</v>
      </c>
      <c r="BPN46" s="420">
        <f t="shared" si="70"/>
        <v>0</v>
      </c>
      <c r="BPO46" s="420">
        <f t="shared" si="70"/>
        <v>0</v>
      </c>
      <c r="BPP46" s="420">
        <f t="shared" si="70"/>
        <v>0</v>
      </c>
      <c r="BPQ46" s="420">
        <f t="shared" si="70"/>
        <v>0</v>
      </c>
      <c r="BPR46" s="420">
        <f t="shared" si="70"/>
        <v>0</v>
      </c>
      <c r="BPS46" s="420">
        <f t="shared" si="70"/>
        <v>0</v>
      </c>
      <c r="BPT46" s="420">
        <f t="shared" si="70"/>
        <v>0</v>
      </c>
      <c r="BPU46" s="420">
        <f t="shared" si="70"/>
        <v>0</v>
      </c>
      <c r="BPV46" s="420">
        <f t="shared" si="70"/>
        <v>0</v>
      </c>
      <c r="BPW46" s="420">
        <f t="shared" si="70"/>
        <v>0</v>
      </c>
      <c r="BPX46" s="420">
        <f t="shared" si="70"/>
        <v>0</v>
      </c>
      <c r="BPY46" s="420">
        <f t="shared" si="70"/>
        <v>0</v>
      </c>
      <c r="BPZ46" s="420">
        <f t="shared" si="70"/>
        <v>0</v>
      </c>
      <c r="BQA46" s="420">
        <f t="shared" si="70"/>
        <v>0</v>
      </c>
      <c r="BQB46" s="420">
        <f t="shared" si="70"/>
        <v>0</v>
      </c>
      <c r="BQC46" s="420">
        <f t="shared" ref="BQC46:BSN46" si="71">BQC45*0.8</f>
        <v>0</v>
      </c>
      <c r="BQD46" s="420">
        <f t="shared" si="71"/>
        <v>0</v>
      </c>
      <c r="BQE46" s="420">
        <f t="shared" si="71"/>
        <v>0</v>
      </c>
      <c r="BQF46" s="420">
        <f t="shared" si="71"/>
        <v>0</v>
      </c>
      <c r="BQG46" s="420">
        <f t="shared" si="71"/>
        <v>0</v>
      </c>
      <c r="BQH46" s="420">
        <f t="shared" si="71"/>
        <v>0</v>
      </c>
      <c r="BQI46" s="420">
        <f t="shared" si="71"/>
        <v>0</v>
      </c>
      <c r="BQJ46" s="420">
        <f t="shared" si="71"/>
        <v>0</v>
      </c>
      <c r="BQK46" s="420">
        <f t="shared" si="71"/>
        <v>0</v>
      </c>
      <c r="BQL46" s="420">
        <f t="shared" si="71"/>
        <v>0</v>
      </c>
      <c r="BQM46" s="420">
        <f t="shared" si="71"/>
        <v>0</v>
      </c>
      <c r="BQN46" s="420">
        <f t="shared" si="71"/>
        <v>0</v>
      </c>
      <c r="BQO46" s="420">
        <f t="shared" si="71"/>
        <v>0</v>
      </c>
      <c r="BQP46" s="420">
        <f t="shared" si="71"/>
        <v>0</v>
      </c>
      <c r="BQQ46" s="420">
        <f t="shared" si="71"/>
        <v>0</v>
      </c>
      <c r="BQR46" s="420">
        <f t="shared" si="71"/>
        <v>0</v>
      </c>
      <c r="BQS46" s="420">
        <f t="shared" si="71"/>
        <v>0</v>
      </c>
      <c r="BQT46" s="420">
        <f t="shared" si="71"/>
        <v>0</v>
      </c>
      <c r="BQU46" s="420">
        <f t="shared" si="71"/>
        <v>0</v>
      </c>
      <c r="BQV46" s="420">
        <f t="shared" si="71"/>
        <v>0</v>
      </c>
      <c r="BQW46" s="420">
        <f t="shared" si="71"/>
        <v>0</v>
      </c>
      <c r="BQX46" s="420">
        <f t="shared" si="71"/>
        <v>0</v>
      </c>
      <c r="BQY46" s="420">
        <f t="shared" si="71"/>
        <v>0</v>
      </c>
      <c r="BQZ46" s="420">
        <f t="shared" si="71"/>
        <v>0</v>
      </c>
      <c r="BRA46" s="420">
        <f t="shared" si="71"/>
        <v>0</v>
      </c>
      <c r="BRB46" s="420">
        <f t="shared" si="71"/>
        <v>0</v>
      </c>
      <c r="BRC46" s="420">
        <f t="shared" si="71"/>
        <v>0</v>
      </c>
      <c r="BRD46" s="420">
        <f t="shared" si="71"/>
        <v>0</v>
      </c>
      <c r="BRE46" s="420">
        <f t="shared" si="71"/>
        <v>0</v>
      </c>
      <c r="BRF46" s="420">
        <f t="shared" si="71"/>
        <v>0</v>
      </c>
      <c r="BRG46" s="420">
        <f t="shared" si="71"/>
        <v>0</v>
      </c>
      <c r="BRH46" s="420">
        <f t="shared" si="71"/>
        <v>0</v>
      </c>
      <c r="BRI46" s="420">
        <f t="shared" si="71"/>
        <v>0</v>
      </c>
      <c r="BRJ46" s="420">
        <f t="shared" si="71"/>
        <v>0</v>
      </c>
      <c r="BRK46" s="420">
        <f t="shared" si="71"/>
        <v>0</v>
      </c>
      <c r="BRL46" s="420">
        <f t="shared" si="71"/>
        <v>0</v>
      </c>
      <c r="BRM46" s="420">
        <f t="shared" si="71"/>
        <v>0</v>
      </c>
      <c r="BRN46" s="420">
        <f t="shared" si="71"/>
        <v>0</v>
      </c>
      <c r="BRO46" s="420">
        <f t="shared" si="71"/>
        <v>0</v>
      </c>
      <c r="BRP46" s="420">
        <f t="shared" si="71"/>
        <v>0</v>
      </c>
      <c r="BRQ46" s="420">
        <f t="shared" si="71"/>
        <v>0</v>
      </c>
      <c r="BRR46" s="420">
        <f t="shared" si="71"/>
        <v>0</v>
      </c>
      <c r="BRS46" s="420">
        <f t="shared" si="71"/>
        <v>0</v>
      </c>
      <c r="BRT46" s="420">
        <f t="shared" si="71"/>
        <v>0</v>
      </c>
      <c r="BRU46" s="420">
        <f t="shared" si="71"/>
        <v>0</v>
      </c>
      <c r="BRV46" s="420">
        <f t="shared" si="71"/>
        <v>0</v>
      </c>
      <c r="BRW46" s="420">
        <f t="shared" si="71"/>
        <v>0</v>
      </c>
      <c r="BRX46" s="420">
        <f t="shared" si="71"/>
        <v>0</v>
      </c>
      <c r="BRY46" s="420">
        <f t="shared" si="71"/>
        <v>0</v>
      </c>
      <c r="BRZ46" s="420">
        <f t="shared" si="71"/>
        <v>0</v>
      </c>
      <c r="BSA46" s="420">
        <f t="shared" si="71"/>
        <v>0</v>
      </c>
      <c r="BSB46" s="420">
        <f t="shared" si="71"/>
        <v>0</v>
      </c>
      <c r="BSC46" s="420">
        <f t="shared" si="71"/>
        <v>0</v>
      </c>
      <c r="BSD46" s="420">
        <f t="shared" si="71"/>
        <v>0</v>
      </c>
      <c r="BSE46" s="420">
        <f t="shared" si="71"/>
        <v>0</v>
      </c>
      <c r="BSF46" s="420">
        <f t="shared" si="71"/>
        <v>0</v>
      </c>
      <c r="BSG46" s="420">
        <f t="shared" si="71"/>
        <v>0</v>
      </c>
      <c r="BSH46" s="420">
        <f t="shared" si="71"/>
        <v>0</v>
      </c>
      <c r="BSI46" s="420">
        <f t="shared" si="71"/>
        <v>0</v>
      </c>
      <c r="BSJ46" s="420">
        <f t="shared" si="71"/>
        <v>0</v>
      </c>
      <c r="BSK46" s="420">
        <f t="shared" si="71"/>
        <v>0</v>
      </c>
      <c r="BSL46" s="420">
        <f t="shared" si="71"/>
        <v>0</v>
      </c>
      <c r="BSM46" s="420">
        <f t="shared" si="71"/>
        <v>0</v>
      </c>
      <c r="BSN46" s="420">
        <f t="shared" si="71"/>
        <v>0</v>
      </c>
      <c r="BSO46" s="420">
        <f t="shared" ref="BSO46:BUZ46" si="72">BSO45*0.8</f>
        <v>0</v>
      </c>
      <c r="BSP46" s="420">
        <f t="shared" si="72"/>
        <v>0</v>
      </c>
      <c r="BSQ46" s="420">
        <f t="shared" si="72"/>
        <v>0</v>
      </c>
      <c r="BSR46" s="420">
        <f t="shared" si="72"/>
        <v>0</v>
      </c>
      <c r="BSS46" s="420">
        <f t="shared" si="72"/>
        <v>0</v>
      </c>
      <c r="BST46" s="420">
        <f t="shared" si="72"/>
        <v>0</v>
      </c>
      <c r="BSU46" s="420">
        <f t="shared" si="72"/>
        <v>0</v>
      </c>
      <c r="BSV46" s="420">
        <f t="shared" si="72"/>
        <v>0</v>
      </c>
      <c r="BSW46" s="420">
        <f t="shared" si="72"/>
        <v>0</v>
      </c>
      <c r="BSX46" s="420">
        <f t="shared" si="72"/>
        <v>0</v>
      </c>
      <c r="BSY46" s="420">
        <f t="shared" si="72"/>
        <v>0</v>
      </c>
      <c r="BSZ46" s="420">
        <f t="shared" si="72"/>
        <v>0</v>
      </c>
      <c r="BTA46" s="420">
        <f t="shared" si="72"/>
        <v>0</v>
      </c>
      <c r="BTB46" s="420">
        <f t="shared" si="72"/>
        <v>0</v>
      </c>
      <c r="BTC46" s="420">
        <f t="shared" si="72"/>
        <v>0</v>
      </c>
      <c r="BTD46" s="420">
        <f t="shared" si="72"/>
        <v>0</v>
      </c>
      <c r="BTE46" s="420">
        <f t="shared" si="72"/>
        <v>0</v>
      </c>
      <c r="BTF46" s="420">
        <f t="shared" si="72"/>
        <v>0</v>
      </c>
      <c r="BTG46" s="420">
        <f t="shared" si="72"/>
        <v>0</v>
      </c>
      <c r="BTH46" s="420">
        <f t="shared" si="72"/>
        <v>0</v>
      </c>
      <c r="BTI46" s="420">
        <f t="shared" si="72"/>
        <v>0</v>
      </c>
      <c r="BTJ46" s="420">
        <f t="shared" si="72"/>
        <v>0</v>
      </c>
      <c r="BTK46" s="420">
        <f t="shared" si="72"/>
        <v>0</v>
      </c>
      <c r="BTL46" s="420">
        <f t="shared" si="72"/>
        <v>0</v>
      </c>
      <c r="BTM46" s="420">
        <f t="shared" si="72"/>
        <v>0</v>
      </c>
      <c r="BTN46" s="420">
        <f t="shared" si="72"/>
        <v>0</v>
      </c>
      <c r="BTO46" s="420">
        <f t="shared" si="72"/>
        <v>0</v>
      </c>
      <c r="BTP46" s="420">
        <f t="shared" si="72"/>
        <v>0</v>
      </c>
      <c r="BTQ46" s="420">
        <f t="shared" si="72"/>
        <v>0</v>
      </c>
      <c r="BTR46" s="420">
        <f t="shared" si="72"/>
        <v>0</v>
      </c>
      <c r="BTS46" s="420">
        <f t="shared" si="72"/>
        <v>0</v>
      </c>
      <c r="BTT46" s="420">
        <f t="shared" si="72"/>
        <v>0</v>
      </c>
      <c r="BTU46" s="420">
        <f t="shared" si="72"/>
        <v>0</v>
      </c>
      <c r="BTV46" s="420">
        <f t="shared" si="72"/>
        <v>0</v>
      </c>
      <c r="BTW46" s="420">
        <f t="shared" si="72"/>
        <v>0</v>
      </c>
      <c r="BTX46" s="420">
        <f t="shared" si="72"/>
        <v>0</v>
      </c>
      <c r="BTY46" s="420">
        <f t="shared" si="72"/>
        <v>0</v>
      </c>
      <c r="BTZ46" s="420">
        <f t="shared" si="72"/>
        <v>0</v>
      </c>
      <c r="BUA46" s="420">
        <f t="shared" si="72"/>
        <v>0</v>
      </c>
      <c r="BUB46" s="420">
        <f t="shared" si="72"/>
        <v>0</v>
      </c>
      <c r="BUC46" s="420">
        <f t="shared" si="72"/>
        <v>0</v>
      </c>
      <c r="BUD46" s="420">
        <f t="shared" si="72"/>
        <v>0</v>
      </c>
      <c r="BUE46" s="420">
        <f t="shared" si="72"/>
        <v>0</v>
      </c>
      <c r="BUF46" s="420">
        <f t="shared" si="72"/>
        <v>0</v>
      </c>
      <c r="BUG46" s="420">
        <f t="shared" si="72"/>
        <v>0</v>
      </c>
      <c r="BUH46" s="420">
        <f t="shared" si="72"/>
        <v>0</v>
      </c>
      <c r="BUI46" s="420">
        <f t="shared" si="72"/>
        <v>0</v>
      </c>
      <c r="BUJ46" s="420">
        <f t="shared" si="72"/>
        <v>0</v>
      </c>
      <c r="BUK46" s="420">
        <f t="shared" si="72"/>
        <v>0</v>
      </c>
      <c r="BUL46" s="420">
        <f t="shared" si="72"/>
        <v>0</v>
      </c>
      <c r="BUM46" s="420">
        <f t="shared" si="72"/>
        <v>0</v>
      </c>
      <c r="BUN46" s="420">
        <f t="shared" si="72"/>
        <v>0</v>
      </c>
      <c r="BUO46" s="420">
        <f t="shared" si="72"/>
        <v>0</v>
      </c>
      <c r="BUP46" s="420">
        <f t="shared" si="72"/>
        <v>0</v>
      </c>
      <c r="BUQ46" s="420">
        <f t="shared" si="72"/>
        <v>0</v>
      </c>
      <c r="BUR46" s="420">
        <f t="shared" si="72"/>
        <v>0</v>
      </c>
      <c r="BUS46" s="420">
        <f t="shared" si="72"/>
        <v>0</v>
      </c>
      <c r="BUT46" s="420">
        <f t="shared" si="72"/>
        <v>0</v>
      </c>
      <c r="BUU46" s="420">
        <f t="shared" si="72"/>
        <v>0</v>
      </c>
      <c r="BUV46" s="420">
        <f t="shared" si="72"/>
        <v>0</v>
      </c>
      <c r="BUW46" s="420">
        <f t="shared" si="72"/>
        <v>0</v>
      </c>
      <c r="BUX46" s="420">
        <f t="shared" si="72"/>
        <v>0</v>
      </c>
      <c r="BUY46" s="420">
        <f t="shared" si="72"/>
        <v>0</v>
      </c>
      <c r="BUZ46" s="420">
        <f t="shared" si="72"/>
        <v>0</v>
      </c>
      <c r="BVA46" s="420">
        <f t="shared" ref="BVA46:BXL46" si="73">BVA45*0.8</f>
        <v>0</v>
      </c>
      <c r="BVB46" s="420">
        <f t="shared" si="73"/>
        <v>0</v>
      </c>
      <c r="BVC46" s="420">
        <f t="shared" si="73"/>
        <v>0</v>
      </c>
      <c r="BVD46" s="420">
        <f t="shared" si="73"/>
        <v>0</v>
      </c>
      <c r="BVE46" s="420">
        <f t="shared" si="73"/>
        <v>0</v>
      </c>
      <c r="BVF46" s="420">
        <f t="shared" si="73"/>
        <v>0</v>
      </c>
      <c r="BVG46" s="420">
        <f t="shared" si="73"/>
        <v>0</v>
      </c>
      <c r="BVH46" s="420">
        <f t="shared" si="73"/>
        <v>0</v>
      </c>
      <c r="BVI46" s="420">
        <f t="shared" si="73"/>
        <v>0</v>
      </c>
      <c r="BVJ46" s="420">
        <f t="shared" si="73"/>
        <v>0</v>
      </c>
      <c r="BVK46" s="420">
        <f t="shared" si="73"/>
        <v>0</v>
      </c>
      <c r="BVL46" s="420">
        <f t="shared" si="73"/>
        <v>0</v>
      </c>
      <c r="BVM46" s="420">
        <f t="shared" si="73"/>
        <v>0</v>
      </c>
      <c r="BVN46" s="420">
        <f t="shared" si="73"/>
        <v>0</v>
      </c>
      <c r="BVO46" s="420">
        <f t="shared" si="73"/>
        <v>0</v>
      </c>
      <c r="BVP46" s="420">
        <f t="shared" si="73"/>
        <v>0</v>
      </c>
      <c r="BVQ46" s="420">
        <f t="shared" si="73"/>
        <v>0</v>
      </c>
      <c r="BVR46" s="420">
        <f t="shared" si="73"/>
        <v>0</v>
      </c>
      <c r="BVS46" s="420">
        <f t="shared" si="73"/>
        <v>0</v>
      </c>
      <c r="BVT46" s="420">
        <f t="shared" si="73"/>
        <v>0</v>
      </c>
      <c r="BVU46" s="420">
        <f t="shared" si="73"/>
        <v>0</v>
      </c>
      <c r="BVV46" s="420">
        <f t="shared" si="73"/>
        <v>0</v>
      </c>
      <c r="BVW46" s="420">
        <f t="shared" si="73"/>
        <v>0</v>
      </c>
      <c r="BVX46" s="420">
        <f t="shared" si="73"/>
        <v>0</v>
      </c>
      <c r="BVY46" s="420">
        <f t="shared" si="73"/>
        <v>0</v>
      </c>
      <c r="BVZ46" s="420">
        <f t="shared" si="73"/>
        <v>0</v>
      </c>
      <c r="BWA46" s="420">
        <f t="shared" si="73"/>
        <v>0</v>
      </c>
      <c r="BWB46" s="420">
        <f t="shared" si="73"/>
        <v>0</v>
      </c>
      <c r="BWC46" s="420">
        <f t="shared" si="73"/>
        <v>0</v>
      </c>
      <c r="BWD46" s="420">
        <f t="shared" si="73"/>
        <v>0</v>
      </c>
      <c r="BWE46" s="420">
        <f t="shared" si="73"/>
        <v>0</v>
      </c>
      <c r="BWF46" s="420">
        <f t="shared" si="73"/>
        <v>0</v>
      </c>
      <c r="BWG46" s="420">
        <f t="shared" si="73"/>
        <v>0</v>
      </c>
      <c r="BWH46" s="420">
        <f t="shared" si="73"/>
        <v>0</v>
      </c>
      <c r="BWI46" s="420">
        <f t="shared" si="73"/>
        <v>0</v>
      </c>
      <c r="BWJ46" s="420">
        <f t="shared" si="73"/>
        <v>0</v>
      </c>
      <c r="BWK46" s="420">
        <f t="shared" si="73"/>
        <v>0</v>
      </c>
      <c r="BWL46" s="420">
        <f t="shared" si="73"/>
        <v>0</v>
      </c>
      <c r="BWM46" s="420">
        <f t="shared" si="73"/>
        <v>0</v>
      </c>
      <c r="BWN46" s="420">
        <f t="shared" si="73"/>
        <v>0</v>
      </c>
      <c r="BWO46" s="420">
        <f t="shared" si="73"/>
        <v>0</v>
      </c>
      <c r="BWP46" s="420">
        <f t="shared" si="73"/>
        <v>0</v>
      </c>
      <c r="BWQ46" s="420">
        <f t="shared" si="73"/>
        <v>0</v>
      </c>
      <c r="BWR46" s="420">
        <f t="shared" si="73"/>
        <v>0</v>
      </c>
      <c r="BWS46" s="420">
        <f t="shared" si="73"/>
        <v>0</v>
      </c>
      <c r="BWT46" s="420">
        <f t="shared" si="73"/>
        <v>0</v>
      </c>
      <c r="BWU46" s="420">
        <f t="shared" si="73"/>
        <v>0</v>
      </c>
      <c r="BWV46" s="420">
        <f t="shared" si="73"/>
        <v>0</v>
      </c>
      <c r="BWW46" s="420">
        <f t="shared" si="73"/>
        <v>0</v>
      </c>
      <c r="BWX46" s="420">
        <f t="shared" si="73"/>
        <v>0</v>
      </c>
      <c r="BWY46" s="420">
        <f t="shared" si="73"/>
        <v>0</v>
      </c>
      <c r="BWZ46" s="420">
        <f t="shared" si="73"/>
        <v>0</v>
      </c>
      <c r="BXA46" s="420">
        <f t="shared" si="73"/>
        <v>0</v>
      </c>
      <c r="BXB46" s="420">
        <f t="shared" si="73"/>
        <v>0</v>
      </c>
      <c r="BXC46" s="420">
        <f t="shared" si="73"/>
        <v>0</v>
      </c>
      <c r="BXD46" s="420">
        <f t="shared" si="73"/>
        <v>0</v>
      </c>
      <c r="BXE46" s="420">
        <f t="shared" si="73"/>
        <v>0</v>
      </c>
      <c r="BXF46" s="420">
        <f t="shared" si="73"/>
        <v>0</v>
      </c>
      <c r="BXG46" s="420">
        <f t="shared" si="73"/>
        <v>0</v>
      </c>
      <c r="BXH46" s="420">
        <f t="shared" si="73"/>
        <v>0</v>
      </c>
      <c r="BXI46" s="420">
        <f t="shared" si="73"/>
        <v>0</v>
      </c>
      <c r="BXJ46" s="420">
        <f t="shared" si="73"/>
        <v>0</v>
      </c>
      <c r="BXK46" s="420">
        <f t="shared" si="73"/>
        <v>0</v>
      </c>
      <c r="BXL46" s="420">
        <f t="shared" si="73"/>
        <v>0</v>
      </c>
      <c r="BXM46" s="420">
        <f t="shared" ref="BXM46:BZX46" si="74">BXM45*0.8</f>
        <v>0</v>
      </c>
      <c r="BXN46" s="420">
        <f t="shared" si="74"/>
        <v>0</v>
      </c>
      <c r="BXO46" s="420">
        <f t="shared" si="74"/>
        <v>0</v>
      </c>
      <c r="BXP46" s="420">
        <f t="shared" si="74"/>
        <v>0</v>
      </c>
      <c r="BXQ46" s="420">
        <f t="shared" si="74"/>
        <v>0</v>
      </c>
      <c r="BXR46" s="420">
        <f t="shared" si="74"/>
        <v>0</v>
      </c>
      <c r="BXS46" s="420">
        <f t="shared" si="74"/>
        <v>0</v>
      </c>
      <c r="BXT46" s="420">
        <f t="shared" si="74"/>
        <v>0</v>
      </c>
      <c r="BXU46" s="420">
        <f t="shared" si="74"/>
        <v>0</v>
      </c>
      <c r="BXV46" s="420">
        <f t="shared" si="74"/>
        <v>0</v>
      </c>
      <c r="BXW46" s="420">
        <f t="shared" si="74"/>
        <v>0</v>
      </c>
      <c r="BXX46" s="420">
        <f t="shared" si="74"/>
        <v>0</v>
      </c>
      <c r="BXY46" s="420">
        <f t="shared" si="74"/>
        <v>0</v>
      </c>
      <c r="BXZ46" s="420">
        <f t="shared" si="74"/>
        <v>0</v>
      </c>
      <c r="BYA46" s="420">
        <f t="shared" si="74"/>
        <v>0</v>
      </c>
      <c r="BYB46" s="420">
        <f t="shared" si="74"/>
        <v>0</v>
      </c>
      <c r="BYC46" s="420">
        <f t="shared" si="74"/>
        <v>0</v>
      </c>
      <c r="BYD46" s="420">
        <f t="shared" si="74"/>
        <v>0</v>
      </c>
      <c r="BYE46" s="420">
        <f t="shared" si="74"/>
        <v>0</v>
      </c>
      <c r="BYF46" s="420">
        <f t="shared" si="74"/>
        <v>0</v>
      </c>
      <c r="BYG46" s="420">
        <f t="shared" si="74"/>
        <v>0</v>
      </c>
      <c r="BYH46" s="420">
        <f t="shared" si="74"/>
        <v>0</v>
      </c>
      <c r="BYI46" s="420">
        <f t="shared" si="74"/>
        <v>0</v>
      </c>
      <c r="BYJ46" s="420">
        <f t="shared" si="74"/>
        <v>0</v>
      </c>
      <c r="BYK46" s="420">
        <f t="shared" si="74"/>
        <v>0</v>
      </c>
      <c r="BYL46" s="420">
        <f t="shared" si="74"/>
        <v>0</v>
      </c>
      <c r="BYM46" s="420">
        <f t="shared" si="74"/>
        <v>0</v>
      </c>
      <c r="BYN46" s="420">
        <f t="shared" si="74"/>
        <v>0</v>
      </c>
      <c r="BYO46" s="420">
        <f t="shared" si="74"/>
        <v>0</v>
      </c>
      <c r="BYP46" s="420">
        <f t="shared" si="74"/>
        <v>0</v>
      </c>
      <c r="BYQ46" s="420">
        <f t="shared" si="74"/>
        <v>0</v>
      </c>
      <c r="BYR46" s="420">
        <f t="shared" si="74"/>
        <v>0</v>
      </c>
      <c r="BYS46" s="420">
        <f t="shared" si="74"/>
        <v>0</v>
      </c>
      <c r="BYT46" s="420">
        <f t="shared" si="74"/>
        <v>0</v>
      </c>
      <c r="BYU46" s="420">
        <f t="shared" si="74"/>
        <v>0</v>
      </c>
      <c r="BYV46" s="420">
        <f t="shared" si="74"/>
        <v>0</v>
      </c>
      <c r="BYW46" s="420">
        <f t="shared" si="74"/>
        <v>0</v>
      </c>
      <c r="BYX46" s="420">
        <f t="shared" si="74"/>
        <v>0</v>
      </c>
      <c r="BYY46" s="420">
        <f t="shared" si="74"/>
        <v>0</v>
      </c>
      <c r="BYZ46" s="420">
        <f t="shared" si="74"/>
        <v>0</v>
      </c>
      <c r="BZA46" s="420">
        <f t="shared" si="74"/>
        <v>0</v>
      </c>
      <c r="BZB46" s="420">
        <f t="shared" si="74"/>
        <v>0</v>
      </c>
      <c r="BZC46" s="420">
        <f t="shared" si="74"/>
        <v>0</v>
      </c>
      <c r="BZD46" s="420">
        <f t="shared" si="74"/>
        <v>0</v>
      </c>
      <c r="BZE46" s="420">
        <f t="shared" si="74"/>
        <v>0</v>
      </c>
      <c r="BZF46" s="420">
        <f t="shared" si="74"/>
        <v>0</v>
      </c>
      <c r="BZG46" s="420">
        <f t="shared" si="74"/>
        <v>0</v>
      </c>
      <c r="BZH46" s="420">
        <f t="shared" si="74"/>
        <v>0</v>
      </c>
      <c r="BZI46" s="420">
        <f t="shared" si="74"/>
        <v>0</v>
      </c>
      <c r="BZJ46" s="420">
        <f t="shared" si="74"/>
        <v>0</v>
      </c>
      <c r="BZK46" s="420">
        <f t="shared" si="74"/>
        <v>0</v>
      </c>
      <c r="BZL46" s="420">
        <f t="shared" si="74"/>
        <v>0</v>
      </c>
      <c r="BZM46" s="420">
        <f t="shared" si="74"/>
        <v>0</v>
      </c>
      <c r="BZN46" s="420">
        <f t="shared" si="74"/>
        <v>0</v>
      </c>
      <c r="BZO46" s="420">
        <f t="shared" si="74"/>
        <v>0</v>
      </c>
      <c r="BZP46" s="420">
        <f t="shared" si="74"/>
        <v>0</v>
      </c>
      <c r="BZQ46" s="420">
        <f t="shared" si="74"/>
        <v>0</v>
      </c>
      <c r="BZR46" s="420">
        <f t="shared" si="74"/>
        <v>0</v>
      </c>
      <c r="BZS46" s="420">
        <f t="shared" si="74"/>
        <v>0</v>
      </c>
      <c r="BZT46" s="420">
        <f t="shared" si="74"/>
        <v>0</v>
      </c>
      <c r="BZU46" s="420">
        <f t="shared" si="74"/>
        <v>0</v>
      </c>
      <c r="BZV46" s="420">
        <f t="shared" si="74"/>
        <v>0</v>
      </c>
      <c r="BZW46" s="420">
        <f t="shared" si="74"/>
        <v>0</v>
      </c>
      <c r="BZX46" s="420">
        <f t="shared" si="74"/>
        <v>0</v>
      </c>
      <c r="BZY46" s="420">
        <f t="shared" ref="BZY46:CCJ46" si="75">BZY45*0.8</f>
        <v>0</v>
      </c>
      <c r="BZZ46" s="420">
        <f t="shared" si="75"/>
        <v>0</v>
      </c>
      <c r="CAA46" s="420">
        <f t="shared" si="75"/>
        <v>0</v>
      </c>
      <c r="CAB46" s="420">
        <f t="shared" si="75"/>
        <v>0</v>
      </c>
      <c r="CAC46" s="420">
        <f t="shared" si="75"/>
        <v>0</v>
      </c>
      <c r="CAD46" s="420">
        <f t="shared" si="75"/>
        <v>0</v>
      </c>
      <c r="CAE46" s="420">
        <f t="shared" si="75"/>
        <v>0</v>
      </c>
      <c r="CAF46" s="420">
        <f t="shared" si="75"/>
        <v>0</v>
      </c>
      <c r="CAG46" s="420">
        <f t="shared" si="75"/>
        <v>0</v>
      </c>
      <c r="CAH46" s="420">
        <f t="shared" si="75"/>
        <v>0</v>
      </c>
      <c r="CAI46" s="420">
        <f t="shared" si="75"/>
        <v>0</v>
      </c>
      <c r="CAJ46" s="420">
        <f t="shared" si="75"/>
        <v>0</v>
      </c>
      <c r="CAK46" s="420">
        <f t="shared" si="75"/>
        <v>0</v>
      </c>
      <c r="CAL46" s="420">
        <f t="shared" si="75"/>
        <v>0</v>
      </c>
      <c r="CAM46" s="420">
        <f t="shared" si="75"/>
        <v>0</v>
      </c>
      <c r="CAN46" s="420">
        <f t="shared" si="75"/>
        <v>0</v>
      </c>
      <c r="CAO46" s="420">
        <f t="shared" si="75"/>
        <v>0</v>
      </c>
      <c r="CAP46" s="420">
        <f t="shared" si="75"/>
        <v>0</v>
      </c>
      <c r="CAQ46" s="420">
        <f t="shared" si="75"/>
        <v>0</v>
      </c>
      <c r="CAR46" s="420">
        <f t="shared" si="75"/>
        <v>0</v>
      </c>
      <c r="CAS46" s="420">
        <f t="shared" si="75"/>
        <v>0</v>
      </c>
      <c r="CAT46" s="420">
        <f t="shared" si="75"/>
        <v>0</v>
      </c>
      <c r="CAU46" s="420">
        <f t="shared" si="75"/>
        <v>0</v>
      </c>
      <c r="CAV46" s="420">
        <f t="shared" si="75"/>
        <v>0</v>
      </c>
      <c r="CAW46" s="420">
        <f t="shared" si="75"/>
        <v>0</v>
      </c>
      <c r="CAX46" s="420">
        <f t="shared" si="75"/>
        <v>0</v>
      </c>
      <c r="CAY46" s="420">
        <f t="shared" si="75"/>
        <v>0</v>
      </c>
      <c r="CAZ46" s="420">
        <f t="shared" si="75"/>
        <v>0</v>
      </c>
      <c r="CBA46" s="420">
        <f t="shared" si="75"/>
        <v>0</v>
      </c>
      <c r="CBB46" s="420">
        <f t="shared" si="75"/>
        <v>0</v>
      </c>
      <c r="CBC46" s="420">
        <f t="shared" si="75"/>
        <v>0</v>
      </c>
      <c r="CBD46" s="420">
        <f t="shared" si="75"/>
        <v>0</v>
      </c>
      <c r="CBE46" s="420">
        <f t="shared" si="75"/>
        <v>0</v>
      </c>
      <c r="CBF46" s="420">
        <f t="shared" si="75"/>
        <v>0</v>
      </c>
      <c r="CBG46" s="420">
        <f t="shared" si="75"/>
        <v>0</v>
      </c>
      <c r="CBH46" s="420">
        <f t="shared" si="75"/>
        <v>0</v>
      </c>
      <c r="CBI46" s="420">
        <f t="shared" si="75"/>
        <v>0</v>
      </c>
      <c r="CBJ46" s="420">
        <f t="shared" si="75"/>
        <v>0</v>
      </c>
      <c r="CBK46" s="420">
        <f t="shared" si="75"/>
        <v>0</v>
      </c>
      <c r="CBL46" s="420">
        <f t="shared" si="75"/>
        <v>0</v>
      </c>
      <c r="CBM46" s="420">
        <f t="shared" si="75"/>
        <v>0</v>
      </c>
      <c r="CBN46" s="420">
        <f t="shared" si="75"/>
        <v>0</v>
      </c>
      <c r="CBO46" s="420">
        <f t="shared" si="75"/>
        <v>0</v>
      </c>
      <c r="CBP46" s="420">
        <f t="shared" si="75"/>
        <v>0</v>
      </c>
      <c r="CBQ46" s="420">
        <f t="shared" si="75"/>
        <v>0</v>
      </c>
      <c r="CBR46" s="420">
        <f t="shared" si="75"/>
        <v>0</v>
      </c>
      <c r="CBS46" s="420">
        <f t="shared" si="75"/>
        <v>0</v>
      </c>
      <c r="CBT46" s="420">
        <f t="shared" si="75"/>
        <v>0</v>
      </c>
      <c r="CBU46" s="420">
        <f t="shared" si="75"/>
        <v>0</v>
      </c>
      <c r="CBV46" s="420">
        <f t="shared" si="75"/>
        <v>0</v>
      </c>
      <c r="CBW46" s="420">
        <f t="shared" si="75"/>
        <v>0</v>
      </c>
      <c r="CBX46" s="420">
        <f t="shared" si="75"/>
        <v>0</v>
      </c>
      <c r="CBY46" s="420">
        <f t="shared" si="75"/>
        <v>0</v>
      </c>
      <c r="CBZ46" s="420">
        <f t="shared" si="75"/>
        <v>0</v>
      </c>
      <c r="CCA46" s="420">
        <f t="shared" si="75"/>
        <v>0</v>
      </c>
      <c r="CCB46" s="420">
        <f t="shared" si="75"/>
        <v>0</v>
      </c>
      <c r="CCC46" s="420">
        <f t="shared" si="75"/>
        <v>0</v>
      </c>
      <c r="CCD46" s="420">
        <f t="shared" si="75"/>
        <v>0</v>
      </c>
      <c r="CCE46" s="420">
        <f t="shared" si="75"/>
        <v>0</v>
      </c>
      <c r="CCF46" s="420">
        <f t="shared" si="75"/>
        <v>0</v>
      </c>
      <c r="CCG46" s="420">
        <f t="shared" si="75"/>
        <v>0</v>
      </c>
      <c r="CCH46" s="420">
        <f t="shared" si="75"/>
        <v>0</v>
      </c>
      <c r="CCI46" s="420">
        <f t="shared" si="75"/>
        <v>0</v>
      </c>
      <c r="CCJ46" s="420">
        <f t="shared" si="75"/>
        <v>0</v>
      </c>
      <c r="CCK46" s="420">
        <f t="shared" ref="CCK46:CEV46" si="76">CCK45*0.8</f>
        <v>0</v>
      </c>
      <c r="CCL46" s="420">
        <f t="shared" si="76"/>
        <v>0</v>
      </c>
      <c r="CCM46" s="420">
        <f t="shared" si="76"/>
        <v>0</v>
      </c>
      <c r="CCN46" s="420">
        <f t="shared" si="76"/>
        <v>0</v>
      </c>
      <c r="CCO46" s="420">
        <f t="shared" si="76"/>
        <v>0</v>
      </c>
      <c r="CCP46" s="420">
        <f t="shared" si="76"/>
        <v>0</v>
      </c>
      <c r="CCQ46" s="420">
        <f t="shared" si="76"/>
        <v>0</v>
      </c>
      <c r="CCR46" s="420">
        <f t="shared" si="76"/>
        <v>0</v>
      </c>
      <c r="CCS46" s="420">
        <f t="shared" si="76"/>
        <v>0</v>
      </c>
      <c r="CCT46" s="420">
        <f t="shared" si="76"/>
        <v>0</v>
      </c>
      <c r="CCU46" s="420">
        <f t="shared" si="76"/>
        <v>0</v>
      </c>
      <c r="CCV46" s="420">
        <f t="shared" si="76"/>
        <v>0</v>
      </c>
      <c r="CCW46" s="420">
        <f t="shared" si="76"/>
        <v>0</v>
      </c>
      <c r="CCX46" s="420">
        <f t="shared" si="76"/>
        <v>0</v>
      </c>
      <c r="CCY46" s="420">
        <f t="shared" si="76"/>
        <v>0</v>
      </c>
      <c r="CCZ46" s="420">
        <f t="shared" si="76"/>
        <v>0</v>
      </c>
      <c r="CDA46" s="420">
        <f t="shared" si="76"/>
        <v>0</v>
      </c>
      <c r="CDB46" s="420">
        <f t="shared" si="76"/>
        <v>0</v>
      </c>
      <c r="CDC46" s="420">
        <f t="shared" si="76"/>
        <v>0</v>
      </c>
      <c r="CDD46" s="420">
        <f t="shared" si="76"/>
        <v>0</v>
      </c>
      <c r="CDE46" s="420">
        <f t="shared" si="76"/>
        <v>0</v>
      </c>
      <c r="CDF46" s="420">
        <f t="shared" si="76"/>
        <v>0</v>
      </c>
      <c r="CDG46" s="420">
        <f t="shared" si="76"/>
        <v>0</v>
      </c>
      <c r="CDH46" s="420">
        <f t="shared" si="76"/>
        <v>0</v>
      </c>
      <c r="CDI46" s="420">
        <f t="shared" si="76"/>
        <v>0</v>
      </c>
      <c r="CDJ46" s="420">
        <f t="shared" si="76"/>
        <v>0</v>
      </c>
      <c r="CDK46" s="420">
        <f t="shared" si="76"/>
        <v>0</v>
      </c>
      <c r="CDL46" s="420">
        <f t="shared" si="76"/>
        <v>0</v>
      </c>
      <c r="CDM46" s="420">
        <f t="shared" si="76"/>
        <v>0</v>
      </c>
      <c r="CDN46" s="420">
        <f t="shared" si="76"/>
        <v>0</v>
      </c>
      <c r="CDO46" s="420">
        <f t="shared" si="76"/>
        <v>0</v>
      </c>
      <c r="CDP46" s="420">
        <f t="shared" si="76"/>
        <v>0</v>
      </c>
      <c r="CDQ46" s="420">
        <f t="shared" si="76"/>
        <v>0</v>
      </c>
      <c r="CDR46" s="420">
        <f t="shared" si="76"/>
        <v>0</v>
      </c>
      <c r="CDS46" s="420">
        <f t="shared" si="76"/>
        <v>0</v>
      </c>
      <c r="CDT46" s="420">
        <f t="shared" si="76"/>
        <v>0</v>
      </c>
      <c r="CDU46" s="420">
        <f t="shared" si="76"/>
        <v>0</v>
      </c>
      <c r="CDV46" s="420">
        <f t="shared" si="76"/>
        <v>0</v>
      </c>
      <c r="CDW46" s="420">
        <f t="shared" si="76"/>
        <v>0</v>
      </c>
      <c r="CDX46" s="420">
        <f t="shared" si="76"/>
        <v>0</v>
      </c>
      <c r="CDY46" s="420">
        <f t="shared" si="76"/>
        <v>0</v>
      </c>
      <c r="CDZ46" s="420">
        <f t="shared" si="76"/>
        <v>0</v>
      </c>
      <c r="CEA46" s="420">
        <f t="shared" si="76"/>
        <v>0</v>
      </c>
      <c r="CEB46" s="420">
        <f t="shared" si="76"/>
        <v>0</v>
      </c>
      <c r="CEC46" s="420">
        <f t="shared" si="76"/>
        <v>0</v>
      </c>
      <c r="CED46" s="420">
        <f t="shared" si="76"/>
        <v>0</v>
      </c>
      <c r="CEE46" s="420">
        <f t="shared" si="76"/>
        <v>0</v>
      </c>
      <c r="CEF46" s="420">
        <f t="shared" si="76"/>
        <v>0</v>
      </c>
      <c r="CEG46" s="420">
        <f t="shared" si="76"/>
        <v>0</v>
      </c>
      <c r="CEH46" s="420">
        <f t="shared" si="76"/>
        <v>0</v>
      </c>
      <c r="CEI46" s="420">
        <f t="shared" si="76"/>
        <v>0</v>
      </c>
      <c r="CEJ46" s="420">
        <f t="shared" si="76"/>
        <v>0</v>
      </c>
      <c r="CEK46" s="420">
        <f t="shared" si="76"/>
        <v>0</v>
      </c>
      <c r="CEL46" s="420">
        <f t="shared" si="76"/>
        <v>0</v>
      </c>
      <c r="CEM46" s="420">
        <f t="shared" si="76"/>
        <v>0</v>
      </c>
      <c r="CEN46" s="420">
        <f t="shared" si="76"/>
        <v>0</v>
      </c>
      <c r="CEO46" s="420">
        <f t="shared" si="76"/>
        <v>0</v>
      </c>
      <c r="CEP46" s="420">
        <f t="shared" si="76"/>
        <v>0</v>
      </c>
      <c r="CEQ46" s="420">
        <f t="shared" si="76"/>
        <v>0</v>
      </c>
      <c r="CER46" s="420">
        <f t="shared" si="76"/>
        <v>0</v>
      </c>
      <c r="CES46" s="420">
        <f t="shared" si="76"/>
        <v>0</v>
      </c>
      <c r="CET46" s="420">
        <f t="shared" si="76"/>
        <v>0</v>
      </c>
      <c r="CEU46" s="420">
        <f t="shared" si="76"/>
        <v>0</v>
      </c>
      <c r="CEV46" s="420">
        <f t="shared" si="76"/>
        <v>0</v>
      </c>
      <c r="CEW46" s="420">
        <f t="shared" ref="CEW46:CHH46" si="77">CEW45*0.8</f>
        <v>0</v>
      </c>
      <c r="CEX46" s="420">
        <f t="shared" si="77"/>
        <v>0</v>
      </c>
      <c r="CEY46" s="420">
        <f t="shared" si="77"/>
        <v>0</v>
      </c>
      <c r="CEZ46" s="420">
        <f t="shared" si="77"/>
        <v>0</v>
      </c>
      <c r="CFA46" s="420">
        <f t="shared" si="77"/>
        <v>0</v>
      </c>
      <c r="CFB46" s="420">
        <f t="shared" si="77"/>
        <v>0</v>
      </c>
      <c r="CFC46" s="420">
        <f t="shared" si="77"/>
        <v>0</v>
      </c>
      <c r="CFD46" s="420">
        <f t="shared" si="77"/>
        <v>0</v>
      </c>
      <c r="CFE46" s="420">
        <f t="shared" si="77"/>
        <v>0</v>
      </c>
      <c r="CFF46" s="420">
        <f t="shared" si="77"/>
        <v>0</v>
      </c>
      <c r="CFG46" s="420">
        <f t="shared" si="77"/>
        <v>0</v>
      </c>
      <c r="CFH46" s="420">
        <f t="shared" si="77"/>
        <v>0</v>
      </c>
      <c r="CFI46" s="420">
        <f t="shared" si="77"/>
        <v>0</v>
      </c>
      <c r="CFJ46" s="420">
        <f t="shared" si="77"/>
        <v>0</v>
      </c>
      <c r="CFK46" s="420">
        <f t="shared" si="77"/>
        <v>0</v>
      </c>
      <c r="CFL46" s="420">
        <f t="shared" si="77"/>
        <v>0</v>
      </c>
      <c r="CFM46" s="420">
        <f t="shared" si="77"/>
        <v>0</v>
      </c>
      <c r="CFN46" s="420">
        <f t="shared" si="77"/>
        <v>0</v>
      </c>
      <c r="CFO46" s="420">
        <f t="shared" si="77"/>
        <v>0</v>
      </c>
      <c r="CFP46" s="420">
        <f t="shared" si="77"/>
        <v>0</v>
      </c>
      <c r="CFQ46" s="420">
        <f t="shared" si="77"/>
        <v>0</v>
      </c>
      <c r="CFR46" s="420">
        <f t="shared" si="77"/>
        <v>0</v>
      </c>
      <c r="CFS46" s="420">
        <f t="shared" si="77"/>
        <v>0</v>
      </c>
      <c r="CFT46" s="420">
        <f t="shared" si="77"/>
        <v>0</v>
      </c>
      <c r="CFU46" s="420">
        <f t="shared" si="77"/>
        <v>0</v>
      </c>
      <c r="CFV46" s="420">
        <f t="shared" si="77"/>
        <v>0</v>
      </c>
      <c r="CFW46" s="420">
        <f t="shared" si="77"/>
        <v>0</v>
      </c>
      <c r="CFX46" s="420">
        <f t="shared" si="77"/>
        <v>0</v>
      </c>
      <c r="CFY46" s="420">
        <f t="shared" si="77"/>
        <v>0</v>
      </c>
      <c r="CFZ46" s="420">
        <f t="shared" si="77"/>
        <v>0</v>
      </c>
      <c r="CGA46" s="420">
        <f t="shared" si="77"/>
        <v>0</v>
      </c>
      <c r="CGB46" s="420">
        <f t="shared" si="77"/>
        <v>0</v>
      </c>
      <c r="CGC46" s="420">
        <f t="shared" si="77"/>
        <v>0</v>
      </c>
      <c r="CGD46" s="420">
        <f t="shared" si="77"/>
        <v>0</v>
      </c>
      <c r="CGE46" s="420">
        <f t="shared" si="77"/>
        <v>0</v>
      </c>
      <c r="CGF46" s="420">
        <f t="shared" si="77"/>
        <v>0</v>
      </c>
      <c r="CGG46" s="420">
        <f t="shared" si="77"/>
        <v>0</v>
      </c>
      <c r="CGH46" s="420">
        <f t="shared" si="77"/>
        <v>0</v>
      </c>
      <c r="CGI46" s="420">
        <f t="shared" si="77"/>
        <v>0</v>
      </c>
      <c r="CGJ46" s="420">
        <f t="shared" si="77"/>
        <v>0</v>
      </c>
      <c r="CGK46" s="420">
        <f t="shared" si="77"/>
        <v>0</v>
      </c>
      <c r="CGL46" s="420">
        <f t="shared" si="77"/>
        <v>0</v>
      </c>
      <c r="CGM46" s="420">
        <f t="shared" si="77"/>
        <v>0</v>
      </c>
      <c r="CGN46" s="420">
        <f t="shared" si="77"/>
        <v>0</v>
      </c>
      <c r="CGO46" s="420">
        <f t="shared" si="77"/>
        <v>0</v>
      </c>
      <c r="CGP46" s="420">
        <f t="shared" si="77"/>
        <v>0</v>
      </c>
      <c r="CGQ46" s="420">
        <f t="shared" si="77"/>
        <v>0</v>
      </c>
      <c r="CGR46" s="420">
        <f t="shared" si="77"/>
        <v>0</v>
      </c>
      <c r="CGS46" s="420">
        <f t="shared" si="77"/>
        <v>0</v>
      </c>
      <c r="CGT46" s="420">
        <f t="shared" si="77"/>
        <v>0</v>
      </c>
      <c r="CGU46" s="420">
        <f t="shared" si="77"/>
        <v>0</v>
      </c>
      <c r="CGV46" s="420">
        <f t="shared" si="77"/>
        <v>0</v>
      </c>
      <c r="CGW46" s="420">
        <f t="shared" si="77"/>
        <v>0</v>
      </c>
      <c r="CGX46" s="420">
        <f t="shared" si="77"/>
        <v>0</v>
      </c>
      <c r="CGY46" s="420">
        <f t="shared" si="77"/>
        <v>0</v>
      </c>
      <c r="CGZ46" s="420">
        <f t="shared" si="77"/>
        <v>0</v>
      </c>
      <c r="CHA46" s="420">
        <f t="shared" si="77"/>
        <v>0</v>
      </c>
      <c r="CHB46" s="420">
        <f t="shared" si="77"/>
        <v>0</v>
      </c>
      <c r="CHC46" s="420">
        <f t="shared" si="77"/>
        <v>0</v>
      </c>
      <c r="CHD46" s="420">
        <f t="shared" si="77"/>
        <v>0</v>
      </c>
      <c r="CHE46" s="420">
        <f t="shared" si="77"/>
        <v>0</v>
      </c>
      <c r="CHF46" s="420">
        <f t="shared" si="77"/>
        <v>0</v>
      </c>
      <c r="CHG46" s="420">
        <f t="shared" si="77"/>
        <v>0</v>
      </c>
      <c r="CHH46" s="420">
        <f t="shared" si="77"/>
        <v>0</v>
      </c>
      <c r="CHI46" s="420">
        <f t="shared" ref="CHI46:CJT46" si="78">CHI45*0.8</f>
        <v>0</v>
      </c>
      <c r="CHJ46" s="420">
        <f t="shared" si="78"/>
        <v>0</v>
      </c>
      <c r="CHK46" s="420">
        <f t="shared" si="78"/>
        <v>0</v>
      </c>
      <c r="CHL46" s="420">
        <f t="shared" si="78"/>
        <v>0</v>
      </c>
      <c r="CHM46" s="420">
        <f t="shared" si="78"/>
        <v>0</v>
      </c>
      <c r="CHN46" s="420">
        <f t="shared" si="78"/>
        <v>0</v>
      </c>
      <c r="CHO46" s="420">
        <f t="shared" si="78"/>
        <v>0</v>
      </c>
      <c r="CHP46" s="420">
        <f t="shared" si="78"/>
        <v>0</v>
      </c>
      <c r="CHQ46" s="420">
        <f t="shared" si="78"/>
        <v>0</v>
      </c>
      <c r="CHR46" s="420">
        <f t="shared" si="78"/>
        <v>0</v>
      </c>
      <c r="CHS46" s="420">
        <f t="shared" si="78"/>
        <v>0</v>
      </c>
      <c r="CHT46" s="420">
        <f t="shared" si="78"/>
        <v>0</v>
      </c>
      <c r="CHU46" s="420">
        <f t="shared" si="78"/>
        <v>0</v>
      </c>
      <c r="CHV46" s="420">
        <f t="shared" si="78"/>
        <v>0</v>
      </c>
      <c r="CHW46" s="420">
        <f t="shared" si="78"/>
        <v>0</v>
      </c>
      <c r="CHX46" s="420">
        <f t="shared" si="78"/>
        <v>0</v>
      </c>
      <c r="CHY46" s="420">
        <f t="shared" si="78"/>
        <v>0</v>
      </c>
      <c r="CHZ46" s="420">
        <f t="shared" si="78"/>
        <v>0</v>
      </c>
      <c r="CIA46" s="420">
        <f t="shared" si="78"/>
        <v>0</v>
      </c>
      <c r="CIB46" s="420">
        <f t="shared" si="78"/>
        <v>0</v>
      </c>
      <c r="CIC46" s="420">
        <f t="shared" si="78"/>
        <v>0</v>
      </c>
      <c r="CID46" s="420">
        <f t="shared" si="78"/>
        <v>0</v>
      </c>
      <c r="CIE46" s="420">
        <f t="shared" si="78"/>
        <v>0</v>
      </c>
      <c r="CIF46" s="420">
        <f t="shared" si="78"/>
        <v>0</v>
      </c>
      <c r="CIG46" s="420">
        <f t="shared" si="78"/>
        <v>0</v>
      </c>
      <c r="CIH46" s="420">
        <f t="shared" si="78"/>
        <v>0</v>
      </c>
      <c r="CII46" s="420">
        <f t="shared" si="78"/>
        <v>0</v>
      </c>
      <c r="CIJ46" s="420">
        <f t="shared" si="78"/>
        <v>0</v>
      </c>
      <c r="CIK46" s="420">
        <f t="shared" si="78"/>
        <v>0</v>
      </c>
      <c r="CIL46" s="420">
        <f t="shared" si="78"/>
        <v>0</v>
      </c>
      <c r="CIM46" s="420">
        <f t="shared" si="78"/>
        <v>0</v>
      </c>
      <c r="CIN46" s="420">
        <f t="shared" si="78"/>
        <v>0</v>
      </c>
      <c r="CIO46" s="420">
        <f t="shared" si="78"/>
        <v>0</v>
      </c>
      <c r="CIP46" s="420">
        <f t="shared" si="78"/>
        <v>0</v>
      </c>
      <c r="CIQ46" s="420">
        <f t="shared" si="78"/>
        <v>0</v>
      </c>
      <c r="CIR46" s="420">
        <f t="shared" si="78"/>
        <v>0</v>
      </c>
      <c r="CIS46" s="420">
        <f t="shared" si="78"/>
        <v>0</v>
      </c>
      <c r="CIT46" s="420">
        <f t="shared" si="78"/>
        <v>0</v>
      </c>
      <c r="CIU46" s="420">
        <f t="shared" si="78"/>
        <v>0</v>
      </c>
      <c r="CIV46" s="420">
        <f t="shared" si="78"/>
        <v>0</v>
      </c>
      <c r="CIW46" s="420">
        <f t="shared" si="78"/>
        <v>0</v>
      </c>
      <c r="CIX46" s="420">
        <f t="shared" si="78"/>
        <v>0</v>
      </c>
      <c r="CIY46" s="420">
        <f t="shared" si="78"/>
        <v>0</v>
      </c>
      <c r="CIZ46" s="420">
        <f t="shared" si="78"/>
        <v>0</v>
      </c>
      <c r="CJA46" s="420">
        <f t="shared" si="78"/>
        <v>0</v>
      </c>
      <c r="CJB46" s="420">
        <f t="shared" si="78"/>
        <v>0</v>
      </c>
      <c r="CJC46" s="420">
        <f t="shared" si="78"/>
        <v>0</v>
      </c>
      <c r="CJD46" s="420">
        <f t="shared" si="78"/>
        <v>0</v>
      </c>
      <c r="CJE46" s="420">
        <f t="shared" si="78"/>
        <v>0</v>
      </c>
      <c r="CJF46" s="420">
        <f t="shared" si="78"/>
        <v>0</v>
      </c>
      <c r="CJG46" s="420">
        <f t="shared" si="78"/>
        <v>0</v>
      </c>
      <c r="CJH46" s="420">
        <f t="shared" si="78"/>
        <v>0</v>
      </c>
      <c r="CJI46" s="420">
        <f t="shared" si="78"/>
        <v>0</v>
      </c>
      <c r="CJJ46" s="420">
        <f t="shared" si="78"/>
        <v>0</v>
      </c>
      <c r="CJK46" s="420">
        <f t="shared" si="78"/>
        <v>0</v>
      </c>
      <c r="CJL46" s="420">
        <f t="shared" si="78"/>
        <v>0</v>
      </c>
      <c r="CJM46" s="420">
        <f t="shared" si="78"/>
        <v>0</v>
      </c>
      <c r="CJN46" s="420">
        <f t="shared" si="78"/>
        <v>0</v>
      </c>
      <c r="CJO46" s="420">
        <f t="shared" si="78"/>
        <v>0</v>
      </c>
      <c r="CJP46" s="420">
        <f t="shared" si="78"/>
        <v>0</v>
      </c>
      <c r="CJQ46" s="420">
        <f t="shared" si="78"/>
        <v>0</v>
      </c>
      <c r="CJR46" s="420">
        <f t="shared" si="78"/>
        <v>0</v>
      </c>
      <c r="CJS46" s="420">
        <f t="shared" si="78"/>
        <v>0</v>
      </c>
      <c r="CJT46" s="420">
        <f t="shared" si="78"/>
        <v>0</v>
      </c>
      <c r="CJU46" s="420">
        <f t="shared" ref="CJU46:CMF46" si="79">CJU45*0.8</f>
        <v>0</v>
      </c>
      <c r="CJV46" s="420">
        <f t="shared" si="79"/>
        <v>0</v>
      </c>
      <c r="CJW46" s="420">
        <f t="shared" si="79"/>
        <v>0</v>
      </c>
      <c r="CJX46" s="420">
        <f t="shared" si="79"/>
        <v>0</v>
      </c>
      <c r="CJY46" s="420">
        <f t="shared" si="79"/>
        <v>0</v>
      </c>
      <c r="CJZ46" s="420">
        <f t="shared" si="79"/>
        <v>0</v>
      </c>
      <c r="CKA46" s="420">
        <f t="shared" si="79"/>
        <v>0</v>
      </c>
      <c r="CKB46" s="420">
        <f t="shared" si="79"/>
        <v>0</v>
      </c>
      <c r="CKC46" s="420">
        <f t="shared" si="79"/>
        <v>0</v>
      </c>
      <c r="CKD46" s="420">
        <f t="shared" si="79"/>
        <v>0</v>
      </c>
      <c r="CKE46" s="420">
        <f t="shared" si="79"/>
        <v>0</v>
      </c>
      <c r="CKF46" s="420">
        <f t="shared" si="79"/>
        <v>0</v>
      </c>
      <c r="CKG46" s="420">
        <f t="shared" si="79"/>
        <v>0</v>
      </c>
      <c r="CKH46" s="420">
        <f t="shared" si="79"/>
        <v>0</v>
      </c>
      <c r="CKI46" s="420">
        <f t="shared" si="79"/>
        <v>0</v>
      </c>
      <c r="CKJ46" s="420">
        <f t="shared" si="79"/>
        <v>0</v>
      </c>
      <c r="CKK46" s="420">
        <f t="shared" si="79"/>
        <v>0</v>
      </c>
      <c r="CKL46" s="420">
        <f t="shared" si="79"/>
        <v>0</v>
      </c>
      <c r="CKM46" s="420">
        <f t="shared" si="79"/>
        <v>0</v>
      </c>
      <c r="CKN46" s="420">
        <f t="shared" si="79"/>
        <v>0</v>
      </c>
      <c r="CKO46" s="420">
        <f t="shared" si="79"/>
        <v>0</v>
      </c>
      <c r="CKP46" s="420">
        <f t="shared" si="79"/>
        <v>0</v>
      </c>
      <c r="CKQ46" s="420">
        <f t="shared" si="79"/>
        <v>0</v>
      </c>
      <c r="CKR46" s="420">
        <f t="shared" si="79"/>
        <v>0</v>
      </c>
      <c r="CKS46" s="420">
        <f t="shared" si="79"/>
        <v>0</v>
      </c>
      <c r="CKT46" s="420">
        <f t="shared" si="79"/>
        <v>0</v>
      </c>
      <c r="CKU46" s="420">
        <f t="shared" si="79"/>
        <v>0</v>
      </c>
      <c r="CKV46" s="420">
        <f t="shared" si="79"/>
        <v>0</v>
      </c>
      <c r="CKW46" s="420">
        <f t="shared" si="79"/>
        <v>0</v>
      </c>
      <c r="CKX46" s="420">
        <f t="shared" si="79"/>
        <v>0</v>
      </c>
      <c r="CKY46" s="420">
        <f t="shared" si="79"/>
        <v>0</v>
      </c>
      <c r="CKZ46" s="420">
        <f t="shared" si="79"/>
        <v>0</v>
      </c>
      <c r="CLA46" s="420">
        <f t="shared" si="79"/>
        <v>0</v>
      </c>
      <c r="CLB46" s="420">
        <f t="shared" si="79"/>
        <v>0</v>
      </c>
      <c r="CLC46" s="420">
        <f t="shared" si="79"/>
        <v>0</v>
      </c>
      <c r="CLD46" s="420">
        <f t="shared" si="79"/>
        <v>0</v>
      </c>
      <c r="CLE46" s="420">
        <f t="shared" si="79"/>
        <v>0</v>
      </c>
      <c r="CLF46" s="420">
        <f t="shared" si="79"/>
        <v>0</v>
      </c>
      <c r="CLG46" s="420">
        <f t="shared" si="79"/>
        <v>0</v>
      </c>
      <c r="CLH46" s="420">
        <f t="shared" si="79"/>
        <v>0</v>
      </c>
      <c r="CLI46" s="420">
        <f t="shared" si="79"/>
        <v>0</v>
      </c>
      <c r="CLJ46" s="420">
        <f t="shared" si="79"/>
        <v>0</v>
      </c>
      <c r="CLK46" s="420">
        <f t="shared" si="79"/>
        <v>0</v>
      </c>
      <c r="CLL46" s="420">
        <f t="shared" si="79"/>
        <v>0</v>
      </c>
      <c r="CLM46" s="420">
        <f t="shared" si="79"/>
        <v>0</v>
      </c>
      <c r="CLN46" s="420">
        <f t="shared" si="79"/>
        <v>0</v>
      </c>
      <c r="CLO46" s="420">
        <f t="shared" si="79"/>
        <v>0</v>
      </c>
      <c r="CLP46" s="420">
        <f t="shared" si="79"/>
        <v>0</v>
      </c>
      <c r="CLQ46" s="420">
        <f t="shared" si="79"/>
        <v>0</v>
      </c>
      <c r="CLR46" s="420">
        <f t="shared" si="79"/>
        <v>0</v>
      </c>
      <c r="CLS46" s="420">
        <f t="shared" si="79"/>
        <v>0</v>
      </c>
      <c r="CLT46" s="420">
        <f t="shared" si="79"/>
        <v>0</v>
      </c>
      <c r="CLU46" s="420">
        <f t="shared" si="79"/>
        <v>0</v>
      </c>
      <c r="CLV46" s="420">
        <f t="shared" si="79"/>
        <v>0</v>
      </c>
      <c r="CLW46" s="420">
        <f t="shared" si="79"/>
        <v>0</v>
      </c>
      <c r="CLX46" s="420">
        <f t="shared" si="79"/>
        <v>0</v>
      </c>
      <c r="CLY46" s="420">
        <f t="shared" si="79"/>
        <v>0</v>
      </c>
      <c r="CLZ46" s="420">
        <f t="shared" si="79"/>
        <v>0</v>
      </c>
      <c r="CMA46" s="420">
        <f t="shared" si="79"/>
        <v>0</v>
      </c>
      <c r="CMB46" s="420">
        <f t="shared" si="79"/>
        <v>0</v>
      </c>
      <c r="CMC46" s="420">
        <f t="shared" si="79"/>
        <v>0</v>
      </c>
      <c r="CMD46" s="420">
        <f t="shared" si="79"/>
        <v>0</v>
      </c>
      <c r="CME46" s="420">
        <f t="shared" si="79"/>
        <v>0</v>
      </c>
      <c r="CMF46" s="420">
        <f t="shared" si="79"/>
        <v>0</v>
      </c>
      <c r="CMG46" s="420">
        <f t="shared" ref="CMG46:COR46" si="80">CMG45*0.8</f>
        <v>0</v>
      </c>
      <c r="CMH46" s="420">
        <f t="shared" si="80"/>
        <v>0</v>
      </c>
      <c r="CMI46" s="420">
        <f t="shared" si="80"/>
        <v>0</v>
      </c>
      <c r="CMJ46" s="420">
        <f t="shared" si="80"/>
        <v>0</v>
      </c>
      <c r="CMK46" s="420">
        <f t="shared" si="80"/>
        <v>0</v>
      </c>
      <c r="CML46" s="420">
        <f t="shared" si="80"/>
        <v>0</v>
      </c>
      <c r="CMM46" s="420">
        <f t="shared" si="80"/>
        <v>0</v>
      </c>
      <c r="CMN46" s="420">
        <f t="shared" si="80"/>
        <v>0</v>
      </c>
      <c r="CMO46" s="420">
        <f t="shared" si="80"/>
        <v>0</v>
      </c>
      <c r="CMP46" s="420">
        <f t="shared" si="80"/>
        <v>0</v>
      </c>
      <c r="CMQ46" s="420">
        <f t="shared" si="80"/>
        <v>0</v>
      </c>
      <c r="CMR46" s="420">
        <f t="shared" si="80"/>
        <v>0</v>
      </c>
      <c r="CMS46" s="420">
        <f t="shared" si="80"/>
        <v>0</v>
      </c>
      <c r="CMT46" s="420">
        <f t="shared" si="80"/>
        <v>0</v>
      </c>
      <c r="CMU46" s="420">
        <f t="shared" si="80"/>
        <v>0</v>
      </c>
      <c r="CMV46" s="420">
        <f t="shared" si="80"/>
        <v>0</v>
      </c>
      <c r="CMW46" s="420">
        <f t="shared" si="80"/>
        <v>0</v>
      </c>
      <c r="CMX46" s="420">
        <f t="shared" si="80"/>
        <v>0</v>
      </c>
      <c r="CMY46" s="420">
        <f t="shared" si="80"/>
        <v>0</v>
      </c>
      <c r="CMZ46" s="420">
        <f t="shared" si="80"/>
        <v>0</v>
      </c>
      <c r="CNA46" s="420">
        <f t="shared" si="80"/>
        <v>0</v>
      </c>
      <c r="CNB46" s="420">
        <f t="shared" si="80"/>
        <v>0</v>
      </c>
      <c r="CNC46" s="420">
        <f t="shared" si="80"/>
        <v>0</v>
      </c>
      <c r="CND46" s="420">
        <f t="shared" si="80"/>
        <v>0</v>
      </c>
      <c r="CNE46" s="420">
        <f t="shared" si="80"/>
        <v>0</v>
      </c>
      <c r="CNF46" s="420">
        <f t="shared" si="80"/>
        <v>0</v>
      </c>
      <c r="CNG46" s="420">
        <f t="shared" si="80"/>
        <v>0</v>
      </c>
      <c r="CNH46" s="420">
        <f t="shared" si="80"/>
        <v>0</v>
      </c>
      <c r="CNI46" s="420">
        <f t="shared" si="80"/>
        <v>0</v>
      </c>
      <c r="CNJ46" s="420">
        <f t="shared" si="80"/>
        <v>0</v>
      </c>
      <c r="CNK46" s="420">
        <f t="shared" si="80"/>
        <v>0</v>
      </c>
      <c r="CNL46" s="420">
        <f t="shared" si="80"/>
        <v>0</v>
      </c>
      <c r="CNM46" s="420">
        <f t="shared" si="80"/>
        <v>0</v>
      </c>
      <c r="CNN46" s="420">
        <f t="shared" si="80"/>
        <v>0</v>
      </c>
      <c r="CNO46" s="420">
        <f t="shared" si="80"/>
        <v>0</v>
      </c>
      <c r="CNP46" s="420">
        <f t="shared" si="80"/>
        <v>0</v>
      </c>
      <c r="CNQ46" s="420">
        <f t="shared" si="80"/>
        <v>0</v>
      </c>
      <c r="CNR46" s="420">
        <f t="shared" si="80"/>
        <v>0</v>
      </c>
      <c r="CNS46" s="420">
        <f t="shared" si="80"/>
        <v>0</v>
      </c>
      <c r="CNT46" s="420">
        <f t="shared" si="80"/>
        <v>0</v>
      </c>
      <c r="CNU46" s="420">
        <f t="shared" si="80"/>
        <v>0</v>
      </c>
      <c r="CNV46" s="420">
        <f t="shared" si="80"/>
        <v>0</v>
      </c>
      <c r="CNW46" s="420">
        <f t="shared" si="80"/>
        <v>0</v>
      </c>
      <c r="CNX46" s="420">
        <f t="shared" si="80"/>
        <v>0</v>
      </c>
      <c r="CNY46" s="420">
        <f t="shared" si="80"/>
        <v>0</v>
      </c>
      <c r="CNZ46" s="420">
        <f t="shared" si="80"/>
        <v>0</v>
      </c>
      <c r="COA46" s="420">
        <f t="shared" si="80"/>
        <v>0</v>
      </c>
      <c r="COB46" s="420">
        <f t="shared" si="80"/>
        <v>0</v>
      </c>
      <c r="COC46" s="420">
        <f t="shared" si="80"/>
        <v>0</v>
      </c>
      <c r="COD46" s="420">
        <f t="shared" si="80"/>
        <v>0</v>
      </c>
      <c r="COE46" s="420">
        <f t="shared" si="80"/>
        <v>0</v>
      </c>
      <c r="COF46" s="420">
        <f t="shared" si="80"/>
        <v>0</v>
      </c>
      <c r="COG46" s="420">
        <f t="shared" si="80"/>
        <v>0</v>
      </c>
      <c r="COH46" s="420">
        <f t="shared" si="80"/>
        <v>0</v>
      </c>
      <c r="COI46" s="420">
        <f t="shared" si="80"/>
        <v>0</v>
      </c>
      <c r="COJ46" s="420">
        <f t="shared" si="80"/>
        <v>0</v>
      </c>
      <c r="COK46" s="420">
        <f t="shared" si="80"/>
        <v>0</v>
      </c>
      <c r="COL46" s="420">
        <f t="shared" si="80"/>
        <v>0</v>
      </c>
      <c r="COM46" s="420">
        <f t="shared" si="80"/>
        <v>0</v>
      </c>
      <c r="CON46" s="420">
        <f t="shared" si="80"/>
        <v>0</v>
      </c>
      <c r="COO46" s="420">
        <f t="shared" si="80"/>
        <v>0</v>
      </c>
      <c r="COP46" s="420">
        <f t="shared" si="80"/>
        <v>0</v>
      </c>
      <c r="COQ46" s="420">
        <f t="shared" si="80"/>
        <v>0</v>
      </c>
      <c r="COR46" s="420">
        <f t="shared" si="80"/>
        <v>0</v>
      </c>
      <c r="COS46" s="420">
        <f t="shared" ref="COS46:CRD46" si="81">COS45*0.8</f>
        <v>0</v>
      </c>
      <c r="COT46" s="420">
        <f t="shared" si="81"/>
        <v>0</v>
      </c>
      <c r="COU46" s="420">
        <f t="shared" si="81"/>
        <v>0</v>
      </c>
      <c r="COV46" s="420">
        <f t="shared" si="81"/>
        <v>0</v>
      </c>
      <c r="COW46" s="420">
        <f t="shared" si="81"/>
        <v>0</v>
      </c>
      <c r="COX46" s="420">
        <f t="shared" si="81"/>
        <v>0</v>
      </c>
      <c r="COY46" s="420">
        <f t="shared" si="81"/>
        <v>0</v>
      </c>
      <c r="COZ46" s="420">
        <f t="shared" si="81"/>
        <v>0</v>
      </c>
      <c r="CPA46" s="420">
        <f t="shared" si="81"/>
        <v>0</v>
      </c>
      <c r="CPB46" s="420">
        <f t="shared" si="81"/>
        <v>0</v>
      </c>
      <c r="CPC46" s="420">
        <f t="shared" si="81"/>
        <v>0</v>
      </c>
      <c r="CPD46" s="420">
        <f t="shared" si="81"/>
        <v>0</v>
      </c>
      <c r="CPE46" s="420">
        <f t="shared" si="81"/>
        <v>0</v>
      </c>
      <c r="CPF46" s="420">
        <f t="shared" si="81"/>
        <v>0</v>
      </c>
      <c r="CPG46" s="420">
        <f t="shared" si="81"/>
        <v>0</v>
      </c>
      <c r="CPH46" s="420">
        <f t="shared" si="81"/>
        <v>0</v>
      </c>
      <c r="CPI46" s="420">
        <f t="shared" si="81"/>
        <v>0</v>
      </c>
      <c r="CPJ46" s="420">
        <f t="shared" si="81"/>
        <v>0</v>
      </c>
      <c r="CPK46" s="420">
        <f t="shared" si="81"/>
        <v>0</v>
      </c>
      <c r="CPL46" s="420">
        <f t="shared" si="81"/>
        <v>0</v>
      </c>
      <c r="CPM46" s="420">
        <f t="shared" si="81"/>
        <v>0</v>
      </c>
      <c r="CPN46" s="420">
        <f t="shared" si="81"/>
        <v>0</v>
      </c>
      <c r="CPO46" s="420">
        <f t="shared" si="81"/>
        <v>0</v>
      </c>
      <c r="CPP46" s="420">
        <f t="shared" si="81"/>
        <v>0</v>
      </c>
      <c r="CPQ46" s="420">
        <f t="shared" si="81"/>
        <v>0</v>
      </c>
      <c r="CPR46" s="420">
        <f t="shared" si="81"/>
        <v>0</v>
      </c>
      <c r="CPS46" s="420">
        <f t="shared" si="81"/>
        <v>0</v>
      </c>
      <c r="CPT46" s="420">
        <f t="shared" si="81"/>
        <v>0</v>
      </c>
      <c r="CPU46" s="420">
        <f t="shared" si="81"/>
        <v>0</v>
      </c>
      <c r="CPV46" s="420">
        <f t="shared" si="81"/>
        <v>0</v>
      </c>
      <c r="CPW46" s="420">
        <f t="shared" si="81"/>
        <v>0</v>
      </c>
      <c r="CPX46" s="420">
        <f t="shared" si="81"/>
        <v>0</v>
      </c>
      <c r="CPY46" s="420">
        <f t="shared" si="81"/>
        <v>0</v>
      </c>
      <c r="CPZ46" s="420">
        <f t="shared" si="81"/>
        <v>0</v>
      </c>
      <c r="CQA46" s="420">
        <f t="shared" si="81"/>
        <v>0</v>
      </c>
      <c r="CQB46" s="420">
        <f t="shared" si="81"/>
        <v>0</v>
      </c>
      <c r="CQC46" s="420">
        <f t="shared" si="81"/>
        <v>0</v>
      </c>
      <c r="CQD46" s="420">
        <f t="shared" si="81"/>
        <v>0</v>
      </c>
      <c r="CQE46" s="420">
        <f t="shared" si="81"/>
        <v>0</v>
      </c>
      <c r="CQF46" s="420">
        <f t="shared" si="81"/>
        <v>0</v>
      </c>
      <c r="CQG46" s="420">
        <f t="shared" si="81"/>
        <v>0</v>
      </c>
      <c r="CQH46" s="420">
        <f t="shared" si="81"/>
        <v>0</v>
      </c>
      <c r="CQI46" s="420">
        <f t="shared" si="81"/>
        <v>0</v>
      </c>
      <c r="CQJ46" s="420">
        <f t="shared" si="81"/>
        <v>0</v>
      </c>
      <c r="CQK46" s="420">
        <f t="shared" si="81"/>
        <v>0</v>
      </c>
      <c r="CQL46" s="420">
        <f t="shared" si="81"/>
        <v>0</v>
      </c>
      <c r="CQM46" s="420">
        <f t="shared" si="81"/>
        <v>0</v>
      </c>
      <c r="CQN46" s="420">
        <f t="shared" si="81"/>
        <v>0</v>
      </c>
      <c r="CQO46" s="420">
        <f t="shared" si="81"/>
        <v>0</v>
      </c>
      <c r="CQP46" s="420">
        <f t="shared" si="81"/>
        <v>0</v>
      </c>
      <c r="CQQ46" s="420">
        <f t="shared" si="81"/>
        <v>0</v>
      </c>
      <c r="CQR46" s="420">
        <f t="shared" si="81"/>
        <v>0</v>
      </c>
      <c r="CQS46" s="420">
        <f t="shared" si="81"/>
        <v>0</v>
      </c>
      <c r="CQT46" s="420">
        <f t="shared" si="81"/>
        <v>0</v>
      </c>
      <c r="CQU46" s="420">
        <f t="shared" si="81"/>
        <v>0</v>
      </c>
      <c r="CQV46" s="420">
        <f t="shared" si="81"/>
        <v>0</v>
      </c>
      <c r="CQW46" s="420">
        <f t="shared" si="81"/>
        <v>0</v>
      </c>
      <c r="CQX46" s="420">
        <f t="shared" si="81"/>
        <v>0</v>
      </c>
      <c r="CQY46" s="420">
        <f t="shared" si="81"/>
        <v>0</v>
      </c>
      <c r="CQZ46" s="420">
        <f t="shared" si="81"/>
        <v>0</v>
      </c>
      <c r="CRA46" s="420">
        <f t="shared" si="81"/>
        <v>0</v>
      </c>
      <c r="CRB46" s="420">
        <f t="shared" si="81"/>
        <v>0</v>
      </c>
      <c r="CRC46" s="420">
        <f t="shared" si="81"/>
        <v>0</v>
      </c>
      <c r="CRD46" s="420">
        <f t="shared" si="81"/>
        <v>0</v>
      </c>
      <c r="CRE46" s="420">
        <f t="shared" ref="CRE46:CTP46" si="82">CRE45*0.8</f>
        <v>0</v>
      </c>
      <c r="CRF46" s="420">
        <f t="shared" si="82"/>
        <v>0</v>
      </c>
      <c r="CRG46" s="420">
        <f t="shared" si="82"/>
        <v>0</v>
      </c>
      <c r="CRH46" s="420">
        <f t="shared" si="82"/>
        <v>0</v>
      </c>
      <c r="CRI46" s="420">
        <f t="shared" si="82"/>
        <v>0</v>
      </c>
      <c r="CRJ46" s="420">
        <f t="shared" si="82"/>
        <v>0</v>
      </c>
      <c r="CRK46" s="420">
        <f t="shared" si="82"/>
        <v>0</v>
      </c>
      <c r="CRL46" s="420">
        <f t="shared" si="82"/>
        <v>0</v>
      </c>
      <c r="CRM46" s="420">
        <f t="shared" si="82"/>
        <v>0</v>
      </c>
      <c r="CRN46" s="420">
        <f t="shared" si="82"/>
        <v>0</v>
      </c>
      <c r="CRO46" s="420">
        <f t="shared" si="82"/>
        <v>0</v>
      </c>
      <c r="CRP46" s="420">
        <f t="shared" si="82"/>
        <v>0</v>
      </c>
      <c r="CRQ46" s="420">
        <f t="shared" si="82"/>
        <v>0</v>
      </c>
      <c r="CRR46" s="420">
        <f t="shared" si="82"/>
        <v>0</v>
      </c>
      <c r="CRS46" s="420">
        <f t="shared" si="82"/>
        <v>0</v>
      </c>
      <c r="CRT46" s="420">
        <f t="shared" si="82"/>
        <v>0</v>
      </c>
      <c r="CRU46" s="420">
        <f t="shared" si="82"/>
        <v>0</v>
      </c>
      <c r="CRV46" s="420">
        <f t="shared" si="82"/>
        <v>0</v>
      </c>
      <c r="CRW46" s="420">
        <f t="shared" si="82"/>
        <v>0</v>
      </c>
      <c r="CRX46" s="420">
        <f t="shared" si="82"/>
        <v>0</v>
      </c>
      <c r="CRY46" s="420">
        <f t="shared" si="82"/>
        <v>0</v>
      </c>
      <c r="CRZ46" s="420">
        <f t="shared" si="82"/>
        <v>0</v>
      </c>
      <c r="CSA46" s="420">
        <f t="shared" si="82"/>
        <v>0</v>
      </c>
      <c r="CSB46" s="420">
        <f t="shared" si="82"/>
        <v>0</v>
      </c>
      <c r="CSC46" s="420">
        <f t="shared" si="82"/>
        <v>0</v>
      </c>
      <c r="CSD46" s="420">
        <f t="shared" si="82"/>
        <v>0</v>
      </c>
      <c r="CSE46" s="420">
        <f t="shared" si="82"/>
        <v>0</v>
      </c>
      <c r="CSF46" s="420">
        <f t="shared" si="82"/>
        <v>0</v>
      </c>
      <c r="CSG46" s="420">
        <f t="shared" si="82"/>
        <v>0</v>
      </c>
      <c r="CSH46" s="420">
        <f t="shared" si="82"/>
        <v>0</v>
      </c>
      <c r="CSI46" s="420">
        <f t="shared" si="82"/>
        <v>0</v>
      </c>
      <c r="CSJ46" s="420">
        <f t="shared" si="82"/>
        <v>0</v>
      </c>
      <c r="CSK46" s="420">
        <f t="shared" si="82"/>
        <v>0</v>
      </c>
      <c r="CSL46" s="420">
        <f t="shared" si="82"/>
        <v>0</v>
      </c>
      <c r="CSM46" s="420">
        <f t="shared" si="82"/>
        <v>0</v>
      </c>
      <c r="CSN46" s="420">
        <f t="shared" si="82"/>
        <v>0</v>
      </c>
      <c r="CSO46" s="420">
        <f t="shared" si="82"/>
        <v>0</v>
      </c>
      <c r="CSP46" s="420">
        <f t="shared" si="82"/>
        <v>0</v>
      </c>
      <c r="CSQ46" s="420">
        <f t="shared" si="82"/>
        <v>0</v>
      </c>
      <c r="CSR46" s="420">
        <f t="shared" si="82"/>
        <v>0</v>
      </c>
      <c r="CSS46" s="420">
        <f t="shared" si="82"/>
        <v>0</v>
      </c>
      <c r="CST46" s="420">
        <f t="shared" si="82"/>
        <v>0</v>
      </c>
      <c r="CSU46" s="420">
        <f t="shared" si="82"/>
        <v>0</v>
      </c>
      <c r="CSV46" s="420">
        <f t="shared" si="82"/>
        <v>0</v>
      </c>
      <c r="CSW46" s="420">
        <f t="shared" si="82"/>
        <v>0</v>
      </c>
      <c r="CSX46" s="420">
        <f t="shared" si="82"/>
        <v>0</v>
      </c>
      <c r="CSY46" s="420">
        <f t="shared" si="82"/>
        <v>0</v>
      </c>
      <c r="CSZ46" s="420">
        <f t="shared" si="82"/>
        <v>0</v>
      </c>
      <c r="CTA46" s="420">
        <f t="shared" si="82"/>
        <v>0</v>
      </c>
      <c r="CTB46" s="420">
        <f t="shared" si="82"/>
        <v>0</v>
      </c>
      <c r="CTC46" s="420">
        <f t="shared" si="82"/>
        <v>0</v>
      </c>
      <c r="CTD46" s="420">
        <f t="shared" si="82"/>
        <v>0</v>
      </c>
      <c r="CTE46" s="420">
        <f t="shared" si="82"/>
        <v>0</v>
      </c>
      <c r="CTF46" s="420">
        <f t="shared" si="82"/>
        <v>0</v>
      </c>
      <c r="CTG46" s="420">
        <f t="shared" si="82"/>
        <v>0</v>
      </c>
      <c r="CTH46" s="420">
        <f t="shared" si="82"/>
        <v>0</v>
      </c>
      <c r="CTI46" s="420">
        <f t="shared" si="82"/>
        <v>0</v>
      </c>
      <c r="CTJ46" s="420">
        <f t="shared" si="82"/>
        <v>0</v>
      </c>
      <c r="CTK46" s="420">
        <f t="shared" si="82"/>
        <v>0</v>
      </c>
      <c r="CTL46" s="420">
        <f t="shared" si="82"/>
        <v>0</v>
      </c>
      <c r="CTM46" s="420">
        <f t="shared" si="82"/>
        <v>0</v>
      </c>
      <c r="CTN46" s="420">
        <f t="shared" si="82"/>
        <v>0</v>
      </c>
      <c r="CTO46" s="420">
        <f t="shared" si="82"/>
        <v>0</v>
      </c>
      <c r="CTP46" s="420">
        <f t="shared" si="82"/>
        <v>0</v>
      </c>
      <c r="CTQ46" s="420">
        <f t="shared" ref="CTQ46:CWB46" si="83">CTQ45*0.8</f>
        <v>0</v>
      </c>
      <c r="CTR46" s="420">
        <f t="shared" si="83"/>
        <v>0</v>
      </c>
      <c r="CTS46" s="420">
        <f t="shared" si="83"/>
        <v>0</v>
      </c>
      <c r="CTT46" s="420">
        <f t="shared" si="83"/>
        <v>0</v>
      </c>
      <c r="CTU46" s="420">
        <f t="shared" si="83"/>
        <v>0</v>
      </c>
      <c r="CTV46" s="420">
        <f t="shared" si="83"/>
        <v>0</v>
      </c>
      <c r="CTW46" s="420">
        <f t="shared" si="83"/>
        <v>0</v>
      </c>
      <c r="CTX46" s="420">
        <f t="shared" si="83"/>
        <v>0</v>
      </c>
      <c r="CTY46" s="420">
        <f t="shared" si="83"/>
        <v>0</v>
      </c>
      <c r="CTZ46" s="420">
        <f t="shared" si="83"/>
        <v>0</v>
      </c>
      <c r="CUA46" s="420">
        <f t="shared" si="83"/>
        <v>0</v>
      </c>
      <c r="CUB46" s="420">
        <f t="shared" si="83"/>
        <v>0</v>
      </c>
      <c r="CUC46" s="420">
        <f t="shared" si="83"/>
        <v>0</v>
      </c>
      <c r="CUD46" s="420">
        <f t="shared" si="83"/>
        <v>0</v>
      </c>
      <c r="CUE46" s="420">
        <f t="shared" si="83"/>
        <v>0</v>
      </c>
      <c r="CUF46" s="420">
        <f t="shared" si="83"/>
        <v>0</v>
      </c>
      <c r="CUG46" s="420">
        <f t="shared" si="83"/>
        <v>0</v>
      </c>
      <c r="CUH46" s="420">
        <f t="shared" si="83"/>
        <v>0</v>
      </c>
      <c r="CUI46" s="420">
        <f t="shared" si="83"/>
        <v>0</v>
      </c>
      <c r="CUJ46" s="420">
        <f t="shared" si="83"/>
        <v>0</v>
      </c>
      <c r="CUK46" s="420">
        <f t="shared" si="83"/>
        <v>0</v>
      </c>
      <c r="CUL46" s="420">
        <f t="shared" si="83"/>
        <v>0</v>
      </c>
      <c r="CUM46" s="420">
        <f t="shared" si="83"/>
        <v>0</v>
      </c>
      <c r="CUN46" s="420">
        <f t="shared" si="83"/>
        <v>0</v>
      </c>
      <c r="CUO46" s="420">
        <f t="shared" si="83"/>
        <v>0</v>
      </c>
      <c r="CUP46" s="420">
        <f t="shared" si="83"/>
        <v>0</v>
      </c>
      <c r="CUQ46" s="420">
        <f t="shared" si="83"/>
        <v>0</v>
      </c>
      <c r="CUR46" s="420">
        <f t="shared" si="83"/>
        <v>0</v>
      </c>
      <c r="CUS46" s="420">
        <f t="shared" si="83"/>
        <v>0</v>
      </c>
      <c r="CUT46" s="420">
        <f t="shared" si="83"/>
        <v>0</v>
      </c>
      <c r="CUU46" s="420">
        <f t="shared" si="83"/>
        <v>0</v>
      </c>
      <c r="CUV46" s="420">
        <f t="shared" si="83"/>
        <v>0</v>
      </c>
      <c r="CUW46" s="420">
        <f t="shared" si="83"/>
        <v>0</v>
      </c>
      <c r="CUX46" s="420">
        <f t="shared" si="83"/>
        <v>0</v>
      </c>
      <c r="CUY46" s="420">
        <f t="shared" si="83"/>
        <v>0</v>
      </c>
      <c r="CUZ46" s="420">
        <f t="shared" si="83"/>
        <v>0</v>
      </c>
      <c r="CVA46" s="420">
        <f t="shared" si="83"/>
        <v>0</v>
      </c>
      <c r="CVB46" s="420">
        <f t="shared" si="83"/>
        <v>0</v>
      </c>
      <c r="CVC46" s="420">
        <f t="shared" si="83"/>
        <v>0</v>
      </c>
      <c r="CVD46" s="420">
        <f t="shared" si="83"/>
        <v>0</v>
      </c>
      <c r="CVE46" s="420">
        <f t="shared" si="83"/>
        <v>0</v>
      </c>
      <c r="CVF46" s="420">
        <f t="shared" si="83"/>
        <v>0</v>
      </c>
      <c r="CVG46" s="420">
        <f t="shared" si="83"/>
        <v>0</v>
      </c>
      <c r="CVH46" s="420">
        <f t="shared" si="83"/>
        <v>0</v>
      </c>
      <c r="CVI46" s="420">
        <f t="shared" si="83"/>
        <v>0</v>
      </c>
      <c r="CVJ46" s="420">
        <f t="shared" si="83"/>
        <v>0</v>
      </c>
      <c r="CVK46" s="420">
        <f t="shared" si="83"/>
        <v>0</v>
      </c>
      <c r="CVL46" s="420">
        <f t="shared" si="83"/>
        <v>0</v>
      </c>
      <c r="CVM46" s="420">
        <f t="shared" si="83"/>
        <v>0</v>
      </c>
      <c r="CVN46" s="420">
        <f t="shared" si="83"/>
        <v>0</v>
      </c>
      <c r="CVO46" s="420">
        <f t="shared" si="83"/>
        <v>0</v>
      </c>
      <c r="CVP46" s="420">
        <f t="shared" si="83"/>
        <v>0</v>
      </c>
      <c r="CVQ46" s="420">
        <f t="shared" si="83"/>
        <v>0</v>
      </c>
      <c r="CVR46" s="420">
        <f t="shared" si="83"/>
        <v>0</v>
      </c>
      <c r="CVS46" s="420">
        <f t="shared" si="83"/>
        <v>0</v>
      </c>
      <c r="CVT46" s="420">
        <f t="shared" si="83"/>
        <v>0</v>
      </c>
      <c r="CVU46" s="420">
        <f t="shared" si="83"/>
        <v>0</v>
      </c>
      <c r="CVV46" s="420">
        <f t="shared" si="83"/>
        <v>0</v>
      </c>
      <c r="CVW46" s="420">
        <f t="shared" si="83"/>
        <v>0</v>
      </c>
      <c r="CVX46" s="420">
        <f t="shared" si="83"/>
        <v>0</v>
      </c>
      <c r="CVY46" s="420">
        <f t="shared" si="83"/>
        <v>0</v>
      </c>
      <c r="CVZ46" s="420">
        <f t="shared" si="83"/>
        <v>0</v>
      </c>
      <c r="CWA46" s="420">
        <f t="shared" si="83"/>
        <v>0</v>
      </c>
      <c r="CWB46" s="420">
        <f t="shared" si="83"/>
        <v>0</v>
      </c>
      <c r="CWC46" s="420">
        <f t="shared" ref="CWC46:CYN46" si="84">CWC45*0.8</f>
        <v>0</v>
      </c>
      <c r="CWD46" s="420">
        <f t="shared" si="84"/>
        <v>0</v>
      </c>
      <c r="CWE46" s="420">
        <f t="shared" si="84"/>
        <v>0</v>
      </c>
      <c r="CWF46" s="420">
        <f t="shared" si="84"/>
        <v>0</v>
      </c>
      <c r="CWG46" s="420">
        <f t="shared" si="84"/>
        <v>0</v>
      </c>
      <c r="CWH46" s="420">
        <f t="shared" si="84"/>
        <v>0</v>
      </c>
      <c r="CWI46" s="420">
        <f t="shared" si="84"/>
        <v>0</v>
      </c>
      <c r="CWJ46" s="420">
        <f t="shared" si="84"/>
        <v>0</v>
      </c>
      <c r="CWK46" s="420">
        <f t="shared" si="84"/>
        <v>0</v>
      </c>
      <c r="CWL46" s="420">
        <f t="shared" si="84"/>
        <v>0</v>
      </c>
      <c r="CWM46" s="420">
        <f t="shared" si="84"/>
        <v>0</v>
      </c>
      <c r="CWN46" s="420">
        <f t="shared" si="84"/>
        <v>0</v>
      </c>
      <c r="CWO46" s="420">
        <f t="shared" si="84"/>
        <v>0</v>
      </c>
      <c r="CWP46" s="420">
        <f t="shared" si="84"/>
        <v>0</v>
      </c>
      <c r="CWQ46" s="420">
        <f t="shared" si="84"/>
        <v>0</v>
      </c>
      <c r="CWR46" s="420">
        <f t="shared" si="84"/>
        <v>0</v>
      </c>
      <c r="CWS46" s="420">
        <f t="shared" si="84"/>
        <v>0</v>
      </c>
      <c r="CWT46" s="420">
        <f t="shared" si="84"/>
        <v>0</v>
      </c>
      <c r="CWU46" s="420">
        <f t="shared" si="84"/>
        <v>0</v>
      </c>
      <c r="CWV46" s="420">
        <f t="shared" si="84"/>
        <v>0</v>
      </c>
      <c r="CWW46" s="420">
        <f t="shared" si="84"/>
        <v>0</v>
      </c>
      <c r="CWX46" s="420">
        <f t="shared" si="84"/>
        <v>0</v>
      </c>
      <c r="CWY46" s="420">
        <f t="shared" si="84"/>
        <v>0</v>
      </c>
      <c r="CWZ46" s="420">
        <f t="shared" si="84"/>
        <v>0</v>
      </c>
      <c r="CXA46" s="420">
        <f t="shared" si="84"/>
        <v>0</v>
      </c>
      <c r="CXB46" s="420">
        <f t="shared" si="84"/>
        <v>0</v>
      </c>
      <c r="CXC46" s="420">
        <f t="shared" si="84"/>
        <v>0</v>
      </c>
      <c r="CXD46" s="420">
        <f t="shared" si="84"/>
        <v>0</v>
      </c>
      <c r="CXE46" s="420">
        <f t="shared" si="84"/>
        <v>0</v>
      </c>
      <c r="CXF46" s="420">
        <f t="shared" si="84"/>
        <v>0</v>
      </c>
      <c r="CXG46" s="420">
        <f t="shared" si="84"/>
        <v>0</v>
      </c>
      <c r="CXH46" s="420">
        <f t="shared" si="84"/>
        <v>0</v>
      </c>
      <c r="CXI46" s="420">
        <f t="shared" si="84"/>
        <v>0</v>
      </c>
      <c r="CXJ46" s="420">
        <f t="shared" si="84"/>
        <v>0</v>
      </c>
      <c r="CXK46" s="420">
        <f t="shared" si="84"/>
        <v>0</v>
      </c>
      <c r="CXL46" s="420">
        <f t="shared" si="84"/>
        <v>0</v>
      </c>
      <c r="CXM46" s="420">
        <f t="shared" si="84"/>
        <v>0</v>
      </c>
      <c r="CXN46" s="420">
        <f t="shared" si="84"/>
        <v>0</v>
      </c>
      <c r="CXO46" s="420">
        <f t="shared" si="84"/>
        <v>0</v>
      </c>
      <c r="CXP46" s="420">
        <f t="shared" si="84"/>
        <v>0</v>
      </c>
      <c r="CXQ46" s="420">
        <f t="shared" si="84"/>
        <v>0</v>
      </c>
      <c r="CXR46" s="420">
        <f t="shared" si="84"/>
        <v>0</v>
      </c>
      <c r="CXS46" s="420">
        <f t="shared" si="84"/>
        <v>0</v>
      </c>
      <c r="CXT46" s="420">
        <f t="shared" si="84"/>
        <v>0</v>
      </c>
      <c r="CXU46" s="420">
        <f t="shared" si="84"/>
        <v>0</v>
      </c>
      <c r="CXV46" s="420">
        <f t="shared" si="84"/>
        <v>0</v>
      </c>
      <c r="CXW46" s="420">
        <f t="shared" si="84"/>
        <v>0</v>
      </c>
      <c r="CXX46" s="420">
        <f t="shared" si="84"/>
        <v>0</v>
      </c>
      <c r="CXY46" s="420">
        <f t="shared" si="84"/>
        <v>0</v>
      </c>
      <c r="CXZ46" s="420">
        <f t="shared" si="84"/>
        <v>0</v>
      </c>
      <c r="CYA46" s="420">
        <f t="shared" si="84"/>
        <v>0</v>
      </c>
      <c r="CYB46" s="420">
        <f t="shared" si="84"/>
        <v>0</v>
      </c>
      <c r="CYC46" s="420">
        <f t="shared" si="84"/>
        <v>0</v>
      </c>
      <c r="CYD46" s="420">
        <f t="shared" si="84"/>
        <v>0</v>
      </c>
      <c r="CYE46" s="420">
        <f t="shared" si="84"/>
        <v>0</v>
      </c>
      <c r="CYF46" s="420">
        <f t="shared" si="84"/>
        <v>0</v>
      </c>
      <c r="CYG46" s="420">
        <f t="shared" si="84"/>
        <v>0</v>
      </c>
      <c r="CYH46" s="420">
        <f t="shared" si="84"/>
        <v>0</v>
      </c>
      <c r="CYI46" s="420">
        <f t="shared" si="84"/>
        <v>0</v>
      </c>
      <c r="CYJ46" s="420">
        <f t="shared" si="84"/>
        <v>0</v>
      </c>
      <c r="CYK46" s="420">
        <f t="shared" si="84"/>
        <v>0</v>
      </c>
      <c r="CYL46" s="420">
        <f t="shared" si="84"/>
        <v>0</v>
      </c>
      <c r="CYM46" s="420">
        <f t="shared" si="84"/>
        <v>0</v>
      </c>
      <c r="CYN46" s="420">
        <f t="shared" si="84"/>
        <v>0</v>
      </c>
      <c r="CYO46" s="420">
        <f t="shared" ref="CYO46:DAZ46" si="85">CYO45*0.8</f>
        <v>0</v>
      </c>
      <c r="CYP46" s="420">
        <f t="shared" si="85"/>
        <v>0</v>
      </c>
      <c r="CYQ46" s="420">
        <f t="shared" si="85"/>
        <v>0</v>
      </c>
      <c r="CYR46" s="420">
        <f t="shared" si="85"/>
        <v>0</v>
      </c>
      <c r="CYS46" s="420">
        <f t="shared" si="85"/>
        <v>0</v>
      </c>
      <c r="CYT46" s="420">
        <f t="shared" si="85"/>
        <v>0</v>
      </c>
      <c r="CYU46" s="420">
        <f t="shared" si="85"/>
        <v>0</v>
      </c>
      <c r="CYV46" s="420">
        <f t="shared" si="85"/>
        <v>0</v>
      </c>
      <c r="CYW46" s="420">
        <f t="shared" si="85"/>
        <v>0</v>
      </c>
      <c r="CYX46" s="420">
        <f t="shared" si="85"/>
        <v>0</v>
      </c>
      <c r="CYY46" s="420">
        <f t="shared" si="85"/>
        <v>0</v>
      </c>
      <c r="CYZ46" s="420">
        <f t="shared" si="85"/>
        <v>0</v>
      </c>
      <c r="CZA46" s="420">
        <f t="shared" si="85"/>
        <v>0</v>
      </c>
      <c r="CZB46" s="420">
        <f t="shared" si="85"/>
        <v>0</v>
      </c>
      <c r="CZC46" s="420">
        <f t="shared" si="85"/>
        <v>0</v>
      </c>
      <c r="CZD46" s="420">
        <f t="shared" si="85"/>
        <v>0</v>
      </c>
      <c r="CZE46" s="420">
        <f t="shared" si="85"/>
        <v>0</v>
      </c>
      <c r="CZF46" s="420">
        <f t="shared" si="85"/>
        <v>0</v>
      </c>
      <c r="CZG46" s="420">
        <f t="shared" si="85"/>
        <v>0</v>
      </c>
      <c r="CZH46" s="420">
        <f t="shared" si="85"/>
        <v>0</v>
      </c>
      <c r="CZI46" s="420">
        <f t="shared" si="85"/>
        <v>0</v>
      </c>
      <c r="CZJ46" s="420">
        <f t="shared" si="85"/>
        <v>0</v>
      </c>
      <c r="CZK46" s="420">
        <f t="shared" si="85"/>
        <v>0</v>
      </c>
      <c r="CZL46" s="420">
        <f t="shared" si="85"/>
        <v>0</v>
      </c>
      <c r="CZM46" s="420">
        <f t="shared" si="85"/>
        <v>0</v>
      </c>
      <c r="CZN46" s="420">
        <f t="shared" si="85"/>
        <v>0</v>
      </c>
      <c r="CZO46" s="420">
        <f t="shared" si="85"/>
        <v>0</v>
      </c>
      <c r="CZP46" s="420">
        <f t="shared" si="85"/>
        <v>0</v>
      </c>
      <c r="CZQ46" s="420">
        <f t="shared" si="85"/>
        <v>0</v>
      </c>
      <c r="CZR46" s="420">
        <f t="shared" si="85"/>
        <v>0</v>
      </c>
      <c r="CZS46" s="420">
        <f t="shared" si="85"/>
        <v>0</v>
      </c>
      <c r="CZT46" s="420">
        <f t="shared" si="85"/>
        <v>0</v>
      </c>
      <c r="CZU46" s="420">
        <f t="shared" si="85"/>
        <v>0</v>
      </c>
      <c r="CZV46" s="420">
        <f t="shared" si="85"/>
        <v>0</v>
      </c>
      <c r="CZW46" s="420">
        <f t="shared" si="85"/>
        <v>0</v>
      </c>
      <c r="CZX46" s="420">
        <f t="shared" si="85"/>
        <v>0</v>
      </c>
      <c r="CZY46" s="420">
        <f t="shared" si="85"/>
        <v>0</v>
      </c>
      <c r="CZZ46" s="420">
        <f t="shared" si="85"/>
        <v>0</v>
      </c>
      <c r="DAA46" s="420">
        <f t="shared" si="85"/>
        <v>0</v>
      </c>
      <c r="DAB46" s="420">
        <f t="shared" si="85"/>
        <v>0</v>
      </c>
      <c r="DAC46" s="420">
        <f t="shared" si="85"/>
        <v>0</v>
      </c>
      <c r="DAD46" s="420">
        <f t="shared" si="85"/>
        <v>0</v>
      </c>
      <c r="DAE46" s="420">
        <f t="shared" si="85"/>
        <v>0</v>
      </c>
      <c r="DAF46" s="420">
        <f t="shared" si="85"/>
        <v>0</v>
      </c>
      <c r="DAG46" s="420">
        <f t="shared" si="85"/>
        <v>0</v>
      </c>
      <c r="DAH46" s="420">
        <f t="shared" si="85"/>
        <v>0</v>
      </c>
      <c r="DAI46" s="420">
        <f t="shared" si="85"/>
        <v>0</v>
      </c>
      <c r="DAJ46" s="420">
        <f t="shared" si="85"/>
        <v>0</v>
      </c>
      <c r="DAK46" s="420">
        <f t="shared" si="85"/>
        <v>0</v>
      </c>
      <c r="DAL46" s="420">
        <f t="shared" si="85"/>
        <v>0</v>
      </c>
      <c r="DAM46" s="420">
        <f t="shared" si="85"/>
        <v>0</v>
      </c>
      <c r="DAN46" s="420">
        <f t="shared" si="85"/>
        <v>0</v>
      </c>
      <c r="DAO46" s="420">
        <f t="shared" si="85"/>
        <v>0</v>
      </c>
      <c r="DAP46" s="420">
        <f t="shared" si="85"/>
        <v>0</v>
      </c>
      <c r="DAQ46" s="420">
        <f t="shared" si="85"/>
        <v>0</v>
      </c>
      <c r="DAR46" s="420">
        <f t="shared" si="85"/>
        <v>0</v>
      </c>
      <c r="DAS46" s="420">
        <f t="shared" si="85"/>
        <v>0</v>
      </c>
      <c r="DAT46" s="420">
        <f t="shared" si="85"/>
        <v>0</v>
      </c>
      <c r="DAU46" s="420">
        <f t="shared" si="85"/>
        <v>0</v>
      </c>
      <c r="DAV46" s="420">
        <f t="shared" si="85"/>
        <v>0</v>
      </c>
      <c r="DAW46" s="420">
        <f t="shared" si="85"/>
        <v>0</v>
      </c>
      <c r="DAX46" s="420">
        <f t="shared" si="85"/>
        <v>0</v>
      </c>
      <c r="DAY46" s="420">
        <f t="shared" si="85"/>
        <v>0</v>
      </c>
      <c r="DAZ46" s="420">
        <f t="shared" si="85"/>
        <v>0</v>
      </c>
      <c r="DBA46" s="420">
        <f t="shared" ref="DBA46:DDL46" si="86">DBA45*0.8</f>
        <v>0</v>
      </c>
      <c r="DBB46" s="420">
        <f t="shared" si="86"/>
        <v>0</v>
      </c>
      <c r="DBC46" s="420">
        <f t="shared" si="86"/>
        <v>0</v>
      </c>
      <c r="DBD46" s="420">
        <f t="shared" si="86"/>
        <v>0</v>
      </c>
      <c r="DBE46" s="420">
        <f t="shared" si="86"/>
        <v>0</v>
      </c>
      <c r="DBF46" s="420">
        <f t="shared" si="86"/>
        <v>0</v>
      </c>
      <c r="DBG46" s="420">
        <f t="shared" si="86"/>
        <v>0</v>
      </c>
      <c r="DBH46" s="420">
        <f t="shared" si="86"/>
        <v>0</v>
      </c>
      <c r="DBI46" s="420">
        <f t="shared" si="86"/>
        <v>0</v>
      </c>
      <c r="DBJ46" s="420">
        <f t="shared" si="86"/>
        <v>0</v>
      </c>
      <c r="DBK46" s="420">
        <f t="shared" si="86"/>
        <v>0</v>
      </c>
      <c r="DBL46" s="420">
        <f t="shared" si="86"/>
        <v>0</v>
      </c>
      <c r="DBM46" s="420">
        <f t="shared" si="86"/>
        <v>0</v>
      </c>
      <c r="DBN46" s="420">
        <f t="shared" si="86"/>
        <v>0</v>
      </c>
      <c r="DBO46" s="420">
        <f t="shared" si="86"/>
        <v>0</v>
      </c>
      <c r="DBP46" s="420">
        <f t="shared" si="86"/>
        <v>0</v>
      </c>
      <c r="DBQ46" s="420">
        <f t="shared" si="86"/>
        <v>0</v>
      </c>
      <c r="DBR46" s="420">
        <f t="shared" si="86"/>
        <v>0</v>
      </c>
      <c r="DBS46" s="420">
        <f t="shared" si="86"/>
        <v>0</v>
      </c>
      <c r="DBT46" s="420">
        <f t="shared" si="86"/>
        <v>0</v>
      </c>
      <c r="DBU46" s="420">
        <f t="shared" si="86"/>
        <v>0</v>
      </c>
      <c r="DBV46" s="420">
        <f t="shared" si="86"/>
        <v>0</v>
      </c>
      <c r="DBW46" s="420">
        <f t="shared" si="86"/>
        <v>0</v>
      </c>
      <c r="DBX46" s="420">
        <f t="shared" si="86"/>
        <v>0</v>
      </c>
      <c r="DBY46" s="420">
        <f t="shared" si="86"/>
        <v>0</v>
      </c>
      <c r="DBZ46" s="420">
        <f t="shared" si="86"/>
        <v>0</v>
      </c>
      <c r="DCA46" s="420">
        <f t="shared" si="86"/>
        <v>0</v>
      </c>
      <c r="DCB46" s="420">
        <f t="shared" si="86"/>
        <v>0</v>
      </c>
      <c r="DCC46" s="420">
        <f t="shared" si="86"/>
        <v>0</v>
      </c>
      <c r="DCD46" s="420">
        <f t="shared" si="86"/>
        <v>0</v>
      </c>
      <c r="DCE46" s="420">
        <f t="shared" si="86"/>
        <v>0</v>
      </c>
      <c r="DCF46" s="420">
        <f t="shared" si="86"/>
        <v>0</v>
      </c>
      <c r="DCG46" s="420">
        <f t="shared" si="86"/>
        <v>0</v>
      </c>
      <c r="DCH46" s="420">
        <f t="shared" si="86"/>
        <v>0</v>
      </c>
      <c r="DCI46" s="420">
        <f t="shared" si="86"/>
        <v>0</v>
      </c>
      <c r="DCJ46" s="420">
        <f t="shared" si="86"/>
        <v>0</v>
      </c>
      <c r="DCK46" s="420">
        <f t="shared" si="86"/>
        <v>0</v>
      </c>
      <c r="DCL46" s="420">
        <f t="shared" si="86"/>
        <v>0</v>
      </c>
      <c r="DCM46" s="420">
        <f t="shared" si="86"/>
        <v>0</v>
      </c>
      <c r="DCN46" s="420">
        <f t="shared" si="86"/>
        <v>0</v>
      </c>
      <c r="DCO46" s="420">
        <f t="shared" si="86"/>
        <v>0</v>
      </c>
      <c r="DCP46" s="420">
        <f t="shared" si="86"/>
        <v>0</v>
      </c>
      <c r="DCQ46" s="420">
        <f t="shared" si="86"/>
        <v>0</v>
      </c>
      <c r="DCR46" s="420">
        <f t="shared" si="86"/>
        <v>0</v>
      </c>
      <c r="DCS46" s="420">
        <f t="shared" si="86"/>
        <v>0</v>
      </c>
      <c r="DCT46" s="420">
        <f t="shared" si="86"/>
        <v>0</v>
      </c>
      <c r="DCU46" s="420">
        <f t="shared" si="86"/>
        <v>0</v>
      </c>
      <c r="DCV46" s="420">
        <f t="shared" si="86"/>
        <v>0</v>
      </c>
      <c r="DCW46" s="420">
        <f t="shared" si="86"/>
        <v>0</v>
      </c>
      <c r="DCX46" s="420">
        <f t="shared" si="86"/>
        <v>0</v>
      </c>
      <c r="DCY46" s="420">
        <f t="shared" si="86"/>
        <v>0</v>
      </c>
      <c r="DCZ46" s="420">
        <f t="shared" si="86"/>
        <v>0</v>
      </c>
      <c r="DDA46" s="420">
        <f t="shared" si="86"/>
        <v>0</v>
      </c>
      <c r="DDB46" s="420">
        <f t="shared" si="86"/>
        <v>0</v>
      </c>
      <c r="DDC46" s="420">
        <f t="shared" si="86"/>
        <v>0</v>
      </c>
      <c r="DDD46" s="420">
        <f t="shared" si="86"/>
        <v>0</v>
      </c>
      <c r="DDE46" s="420">
        <f t="shared" si="86"/>
        <v>0</v>
      </c>
      <c r="DDF46" s="420">
        <f t="shared" si="86"/>
        <v>0</v>
      </c>
      <c r="DDG46" s="420">
        <f t="shared" si="86"/>
        <v>0</v>
      </c>
      <c r="DDH46" s="420">
        <f t="shared" si="86"/>
        <v>0</v>
      </c>
      <c r="DDI46" s="420">
        <f t="shared" si="86"/>
        <v>0</v>
      </c>
      <c r="DDJ46" s="420">
        <f t="shared" si="86"/>
        <v>0</v>
      </c>
      <c r="DDK46" s="420">
        <f t="shared" si="86"/>
        <v>0</v>
      </c>
      <c r="DDL46" s="420">
        <f t="shared" si="86"/>
        <v>0</v>
      </c>
      <c r="DDM46" s="420">
        <f t="shared" ref="DDM46:DFX46" si="87">DDM45*0.8</f>
        <v>0</v>
      </c>
      <c r="DDN46" s="420">
        <f t="shared" si="87"/>
        <v>0</v>
      </c>
      <c r="DDO46" s="420">
        <f t="shared" si="87"/>
        <v>0</v>
      </c>
      <c r="DDP46" s="420">
        <f t="shared" si="87"/>
        <v>0</v>
      </c>
      <c r="DDQ46" s="420">
        <f t="shared" si="87"/>
        <v>0</v>
      </c>
      <c r="DDR46" s="420">
        <f t="shared" si="87"/>
        <v>0</v>
      </c>
      <c r="DDS46" s="420">
        <f t="shared" si="87"/>
        <v>0</v>
      </c>
      <c r="DDT46" s="420">
        <f t="shared" si="87"/>
        <v>0</v>
      </c>
      <c r="DDU46" s="420">
        <f t="shared" si="87"/>
        <v>0</v>
      </c>
      <c r="DDV46" s="420">
        <f t="shared" si="87"/>
        <v>0</v>
      </c>
      <c r="DDW46" s="420">
        <f t="shared" si="87"/>
        <v>0</v>
      </c>
      <c r="DDX46" s="420">
        <f t="shared" si="87"/>
        <v>0</v>
      </c>
      <c r="DDY46" s="420">
        <f t="shared" si="87"/>
        <v>0</v>
      </c>
      <c r="DDZ46" s="420">
        <f t="shared" si="87"/>
        <v>0</v>
      </c>
      <c r="DEA46" s="420">
        <f t="shared" si="87"/>
        <v>0</v>
      </c>
      <c r="DEB46" s="420">
        <f t="shared" si="87"/>
        <v>0</v>
      </c>
      <c r="DEC46" s="420">
        <f t="shared" si="87"/>
        <v>0</v>
      </c>
      <c r="DED46" s="420">
        <f t="shared" si="87"/>
        <v>0</v>
      </c>
      <c r="DEE46" s="420">
        <f t="shared" si="87"/>
        <v>0</v>
      </c>
      <c r="DEF46" s="420">
        <f t="shared" si="87"/>
        <v>0</v>
      </c>
      <c r="DEG46" s="420">
        <f t="shared" si="87"/>
        <v>0</v>
      </c>
      <c r="DEH46" s="420">
        <f t="shared" si="87"/>
        <v>0</v>
      </c>
      <c r="DEI46" s="420">
        <f t="shared" si="87"/>
        <v>0</v>
      </c>
      <c r="DEJ46" s="420">
        <f t="shared" si="87"/>
        <v>0</v>
      </c>
      <c r="DEK46" s="420">
        <f t="shared" si="87"/>
        <v>0</v>
      </c>
      <c r="DEL46" s="420">
        <f t="shared" si="87"/>
        <v>0</v>
      </c>
      <c r="DEM46" s="420">
        <f t="shared" si="87"/>
        <v>0</v>
      </c>
      <c r="DEN46" s="420">
        <f t="shared" si="87"/>
        <v>0</v>
      </c>
      <c r="DEO46" s="420">
        <f t="shared" si="87"/>
        <v>0</v>
      </c>
      <c r="DEP46" s="420">
        <f t="shared" si="87"/>
        <v>0</v>
      </c>
      <c r="DEQ46" s="420">
        <f t="shared" si="87"/>
        <v>0</v>
      </c>
      <c r="DER46" s="420">
        <f t="shared" si="87"/>
        <v>0</v>
      </c>
      <c r="DES46" s="420">
        <f t="shared" si="87"/>
        <v>0</v>
      </c>
      <c r="DET46" s="420">
        <f t="shared" si="87"/>
        <v>0</v>
      </c>
      <c r="DEU46" s="420">
        <f t="shared" si="87"/>
        <v>0</v>
      </c>
      <c r="DEV46" s="420">
        <f t="shared" si="87"/>
        <v>0</v>
      </c>
      <c r="DEW46" s="420">
        <f t="shared" si="87"/>
        <v>0</v>
      </c>
      <c r="DEX46" s="420">
        <f t="shared" si="87"/>
        <v>0</v>
      </c>
      <c r="DEY46" s="420">
        <f t="shared" si="87"/>
        <v>0</v>
      </c>
      <c r="DEZ46" s="420">
        <f t="shared" si="87"/>
        <v>0</v>
      </c>
      <c r="DFA46" s="420">
        <f t="shared" si="87"/>
        <v>0</v>
      </c>
      <c r="DFB46" s="420">
        <f t="shared" si="87"/>
        <v>0</v>
      </c>
      <c r="DFC46" s="420">
        <f t="shared" si="87"/>
        <v>0</v>
      </c>
      <c r="DFD46" s="420">
        <f t="shared" si="87"/>
        <v>0</v>
      </c>
      <c r="DFE46" s="420">
        <f t="shared" si="87"/>
        <v>0</v>
      </c>
      <c r="DFF46" s="420">
        <f t="shared" si="87"/>
        <v>0</v>
      </c>
      <c r="DFG46" s="420">
        <f t="shared" si="87"/>
        <v>0</v>
      </c>
      <c r="DFH46" s="420">
        <f t="shared" si="87"/>
        <v>0</v>
      </c>
      <c r="DFI46" s="420">
        <f t="shared" si="87"/>
        <v>0</v>
      </c>
      <c r="DFJ46" s="420">
        <f t="shared" si="87"/>
        <v>0</v>
      </c>
      <c r="DFK46" s="420">
        <f t="shared" si="87"/>
        <v>0</v>
      </c>
      <c r="DFL46" s="420">
        <f t="shared" si="87"/>
        <v>0</v>
      </c>
      <c r="DFM46" s="420">
        <f t="shared" si="87"/>
        <v>0</v>
      </c>
      <c r="DFN46" s="420">
        <f t="shared" si="87"/>
        <v>0</v>
      </c>
      <c r="DFO46" s="420">
        <f t="shared" si="87"/>
        <v>0</v>
      </c>
      <c r="DFP46" s="420">
        <f t="shared" si="87"/>
        <v>0</v>
      </c>
      <c r="DFQ46" s="420">
        <f t="shared" si="87"/>
        <v>0</v>
      </c>
      <c r="DFR46" s="420">
        <f t="shared" si="87"/>
        <v>0</v>
      </c>
      <c r="DFS46" s="420">
        <f t="shared" si="87"/>
        <v>0</v>
      </c>
      <c r="DFT46" s="420">
        <f t="shared" si="87"/>
        <v>0</v>
      </c>
      <c r="DFU46" s="420">
        <f t="shared" si="87"/>
        <v>0</v>
      </c>
      <c r="DFV46" s="420">
        <f t="shared" si="87"/>
        <v>0</v>
      </c>
      <c r="DFW46" s="420">
        <f t="shared" si="87"/>
        <v>0</v>
      </c>
      <c r="DFX46" s="420">
        <f t="shared" si="87"/>
        <v>0</v>
      </c>
      <c r="DFY46" s="420">
        <f t="shared" ref="DFY46:DIJ46" si="88">DFY45*0.8</f>
        <v>0</v>
      </c>
      <c r="DFZ46" s="420">
        <f t="shared" si="88"/>
        <v>0</v>
      </c>
      <c r="DGA46" s="420">
        <f t="shared" si="88"/>
        <v>0</v>
      </c>
      <c r="DGB46" s="420">
        <f t="shared" si="88"/>
        <v>0</v>
      </c>
      <c r="DGC46" s="420">
        <f t="shared" si="88"/>
        <v>0</v>
      </c>
      <c r="DGD46" s="420">
        <f t="shared" si="88"/>
        <v>0</v>
      </c>
      <c r="DGE46" s="420">
        <f t="shared" si="88"/>
        <v>0</v>
      </c>
      <c r="DGF46" s="420">
        <f t="shared" si="88"/>
        <v>0</v>
      </c>
      <c r="DGG46" s="420">
        <f t="shared" si="88"/>
        <v>0</v>
      </c>
      <c r="DGH46" s="420">
        <f t="shared" si="88"/>
        <v>0</v>
      </c>
      <c r="DGI46" s="420">
        <f t="shared" si="88"/>
        <v>0</v>
      </c>
      <c r="DGJ46" s="420">
        <f t="shared" si="88"/>
        <v>0</v>
      </c>
      <c r="DGK46" s="420">
        <f t="shared" si="88"/>
        <v>0</v>
      </c>
      <c r="DGL46" s="420">
        <f t="shared" si="88"/>
        <v>0</v>
      </c>
      <c r="DGM46" s="420">
        <f t="shared" si="88"/>
        <v>0</v>
      </c>
      <c r="DGN46" s="420">
        <f t="shared" si="88"/>
        <v>0</v>
      </c>
      <c r="DGO46" s="420">
        <f t="shared" si="88"/>
        <v>0</v>
      </c>
      <c r="DGP46" s="420">
        <f t="shared" si="88"/>
        <v>0</v>
      </c>
      <c r="DGQ46" s="420">
        <f t="shared" si="88"/>
        <v>0</v>
      </c>
      <c r="DGR46" s="420">
        <f t="shared" si="88"/>
        <v>0</v>
      </c>
      <c r="DGS46" s="420">
        <f t="shared" si="88"/>
        <v>0</v>
      </c>
      <c r="DGT46" s="420">
        <f t="shared" si="88"/>
        <v>0</v>
      </c>
      <c r="DGU46" s="420">
        <f t="shared" si="88"/>
        <v>0</v>
      </c>
      <c r="DGV46" s="420">
        <f t="shared" si="88"/>
        <v>0</v>
      </c>
      <c r="DGW46" s="420">
        <f t="shared" si="88"/>
        <v>0</v>
      </c>
      <c r="DGX46" s="420">
        <f t="shared" si="88"/>
        <v>0</v>
      </c>
      <c r="DGY46" s="420">
        <f t="shared" si="88"/>
        <v>0</v>
      </c>
      <c r="DGZ46" s="420">
        <f t="shared" si="88"/>
        <v>0</v>
      </c>
      <c r="DHA46" s="420">
        <f t="shared" si="88"/>
        <v>0</v>
      </c>
      <c r="DHB46" s="420">
        <f t="shared" si="88"/>
        <v>0</v>
      </c>
      <c r="DHC46" s="420">
        <f t="shared" si="88"/>
        <v>0</v>
      </c>
      <c r="DHD46" s="420">
        <f t="shared" si="88"/>
        <v>0</v>
      </c>
      <c r="DHE46" s="420">
        <f t="shared" si="88"/>
        <v>0</v>
      </c>
      <c r="DHF46" s="420">
        <f t="shared" si="88"/>
        <v>0</v>
      </c>
      <c r="DHG46" s="420">
        <f t="shared" si="88"/>
        <v>0</v>
      </c>
      <c r="DHH46" s="420">
        <f t="shared" si="88"/>
        <v>0</v>
      </c>
      <c r="DHI46" s="420">
        <f t="shared" si="88"/>
        <v>0</v>
      </c>
      <c r="DHJ46" s="420">
        <f t="shared" si="88"/>
        <v>0</v>
      </c>
      <c r="DHK46" s="420">
        <f t="shared" si="88"/>
        <v>0</v>
      </c>
      <c r="DHL46" s="420">
        <f t="shared" si="88"/>
        <v>0</v>
      </c>
      <c r="DHM46" s="420">
        <f t="shared" si="88"/>
        <v>0</v>
      </c>
      <c r="DHN46" s="420">
        <f t="shared" si="88"/>
        <v>0</v>
      </c>
      <c r="DHO46" s="420">
        <f t="shared" si="88"/>
        <v>0</v>
      </c>
      <c r="DHP46" s="420">
        <f t="shared" si="88"/>
        <v>0</v>
      </c>
      <c r="DHQ46" s="420">
        <f t="shared" si="88"/>
        <v>0</v>
      </c>
      <c r="DHR46" s="420">
        <f t="shared" si="88"/>
        <v>0</v>
      </c>
      <c r="DHS46" s="420">
        <f t="shared" si="88"/>
        <v>0</v>
      </c>
      <c r="DHT46" s="420">
        <f t="shared" si="88"/>
        <v>0</v>
      </c>
      <c r="DHU46" s="420">
        <f t="shared" si="88"/>
        <v>0</v>
      </c>
      <c r="DHV46" s="420">
        <f t="shared" si="88"/>
        <v>0</v>
      </c>
      <c r="DHW46" s="420">
        <f t="shared" si="88"/>
        <v>0</v>
      </c>
      <c r="DHX46" s="420">
        <f t="shared" si="88"/>
        <v>0</v>
      </c>
      <c r="DHY46" s="420">
        <f t="shared" si="88"/>
        <v>0</v>
      </c>
      <c r="DHZ46" s="420">
        <f t="shared" si="88"/>
        <v>0</v>
      </c>
      <c r="DIA46" s="420">
        <f t="shared" si="88"/>
        <v>0</v>
      </c>
      <c r="DIB46" s="420">
        <f t="shared" si="88"/>
        <v>0</v>
      </c>
      <c r="DIC46" s="420">
        <f t="shared" si="88"/>
        <v>0</v>
      </c>
      <c r="DID46" s="420">
        <f t="shared" si="88"/>
        <v>0</v>
      </c>
      <c r="DIE46" s="420">
        <f t="shared" si="88"/>
        <v>0</v>
      </c>
      <c r="DIF46" s="420">
        <f t="shared" si="88"/>
        <v>0</v>
      </c>
      <c r="DIG46" s="420">
        <f t="shared" si="88"/>
        <v>0</v>
      </c>
      <c r="DIH46" s="420">
        <f t="shared" si="88"/>
        <v>0</v>
      </c>
      <c r="DII46" s="420">
        <f t="shared" si="88"/>
        <v>0</v>
      </c>
      <c r="DIJ46" s="420">
        <f t="shared" si="88"/>
        <v>0</v>
      </c>
      <c r="DIK46" s="420">
        <f t="shared" ref="DIK46:DKV46" si="89">DIK45*0.8</f>
        <v>0</v>
      </c>
      <c r="DIL46" s="420">
        <f t="shared" si="89"/>
        <v>0</v>
      </c>
      <c r="DIM46" s="420">
        <f t="shared" si="89"/>
        <v>0</v>
      </c>
      <c r="DIN46" s="420">
        <f t="shared" si="89"/>
        <v>0</v>
      </c>
      <c r="DIO46" s="420">
        <f t="shared" si="89"/>
        <v>0</v>
      </c>
      <c r="DIP46" s="420">
        <f t="shared" si="89"/>
        <v>0</v>
      </c>
      <c r="DIQ46" s="420">
        <f t="shared" si="89"/>
        <v>0</v>
      </c>
      <c r="DIR46" s="420">
        <f t="shared" si="89"/>
        <v>0</v>
      </c>
      <c r="DIS46" s="420">
        <f t="shared" si="89"/>
        <v>0</v>
      </c>
      <c r="DIT46" s="420">
        <f t="shared" si="89"/>
        <v>0</v>
      </c>
      <c r="DIU46" s="420">
        <f t="shared" si="89"/>
        <v>0</v>
      </c>
      <c r="DIV46" s="420">
        <f t="shared" si="89"/>
        <v>0</v>
      </c>
      <c r="DIW46" s="420">
        <f t="shared" si="89"/>
        <v>0</v>
      </c>
      <c r="DIX46" s="420">
        <f t="shared" si="89"/>
        <v>0</v>
      </c>
      <c r="DIY46" s="420">
        <f t="shared" si="89"/>
        <v>0</v>
      </c>
      <c r="DIZ46" s="420">
        <f t="shared" si="89"/>
        <v>0</v>
      </c>
      <c r="DJA46" s="420">
        <f t="shared" si="89"/>
        <v>0</v>
      </c>
      <c r="DJB46" s="420">
        <f t="shared" si="89"/>
        <v>0</v>
      </c>
      <c r="DJC46" s="420">
        <f t="shared" si="89"/>
        <v>0</v>
      </c>
      <c r="DJD46" s="420">
        <f t="shared" si="89"/>
        <v>0</v>
      </c>
      <c r="DJE46" s="420">
        <f t="shared" si="89"/>
        <v>0</v>
      </c>
      <c r="DJF46" s="420">
        <f t="shared" si="89"/>
        <v>0</v>
      </c>
      <c r="DJG46" s="420">
        <f t="shared" si="89"/>
        <v>0</v>
      </c>
      <c r="DJH46" s="420">
        <f t="shared" si="89"/>
        <v>0</v>
      </c>
      <c r="DJI46" s="420">
        <f t="shared" si="89"/>
        <v>0</v>
      </c>
      <c r="DJJ46" s="420">
        <f t="shared" si="89"/>
        <v>0</v>
      </c>
      <c r="DJK46" s="420">
        <f t="shared" si="89"/>
        <v>0</v>
      </c>
      <c r="DJL46" s="420">
        <f t="shared" si="89"/>
        <v>0</v>
      </c>
      <c r="DJM46" s="420">
        <f t="shared" si="89"/>
        <v>0</v>
      </c>
      <c r="DJN46" s="420">
        <f t="shared" si="89"/>
        <v>0</v>
      </c>
      <c r="DJO46" s="420">
        <f t="shared" si="89"/>
        <v>0</v>
      </c>
      <c r="DJP46" s="420">
        <f t="shared" si="89"/>
        <v>0</v>
      </c>
      <c r="DJQ46" s="420">
        <f t="shared" si="89"/>
        <v>0</v>
      </c>
      <c r="DJR46" s="420">
        <f t="shared" si="89"/>
        <v>0</v>
      </c>
      <c r="DJS46" s="420">
        <f t="shared" si="89"/>
        <v>0</v>
      </c>
      <c r="DJT46" s="420">
        <f t="shared" si="89"/>
        <v>0</v>
      </c>
      <c r="DJU46" s="420">
        <f t="shared" si="89"/>
        <v>0</v>
      </c>
      <c r="DJV46" s="420">
        <f t="shared" si="89"/>
        <v>0</v>
      </c>
      <c r="DJW46" s="420">
        <f t="shared" si="89"/>
        <v>0</v>
      </c>
      <c r="DJX46" s="420">
        <f t="shared" si="89"/>
        <v>0</v>
      </c>
      <c r="DJY46" s="420">
        <f t="shared" si="89"/>
        <v>0</v>
      </c>
      <c r="DJZ46" s="420">
        <f t="shared" si="89"/>
        <v>0</v>
      </c>
      <c r="DKA46" s="420">
        <f t="shared" si="89"/>
        <v>0</v>
      </c>
      <c r="DKB46" s="420">
        <f t="shared" si="89"/>
        <v>0</v>
      </c>
      <c r="DKC46" s="420">
        <f t="shared" si="89"/>
        <v>0</v>
      </c>
      <c r="DKD46" s="420">
        <f t="shared" si="89"/>
        <v>0</v>
      </c>
      <c r="DKE46" s="420">
        <f t="shared" si="89"/>
        <v>0</v>
      </c>
      <c r="DKF46" s="420">
        <f t="shared" si="89"/>
        <v>0</v>
      </c>
      <c r="DKG46" s="420">
        <f t="shared" si="89"/>
        <v>0</v>
      </c>
      <c r="DKH46" s="420">
        <f t="shared" si="89"/>
        <v>0</v>
      </c>
      <c r="DKI46" s="420">
        <f t="shared" si="89"/>
        <v>0</v>
      </c>
      <c r="DKJ46" s="420">
        <f t="shared" si="89"/>
        <v>0</v>
      </c>
      <c r="DKK46" s="420">
        <f t="shared" si="89"/>
        <v>0</v>
      </c>
      <c r="DKL46" s="420">
        <f t="shared" si="89"/>
        <v>0</v>
      </c>
      <c r="DKM46" s="420">
        <f t="shared" si="89"/>
        <v>0</v>
      </c>
      <c r="DKN46" s="420">
        <f t="shared" si="89"/>
        <v>0</v>
      </c>
      <c r="DKO46" s="420">
        <f t="shared" si="89"/>
        <v>0</v>
      </c>
      <c r="DKP46" s="420">
        <f t="shared" si="89"/>
        <v>0</v>
      </c>
      <c r="DKQ46" s="420">
        <f t="shared" si="89"/>
        <v>0</v>
      </c>
      <c r="DKR46" s="420">
        <f t="shared" si="89"/>
        <v>0</v>
      </c>
      <c r="DKS46" s="420">
        <f t="shared" si="89"/>
        <v>0</v>
      </c>
      <c r="DKT46" s="420">
        <f t="shared" si="89"/>
        <v>0</v>
      </c>
      <c r="DKU46" s="420">
        <f t="shared" si="89"/>
        <v>0</v>
      </c>
      <c r="DKV46" s="420">
        <f t="shared" si="89"/>
        <v>0</v>
      </c>
      <c r="DKW46" s="420">
        <f t="shared" ref="DKW46:DNH46" si="90">DKW45*0.8</f>
        <v>0</v>
      </c>
      <c r="DKX46" s="420">
        <f t="shared" si="90"/>
        <v>0</v>
      </c>
      <c r="DKY46" s="420">
        <f t="shared" si="90"/>
        <v>0</v>
      </c>
      <c r="DKZ46" s="420">
        <f t="shared" si="90"/>
        <v>0</v>
      </c>
      <c r="DLA46" s="420">
        <f t="shared" si="90"/>
        <v>0</v>
      </c>
      <c r="DLB46" s="420">
        <f t="shared" si="90"/>
        <v>0</v>
      </c>
      <c r="DLC46" s="420">
        <f t="shared" si="90"/>
        <v>0</v>
      </c>
      <c r="DLD46" s="420">
        <f t="shared" si="90"/>
        <v>0</v>
      </c>
      <c r="DLE46" s="420">
        <f t="shared" si="90"/>
        <v>0</v>
      </c>
      <c r="DLF46" s="420">
        <f t="shared" si="90"/>
        <v>0</v>
      </c>
      <c r="DLG46" s="420">
        <f t="shared" si="90"/>
        <v>0</v>
      </c>
      <c r="DLH46" s="420">
        <f t="shared" si="90"/>
        <v>0</v>
      </c>
      <c r="DLI46" s="420">
        <f t="shared" si="90"/>
        <v>0</v>
      </c>
      <c r="DLJ46" s="420">
        <f t="shared" si="90"/>
        <v>0</v>
      </c>
      <c r="DLK46" s="420">
        <f t="shared" si="90"/>
        <v>0</v>
      </c>
      <c r="DLL46" s="420">
        <f t="shared" si="90"/>
        <v>0</v>
      </c>
      <c r="DLM46" s="420">
        <f t="shared" si="90"/>
        <v>0</v>
      </c>
      <c r="DLN46" s="420">
        <f t="shared" si="90"/>
        <v>0</v>
      </c>
      <c r="DLO46" s="420">
        <f t="shared" si="90"/>
        <v>0</v>
      </c>
      <c r="DLP46" s="420">
        <f t="shared" si="90"/>
        <v>0</v>
      </c>
      <c r="DLQ46" s="420">
        <f t="shared" si="90"/>
        <v>0</v>
      </c>
      <c r="DLR46" s="420">
        <f t="shared" si="90"/>
        <v>0</v>
      </c>
      <c r="DLS46" s="420">
        <f t="shared" si="90"/>
        <v>0</v>
      </c>
      <c r="DLT46" s="420">
        <f t="shared" si="90"/>
        <v>0</v>
      </c>
      <c r="DLU46" s="420">
        <f t="shared" si="90"/>
        <v>0</v>
      </c>
      <c r="DLV46" s="420">
        <f t="shared" si="90"/>
        <v>0</v>
      </c>
      <c r="DLW46" s="420">
        <f t="shared" si="90"/>
        <v>0</v>
      </c>
      <c r="DLX46" s="420">
        <f t="shared" si="90"/>
        <v>0</v>
      </c>
      <c r="DLY46" s="420">
        <f t="shared" si="90"/>
        <v>0</v>
      </c>
      <c r="DLZ46" s="420">
        <f t="shared" si="90"/>
        <v>0</v>
      </c>
      <c r="DMA46" s="420">
        <f t="shared" si="90"/>
        <v>0</v>
      </c>
      <c r="DMB46" s="420">
        <f t="shared" si="90"/>
        <v>0</v>
      </c>
      <c r="DMC46" s="420">
        <f t="shared" si="90"/>
        <v>0</v>
      </c>
      <c r="DMD46" s="420">
        <f t="shared" si="90"/>
        <v>0</v>
      </c>
      <c r="DME46" s="420">
        <f t="shared" si="90"/>
        <v>0</v>
      </c>
      <c r="DMF46" s="420">
        <f t="shared" si="90"/>
        <v>0</v>
      </c>
      <c r="DMG46" s="420">
        <f t="shared" si="90"/>
        <v>0</v>
      </c>
      <c r="DMH46" s="420">
        <f t="shared" si="90"/>
        <v>0</v>
      </c>
      <c r="DMI46" s="420">
        <f t="shared" si="90"/>
        <v>0</v>
      </c>
      <c r="DMJ46" s="420">
        <f t="shared" si="90"/>
        <v>0</v>
      </c>
      <c r="DMK46" s="420">
        <f t="shared" si="90"/>
        <v>0</v>
      </c>
      <c r="DML46" s="420">
        <f t="shared" si="90"/>
        <v>0</v>
      </c>
      <c r="DMM46" s="420">
        <f t="shared" si="90"/>
        <v>0</v>
      </c>
      <c r="DMN46" s="420">
        <f t="shared" si="90"/>
        <v>0</v>
      </c>
      <c r="DMO46" s="420">
        <f t="shared" si="90"/>
        <v>0</v>
      </c>
      <c r="DMP46" s="420">
        <f t="shared" si="90"/>
        <v>0</v>
      </c>
      <c r="DMQ46" s="420">
        <f t="shared" si="90"/>
        <v>0</v>
      </c>
      <c r="DMR46" s="420">
        <f t="shared" si="90"/>
        <v>0</v>
      </c>
      <c r="DMS46" s="420">
        <f t="shared" si="90"/>
        <v>0</v>
      </c>
      <c r="DMT46" s="420">
        <f t="shared" si="90"/>
        <v>0</v>
      </c>
      <c r="DMU46" s="420">
        <f t="shared" si="90"/>
        <v>0</v>
      </c>
      <c r="DMV46" s="420">
        <f t="shared" si="90"/>
        <v>0</v>
      </c>
      <c r="DMW46" s="420">
        <f t="shared" si="90"/>
        <v>0</v>
      </c>
      <c r="DMX46" s="420">
        <f t="shared" si="90"/>
        <v>0</v>
      </c>
      <c r="DMY46" s="420">
        <f t="shared" si="90"/>
        <v>0</v>
      </c>
      <c r="DMZ46" s="420">
        <f t="shared" si="90"/>
        <v>0</v>
      </c>
      <c r="DNA46" s="420">
        <f t="shared" si="90"/>
        <v>0</v>
      </c>
      <c r="DNB46" s="420">
        <f t="shared" si="90"/>
        <v>0</v>
      </c>
      <c r="DNC46" s="420">
        <f t="shared" si="90"/>
        <v>0</v>
      </c>
      <c r="DND46" s="420">
        <f t="shared" si="90"/>
        <v>0</v>
      </c>
      <c r="DNE46" s="420">
        <f t="shared" si="90"/>
        <v>0</v>
      </c>
      <c r="DNF46" s="420">
        <f t="shared" si="90"/>
        <v>0</v>
      </c>
      <c r="DNG46" s="420">
        <f t="shared" si="90"/>
        <v>0</v>
      </c>
      <c r="DNH46" s="420">
        <f t="shared" si="90"/>
        <v>0</v>
      </c>
      <c r="DNI46" s="420">
        <f t="shared" ref="DNI46:DPT46" si="91">DNI45*0.8</f>
        <v>0</v>
      </c>
      <c r="DNJ46" s="420">
        <f t="shared" si="91"/>
        <v>0</v>
      </c>
      <c r="DNK46" s="420">
        <f t="shared" si="91"/>
        <v>0</v>
      </c>
      <c r="DNL46" s="420">
        <f t="shared" si="91"/>
        <v>0</v>
      </c>
      <c r="DNM46" s="420">
        <f t="shared" si="91"/>
        <v>0</v>
      </c>
      <c r="DNN46" s="420">
        <f t="shared" si="91"/>
        <v>0</v>
      </c>
      <c r="DNO46" s="420">
        <f t="shared" si="91"/>
        <v>0</v>
      </c>
      <c r="DNP46" s="420">
        <f t="shared" si="91"/>
        <v>0</v>
      </c>
      <c r="DNQ46" s="420">
        <f t="shared" si="91"/>
        <v>0</v>
      </c>
      <c r="DNR46" s="420">
        <f t="shared" si="91"/>
        <v>0</v>
      </c>
      <c r="DNS46" s="420">
        <f t="shared" si="91"/>
        <v>0</v>
      </c>
      <c r="DNT46" s="420">
        <f t="shared" si="91"/>
        <v>0</v>
      </c>
      <c r="DNU46" s="420">
        <f t="shared" si="91"/>
        <v>0</v>
      </c>
      <c r="DNV46" s="420">
        <f t="shared" si="91"/>
        <v>0</v>
      </c>
      <c r="DNW46" s="420">
        <f t="shared" si="91"/>
        <v>0</v>
      </c>
      <c r="DNX46" s="420">
        <f t="shared" si="91"/>
        <v>0</v>
      </c>
      <c r="DNY46" s="420">
        <f t="shared" si="91"/>
        <v>0</v>
      </c>
      <c r="DNZ46" s="420">
        <f t="shared" si="91"/>
        <v>0</v>
      </c>
      <c r="DOA46" s="420">
        <f t="shared" si="91"/>
        <v>0</v>
      </c>
      <c r="DOB46" s="420">
        <f t="shared" si="91"/>
        <v>0</v>
      </c>
      <c r="DOC46" s="420">
        <f t="shared" si="91"/>
        <v>0</v>
      </c>
      <c r="DOD46" s="420">
        <f t="shared" si="91"/>
        <v>0</v>
      </c>
      <c r="DOE46" s="420">
        <f t="shared" si="91"/>
        <v>0</v>
      </c>
      <c r="DOF46" s="420">
        <f t="shared" si="91"/>
        <v>0</v>
      </c>
      <c r="DOG46" s="420">
        <f t="shared" si="91"/>
        <v>0</v>
      </c>
      <c r="DOH46" s="420">
        <f t="shared" si="91"/>
        <v>0</v>
      </c>
      <c r="DOI46" s="420">
        <f t="shared" si="91"/>
        <v>0</v>
      </c>
      <c r="DOJ46" s="420">
        <f t="shared" si="91"/>
        <v>0</v>
      </c>
      <c r="DOK46" s="420">
        <f t="shared" si="91"/>
        <v>0</v>
      </c>
      <c r="DOL46" s="420">
        <f t="shared" si="91"/>
        <v>0</v>
      </c>
      <c r="DOM46" s="420">
        <f t="shared" si="91"/>
        <v>0</v>
      </c>
      <c r="DON46" s="420">
        <f t="shared" si="91"/>
        <v>0</v>
      </c>
      <c r="DOO46" s="420">
        <f t="shared" si="91"/>
        <v>0</v>
      </c>
      <c r="DOP46" s="420">
        <f t="shared" si="91"/>
        <v>0</v>
      </c>
      <c r="DOQ46" s="420">
        <f t="shared" si="91"/>
        <v>0</v>
      </c>
      <c r="DOR46" s="420">
        <f t="shared" si="91"/>
        <v>0</v>
      </c>
      <c r="DOS46" s="420">
        <f t="shared" si="91"/>
        <v>0</v>
      </c>
      <c r="DOT46" s="420">
        <f t="shared" si="91"/>
        <v>0</v>
      </c>
      <c r="DOU46" s="420">
        <f t="shared" si="91"/>
        <v>0</v>
      </c>
      <c r="DOV46" s="420">
        <f t="shared" si="91"/>
        <v>0</v>
      </c>
      <c r="DOW46" s="420">
        <f t="shared" si="91"/>
        <v>0</v>
      </c>
      <c r="DOX46" s="420">
        <f t="shared" si="91"/>
        <v>0</v>
      </c>
      <c r="DOY46" s="420">
        <f t="shared" si="91"/>
        <v>0</v>
      </c>
      <c r="DOZ46" s="420">
        <f t="shared" si="91"/>
        <v>0</v>
      </c>
      <c r="DPA46" s="420">
        <f t="shared" si="91"/>
        <v>0</v>
      </c>
      <c r="DPB46" s="420">
        <f t="shared" si="91"/>
        <v>0</v>
      </c>
      <c r="DPC46" s="420">
        <f t="shared" si="91"/>
        <v>0</v>
      </c>
      <c r="DPD46" s="420">
        <f t="shared" si="91"/>
        <v>0</v>
      </c>
      <c r="DPE46" s="420">
        <f t="shared" si="91"/>
        <v>0</v>
      </c>
      <c r="DPF46" s="420">
        <f t="shared" si="91"/>
        <v>0</v>
      </c>
      <c r="DPG46" s="420">
        <f t="shared" si="91"/>
        <v>0</v>
      </c>
      <c r="DPH46" s="420">
        <f t="shared" si="91"/>
        <v>0</v>
      </c>
      <c r="DPI46" s="420">
        <f t="shared" si="91"/>
        <v>0</v>
      </c>
      <c r="DPJ46" s="420">
        <f t="shared" si="91"/>
        <v>0</v>
      </c>
      <c r="DPK46" s="420">
        <f t="shared" si="91"/>
        <v>0</v>
      </c>
      <c r="DPL46" s="420">
        <f t="shared" si="91"/>
        <v>0</v>
      </c>
      <c r="DPM46" s="420">
        <f t="shared" si="91"/>
        <v>0</v>
      </c>
      <c r="DPN46" s="420">
        <f t="shared" si="91"/>
        <v>0</v>
      </c>
      <c r="DPO46" s="420">
        <f t="shared" si="91"/>
        <v>0</v>
      </c>
      <c r="DPP46" s="420">
        <f t="shared" si="91"/>
        <v>0</v>
      </c>
      <c r="DPQ46" s="420">
        <f t="shared" si="91"/>
        <v>0</v>
      </c>
      <c r="DPR46" s="420">
        <f t="shared" si="91"/>
        <v>0</v>
      </c>
      <c r="DPS46" s="420">
        <f t="shared" si="91"/>
        <v>0</v>
      </c>
      <c r="DPT46" s="420">
        <f t="shared" si="91"/>
        <v>0</v>
      </c>
      <c r="DPU46" s="420">
        <f t="shared" ref="DPU46:DSF46" si="92">DPU45*0.8</f>
        <v>0</v>
      </c>
      <c r="DPV46" s="420">
        <f t="shared" si="92"/>
        <v>0</v>
      </c>
      <c r="DPW46" s="420">
        <f t="shared" si="92"/>
        <v>0</v>
      </c>
      <c r="DPX46" s="420">
        <f t="shared" si="92"/>
        <v>0</v>
      </c>
      <c r="DPY46" s="420">
        <f t="shared" si="92"/>
        <v>0</v>
      </c>
      <c r="DPZ46" s="420">
        <f t="shared" si="92"/>
        <v>0</v>
      </c>
      <c r="DQA46" s="420">
        <f t="shared" si="92"/>
        <v>0</v>
      </c>
      <c r="DQB46" s="420">
        <f t="shared" si="92"/>
        <v>0</v>
      </c>
      <c r="DQC46" s="420">
        <f t="shared" si="92"/>
        <v>0</v>
      </c>
      <c r="DQD46" s="420">
        <f t="shared" si="92"/>
        <v>0</v>
      </c>
      <c r="DQE46" s="420">
        <f t="shared" si="92"/>
        <v>0</v>
      </c>
      <c r="DQF46" s="420">
        <f t="shared" si="92"/>
        <v>0</v>
      </c>
      <c r="DQG46" s="420">
        <f t="shared" si="92"/>
        <v>0</v>
      </c>
      <c r="DQH46" s="420">
        <f t="shared" si="92"/>
        <v>0</v>
      </c>
      <c r="DQI46" s="420">
        <f t="shared" si="92"/>
        <v>0</v>
      </c>
      <c r="DQJ46" s="420">
        <f t="shared" si="92"/>
        <v>0</v>
      </c>
      <c r="DQK46" s="420">
        <f t="shared" si="92"/>
        <v>0</v>
      </c>
      <c r="DQL46" s="420">
        <f t="shared" si="92"/>
        <v>0</v>
      </c>
      <c r="DQM46" s="420">
        <f t="shared" si="92"/>
        <v>0</v>
      </c>
      <c r="DQN46" s="420">
        <f t="shared" si="92"/>
        <v>0</v>
      </c>
      <c r="DQO46" s="420">
        <f t="shared" si="92"/>
        <v>0</v>
      </c>
      <c r="DQP46" s="420">
        <f t="shared" si="92"/>
        <v>0</v>
      </c>
      <c r="DQQ46" s="420">
        <f t="shared" si="92"/>
        <v>0</v>
      </c>
      <c r="DQR46" s="420">
        <f t="shared" si="92"/>
        <v>0</v>
      </c>
      <c r="DQS46" s="420">
        <f t="shared" si="92"/>
        <v>0</v>
      </c>
      <c r="DQT46" s="420">
        <f t="shared" si="92"/>
        <v>0</v>
      </c>
      <c r="DQU46" s="420">
        <f t="shared" si="92"/>
        <v>0</v>
      </c>
      <c r="DQV46" s="420">
        <f t="shared" si="92"/>
        <v>0</v>
      </c>
      <c r="DQW46" s="420">
        <f t="shared" si="92"/>
        <v>0</v>
      </c>
      <c r="DQX46" s="420">
        <f t="shared" si="92"/>
        <v>0</v>
      </c>
      <c r="DQY46" s="420">
        <f t="shared" si="92"/>
        <v>0</v>
      </c>
      <c r="DQZ46" s="420">
        <f t="shared" si="92"/>
        <v>0</v>
      </c>
      <c r="DRA46" s="420">
        <f t="shared" si="92"/>
        <v>0</v>
      </c>
      <c r="DRB46" s="420">
        <f t="shared" si="92"/>
        <v>0</v>
      </c>
      <c r="DRC46" s="420">
        <f t="shared" si="92"/>
        <v>0</v>
      </c>
      <c r="DRD46" s="420">
        <f t="shared" si="92"/>
        <v>0</v>
      </c>
      <c r="DRE46" s="420">
        <f t="shared" si="92"/>
        <v>0</v>
      </c>
      <c r="DRF46" s="420">
        <f t="shared" si="92"/>
        <v>0</v>
      </c>
      <c r="DRG46" s="420">
        <f t="shared" si="92"/>
        <v>0</v>
      </c>
      <c r="DRH46" s="420">
        <f t="shared" si="92"/>
        <v>0</v>
      </c>
      <c r="DRI46" s="420">
        <f t="shared" si="92"/>
        <v>0</v>
      </c>
      <c r="DRJ46" s="420">
        <f t="shared" si="92"/>
        <v>0</v>
      </c>
      <c r="DRK46" s="420">
        <f t="shared" si="92"/>
        <v>0</v>
      </c>
      <c r="DRL46" s="420">
        <f t="shared" si="92"/>
        <v>0</v>
      </c>
      <c r="DRM46" s="420">
        <f t="shared" si="92"/>
        <v>0</v>
      </c>
      <c r="DRN46" s="420">
        <f t="shared" si="92"/>
        <v>0</v>
      </c>
      <c r="DRO46" s="420">
        <f t="shared" si="92"/>
        <v>0</v>
      </c>
      <c r="DRP46" s="420">
        <f t="shared" si="92"/>
        <v>0</v>
      </c>
      <c r="DRQ46" s="420">
        <f t="shared" si="92"/>
        <v>0</v>
      </c>
      <c r="DRR46" s="420">
        <f t="shared" si="92"/>
        <v>0</v>
      </c>
      <c r="DRS46" s="420">
        <f t="shared" si="92"/>
        <v>0</v>
      </c>
      <c r="DRT46" s="420">
        <f t="shared" si="92"/>
        <v>0</v>
      </c>
      <c r="DRU46" s="420">
        <f t="shared" si="92"/>
        <v>0</v>
      </c>
      <c r="DRV46" s="420">
        <f t="shared" si="92"/>
        <v>0</v>
      </c>
      <c r="DRW46" s="420">
        <f t="shared" si="92"/>
        <v>0</v>
      </c>
      <c r="DRX46" s="420">
        <f t="shared" si="92"/>
        <v>0</v>
      </c>
      <c r="DRY46" s="420">
        <f t="shared" si="92"/>
        <v>0</v>
      </c>
      <c r="DRZ46" s="420">
        <f t="shared" si="92"/>
        <v>0</v>
      </c>
      <c r="DSA46" s="420">
        <f t="shared" si="92"/>
        <v>0</v>
      </c>
      <c r="DSB46" s="420">
        <f t="shared" si="92"/>
        <v>0</v>
      </c>
      <c r="DSC46" s="420">
        <f t="shared" si="92"/>
        <v>0</v>
      </c>
      <c r="DSD46" s="420">
        <f t="shared" si="92"/>
        <v>0</v>
      </c>
      <c r="DSE46" s="420">
        <f t="shared" si="92"/>
        <v>0</v>
      </c>
      <c r="DSF46" s="420">
        <f t="shared" si="92"/>
        <v>0</v>
      </c>
      <c r="DSG46" s="420">
        <f t="shared" ref="DSG46:DUR46" si="93">DSG45*0.8</f>
        <v>0</v>
      </c>
      <c r="DSH46" s="420">
        <f t="shared" si="93"/>
        <v>0</v>
      </c>
      <c r="DSI46" s="420">
        <f t="shared" si="93"/>
        <v>0</v>
      </c>
      <c r="DSJ46" s="420">
        <f t="shared" si="93"/>
        <v>0</v>
      </c>
      <c r="DSK46" s="420">
        <f t="shared" si="93"/>
        <v>0</v>
      </c>
      <c r="DSL46" s="420">
        <f t="shared" si="93"/>
        <v>0</v>
      </c>
      <c r="DSM46" s="420">
        <f t="shared" si="93"/>
        <v>0</v>
      </c>
      <c r="DSN46" s="420">
        <f t="shared" si="93"/>
        <v>0</v>
      </c>
      <c r="DSO46" s="420">
        <f t="shared" si="93"/>
        <v>0</v>
      </c>
      <c r="DSP46" s="420">
        <f t="shared" si="93"/>
        <v>0</v>
      </c>
      <c r="DSQ46" s="420">
        <f t="shared" si="93"/>
        <v>0</v>
      </c>
      <c r="DSR46" s="420">
        <f t="shared" si="93"/>
        <v>0</v>
      </c>
      <c r="DSS46" s="420">
        <f t="shared" si="93"/>
        <v>0</v>
      </c>
      <c r="DST46" s="420">
        <f t="shared" si="93"/>
        <v>0</v>
      </c>
      <c r="DSU46" s="420">
        <f t="shared" si="93"/>
        <v>0</v>
      </c>
      <c r="DSV46" s="420">
        <f t="shared" si="93"/>
        <v>0</v>
      </c>
      <c r="DSW46" s="420">
        <f t="shared" si="93"/>
        <v>0</v>
      </c>
      <c r="DSX46" s="420">
        <f t="shared" si="93"/>
        <v>0</v>
      </c>
      <c r="DSY46" s="420">
        <f t="shared" si="93"/>
        <v>0</v>
      </c>
      <c r="DSZ46" s="420">
        <f t="shared" si="93"/>
        <v>0</v>
      </c>
      <c r="DTA46" s="420">
        <f t="shared" si="93"/>
        <v>0</v>
      </c>
      <c r="DTB46" s="420">
        <f t="shared" si="93"/>
        <v>0</v>
      </c>
      <c r="DTC46" s="420">
        <f t="shared" si="93"/>
        <v>0</v>
      </c>
      <c r="DTD46" s="420">
        <f t="shared" si="93"/>
        <v>0</v>
      </c>
      <c r="DTE46" s="420">
        <f t="shared" si="93"/>
        <v>0</v>
      </c>
      <c r="DTF46" s="420">
        <f t="shared" si="93"/>
        <v>0</v>
      </c>
      <c r="DTG46" s="420">
        <f t="shared" si="93"/>
        <v>0</v>
      </c>
      <c r="DTH46" s="420">
        <f t="shared" si="93"/>
        <v>0</v>
      </c>
      <c r="DTI46" s="420">
        <f t="shared" si="93"/>
        <v>0</v>
      </c>
      <c r="DTJ46" s="420">
        <f t="shared" si="93"/>
        <v>0</v>
      </c>
      <c r="DTK46" s="420">
        <f t="shared" si="93"/>
        <v>0</v>
      </c>
      <c r="DTL46" s="420">
        <f t="shared" si="93"/>
        <v>0</v>
      </c>
      <c r="DTM46" s="420">
        <f t="shared" si="93"/>
        <v>0</v>
      </c>
      <c r="DTN46" s="420">
        <f t="shared" si="93"/>
        <v>0</v>
      </c>
      <c r="DTO46" s="420">
        <f t="shared" si="93"/>
        <v>0</v>
      </c>
      <c r="DTP46" s="420">
        <f t="shared" si="93"/>
        <v>0</v>
      </c>
      <c r="DTQ46" s="420">
        <f t="shared" si="93"/>
        <v>0</v>
      </c>
      <c r="DTR46" s="420">
        <f t="shared" si="93"/>
        <v>0</v>
      </c>
      <c r="DTS46" s="420">
        <f t="shared" si="93"/>
        <v>0</v>
      </c>
      <c r="DTT46" s="420">
        <f t="shared" si="93"/>
        <v>0</v>
      </c>
      <c r="DTU46" s="420">
        <f t="shared" si="93"/>
        <v>0</v>
      </c>
      <c r="DTV46" s="420">
        <f t="shared" si="93"/>
        <v>0</v>
      </c>
      <c r="DTW46" s="420">
        <f t="shared" si="93"/>
        <v>0</v>
      </c>
      <c r="DTX46" s="420">
        <f t="shared" si="93"/>
        <v>0</v>
      </c>
      <c r="DTY46" s="420">
        <f t="shared" si="93"/>
        <v>0</v>
      </c>
      <c r="DTZ46" s="420">
        <f t="shared" si="93"/>
        <v>0</v>
      </c>
      <c r="DUA46" s="420">
        <f t="shared" si="93"/>
        <v>0</v>
      </c>
      <c r="DUB46" s="420">
        <f t="shared" si="93"/>
        <v>0</v>
      </c>
      <c r="DUC46" s="420">
        <f t="shared" si="93"/>
        <v>0</v>
      </c>
      <c r="DUD46" s="420">
        <f t="shared" si="93"/>
        <v>0</v>
      </c>
      <c r="DUE46" s="420">
        <f t="shared" si="93"/>
        <v>0</v>
      </c>
      <c r="DUF46" s="420">
        <f t="shared" si="93"/>
        <v>0</v>
      </c>
      <c r="DUG46" s="420">
        <f t="shared" si="93"/>
        <v>0</v>
      </c>
      <c r="DUH46" s="420">
        <f t="shared" si="93"/>
        <v>0</v>
      </c>
      <c r="DUI46" s="420">
        <f t="shared" si="93"/>
        <v>0</v>
      </c>
      <c r="DUJ46" s="420">
        <f t="shared" si="93"/>
        <v>0</v>
      </c>
      <c r="DUK46" s="420">
        <f t="shared" si="93"/>
        <v>0</v>
      </c>
      <c r="DUL46" s="420">
        <f t="shared" si="93"/>
        <v>0</v>
      </c>
      <c r="DUM46" s="420">
        <f t="shared" si="93"/>
        <v>0</v>
      </c>
      <c r="DUN46" s="420">
        <f t="shared" si="93"/>
        <v>0</v>
      </c>
      <c r="DUO46" s="420">
        <f t="shared" si="93"/>
        <v>0</v>
      </c>
      <c r="DUP46" s="420">
        <f t="shared" si="93"/>
        <v>0</v>
      </c>
      <c r="DUQ46" s="420">
        <f t="shared" si="93"/>
        <v>0</v>
      </c>
      <c r="DUR46" s="420">
        <f t="shared" si="93"/>
        <v>0</v>
      </c>
      <c r="DUS46" s="420">
        <f t="shared" ref="DUS46:DXD46" si="94">DUS45*0.8</f>
        <v>0</v>
      </c>
      <c r="DUT46" s="420">
        <f t="shared" si="94"/>
        <v>0</v>
      </c>
      <c r="DUU46" s="420">
        <f t="shared" si="94"/>
        <v>0</v>
      </c>
      <c r="DUV46" s="420">
        <f t="shared" si="94"/>
        <v>0</v>
      </c>
      <c r="DUW46" s="420">
        <f t="shared" si="94"/>
        <v>0</v>
      </c>
      <c r="DUX46" s="420">
        <f t="shared" si="94"/>
        <v>0</v>
      </c>
      <c r="DUY46" s="420">
        <f t="shared" si="94"/>
        <v>0</v>
      </c>
      <c r="DUZ46" s="420">
        <f t="shared" si="94"/>
        <v>0</v>
      </c>
      <c r="DVA46" s="420">
        <f t="shared" si="94"/>
        <v>0</v>
      </c>
      <c r="DVB46" s="420">
        <f t="shared" si="94"/>
        <v>0</v>
      </c>
      <c r="DVC46" s="420">
        <f t="shared" si="94"/>
        <v>0</v>
      </c>
      <c r="DVD46" s="420">
        <f t="shared" si="94"/>
        <v>0</v>
      </c>
      <c r="DVE46" s="420">
        <f t="shared" si="94"/>
        <v>0</v>
      </c>
      <c r="DVF46" s="420">
        <f t="shared" si="94"/>
        <v>0</v>
      </c>
      <c r="DVG46" s="420">
        <f t="shared" si="94"/>
        <v>0</v>
      </c>
      <c r="DVH46" s="420">
        <f t="shared" si="94"/>
        <v>0</v>
      </c>
      <c r="DVI46" s="420">
        <f t="shared" si="94"/>
        <v>0</v>
      </c>
      <c r="DVJ46" s="420">
        <f t="shared" si="94"/>
        <v>0</v>
      </c>
      <c r="DVK46" s="420">
        <f t="shared" si="94"/>
        <v>0</v>
      </c>
      <c r="DVL46" s="420">
        <f t="shared" si="94"/>
        <v>0</v>
      </c>
      <c r="DVM46" s="420">
        <f t="shared" si="94"/>
        <v>0</v>
      </c>
      <c r="DVN46" s="420">
        <f t="shared" si="94"/>
        <v>0</v>
      </c>
      <c r="DVO46" s="420">
        <f t="shared" si="94"/>
        <v>0</v>
      </c>
      <c r="DVP46" s="420">
        <f t="shared" si="94"/>
        <v>0</v>
      </c>
      <c r="DVQ46" s="420">
        <f t="shared" si="94"/>
        <v>0</v>
      </c>
      <c r="DVR46" s="420">
        <f t="shared" si="94"/>
        <v>0</v>
      </c>
      <c r="DVS46" s="420">
        <f t="shared" si="94"/>
        <v>0</v>
      </c>
      <c r="DVT46" s="420">
        <f t="shared" si="94"/>
        <v>0</v>
      </c>
      <c r="DVU46" s="420">
        <f t="shared" si="94"/>
        <v>0</v>
      </c>
      <c r="DVV46" s="420">
        <f t="shared" si="94"/>
        <v>0</v>
      </c>
      <c r="DVW46" s="420">
        <f t="shared" si="94"/>
        <v>0</v>
      </c>
      <c r="DVX46" s="420">
        <f t="shared" si="94"/>
        <v>0</v>
      </c>
      <c r="DVY46" s="420">
        <f t="shared" si="94"/>
        <v>0</v>
      </c>
      <c r="DVZ46" s="420">
        <f t="shared" si="94"/>
        <v>0</v>
      </c>
      <c r="DWA46" s="420">
        <f t="shared" si="94"/>
        <v>0</v>
      </c>
      <c r="DWB46" s="420">
        <f t="shared" si="94"/>
        <v>0</v>
      </c>
      <c r="DWC46" s="420">
        <f t="shared" si="94"/>
        <v>0</v>
      </c>
      <c r="DWD46" s="420">
        <f t="shared" si="94"/>
        <v>0</v>
      </c>
      <c r="DWE46" s="420">
        <f t="shared" si="94"/>
        <v>0</v>
      </c>
      <c r="DWF46" s="420">
        <f t="shared" si="94"/>
        <v>0</v>
      </c>
      <c r="DWG46" s="420">
        <f t="shared" si="94"/>
        <v>0</v>
      </c>
      <c r="DWH46" s="420">
        <f t="shared" si="94"/>
        <v>0</v>
      </c>
      <c r="DWI46" s="420">
        <f t="shared" si="94"/>
        <v>0</v>
      </c>
      <c r="DWJ46" s="420">
        <f t="shared" si="94"/>
        <v>0</v>
      </c>
      <c r="DWK46" s="420">
        <f t="shared" si="94"/>
        <v>0</v>
      </c>
      <c r="DWL46" s="420">
        <f t="shared" si="94"/>
        <v>0</v>
      </c>
      <c r="DWM46" s="420">
        <f t="shared" si="94"/>
        <v>0</v>
      </c>
      <c r="DWN46" s="420">
        <f t="shared" si="94"/>
        <v>0</v>
      </c>
      <c r="DWO46" s="420">
        <f t="shared" si="94"/>
        <v>0</v>
      </c>
      <c r="DWP46" s="420">
        <f t="shared" si="94"/>
        <v>0</v>
      </c>
      <c r="DWQ46" s="420">
        <f t="shared" si="94"/>
        <v>0</v>
      </c>
      <c r="DWR46" s="420">
        <f t="shared" si="94"/>
        <v>0</v>
      </c>
      <c r="DWS46" s="420">
        <f t="shared" si="94"/>
        <v>0</v>
      </c>
      <c r="DWT46" s="420">
        <f t="shared" si="94"/>
        <v>0</v>
      </c>
      <c r="DWU46" s="420">
        <f t="shared" si="94"/>
        <v>0</v>
      </c>
      <c r="DWV46" s="420">
        <f t="shared" si="94"/>
        <v>0</v>
      </c>
      <c r="DWW46" s="420">
        <f t="shared" si="94"/>
        <v>0</v>
      </c>
      <c r="DWX46" s="420">
        <f t="shared" si="94"/>
        <v>0</v>
      </c>
      <c r="DWY46" s="420">
        <f t="shared" si="94"/>
        <v>0</v>
      </c>
      <c r="DWZ46" s="420">
        <f t="shared" si="94"/>
        <v>0</v>
      </c>
      <c r="DXA46" s="420">
        <f t="shared" si="94"/>
        <v>0</v>
      </c>
      <c r="DXB46" s="420">
        <f t="shared" si="94"/>
        <v>0</v>
      </c>
      <c r="DXC46" s="420">
        <f t="shared" si="94"/>
        <v>0</v>
      </c>
      <c r="DXD46" s="420">
        <f t="shared" si="94"/>
        <v>0</v>
      </c>
      <c r="DXE46" s="420">
        <f t="shared" ref="DXE46:DZP46" si="95">DXE45*0.8</f>
        <v>0</v>
      </c>
      <c r="DXF46" s="420">
        <f t="shared" si="95"/>
        <v>0</v>
      </c>
      <c r="DXG46" s="420">
        <f t="shared" si="95"/>
        <v>0</v>
      </c>
      <c r="DXH46" s="420">
        <f t="shared" si="95"/>
        <v>0</v>
      </c>
      <c r="DXI46" s="420">
        <f t="shared" si="95"/>
        <v>0</v>
      </c>
      <c r="DXJ46" s="420">
        <f t="shared" si="95"/>
        <v>0</v>
      </c>
      <c r="DXK46" s="420">
        <f t="shared" si="95"/>
        <v>0</v>
      </c>
      <c r="DXL46" s="420">
        <f t="shared" si="95"/>
        <v>0</v>
      </c>
      <c r="DXM46" s="420">
        <f t="shared" si="95"/>
        <v>0</v>
      </c>
      <c r="DXN46" s="420">
        <f t="shared" si="95"/>
        <v>0</v>
      </c>
      <c r="DXO46" s="420">
        <f t="shared" si="95"/>
        <v>0</v>
      </c>
      <c r="DXP46" s="420">
        <f t="shared" si="95"/>
        <v>0</v>
      </c>
      <c r="DXQ46" s="420">
        <f t="shared" si="95"/>
        <v>0</v>
      </c>
      <c r="DXR46" s="420">
        <f t="shared" si="95"/>
        <v>0</v>
      </c>
      <c r="DXS46" s="420">
        <f t="shared" si="95"/>
        <v>0</v>
      </c>
      <c r="DXT46" s="420">
        <f t="shared" si="95"/>
        <v>0</v>
      </c>
      <c r="DXU46" s="420">
        <f t="shared" si="95"/>
        <v>0</v>
      </c>
      <c r="DXV46" s="420">
        <f t="shared" si="95"/>
        <v>0</v>
      </c>
      <c r="DXW46" s="420">
        <f t="shared" si="95"/>
        <v>0</v>
      </c>
      <c r="DXX46" s="420">
        <f t="shared" si="95"/>
        <v>0</v>
      </c>
      <c r="DXY46" s="420">
        <f t="shared" si="95"/>
        <v>0</v>
      </c>
      <c r="DXZ46" s="420">
        <f t="shared" si="95"/>
        <v>0</v>
      </c>
      <c r="DYA46" s="420">
        <f t="shared" si="95"/>
        <v>0</v>
      </c>
      <c r="DYB46" s="420">
        <f t="shared" si="95"/>
        <v>0</v>
      </c>
      <c r="DYC46" s="420">
        <f t="shared" si="95"/>
        <v>0</v>
      </c>
      <c r="DYD46" s="420">
        <f t="shared" si="95"/>
        <v>0</v>
      </c>
      <c r="DYE46" s="420">
        <f t="shared" si="95"/>
        <v>0</v>
      </c>
      <c r="DYF46" s="420">
        <f t="shared" si="95"/>
        <v>0</v>
      </c>
      <c r="DYG46" s="420">
        <f t="shared" si="95"/>
        <v>0</v>
      </c>
      <c r="DYH46" s="420">
        <f t="shared" si="95"/>
        <v>0</v>
      </c>
      <c r="DYI46" s="420">
        <f t="shared" si="95"/>
        <v>0</v>
      </c>
      <c r="DYJ46" s="420">
        <f t="shared" si="95"/>
        <v>0</v>
      </c>
      <c r="DYK46" s="420">
        <f t="shared" si="95"/>
        <v>0</v>
      </c>
      <c r="DYL46" s="420">
        <f t="shared" si="95"/>
        <v>0</v>
      </c>
      <c r="DYM46" s="420">
        <f t="shared" si="95"/>
        <v>0</v>
      </c>
      <c r="DYN46" s="420">
        <f t="shared" si="95"/>
        <v>0</v>
      </c>
      <c r="DYO46" s="420">
        <f t="shared" si="95"/>
        <v>0</v>
      </c>
      <c r="DYP46" s="420">
        <f t="shared" si="95"/>
        <v>0</v>
      </c>
      <c r="DYQ46" s="420">
        <f t="shared" si="95"/>
        <v>0</v>
      </c>
      <c r="DYR46" s="420">
        <f t="shared" si="95"/>
        <v>0</v>
      </c>
      <c r="DYS46" s="420">
        <f t="shared" si="95"/>
        <v>0</v>
      </c>
      <c r="DYT46" s="420">
        <f t="shared" si="95"/>
        <v>0</v>
      </c>
      <c r="DYU46" s="420">
        <f t="shared" si="95"/>
        <v>0</v>
      </c>
      <c r="DYV46" s="420">
        <f t="shared" si="95"/>
        <v>0</v>
      </c>
      <c r="DYW46" s="420">
        <f t="shared" si="95"/>
        <v>0</v>
      </c>
      <c r="DYX46" s="420">
        <f t="shared" si="95"/>
        <v>0</v>
      </c>
      <c r="DYY46" s="420">
        <f t="shared" si="95"/>
        <v>0</v>
      </c>
      <c r="DYZ46" s="420">
        <f t="shared" si="95"/>
        <v>0</v>
      </c>
      <c r="DZA46" s="420">
        <f t="shared" si="95"/>
        <v>0</v>
      </c>
      <c r="DZB46" s="420">
        <f t="shared" si="95"/>
        <v>0</v>
      </c>
      <c r="DZC46" s="420">
        <f t="shared" si="95"/>
        <v>0</v>
      </c>
      <c r="DZD46" s="420">
        <f t="shared" si="95"/>
        <v>0</v>
      </c>
      <c r="DZE46" s="420">
        <f t="shared" si="95"/>
        <v>0</v>
      </c>
      <c r="DZF46" s="420">
        <f t="shared" si="95"/>
        <v>0</v>
      </c>
      <c r="DZG46" s="420">
        <f t="shared" si="95"/>
        <v>0</v>
      </c>
      <c r="DZH46" s="420">
        <f t="shared" si="95"/>
        <v>0</v>
      </c>
      <c r="DZI46" s="420">
        <f t="shared" si="95"/>
        <v>0</v>
      </c>
      <c r="DZJ46" s="420">
        <f t="shared" si="95"/>
        <v>0</v>
      </c>
      <c r="DZK46" s="420">
        <f t="shared" si="95"/>
        <v>0</v>
      </c>
      <c r="DZL46" s="420">
        <f t="shared" si="95"/>
        <v>0</v>
      </c>
      <c r="DZM46" s="420">
        <f t="shared" si="95"/>
        <v>0</v>
      </c>
      <c r="DZN46" s="420">
        <f t="shared" si="95"/>
        <v>0</v>
      </c>
      <c r="DZO46" s="420">
        <f t="shared" si="95"/>
        <v>0</v>
      </c>
      <c r="DZP46" s="420">
        <f t="shared" si="95"/>
        <v>0</v>
      </c>
      <c r="DZQ46" s="420">
        <f t="shared" ref="DZQ46:ECB46" si="96">DZQ45*0.8</f>
        <v>0</v>
      </c>
      <c r="DZR46" s="420">
        <f t="shared" si="96"/>
        <v>0</v>
      </c>
      <c r="DZS46" s="420">
        <f t="shared" si="96"/>
        <v>0</v>
      </c>
      <c r="DZT46" s="420">
        <f t="shared" si="96"/>
        <v>0</v>
      </c>
      <c r="DZU46" s="420">
        <f t="shared" si="96"/>
        <v>0</v>
      </c>
      <c r="DZV46" s="420">
        <f t="shared" si="96"/>
        <v>0</v>
      </c>
      <c r="DZW46" s="420">
        <f t="shared" si="96"/>
        <v>0</v>
      </c>
      <c r="DZX46" s="420">
        <f t="shared" si="96"/>
        <v>0</v>
      </c>
      <c r="DZY46" s="420">
        <f t="shared" si="96"/>
        <v>0</v>
      </c>
      <c r="DZZ46" s="420">
        <f t="shared" si="96"/>
        <v>0</v>
      </c>
      <c r="EAA46" s="420">
        <f t="shared" si="96"/>
        <v>0</v>
      </c>
      <c r="EAB46" s="420">
        <f t="shared" si="96"/>
        <v>0</v>
      </c>
      <c r="EAC46" s="420">
        <f t="shared" si="96"/>
        <v>0</v>
      </c>
      <c r="EAD46" s="420">
        <f t="shared" si="96"/>
        <v>0</v>
      </c>
      <c r="EAE46" s="420">
        <f t="shared" si="96"/>
        <v>0</v>
      </c>
      <c r="EAF46" s="420">
        <f t="shared" si="96"/>
        <v>0</v>
      </c>
      <c r="EAG46" s="420">
        <f t="shared" si="96"/>
        <v>0</v>
      </c>
      <c r="EAH46" s="420">
        <f t="shared" si="96"/>
        <v>0</v>
      </c>
      <c r="EAI46" s="420">
        <f t="shared" si="96"/>
        <v>0</v>
      </c>
      <c r="EAJ46" s="420">
        <f t="shared" si="96"/>
        <v>0</v>
      </c>
      <c r="EAK46" s="420">
        <f t="shared" si="96"/>
        <v>0</v>
      </c>
      <c r="EAL46" s="420">
        <f t="shared" si="96"/>
        <v>0</v>
      </c>
      <c r="EAM46" s="420">
        <f t="shared" si="96"/>
        <v>0</v>
      </c>
      <c r="EAN46" s="420">
        <f t="shared" si="96"/>
        <v>0</v>
      </c>
      <c r="EAO46" s="420">
        <f t="shared" si="96"/>
        <v>0</v>
      </c>
      <c r="EAP46" s="420">
        <f t="shared" si="96"/>
        <v>0</v>
      </c>
      <c r="EAQ46" s="420">
        <f t="shared" si="96"/>
        <v>0</v>
      </c>
      <c r="EAR46" s="420">
        <f t="shared" si="96"/>
        <v>0</v>
      </c>
      <c r="EAS46" s="420">
        <f t="shared" si="96"/>
        <v>0</v>
      </c>
      <c r="EAT46" s="420">
        <f t="shared" si="96"/>
        <v>0</v>
      </c>
      <c r="EAU46" s="420">
        <f t="shared" si="96"/>
        <v>0</v>
      </c>
      <c r="EAV46" s="420">
        <f t="shared" si="96"/>
        <v>0</v>
      </c>
      <c r="EAW46" s="420">
        <f t="shared" si="96"/>
        <v>0</v>
      </c>
      <c r="EAX46" s="420">
        <f t="shared" si="96"/>
        <v>0</v>
      </c>
      <c r="EAY46" s="420">
        <f t="shared" si="96"/>
        <v>0</v>
      </c>
      <c r="EAZ46" s="420">
        <f t="shared" si="96"/>
        <v>0</v>
      </c>
      <c r="EBA46" s="420">
        <f t="shared" si="96"/>
        <v>0</v>
      </c>
      <c r="EBB46" s="420">
        <f t="shared" si="96"/>
        <v>0</v>
      </c>
      <c r="EBC46" s="420">
        <f t="shared" si="96"/>
        <v>0</v>
      </c>
      <c r="EBD46" s="420">
        <f t="shared" si="96"/>
        <v>0</v>
      </c>
      <c r="EBE46" s="420">
        <f t="shared" si="96"/>
        <v>0</v>
      </c>
      <c r="EBF46" s="420">
        <f t="shared" si="96"/>
        <v>0</v>
      </c>
      <c r="EBG46" s="420">
        <f t="shared" si="96"/>
        <v>0</v>
      </c>
      <c r="EBH46" s="420">
        <f t="shared" si="96"/>
        <v>0</v>
      </c>
      <c r="EBI46" s="420">
        <f t="shared" si="96"/>
        <v>0</v>
      </c>
      <c r="EBJ46" s="420">
        <f t="shared" si="96"/>
        <v>0</v>
      </c>
      <c r="EBK46" s="420">
        <f t="shared" si="96"/>
        <v>0</v>
      </c>
      <c r="EBL46" s="420">
        <f t="shared" si="96"/>
        <v>0</v>
      </c>
      <c r="EBM46" s="420">
        <f t="shared" si="96"/>
        <v>0</v>
      </c>
      <c r="EBN46" s="420">
        <f t="shared" si="96"/>
        <v>0</v>
      </c>
      <c r="EBO46" s="420">
        <f t="shared" si="96"/>
        <v>0</v>
      </c>
      <c r="EBP46" s="420">
        <f t="shared" si="96"/>
        <v>0</v>
      </c>
      <c r="EBQ46" s="420">
        <f t="shared" si="96"/>
        <v>0</v>
      </c>
      <c r="EBR46" s="420">
        <f t="shared" si="96"/>
        <v>0</v>
      </c>
      <c r="EBS46" s="420">
        <f t="shared" si="96"/>
        <v>0</v>
      </c>
      <c r="EBT46" s="420">
        <f t="shared" si="96"/>
        <v>0</v>
      </c>
      <c r="EBU46" s="420">
        <f t="shared" si="96"/>
        <v>0</v>
      </c>
      <c r="EBV46" s="420">
        <f t="shared" si="96"/>
        <v>0</v>
      </c>
      <c r="EBW46" s="420">
        <f t="shared" si="96"/>
        <v>0</v>
      </c>
      <c r="EBX46" s="420">
        <f t="shared" si="96"/>
        <v>0</v>
      </c>
      <c r="EBY46" s="420">
        <f t="shared" si="96"/>
        <v>0</v>
      </c>
      <c r="EBZ46" s="420">
        <f t="shared" si="96"/>
        <v>0</v>
      </c>
      <c r="ECA46" s="420">
        <f t="shared" si="96"/>
        <v>0</v>
      </c>
      <c r="ECB46" s="420">
        <f t="shared" si="96"/>
        <v>0</v>
      </c>
      <c r="ECC46" s="420">
        <f t="shared" ref="ECC46:EEN46" si="97">ECC45*0.8</f>
        <v>0</v>
      </c>
      <c r="ECD46" s="420">
        <f t="shared" si="97"/>
        <v>0</v>
      </c>
      <c r="ECE46" s="420">
        <f t="shared" si="97"/>
        <v>0</v>
      </c>
      <c r="ECF46" s="420">
        <f t="shared" si="97"/>
        <v>0</v>
      </c>
      <c r="ECG46" s="420">
        <f t="shared" si="97"/>
        <v>0</v>
      </c>
      <c r="ECH46" s="420">
        <f t="shared" si="97"/>
        <v>0</v>
      </c>
      <c r="ECI46" s="420">
        <f t="shared" si="97"/>
        <v>0</v>
      </c>
      <c r="ECJ46" s="420">
        <f t="shared" si="97"/>
        <v>0</v>
      </c>
      <c r="ECK46" s="420">
        <f t="shared" si="97"/>
        <v>0</v>
      </c>
      <c r="ECL46" s="420">
        <f t="shared" si="97"/>
        <v>0</v>
      </c>
      <c r="ECM46" s="420">
        <f t="shared" si="97"/>
        <v>0</v>
      </c>
      <c r="ECN46" s="420">
        <f t="shared" si="97"/>
        <v>0</v>
      </c>
      <c r="ECO46" s="420">
        <f t="shared" si="97"/>
        <v>0</v>
      </c>
      <c r="ECP46" s="420">
        <f t="shared" si="97"/>
        <v>0</v>
      </c>
      <c r="ECQ46" s="420">
        <f t="shared" si="97"/>
        <v>0</v>
      </c>
      <c r="ECR46" s="420">
        <f t="shared" si="97"/>
        <v>0</v>
      </c>
      <c r="ECS46" s="420">
        <f t="shared" si="97"/>
        <v>0</v>
      </c>
      <c r="ECT46" s="420">
        <f t="shared" si="97"/>
        <v>0</v>
      </c>
      <c r="ECU46" s="420">
        <f t="shared" si="97"/>
        <v>0</v>
      </c>
      <c r="ECV46" s="420">
        <f t="shared" si="97"/>
        <v>0</v>
      </c>
      <c r="ECW46" s="420">
        <f t="shared" si="97"/>
        <v>0</v>
      </c>
      <c r="ECX46" s="420">
        <f t="shared" si="97"/>
        <v>0</v>
      </c>
      <c r="ECY46" s="420">
        <f t="shared" si="97"/>
        <v>0</v>
      </c>
      <c r="ECZ46" s="420">
        <f t="shared" si="97"/>
        <v>0</v>
      </c>
      <c r="EDA46" s="420">
        <f t="shared" si="97"/>
        <v>0</v>
      </c>
      <c r="EDB46" s="420">
        <f t="shared" si="97"/>
        <v>0</v>
      </c>
      <c r="EDC46" s="420">
        <f t="shared" si="97"/>
        <v>0</v>
      </c>
      <c r="EDD46" s="420">
        <f t="shared" si="97"/>
        <v>0</v>
      </c>
      <c r="EDE46" s="420">
        <f t="shared" si="97"/>
        <v>0</v>
      </c>
      <c r="EDF46" s="420">
        <f t="shared" si="97"/>
        <v>0</v>
      </c>
      <c r="EDG46" s="420">
        <f t="shared" si="97"/>
        <v>0</v>
      </c>
      <c r="EDH46" s="420">
        <f t="shared" si="97"/>
        <v>0</v>
      </c>
      <c r="EDI46" s="420">
        <f t="shared" si="97"/>
        <v>0</v>
      </c>
      <c r="EDJ46" s="420">
        <f t="shared" si="97"/>
        <v>0</v>
      </c>
      <c r="EDK46" s="420">
        <f t="shared" si="97"/>
        <v>0</v>
      </c>
      <c r="EDL46" s="420">
        <f t="shared" si="97"/>
        <v>0</v>
      </c>
      <c r="EDM46" s="420">
        <f t="shared" si="97"/>
        <v>0</v>
      </c>
      <c r="EDN46" s="420">
        <f t="shared" si="97"/>
        <v>0</v>
      </c>
      <c r="EDO46" s="420">
        <f t="shared" si="97"/>
        <v>0</v>
      </c>
      <c r="EDP46" s="420">
        <f t="shared" si="97"/>
        <v>0</v>
      </c>
      <c r="EDQ46" s="420">
        <f t="shared" si="97"/>
        <v>0</v>
      </c>
      <c r="EDR46" s="420">
        <f t="shared" si="97"/>
        <v>0</v>
      </c>
      <c r="EDS46" s="420">
        <f t="shared" si="97"/>
        <v>0</v>
      </c>
      <c r="EDT46" s="420">
        <f t="shared" si="97"/>
        <v>0</v>
      </c>
      <c r="EDU46" s="420">
        <f t="shared" si="97"/>
        <v>0</v>
      </c>
      <c r="EDV46" s="420">
        <f t="shared" si="97"/>
        <v>0</v>
      </c>
      <c r="EDW46" s="420">
        <f t="shared" si="97"/>
        <v>0</v>
      </c>
      <c r="EDX46" s="420">
        <f t="shared" si="97"/>
        <v>0</v>
      </c>
      <c r="EDY46" s="420">
        <f t="shared" si="97"/>
        <v>0</v>
      </c>
      <c r="EDZ46" s="420">
        <f t="shared" si="97"/>
        <v>0</v>
      </c>
      <c r="EEA46" s="420">
        <f t="shared" si="97"/>
        <v>0</v>
      </c>
      <c r="EEB46" s="420">
        <f t="shared" si="97"/>
        <v>0</v>
      </c>
      <c r="EEC46" s="420">
        <f t="shared" si="97"/>
        <v>0</v>
      </c>
      <c r="EED46" s="420">
        <f t="shared" si="97"/>
        <v>0</v>
      </c>
      <c r="EEE46" s="420">
        <f t="shared" si="97"/>
        <v>0</v>
      </c>
      <c r="EEF46" s="420">
        <f t="shared" si="97"/>
        <v>0</v>
      </c>
      <c r="EEG46" s="420">
        <f t="shared" si="97"/>
        <v>0</v>
      </c>
      <c r="EEH46" s="420">
        <f t="shared" si="97"/>
        <v>0</v>
      </c>
      <c r="EEI46" s="420">
        <f t="shared" si="97"/>
        <v>0</v>
      </c>
      <c r="EEJ46" s="420">
        <f t="shared" si="97"/>
        <v>0</v>
      </c>
      <c r="EEK46" s="420">
        <f t="shared" si="97"/>
        <v>0</v>
      </c>
      <c r="EEL46" s="420">
        <f t="shared" si="97"/>
        <v>0</v>
      </c>
      <c r="EEM46" s="420">
        <f t="shared" si="97"/>
        <v>0</v>
      </c>
      <c r="EEN46" s="420">
        <f t="shared" si="97"/>
        <v>0</v>
      </c>
      <c r="EEO46" s="420">
        <f t="shared" ref="EEO46:EGZ46" si="98">EEO45*0.8</f>
        <v>0</v>
      </c>
      <c r="EEP46" s="420">
        <f t="shared" si="98"/>
        <v>0</v>
      </c>
      <c r="EEQ46" s="420">
        <f t="shared" si="98"/>
        <v>0</v>
      </c>
      <c r="EER46" s="420">
        <f t="shared" si="98"/>
        <v>0</v>
      </c>
      <c r="EES46" s="420">
        <f t="shared" si="98"/>
        <v>0</v>
      </c>
      <c r="EET46" s="420">
        <f t="shared" si="98"/>
        <v>0</v>
      </c>
      <c r="EEU46" s="420">
        <f t="shared" si="98"/>
        <v>0</v>
      </c>
      <c r="EEV46" s="420">
        <f t="shared" si="98"/>
        <v>0</v>
      </c>
      <c r="EEW46" s="420">
        <f t="shared" si="98"/>
        <v>0</v>
      </c>
      <c r="EEX46" s="420">
        <f t="shared" si="98"/>
        <v>0</v>
      </c>
      <c r="EEY46" s="420">
        <f t="shared" si="98"/>
        <v>0</v>
      </c>
      <c r="EEZ46" s="420">
        <f t="shared" si="98"/>
        <v>0</v>
      </c>
      <c r="EFA46" s="420">
        <f t="shared" si="98"/>
        <v>0</v>
      </c>
      <c r="EFB46" s="420">
        <f t="shared" si="98"/>
        <v>0</v>
      </c>
      <c r="EFC46" s="420">
        <f t="shared" si="98"/>
        <v>0</v>
      </c>
      <c r="EFD46" s="420">
        <f t="shared" si="98"/>
        <v>0</v>
      </c>
      <c r="EFE46" s="420">
        <f t="shared" si="98"/>
        <v>0</v>
      </c>
      <c r="EFF46" s="420">
        <f t="shared" si="98"/>
        <v>0</v>
      </c>
      <c r="EFG46" s="420">
        <f t="shared" si="98"/>
        <v>0</v>
      </c>
      <c r="EFH46" s="420">
        <f t="shared" si="98"/>
        <v>0</v>
      </c>
      <c r="EFI46" s="420">
        <f t="shared" si="98"/>
        <v>0</v>
      </c>
      <c r="EFJ46" s="420">
        <f t="shared" si="98"/>
        <v>0</v>
      </c>
      <c r="EFK46" s="420">
        <f t="shared" si="98"/>
        <v>0</v>
      </c>
      <c r="EFL46" s="420">
        <f t="shared" si="98"/>
        <v>0</v>
      </c>
      <c r="EFM46" s="420">
        <f t="shared" si="98"/>
        <v>0</v>
      </c>
      <c r="EFN46" s="420">
        <f t="shared" si="98"/>
        <v>0</v>
      </c>
      <c r="EFO46" s="420">
        <f t="shared" si="98"/>
        <v>0</v>
      </c>
      <c r="EFP46" s="420">
        <f t="shared" si="98"/>
        <v>0</v>
      </c>
      <c r="EFQ46" s="420">
        <f t="shared" si="98"/>
        <v>0</v>
      </c>
      <c r="EFR46" s="420">
        <f t="shared" si="98"/>
        <v>0</v>
      </c>
      <c r="EFS46" s="420">
        <f t="shared" si="98"/>
        <v>0</v>
      </c>
      <c r="EFT46" s="420">
        <f t="shared" si="98"/>
        <v>0</v>
      </c>
      <c r="EFU46" s="420">
        <f t="shared" si="98"/>
        <v>0</v>
      </c>
      <c r="EFV46" s="420">
        <f t="shared" si="98"/>
        <v>0</v>
      </c>
      <c r="EFW46" s="420">
        <f t="shared" si="98"/>
        <v>0</v>
      </c>
      <c r="EFX46" s="420">
        <f t="shared" si="98"/>
        <v>0</v>
      </c>
      <c r="EFY46" s="420">
        <f t="shared" si="98"/>
        <v>0</v>
      </c>
      <c r="EFZ46" s="420">
        <f t="shared" si="98"/>
        <v>0</v>
      </c>
      <c r="EGA46" s="420">
        <f t="shared" si="98"/>
        <v>0</v>
      </c>
      <c r="EGB46" s="420">
        <f t="shared" si="98"/>
        <v>0</v>
      </c>
      <c r="EGC46" s="420">
        <f t="shared" si="98"/>
        <v>0</v>
      </c>
      <c r="EGD46" s="420">
        <f t="shared" si="98"/>
        <v>0</v>
      </c>
      <c r="EGE46" s="420">
        <f t="shared" si="98"/>
        <v>0</v>
      </c>
      <c r="EGF46" s="420">
        <f t="shared" si="98"/>
        <v>0</v>
      </c>
      <c r="EGG46" s="420">
        <f t="shared" si="98"/>
        <v>0</v>
      </c>
      <c r="EGH46" s="420">
        <f t="shared" si="98"/>
        <v>0</v>
      </c>
      <c r="EGI46" s="420">
        <f t="shared" si="98"/>
        <v>0</v>
      </c>
      <c r="EGJ46" s="420">
        <f t="shared" si="98"/>
        <v>0</v>
      </c>
      <c r="EGK46" s="420">
        <f t="shared" si="98"/>
        <v>0</v>
      </c>
      <c r="EGL46" s="420">
        <f t="shared" si="98"/>
        <v>0</v>
      </c>
      <c r="EGM46" s="420">
        <f t="shared" si="98"/>
        <v>0</v>
      </c>
      <c r="EGN46" s="420">
        <f t="shared" si="98"/>
        <v>0</v>
      </c>
      <c r="EGO46" s="420">
        <f t="shared" si="98"/>
        <v>0</v>
      </c>
      <c r="EGP46" s="420">
        <f t="shared" si="98"/>
        <v>0</v>
      </c>
      <c r="EGQ46" s="420">
        <f t="shared" si="98"/>
        <v>0</v>
      </c>
      <c r="EGR46" s="420">
        <f t="shared" si="98"/>
        <v>0</v>
      </c>
      <c r="EGS46" s="420">
        <f t="shared" si="98"/>
        <v>0</v>
      </c>
      <c r="EGT46" s="420">
        <f t="shared" si="98"/>
        <v>0</v>
      </c>
      <c r="EGU46" s="420">
        <f t="shared" si="98"/>
        <v>0</v>
      </c>
      <c r="EGV46" s="420">
        <f t="shared" si="98"/>
        <v>0</v>
      </c>
      <c r="EGW46" s="420">
        <f t="shared" si="98"/>
        <v>0</v>
      </c>
      <c r="EGX46" s="420">
        <f t="shared" si="98"/>
        <v>0</v>
      </c>
      <c r="EGY46" s="420">
        <f t="shared" si="98"/>
        <v>0</v>
      </c>
      <c r="EGZ46" s="420">
        <f t="shared" si="98"/>
        <v>0</v>
      </c>
      <c r="EHA46" s="420">
        <f t="shared" ref="EHA46:EJL46" si="99">EHA45*0.8</f>
        <v>0</v>
      </c>
      <c r="EHB46" s="420">
        <f t="shared" si="99"/>
        <v>0</v>
      </c>
      <c r="EHC46" s="420">
        <f t="shared" si="99"/>
        <v>0</v>
      </c>
      <c r="EHD46" s="420">
        <f t="shared" si="99"/>
        <v>0</v>
      </c>
      <c r="EHE46" s="420">
        <f t="shared" si="99"/>
        <v>0</v>
      </c>
      <c r="EHF46" s="420">
        <f t="shared" si="99"/>
        <v>0</v>
      </c>
      <c r="EHG46" s="420">
        <f t="shared" si="99"/>
        <v>0</v>
      </c>
      <c r="EHH46" s="420">
        <f t="shared" si="99"/>
        <v>0</v>
      </c>
      <c r="EHI46" s="420">
        <f t="shared" si="99"/>
        <v>0</v>
      </c>
      <c r="EHJ46" s="420">
        <f t="shared" si="99"/>
        <v>0</v>
      </c>
      <c r="EHK46" s="420">
        <f t="shared" si="99"/>
        <v>0</v>
      </c>
      <c r="EHL46" s="420">
        <f t="shared" si="99"/>
        <v>0</v>
      </c>
      <c r="EHM46" s="420">
        <f t="shared" si="99"/>
        <v>0</v>
      </c>
      <c r="EHN46" s="420">
        <f t="shared" si="99"/>
        <v>0</v>
      </c>
      <c r="EHO46" s="420">
        <f t="shared" si="99"/>
        <v>0</v>
      </c>
      <c r="EHP46" s="420">
        <f t="shared" si="99"/>
        <v>0</v>
      </c>
      <c r="EHQ46" s="420">
        <f t="shared" si="99"/>
        <v>0</v>
      </c>
      <c r="EHR46" s="420">
        <f t="shared" si="99"/>
        <v>0</v>
      </c>
      <c r="EHS46" s="420">
        <f t="shared" si="99"/>
        <v>0</v>
      </c>
      <c r="EHT46" s="420">
        <f t="shared" si="99"/>
        <v>0</v>
      </c>
      <c r="EHU46" s="420">
        <f t="shared" si="99"/>
        <v>0</v>
      </c>
      <c r="EHV46" s="420">
        <f t="shared" si="99"/>
        <v>0</v>
      </c>
      <c r="EHW46" s="420">
        <f t="shared" si="99"/>
        <v>0</v>
      </c>
      <c r="EHX46" s="420">
        <f t="shared" si="99"/>
        <v>0</v>
      </c>
      <c r="EHY46" s="420">
        <f t="shared" si="99"/>
        <v>0</v>
      </c>
      <c r="EHZ46" s="420">
        <f t="shared" si="99"/>
        <v>0</v>
      </c>
      <c r="EIA46" s="420">
        <f t="shared" si="99"/>
        <v>0</v>
      </c>
      <c r="EIB46" s="420">
        <f t="shared" si="99"/>
        <v>0</v>
      </c>
      <c r="EIC46" s="420">
        <f t="shared" si="99"/>
        <v>0</v>
      </c>
      <c r="EID46" s="420">
        <f t="shared" si="99"/>
        <v>0</v>
      </c>
      <c r="EIE46" s="420">
        <f t="shared" si="99"/>
        <v>0</v>
      </c>
      <c r="EIF46" s="420">
        <f t="shared" si="99"/>
        <v>0</v>
      </c>
      <c r="EIG46" s="420">
        <f t="shared" si="99"/>
        <v>0</v>
      </c>
      <c r="EIH46" s="420">
        <f t="shared" si="99"/>
        <v>0</v>
      </c>
      <c r="EII46" s="420">
        <f t="shared" si="99"/>
        <v>0</v>
      </c>
      <c r="EIJ46" s="420">
        <f t="shared" si="99"/>
        <v>0</v>
      </c>
      <c r="EIK46" s="420">
        <f t="shared" si="99"/>
        <v>0</v>
      </c>
      <c r="EIL46" s="420">
        <f t="shared" si="99"/>
        <v>0</v>
      </c>
      <c r="EIM46" s="420">
        <f t="shared" si="99"/>
        <v>0</v>
      </c>
      <c r="EIN46" s="420">
        <f t="shared" si="99"/>
        <v>0</v>
      </c>
      <c r="EIO46" s="420">
        <f t="shared" si="99"/>
        <v>0</v>
      </c>
      <c r="EIP46" s="420">
        <f t="shared" si="99"/>
        <v>0</v>
      </c>
      <c r="EIQ46" s="420">
        <f t="shared" si="99"/>
        <v>0</v>
      </c>
      <c r="EIR46" s="420">
        <f t="shared" si="99"/>
        <v>0</v>
      </c>
      <c r="EIS46" s="420">
        <f t="shared" si="99"/>
        <v>0</v>
      </c>
      <c r="EIT46" s="420">
        <f t="shared" si="99"/>
        <v>0</v>
      </c>
      <c r="EIU46" s="420">
        <f t="shared" si="99"/>
        <v>0</v>
      </c>
      <c r="EIV46" s="420">
        <f t="shared" si="99"/>
        <v>0</v>
      </c>
      <c r="EIW46" s="420">
        <f t="shared" si="99"/>
        <v>0</v>
      </c>
      <c r="EIX46" s="420">
        <f t="shared" si="99"/>
        <v>0</v>
      </c>
      <c r="EIY46" s="420">
        <f t="shared" si="99"/>
        <v>0</v>
      </c>
      <c r="EIZ46" s="420">
        <f t="shared" si="99"/>
        <v>0</v>
      </c>
      <c r="EJA46" s="420">
        <f t="shared" si="99"/>
        <v>0</v>
      </c>
      <c r="EJB46" s="420">
        <f t="shared" si="99"/>
        <v>0</v>
      </c>
      <c r="EJC46" s="420">
        <f t="shared" si="99"/>
        <v>0</v>
      </c>
      <c r="EJD46" s="420">
        <f t="shared" si="99"/>
        <v>0</v>
      </c>
      <c r="EJE46" s="420">
        <f t="shared" si="99"/>
        <v>0</v>
      </c>
      <c r="EJF46" s="420">
        <f t="shared" si="99"/>
        <v>0</v>
      </c>
      <c r="EJG46" s="420">
        <f t="shared" si="99"/>
        <v>0</v>
      </c>
      <c r="EJH46" s="420">
        <f t="shared" si="99"/>
        <v>0</v>
      </c>
      <c r="EJI46" s="420">
        <f t="shared" si="99"/>
        <v>0</v>
      </c>
      <c r="EJJ46" s="420">
        <f t="shared" si="99"/>
        <v>0</v>
      </c>
      <c r="EJK46" s="420">
        <f t="shared" si="99"/>
        <v>0</v>
      </c>
      <c r="EJL46" s="420">
        <f t="shared" si="99"/>
        <v>0</v>
      </c>
      <c r="EJM46" s="420">
        <f t="shared" ref="EJM46:ELX46" si="100">EJM45*0.8</f>
        <v>0</v>
      </c>
      <c r="EJN46" s="420">
        <f t="shared" si="100"/>
        <v>0</v>
      </c>
      <c r="EJO46" s="420">
        <f t="shared" si="100"/>
        <v>0</v>
      </c>
      <c r="EJP46" s="420">
        <f t="shared" si="100"/>
        <v>0</v>
      </c>
      <c r="EJQ46" s="420">
        <f t="shared" si="100"/>
        <v>0</v>
      </c>
      <c r="EJR46" s="420">
        <f t="shared" si="100"/>
        <v>0</v>
      </c>
      <c r="EJS46" s="420">
        <f t="shared" si="100"/>
        <v>0</v>
      </c>
      <c r="EJT46" s="420">
        <f t="shared" si="100"/>
        <v>0</v>
      </c>
      <c r="EJU46" s="420">
        <f t="shared" si="100"/>
        <v>0</v>
      </c>
      <c r="EJV46" s="420">
        <f t="shared" si="100"/>
        <v>0</v>
      </c>
      <c r="EJW46" s="420">
        <f t="shared" si="100"/>
        <v>0</v>
      </c>
      <c r="EJX46" s="420">
        <f t="shared" si="100"/>
        <v>0</v>
      </c>
      <c r="EJY46" s="420">
        <f t="shared" si="100"/>
        <v>0</v>
      </c>
      <c r="EJZ46" s="420">
        <f t="shared" si="100"/>
        <v>0</v>
      </c>
      <c r="EKA46" s="420">
        <f t="shared" si="100"/>
        <v>0</v>
      </c>
      <c r="EKB46" s="420">
        <f t="shared" si="100"/>
        <v>0</v>
      </c>
      <c r="EKC46" s="420">
        <f t="shared" si="100"/>
        <v>0</v>
      </c>
      <c r="EKD46" s="420">
        <f t="shared" si="100"/>
        <v>0</v>
      </c>
      <c r="EKE46" s="420">
        <f t="shared" si="100"/>
        <v>0</v>
      </c>
      <c r="EKF46" s="420">
        <f t="shared" si="100"/>
        <v>0</v>
      </c>
      <c r="EKG46" s="420">
        <f t="shared" si="100"/>
        <v>0</v>
      </c>
      <c r="EKH46" s="420">
        <f t="shared" si="100"/>
        <v>0</v>
      </c>
      <c r="EKI46" s="420">
        <f t="shared" si="100"/>
        <v>0</v>
      </c>
      <c r="EKJ46" s="420">
        <f t="shared" si="100"/>
        <v>0</v>
      </c>
      <c r="EKK46" s="420">
        <f t="shared" si="100"/>
        <v>0</v>
      </c>
      <c r="EKL46" s="420">
        <f t="shared" si="100"/>
        <v>0</v>
      </c>
      <c r="EKM46" s="420">
        <f t="shared" si="100"/>
        <v>0</v>
      </c>
      <c r="EKN46" s="420">
        <f t="shared" si="100"/>
        <v>0</v>
      </c>
      <c r="EKO46" s="420">
        <f t="shared" si="100"/>
        <v>0</v>
      </c>
      <c r="EKP46" s="420">
        <f t="shared" si="100"/>
        <v>0</v>
      </c>
      <c r="EKQ46" s="420">
        <f t="shared" si="100"/>
        <v>0</v>
      </c>
      <c r="EKR46" s="420">
        <f t="shared" si="100"/>
        <v>0</v>
      </c>
      <c r="EKS46" s="420">
        <f t="shared" si="100"/>
        <v>0</v>
      </c>
      <c r="EKT46" s="420">
        <f t="shared" si="100"/>
        <v>0</v>
      </c>
      <c r="EKU46" s="420">
        <f t="shared" si="100"/>
        <v>0</v>
      </c>
      <c r="EKV46" s="420">
        <f t="shared" si="100"/>
        <v>0</v>
      </c>
      <c r="EKW46" s="420">
        <f t="shared" si="100"/>
        <v>0</v>
      </c>
      <c r="EKX46" s="420">
        <f t="shared" si="100"/>
        <v>0</v>
      </c>
      <c r="EKY46" s="420">
        <f t="shared" si="100"/>
        <v>0</v>
      </c>
      <c r="EKZ46" s="420">
        <f t="shared" si="100"/>
        <v>0</v>
      </c>
      <c r="ELA46" s="420">
        <f t="shared" si="100"/>
        <v>0</v>
      </c>
      <c r="ELB46" s="420">
        <f t="shared" si="100"/>
        <v>0</v>
      </c>
      <c r="ELC46" s="420">
        <f t="shared" si="100"/>
        <v>0</v>
      </c>
      <c r="ELD46" s="420">
        <f t="shared" si="100"/>
        <v>0</v>
      </c>
      <c r="ELE46" s="420">
        <f t="shared" si="100"/>
        <v>0</v>
      </c>
      <c r="ELF46" s="420">
        <f t="shared" si="100"/>
        <v>0</v>
      </c>
      <c r="ELG46" s="420">
        <f t="shared" si="100"/>
        <v>0</v>
      </c>
      <c r="ELH46" s="420">
        <f t="shared" si="100"/>
        <v>0</v>
      </c>
      <c r="ELI46" s="420">
        <f t="shared" si="100"/>
        <v>0</v>
      </c>
      <c r="ELJ46" s="420">
        <f t="shared" si="100"/>
        <v>0</v>
      </c>
      <c r="ELK46" s="420">
        <f t="shared" si="100"/>
        <v>0</v>
      </c>
      <c r="ELL46" s="420">
        <f t="shared" si="100"/>
        <v>0</v>
      </c>
      <c r="ELM46" s="420">
        <f t="shared" si="100"/>
        <v>0</v>
      </c>
      <c r="ELN46" s="420">
        <f t="shared" si="100"/>
        <v>0</v>
      </c>
      <c r="ELO46" s="420">
        <f t="shared" si="100"/>
        <v>0</v>
      </c>
      <c r="ELP46" s="420">
        <f t="shared" si="100"/>
        <v>0</v>
      </c>
      <c r="ELQ46" s="420">
        <f t="shared" si="100"/>
        <v>0</v>
      </c>
      <c r="ELR46" s="420">
        <f t="shared" si="100"/>
        <v>0</v>
      </c>
      <c r="ELS46" s="420">
        <f t="shared" si="100"/>
        <v>0</v>
      </c>
      <c r="ELT46" s="420">
        <f t="shared" si="100"/>
        <v>0</v>
      </c>
      <c r="ELU46" s="420">
        <f t="shared" si="100"/>
        <v>0</v>
      </c>
      <c r="ELV46" s="420">
        <f t="shared" si="100"/>
        <v>0</v>
      </c>
      <c r="ELW46" s="420">
        <f t="shared" si="100"/>
        <v>0</v>
      </c>
      <c r="ELX46" s="420">
        <f t="shared" si="100"/>
        <v>0</v>
      </c>
      <c r="ELY46" s="420">
        <f t="shared" ref="ELY46:EOJ46" si="101">ELY45*0.8</f>
        <v>0</v>
      </c>
      <c r="ELZ46" s="420">
        <f t="shared" si="101"/>
        <v>0</v>
      </c>
      <c r="EMA46" s="420">
        <f t="shared" si="101"/>
        <v>0</v>
      </c>
      <c r="EMB46" s="420">
        <f t="shared" si="101"/>
        <v>0</v>
      </c>
      <c r="EMC46" s="420">
        <f t="shared" si="101"/>
        <v>0</v>
      </c>
      <c r="EMD46" s="420">
        <f t="shared" si="101"/>
        <v>0</v>
      </c>
      <c r="EME46" s="420">
        <f t="shared" si="101"/>
        <v>0</v>
      </c>
      <c r="EMF46" s="420">
        <f t="shared" si="101"/>
        <v>0</v>
      </c>
      <c r="EMG46" s="420">
        <f t="shared" si="101"/>
        <v>0</v>
      </c>
      <c r="EMH46" s="420">
        <f t="shared" si="101"/>
        <v>0</v>
      </c>
      <c r="EMI46" s="420">
        <f t="shared" si="101"/>
        <v>0</v>
      </c>
      <c r="EMJ46" s="420">
        <f t="shared" si="101"/>
        <v>0</v>
      </c>
      <c r="EMK46" s="420">
        <f t="shared" si="101"/>
        <v>0</v>
      </c>
      <c r="EML46" s="420">
        <f t="shared" si="101"/>
        <v>0</v>
      </c>
      <c r="EMM46" s="420">
        <f t="shared" si="101"/>
        <v>0</v>
      </c>
      <c r="EMN46" s="420">
        <f t="shared" si="101"/>
        <v>0</v>
      </c>
      <c r="EMO46" s="420">
        <f t="shared" si="101"/>
        <v>0</v>
      </c>
      <c r="EMP46" s="420">
        <f t="shared" si="101"/>
        <v>0</v>
      </c>
      <c r="EMQ46" s="420">
        <f t="shared" si="101"/>
        <v>0</v>
      </c>
      <c r="EMR46" s="420">
        <f t="shared" si="101"/>
        <v>0</v>
      </c>
      <c r="EMS46" s="420">
        <f t="shared" si="101"/>
        <v>0</v>
      </c>
      <c r="EMT46" s="420">
        <f t="shared" si="101"/>
        <v>0</v>
      </c>
      <c r="EMU46" s="420">
        <f t="shared" si="101"/>
        <v>0</v>
      </c>
      <c r="EMV46" s="420">
        <f t="shared" si="101"/>
        <v>0</v>
      </c>
      <c r="EMW46" s="420">
        <f t="shared" si="101"/>
        <v>0</v>
      </c>
      <c r="EMX46" s="420">
        <f t="shared" si="101"/>
        <v>0</v>
      </c>
      <c r="EMY46" s="420">
        <f t="shared" si="101"/>
        <v>0</v>
      </c>
      <c r="EMZ46" s="420">
        <f t="shared" si="101"/>
        <v>0</v>
      </c>
      <c r="ENA46" s="420">
        <f t="shared" si="101"/>
        <v>0</v>
      </c>
      <c r="ENB46" s="420">
        <f t="shared" si="101"/>
        <v>0</v>
      </c>
      <c r="ENC46" s="420">
        <f t="shared" si="101"/>
        <v>0</v>
      </c>
      <c r="END46" s="420">
        <f t="shared" si="101"/>
        <v>0</v>
      </c>
      <c r="ENE46" s="420">
        <f t="shared" si="101"/>
        <v>0</v>
      </c>
      <c r="ENF46" s="420">
        <f t="shared" si="101"/>
        <v>0</v>
      </c>
      <c r="ENG46" s="420">
        <f t="shared" si="101"/>
        <v>0</v>
      </c>
      <c r="ENH46" s="420">
        <f t="shared" si="101"/>
        <v>0</v>
      </c>
      <c r="ENI46" s="420">
        <f t="shared" si="101"/>
        <v>0</v>
      </c>
      <c r="ENJ46" s="420">
        <f t="shared" si="101"/>
        <v>0</v>
      </c>
      <c r="ENK46" s="420">
        <f t="shared" si="101"/>
        <v>0</v>
      </c>
      <c r="ENL46" s="420">
        <f t="shared" si="101"/>
        <v>0</v>
      </c>
      <c r="ENM46" s="420">
        <f t="shared" si="101"/>
        <v>0</v>
      </c>
      <c r="ENN46" s="420">
        <f t="shared" si="101"/>
        <v>0</v>
      </c>
      <c r="ENO46" s="420">
        <f t="shared" si="101"/>
        <v>0</v>
      </c>
      <c r="ENP46" s="420">
        <f t="shared" si="101"/>
        <v>0</v>
      </c>
      <c r="ENQ46" s="420">
        <f t="shared" si="101"/>
        <v>0</v>
      </c>
      <c r="ENR46" s="420">
        <f t="shared" si="101"/>
        <v>0</v>
      </c>
      <c r="ENS46" s="420">
        <f t="shared" si="101"/>
        <v>0</v>
      </c>
      <c r="ENT46" s="420">
        <f t="shared" si="101"/>
        <v>0</v>
      </c>
      <c r="ENU46" s="420">
        <f t="shared" si="101"/>
        <v>0</v>
      </c>
      <c r="ENV46" s="420">
        <f t="shared" si="101"/>
        <v>0</v>
      </c>
      <c r="ENW46" s="420">
        <f t="shared" si="101"/>
        <v>0</v>
      </c>
      <c r="ENX46" s="420">
        <f t="shared" si="101"/>
        <v>0</v>
      </c>
      <c r="ENY46" s="420">
        <f t="shared" si="101"/>
        <v>0</v>
      </c>
      <c r="ENZ46" s="420">
        <f t="shared" si="101"/>
        <v>0</v>
      </c>
      <c r="EOA46" s="420">
        <f t="shared" si="101"/>
        <v>0</v>
      </c>
      <c r="EOB46" s="420">
        <f t="shared" si="101"/>
        <v>0</v>
      </c>
      <c r="EOC46" s="420">
        <f t="shared" si="101"/>
        <v>0</v>
      </c>
      <c r="EOD46" s="420">
        <f t="shared" si="101"/>
        <v>0</v>
      </c>
      <c r="EOE46" s="420">
        <f t="shared" si="101"/>
        <v>0</v>
      </c>
      <c r="EOF46" s="420">
        <f t="shared" si="101"/>
        <v>0</v>
      </c>
      <c r="EOG46" s="420">
        <f t="shared" si="101"/>
        <v>0</v>
      </c>
      <c r="EOH46" s="420">
        <f t="shared" si="101"/>
        <v>0</v>
      </c>
      <c r="EOI46" s="420">
        <f t="shared" si="101"/>
        <v>0</v>
      </c>
      <c r="EOJ46" s="420">
        <f t="shared" si="101"/>
        <v>0</v>
      </c>
      <c r="EOK46" s="420">
        <f t="shared" ref="EOK46:EQV46" si="102">EOK45*0.8</f>
        <v>0</v>
      </c>
      <c r="EOL46" s="420">
        <f t="shared" si="102"/>
        <v>0</v>
      </c>
      <c r="EOM46" s="420">
        <f t="shared" si="102"/>
        <v>0</v>
      </c>
      <c r="EON46" s="420">
        <f t="shared" si="102"/>
        <v>0</v>
      </c>
      <c r="EOO46" s="420">
        <f t="shared" si="102"/>
        <v>0</v>
      </c>
      <c r="EOP46" s="420">
        <f t="shared" si="102"/>
        <v>0</v>
      </c>
      <c r="EOQ46" s="420">
        <f t="shared" si="102"/>
        <v>0</v>
      </c>
      <c r="EOR46" s="420">
        <f t="shared" si="102"/>
        <v>0</v>
      </c>
      <c r="EOS46" s="420">
        <f t="shared" si="102"/>
        <v>0</v>
      </c>
      <c r="EOT46" s="420">
        <f t="shared" si="102"/>
        <v>0</v>
      </c>
      <c r="EOU46" s="420">
        <f t="shared" si="102"/>
        <v>0</v>
      </c>
      <c r="EOV46" s="420">
        <f t="shared" si="102"/>
        <v>0</v>
      </c>
      <c r="EOW46" s="420">
        <f t="shared" si="102"/>
        <v>0</v>
      </c>
      <c r="EOX46" s="420">
        <f t="shared" si="102"/>
        <v>0</v>
      </c>
      <c r="EOY46" s="420">
        <f t="shared" si="102"/>
        <v>0</v>
      </c>
      <c r="EOZ46" s="420">
        <f t="shared" si="102"/>
        <v>0</v>
      </c>
      <c r="EPA46" s="420">
        <f t="shared" si="102"/>
        <v>0</v>
      </c>
      <c r="EPB46" s="420">
        <f t="shared" si="102"/>
        <v>0</v>
      </c>
      <c r="EPC46" s="420">
        <f t="shared" si="102"/>
        <v>0</v>
      </c>
      <c r="EPD46" s="420">
        <f t="shared" si="102"/>
        <v>0</v>
      </c>
      <c r="EPE46" s="420">
        <f t="shared" si="102"/>
        <v>0</v>
      </c>
      <c r="EPF46" s="420">
        <f t="shared" si="102"/>
        <v>0</v>
      </c>
      <c r="EPG46" s="420">
        <f t="shared" si="102"/>
        <v>0</v>
      </c>
      <c r="EPH46" s="420">
        <f t="shared" si="102"/>
        <v>0</v>
      </c>
      <c r="EPI46" s="420">
        <f t="shared" si="102"/>
        <v>0</v>
      </c>
      <c r="EPJ46" s="420">
        <f t="shared" si="102"/>
        <v>0</v>
      </c>
      <c r="EPK46" s="420">
        <f t="shared" si="102"/>
        <v>0</v>
      </c>
      <c r="EPL46" s="420">
        <f t="shared" si="102"/>
        <v>0</v>
      </c>
      <c r="EPM46" s="420">
        <f t="shared" si="102"/>
        <v>0</v>
      </c>
      <c r="EPN46" s="420">
        <f t="shared" si="102"/>
        <v>0</v>
      </c>
      <c r="EPO46" s="420">
        <f t="shared" si="102"/>
        <v>0</v>
      </c>
      <c r="EPP46" s="420">
        <f t="shared" si="102"/>
        <v>0</v>
      </c>
      <c r="EPQ46" s="420">
        <f t="shared" si="102"/>
        <v>0</v>
      </c>
      <c r="EPR46" s="420">
        <f t="shared" si="102"/>
        <v>0</v>
      </c>
      <c r="EPS46" s="420">
        <f t="shared" si="102"/>
        <v>0</v>
      </c>
      <c r="EPT46" s="420">
        <f t="shared" si="102"/>
        <v>0</v>
      </c>
      <c r="EPU46" s="420">
        <f t="shared" si="102"/>
        <v>0</v>
      </c>
      <c r="EPV46" s="420">
        <f t="shared" si="102"/>
        <v>0</v>
      </c>
      <c r="EPW46" s="420">
        <f t="shared" si="102"/>
        <v>0</v>
      </c>
      <c r="EPX46" s="420">
        <f t="shared" si="102"/>
        <v>0</v>
      </c>
      <c r="EPY46" s="420">
        <f t="shared" si="102"/>
        <v>0</v>
      </c>
      <c r="EPZ46" s="420">
        <f t="shared" si="102"/>
        <v>0</v>
      </c>
      <c r="EQA46" s="420">
        <f t="shared" si="102"/>
        <v>0</v>
      </c>
      <c r="EQB46" s="420">
        <f t="shared" si="102"/>
        <v>0</v>
      </c>
      <c r="EQC46" s="420">
        <f t="shared" si="102"/>
        <v>0</v>
      </c>
      <c r="EQD46" s="420">
        <f t="shared" si="102"/>
        <v>0</v>
      </c>
      <c r="EQE46" s="420">
        <f t="shared" si="102"/>
        <v>0</v>
      </c>
      <c r="EQF46" s="420">
        <f t="shared" si="102"/>
        <v>0</v>
      </c>
      <c r="EQG46" s="420">
        <f t="shared" si="102"/>
        <v>0</v>
      </c>
      <c r="EQH46" s="420">
        <f t="shared" si="102"/>
        <v>0</v>
      </c>
      <c r="EQI46" s="420">
        <f t="shared" si="102"/>
        <v>0</v>
      </c>
      <c r="EQJ46" s="420">
        <f t="shared" si="102"/>
        <v>0</v>
      </c>
      <c r="EQK46" s="420">
        <f t="shared" si="102"/>
        <v>0</v>
      </c>
      <c r="EQL46" s="420">
        <f t="shared" si="102"/>
        <v>0</v>
      </c>
      <c r="EQM46" s="420">
        <f t="shared" si="102"/>
        <v>0</v>
      </c>
      <c r="EQN46" s="420">
        <f t="shared" si="102"/>
        <v>0</v>
      </c>
      <c r="EQO46" s="420">
        <f t="shared" si="102"/>
        <v>0</v>
      </c>
      <c r="EQP46" s="420">
        <f t="shared" si="102"/>
        <v>0</v>
      </c>
      <c r="EQQ46" s="420">
        <f t="shared" si="102"/>
        <v>0</v>
      </c>
      <c r="EQR46" s="420">
        <f t="shared" si="102"/>
        <v>0</v>
      </c>
      <c r="EQS46" s="420">
        <f t="shared" si="102"/>
        <v>0</v>
      </c>
      <c r="EQT46" s="420">
        <f t="shared" si="102"/>
        <v>0</v>
      </c>
      <c r="EQU46" s="420">
        <f t="shared" si="102"/>
        <v>0</v>
      </c>
      <c r="EQV46" s="420">
        <f t="shared" si="102"/>
        <v>0</v>
      </c>
      <c r="EQW46" s="420">
        <f t="shared" ref="EQW46:ETH46" si="103">EQW45*0.8</f>
        <v>0</v>
      </c>
      <c r="EQX46" s="420">
        <f t="shared" si="103"/>
        <v>0</v>
      </c>
      <c r="EQY46" s="420">
        <f t="shared" si="103"/>
        <v>0</v>
      </c>
      <c r="EQZ46" s="420">
        <f t="shared" si="103"/>
        <v>0</v>
      </c>
      <c r="ERA46" s="420">
        <f t="shared" si="103"/>
        <v>0</v>
      </c>
      <c r="ERB46" s="420">
        <f t="shared" si="103"/>
        <v>0</v>
      </c>
      <c r="ERC46" s="420">
        <f t="shared" si="103"/>
        <v>0</v>
      </c>
      <c r="ERD46" s="420">
        <f t="shared" si="103"/>
        <v>0</v>
      </c>
      <c r="ERE46" s="420">
        <f t="shared" si="103"/>
        <v>0</v>
      </c>
      <c r="ERF46" s="420">
        <f t="shared" si="103"/>
        <v>0</v>
      </c>
      <c r="ERG46" s="420">
        <f t="shared" si="103"/>
        <v>0</v>
      </c>
      <c r="ERH46" s="420">
        <f t="shared" si="103"/>
        <v>0</v>
      </c>
      <c r="ERI46" s="420">
        <f t="shared" si="103"/>
        <v>0</v>
      </c>
      <c r="ERJ46" s="420">
        <f t="shared" si="103"/>
        <v>0</v>
      </c>
      <c r="ERK46" s="420">
        <f t="shared" si="103"/>
        <v>0</v>
      </c>
      <c r="ERL46" s="420">
        <f t="shared" si="103"/>
        <v>0</v>
      </c>
      <c r="ERM46" s="420">
        <f t="shared" si="103"/>
        <v>0</v>
      </c>
      <c r="ERN46" s="420">
        <f t="shared" si="103"/>
        <v>0</v>
      </c>
      <c r="ERO46" s="420">
        <f t="shared" si="103"/>
        <v>0</v>
      </c>
      <c r="ERP46" s="420">
        <f t="shared" si="103"/>
        <v>0</v>
      </c>
      <c r="ERQ46" s="420">
        <f t="shared" si="103"/>
        <v>0</v>
      </c>
      <c r="ERR46" s="420">
        <f t="shared" si="103"/>
        <v>0</v>
      </c>
      <c r="ERS46" s="420">
        <f t="shared" si="103"/>
        <v>0</v>
      </c>
      <c r="ERT46" s="420">
        <f t="shared" si="103"/>
        <v>0</v>
      </c>
      <c r="ERU46" s="420">
        <f t="shared" si="103"/>
        <v>0</v>
      </c>
      <c r="ERV46" s="420">
        <f t="shared" si="103"/>
        <v>0</v>
      </c>
      <c r="ERW46" s="420">
        <f t="shared" si="103"/>
        <v>0</v>
      </c>
      <c r="ERX46" s="420">
        <f t="shared" si="103"/>
        <v>0</v>
      </c>
      <c r="ERY46" s="420">
        <f t="shared" si="103"/>
        <v>0</v>
      </c>
      <c r="ERZ46" s="420">
        <f t="shared" si="103"/>
        <v>0</v>
      </c>
      <c r="ESA46" s="420">
        <f t="shared" si="103"/>
        <v>0</v>
      </c>
      <c r="ESB46" s="420">
        <f t="shared" si="103"/>
        <v>0</v>
      </c>
      <c r="ESC46" s="420">
        <f t="shared" si="103"/>
        <v>0</v>
      </c>
      <c r="ESD46" s="420">
        <f t="shared" si="103"/>
        <v>0</v>
      </c>
      <c r="ESE46" s="420">
        <f t="shared" si="103"/>
        <v>0</v>
      </c>
      <c r="ESF46" s="420">
        <f t="shared" si="103"/>
        <v>0</v>
      </c>
      <c r="ESG46" s="420">
        <f t="shared" si="103"/>
        <v>0</v>
      </c>
      <c r="ESH46" s="420">
        <f t="shared" si="103"/>
        <v>0</v>
      </c>
      <c r="ESI46" s="420">
        <f t="shared" si="103"/>
        <v>0</v>
      </c>
      <c r="ESJ46" s="420">
        <f t="shared" si="103"/>
        <v>0</v>
      </c>
      <c r="ESK46" s="420">
        <f t="shared" si="103"/>
        <v>0</v>
      </c>
      <c r="ESL46" s="420">
        <f t="shared" si="103"/>
        <v>0</v>
      </c>
      <c r="ESM46" s="420">
        <f t="shared" si="103"/>
        <v>0</v>
      </c>
      <c r="ESN46" s="420">
        <f t="shared" si="103"/>
        <v>0</v>
      </c>
      <c r="ESO46" s="420">
        <f t="shared" si="103"/>
        <v>0</v>
      </c>
      <c r="ESP46" s="420">
        <f t="shared" si="103"/>
        <v>0</v>
      </c>
      <c r="ESQ46" s="420">
        <f t="shared" si="103"/>
        <v>0</v>
      </c>
      <c r="ESR46" s="420">
        <f t="shared" si="103"/>
        <v>0</v>
      </c>
      <c r="ESS46" s="420">
        <f t="shared" si="103"/>
        <v>0</v>
      </c>
      <c r="EST46" s="420">
        <f t="shared" si="103"/>
        <v>0</v>
      </c>
      <c r="ESU46" s="420">
        <f t="shared" si="103"/>
        <v>0</v>
      </c>
      <c r="ESV46" s="420">
        <f t="shared" si="103"/>
        <v>0</v>
      </c>
      <c r="ESW46" s="420">
        <f t="shared" si="103"/>
        <v>0</v>
      </c>
      <c r="ESX46" s="420">
        <f t="shared" si="103"/>
        <v>0</v>
      </c>
      <c r="ESY46" s="420">
        <f t="shared" si="103"/>
        <v>0</v>
      </c>
      <c r="ESZ46" s="420">
        <f t="shared" si="103"/>
        <v>0</v>
      </c>
      <c r="ETA46" s="420">
        <f t="shared" si="103"/>
        <v>0</v>
      </c>
      <c r="ETB46" s="420">
        <f t="shared" si="103"/>
        <v>0</v>
      </c>
      <c r="ETC46" s="420">
        <f t="shared" si="103"/>
        <v>0</v>
      </c>
      <c r="ETD46" s="420">
        <f t="shared" si="103"/>
        <v>0</v>
      </c>
      <c r="ETE46" s="420">
        <f t="shared" si="103"/>
        <v>0</v>
      </c>
      <c r="ETF46" s="420">
        <f t="shared" si="103"/>
        <v>0</v>
      </c>
      <c r="ETG46" s="420">
        <f t="shared" si="103"/>
        <v>0</v>
      </c>
      <c r="ETH46" s="420">
        <f t="shared" si="103"/>
        <v>0</v>
      </c>
      <c r="ETI46" s="420">
        <f t="shared" ref="ETI46:EVT46" si="104">ETI45*0.8</f>
        <v>0</v>
      </c>
      <c r="ETJ46" s="420">
        <f t="shared" si="104"/>
        <v>0</v>
      </c>
      <c r="ETK46" s="420">
        <f t="shared" si="104"/>
        <v>0</v>
      </c>
      <c r="ETL46" s="420">
        <f t="shared" si="104"/>
        <v>0</v>
      </c>
      <c r="ETM46" s="420">
        <f t="shared" si="104"/>
        <v>0</v>
      </c>
      <c r="ETN46" s="420">
        <f t="shared" si="104"/>
        <v>0</v>
      </c>
      <c r="ETO46" s="420">
        <f t="shared" si="104"/>
        <v>0</v>
      </c>
      <c r="ETP46" s="420">
        <f t="shared" si="104"/>
        <v>0</v>
      </c>
      <c r="ETQ46" s="420">
        <f t="shared" si="104"/>
        <v>0</v>
      </c>
      <c r="ETR46" s="420">
        <f t="shared" si="104"/>
        <v>0</v>
      </c>
      <c r="ETS46" s="420">
        <f t="shared" si="104"/>
        <v>0</v>
      </c>
      <c r="ETT46" s="420">
        <f t="shared" si="104"/>
        <v>0</v>
      </c>
      <c r="ETU46" s="420">
        <f t="shared" si="104"/>
        <v>0</v>
      </c>
      <c r="ETV46" s="420">
        <f t="shared" si="104"/>
        <v>0</v>
      </c>
      <c r="ETW46" s="420">
        <f t="shared" si="104"/>
        <v>0</v>
      </c>
      <c r="ETX46" s="420">
        <f t="shared" si="104"/>
        <v>0</v>
      </c>
      <c r="ETY46" s="420">
        <f t="shared" si="104"/>
        <v>0</v>
      </c>
      <c r="ETZ46" s="420">
        <f t="shared" si="104"/>
        <v>0</v>
      </c>
      <c r="EUA46" s="420">
        <f t="shared" si="104"/>
        <v>0</v>
      </c>
      <c r="EUB46" s="420">
        <f t="shared" si="104"/>
        <v>0</v>
      </c>
      <c r="EUC46" s="420">
        <f t="shared" si="104"/>
        <v>0</v>
      </c>
      <c r="EUD46" s="420">
        <f t="shared" si="104"/>
        <v>0</v>
      </c>
      <c r="EUE46" s="420">
        <f t="shared" si="104"/>
        <v>0</v>
      </c>
      <c r="EUF46" s="420">
        <f t="shared" si="104"/>
        <v>0</v>
      </c>
      <c r="EUG46" s="420">
        <f t="shared" si="104"/>
        <v>0</v>
      </c>
      <c r="EUH46" s="420">
        <f t="shared" si="104"/>
        <v>0</v>
      </c>
      <c r="EUI46" s="420">
        <f t="shared" si="104"/>
        <v>0</v>
      </c>
      <c r="EUJ46" s="420">
        <f t="shared" si="104"/>
        <v>0</v>
      </c>
      <c r="EUK46" s="420">
        <f t="shared" si="104"/>
        <v>0</v>
      </c>
      <c r="EUL46" s="420">
        <f t="shared" si="104"/>
        <v>0</v>
      </c>
      <c r="EUM46" s="420">
        <f t="shared" si="104"/>
        <v>0</v>
      </c>
      <c r="EUN46" s="420">
        <f t="shared" si="104"/>
        <v>0</v>
      </c>
      <c r="EUO46" s="420">
        <f t="shared" si="104"/>
        <v>0</v>
      </c>
      <c r="EUP46" s="420">
        <f t="shared" si="104"/>
        <v>0</v>
      </c>
      <c r="EUQ46" s="420">
        <f t="shared" si="104"/>
        <v>0</v>
      </c>
      <c r="EUR46" s="420">
        <f t="shared" si="104"/>
        <v>0</v>
      </c>
      <c r="EUS46" s="420">
        <f t="shared" si="104"/>
        <v>0</v>
      </c>
      <c r="EUT46" s="420">
        <f t="shared" si="104"/>
        <v>0</v>
      </c>
      <c r="EUU46" s="420">
        <f t="shared" si="104"/>
        <v>0</v>
      </c>
      <c r="EUV46" s="420">
        <f t="shared" si="104"/>
        <v>0</v>
      </c>
      <c r="EUW46" s="420">
        <f t="shared" si="104"/>
        <v>0</v>
      </c>
      <c r="EUX46" s="420">
        <f t="shared" si="104"/>
        <v>0</v>
      </c>
      <c r="EUY46" s="420">
        <f t="shared" si="104"/>
        <v>0</v>
      </c>
      <c r="EUZ46" s="420">
        <f t="shared" si="104"/>
        <v>0</v>
      </c>
      <c r="EVA46" s="420">
        <f t="shared" si="104"/>
        <v>0</v>
      </c>
      <c r="EVB46" s="420">
        <f t="shared" si="104"/>
        <v>0</v>
      </c>
      <c r="EVC46" s="420">
        <f t="shared" si="104"/>
        <v>0</v>
      </c>
      <c r="EVD46" s="420">
        <f t="shared" si="104"/>
        <v>0</v>
      </c>
      <c r="EVE46" s="420">
        <f t="shared" si="104"/>
        <v>0</v>
      </c>
      <c r="EVF46" s="420">
        <f t="shared" si="104"/>
        <v>0</v>
      </c>
      <c r="EVG46" s="420">
        <f t="shared" si="104"/>
        <v>0</v>
      </c>
      <c r="EVH46" s="420">
        <f t="shared" si="104"/>
        <v>0</v>
      </c>
      <c r="EVI46" s="420">
        <f t="shared" si="104"/>
        <v>0</v>
      </c>
      <c r="EVJ46" s="420">
        <f t="shared" si="104"/>
        <v>0</v>
      </c>
      <c r="EVK46" s="420">
        <f t="shared" si="104"/>
        <v>0</v>
      </c>
      <c r="EVL46" s="420">
        <f t="shared" si="104"/>
        <v>0</v>
      </c>
      <c r="EVM46" s="420">
        <f t="shared" si="104"/>
        <v>0</v>
      </c>
      <c r="EVN46" s="420">
        <f t="shared" si="104"/>
        <v>0</v>
      </c>
      <c r="EVO46" s="420">
        <f t="shared" si="104"/>
        <v>0</v>
      </c>
      <c r="EVP46" s="420">
        <f t="shared" si="104"/>
        <v>0</v>
      </c>
      <c r="EVQ46" s="420">
        <f t="shared" si="104"/>
        <v>0</v>
      </c>
      <c r="EVR46" s="420">
        <f t="shared" si="104"/>
        <v>0</v>
      </c>
      <c r="EVS46" s="420">
        <f t="shared" si="104"/>
        <v>0</v>
      </c>
      <c r="EVT46" s="420">
        <f t="shared" si="104"/>
        <v>0</v>
      </c>
      <c r="EVU46" s="420">
        <f t="shared" ref="EVU46:EYF46" si="105">EVU45*0.8</f>
        <v>0</v>
      </c>
      <c r="EVV46" s="420">
        <f t="shared" si="105"/>
        <v>0</v>
      </c>
      <c r="EVW46" s="420">
        <f t="shared" si="105"/>
        <v>0</v>
      </c>
      <c r="EVX46" s="420">
        <f t="shared" si="105"/>
        <v>0</v>
      </c>
      <c r="EVY46" s="420">
        <f t="shared" si="105"/>
        <v>0</v>
      </c>
      <c r="EVZ46" s="420">
        <f t="shared" si="105"/>
        <v>0</v>
      </c>
      <c r="EWA46" s="420">
        <f t="shared" si="105"/>
        <v>0</v>
      </c>
      <c r="EWB46" s="420">
        <f t="shared" si="105"/>
        <v>0</v>
      </c>
      <c r="EWC46" s="420">
        <f t="shared" si="105"/>
        <v>0</v>
      </c>
      <c r="EWD46" s="420">
        <f t="shared" si="105"/>
        <v>0</v>
      </c>
      <c r="EWE46" s="420">
        <f t="shared" si="105"/>
        <v>0</v>
      </c>
      <c r="EWF46" s="420">
        <f t="shared" si="105"/>
        <v>0</v>
      </c>
      <c r="EWG46" s="420">
        <f t="shared" si="105"/>
        <v>0</v>
      </c>
      <c r="EWH46" s="420">
        <f t="shared" si="105"/>
        <v>0</v>
      </c>
      <c r="EWI46" s="420">
        <f t="shared" si="105"/>
        <v>0</v>
      </c>
      <c r="EWJ46" s="420">
        <f t="shared" si="105"/>
        <v>0</v>
      </c>
      <c r="EWK46" s="420">
        <f t="shared" si="105"/>
        <v>0</v>
      </c>
      <c r="EWL46" s="420">
        <f t="shared" si="105"/>
        <v>0</v>
      </c>
      <c r="EWM46" s="420">
        <f t="shared" si="105"/>
        <v>0</v>
      </c>
      <c r="EWN46" s="420">
        <f t="shared" si="105"/>
        <v>0</v>
      </c>
      <c r="EWO46" s="420">
        <f t="shared" si="105"/>
        <v>0</v>
      </c>
      <c r="EWP46" s="420">
        <f t="shared" si="105"/>
        <v>0</v>
      </c>
      <c r="EWQ46" s="420">
        <f t="shared" si="105"/>
        <v>0</v>
      </c>
      <c r="EWR46" s="420">
        <f t="shared" si="105"/>
        <v>0</v>
      </c>
      <c r="EWS46" s="420">
        <f t="shared" si="105"/>
        <v>0</v>
      </c>
      <c r="EWT46" s="420">
        <f t="shared" si="105"/>
        <v>0</v>
      </c>
      <c r="EWU46" s="420">
        <f t="shared" si="105"/>
        <v>0</v>
      </c>
      <c r="EWV46" s="420">
        <f t="shared" si="105"/>
        <v>0</v>
      </c>
      <c r="EWW46" s="420">
        <f t="shared" si="105"/>
        <v>0</v>
      </c>
      <c r="EWX46" s="420">
        <f t="shared" si="105"/>
        <v>0</v>
      </c>
      <c r="EWY46" s="420">
        <f t="shared" si="105"/>
        <v>0</v>
      </c>
      <c r="EWZ46" s="420">
        <f t="shared" si="105"/>
        <v>0</v>
      </c>
      <c r="EXA46" s="420">
        <f t="shared" si="105"/>
        <v>0</v>
      </c>
      <c r="EXB46" s="420">
        <f t="shared" si="105"/>
        <v>0</v>
      </c>
      <c r="EXC46" s="420">
        <f t="shared" si="105"/>
        <v>0</v>
      </c>
      <c r="EXD46" s="420">
        <f t="shared" si="105"/>
        <v>0</v>
      </c>
      <c r="EXE46" s="420">
        <f t="shared" si="105"/>
        <v>0</v>
      </c>
      <c r="EXF46" s="420">
        <f t="shared" si="105"/>
        <v>0</v>
      </c>
      <c r="EXG46" s="420">
        <f t="shared" si="105"/>
        <v>0</v>
      </c>
      <c r="EXH46" s="420">
        <f t="shared" si="105"/>
        <v>0</v>
      </c>
      <c r="EXI46" s="420">
        <f t="shared" si="105"/>
        <v>0</v>
      </c>
      <c r="EXJ46" s="420">
        <f t="shared" si="105"/>
        <v>0</v>
      </c>
      <c r="EXK46" s="420">
        <f t="shared" si="105"/>
        <v>0</v>
      </c>
      <c r="EXL46" s="420">
        <f t="shared" si="105"/>
        <v>0</v>
      </c>
      <c r="EXM46" s="420">
        <f t="shared" si="105"/>
        <v>0</v>
      </c>
      <c r="EXN46" s="420">
        <f t="shared" si="105"/>
        <v>0</v>
      </c>
      <c r="EXO46" s="420">
        <f t="shared" si="105"/>
        <v>0</v>
      </c>
      <c r="EXP46" s="420">
        <f t="shared" si="105"/>
        <v>0</v>
      </c>
      <c r="EXQ46" s="420">
        <f t="shared" si="105"/>
        <v>0</v>
      </c>
      <c r="EXR46" s="420">
        <f t="shared" si="105"/>
        <v>0</v>
      </c>
      <c r="EXS46" s="420">
        <f t="shared" si="105"/>
        <v>0</v>
      </c>
      <c r="EXT46" s="420">
        <f t="shared" si="105"/>
        <v>0</v>
      </c>
      <c r="EXU46" s="420">
        <f t="shared" si="105"/>
        <v>0</v>
      </c>
      <c r="EXV46" s="420">
        <f t="shared" si="105"/>
        <v>0</v>
      </c>
      <c r="EXW46" s="420">
        <f t="shared" si="105"/>
        <v>0</v>
      </c>
      <c r="EXX46" s="420">
        <f t="shared" si="105"/>
        <v>0</v>
      </c>
      <c r="EXY46" s="420">
        <f t="shared" si="105"/>
        <v>0</v>
      </c>
      <c r="EXZ46" s="420">
        <f t="shared" si="105"/>
        <v>0</v>
      </c>
      <c r="EYA46" s="420">
        <f t="shared" si="105"/>
        <v>0</v>
      </c>
      <c r="EYB46" s="420">
        <f t="shared" si="105"/>
        <v>0</v>
      </c>
      <c r="EYC46" s="420">
        <f t="shared" si="105"/>
        <v>0</v>
      </c>
      <c r="EYD46" s="420">
        <f t="shared" si="105"/>
        <v>0</v>
      </c>
      <c r="EYE46" s="420">
        <f t="shared" si="105"/>
        <v>0</v>
      </c>
      <c r="EYF46" s="420">
        <f t="shared" si="105"/>
        <v>0</v>
      </c>
      <c r="EYG46" s="420">
        <f t="shared" ref="EYG46:FAR46" si="106">EYG45*0.8</f>
        <v>0</v>
      </c>
      <c r="EYH46" s="420">
        <f t="shared" si="106"/>
        <v>0</v>
      </c>
      <c r="EYI46" s="420">
        <f t="shared" si="106"/>
        <v>0</v>
      </c>
      <c r="EYJ46" s="420">
        <f t="shared" si="106"/>
        <v>0</v>
      </c>
      <c r="EYK46" s="420">
        <f t="shared" si="106"/>
        <v>0</v>
      </c>
      <c r="EYL46" s="420">
        <f t="shared" si="106"/>
        <v>0</v>
      </c>
      <c r="EYM46" s="420">
        <f t="shared" si="106"/>
        <v>0</v>
      </c>
      <c r="EYN46" s="420">
        <f t="shared" si="106"/>
        <v>0</v>
      </c>
      <c r="EYO46" s="420">
        <f t="shared" si="106"/>
        <v>0</v>
      </c>
      <c r="EYP46" s="420">
        <f t="shared" si="106"/>
        <v>0</v>
      </c>
      <c r="EYQ46" s="420">
        <f t="shared" si="106"/>
        <v>0</v>
      </c>
      <c r="EYR46" s="420">
        <f t="shared" si="106"/>
        <v>0</v>
      </c>
      <c r="EYS46" s="420">
        <f t="shared" si="106"/>
        <v>0</v>
      </c>
      <c r="EYT46" s="420">
        <f t="shared" si="106"/>
        <v>0</v>
      </c>
      <c r="EYU46" s="420">
        <f t="shared" si="106"/>
        <v>0</v>
      </c>
      <c r="EYV46" s="420">
        <f t="shared" si="106"/>
        <v>0</v>
      </c>
      <c r="EYW46" s="420">
        <f t="shared" si="106"/>
        <v>0</v>
      </c>
      <c r="EYX46" s="420">
        <f t="shared" si="106"/>
        <v>0</v>
      </c>
      <c r="EYY46" s="420">
        <f t="shared" si="106"/>
        <v>0</v>
      </c>
      <c r="EYZ46" s="420">
        <f t="shared" si="106"/>
        <v>0</v>
      </c>
      <c r="EZA46" s="420">
        <f t="shared" si="106"/>
        <v>0</v>
      </c>
      <c r="EZB46" s="420">
        <f t="shared" si="106"/>
        <v>0</v>
      </c>
      <c r="EZC46" s="420">
        <f t="shared" si="106"/>
        <v>0</v>
      </c>
      <c r="EZD46" s="420">
        <f t="shared" si="106"/>
        <v>0</v>
      </c>
      <c r="EZE46" s="420">
        <f t="shared" si="106"/>
        <v>0</v>
      </c>
      <c r="EZF46" s="420">
        <f t="shared" si="106"/>
        <v>0</v>
      </c>
      <c r="EZG46" s="420">
        <f t="shared" si="106"/>
        <v>0</v>
      </c>
      <c r="EZH46" s="420">
        <f t="shared" si="106"/>
        <v>0</v>
      </c>
      <c r="EZI46" s="420">
        <f t="shared" si="106"/>
        <v>0</v>
      </c>
      <c r="EZJ46" s="420">
        <f t="shared" si="106"/>
        <v>0</v>
      </c>
      <c r="EZK46" s="420">
        <f t="shared" si="106"/>
        <v>0</v>
      </c>
      <c r="EZL46" s="420">
        <f t="shared" si="106"/>
        <v>0</v>
      </c>
      <c r="EZM46" s="420">
        <f t="shared" si="106"/>
        <v>0</v>
      </c>
      <c r="EZN46" s="420">
        <f t="shared" si="106"/>
        <v>0</v>
      </c>
      <c r="EZO46" s="420">
        <f t="shared" si="106"/>
        <v>0</v>
      </c>
      <c r="EZP46" s="420">
        <f t="shared" si="106"/>
        <v>0</v>
      </c>
      <c r="EZQ46" s="420">
        <f t="shared" si="106"/>
        <v>0</v>
      </c>
      <c r="EZR46" s="420">
        <f t="shared" si="106"/>
        <v>0</v>
      </c>
      <c r="EZS46" s="420">
        <f t="shared" si="106"/>
        <v>0</v>
      </c>
      <c r="EZT46" s="420">
        <f t="shared" si="106"/>
        <v>0</v>
      </c>
      <c r="EZU46" s="420">
        <f t="shared" si="106"/>
        <v>0</v>
      </c>
      <c r="EZV46" s="420">
        <f t="shared" si="106"/>
        <v>0</v>
      </c>
      <c r="EZW46" s="420">
        <f t="shared" si="106"/>
        <v>0</v>
      </c>
      <c r="EZX46" s="420">
        <f t="shared" si="106"/>
        <v>0</v>
      </c>
      <c r="EZY46" s="420">
        <f t="shared" si="106"/>
        <v>0</v>
      </c>
      <c r="EZZ46" s="420">
        <f t="shared" si="106"/>
        <v>0</v>
      </c>
      <c r="FAA46" s="420">
        <f t="shared" si="106"/>
        <v>0</v>
      </c>
      <c r="FAB46" s="420">
        <f t="shared" si="106"/>
        <v>0</v>
      </c>
      <c r="FAC46" s="420">
        <f t="shared" si="106"/>
        <v>0</v>
      </c>
      <c r="FAD46" s="420">
        <f t="shared" si="106"/>
        <v>0</v>
      </c>
      <c r="FAE46" s="420">
        <f t="shared" si="106"/>
        <v>0</v>
      </c>
      <c r="FAF46" s="420">
        <f t="shared" si="106"/>
        <v>0</v>
      </c>
      <c r="FAG46" s="420">
        <f t="shared" si="106"/>
        <v>0</v>
      </c>
      <c r="FAH46" s="420">
        <f t="shared" si="106"/>
        <v>0</v>
      </c>
      <c r="FAI46" s="420">
        <f t="shared" si="106"/>
        <v>0</v>
      </c>
      <c r="FAJ46" s="420">
        <f t="shared" si="106"/>
        <v>0</v>
      </c>
      <c r="FAK46" s="420">
        <f t="shared" si="106"/>
        <v>0</v>
      </c>
      <c r="FAL46" s="420">
        <f t="shared" si="106"/>
        <v>0</v>
      </c>
      <c r="FAM46" s="420">
        <f t="shared" si="106"/>
        <v>0</v>
      </c>
      <c r="FAN46" s="420">
        <f t="shared" si="106"/>
        <v>0</v>
      </c>
      <c r="FAO46" s="420">
        <f t="shared" si="106"/>
        <v>0</v>
      </c>
      <c r="FAP46" s="420">
        <f t="shared" si="106"/>
        <v>0</v>
      </c>
      <c r="FAQ46" s="420">
        <f t="shared" si="106"/>
        <v>0</v>
      </c>
      <c r="FAR46" s="420">
        <f t="shared" si="106"/>
        <v>0</v>
      </c>
      <c r="FAS46" s="420">
        <f t="shared" ref="FAS46:FDD46" si="107">FAS45*0.8</f>
        <v>0</v>
      </c>
      <c r="FAT46" s="420">
        <f t="shared" si="107"/>
        <v>0</v>
      </c>
      <c r="FAU46" s="420">
        <f t="shared" si="107"/>
        <v>0</v>
      </c>
      <c r="FAV46" s="420">
        <f t="shared" si="107"/>
        <v>0</v>
      </c>
      <c r="FAW46" s="420">
        <f t="shared" si="107"/>
        <v>0</v>
      </c>
      <c r="FAX46" s="420">
        <f t="shared" si="107"/>
        <v>0</v>
      </c>
      <c r="FAY46" s="420">
        <f t="shared" si="107"/>
        <v>0</v>
      </c>
      <c r="FAZ46" s="420">
        <f t="shared" si="107"/>
        <v>0</v>
      </c>
      <c r="FBA46" s="420">
        <f t="shared" si="107"/>
        <v>0</v>
      </c>
      <c r="FBB46" s="420">
        <f t="shared" si="107"/>
        <v>0</v>
      </c>
      <c r="FBC46" s="420">
        <f t="shared" si="107"/>
        <v>0</v>
      </c>
      <c r="FBD46" s="420">
        <f t="shared" si="107"/>
        <v>0</v>
      </c>
      <c r="FBE46" s="420">
        <f t="shared" si="107"/>
        <v>0</v>
      </c>
      <c r="FBF46" s="420">
        <f t="shared" si="107"/>
        <v>0</v>
      </c>
      <c r="FBG46" s="420">
        <f t="shared" si="107"/>
        <v>0</v>
      </c>
      <c r="FBH46" s="420">
        <f t="shared" si="107"/>
        <v>0</v>
      </c>
      <c r="FBI46" s="420">
        <f t="shared" si="107"/>
        <v>0</v>
      </c>
      <c r="FBJ46" s="420">
        <f t="shared" si="107"/>
        <v>0</v>
      </c>
      <c r="FBK46" s="420">
        <f t="shared" si="107"/>
        <v>0</v>
      </c>
      <c r="FBL46" s="420">
        <f t="shared" si="107"/>
        <v>0</v>
      </c>
      <c r="FBM46" s="420">
        <f t="shared" si="107"/>
        <v>0</v>
      </c>
      <c r="FBN46" s="420">
        <f t="shared" si="107"/>
        <v>0</v>
      </c>
      <c r="FBO46" s="420">
        <f t="shared" si="107"/>
        <v>0</v>
      </c>
      <c r="FBP46" s="420">
        <f t="shared" si="107"/>
        <v>0</v>
      </c>
      <c r="FBQ46" s="420">
        <f t="shared" si="107"/>
        <v>0</v>
      </c>
      <c r="FBR46" s="420">
        <f t="shared" si="107"/>
        <v>0</v>
      </c>
      <c r="FBS46" s="420">
        <f t="shared" si="107"/>
        <v>0</v>
      </c>
      <c r="FBT46" s="420">
        <f t="shared" si="107"/>
        <v>0</v>
      </c>
      <c r="FBU46" s="420">
        <f t="shared" si="107"/>
        <v>0</v>
      </c>
      <c r="FBV46" s="420">
        <f t="shared" si="107"/>
        <v>0</v>
      </c>
      <c r="FBW46" s="420">
        <f t="shared" si="107"/>
        <v>0</v>
      </c>
      <c r="FBX46" s="420">
        <f t="shared" si="107"/>
        <v>0</v>
      </c>
      <c r="FBY46" s="420">
        <f t="shared" si="107"/>
        <v>0</v>
      </c>
      <c r="FBZ46" s="420">
        <f t="shared" si="107"/>
        <v>0</v>
      </c>
      <c r="FCA46" s="420">
        <f t="shared" si="107"/>
        <v>0</v>
      </c>
      <c r="FCB46" s="420">
        <f t="shared" si="107"/>
        <v>0</v>
      </c>
      <c r="FCC46" s="420">
        <f t="shared" si="107"/>
        <v>0</v>
      </c>
      <c r="FCD46" s="420">
        <f t="shared" si="107"/>
        <v>0</v>
      </c>
      <c r="FCE46" s="420">
        <f t="shared" si="107"/>
        <v>0</v>
      </c>
      <c r="FCF46" s="420">
        <f t="shared" si="107"/>
        <v>0</v>
      </c>
      <c r="FCG46" s="420">
        <f t="shared" si="107"/>
        <v>0</v>
      </c>
      <c r="FCH46" s="420">
        <f t="shared" si="107"/>
        <v>0</v>
      </c>
      <c r="FCI46" s="420">
        <f t="shared" si="107"/>
        <v>0</v>
      </c>
      <c r="FCJ46" s="420">
        <f t="shared" si="107"/>
        <v>0</v>
      </c>
      <c r="FCK46" s="420">
        <f t="shared" si="107"/>
        <v>0</v>
      </c>
      <c r="FCL46" s="420">
        <f t="shared" si="107"/>
        <v>0</v>
      </c>
      <c r="FCM46" s="420">
        <f t="shared" si="107"/>
        <v>0</v>
      </c>
      <c r="FCN46" s="420">
        <f t="shared" si="107"/>
        <v>0</v>
      </c>
      <c r="FCO46" s="420">
        <f t="shared" si="107"/>
        <v>0</v>
      </c>
      <c r="FCP46" s="420">
        <f t="shared" si="107"/>
        <v>0</v>
      </c>
      <c r="FCQ46" s="420">
        <f t="shared" si="107"/>
        <v>0</v>
      </c>
      <c r="FCR46" s="420">
        <f t="shared" si="107"/>
        <v>0</v>
      </c>
      <c r="FCS46" s="420">
        <f t="shared" si="107"/>
        <v>0</v>
      </c>
      <c r="FCT46" s="420">
        <f t="shared" si="107"/>
        <v>0</v>
      </c>
      <c r="FCU46" s="420">
        <f t="shared" si="107"/>
        <v>0</v>
      </c>
      <c r="FCV46" s="420">
        <f t="shared" si="107"/>
        <v>0</v>
      </c>
      <c r="FCW46" s="420">
        <f t="shared" si="107"/>
        <v>0</v>
      </c>
      <c r="FCX46" s="420">
        <f t="shared" si="107"/>
        <v>0</v>
      </c>
      <c r="FCY46" s="420">
        <f t="shared" si="107"/>
        <v>0</v>
      </c>
      <c r="FCZ46" s="420">
        <f t="shared" si="107"/>
        <v>0</v>
      </c>
      <c r="FDA46" s="420">
        <f t="shared" si="107"/>
        <v>0</v>
      </c>
      <c r="FDB46" s="420">
        <f t="shared" si="107"/>
        <v>0</v>
      </c>
      <c r="FDC46" s="420">
        <f t="shared" si="107"/>
        <v>0</v>
      </c>
      <c r="FDD46" s="420">
        <f t="shared" si="107"/>
        <v>0</v>
      </c>
      <c r="FDE46" s="420">
        <f t="shared" ref="FDE46:FFP46" si="108">FDE45*0.8</f>
        <v>0</v>
      </c>
      <c r="FDF46" s="420">
        <f t="shared" si="108"/>
        <v>0</v>
      </c>
      <c r="FDG46" s="420">
        <f t="shared" si="108"/>
        <v>0</v>
      </c>
      <c r="FDH46" s="420">
        <f t="shared" si="108"/>
        <v>0</v>
      </c>
      <c r="FDI46" s="420">
        <f t="shared" si="108"/>
        <v>0</v>
      </c>
      <c r="FDJ46" s="420">
        <f t="shared" si="108"/>
        <v>0</v>
      </c>
      <c r="FDK46" s="420">
        <f t="shared" si="108"/>
        <v>0</v>
      </c>
      <c r="FDL46" s="420">
        <f t="shared" si="108"/>
        <v>0</v>
      </c>
      <c r="FDM46" s="420">
        <f t="shared" si="108"/>
        <v>0</v>
      </c>
      <c r="FDN46" s="420">
        <f t="shared" si="108"/>
        <v>0</v>
      </c>
      <c r="FDO46" s="420">
        <f t="shared" si="108"/>
        <v>0</v>
      </c>
      <c r="FDP46" s="420">
        <f t="shared" si="108"/>
        <v>0</v>
      </c>
      <c r="FDQ46" s="420">
        <f t="shared" si="108"/>
        <v>0</v>
      </c>
      <c r="FDR46" s="420">
        <f t="shared" si="108"/>
        <v>0</v>
      </c>
      <c r="FDS46" s="420">
        <f t="shared" si="108"/>
        <v>0</v>
      </c>
      <c r="FDT46" s="420">
        <f t="shared" si="108"/>
        <v>0</v>
      </c>
      <c r="FDU46" s="420">
        <f t="shared" si="108"/>
        <v>0</v>
      </c>
      <c r="FDV46" s="420">
        <f t="shared" si="108"/>
        <v>0</v>
      </c>
      <c r="FDW46" s="420">
        <f t="shared" si="108"/>
        <v>0</v>
      </c>
      <c r="FDX46" s="420">
        <f t="shared" si="108"/>
        <v>0</v>
      </c>
      <c r="FDY46" s="420">
        <f t="shared" si="108"/>
        <v>0</v>
      </c>
      <c r="FDZ46" s="420">
        <f t="shared" si="108"/>
        <v>0</v>
      </c>
      <c r="FEA46" s="420">
        <f t="shared" si="108"/>
        <v>0</v>
      </c>
      <c r="FEB46" s="420">
        <f t="shared" si="108"/>
        <v>0</v>
      </c>
      <c r="FEC46" s="420">
        <f t="shared" si="108"/>
        <v>0</v>
      </c>
      <c r="FED46" s="420">
        <f t="shared" si="108"/>
        <v>0</v>
      </c>
      <c r="FEE46" s="420">
        <f t="shared" si="108"/>
        <v>0</v>
      </c>
      <c r="FEF46" s="420">
        <f t="shared" si="108"/>
        <v>0</v>
      </c>
      <c r="FEG46" s="420">
        <f t="shared" si="108"/>
        <v>0</v>
      </c>
      <c r="FEH46" s="420">
        <f t="shared" si="108"/>
        <v>0</v>
      </c>
      <c r="FEI46" s="420">
        <f t="shared" si="108"/>
        <v>0</v>
      </c>
      <c r="FEJ46" s="420">
        <f t="shared" si="108"/>
        <v>0</v>
      </c>
      <c r="FEK46" s="420">
        <f t="shared" si="108"/>
        <v>0</v>
      </c>
      <c r="FEL46" s="420">
        <f t="shared" si="108"/>
        <v>0</v>
      </c>
      <c r="FEM46" s="420">
        <f t="shared" si="108"/>
        <v>0</v>
      </c>
      <c r="FEN46" s="420">
        <f t="shared" si="108"/>
        <v>0</v>
      </c>
      <c r="FEO46" s="420">
        <f t="shared" si="108"/>
        <v>0</v>
      </c>
      <c r="FEP46" s="420">
        <f t="shared" si="108"/>
        <v>0</v>
      </c>
      <c r="FEQ46" s="420">
        <f t="shared" si="108"/>
        <v>0</v>
      </c>
      <c r="FER46" s="420">
        <f t="shared" si="108"/>
        <v>0</v>
      </c>
      <c r="FES46" s="420">
        <f t="shared" si="108"/>
        <v>0</v>
      </c>
      <c r="FET46" s="420">
        <f t="shared" si="108"/>
        <v>0</v>
      </c>
      <c r="FEU46" s="420">
        <f t="shared" si="108"/>
        <v>0</v>
      </c>
      <c r="FEV46" s="420">
        <f t="shared" si="108"/>
        <v>0</v>
      </c>
      <c r="FEW46" s="420">
        <f t="shared" si="108"/>
        <v>0</v>
      </c>
      <c r="FEX46" s="420">
        <f t="shared" si="108"/>
        <v>0</v>
      </c>
      <c r="FEY46" s="420">
        <f t="shared" si="108"/>
        <v>0</v>
      </c>
      <c r="FEZ46" s="420">
        <f t="shared" si="108"/>
        <v>0</v>
      </c>
      <c r="FFA46" s="420">
        <f t="shared" si="108"/>
        <v>0</v>
      </c>
      <c r="FFB46" s="420">
        <f t="shared" si="108"/>
        <v>0</v>
      </c>
      <c r="FFC46" s="420">
        <f t="shared" si="108"/>
        <v>0</v>
      </c>
      <c r="FFD46" s="420">
        <f t="shared" si="108"/>
        <v>0</v>
      </c>
      <c r="FFE46" s="420">
        <f t="shared" si="108"/>
        <v>0</v>
      </c>
      <c r="FFF46" s="420">
        <f t="shared" si="108"/>
        <v>0</v>
      </c>
      <c r="FFG46" s="420">
        <f t="shared" si="108"/>
        <v>0</v>
      </c>
      <c r="FFH46" s="420">
        <f t="shared" si="108"/>
        <v>0</v>
      </c>
      <c r="FFI46" s="420">
        <f t="shared" si="108"/>
        <v>0</v>
      </c>
      <c r="FFJ46" s="420">
        <f t="shared" si="108"/>
        <v>0</v>
      </c>
      <c r="FFK46" s="420">
        <f t="shared" si="108"/>
        <v>0</v>
      </c>
      <c r="FFL46" s="420">
        <f t="shared" si="108"/>
        <v>0</v>
      </c>
      <c r="FFM46" s="420">
        <f t="shared" si="108"/>
        <v>0</v>
      </c>
      <c r="FFN46" s="420">
        <f t="shared" si="108"/>
        <v>0</v>
      </c>
      <c r="FFO46" s="420">
        <f t="shared" si="108"/>
        <v>0</v>
      </c>
      <c r="FFP46" s="420">
        <f t="shared" si="108"/>
        <v>0</v>
      </c>
      <c r="FFQ46" s="420">
        <f t="shared" ref="FFQ46:FIB46" si="109">FFQ45*0.8</f>
        <v>0</v>
      </c>
      <c r="FFR46" s="420">
        <f t="shared" si="109"/>
        <v>0</v>
      </c>
      <c r="FFS46" s="420">
        <f t="shared" si="109"/>
        <v>0</v>
      </c>
      <c r="FFT46" s="420">
        <f t="shared" si="109"/>
        <v>0</v>
      </c>
      <c r="FFU46" s="420">
        <f t="shared" si="109"/>
        <v>0</v>
      </c>
      <c r="FFV46" s="420">
        <f t="shared" si="109"/>
        <v>0</v>
      </c>
      <c r="FFW46" s="420">
        <f t="shared" si="109"/>
        <v>0</v>
      </c>
      <c r="FFX46" s="420">
        <f t="shared" si="109"/>
        <v>0</v>
      </c>
      <c r="FFY46" s="420">
        <f t="shared" si="109"/>
        <v>0</v>
      </c>
      <c r="FFZ46" s="420">
        <f t="shared" si="109"/>
        <v>0</v>
      </c>
      <c r="FGA46" s="420">
        <f t="shared" si="109"/>
        <v>0</v>
      </c>
      <c r="FGB46" s="420">
        <f t="shared" si="109"/>
        <v>0</v>
      </c>
      <c r="FGC46" s="420">
        <f t="shared" si="109"/>
        <v>0</v>
      </c>
      <c r="FGD46" s="420">
        <f t="shared" si="109"/>
        <v>0</v>
      </c>
      <c r="FGE46" s="420">
        <f t="shared" si="109"/>
        <v>0</v>
      </c>
      <c r="FGF46" s="420">
        <f t="shared" si="109"/>
        <v>0</v>
      </c>
      <c r="FGG46" s="420">
        <f t="shared" si="109"/>
        <v>0</v>
      </c>
      <c r="FGH46" s="420">
        <f t="shared" si="109"/>
        <v>0</v>
      </c>
      <c r="FGI46" s="420">
        <f t="shared" si="109"/>
        <v>0</v>
      </c>
      <c r="FGJ46" s="420">
        <f t="shared" si="109"/>
        <v>0</v>
      </c>
      <c r="FGK46" s="420">
        <f t="shared" si="109"/>
        <v>0</v>
      </c>
      <c r="FGL46" s="420">
        <f t="shared" si="109"/>
        <v>0</v>
      </c>
      <c r="FGM46" s="420">
        <f t="shared" si="109"/>
        <v>0</v>
      </c>
      <c r="FGN46" s="420">
        <f t="shared" si="109"/>
        <v>0</v>
      </c>
      <c r="FGO46" s="420">
        <f t="shared" si="109"/>
        <v>0</v>
      </c>
      <c r="FGP46" s="420">
        <f t="shared" si="109"/>
        <v>0</v>
      </c>
      <c r="FGQ46" s="420">
        <f t="shared" si="109"/>
        <v>0</v>
      </c>
      <c r="FGR46" s="420">
        <f t="shared" si="109"/>
        <v>0</v>
      </c>
      <c r="FGS46" s="420">
        <f t="shared" si="109"/>
        <v>0</v>
      </c>
      <c r="FGT46" s="420">
        <f t="shared" si="109"/>
        <v>0</v>
      </c>
      <c r="FGU46" s="420">
        <f t="shared" si="109"/>
        <v>0</v>
      </c>
      <c r="FGV46" s="420">
        <f t="shared" si="109"/>
        <v>0</v>
      </c>
      <c r="FGW46" s="420">
        <f t="shared" si="109"/>
        <v>0</v>
      </c>
      <c r="FGX46" s="420">
        <f t="shared" si="109"/>
        <v>0</v>
      </c>
      <c r="FGY46" s="420">
        <f t="shared" si="109"/>
        <v>0</v>
      </c>
      <c r="FGZ46" s="420">
        <f t="shared" si="109"/>
        <v>0</v>
      </c>
      <c r="FHA46" s="420">
        <f t="shared" si="109"/>
        <v>0</v>
      </c>
      <c r="FHB46" s="420">
        <f t="shared" si="109"/>
        <v>0</v>
      </c>
      <c r="FHC46" s="420">
        <f t="shared" si="109"/>
        <v>0</v>
      </c>
      <c r="FHD46" s="420">
        <f t="shared" si="109"/>
        <v>0</v>
      </c>
      <c r="FHE46" s="420">
        <f t="shared" si="109"/>
        <v>0</v>
      </c>
      <c r="FHF46" s="420">
        <f t="shared" si="109"/>
        <v>0</v>
      </c>
      <c r="FHG46" s="420">
        <f t="shared" si="109"/>
        <v>0</v>
      </c>
      <c r="FHH46" s="420">
        <f t="shared" si="109"/>
        <v>0</v>
      </c>
      <c r="FHI46" s="420">
        <f t="shared" si="109"/>
        <v>0</v>
      </c>
      <c r="FHJ46" s="420">
        <f t="shared" si="109"/>
        <v>0</v>
      </c>
      <c r="FHK46" s="420">
        <f t="shared" si="109"/>
        <v>0</v>
      </c>
      <c r="FHL46" s="420">
        <f t="shared" si="109"/>
        <v>0</v>
      </c>
      <c r="FHM46" s="420">
        <f t="shared" si="109"/>
        <v>0</v>
      </c>
      <c r="FHN46" s="420">
        <f t="shared" si="109"/>
        <v>0</v>
      </c>
      <c r="FHO46" s="420">
        <f t="shared" si="109"/>
        <v>0</v>
      </c>
      <c r="FHP46" s="420">
        <f t="shared" si="109"/>
        <v>0</v>
      </c>
      <c r="FHQ46" s="420">
        <f t="shared" si="109"/>
        <v>0</v>
      </c>
      <c r="FHR46" s="420">
        <f t="shared" si="109"/>
        <v>0</v>
      </c>
      <c r="FHS46" s="420">
        <f t="shared" si="109"/>
        <v>0</v>
      </c>
      <c r="FHT46" s="420">
        <f t="shared" si="109"/>
        <v>0</v>
      </c>
      <c r="FHU46" s="420">
        <f t="shared" si="109"/>
        <v>0</v>
      </c>
      <c r="FHV46" s="420">
        <f t="shared" si="109"/>
        <v>0</v>
      </c>
      <c r="FHW46" s="420">
        <f t="shared" si="109"/>
        <v>0</v>
      </c>
      <c r="FHX46" s="420">
        <f t="shared" si="109"/>
        <v>0</v>
      </c>
      <c r="FHY46" s="420">
        <f t="shared" si="109"/>
        <v>0</v>
      </c>
      <c r="FHZ46" s="420">
        <f t="shared" si="109"/>
        <v>0</v>
      </c>
      <c r="FIA46" s="420">
        <f t="shared" si="109"/>
        <v>0</v>
      </c>
      <c r="FIB46" s="420">
        <f t="shared" si="109"/>
        <v>0</v>
      </c>
      <c r="FIC46" s="420">
        <f t="shared" ref="FIC46:FKN46" si="110">FIC45*0.8</f>
        <v>0</v>
      </c>
      <c r="FID46" s="420">
        <f t="shared" si="110"/>
        <v>0</v>
      </c>
      <c r="FIE46" s="420">
        <f t="shared" si="110"/>
        <v>0</v>
      </c>
      <c r="FIF46" s="420">
        <f t="shared" si="110"/>
        <v>0</v>
      </c>
      <c r="FIG46" s="420">
        <f t="shared" si="110"/>
        <v>0</v>
      </c>
      <c r="FIH46" s="420">
        <f t="shared" si="110"/>
        <v>0</v>
      </c>
      <c r="FII46" s="420">
        <f t="shared" si="110"/>
        <v>0</v>
      </c>
      <c r="FIJ46" s="420">
        <f t="shared" si="110"/>
        <v>0</v>
      </c>
      <c r="FIK46" s="420">
        <f t="shared" si="110"/>
        <v>0</v>
      </c>
      <c r="FIL46" s="420">
        <f t="shared" si="110"/>
        <v>0</v>
      </c>
      <c r="FIM46" s="420">
        <f t="shared" si="110"/>
        <v>0</v>
      </c>
      <c r="FIN46" s="420">
        <f t="shared" si="110"/>
        <v>0</v>
      </c>
      <c r="FIO46" s="420">
        <f t="shared" si="110"/>
        <v>0</v>
      </c>
      <c r="FIP46" s="420">
        <f t="shared" si="110"/>
        <v>0</v>
      </c>
      <c r="FIQ46" s="420">
        <f t="shared" si="110"/>
        <v>0</v>
      </c>
      <c r="FIR46" s="420">
        <f t="shared" si="110"/>
        <v>0</v>
      </c>
      <c r="FIS46" s="420">
        <f t="shared" si="110"/>
        <v>0</v>
      </c>
      <c r="FIT46" s="420">
        <f t="shared" si="110"/>
        <v>0</v>
      </c>
      <c r="FIU46" s="420">
        <f t="shared" si="110"/>
        <v>0</v>
      </c>
      <c r="FIV46" s="420">
        <f t="shared" si="110"/>
        <v>0</v>
      </c>
      <c r="FIW46" s="420">
        <f t="shared" si="110"/>
        <v>0</v>
      </c>
      <c r="FIX46" s="420">
        <f t="shared" si="110"/>
        <v>0</v>
      </c>
      <c r="FIY46" s="420">
        <f t="shared" si="110"/>
        <v>0</v>
      </c>
      <c r="FIZ46" s="420">
        <f t="shared" si="110"/>
        <v>0</v>
      </c>
      <c r="FJA46" s="420">
        <f t="shared" si="110"/>
        <v>0</v>
      </c>
      <c r="FJB46" s="420">
        <f t="shared" si="110"/>
        <v>0</v>
      </c>
      <c r="FJC46" s="420">
        <f t="shared" si="110"/>
        <v>0</v>
      </c>
      <c r="FJD46" s="420">
        <f t="shared" si="110"/>
        <v>0</v>
      </c>
      <c r="FJE46" s="420">
        <f t="shared" si="110"/>
        <v>0</v>
      </c>
      <c r="FJF46" s="420">
        <f t="shared" si="110"/>
        <v>0</v>
      </c>
      <c r="FJG46" s="420">
        <f t="shared" si="110"/>
        <v>0</v>
      </c>
      <c r="FJH46" s="420">
        <f t="shared" si="110"/>
        <v>0</v>
      </c>
      <c r="FJI46" s="420">
        <f t="shared" si="110"/>
        <v>0</v>
      </c>
      <c r="FJJ46" s="420">
        <f t="shared" si="110"/>
        <v>0</v>
      </c>
      <c r="FJK46" s="420">
        <f t="shared" si="110"/>
        <v>0</v>
      </c>
      <c r="FJL46" s="420">
        <f t="shared" si="110"/>
        <v>0</v>
      </c>
      <c r="FJM46" s="420">
        <f t="shared" si="110"/>
        <v>0</v>
      </c>
      <c r="FJN46" s="420">
        <f t="shared" si="110"/>
        <v>0</v>
      </c>
      <c r="FJO46" s="420">
        <f t="shared" si="110"/>
        <v>0</v>
      </c>
      <c r="FJP46" s="420">
        <f t="shared" si="110"/>
        <v>0</v>
      </c>
      <c r="FJQ46" s="420">
        <f t="shared" si="110"/>
        <v>0</v>
      </c>
      <c r="FJR46" s="420">
        <f t="shared" si="110"/>
        <v>0</v>
      </c>
      <c r="FJS46" s="420">
        <f t="shared" si="110"/>
        <v>0</v>
      </c>
      <c r="FJT46" s="420">
        <f t="shared" si="110"/>
        <v>0</v>
      </c>
      <c r="FJU46" s="420">
        <f t="shared" si="110"/>
        <v>0</v>
      </c>
      <c r="FJV46" s="420">
        <f t="shared" si="110"/>
        <v>0</v>
      </c>
      <c r="FJW46" s="420">
        <f t="shared" si="110"/>
        <v>0</v>
      </c>
      <c r="FJX46" s="420">
        <f t="shared" si="110"/>
        <v>0</v>
      </c>
      <c r="FJY46" s="420">
        <f t="shared" si="110"/>
        <v>0</v>
      </c>
      <c r="FJZ46" s="420">
        <f t="shared" si="110"/>
        <v>0</v>
      </c>
      <c r="FKA46" s="420">
        <f t="shared" si="110"/>
        <v>0</v>
      </c>
      <c r="FKB46" s="420">
        <f t="shared" si="110"/>
        <v>0</v>
      </c>
      <c r="FKC46" s="420">
        <f t="shared" si="110"/>
        <v>0</v>
      </c>
      <c r="FKD46" s="420">
        <f t="shared" si="110"/>
        <v>0</v>
      </c>
      <c r="FKE46" s="420">
        <f t="shared" si="110"/>
        <v>0</v>
      </c>
      <c r="FKF46" s="420">
        <f t="shared" si="110"/>
        <v>0</v>
      </c>
      <c r="FKG46" s="420">
        <f t="shared" si="110"/>
        <v>0</v>
      </c>
      <c r="FKH46" s="420">
        <f t="shared" si="110"/>
        <v>0</v>
      </c>
      <c r="FKI46" s="420">
        <f t="shared" si="110"/>
        <v>0</v>
      </c>
      <c r="FKJ46" s="420">
        <f t="shared" si="110"/>
        <v>0</v>
      </c>
      <c r="FKK46" s="420">
        <f t="shared" si="110"/>
        <v>0</v>
      </c>
      <c r="FKL46" s="420">
        <f t="shared" si="110"/>
        <v>0</v>
      </c>
      <c r="FKM46" s="420">
        <f t="shared" si="110"/>
        <v>0</v>
      </c>
      <c r="FKN46" s="420">
        <f t="shared" si="110"/>
        <v>0</v>
      </c>
      <c r="FKO46" s="420">
        <f t="shared" ref="FKO46:FMZ46" si="111">FKO45*0.8</f>
        <v>0</v>
      </c>
      <c r="FKP46" s="420">
        <f t="shared" si="111"/>
        <v>0</v>
      </c>
      <c r="FKQ46" s="420">
        <f t="shared" si="111"/>
        <v>0</v>
      </c>
      <c r="FKR46" s="420">
        <f t="shared" si="111"/>
        <v>0</v>
      </c>
      <c r="FKS46" s="420">
        <f t="shared" si="111"/>
        <v>0</v>
      </c>
      <c r="FKT46" s="420">
        <f t="shared" si="111"/>
        <v>0</v>
      </c>
      <c r="FKU46" s="420">
        <f t="shared" si="111"/>
        <v>0</v>
      </c>
      <c r="FKV46" s="420">
        <f t="shared" si="111"/>
        <v>0</v>
      </c>
      <c r="FKW46" s="420">
        <f t="shared" si="111"/>
        <v>0</v>
      </c>
      <c r="FKX46" s="420">
        <f t="shared" si="111"/>
        <v>0</v>
      </c>
      <c r="FKY46" s="420">
        <f t="shared" si="111"/>
        <v>0</v>
      </c>
      <c r="FKZ46" s="420">
        <f t="shared" si="111"/>
        <v>0</v>
      </c>
      <c r="FLA46" s="420">
        <f t="shared" si="111"/>
        <v>0</v>
      </c>
      <c r="FLB46" s="420">
        <f t="shared" si="111"/>
        <v>0</v>
      </c>
      <c r="FLC46" s="420">
        <f t="shared" si="111"/>
        <v>0</v>
      </c>
      <c r="FLD46" s="420">
        <f t="shared" si="111"/>
        <v>0</v>
      </c>
      <c r="FLE46" s="420">
        <f t="shared" si="111"/>
        <v>0</v>
      </c>
      <c r="FLF46" s="420">
        <f t="shared" si="111"/>
        <v>0</v>
      </c>
      <c r="FLG46" s="420">
        <f t="shared" si="111"/>
        <v>0</v>
      </c>
      <c r="FLH46" s="420">
        <f t="shared" si="111"/>
        <v>0</v>
      </c>
      <c r="FLI46" s="420">
        <f t="shared" si="111"/>
        <v>0</v>
      </c>
      <c r="FLJ46" s="420">
        <f t="shared" si="111"/>
        <v>0</v>
      </c>
      <c r="FLK46" s="420">
        <f t="shared" si="111"/>
        <v>0</v>
      </c>
      <c r="FLL46" s="420">
        <f t="shared" si="111"/>
        <v>0</v>
      </c>
      <c r="FLM46" s="420">
        <f t="shared" si="111"/>
        <v>0</v>
      </c>
      <c r="FLN46" s="420">
        <f t="shared" si="111"/>
        <v>0</v>
      </c>
      <c r="FLO46" s="420">
        <f t="shared" si="111"/>
        <v>0</v>
      </c>
      <c r="FLP46" s="420">
        <f t="shared" si="111"/>
        <v>0</v>
      </c>
      <c r="FLQ46" s="420">
        <f t="shared" si="111"/>
        <v>0</v>
      </c>
      <c r="FLR46" s="420">
        <f t="shared" si="111"/>
        <v>0</v>
      </c>
      <c r="FLS46" s="420">
        <f t="shared" si="111"/>
        <v>0</v>
      </c>
      <c r="FLT46" s="420">
        <f t="shared" si="111"/>
        <v>0</v>
      </c>
      <c r="FLU46" s="420">
        <f t="shared" si="111"/>
        <v>0</v>
      </c>
      <c r="FLV46" s="420">
        <f t="shared" si="111"/>
        <v>0</v>
      </c>
      <c r="FLW46" s="420">
        <f t="shared" si="111"/>
        <v>0</v>
      </c>
      <c r="FLX46" s="420">
        <f t="shared" si="111"/>
        <v>0</v>
      </c>
      <c r="FLY46" s="420">
        <f t="shared" si="111"/>
        <v>0</v>
      </c>
      <c r="FLZ46" s="420">
        <f t="shared" si="111"/>
        <v>0</v>
      </c>
      <c r="FMA46" s="420">
        <f t="shared" si="111"/>
        <v>0</v>
      </c>
      <c r="FMB46" s="420">
        <f t="shared" si="111"/>
        <v>0</v>
      </c>
      <c r="FMC46" s="420">
        <f t="shared" si="111"/>
        <v>0</v>
      </c>
      <c r="FMD46" s="420">
        <f t="shared" si="111"/>
        <v>0</v>
      </c>
      <c r="FME46" s="420">
        <f t="shared" si="111"/>
        <v>0</v>
      </c>
      <c r="FMF46" s="420">
        <f t="shared" si="111"/>
        <v>0</v>
      </c>
      <c r="FMG46" s="420">
        <f t="shared" si="111"/>
        <v>0</v>
      </c>
      <c r="FMH46" s="420">
        <f t="shared" si="111"/>
        <v>0</v>
      </c>
      <c r="FMI46" s="420">
        <f t="shared" si="111"/>
        <v>0</v>
      </c>
      <c r="FMJ46" s="420">
        <f t="shared" si="111"/>
        <v>0</v>
      </c>
      <c r="FMK46" s="420">
        <f t="shared" si="111"/>
        <v>0</v>
      </c>
      <c r="FML46" s="420">
        <f t="shared" si="111"/>
        <v>0</v>
      </c>
      <c r="FMM46" s="420">
        <f t="shared" si="111"/>
        <v>0</v>
      </c>
      <c r="FMN46" s="420">
        <f t="shared" si="111"/>
        <v>0</v>
      </c>
      <c r="FMO46" s="420">
        <f t="shared" si="111"/>
        <v>0</v>
      </c>
      <c r="FMP46" s="420">
        <f t="shared" si="111"/>
        <v>0</v>
      </c>
      <c r="FMQ46" s="420">
        <f t="shared" si="111"/>
        <v>0</v>
      </c>
      <c r="FMR46" s="420">
        <f t="shared" si="111"/>
        <v>0</v>
      </c>
      <c r="FMS46" s="420">
        <f t="shared" si="111"/>
        <v>0</v>
      </c>
      <c r="FMT46" s="420">
        <f t="shared" si="111"/>
        <v>0</v>
      </c>
      <c r="FMU46" s="420">
        <f t="shared" si="111"/>
        <v>0</v>
      </c>
      <c r="FMV46" s="420">
        <f t="shared" si="111"/>
        <v>0</v>
      </c>
      <c r="FMW46" s="420">
        <f t="shared" si="111"/>
        <v>0</v>
      </c>
      <c r="FMX46" s="420">
        <f t="shared" si="111"/>
        <v>0</v>
      </c>
      <c r="FMY46" s="420">
        <f t="shared" si="111"/>
        <v>0</v>
      </c>
      <c r="FMZ46" s="420">
        <f t="shared" si="111"/>
        <v>0</v>
      </c>
      <c r="FNA46" s="420">
        <f t="shared" ref="FNA46:FPL46" si="112">FNA45*0.8</f>
        <v>0</v>
      </c>
      <c r="FNB46" s="420">
        <f t="shared" si="112"/>
        <v>0</v>
      </c>
      <c r="FNC46" s="420">
        <f t="shared" si="112"/>
        <v>0</v>
      </c>
      <c r="FND46" s="420">
        <f t="shared" si="112"/>
        <v>0</v>
      </c>
      <c r="FNE46" s="420">
        <f t="shared" si="112"/>
        <v>0</v>
      </c>
      <c r="FNF46" s="420">
        <f t="shared" si="112"/>
        <v>0</v>
      </c>
      <c r="FNG46" s="420">
        <f t="shared" si="112"/>
        <v>0</v>
      </c>
      <c r="FNH46" s="420">
        <f t="shared" si="112"/>
        <v>0</v>
      </c>
      <c r="FNI46" s="420">
        <f t="shared" si="112"/>
        <v>0</v>
      </c>
      <c r="FNJ46" s="420">
        <f t="shared" si="112"/>
        <v>0</v>
      </c>
      <c r="FNK46" s="420">
        <f t="shared" si="112"/>
        <v>0</v>
      </c>
      <c r="FNL46" s="420">
        <f t="shared" si="112"/>
        <v>0</v>
      </c>
      <c r="FNM46" s="420">
        <f t="shared" si="112"/>
        <v>0</v>
      </c>
      <c r="FNN46" s="420">
        <f t="shared" si="112"/>
        <v>0</v>
      </c>
      <c r="FNO46" s="420">
        <f t="shared" si="112"/>
        <v>0</v>
      </c>
      <c r="FNP46" s="420">
        <f t="shared" si="112"/>
        <v>0</v>
      </c>
      <c r="FNQ46" s="420">
        <f t="shared" si="112"/>
        <v>0</v>
      </c>
      <c r="FNR46" s="420">
        <f t="shared" si="112"/>
        <v>0</v>
      </c>
      <c r="FNS46" s="420">
        <f t="shared" si="112"/>
        <v>0</v>
      </c>
      <c r="FNT46" s="420">
        <f t="shared" si="112"/>
        <v>0</v>
      </c>
      <c r="FNU46" s="420">
        <f t="shared" si="112"/>
        <v>0</v>
      </c>
      <c r="FNV46" s="420">
        <f t="shared" si="112"/>
        <v>0</v>
      </c>
      <c r="FNW46" s="420">
        <f t="shared" si="112"/>
        <v>0</v>
      </c>
      <c r="FNX46" s="420">
        <f t="shared" si="112"/>
        <v>0</v>
      </c>
      <c r="FNY46" s="420">
        <f t="shared" si="112"/>
        <v>0</v>
      </c>
      <c r="FNZ46" s="420">
        <f t="shared" si="112"/>
        <v>0</v>
      </c>
      <c r="FOA46" s="420">
        <f t="shared" si="112"/>
        <v>0</v>
      </c>
      <c r="FOB46" s="420">
        <f t="shared" si="112"/>
        <v>0</v>
      </c>
      <c r="FOC46" s="420">
        <f t="shared" si="112"/>
        <v>0</v>
      </c>
      <c r="FOD46" s="420">
        <f t="shared" si="112"/>
        <v>0</v>
      </c>
      <c r="FOE46" s="420">
        <f t="shared" si="112"/>
        <v>0</v>
      </c>
      <c r="FOF46" s="420">
        <f t="shared" si="112"/>
        <v>0</v>
      </c>
      <c r="FOG46" s="420">
        <f t="shared" si="112"/>
        <v>0</v>
      </c>
      <c r="FOH46" s="420">
        <f t="shared" si="112"/>
        <v>0</v>
      </c>
      <c r="FOI46" s="420">
        <f t="shared" si="112"/>
        <v>0</v>
      </c>
      <c r="FOJ46" s="420">
        <f t="shared" si="112"/>
        <v>0</v>
      </c>
      <c r="FOK46" s="420">
        <f t="shared" si="112"/>
        <v>0</v>
      </c>
      <c r="FOL46" s="420">
        <f t="shared" si="112"/>
        <v>0</v>
      </c>
      <c r="FOM46" s="420">
        <f t="shared" si="112"/>
        <v>0</v>
      </c>
      <c r="FON46" s="420">
        <f t="shared" si="112"/>
        <v>0</v>
      </c>
      <c r="FOO46" s="420">
        <f t="shared" si="112"/>
        <v>0</v>
      </c>
      <c r="FOP46" s="420">
        <f t="shared" si="112"/>
        <v>0</v>
      </c>
      <c r="FOQ46" s="420">
        <f t="shared" si="112"/>
        <v>0</v>
      </c>
      <c r="FOR46" s="420">
        <f t="shared" si="112"/>
        <v>0</v>
      </c>
      <c r="FOS46" s="420">
        <f t="shared" si="112"/>
        <v>0</v>
      </c>
      <c r="FOT46" s="420">
        <f t="shared" si="112"/>
        <v>0</v>
      </c>
      <c r="FOU46" s="420">
        <f t="shared" si="112"/>
        <v>0</v>
      </c>
      <c r="FOV46" s="420">
        <f t="shared" si="112"/>
        <v>0</v>
      </c>
      <c r="FOW46" s="420">
        <f t="shared" si="112"/>
        <v>0</v>
      </c>
      <c r="FOX46" s="420">
        <f t="shared" si="112"/>
        <v>0</v>
      </c>
      <c r="FOY46" s="420">
        <f t="shared" si="112"/>
        <v>0</v>
      </c>
      <c r="FOZ46" s="420">
        <f t="shared" si="112"/>
        <v>0</v>
      </c>
      <c r="FPA46" s="420">
        <f t="shared" si="112"/>
        <v>0</v>
      </c>
      <c r="FPB46" s="420">
        <f t="shared" si="112"/>
        <v>0</v>
      </c>
      <c r="FPC46" s="420">
        <f t="shared" si="112"/>
        <v>0</v>
      </c>
      <c r="FPD46" s="420">
        <f t="shared" si="112"/>
        <v>0</v>
      </c>
      <c r="FPE46" s="420">
        <f t="shared" si="112"/>
        <v>0</v>
      </c>
      <c r="FPF46" s="420">
        <f t="shared" si="112"/>
        <v>0</v>
      </c>
      <c r="FPG46" s="420">
        <f t="shared" si="112"/>
        <v>0</v>
      </c>
      <c r="FPH46" s="420">
        <f t="shared" si="112"/>
        <v>0</v>
      </c>
      <c r="FPI46" s="420">
        <f t="shared" si="112"/>
        <v>0</v>
      </c>
      <c r="FPJ46" s="420">
        <f t="shared" si="112"/>
        <v>0</v>
      </c>
      <c r="FPK46" s="420">
        <f t="shared" si="112"/>
        <v>0</v>
      </c>
      <c r="FPL46" s="420">
        <f t="shared" si="112"/>
        <v>0</v>
      </c>
      <c r="FPM46" s="420">
        <f t="shared" ref="FPM46:FRX46" si="113">FPM45*0.8</f>
        <v>0</v>
      </c>
      <c r="FPN46" s="420">
        <f t="shared" si="113"/>
        <v>0</v>
      </c>
      <c r="FPO46" s="420">
        <f t="shared" si="113"/>
        <v>0</v>
      </c>
      <c r="FPP46" s="420">
        <f t="shared" si="113"/>
        <v>0</v>
      </c>
      <c r="FPQ46" s="420">
        <f t="shared" si="113"/>
        <v>0</v>
      </c>
      <c r="FPR46" s="420">
        <f t="shared" si="113"/>
        <v>0</v>
      </c>
      <c r="FPS46" s="420">
        <f t="shared" si="113"/>
        <v>0</v>
      </c>
      <c r="FPT46" s="420">
        <f t="shared" si="113"/>
        <v>0</v>
      </c>
      <c r="FPU46" s="420">
        <f t="shared" si="113"/>
        <v>0</v>
      </c>
      <c r="FPV46" s="420">
        <f t="shared" si="113"/>
        <v>0</v>
      </c>
      <c r="FPW46" s="420">
        <f t="shared" si="113"/>
        <v>0</v>
      </c>
      <c r="FPX46" s="420">
        <f t="shared" si="113"/>
        <v>0</v>
      </c>
      <c r="FPY46" s="420">
        <f t="shared" si="113"/>
        <v>0</v>
      </c>
      <c r="FPZ46" s="420">
        <f t="shared" si="113"/>
        <v>0</v>
      </c>
      <c r="FQA46" s="420">
        <f t="shared" si="113"/>
        <v>0</v>
      </c>
      <c r="FQB46" s="420">
        <f t="shared" si="113"/>
        <v>0</v>
      </c>
      <c r="FQC46" s="420">
        <f t="shared" si="113"/>
        <v>0</v>
      </c>
      <c r="FQD46" s="420">
        <f t="shared" si="113"/>
        <v>0</v>
      </c>
      <c r="FQE46" s="420">
        <f t="shared" si="113"/>
        <v>0</v>
      </c>
      <c r="FQF46" s="420">
        <f t="shared" si="113"/>
        <v>0</v>
      </c>
      <c r="FQG46" s="420">
        <f t="shared" si="113"/>
        <v>0</v>
      </c>
      <c r="FQH46" s="420">
        <f t="shared" si="113"/>
        <v>0</v>
      </c>
      <c r="FQI46" s="420">
        <f t="shared" si="113"/>
        <v>0</v>
      </c>
      <c r="FQJ46" s="420">
        <f t="shared" si="113"/>
        <v>0</v>
      </c>
      <c r="FQK46" s="420">
        <f t="shared" si="113"/>
        <v>0</v>
      </c>
      <c r="FQL46" s="420">
        <f t="shared" si="113"/>
        <v>0</v>
      </c>
      <c r="FQM46" s="420">
        <f t="shared" si="113"/>
        <v>0</v>
      </c>
      <c r="FQN46" s="420">
        <f t="shared" si="113"/>
        <v>0</v>
      </c>
      <c r="FQO46" s="420">
        <f t="shared" si="113"/>
        <v>0</v>
      </c>
      <c r="FQP46" s="420">
        <f t="shared" si="113"/>
        <v>0</v>
      </c>
      <c r="FQQ46" s="420">
        <f t="shared" si="113"/>
        <v>0</v>
      </c>
      <c r="FQR46" s="420">
        <f t="shared" si="113"/>
        <v>0</v>
      </c>
      <c r="FQS46" s="420">
        <f t="shared" si="113"/>
        <v>0</v>
      </c>
      <c r="FQT46" s="420">
        <f t="shared" si="113"/>
        <v>0</v>
      </c>
      <c r="FQU46" s="420">
        <f t="shared" si="113"/>
        <v>0</v>
      </c>
      <c r="FQV46" s="420">
        <f t="shared" si="113"/>
        <v>0</v>
      </c>
      <c r="FQW46" s="420">
        <f t="shared" si="113"/>
        <v>0</v>
      </c>
      <c r="FQX46" s="420">
        <f t="shared" si="113"/>
        <v>0</v>
      </c>
      <c r="FQY46" s="420">
        <f t="shared" si="113"/>
        <v>0</v>
      </c>
      <c r="FQZ46" s="420">
        <f t="shared" si="113"/>
        <v>0</v>
      </c>
      <c r="FRA46" s="420">
        <f t="shared" si="113"/>
        <v>0</v>
      </c>
      <c r="FRB46" s="420">
        <f t="shared" si="113"/>
        <v>0</v>
      </c>
      <c r="FRC46" s="420">
        <f t="shared" si="113"/>
        <v>0</v>
      </c>
      <c r="FRD46" s="420">
        <f t="shared" si="113"/>
        <v>0</v>
      </c>
      <c r="FRE46" s="420">
        <f t="shared" si="113"/>
        <v>0</v>
      </c>
      <c r="FRF46" s="420">
        <f t="shared" si="113"/>
        <v>0</v>
      </c>
      <c r="FRG46" s="420">
        <f t="shared" si="113"/>
        <v>0</v>
      </c>
      <c r="FRH46" s="420">
        <f t="shared" si="113"/>
        <v>0</v>
      </c>
      <c r="FRI46" s="420">
        <f t="shared" si="113"/>
        <v>0</v>
      </c>
      <c r="FRJ46" s="420">
        <f t="shared" si="113"/>
        <v>0</v>
      </c>
      <c r="FRK46" s="420">
        <f t="shared" si="113"/>
        <v>0</v>
      </c>
      <c r="FRL46" s="420">
        <f t="shared" si="113"/>
        <v>0</v>
      </c>
      <c r="FRM46" s="420">
        <f t="shared" si="113"/>
        <v>0</v>
      </c>
      <c r="FRN46" s="420">
        <f t="shared" si="113"/>
        <v>0</v>
      </c>
      <c r="FRO46" s="420">
        <f t="shared" si="113"/>
        <v>0</v>
      </c>
      <c r="FRP46" s="420">
        <f t="shared" si="113"/>
        <v>0</v>
      </c>
      <c r="FRQ46" s="420">
        <f t="shared" si="113"/>
        <v>0</v>
      </c>
      <c r="FRR46" s="420">
        <f t="shared" si="113"/>
        <v>0</v>
      </c>
      <c r="FRS46" s="420">
        <f t="shared" si="113"/>
        <v>0</v>
      </c>
      <c r="FRT46" s="420">
        <f t="shared" si="113"/>
        <v>0</v>
      </c>
      <c r="FRU46" s="420">
        <f t="shared" si="113"/>
        <v>0</v>
      </c>
      <c r="FRV46" s="420">
        <f t="shared" si="113"/>
        <v>0</v>
      </c>
      <c r="FRW46" s="420">
        <f t="shared" si="113"/>
        <v>0</v>
      </c>
      <c r="FRX46" s="420">
        <f t="shared" si="113"/>
        <v>0</v>
      </c>
      <c r="FRY46" s="420">
        <f t="shared" ref="FRY46:FUJ46" si="114">FRY45*0.8</f>
        <v>0</v>
      </c>
      <c r="FRZ46" s="420">
        <f t="shared" si="114"/>
        <v>0</v>
      </c>
      <c r="FSA46" s="420">
        <f t="shared" si="114"/>
        <v>0</v>
      </c>
      <c r="FSB46" s="420">
        <f t="shared" si="114"/>
        <v>0</v>
      </c>
      <c r="FSC46" s="420">
        <f t="shared" si="114"/>
        <v>0</v>
      </c>
      <c r="FSD46" s="420">
        <f t="shared" si="114"/>
        <v>0</v>
      </c>
      <c r="FSE46" s="420">
        <f t="shared" si="114"/>
        <v>0</v>
      </c>
      <c r="FSF46" s="420">
        <f t="shared" si="114"/>
        <v>0</v>
      </c>
      <c r="FSG46" s="420">
        <f t="shared" si="114"/>
        <v>0</v>
      </c>
      <c r="FSH46" s="420">
        <f t="shared" si="114"/>
        <v>0</v>
      </c>
      <c r="FSI46" s="420">
        <f t="shared" si="114"/>
        <v>0</v>
      </c>
      <c r="FSJ46" s="420">
        <f t="shared" si="114"/>
        <v>0</v>
      </c>
      <c r="FSK46" s="420">
        <f t="shared" si="114"/>
        <v>0</v>
      </c>
      <c r="FSL46" s="420">
        <f t="shared" si="114"/>
        <v>0</v>
      </c>
      <c r="FSM46" s="420">
        <f t="shared" si="114"/>
        <v>0</v>
      </c>
      <c r="FSN46" s="420">
        <f t="shared" si="114"/>
        <v>0</v>
      </c>
      <c r="FSO46" s="420">
        <f t="shared" si="114"/>
        <v>0</v>
      </c>
      <c r="FSP46" s="420">
        <f t="shared" si="114"/>
        <v>0</v>
      </c>
      <c r="FSQ46" s="420">
        <f t="shared" si="114"/>
        <v>0</v>
      </c>
      <c r="FSR46" s="420">
        <f t="shared" si="114"/>
        <v>0</v>
      </c>
      <c r="FSS46" s="420">
        <f t="shared" si="114"/>
        <v>0</v>
      </c>
      <c r="FST46" s="420">
        <f t="shared" si="114"/>
        <v>0</v>
      </c>
      <c r="FSU46" s="420">
        <f t="shared" si="114"/>
        <v>0</v>
      </c>
      <c r="FSV46" s="420">
        <f t="shared" si="114"/>
        <v>0</v>
      </c>
      <c r="FSW46" s="420">
        <f t="shared" si="114"/>
        <v>0</v>
      </c>
      <c r="FSX46" s="420">
        <f t="shared" si="114"/>
        <v>0</v>
      </c>
      <c r="FSY46" s="420">
        <f t="shared" si="114"/>
        <v>0</v>
      </c>
      <c r="FSZ46" s="420">
        <f t="shared" si="114"/>
        <v>0</v>
      </c>
      <c r="FTA46" s="420">
        <f t="shared" si="114"/>
        <v>0</v>
      </c>
      <c r="FTB46" s="420">
        <f t="shared" si="114"/>
        <v>0</v>
      </c>
      <c r="FTC46" s="420">
        <f t="shared" si="114"/>
        <v>0</v>
      </c>
      <c r="FTD46" s="420">
        <f t="shared" si="114"/>
        <v>0</v>
      </c>
      <c r="FTE46" s="420">
        <f t="shared" si="114"/>
        <v>0</v>
      </c>
      <c r="FTF46" s="420">
        <f t="shared" si="114"/>
        <v>0</v>
      </c>
      <c r="FTG46" s="420">
        <f t="shared" si="114"/>
        <v>0</v>
      </c>
      <c r="FTH46" s="420">
        <f t="shared" si="114"/>
        <v>0</v>
      </c>
      <c r="FTI46" s="420">
        <f t="shared" si="114"/>
        <v>0</v>
      </c>
      <c r="FTJ46" s="420">
        <f t="shared" si="114"/>
        <v>0</v>
      </c>
      <c r="FTK46" s="420">
        <f t="shared" si="114"/>
        <v>0</v>
      </c>
      <c r="FTL46" s="420">
        <f t="shared" si="114"/>
        <v>0</v>
      </c>
      <c r="FTM46" s="420">
        <f t="shared" si="114"/>
        <v>0</v>
      </c>
      <c r="FTN46" s="420">
        <f t="shared" si="114"/>
        <v>0</v>
      </c>
      <c r="FTO46" s="420">
        <f t="shared" si="114"/>
        <v>0</v>
      </c>
      <c r="FTP46" s="420">
        <f t="shared" si="114"/>
        <v>0</v>
      </c>
      <c r="FTQ46" s="420">
        <f t="shared" si="114"/>
        <v>0</v>
      </c>
      <c r="FTR46" s="420">
        <f t="shared" si="114"/>
        <v>0</v>
      </c>
      <c r="FTS46" s="420">
        <f t="shared" si="114"/>
        <v>0</v>
      </c>
      <c r="FTT46" s="420">
        <f t="shared" si="114"/>
        <v>0</v>
      </c>
      <c r="FTU46" s="420">
        <f t="shared" si="114"/>
        <v>0</v>
      </c>
      <c r="FTV46" s="420">
        <f t="shared" si="114"/>
        <v>0</v>
      </c>
      <c r="FTW46" s="420">
        <f t="shared" si="114"/>
        <v>0</v>
      </c>
      <c r="FTX46" s="420">
        <f t="shared" si="114"/>
        <v>0</v>
      </c>
      <c r="FTY46" s="420">
        <f t="shared" si="114"/>
        <v>0</v>
      </c>
      <c r="FTZ46" s="420">
        <f t="shared" si="114"/>
        <v>0</v>
      </c>
      <c r="FUA46" s="420">
        <f t="shared" si="114"/>
        <v>0</v>
      </c>
      <c r="FUB46" s="420">
        <f t="shared" si="114"/>
        <v>0</v>
      </c>
      <c r="FUC46" s="420">
        <f t="shared" si="114"/>
        <v>0</v>
      </c>
      <c r="FUD46" s="420">
        <f t="shared" si="114"/>
        <v>0</v>
      </c>
      <c r="FUE46" s="420">
        <f t="shared" si="114"/>
        <v>0</v>
      </c>
      <c r="FUF46" s="420">
        <f t="shared" si="114"/>
        <v>0</v>
      </c>
      <c r="FUG46" s="420">
        <f t="shared" si="114"/>
        <v>0</v>
      </c>
      <c r="FUH46" s="420">
        <f t="shared" si="114"/>
        <v>0</v>
      </c>
      <c r="FUI46" s="420">
        <f t="shared" si="114"/>
        <v>0</v>
      </c>
      <c r="FUJ46" s="420">
        <f t="shared" si="114"/>
        <v>0</v>
      </c>
      <c r="FUK46" s="420">
        <f t="shared" ref="FUK46:FWV46" si="115">FUK45*0.8</f>
        <v>0</v>
      </c>
      <c r="FUL46" s="420">
        <f t="shared" si="115"/>
        <v>0</v>
      </c>
      <c r="FUM46" s="420">
        <f t="shared" si="115"/>
        <v>0</v>
      </c>
      <c r="FUN46" s="420">
        <f t="shared" si="115"/>
        <v>0</v>
      </c>
      <c r="FUO46" s="420">
        <f t="shared" si="115"/>
        <v>0</v>
      </c>
      <c r="FUP46" s="420">
        <f t="shared" si="115"/>
        <v>0</v>
      </c>
      <c r="FUQ46" s="420">
        <f t="shared" si="115"/>
        <v>0</v>
      </c>
      <c r="FUR46" s="420">
        <f t="shared" si="115"/>
        <v>0</v>
      </c>
      <c r="FUS46" s="420">
        <f t="shared" si="115"/>
        <v>0</v>
      </c>
      <c r="FUT46" s="420">
        <f t="shared" si="115"/>
        <v>0</v>
      </c>
      <c r="FUU46" s="420">
        <f t="shared" si="115"/>
        <v>0</v>
      </c>
      <c r="FUV46" s="420">
        <f t="shared" si="115"/>
        <v>0</v>
      </c>
      <c r="FUW46" s="420">
        <f t="shared" si="115"/>
        <v>0</v>
      </c>
      <c r="FUX46" s="420">
        <f t="shared" si="115"/>
        <v>0</v>
      </c>
      <c r="FUY46" s="420">
        <f t="shared" si="115"/>
        <v>0</v>
      </c>
      <c r="FUZ46" s="420">
        <f t="shared" si="115"/>
        <v>0</v>
      </c>
      <c r="FVA46" s="420">
        <f t="shared" si="115"/>
        <v>0</v>
      </c>
      <c r="FVB46" s="420">
        <f t="shared" si="115"/>
        <v>0</v>
      </c>
      <c r="FVC46" s="420">
        <f t="shared" si="115"/>
        <v>0</v>
      </c>
      <c r="FVD46" s="420">
        <f t="shared" si="115"/>
        <v>0</v>
      </c>
      <c r="FVE46" s="420">
        <f t="shared" si="115"/>
        <v>0</v>
      </c>
      <c r="FVF46" s="420">
        <f t="shared" si="115"/>
        <v>0</v>
      </c>
      <c r="FVG46" s="420">
        <f t="shared" si="115"/>
        <v>0</v>
      </c>
      <c r="FVH46" s="420">
        <f t="shared" si="115"/>
        <v>0</v>
      </c>
      <c r="FVI46" s="420">
        <f t="shared" si="115"/>
        <v>0</v>
      </c>
      <c r="FVJ46" s="420">
        <f t="shared" si="115"/>
        <v>0</v>
      </c>
      <c r="FVK46" s="420">
        <f t="shared" si="115"/>
        <v>0</v>
      </c>
      <c r="FVL46" s="420">
        <f t="shared" si="115"/>
        <v>0</v>
      </c>
      <c r="FVM46" s="420">
        <f t="shared" si="115"/>
        <v>0</v>
      </c>
      <c r="FVN46" s="420">
        <f t="shared" si="115"/>
        <v>0</v>
      </c>
      <c r="FVO46" s="420">
        <f t="shared" si="115"/>
        <v>0</v>
      </c>
      <c r="FVP46" s="420">
        <f t="shared" si="115"/>
        <v>0</v>
      </c>
      <c r="FVQ46" s="420">
        <f t="shared" si="115"/>
        <v>0</v>
      </c>
      <c r="FVR46" s="420">
        <f t="shared" si="115"/>
        <v>0</v>
      </c>
      <c r="FVS46" s="420">
        <f t="shared" si="115"/>
        <v>0</v>
      </c>
      <c r="FVT46" s="420">
        <f t="shared" si="115"/>
        <v>0</v>
      </c>
      <c r="FVU46" s="420">
        <f t="shared" si="115"/>
        <v>0</v>
      </c>
      <c r="FVV46" s="420">
        <f t="shared" si="115"/>
        <v>0</v>
      </c>
      <c r="FVW46" s="420">
        <f t="shared" si="115"/>
        <v>0</v>
      </c>
      <c r="FVX46" s="420">
        <f t="shared" si="115"/>
        <v>0</v>
      </c>
      <c r="FVY46" s="420">
        <f t="shared" si="115"/>
        <v>0</v>
      </c>
      <c r="FVZ46" s="420">
        <f t="shared" si="115"/>
        <v>0</v>
      </c>
      <c r="FWA46" s="420">
        <f t="shared" si="115"/>
        <v>0</v>
      </c>
      <c r="FWB46" s="420">
        <f t="shared" si="115"/>
        <v>0</v>
      </c>
      <c r="FWC46" s="420">
        <f t="shared" si="115"/>
        <v>0</v>
      </c>
      <c r="FWD46" s="420">
        <f t="shared" si="115"/>
        <v>0</v>
      </c>
      <c r="FWE46" s="420">
        <f t="shared" si="115"/>
        <v>0</v>
      </c>
      <c r="FWF46" s="420">
        <f t="shared" si="115"/>
        <v>0</v>
      </c>
      <c r="FWG46" s="420">
        <f t="shared" si="115"/>
        <v>0</v>
      </c>
      <c r="FWH46" s="420">
        <f t="shared" si="115"/>
        <v>0</v>
      </c>
      <c r="FWI46" s="420">
        <f t="shared" si="115"/>
        <v>0</v>
      </c>
      <c r="FWJ46" s="420">
        <f t="shared" si="115"/>
        <v>0</v>
      </c>
      <c r="FWK46" s="420">
        <f t="shared" si="115"/>
        <v>0</v>
      </c>
      <c r="FWL46" s="420">
        <f t="shared" si="115"/>
        <v>0</v>
      </c>
      <c r="FWM46" s="420">
        <f t="shared" si="115"/>
        <v>0</v>
      </c>
      <c r="FWN46" s="420">
        <f t="shared" si="115"/>
        <v>0</v>
      </c>
      <c r="FWO46" s="420">
        <f t="shared" si="115"/>
        <v>0</v>
      </c>
      <c r="FWP46" s="420">
        <f t="shared" si="115"/>
        <v>0</v>
      </c>
      <c r="FWQ46" s="420">
        <f t="shared" si="115"/>
        <v>0</v>
      </c>
      <c r="FWR46" s="420">
        <f t="shared" si="115"/>
        <v>0</v>
      </c>
      <c r="FWS46" s="420">
        <f t="shared" si="115"/>
        <v>0</v>
      </c>
      <c r="FWT46" s="420">
        <f t="shared" si="115"/>
        <v>0</v>
      </c>
      <c r="FWU46" s="420">
        <f t="shared" si="115"/>
        <v>0</v>
      </c>
      <c r="FWV46" s="420">
        <f t="shared" si="115"/>
        <v>0</v>
      </c>
      <c r="FWW46" s="420">
        <f t="shared" ref="FWW46:FZH46" si="116">FWW45*0.8</f>
        <v>0</v>
      </c>
      <c r="FWX46" s="420">
        <f t="shared" si="116"/>
        <v>0</v>
      </c>
      <c r="FWY46" s="420">
        <f t="shared" si="116"/>
        <v>0</v>
      </c>
      <c r="FWZ46" s="420">
        <f t="shared" si="116"/>
        <v>0</v>
      </c>
      <c r="FXA46" s="420">
        <f t="shared" si="116"/>
        <v>0</v>
      </c>
      <c r="FXB46" s="420">
        <f t="shared" si="116"/>
        <v>0</v>
      </c>
      <c r="FXC46" s="420">
        <f t="shared" si="116"/>
        <v>0</v>
      </c>
      <c r="FXD46" s="420">
        <f t="shared" si="116"/>
        <v>0</v>
      </c>
      <c r="FXE46" s="420">
        <f t="shared" si="116"/>
        <v>0</v>
      </c>
      <c r="FXF46" s="420">
        <f t="shared" si="116"/>
        <v>0</v>
      </c>
      <c r="FXG46" s="420">
        <f t="shared" si="116"/>
        <v>0</v>
      </c>
      <c r="FXH46" s="420">
        <f t="shared" si="116"/>
        <v>0</v>
      </c>
      <c r="FXI46" s="420">
        <f t="shared" si="116"/>
        <v>0</v>
      </c>
      <c r="FXJ46" s="420">
        <f t="shared" si="116"/>
        <v>0</v>
      </c>
      <c r="FXK46" s="420">
        <f t="shared" si="116"/>
        <v>0</v>
      </c>
      <c r="FXL46" s="420">
        <f t="shared" si="116"/>
        <v>0</v>
      </c>
      <c r="FXM46" s="420">
        <f t="shared" si="116"/>
        <v>0</v>
      </c>
      <c r="FXN46" s="420">
        <f t="shared" si="116"/>
        <v>0</v>
      </c>
      <c r="FXO46" s="420">
        <f t="shared" si="116"/>
        <v>0</v>
      </c>
      <c r="FXP46" s="420">
        <f t="shared" si="116"/>
        <v>0</v>
      </c>
      <c r="FXQ46" s="420">
        <f t="shared" si="116"/>
        <v>0</v>
      </c>
      <c r="FXR46" s="420">
        <f t="shared" si="116"/>
        <v>0</v>
      </c>
      <c r="FXS46" s="420">
        <f t="shared" si="116"/>
        <v>0</v>
      </c>
      <c r="FXT46" s="420">
        <f t="shared" si="116"/>
        <v>0</v>
      </c>
      <c r="FXU46" s="420">
        <f t="shared" si="116"/>
        <v>0</v>
      </c>
      <c r="FXV46" s="420">
        <f t="shared" si="116"/>
        <v>0</v>
      </c>
      <c r="FXW46" s="420">
        <f t="shared" si="116"/>
        <v>0</v>
      </c>
      <c r="FXX46" s="420">
        <f t="shared" si="116"/>
        <v>0</v>
      </c>
      <c r="FXY46" s="420">
        <f t="shared" si="116"/>
        <v>0</v>
      </c>
      <c r="FXZ46" s="420">
        <f t="shared" si="116"/>
        <v>0</v>
      </c>
      <c r="FYA46" s="420">
        <f t="shared" si="116"/>
        <v>0</v>
      </c>
      <c r="FYB46" s="420">
        <f t="shared" si="116"/>
        <v>0</v>
      </c>
      <c r="FYC46" s="420">
        <f t="shared" si="116"/>
        <v>0</v>
      </c>
      <c r="FYD46" s="420">
        <f t="shared" si="116"/>
        <v>0</v>
      </c>
      <c r="FYE46" s="420">
        <f t="shared" si="116"/>
        <v>0</v>
      </c>
      <c r="FYF46" s="420">
        <f t="shared" si="116"/>
        <v>0</v>
      </c>
      <c r="FYG46" s="420">
        <f t="shared" si="116"/>
        <v>0</v>
      </c>
      <c r="FYH46" s="420">
        <f t="shared" si="116"/>
        <v>0</v>
      </c>
      <c r="FYI46" s="420">
        <f t="shared" si="116"/>
        <v>0</v>
      </c>
      <c r="FYJ46" s="420">
        <f t="shared" si="116"/>
        <v>0</v>
      </c>
      <c r="FYK46" s="420">
        <f t="shared" si="116"/>
        <v>0</v>
      </c>
      <c r="FYL46" s="420">
        <f t="shared" si="116"/>
        <v>0</v>
      </c>
      <c r="FYM46" s="420">
        <f t="shared" si="116"/>
        <v>0</v>
      </c>
      <c r="FYN46" s="420">
        <f t="shared" si="116"/>
        <v>0</v>
      </c>
      <c r="FYO46" s="420">
        <f t="shared" si="116"/>
        <v>0</v>
      </c>
      <c r="FYP46" s="420">
        <f t="shared" si="116"/>
        <v>0</v>
      </c>
      <c r="FYQ46" s="420">
        <f t="shared" si="116"/>
        <v>0</v>
      </c>
      <c r="FYR46" s="420">
        <f t="shared" si="116"/>
        <v>0</v>
      </c>
      <c r="FYS46" s="420">
        <f t="shared" si="116"/>
        <v>0</v>
      </c>
      <c r="FYT46" s="420">
        <f t="shared" si="116"/>
        <v>0</v>
      </c>
      <c r="FYU46" s="420">
        <f t="shared" si="116"/>
        <v>0</v>
      </c>
      <c r="FYV46" s="420">
        <f t="shared" si="116"/>
        <v>0</v>
      </c>
      <c r="FYW46" s="420">
        <f t="shared" si="116"/>
        <v>0</v>
      </c>
      <c r="FYX46" s="420">
        <f t="shared" si="116"/>
        <v>0</v>
      </c>
      <c r="FYY46" s="420">
        <f t="shared" si="116"/>
        <v>0</v>
      </c>
      <c r="FYZ46" s="420">
        <f t="shared" si="116"/>
        <v>0</v>
      </c>
      <c r="FZA46" s="420">
        <f t="shared" si="116"/>
        <v>0</v>
      </c>
      <c r="FZB46" s="420">
        <f t="shared" si="116"/>
        <v>0</v>
      </c>
      <c r="FZC46" s="420">
        <f t="shared" si="116"/>
        <v>0</v>
      </c>
      <c r="FZD46" s="420">
        <f t="shared" si="116"/>
        <v>0</v>
      </c>
      <c r="FZE46" s="420">
        <f t="shared" si="116"/>
        <v>0</v>
      </c>
      <c r="FZF46" s="420">
        <f t="shared" si="116"/>
        <v>0</v>
      </c>
      <c r="FZG46" s="420">
        <f t="shared" si="116"/>
        <v>0</v>
      </c>
      <c r="FZH46" s="420">
        <f t="shared" si="116"/>
        <v>0</v>
      </c>
      <c r="FZI46" s="420">
        <f t="shared" ref="FZI46:GBT46" si="117">FZI45*0.8</f>
        <v>0</v>
      </c>
      <c r="FZJ46" s="420">
        <f t="shared" si="117"/>
        <v>0</v>
      </c>
      <c r="FZK46" s="420">
        <f t="shared" si="117"/>
        <v>0</v>
      </c>
      <c r="FZL46" s="420">
        <f t="shared" si="117"/>
        <v>0</v>
      </c>
      <c r="FZM46" s="420">
        <f t="shared" si="117"/>
        <v>0</v>
      </c>
      <c r="FZN46" s="420">
        <f t="shared" si="117"/>
        <v>0</v>
      </c>
      <c r="FZO46" s="420">
        <f t="shared" si="117"/>
        <v>0</v>
      </c>
      <c r="FZP46" s="420">
        <f t="shared" si="117"/>
        <v>0</v>
      </c>
      <c r="FZQ46" s="420">
        <f t="shared" si="117"/>
        <v>0</v>
      </c>
      <c r="FZR46" s="420">
        <f t="shared" si="117"/>
        <v>0</v>
      </c>
      <c r="FZS46" s="420">
        <f t="shared" si="117"/>
        <v>0</v>
      </c>
      <c r="FZT46" s="420">
        <f t="shared" si="117"/>
        <v>0</v>
      </c>
      <c r="FZU46" s="420">
        <f t="shared" si="117"/>
        <v>0</v>
      </c>
      <c r="FZV46" s="420">
        <f t="shared" si="117"/>
        <v>0</v>
      </c>
      <c r="FZW46" s="420">
        <f t="shared" si="117"/>
        <v>0</v>
      </c>
      <c r="FZX46" s="420">
        <f t="shared" si="117"/>
        <v>0</v>
      </c>
      <c r="FZY46" s="420">
        <f t="shared" si="117"/>
        <v>0</v>
      </c>
      <c r="FZZ46" s="420">
        <f t="shared" si="117"/>
        <v>0</v>
      </c>
      <c r="GAA46" s="420">
        <f t="shared" si="117"/>
        <v>0</v>
      </c>
      <c r="GAB46" s="420">
        <f t="shared" si="117"/>
        <v>0</v>
      </c>
      <c r="GAC46" s="420">
        <f t="shared" si="117"/>
        <v>0</v>
      </c>
      <c r="GAD46" s="420">
        <f t="shared" si="117"/>
        <v>0</v>
      </c>
      <c r="GAE46" s="420">
        <f t="shared" si="117"/>
        <v>0</v>
      </c>
      <c r="GAF46" s="420">
        <f t="shared" si="117"/>
        <v>0</v>
      </c>
      <c r="GAG46" s="420">
        <f t="shared" si="117"/>
        <v>0</v>
      </c>
      <c r="GAH46" s="420">
        <f t="shared" si="117"/>
        <v>0</v>
      </c>
      <c r="GAI46" s="420">
        <f t="shared" si="117"/>
        <v>0</v>
      </c>
      <c r="GAJ46" s="420">
        <f t="shared" si="117"/>
        <v>0</v>
      </c>
      <c r="GAK46" s="420">
        <f t="shared" si="117"/>
        <v>0</v>
      </c>
      <c r="GAL46" s="420">
        <f t="shared" si="117"/>
        <v>0</v>
      </c>
      <c r="GAM46" s="420">
        <f t="shared" si="117"/>
        <v>0</v>
      </c>
      <c r="GAN46" s="420">
        <f t="shared" si="117"/>
        <v>0</v>
      </c>
      <c r="GAO46" s="420">
        <f t="shared" si="117"/>
        <v>0</v>
      </c>
      <c r="GAP46" s="420">
        <f t="shared" si="117"/>
        <v>0</v>
      </c>
      <c r="GAQ46" s="420">
        <f t="shared" si="117"/>
        <v>0</v>
      </c>
      <c r="GAR46" s="420">
        <f t="shared" si="117"/>
        <v>0</v>
      </c>
      <c r="GAS46" s="420">
        <f t="shared" si="117"/>
        <v>0</v>
      </c>
      <c r="GAT46" s="420">
        <f t="shared" si="117"/>
        <v>0</v>
      </c>
      <c r="GAU46" s="420">
        <f t="shared" si="117"/>
        <v>0</v>
      </c>
      <c r="GAV46" s="420">
        <f t="shared" si="117"/>
        <v>0</v>
      </c>
      <c r="GAW46" s="420">
        <f t="shared" si="117"/>
        <v>0</v>
      </c>
      <c r="GAX46" s="420">
        <f t="shared" si="117"/>
        <v>0</v>
      </c>
      <c r="GAY46" s="420">
        <f t="shared" si="117"/>
        <v>0</v>
      </c>
      <c r="GAZ46" s="420">
        <f t="shared" si="117"/>
        <v>0</v>
      </c>
      <c r="GBA46" s="420">
        <f t="shared" si="117"/>
        <v>0</v>
      </c>
      <c r="GBB46" s="420">
        <f t="shared" si="117"/>
        <v>0</v>
      </c>
      <c r="GBC46" s="420">
        <f t="shared" si="117"/>
        <v>0</v>
      </c>
      <c r="GBD46" s="420">
        <f t="shared" si="117"/>
        <v>0</v>
      </c>
      <c r="GBE46" s="420">
        <f t="shared" si="117"/>
        <v>0</v>
      </c>
      <c r="GBF46" s="420">
        <f t="shared" si="117"/>
        <v>0</v>
      </c>
      <c r="GBG46" s="420">
        <f t="shared" si="117"/>
        <v>0</v>
      </c>
      <c r="GBH46" s="420">
        <f t="shared" si="117"/>
        <v>0</v>
      </c>
      <c r="GBI46" s="420">
        <f t="shared" si="117"/>
        <v>0</v>
      </c>
      <c r="GBJ46" s="420">
        <f t="shared" si="117"/>
        <v>0</v>
      </c>
      <c r="GBK46" s="420">
        <f t="shared" si="117"/>
        <v>0</v>
      </c>
      <c r="GBL46" s="420">
        <f t="shared" si="117"/>
        <v>0</v>
      </c>
      <c r="GBM46" s="420">
        <f t="shared" si="117"/>
        <v>0</v>
      </c>
      <c r="GBN46" s="420">
        <f t="shared" si="117"/>
        <v>0</v>
      </c>
      <c r="GBO46" s="420">
        <f t="shared" si="117"/>
        <v>0</v>
      </c>
      <c r="GBP46" s="420">
        <f t="shared" si="117"/>
        <v>0</v>
      </c>
      <c r="GBQ46" s="420">
        <f t="shared" si="117"/>
        <v>0</v>
      </c>
      <c r="GBR46" s="420">
        <f t="shared" si="117"/>
        <v>0</v>
      </c>
      <c r="GBS46" s="420">
        <f t="shared" si="117"/>
        <v>0</v>
      </c>
      <c r="GBT46" s="420">
        <f t="shared" si="117"/>
        <v>0</v>
      </c>
      <c r="GBU46" s="420">
        <f t="shared" ref="GBU46:GEF46" si="118">GBU45*0.8</f>
        <v>0</v>
      </c>
      <c r="GBV46" s="420">
        <f t="shared" si="118"/>
        <v>0</v>
      </c>
      <c r="GBW46" s="420">
        <f t="shared" si="118"/>
        <v>0</v>
      </c>
      <c r="GBX46" s="420">
        <f t="shared" si="118"/>
        <v>0</v>
      </c>
      <c r="GBY46" s="420">
        <f t="shared" si="118"/>
        <v>0</v>
      </c>
      <c r="GBZ46" s="420">
        <f t="shared" si="118"/>
        <v>0</v>
      </c>
      <c r="GCA46" s="420">
        <f t="shared" si="118"/>
        <v>0</v>
      </c>
      <c r="GCB46" s="420">
        <f t="shared" si="118"/>
        <v>0</v>
      </c>
      <c r="GCC46" s="420">
        <f t="shared" si="118"/>
        <v>0</v>
      </c>
      <c r="GCD46" s="420">
        <f t="shared" si="118"/>
        <v>0</v>
      </c>
      <c r="GCE46" s="420">
        <f t="shared" si="118"/>
        <v>0</v>
      </c>
      <c r="GCF46" s="420">
        <f t="shared" si="118"/>
        <v>0</v>
      </c>
      <c r="GCG46" s="420">
        <f t="shared" si="118"/>
        <v>0</v>
      </c>
      <c r="GCH46" s="420">
        <f t="shared" si="118"/>
        <v>0</v>
      </c>
      <c r="GCI46" s="420">
        <f t="shared" si="118"/>
        <v>0</v>
      </c>
      <c r="GCJ46" s="420">
        <f t="shared" si="118"/>
        <v>0</v>
      </c>
      <c r="GCK46" s="420">
        <f t="shared" si="118"/>
        <v>0</v>
      </c>
      <c r="GCL46" s="420">
        <f t="shared" si="118"/>
        <v>0</v>
      </c>
      <c r="GCM46" s="420">
        <f t="shared" si="118"/>
        <v>0</v>
      </c>
      <c r="GCN46" s="420">
        <f t="shared" si="118"/>
        <v>0</v>
      </c>
      <c r="GCO46" s="420">
        <f t="shared" si="118"/>
        <v>0</v>
      </c>
      <c r="GCP46" s="420">
        <f t="shared" si="118"/>
        <v>0</v>
      </c>
      <c r="GCQ46" s="420">
        <f t="shared" si="118"/>
        <v>0</v>
      </c>
      <c r="GCR46" s="420">
        <f t="shared" si="118"/>
        <v>0</v>
      </c>
      <c r="GCS46" s="420">
        <f t="shared" si="118"/>
        <v>0</v>
      </c>
      <c r="GCT46" s="420">
        <f t="shared" si="118"/>
        <v>0</v>
      </c>
      <c r="GCU46" s="420">
        <f t="shared" si="118"/>
        <v>0</v>
      </c>
      <c r="GCV46" s="420">
        <f t="shared" si="118"/>
        <v>0</v>
      </c>
      <c r="GCW46" s="420">
        <f t="shared" si="118"/>
        <v>0</v>
      </c>
      <c r="GCX46" s="420">
        <f t="shared" si="118"/>
        <v>0</v>
      </c>
      <c r="GCY46" s="420">
        <f t="shared" si="118"/>
        <v>0</v>
      </c>
      <c r="GCZ46" s="420">
        <f t="shared" si="118"/>
        <v>0</v>
      </c>
      <c r="GDA46" s="420">
        <f t="shared" si="118"/>
        <v>0</v>
      </c>
      <c r="GDB46" s="420">
        <f t="shared" si="118"/>
        <v>0</v>
      </c>
      <c r="GDC46" s="420">
        <f t="shared" si="118"/>
        <v>0</v>
      </c>
      <c r="GDD46" s="420">
        <f t="shared" si="118"/>
        <v>0</v>
      </c>
      <c r="GDE46" s="420">
        <f t="shared" si="118"/>
        <v>0</v>
      </c>
      <c r="GDF46" s="420">
        <f t="shared" si="118"/>
        <v>0</v>
      </c>
      <c r="GDG46" s="420">
        <f t="shared" si="118"/>
        <v>0</v>
      </c>
      <c r="GDH46" s="420">
        <f t="shared" si="118"/>
        <v>0</v>
      </c>
      <c r="GDI46" s="420">
        <f t="shared" si="118"/>
        <v>0</v>
      </c>
      <c r="GDJ46" s="420">
        <f t="shared" si="118"/>
        <v>0</v>
      </c>
      <c r="GDK46" s="420">
        <f t="shared" si="118"/>
        <v>0</v>
      </c>
      <c r="GDL46" s="420">
        <f t="shared" si="118"/>
        <v>0</v>
      </c>
      <c r="GDM46" s="420">
        <f t="shared" si="118"/>
        <v>0</v>
      </c>
      <c r="GDN46" s="420">
        <f t="shared" si="118"/>
        <v>0</v>
      </c>
      <c r="GDO46" s="420">
        <f t="shared" si="118"/>
        <v>0</v>
      </c>
      <c r="GDP46" s="420">
        <f t="shared" si="118"/>
        <v>0</v>
      </c>
      <c r="GDQ46" s="420">
        <f t="shared" si="118"/>
        <v>0</v>
      </c>
      <c r="GDR46" s="420">
        <f t="shared" si="118"/>
        <v>0</v>
      </c>
      <c r="GDS46" s="420">
        <f t="shared" si="118"/>
        <v>0</v>
      </c>
      <c r="GDT46" s="420">
        <f t="shared" si="118"/>
        <v>0</v>
      </c>
      <c r="GDU46" s="420">
        <f t="shared" si="118"/>
        <v>0</v>
      </c>
      <c r="GDV46" s="420">
        <f t="shared" si="118"/>
        <v>0</v>
      </c>
      <c r="GDW46" s="420">
        <f t="shared" si="118"/>
        <v>0</v>
      </c>
      <c r="GDX46" s="420">
        <f t="shared" si="118"/>
        <v>0</v>
      </c>
      <c r="GDY46" s="420">
        <f t="shared" si="118"/>
        <v>0</v>
      </c>
      <c r="GDZ46" s="420">
        <f t="shared" si="118"/>
        <v>0</v>
      </c>
      <c r="GEA46" s="420">
        <f t="shared" si="118"/>
        <v>0</v>
      </c>
      <c r="GEB46" s="420">
        <f t="shared" si="118"/>
        <v>0</v>
      </c>
      <c r="GEC46" s="420">
        <f t="shared" si="118"/>
        <v>0</v>
      </c>
      <c r="GED46" s="420">
        <f t="shared" si="118"/>
        <v>0</v>
      </c>
      <c r="GEE46" s="420">
        <f t="shared" si="118"/>
        <v>0</v>
      </c>
      <c r="GEF46" s="420">
        <f t="shared" si="118"/>
        <v>0</v>
      </c>
      <c r="GEG46" s="420">
        <f t="shared" ref="GEG46:GGR46" si="119">GEG45*0.8</f>
        <v>0</v>
      </c>
      <c r="GEH46" s="420">
        <f t="shared" si="119"/>
        <v>0</v>
      </c>
      <c r="GEI46" s="420">
        <f t="shared" si="119"/>
        <v>0</v>
      </c>
      <c r="GEJ46" s="420">
        <f t="shared" si="119"/>
        <v>0</v>
      </c>
      <c r="GEK46" s="420">
        <f t="shared" si="119"/>
        <v>0</v>
      </c>
      <c r="GEL46" s="420">
        <f t="shared" si="119"/>
        <v>0</v>
      </c>
      <c r="GEM46" s="420">
        <f t="shared" si="119"/>
        <v>0</v>
      </c>
      <c r="GEN46" s="420">
        <f t="shared" si="119"/>
        <v>0</v>
      </c>
      <c r="GEO46" s="420">
        <f t="shared" si="119"/>
        <v>0</v>
      </c>
      <c r="GEP46" s="420">
        <f t="shared" si="119"/>
        <v>0</v>
      </c>
      <c r="GEQ46" s="420">
        <f t="shared" si="119"/>
        <v>0</v>
      </c>
      <c r="GER46" s="420">
        <f t="shared" si="119"/>
        <v>0</v>
      </c>
      <c r="GES46" s="420">
        <f t="shared" si="119"/>
        <v>0</v>
      </c>
      <c r="GET46" s="420">
        <f t="shared" si="119"/>
        <v>0</v>
      </c>
      <c r="GEU46" s="420">
        <f t="shared" si="119"/>
        <v>0</v>
      </c>
      <c r="GEV46" s="420">
        <f t="shared" si="119"/>
        <v>0</v>
      </c>
      <c r="GEW46" s="420">
        <f t="shared" si="119"/>
        <v>0</v>
      </c>
      <c r="GEX46" s="420">
        <f t="shared" si="119"/>
        <v>0</v>
      </c>
      <c r="GEY46" s="420">
        <f t="shared" si="119"/>
        <v>0</v>
      </c>
      <c r="GEZ46" s="420">
        <f t="shared" si="119"/>
        <v>0</v>
      </c>
      <c r="GFA46" s="420">
        <f t="shared" si="119"/>
        <v>0</v>
      </c>
      <c r="GFB46" s="420">
        <f t="shared" si="119"/>
        <v>0</v>
      </c>
      <c r="GFC46" s="420">
        <f t="shared" si="119"/>
        <v>0</v>
      </c>
      <c r="GFD46" s="420">
        <f t="shared" si="119"/>
        <v>0</v>
      </c>
      <c r="GFE46" s="420">
        <f t="shared" si="119"/>
        <v>0</v>
      </c>
      <c r="GFF46" s="420">
        <f t="shared" si="119"/>
        <v>0</v>
      </c>
      <c r="GFG46" s="420">
        <f t="shared" si="119"/>
        <v>0</v>
      </c>
      <c r="GFH46" s="420">
        <f t="shared" si="119"/>
        <v>0</v>
      </c>
      <c r="GFI46" s="420">
        <f t="shared" si="119"/>
        <v>0</v>
      </c>
      <c r="GFJ46" s="420">
        <f t="shared" si="119"/>
        <v>0</v>
      </c>
      <c r="GFK46" s="420">
        <f t="shared" si="119"/>
        <v>0</v>
      </c>
      <c r="GFL46" s="420">
        <f t="shared" si="119"/>
        <v>0</v>
      </c>
      <c r="GFM46" s="420">
        <f t="shared" si="119"/>
        <v>0</v>
      </c>
      <c r="GFN46" s="420">
        <f t="shared" si="119"/>
        <v>0</v>
      </c>
      <c r="GFO46" s="420">
        <f t="shared" si="119"/>
        <v>0</v>
      </c>
      <c r="GFP46" s="420">
        <f t="shared" si="119"/>
        <v>0</v>
      </c>
      <c r="GFQ46" s="420">
        <f t="shared" si="119"/>
        <v>0</v>
      </c>
      <c r="GFR46" s="420">
        <f t="shared" si="119"/>
        <v>0</v>
      </c>
      <c r="GFS46" s="420">
        <f t="shared" si="119"/>
        <v>0</v>
      </c>
      <c r="GFT46" s="420">
        <f t="shared" si="119"/>
        <v>0</v>
      </c>
      <c r="GFU46" s="420">
        <f t="shared" si="119"/>
        <v>0</v>
      </c>
      <c r="GFV46" s="420">
        <f t="shared" si="119"/>
        <v>0</v>
      </c>
      <c r="GFW46" s="420">
        <f t="shared" si="119"/>
        <v>0</v>
      </c>
      <c r="GFX46" s="420">
        <f t="shared" si="119"/>
        <v>0</v>
      </c>
      <c r="GFY46" s="420">
        <f t="shared" si="119"/>
        <v>0</v>
      </c>
      <c r="GFZ46" s="420">
        <f t="shared" si="119"/>
        <v>0</v>
      </c>
      <c r="GGA46" s="420">
        <f t="shared" si="119"/>
        <v>0</v>
      </c>
      <c r="GGB46" s="420">
        <f t="shared" si="119"/>
        <v>0</v>
      </c>
      <c r="GGC46" s="420">
        <f t="shared" si="119"/>
        <v>0</v>
      </c>
      <c r="GGD46" s="420">
        <f t="shared" si="119"/>
        <v>0</v>
      </c>
      <c r="GGE46" s="420">
        <f t="shared" si="119"/>
        <v>0</v>
      </c>
      <c r="GGF46" s="420">
        <f t="shared" si="119"/>
        <v>0</v>
      </c>
      <c r="GGG46" s="420">
        <f t="shared" si="119"/>
        <v>0</v>
      </c>
      <c r="GGH46" s="420">
        <f t="shared" si="119"/>
        <v>0</v>
      </c>
      <c r="GGI46" s="420">
        <f t="shared" si="119"/>
        <v>0</v>
      </c>
      <c r="GGJ46" s="420">
        <f t="shared" si="119"/>
        <v>0</v>
      </c>
      <c r="GGK46" s="420">
        <f t="shared" si="119"/>
        <v>0</v>
      </c>
      <c r="GGL46" s="420">
        <f t="shared" si="119"/>
        <v>0</v>
      </c>
      <c r="GGM46" s="420">
        <f t="shared" si="119"/>
        <v>0</v>
      </c>
      <c r="GGN46" s="420">
        <f t="shared" si="119"/>
        <v>0</v>
      </c>
      <c r="GGO46" s="420">
        <f t="shared" si="119"/>
        <v>0</v>
      </c>
      <c r="GGP46" s="420">
        <f t="shared" si="119"/>
        <v>0</v>
      </c>
      <c r="GGQ46" s="420">
        <f t="shared" si="119"/>
        <v>0</v>
      </c>
      <c r="GGR46" s="420">
        <f t="shared" si="119"/>
        <v>0</v>
      </c>
      <c r="GGS46" s="420">
        <f t="shared" ref="GGS46:GJD46" si="120">GGS45*0.8</f>
        <v>0</v>
      </c>
      <c r="GGT46" s="420">
        <f t="shared" si="120"/>
        <v>0</v>
      </c>
      <c r="GGU46" s="420">
        <f t="shared" si="120"/>
        <v>0</v>
      </c>
      <c r="GGV46" s="420">
        <f t="shared" si="120"/>
        <v>0</v>
      </c>
      <c r="GGW46" s="420">
        <f t="shared" si="120"/>
        <v>0</v>
      </c>
      <c r="GGX46" s="420">
        <f t="shared" si="120"/>
        <v>0</v>
      </c>
      <c r="GGY46" s="420">
        <f t="shared" si="120"/>
        <v>0</v>
      </c>
      <c r="GGZ46" s="420">
        <f t="shared" si="120"/>
        <v>0</v>
      </c>
      <c r="GHA46" s="420">
        <f t="shared" si="120"/>
        <v>0</v>
      </c>
      <c r="GHB46" s="420">
        <f t="shared" si="120"/>
        <v>0</v>
      </c>
      <c r="GHC46" s="420">
        <f t="shared" si="120"/>
        <v>0</v>
      </c>
      <c r="GHD46" s="420">
        <f t="shared" si="120"/>
        <v>0</v>
      </c>
      <c r="GHE46" s="420">
        <f t="shared" si="120"/>
        <v>0</v>
      </c>
      <c r="GHF46" s="420">
        <f t="shared" si="120"/>
        <v>0</v>
      </c>
      <c r="GHG46" s="420">
        <f t="shared" si="120"/>
        <v>0</v>
      </c>
      <c r="GHH46" s="420">
        <f t="shared" si="120"/>
        <v>0</v>
      </c>
      <c r="GHI46" s="420">
        <f t="shared" si="120"/>
        <v>0</v>
      </c>
      <c r="GHJ46" s="420">
        <f t="shared" si="120"/>
        <v>0</v>
      </c>
      <c r="GHK46" s="420">
        <f t="shared" si="120"/>
        <v>0</v>
      </c>
      <c r="GHL46" s="420">
        <f t="shared" si="120"/>
        <v>0</v>
      </c>
      <c r="GHM46" s="420">
        <f t="shared" si="120"/>
        <v>0</v>
      </c>
      <c r="GHN46" s="420">
        <f t="shared" si="120"/>
        <v>0</v>
      </c>
      <c r="GHO46" s="420">
        <f t="shared" si="120"/>
        <v>0</v>
      </c>
      <c r="GHP46" s="420">
        <f t="shared" si="120"/>
        <v>0</v>
      </c>
      <c r="GHQ46" s="420">
        <f t="shared" si="120"/>
        <v>0</v>
      </c>
      <c r="GHR46" s="420">
        <f t="shared" si="120"/>
        <v>0</v>
      </c>
      <c r="GHS46" s="420">
        <f t="shared" si="120"/>
        <v>0</v>
      </c>
      <c r="GHT46" s="420">
        <f t="shared" si="120"/>
        <v>0</v>
      </c>
      <c r="GHU46" s="420">
        <f t="shared" si="120"/>
        <v>0</v>
      </c>
      <c r="GHV46" s="420">
        <f t="shared" si="120"/>
        <v>0</v>
      </c>
      <c r="GHW46" s="420">
        <f t="shared" si="120"/>
        <v>0</v>
      </c>
      <c r="GHX46" s="420">
        <f t="shared" si="120"/>
        <v>0</v>
      </c>
      <c r="GHY46" s="420">
        <f t="shared" si="120"/>
        <v>0</v>
      </c>
      <c r="GHZ46" s="420">
        <f t="shared" si="120"/>
        <v>0</v>
      </c>
      <c r="GIA46" s="420">
        <f t="shared" si="120"/>
        <v>0</v>
      </c>
      <c r="GIB46" s="420">
        <f t="shared" si="120"/>
        <v>0</v>
      </c>
      <c r="GIC46" s="420">
        <f t="shared" si="120"/>
        <v>0</v>
      </c>
      <c r="GID46" s="420">
        <f t="shared" si="120"/>
        <v>0</v>
      </c>
      <c r="GIE46" s="420">
        <f t="shared" si="120"/>
        <v>0</v>
      </c>
      <c r="GIF46" s="420">
        <f t="shared" si="120"/>
        <v>0</v>
      </c>
      <c r="GIG46" s="420">
        <f t="shared" si="120"/>
        <v>0</v>
      </c>
      <c r="GIH46" s="420">
        <f t="shared" si="120"/>
        <v>0</v>
      </c>
      <c r="GII46" s="420">
        <f t="shared" si="120"/>
        <v>0</v>
      </c>
      <c r="GIJ46" s="420">
        <f t="shared" si="120"/>
        <v>0</v>
      </c>
      <c r="GIK46" s="420">
        <f t="shared" si="120"/>
        <v>0</v>
      </c>
      <c r="GIL46" s="420">
        <f t="shared" si="120"/>
        <v>0</v>
      </c>
      <c r="GIM46" s="420">
        <f t="shared" si="120"/>
        <v>0</v>
      </c>
      <c r="GIN46" s="420">
        <f t="shared" si="120"/>
        <v>0</v>
      </c>
      <c r="GIO46" s="420">
        <f t="shared" si="120"/>
        <v>0</v>
      </c>
      <c r="GIP46" s="420">
        <f t="shared" si="120"/>
        <v>0</v>
      </c>
      <c r="GIQ46" s="420">
        <f t="shared" si="120"/>
        <v>0</v>
      </c>
      <c r="GIR46" s="420">
        <f t="shared" si="120"/>
        <v>0</v>
      </c>
      <c r="GIS46" s="420">
        <f t="shared" si="120"/>
        <v>0</v>
      </c>
      <c r="GIT46" s="420">
        <f t="shared" si="120"/>
        <v>0</v>
      </c>
      <c r="GIU46" s="420">
        <f t="shared" si="120"/>
        <v>0</v>
      </c>
      <c r="GIV46" s="420">
        <f t="shared" si="120"/>
        <v>0</v>
      </c>
      <c r="GIW46" s="420">
        <f t="shared" si="120"/>
        <v>0</v>
      </c>
      <c r="GIX46" s="420">
        <f t="shared" si="120"/>
        <v>0</v>
      </c>
      <c r="GIY46" s="420">
        <f t="shared" si="120"/>
        <v>0</v>
      </c>
      <c r="GIZ46" s="420">
        <f t="shared" si="120"/>
        <v>0</v>
      </c>
      <c r="GJA46" s="420">
        <f t="shared" si="120"/>
        <v>0</v>
      </c>
      <c r="GJB46" s="420">
        <f t="shared" si="120"/>
        <v>0</v>
      </c>
      <c r="GJC46" s="420">
        <f t="shared" si="120"/>
        <v>0</v>
      </c>
      <c r="GJD46" s="420">
        <f t="shared" si="120"/>
        <v>0</v>
      </c>
      <c r="GJE46" s="420">
        <f t="shared" ref="GJE46:GLP46" si="121">GJE45*0.8</f>
        <v>0</v>
      </c>
      <c r="GJF46" s="420">
        <f t="shared" si="121"/>
        <v>0</v>
      </c>
      <c r="GJG46" s="420">
        <f t="shared" si="121"/>
        <v>0</v>
      </c>
      <c r="GJH46" s="420">
        <f t="shared" si="121"/>
        <v>0</v>
      </c>
      <c r="GJI46" s="420">
        <f t="shared" si="121"/>
        <v>0</v>
      </c>
      <c r="GJJ46" s="420">
        <f t="shared" si="121"/>
        <v>0</v>
      </c>
      <c r="GJK46" s="420">
        <f t="shared" si="121"/>
        <v>0</v>
      </c>
      <c r="GJL46" s="420">
        <f t="shared" si="121"/>
        <v>0</v>
      </c>
      <c r="GJM46" s="420">
        <f t="shared" si="121"/>
        <v>0</v>
      </c>
      <c r="GJN46" s="420">
        <f t="shared" si="121"/>
        <v>0</v>
      </c>
      <c r="GJO46" s="420">
        <f t="shared" si="121"/>
        <v>0</v>
      </c>
      <c r="GJP46" s="420">
        <f t="shared" si="121"/>
        <v>0</v>
      </c>
      <c r="GJQ46" s="420">
        <f t="shared" si="121"/>
        <v>0</v>
      </c>
      <c r="GJR46" s="420">
        <f t="shared" si="121"/>
        <v>0</v>
      </c>
      <c r="GJS46" s="420">
        <f t="shared" si="121"/>
        <v>0</v>
      </c>
      <c r="GJT46" s="420">
        <f t="shared" si="121"/>
        <v>0</v>
      </c>
      <c r="GJU46" s="420">
        <f t="shared" si="121"/>
        <v>0</v>
      </c>
      <c r="GJV46" s="420">
        <f t="shared" si="121"/>
        <v>0</v>
      </c>
      <c r="GJW46" s="420">
        <f t="shared" si="121"/>
        <v>0</v>
      </c>
      <c r="GJX46" s="420">
        <f t="shared" si="121"/>
        <v>0</v>
      </c>
      <c r="GJY46" s="420">
        <f t="shared" si="121"/>
        <v>0</v>
      </c>
      <c r="GJZ46" s="420">
        <f t="shared" si="121"/>
        <v>0</v>
      </c>
      <c r="GKA46" s="420">
        <f t="shared" si="121"/>
        <v>0</v>
      </c>
      <c r="GKB46" s="420">
        <f t="shared" si="121"/>
        <v>0</v>
      </c>
      <c r="GKC46" s="420">
        <f t="shared" si="121"/>
        <v>0</v>
      </c>
      <c r="GKD46" s="420">
        <f t="shared" si="121"/>
        <v>0</v>
      </c>
      <c r="GKE46" s="420">
        <f t="shared" si="121"/>
        <v>0</v>
      </c>
      <c r="GKF46" s="420">
        <f t="shared" si="121"/>
        <v>0</v>
      </c>
      <c r="GKG46" s="420">
        <f t="shared" si="121"/>
        <v>0</v>
      </c>
      <c r="GKH46" s="420">
        <f t="shared" si="121"/>
        <v>0</v>
      </c>
      <c r="GKI46" s="420">
        <f t="shared" si="121"/>
        <v>0</v>
      </c>
      <c r="GKJ46" s="420">
        <f t="shared" si="121"/>
        <v>0</v>
      </c>
      <c r="GKK46" s="420">
        <f t="shared" si="121"/>
        <v>0</v>
      </c>
      <c r="GKL46" s="420">
        <f t="shared" si="121"/>
        <v>0</v>
      </c>
      <c r="GKM46" s="420">
        <f t="shared" si="121"/>
        <v>0</v>
      </c>
      <c r="GKN46" s="420">
        <f t="shared" si="121"/>
        <v>0</v>
      </c>
      <c r="GKO46" s="420">
        <f t="shared" si="121"/>
        <v>0</v>
      </c>
      <c r="GKP46" s="420">
        <f t="shared" si="121"/>
        <v>0</v>
      </c>
      <c r="GKQ46" s="420">
        <f t="shared" si="121"/>
        <v>0</v>
      </c>
      <c r="GKR46" s="420">
        <f t="shared" si="121"/>
        <v>0</v>
      </c>
      <c r="GKS46" s="420">
        <f t="shared" si="121"/>
        <v>0</v>
      </c>
      <c r="GKT46" s="420">
        <f t="shared" si="121"/>
        <v>0</v>
      </c>
      <c r="GKU46" s="420">
        <f t="shared" si="121"/>
        <v>0</v>
      </c>
      <c r="GKV46" s="420">
        <f t="shared" si="121"/>
        <v>0</v>
      </c>
      <c r="GKW46" s="420">
        <f t="shared" si="121"/>
        <v>0</v>
      </c>
      <c r="GKX46" s="420">
        <f t="shared" si="121"/>
        <v>0</v>
      </c>
      <c r="GKY46" s="420">
        <f t="shared" si="121"/>
        <v>0</v>
      </c>
      <c r="GKZ46" s="420">
        <f t="shared" si="121"/>
        <v>0</v>
      </c>
      <c r="GLA46" s="420">
        <f t="shared" si="121"/>
        <v>0</v>
      </c>
      <c r="GLB46" s="420">
        <f t="shared" si="121"/>
        <v>0</v>
      </c>
      <c r="GLC46" s="420">
        <f t="shared" si="121"/>
        <v>0</v>
      </c>
      <c r="GLD46" s="420">
        <f t="shared" si="121"/>
        <v>0</v>
      </c>
      <c r="GLE46" s="420">
        <f t="shared" si="121"/>
        <v>0</v>
      </c>
      <c r="GLF46" s="420">
        <f t="shared" si="121"/>
        <v>0</v>
      </c>
      <c r="GLG46" s="420">
        <f t="shared" si="121"/>
        <v>0</v>
      </c>
      <c r="GLH46" s="420">
        <f t="shared" si="121"/>
        <v>0</v>
      </c>
      <c r="GLI46" s="420">
        <f t="shared" si="121"/>
        <v>0</v>
      </c>
      <c r="GLJ46" s="420">
        <f t="shared" si="121"/>
        <v>0</v>
      </c>
      <c r="GLK46" s="420">
        <f t="shared" si="121"/>
        <v>0</v>
      </c>
      <c r="GLL46" s="420">
        <f t="shared" si="121"/>
        <v>0</v>
      </c>
      <c r="GLM46" s="420">
        <f t="shared" si="121"/>
        <v>0</v>
      </c>
      <c r="GLN46" s="420">
        <f t="shared" si="121"/>
        <v>0</v>
      </c>
      <c r="GLO46" s="420">
        <f t="shared" si="121"/>
        <v>0</v>
      </c>
      <c r="GLP46" s="420">
        <f t="shared" si="121"/>
        <v>0</v>
      </c>
      <c r="GLQ46" s="420">
        <f t="shared" ref="GLQ46:GOB46" si="122">GLQ45*0.8</f>
        <v>0</v>
      </c>
      <c r="GLR46" s="420">
        <f t="shared" si="122"/>
        <v>0</v>
      </c>
      <c r="GLS46" s="420">
        <f t="shared" si="122"/>
        <v>0</v>
      </c>
      <c r="GLT46" s="420">
        <f t="shared" si="122"/>
        <v>0</v>
      </c>
      <c r="GLU46" s="420">
        <f t="shared" si="122"/>
        <v>0</v>
      </c>
      <c r="GLV46" s="420">
        <f t="shared" si="122"/>
        <v>0</v>
      </c>
      <c r="GLW46" s="420">
        <f t="shared" si="122"/>
        <v>0</v>
      </c>
      <c r="GLX46" s="420">
        <f t="shared" si="122"/>
        <v>0</v>
      </c>
      <c r="GLY46" s="420">
        <f t="shared" si="122"/>
        <v>0</v>
      </c>
      <c r="GLZ46" s="420">
        <f t="shared" si="122"/>
        <v>0</v>
      </c>
      <c r="GMA46" s="420">
        <f t="shared" si="122"/>
        <v>0</v>
      </c>
      <c r="GMB46" s="420">
        <f t="shared" si="122"/>
        <v>0</v>
      </c>
      <c r="GMC46" s="420">
        <f t="shared" si="122"/>
        <v>0</v>
      </c>
      <c r="GMD46" s="420">
        <f t="shared" si="122"/>
        <v>0</v>
      </c>
      <c r="GME46" s="420">
        <f t="shared" si="122"/>
        <v>0</v>
      </c>
      <c r="GMF46" s="420">
        <f t="shared" si="122"/>
        <v>0</v>
      </c>
      <c r="GMG46" s="420">
        <f t="shared" si="122"/>
        <v>0</v>
      </c>
      <c r="GMH46" s="420">
        <f t="shared" si="122"/>
        <v>0</v>
      </c>
      <c r="GMI46" s="420">
        <f t="shared" si="122"/>
        <v>0</v>
      </c>
      <c r="GMJ46" s="420">
        <f t="shared" si="122"/>
        <v>0</v>
      </c>
      <c r="GMK46" s="420">
        <f t="shared" si="122"/>
        <v>0</v>
      </c>
      <c r="GML46" s="420">
        <f t="shared" si="122"/>
        <v>0</v>
      </c>
      <c r="GMM46" s="420">
        <f t="shared" si="122"/>
        <v>0</v>
      </c>
      <c r="GMN46" s="420">
        <f t="shared" si="122"/>
        <v>0</v>
      </c>
      <c r="GMO46" s="420">
        <f t="shared" si="122"/>
        <v>0</v>
      </c>
      <c r="GMP46" s="420">
        <f t="shared" si="122"/>
        <v>0</v>
      </c>
      <c r="GMQ46" s="420">
        <f t="shared" si="122"/>
        <v>0</v>
      </c>
      <c r="GMR46" s="420">
        <f t="shared" si="122"/>
        <v>0</v>
      </c>
      <c r="GMS46" s="420">
        <f t="shared" si="122"/>
        <v>0</v>
      </c>
      <c r="GMT46" s="420">
        <f t="shared" si="122"/>
        <v>0</v>
      </c>
      <c r="GMU46" s="420">
        <f t="shared" si="122"/>
        <v>0</v>
      </c>
      <c r="GMV46" s="420">
        <f t="shared" si="122"/>
        <v>0</v>
      </c>
      <c r="GMW46" s="420">
        <f t="shared" si="122"/>
        <v>0</v>
      </c>
      <c r="GMX46" s="420">
        <f t="shared" si="122"/>
        <v>0</v>
      </c>
      <c r="GMY46" s="420">
        <f t="shared" si="122"/>
        <v>0</v>
      </c>
      <c r="GMZ46" s="420">
        <f t="shared" si="122"/>
        <v>0</v>
      </c>
      <c r="GNA46" s="420">
        <f t="shared" si="122"/>
        <v>0</v>
      </c>
      <c r="GNB46" s="420">
        <f t="shared" si="122"/>
        <v>0</v>
      </c>
      <c r="GNC46" s="420">
        <f t="shared" si="122"/>
        <v>0</v>
      </c>
      <c r="GND46" s="420">
        <f t="shared" si="122"/>
        <v>0</v>
      </c>
      <c r="GNE46" s="420">
        <f t="shared" si="122"/>
        <v>0</v>
      </c>
      <c r="GNF46" s="420">
        <f t="shared" si="122"/>
        <v>0</v>
      </c>
      <c r="GNG46" s="420">
        <f t="shared" si="122"/>
        <v>0</v>
      </c>
      <c r="GNH46" s="420">
        <f t="shared" si="122"/>
        <v>0</v>
      </c>
      <c r="GNI46" s="420">
        <f t="shared" si="122"/>
        <v>0</v>
      </c>
      <c r="GNJ46" s="420">
        <f t="shared" si="122"/>
        <v>0</v>
      </c>
      <c r="GNK46" s="420">
        <f t="shared" si="122"/>
        <v>0</v>
      </c>
      <c r="GNL46" s="420">
        <f t="shared" si="122"/>
        <v>0</v>
      </c>
      <c r="GNM46" s="420">
        <f t="shared" si="122"/>
        <v>0</v>
      </c>
      <c r="GNN46" s="420">
        <f t="shared" si="122"/>
        <v>0</v>
      </c>
      <c r="GNO46" s="420">
        <f t="shared" si="122"/>
        <v>0</v>
      </c>
      <c r="GNP46" s="420">
        <f t="shared" si="122"/>
        <v>0</v>
      </c>
      <c r="GNQ46" s="420">
        <f t="shared" si="122"/>
        <v>0</v>
      </c>
      <c r="GNR46" s="420">
        <f t="shared" si="122"/>
        <v>0</v>
      </c>
      <c r="GNS46" s="420">
        <f t="shared" si="122"/>
        <v>0</v>
      </c>
      <c r="GNT46" s="420">
        <f t="shared" si="122"/>
        <v>0</v>
      </c>
      <c r="GNU46" s="420">
        <f t="shared" si="122"/>
        <v>0</v>
      </c>
      <c r="GNV46" s="420">
        <f t="shared" si="122"/>
        <v>0</v>
      </c>
      <c r="GNW46" s="420">
        <f t="shared" si="122"/>
        <v>0</v>
      </c>
      <c r="GNX46" s="420">
        <f t="shared" si="122"/>
        <v>0</v>
      </c>
      <c r="GNY46" s="420">
        <f t="shared" si="122"/>
        <v>0</v>
      </c>
      <c r="GNZ46" s="420">
        <f t="shared" si="122"/>
        <v>0</v>
      </c>
      <c r="GOA46" s="420">
        <f t="shared" si="122"/>
        <v>0</v>
      </c>
      <c r="GOB46" s="420">
        <f t="shared" si="122"/>
        <v>0</v>
      </c>
      <c r="GOC46" s="420">
        <f t="shared" ref="GOC46:GQN46" si="123">GOC45*0.8</f>
        <v>0</v>
      </c>
      <c r="GOD46" s="420">
        <f t="shared" si="123"/>
        <v>0</v>
      </c>
      <c r="GOE46" s="420">
        <f t="shared" si="123"/>
        <v>0</v>
      </c>
      <c r="GOF46" s="420">
        <f t="shared" si="123"/>
        <v>0</v>
      </c>
      <c r="GOG46" s="420">
        <f t="shared" si="123"/>
        <v>0</v>
      </c>
      <c r="GOH46" s="420">
        <f t="shared" si="123"/>
        <v>0</v>
      </c>
      <c r="GOI46" s="420">
        <f t="shared" si="123"/>
        <v>0</v>
      </c>
      <c r="GOJ46" s="420">
        <f t="shared" si="123"/>
        <v>0</v>
      </c>
      <c r="GOK46" s="420">
        <f t="shared" si="123"/>
        <v>0</v>
      </c>
      <c r="GOL46" s="420">
        <f t="shared" si="123"/>
        <v>0</v>
      </c>
      <c r="GOM46" s="420">
        <f t="shared" si="123"/>
        <v>0</v>
      </c>
      <c r="GON46" s="420">
        <f t="shared" si="123"/>
        <v>0</v>
      </c>
      <c r="GOO46" s="420">
        <f t="shared" si="123"/>
        <v>0</v>
      </c>
      <c r="GOP46" s="420">
        <f t="shared" si="123"/>
        <v>0</v>
      </c>
      <c r="GOQ46" s="420">
        <f t="shared" si="123"/>
        <v>0</v>
      </c>
      <c r="GOR46" s="420">
        <f t="shared" si="123"/>
        <v>0</v>
      </c>
      <c r="GOS46" s="420">
        <f t="shared" si="123"/>
        <v>0</v>
      </c>
      <c r="GOT46" s="420">
        <f t="shared" si="123"/>
        <v>0</v>
      </c>
      <c r="GOU46" s="420">
        <f t="shared" si="123"/>
        <v>0</v>
      </c>
      <c r="GOV46" s="420">
        <f t="shared" si="123"/>
        <v>0</v>
      </c>
      <c r="GOW46" s="420">
        <f t="shared" si="123"/>
        <v>0</v>
      </c>
      <c r="GOX46" s="420">
        <f t="shared" si="123"/>
        <v>0</v>
      </c>
      <c r="GOY46" s="420">
        <f t="shared" si="123"/>
        <v>0</v>
      </c>
      <c r="GOZ46" s="420">
        <f t="shared" si="123"/>
        <v>0</v>
      </c>
      <c r="GPA46" s="420">
        <f t="shared" si="123"/>
        <v>0</v>
      </c>
      <c r="GPB46" s="420">
        <f t="shared" si="123"/>
        <v>0</v>
      </c>
      <c r="GPC46" s="420">
        <f t="shared" si="123"/>
        <v>0</v>
      </c>
      <c r="GPD46" s="420">
        <f t="shared" si="123"/>
        <v>0</v>
      </c>
      <c r="GPE46" s="420">
        <f t="shared" si="123"/>
        <v>0</v>
      </c>
      <c r="GPF46" s="420">
        <f t="shared" si="123"/>
        <v>0</v>
      </c>
      <c r="GPG46" s="420">
        <f t="shared" si="123"/>
        <v>0</v>
      </c>
      <c r="GPH46" s="420">
        <f t="shared" si="123"/>
        <v>0</v>
      </c>
      <c r="GPI46" s="420">
        <f t="shared" si="123"/>
        <v>0</v>
      </c>
      <c r="GPJ46" s="420">
        <f t="shared" si="123"/>
        <v>0</v>
      </c>
      <c r="GPK46" s="420">
        <f t="shared" si="123"/>
        <v>0</v>
      </c>
      <c r="GPL46" s="420">
        <f t="shared" si="123"/>
        <v>0</v>
      </c>
      <c r="GPM46" s="420">
        <f t="shared" si="123"/>
        <v>0</v>
      </c>
      <c r="GPN46" s="420">
        <f t="shared" si="123"/>
        <v>0</v>
      </c>
      <c r="GPO46" s="420">
        <f t="shared" si="123"/>
        <v>0</v>
      </c>
      <c r="GPP46" s="420">
        <f t="shared" si="123"/>
        <v>0</v>
      </c>
      <c r="GPQ46" s="420">
        <f t="shared" si="123"/>
        <v>0</v>
      </c>
      <c r="GPR46" s="420">
        <f t="shared" si="123"/>
        <v>0</v>
      </c>
      <c r="GPS46" s="420">
        <f t="shared" si="123"/>
        <v>0</v>
      </c>
      <c r="GPT46" s="420">
        <f t="shared" si="123"/>
        <v>0</v>
      </c>
      <c r="GPU46" s="420">
        <f t="shared" si="123"/>
        <v>0</v>
      </c>
      <c r="GPV46" s="420">
        <f t="shared" si="123"/>
        <v>0</v>
      </c>
      <c r="GPW46" s="420">
        <f t="shared" si="123"/>
        <v>0</v>
      </c>
      <c r="GPX46" s="420">
        <f t="shared" si="123"/>
        <v>0</v>
      </c>
      <c r="GPY46" s="420">
        <f t="shared" si="123"/>
        <v>0</v>
      </c>
      <c r="GPZ46" s="420">
        <f t="shared" si="123"/>
        <v>0</v>
      </c>
      <c r="GQA46" s="420">
        <f t="shared" si="123"/>
        <v>0</v>
      </c>
      <c r="GQB46" s="420">
        <f t="shared" si="123"/>
        <v>0</v>
      </c>
      <c r="GQC46" s="420">
        <f t="shared" si="123"/>
        <v>0</v>
      </c>
      <c r="GQD46" s="420">
        <f t="shared" si="123"/>
        <v>0</v>
      </c>
      <c r="GQE46" s="420">
        <f t="shared" si="123"/>
        <v>0</v>
      </c>
      <c r="GQF46" s="420">
        <f t="shared" si="123"/>
        <v>0</v>
      </c>
      <c r="GQG46" s="420">
        <f t="shared" si="123"/>
        <v>0</v>
      </c>
      <c r="GQH46" s="420">
        <f t="shared" si="123"/>
        <v>0</v>
      </c>
      <c r="GQI46" s="420">
        <f t="shared" si="123"/>
        <v>0</v>
      </c>
      <c r="GQJ46" s="420">
        <f t="shared" si="123"/>
        <v>0</v>
      </c>
      <c r="GQK46" s="420">
        <f t="shared" si="123"/>
        <v>0</v>
      </c>
      <c r="GQL46" s="420">
        <f t="shared" si="123"/>
        <v>0</v>
      </c>
      <c r="GQM46" s="420">
        <f t="shared" si="123"/>
        <v>0</v>
      </c>
      <c r="GQN46" s="420">
        <f t="shared" si="123"/>
        <v>0</v>
      </c>
      <c r="GQO46" s="420">
        <f t="shared" ref="GQO46:GSZ46" si="124">GQO45*0.8</f>
        <v>0</v>
      </c>
      <c r="GQP46" s="420">
        <f t="shared" si="124"/>
        <v>0</v>
      </c>
      <c r="GQQ46" s="420">
        <f t="shared" si="124"/>
        <v>0</v>
      </c>
      <c r="GQR46" s="420">
        <f t="shared" si="124"/>
        <v>0</v>
      </c>
      <c r="GQS46" s="420">
        <f t="shared" si="124"/>
        <v>0</v>
      </c>
      <c r="GQT46" s="420">
        <f t="shared" si="124"/>
        <v>0</v>
      </c>
      <c r="GQU46" s="420">
        <f t="shared" si="124"/>
        <v>0</v>
      </c>
      <c r="GQV46" s="420">
        <f t="shared" si="124"/>
        <v>0</v>
      </c>
      <c r="GQW46" s="420">
        <f t="shared" si="124"/>
        <v>0</v>
      </c>
      <c r="GQX46" s="420">
        <f t="shared" si="124"/>
        <v>0</v>
      </c>
      <c r="GQY46" s="420">
        <f t="shared" si="124"/>
        <v>0</v>
      </c>
      <c r="GQZ46" s="420">
        <f t="shared" si="124"/>
        <v>0</v>
      </c>
      <c r="GRA46" s="420">
        <f t="shared" si="124"/>
        <v>0</v>
      </c>
      <c r="GRB46" s="420">
        <f t="shared" si="124"/>
        <v>0</v>
      </c>
      <c r="GRC46" s="420">
        <f t="shared" si="124"/>
        <v>0</v>
      </c>
      <c r="GRD46" s="420">
        <f t="shared" si="124"/>
        <v>0</v>
      </c>
      <c r="GRE46" s="420">
        <f t="shared" si="124"/>
        <v>0</v>
      </c>
      <c r="GRF46" s="420">
        <f t="shared" si="124"/>
        <v>0</v>
      </c>
      <c r="GRG46" s="420">
        <f t="shared" si="124"/>
        <v>0</v>
      </c>
      <c r="GRH46" s="420">
        <f t="shared" si="124"/>
        <v>0</v>
      </c>
      <c r="GRI46" s="420">
        <f t="shared" si="124"/>
        <v>0</v>
      </c>
      <c r="GRJ46" s="420">
        <f t="shared" si="124"/>
        <v>0</v>
      </c>
      <c r="GRK46" s="420">
        <f t="shared" si="124"/>
        <v>0</v>
      </c>
      <c r="GRL46" s="420">
        <f t="shared" si="124"/>
        <v>0</v>
      </c>
      <c r="GRM46" s="420">
        <f t="shared" si="124"/>
        <v>0</v>
      </c>
      <c r="GRN46" s="420">
        <f t="shared" si="124"/>
        <v>0</v>
      </c>
      <c r="GRO46" s="420">
        <f t="shared" si="124"/>
        <v>0</v>
      </c>
      <c r="GRP46" s="420">
        <f t="shared" si="124"/>
        <v>0</v>
      </c>
      <c r="GRQ46" s="420">
        <f t="shared" si="124"/>
        <v>0</v>
      </c>
      <c r="GRR46" s="420">
        <f t="shared" si="124"/>
        <v>0</v>
      </c>
      <c r="GRS46" s="420">
        <f t="shared" si="124"/>
        <v>0</v>
      </c>
      <c r="GRT46" s="420">
        <f t="shared" si="124"/>
        <v>0</v>
      </c>
      <c r="GRU46" s="420">
        <f t="shared" si="124"/>
        <v>0</v>
      </c>
      <c r="GRV46" s="420">
        <f t="shared" si="124"/>
        <v>0</v>
      </c>
      <c r="GRW46" s="420">
        <f t="shared" si="124"/>
        <v>0</v>
      </c>
      <c r="GRX46" s="420">
        <f t="shared" si="124"/>
        <v>0</v>
      </c>
      <c r="GRY46" s="420">
        <f t="shared" si="124"/>
        <v>0</v>
      </c>
      <c r="GRZ46" s="420">
        <f t="shared" si="124"/>
        <v>0</v>
      </c>
      <c r="GSA46" s="420">
        <f t="shared" si="124"/>
        <v>0</v>
      </c>
      <c r="GSB46" s="420">
        <f t="shared" si="124"/>
        <v>0</v>
      </c>
      <c r="GSC46" s="420">
        <f t="shared" si="124"/>
        <v>0</v>
      </c>
      <c r="GSD46" s="420">
        <f t="shared" si="124"/>
        <v>0</v>
      </c>
      <c r="GSE46" s="420">
        <f t="shared" si="124"/>
        <v>0</v>
      </c>
      <c r="GSF46" s="420">
        <f t="shared" si="124"/>
        <v>0</v>
      </c>
      <c r="GSG46" s="420">
        <f t="shared" si="124"/>
        <v>0</v>
      </c>
      <c r="GSH46" s="420">
        <f t="shared" si="124"/>
        <v>0</v>
      </c>
      <c r="GSI46" s="420">
        <f t="shared" si="124"/>
        <v>0</v>
      </c>
      <c r="GSJ46" s="420">
        <f t="shared" si="124"/>
        <v>0</v>
      </c>
      <c r="GSK46" s="420">
        <f t="shared" si="124"/>
        <v>0</v>
      </c>
      <c r="GSL46" s="420">
        <f t="shared" si="124"/>
        <v>0</v>
      </c>
      <c r="GSM46" s="420">
        <f t="shared" si="124"/>
        <v>0</v>
      </c>
      <c r="GSN46" s="420">
        <f t="shared" si="124"/>
        <v>0</v>
      </c>
      <c r="GSO46" s="420">
        <f t="shared" si="124"/>
        <v>0</v>
      </c>
      <c r="GSP46" s="420">
        <f t="shared" si="124"/>
        <v>0</v>
      </c>
      <c r="GSQ46" s="420">
        <f t="shared" si="124"/>
        <v>0</v>
      </c>
      <c r="GSR46" s="420">
        <f t="shared" si="124"/>
        <v>0</v>
      </c>
      <c r="GSS46" s="420">
        <f t="shared" si="124"/>
        <v>0</v>
      </c>
      <c r="GST46" s="420">
        <f t="shared" si="124"/>
        <v>0</v>
      </c>
      <c r="GSU46" s="420">
        <f t="shared" si="124"/>
        <v>0</v>
      </c>
      <c r="GSV46" s="420">
        <f t="shared" si="124"/>
        <v>0</v>
      </c>
      <c r="GSW46" s="420">
        <f t="shared" si="124"/>
        <v>0</v>
      </c>
      <c r="GSX46" s="420">
        <f t="shared" si="124"/>
        <v>0</v>
      </c>
      <c r="GSY46" s="420">
        <f t="shared" si="124"/>
        <v>0</v>
      </c>
      <c r="GSZ46" s="420">
        <f t="shared" si="124"/>
        <v>0</v>
      </c>
      <c r="GTA46" s="420">
        <f t="shared" ref="GTA46:GVL46" si="125">GTA45*0.8</f>
        <v>0</v>
      </c>
      <c r="GTB46" s="420">
        <f t="shared" si="125"/>
        <v>0</v>
      </c>
      <c r="GTC46" s="420">
        <f t="shared" si="125"/>
        <v>0</v>
      </c>
      <c r="GTD46" s="420">
        <f t="shared" si="125"/>
        <v>0</v>
      </c>
      <c r="GTE46" s="420">
        <f t="shared" si="125"/>
        <v>0</v>
      </c>
      <c r="GTF46" s="420">
        <f t="shared" si="125"/>
        <v>0</v>
      </c>
      <c r="GTG46" s="420">
        <f t="shared" si="125"/>
        <v>0</v>
      </c>
      <c r="GTH46" s="420">
        <f t="shared" si="125"/>
        <v>0</v>
      </c>
      <c r="GTI46" s="420">
        <f t="shared" si="125"/>
        <v>0</v>
      </c>
      <c r="GTJ46" s="420">
        <f t="shared" si="125"/>
        <v>0</v>
      </c>
      <c r="GTK46" s="420">
        <f t="shared" si="125"/>
        <v>0</v>
      </c>
      <c r="GTL46" s="420">
        <f t="shared" si="125"/>
        <v>0</v>
      </c>
      <c r="GTM46" s="420">
        <f t="shared" si="125"/>
        <v>0</v>
      </c>
      <c r="GTN46" s="420">
        <f t="shared" si="125"/>
        <v>0</v>
      </c>
      <c r="GTO46" s="420">
        <f t="shared" si="125"/>
        <v>0</v>
      </c>
      <c r="GTP46" s="420">
        <f t="shared" si="125"/>
        <v>0</v>
      </c>
      <c r="GTQ46" s="420">
        <f t="shared" si="125"/>
        <v>0</v>
      </c>
      <c r="GTR46" s="420">
        <f t="shared" si="125"/>
        <v>0</v>
      </c>
      <c r="GTS46" s="420">
        <f t="shared" si="125"/>
        <v>0</v>
      </c>
      <c r="GTT46" s="420">
        <f t="shared" si="125"/>
        <v>0</v>
      </c>
      <c r="GTU46" s="420">
        <f t="shared" si="125"/>
        <v>0</v>
      </c>
      <c r="GTV46" s="420">
        <f t="shared" si="125"/>
        <v>0</v>
      </c>
      <c r="GTW46" s="420">
        <f t="shared" si="125"/>
        <v>0</v>
      </c>
      <c r="GTX46" s="420">
        <f t="shared" si="125"/>
        <v>0</v>
      </c>
      <c r="GTY46" s="420">
        <f t="shared" si="125"/>
        <v>0</v>
      </c>
      <c r="GTZ46" s="420">
        <f t="shared" si="125"/>
        <v>0</v>
      </c>
      <c r="GUA46" s="420">
        <f t="shared" si="125"/>
        <v>0</v>
      </c>
      <c r="GUB46" s="420">
        <f t="shared" si="125"/>
        <v>0</v>
      </c>
      <c r="GUC46" s="420">
        <f t="shared" si="125"/>
        <v>0</v>
      </c>
      <c r="GUD46" s="420">
        <f t="shared" si="125"/>
        <v>0</v>
      </c>
      <c r="GUE46" s="420">
        <f t="shared" si="125"/>
        <v>0</v>
      </c>
      <c r="GUF46" s="420">
        <f t="shared" si="125"/>
        <v>0</v>
      </c>
      <c r="GUG46" s="420">
        <f t="shared" si="125"/>
        <v>0</v>
      </c>
      <c r="GUH46" s="420">
        <f t="shared" si="125"/>
        <v>0</v>
      </c>
      <c r="GUI46" s="420">
        <f t="shared" si="125"/>
        <v>0</v>
      </c>
      <c r="GUJ46" s="420">
        <f t="shared" si="125"/>
        <v>0</v>
      </c>
      <c r="GUK46" s="420">
        <f t="shared" si="125"/>
        <v>0</v>
      </c>
      <c r="GUL46" s="420">
        <f t="shared" si="125"/>
        <v>0</v>
      </c>
      <c r="GUM46" s="420">
        <f t="shared" si="125"/>
        <v>0</v>
      </c>
      <c r="GUN46" s="420">
        <f t="shared" si="125"/>
        <v>0</v>
      </c>
      <c r="GUO46" s="420">
        <f t="shared" si="125"/>
        <v>0</v>
      </c>
      <c r="GUP46" s="420">
        <f t="shared" si="125"/>
        <v>0</v>
      </c>
      <c r="GUQ46" s="420">
        <f t="shared" si="125"/>
        <v>0</v>
      </c>
      <c r="GUR46" s="420">
        <f t="shared" si="125"/>
        <v>0</v>
      </c>
      <c r="GUS46" s="420">
        <f t="shared" si="125"/>
        <v>0</v>
      </c>
      <c r="GUT46" s="420">
        <f t="shared" si="125"/>
        <v>0</v>
      </c>
      <c r="GUU46" s="420">
        <f t="shared" si="125"/>
        <v>0</v>
      </c>
      <c r="GUV46" s="420">
        <f t="shared" si="125"/>
        <v>0</v>
      </c>
      <c r="GUW46" s="420">
        <f t="shared" si="125"/>
        <v>0</v>
      </c>
      <c r="GUX46" s="420">
        <f t="shared" si="125"/>
        <v>0</v>
      </c>
      <c r="GUY46" s="420">
        <f t="shared" si="125"/>
        <v>0</v>
      </c>
      <c r="GUZ46" s="420">
        <f t="shared" si="125"/>
        <v>0</v>
      </c>
      <c r="GVA46" s="420">
        <f t="shared" si="125"/>
        <v>0</v>
      </c>
      <c r="GVB46" s="420">
        <f t="shared" si="125"/>
        <v>0</v>
      </c>
      <c r="GVC46" s="420">
        <f t="shared" si="125"/>
        <v>0</v>
      </c>
      <c r="GVD46" s="420">
        <f t="shared" si="125"/>
        <v>0</v>
      </c>
      <c r="GVE46" s="420">
        <f t="shared" si="125"/>
        <v>0</v>
      </c>
      <c r="GVF46" s="420">
        <f t="shared" si="125"/>
        <v>0</v>
      </c>
      <c r="GVG46" s="420">
        <f t="shared" si="125"/>
        <v>0</v>
      </c>
      <c r="GVH46" s="420">
        <f t="shared" si="125"/>
        <v>0</v>
      </c>
      <c r="GVI46" s="420">
        <f t="shared" si="125"/>
        <v>0</v>
      </c>
      <c r="GVJ46" s="420">
        <f t="shared" si="125"/>
        <v>0</v>
      </c>
      <c r="GVK46" s="420">
        <f t="shared" si="125"/>
        <v>0</v>
      </c>
      <c r="GVL46" s="420">
        <f t="shared" si="125"/>
        <v>0</v>
      </c>
      <c r="GVM46" s="420">
        <f t="shared" ref="GVM46:GXX46" si="126">GVM45*0.8</f>
        <v>0</v>
      </c>
      <c r="GVN46" s="420">
        <f t="shared" si="126"/>
        <v>0</v>
      </c>
      <c r="GVO46" s="420">
        <f t="shared" si="126"/>
        <v>0</v>
      </c>
      <c r="GVP46" s="420">
        <f t="shared" si="126"/>
        <v>0</v>
      </c>
      <c r="GVQ46" s="420">
        <f t="shared" si="126"/>
        <v>0</v>
      </c>
      <c r="GVR46" s="420">
        <f t="shared" si="126"/>
        <v>0</v>
      </c>
      <c r="GVS46" s="420">
        <f t="shared" si="126"/>
        <v>0</v>
      </c>
      <c r="GVT46" s="420">
        <f t="shared" si="126"/>
        <v>0</v>
      </c>
      <c r="GVU46" s="420">
        <f t="shared" si="126"/>
        <v>0</v>
      </c>
      <c r="GVV46" s="420">
        <f t="shared" si="126"/>
        <v>0</v>
      </c>
      <c r="GVW46" s="420">
        <f t="shared" si="126"/>
        <v>0</v>
      </c>
      <c r="GVX46" s="420">
        <f t="shared" si="126"/>
        <v>0</v>
      </c>
      <c r="GVY46" s="420">
        <f t="shared" si="126"/>
        <v>0</v>
      </c>
      <c r="GVZ46" s="420">
        <f t="shared" si="126"/>
        <v>0</v>
      </c>
      <c r="GWA46" s="420">
        <f t="shared" si="126"/>
        <v>0</v>
      </c>
      <c r="GWB46" s="420">
        <f t="shared" si="126"/>
        <v>0</v>
      </c>
      <c r="GWC46" s="420">
        <f t="shared" si="126"/>
        <v>0</v>
      </c>
      <c r="GWD46" s="420">
        <f t="shared" si="126"/>
        <v>0</v>
      </c>
      <c r="GWE46" s="420">
        <f t="shared" si="126"/>
        <v>0</v>
      </c>
      <c r="GWF46" s="420">
        <f t="shared" si="126"/>
        <v>0</v>
      </c>
      <c r="GWG46" s="420">
        <f t="shared" si="126"/>
        <v>0</v>
      </c>
      <c r="GWH46" s="420">
        <f t="shared" si="126"/>
        <v>0</v>
      </c>
      <c r="GWI46" s="420">
        <f t="shared" si="126"/>
        <v>0</v>
      </c>
      <c r="GWJ46" s="420">
        <f t="shared" si="126"/>
        <v>0</v>
      </c>
      <c r="GWK46" s="420">
        <f t="shared" si="126"/>
        <v>0</v>
      </c>
      <c r="GWL46" s="420">
        <f t="shared" si="126"/>
        <v>0</v>
      </c>
      <c r="GWM46" s="420">
        <f t="shared" si="126"/>
        <v>0</v>
      </c>
      <c r="GWN46" s="420">
        <f t="shared" si="126"/>
        <v>0</v>
      </c>
      <c r="GWO46" s="420">
        <f t="shared" si="126"/>
        <v>0</v>
      </c>
      <c r="GWP46" s="420">
        <f t="shared" si="126"/>
        <v>0</v>
      </c>
      <c r="GWQ46" s="420">
        <f t="shared" si="126"/>
        <v>0</v>
      </c>
      <c r="GWR46" s="420">
        <f t="shared" si="126"/>
        <v>0</v>
      </c>
      <c r="GWS46" s="420">
        <f t="shared" si="126"/>
        <v>0</v>
      </c>
      <c r="GWT46" s="420">
        <f t="shared" si="126"/>
        <v>0</v>
      </c>
      <c r="GWU46" s="420">
        <f t="shared" si="126"/>
        <v>0</v>
      </c>
      <c r="GWV46" s="420">
        <f t="shared" si="126"/>
        <v>0</v>
      </c>
      <c r="GWW46" s="420">
        <f t="shared" si="126"/>
        <v>0</v>
      </c>
      <c r="GWX46" s="420">
        <f t="shared" si="126"/>
        <v>0</v>
      </c>
      <c r="GWY46" s="420">
        <f t="shared" si="126"/>
        <v>0</v>
      </c>
      <c r="GWZ46" s="420">
        <f t="shared" si="126"/>
        <v>0</v>
      </c>
      <c r="GXA46" s="420">
        <f t="shared" si="126"/>
        <v>0</v>
      </c>
      <c r="GXB46" s="420">
        <f t="shared" si="126"/>
        <v>0</v>
      </c>
      <c r="GXC46" s="420">
        <f t="shared" si="126"/>
        <v>0</v>
      </c>
      <c r="GXD46" s="420">
        <f t="shared" si="126"/>
        <v>0</v>
      </c>
      <c r="GXE46" s="420">
        <f t="shared" si="126"/>
        <v>0</v>
      </c>
      <c r="GXF46" s="420">
        <f t="shared" si="126"/>
        <v>0</v>
      </c>
      <c r="GXG46" s="420">
        <f t="shared" si="126"/>
        <v>0</v>
      </c>
      <c r="GXH46" s="420">
        <f t="shared" si="126"/>
        <v>0</v>
      </c>
      <c r="GXI46" s="420">
        <f t="shared" si="126"/>
        <v>0</v>
      </c>
      <c r="GXJ46" s="420">
        <f t="shared" si="126"/>
        <v>0</v>
      </c>
      <c r="GXK46" s="420">
        <f t="shared" si="126"/>
        <v>0</v>
      </c>
      <c r="GXL46" s="420">
        <f t="shared" si="126"/>
        <v>0</v>
      </c>
      <c r="GXM46" s="420">
        <f t="shared" si="126"/>
        <v>0</v>
      </c>
      <c r="GXN46" s="420">
        <f t="shared" si="126"/>
        <v>0</v>
      </c>
      <c r="GXO46" s="420">
        <f t="shared" si="126"/>
        <v>0</v>
      </c>
      <c r="GXP46" s="420">
        <f t="shared" si="126"/>
        <v>0</v>
      </c>
      <c r="GXQ46" s="420">
        <f t="shared" si="126"/>
        <v>0</v>
      </c>
      <c r="GXR46" s="420">
        <f t="shared" si="126"/>
        <v>0</v>
      </c>
      <c r="GXS46" s="420">
        <f t="shared" si="126"/>
        <v>0</v>
      </c>
      <c r="GXT46" s="420">
        <f t="shared" si="126"/>
        <v>0</v>
      </c>
      <c r="GXU46" s="420">
        <f t="shared" si="126"/>
        <v>0</v>
      </c>
      <c r="GXV46" s="420">
        <f t="shared" si="126"/>
        <v>0</v>
      </c>
      <c r="GXW46" s="420">
        <f t="shared" si="126"/>
        <v>0</v>
      </c>
      <c r="GXX46" s="420">
        <f t="shared" si="126"/>
        <v>0</v>
      </c>
      <c r="GXY46" s="420">
        <f t="shared" ref="GXY46:HAJ46" si="127">GXY45*0.8</f>
        <v>0</v>
      </c>
      <c r="GXZ46" s="420">
        <f t="shared" si="127"/>
        <v>0</v>
      </c>
      <c r="GYA46" s="420">
        <f t="shared" si="127"/>
        <v>0</v>
      </c>
      <c r="GYB46" s="420">
        <f t="shared" si="127"/>
        <v>0</v>
      </c>
      <c r="GYC46" s="420">
        <f t="shared" si="127"/>
        <v>0</v>
      </c>
      <c r="GYD46" s="420">
        <f t="shared" si="127"/>
        <v>0</v>
      </c>
      <c r="GYE46" s="420">
        <f t="shared" si="127"/>
        <v>0</v>
      </c>
      <c r="GYF46" s="420">
        <f t="shared" si="127"/>
        <v>0</v>
      </c>
      <c r="GYG46" s="420">
        <f t="shared" si="127"/>
        <v>0</v>
      </c>
      <c r="GYH46" s="420">
        <f t="shared" si="127"/>
        <v>0</v>
      </c>
      <c r="GYI46" s="420">
        <f t="shared" si="127"/>
        <v>0</v>
      </c>
      <c r="GYJ46" s="420">
        <f t="shared" si="127"/>
        <v>0</v>
      </c>
      <c r="GYK46" s="420">
        <f t="shared" si="127"/>
        <v>0</v>
      </c>
      <c r="GYL46" s="420">
        <f t="shared" si="127"/>
        <v>0</v>
      </c>
      <c r="GYM46" s="420">
        <f t="shared" si="127"/>
        <v>0</v>
      </c>
      <c r="GYN46" s="420">
        <f t="shared" si="127"/>
        <v>0</v>
      </c>
      <c r="GYO46" s="420">
        <f t="shared" si="127"/>
        <v>0</v>
      </c>
      <c r="GYP46" s="420">
        <f t="shared" si="127"/>
        <v>0</v>
      </c>
      <c r="GYQ46" s="420">
        <f t="shared" si="127"/>
        <v>0</v>
      </c>
      <c r="GYR46" s="420">
        <f t="shared" si="127"/>
        <v>0</v>
      </c>
      <c r="GYS46" s="420">
        <f t="shared" si="127"/>
        <v>0</v>
      </c>
      <c r="GYT46" s="420">
        <f t="shared" si="127"/>
        <v>0</v>
      </c>
      <c r="GYU46" s="420">
        <f t="shared" si="127"/>
        <v>0</v>
      </c>
      <c r="GYV46" s="420">
        <f t="shared" si="127"/>
        <v>0</v>
      </c>
      <c r="GYW46" s="420">
        <f t="shared" si="127"/>
        <v>0</v>
      </c>
      <c r="GYX46" s="420">
        <f t="shared" si="127"/>
        <v>0</v>
      </c>
      <c r="GYY46" s="420">
        <f t="shared" si="127"/>
        <v>0</v>
      </c>
      <c r="GYZ46" s="420">
        <f t="shared" si="127"/>
        <v>0</v>
      </c>
      <c r="GZA46" s="420">
        <f t="shared" si="127"/>
        <v>0</v>
      </c>
      <c r="GZB46" s="420">
        <f t="shared" si="127"/>
        <v>0</v>
      </c>
      <c r="GZC46" s="420">
        <f t="shared" si="127"/>
        <v>0</v>
      </c>
      <c r="GZD46" s="420">
        <f t="shared" si="127"/>
        <v>0</v>
      </c>
      <c r="GZE46" s="420">
        <f t="shared" si="127"/>
        <v>0</v>
      </c>
      <c r="GZF46" s="420">
        <f t="shared" si="127"/>
        <v>0</v>
      </c>
      <c r="GZG46" s="420">
        <f t="shared" si="127"/>
        <v>0</v>
      </c>
      <c r="GZH46" s="420">
        <f t="shared" si="127"/>
        <v>0</v>
      </c>
      <c r="GZI46" s="420">
        <f t="shared" si="127"/>
        <v>0</v>
      </c>
      <c r="GZJ46" s="420">
        <f t="shared" si="127"/>
        <v>0</v>
      </c>
      <c r="GZK46" s="420">
        <f t="shared" si="127"/>
        <v>0</v>
      </c>
      <c r="GZL46" s="420">
        <f t="shared" si="127"/>
        <v>0</v>
      </c>
      <c r="GZM46" s="420">
        <f t="shared" si="127"/>
        <v>0</v>
      </c>
      <c r="GZN46" s="420">
        <f t="shared" si="127"/>
        <v>0</v>
      </c>
      <c r="GZO46" s="420">
        <f t="shared" si="127"/>
        <v>0</v>
      </c>
      <c r="GZP46" s="420">
        <f t="shared" si="127"/>
        <v>0</v>
      </c>
      <c r="GZQ46" s="420">
        <f t="shared" si="127"/>
        <v>0</v>
      </c>
      <c r="GZR46" s="420">
        <f t="shared" si="127"/>
        <v>0</v>
      </c>
      <c r="GZS46" s="420">
        <f t="shared" si="127"/>
        <v>0</v>
      </c>
      <c r="GZT46" s="420">
        <f t="shared" si="127"/>
        <v>0</v>
      </c>
      <c r="GZU46" s="420">
        <f t="shared" si="127"/>
        <v>0</v>
      </c>
      <c r="GZV46" s="420">
        <f t="shared" si="127"/>
        <v>0</v>
      </c>
      <c r="GZW46" s="420">
        <f t="shared" si="127"/>
        <v>0</v>
      </c>
      <c r="GZX46" s="420">
        <f t="shared" si="127"/>
        <v>0</v>
      </c>
      <c r="GZY46" s="420">
        <f t="shared" si="127"/>
        <v>0</v>
      </c>
      <c r="GZZ46" s="420">
        <f t="shared" si="127"/>
        <v>0</v>
      </c>
      <c r="HAA46" s="420">
        <f t="shared" si="127"/>
        <v>0</v>
      </c>
      <c r="HAB46" s="420">
        <f t="shared" si="127"/>
        <v>0</v>
      </c>
      <c r="HAC46" s="420">
        <f t="shared" si="127"/>
        <v>0</v>
      </c>
      <c r="HAD46" s="420">
        <f t="shared" si="127"/>
        <v>0</v>
      </c>
      <c r="HAE46" s="420">
        <f t="shared" si="127"/>
        <v>0</v>
      </c>
      <c r="HAF46" s="420">
        <f t="shared" si="127"/>
        <v>0</v>
      </c>
      <c r="HAG46" s="420">
        <f t="shared" si="127"/>
        <v>0</v>
      </c>
      <c r="HAH46" s="420">
        <f t="shared" si="127"/>
        <v>0</v>
      </c>
      <c r="HAI46" s="420">
        <f t="shared" si="127"/>
        <v>0</v>
      </c>
      <c r="HAJ46" s="420">
        <f t="shared" si="127"/>
        <v>0</v>
      </c>
      <c r="HAK46" s="420">
        <f t="shared" ref="HAK46:HCV46" si="128">HAK45*0.8</f>
        <v>0</v>
      </c>
      <c r="HAL46" s="420">
        <f t="shared" si="128"/>
        <v>0</v>
      </c>
      <c r="HAM46" s="420">
        <f t="shared" si="128"/>
        <v>0</v>
      </c>
      <c r="HAN46" s="420">
        <f t="shared" si="128"/>
        <v>0</v>
      </c>
      <c r="HAO46" s="420">
        <f t="shared" si="128"/>
        <v>0</v>
      </c>
      <c r="HAP46" s="420">
        <f t="shared" si="128"/>
        <v>0</v>
      </c>
      <c r="HAQ46" s="420">
        <f t="shared" si="128"/>
        <v>0</v>
      </c>
      <c r="HAR46" s="420">
        <f t="shared" si="128"/>
        <v>0</v>
      </c>
      <c r="HAS46" s="420">
        <f t="shared" si="128"/>
        <v>0</v>
      </c>
      <c r="HAT46" s="420">
        <f t="shared" si="128"/>
        <v>0</v>
      </c>
      <c r="HAU46" s="420">
        <f t="shared" si="128"/>
        <v>0</v>
      </c>
      <c r="HAV46" s="420">
        <f t="shared" si="128"/>
        <v>0</v>
      </c>
      <c r="HAW46" s="420">
        <f t="shared" si="128"/>
        <v>0</v>
      </c>
      <c r="HAX46" s="420">
        <f t="shared" si="128"/>
        <v>0</v>
      </c>
      <c r="HAY46" s="420">
        <f t="shared" si="128"/>
        <v>0</v>
      </c>
      <c r="HAZ46" s="420">
        <f t="shared" si="128"/>
        <v>0</v>
      </c>
      <c r="HBA46" s="420">
        <f t="shared" si="128"/>
        <v>0</v>
      </c>
      <c r="HBB46" s="420">
        <f t="shared" si="128"/>
        <v>0</v>
      </c>
      <c r="HBC46" s="420">
        <f t="shared" si="128"/>
        <v>0</v>
      </c>
      <c r="HBD46" s="420">
        <f t="shared" si="128"/>
        <v>0</v>
      </c>
      <c r="HBE46" s="420">
        <f t="shared" si="128"/>
        <v>0</v>
      </c>
      <c r="HBF46" s="420">
        <f t="shared" si="128"/>
        <v>0</v>
      </c>
      <c r="HBG46" s="420">
        <f t="shared" si="128"/>
        <v>0</v>
      </c>
      <c r="HBH46" s="420">
        <f t="shared" si="128"/>
        <v>0</v>
      </c>
      <c r="HBI46" s="420">
        <f t="shared" si="128"/>
        <v>0</v>
      </c>
      <c r="HBJ46" s="420">
        <f t="shared" si="128"/>
        <v>0</v>
      </c>
      <c r="HBK46" s="420">
        <f t="shared" si="128"/>
        <v>0</v>
      </c>
      <c r="HBL46" s="420">
        <f t="shared" si="128"/>
        <v>0</v>
      </c>
      <c r="HBM46" s="420">
        <f t="shared" si="128"/>
        <v>0</v>
      </c>
      <c r="HBN46" s="420">
        <f t="shared" si="128"/>
        <v>0</v>
      </c>
      <c r="HBO46" s="420">
        <f t="shared" si="128"/>
        <v>0</v>
      </c>
      <c r="HBP46" s="420">
        <f t="shared" si="128"/>
        <v>0</v>
      </c>
      <c r="HBQ46" s="420">
        <f t="shared" si="128"/>
        <v>0</v>
      </c>
      <c r="HBR46" s="420">
        <f t="shared" si="128"/>
        <v>0</v>
      </c>
      <c r="HBS46" s="420">
        <f t="shared" si="128"/>
        <v>0</v>
      </c>
      <c r="HBT46" s="420">
        <f t="shared" si="128"/>
        <v>0</v>
      </c>
      <c r="HBU46" s="420">
        <f t="shared" si="128"/>
        <v>0</v>
      </c>
      <c r="HBV46" s="420">
        <f t="shared" si="128"/>
        <v>0</v>
      </c>
      <c r="HBW46" s="420">
        <f t="shared" si="128"/>
        <v>0</v>
      </c>
      <c r="HBX46" s="420">
        <f t="shared" si="128"/>
        <v>0</v>
      </c>
      <c r="HBY46" s="420">
        <f t="shared" si="128"/>
        <v>0</v>
      </c>
      <c r="HBZ46" s="420">
        <f t="shared" si="128"/>
        <v>0</v>
      </c>
      <c r="HCA46" s="420">
        <f t="shared" si="128"/>
        <v>0</v>
      </c>
      <c r="HCB46" s="420">
        <f t="shared" si="128"/>
        <v>0</v>
      </c>
      <c r="HCC46" s="420">
        <f t="shared" si="128"/>
        <v>0</v>
      </c>
      <c r="HCD46" s="420">
        <f t="shared" si="128"/>
        <v>0</v>
      </c>
      <c r="HCE46" s="420">
        <f t="shared" si="128"/>
        <v>0</v>
      </c>
      <c r="HCF46" s="420">
        <f t="shared" si="128"/>
        <v>0</v>
      </c>
      <c r="HCG46" s="420">
        <f t="shared" si="128"/>
        <v>0</v>
      </c>
      <c r="HCH46" s="420">
        <f t="shared" si="128"/>
        <v>0</v>
      </c>
      <c r="HCI46" s="420">
        <f t="shared" si="128"/>
        <v>0</v>
      </c>
      <c r="HCJ46" s="420">
        <f t="shared" si="128"/>
        <v>0</v>
      </c>
      <c r="HCK46" s="420">
        <f t="shared" si="128"/>
        <v>0</v>
      </c>
      <c r="HCL46" s="420">
        <f t="shared" si="128"/>
        <v>0</v>
      </c>
      <c r="HCM46" s="420">
        <f t="shared" si="128"/>
        <v>0</v>
      </c>
      <c r="HCN46" s="420">
        <f t="shared" si="128"/>
        <v>0</v>
      </c>
      <c r="HCO46" s="420">
        <f t="shared" si="128"/>
        <v>0</v>
      </c>
      <c r="HCP46" s="420">
        <f t="shared" si="128"/>
        <v>0</v>
      </c>
      <c r="HCQ46" s="420">
        <f t="shared" si="128"/>
        <v>0</v>
      </c>
      <c r="HCR46" s="420">
        <f t="shared" si="128"/>
        <v>0</v>
      </c>
      <c r="HCS46" s="420">
        <f t="shared" si="128"/>
        <v>0</v>
      </c>
      <c r="HCT46" s="420">
        <f t="shared" si="128"/>
        <v>0</v>
      </c>
      <c r="HCU46" s="420">
        <f t="shared" si="128"/>
        <v>0</v>
      </c>
      <c r="HCV46" s="420">
        <f t="shared" si="128"/>
        <v>0</v>
      </c>
      <c r="HCW46" s="420">
        <f t="shared" ref="HCW46:HFH46" si="129">HCW45*0.8</f>
        <v>0</v>
      </c>
      <c r="HCX46" s="420">
        <f t="shared" si="129"/>
        <v>0</v>
      </c>
      <c r="HCY46" s="420">
        <f t="shared" si="129"/>
        <v>0</v>
      </c>
      <c r="HCZ46" s="420">
        <f t="shared" si="129"/>
        <v>0</v>
      </c>
      <c r="HDA46" s="420">
        <f t="shared" si="129"/>
        <v>0</v>
      </c>
      <c r="HDB46" s="420">
        <f t="shared" si="129"/>
        <v>0</v>
      </c>
      <c r="HDC46" s="420">
        <f t="shared" si="129"/>
        <v>0</v>
      </c>
      <c r="HDD46" s="420">
        <f t="shared" si="129"/>
        <v>0</v>
      </c>
      <c r="HDE46" s="420">
        <f t="shared" si="129"/>
        <v>0</v>
      </c>
      <c r="HDF46" s="420">
        <f t="shared" si="129"/>
        <v>0</v>
      </c>
      <c r="HDG46" s="420">
        <f t="shared" si="129"/>
        <v>0</v>
      </c>
      <c r="HDH46" s="420">
        <f t="shared" si="129"/>
        <v>0</v>
      </c>
      <c r="HDI46" s="420">
        <f t="shared" si="129"/>
        <v>0</v>
      </c>
      <c r="HDJ46" s="420">
        <f t="shared" si="129"/>
        <v>0</v>
      </c>
      <c r="HDK46" s="420">
        <f t="shared" si="129"/>
        <v>0</v>
      </c>
      <c r="HDL46" s="420">
        <f t="shared" si="129"/>
        <v>0</v>
      </c>
      <c r="HDM46" s="420">
        <f t="shared" si="129"/>
        <v>0</v>
      </c>
      <c r="HDN46" s="420">
        <f t="shared" si="129"/>
        <v>0</v>
      </c>
      <c r="HDO46" s="420">
        <f t="shared" si="129"/>
        <v>0</v>
      </c>
      <c r="HDP46" s="420">
        <f t="shared" si="129"/>
        <v>0</v>
      </c>
      <c r="HDQ46" s="420">
        <f t="shared" si="129"/>
        <v>0</v>
      </c>
      <c r="HDR46" s="420">
        <f t="shared" si="129"/>
        <v>0</v>
      </c>
      <c r="HDS46" s="420">
        <f t="shared" si="129"/>
        <v>0</v>
      </c>
      <c r="HDT46" s="420">
        <f t="shared" si="129"/>
        <v>0</v>
      </c>
      <c r="HDU46" s="420">
        <f t="shared" si="129"/>
        <v>0</v>
      </c>
      <c r="HDV46" s="420">
        <f t="shared" si="129"/>
        <v>0</v>
      </c>
      <c r="HDW46" s="420">
        <f t="shared" si="129"/>
        <v>0</v>
      </c>
      <c r="HDX46" s="420">
        <f t="shared" si="129"/>
        <v>0</v>
      </c>
      <c r="HDY46" s="420">
        <f t="shared" si="129"/>
        <v>0</v>
      </c>
      <c r="HDZ46" s="420">
        <f t="shared" si="129"/>
        <v>0</v>
      </c>
      <c r="HEA46" s="420">
        <f t="shared" si="129"/>
        <v>0</v>
      </c>
      <c r="HEB46" s="420">
        <f t="shared" si="129"/>
        <v>0</v>
      </c>
      <c r="HEC46" s="420">
        <f t="shared" si="129"/>
        <v>0</v>
      </c>
      <c r="HED46" s="420">
        <f t="shared" si="129"/>
        <v>0</v>
      </c>
      <c r="HEE46" s="420">
        <f t="shared" si="129"/>
        <v>0</v>
      </c>
      <c r="HEF46" s="420">
        <f t="shared" si="129"/>
        <v>0</v>
      </c>
      <c r="HEG46" s="420">
        <f t="shared" si="129"/>
        <v>0</v>
      </c>
      <c r="HEH46" s="420">
        <f t="shared" si="129"/>
        <v>0</v>
      </c>
      <c r="HEI46" s="420">
        <f t="shared" si="129"/>
        <v>0</v>
      </c>
      <c r="HEJ46" s="420">
        <f t="shared" si="129"/>
        <v>0</v>
      </c>
      <c r="HEK46" s="420">
        <f t="shared" si="129"/>
        <v>0</v>
      </c>
      <c r="HEL46" s="420">
        <f t="shared" si="129"/>
        <v>0</v>
      </c>
      <c r="HEM46" s="420">
        <f t="shared" si="129"/>
        <v>0</v>
      </c>
      <c r="HEN46" s="420">
        <f t="shared" si="129"/>
        <v>0</v>
      </c>
      <c r="HEO46" s="420">
        <f t="shared" si="129"/>
        <v>0</v>
      </c>
      <c r="HEP46" s="420">
        <f t="shared" si="129"/>
        <v>0</v>
      </c>
      <c r="HEQ46" s="420">
        <f t="shared" si="129"/>
        <v>0</v>
      </c>
      <c r="HER46" s="420">
        <f t="shared" si="129"/>
        <v>0</v>
      </c>
      <c r="HES46" s="420">
        <f t="shared" si="129"/>
        <v>0</v>
      </c>
      <c r="HET46" s="420">
        <f t="shared" si="129"/>
        <v>0</v>
      </c>
      <c r="HEU46" s="420">
        <f t="shared" si="129"/>
        <v>0</v>
      </c>
      <c r="HEV46" s="420">
        <f t="shared" si="129"/>
        <v>0</v>
      </c>
      <c r="HEW46" s="420">
        <f t="shared" si="129"/>
        <v>0</v>
      </c>
      <c r="HEX46" s="420">
        <f t="shared" si="129"/>
        <v>0</v>
      </c>
      <c r="HEY46" s="420">
        <f t="shared" si="129"/>
        <v>0</v>
      </c>
      <c r="HEZ46" s="420">
        <f t="shared" si="129"/>
        <v>0</v>
      </c>
      <c r="HFA46" s="420">
        <f t="shared" si="129"/>
        <v>0</v>
      </c>
      <c r="HFB46" s="420">
        <f t="shared" si="129"/>
        <v>0</v>
      </c>
      <c r="HFC46" s="420">
        <f t="shared" si="129"/>
        <v>0</v>
      </c>
      <c r="HFD46" s="420">
        <f t="shared" si="129"/>
        <v>0</v>
      </c>
      <c r="HFE46" s="420">
        <f t="shared" si="129"/>
        <v>0</v>
      </c>
      <c r="HFF46" s="420">
        <f t="shared" si="129"/>
        <v>0</v>
      </c>
      <c r="HFG46" s="420">
        <f t="shared" si="129"/>
        <v>0</v>
      </c>
      <c r="HFH46" s="420">
        <f t="shared" si="129"/>
        <v>0</v>
      </c>
      <c r="HFI46" s="420">
        <f t="shared" ref="HFI46:HHT46" si="130">HFI45*0.8</f>
        <v>0</v>
      </c>
      <c r="HFJ46" s="420">
        <f t="shared" si="130"/>
        <v>0</v>
      </c>
      <c r="HFK46" s="420">
        <f t="shared" si="130"/>
        <v>0</v>
      </c>
      <c r="HFL46" s="420">
        <f t="shared" si="130"/>
        <v>0</v>
      </c>
      <c r="HFM46" s="420">
        <f t="shared" si="130"/>
        <v>0</v>
      </c>
      <c r="HFN46" s="420">
        <f t="shared" si="130"/>
        <v>0</v>
      </c>
      <c r="HFO46" s="420">
        <f t="shared" si="130"/>
        <v>0</v>
      </c>
      <c r="HFP46" s="420">
        <f t="shared" si="130"/>
        <v>0</v>
      </c>
      <c r="HFQ46" s="420">
        <f t="shared" si="130"/>
        <v>0</v>
      </c>
      <c r="HFR46" s="420">
        <f t="shared" si="130"/>
        <v>0</v>
      </c>
      <c r="HFS46" s="420">
        <f t="shared" si="130"/>
        <v>0</v>
      </c>
      <c r="HFT46" s="420">
        <f t="shared" si="130"/>
        <v>0</v>
      </c>
      <c r="HFU46" s="420">
        <f t="shared" si="130"/>
        <v>0</v>
      </c>
      <c r="HFV46" s="420">
        <f t="shared" si="130"/>
        <v>0</v>
      </c>
      <c r="HFW46" s="420">
        <f t="shared" si="130"/>
        <v>0</v>
      </c>
      <c r="HFX46" s="420">
        <f t="shared" si="130"/>
        <v>0</v>
      </c>
      <c r="HFY46" s="420">
        <f t="shared" si="130"/>
        <v>0</v>
      </c>
      <c r="HFZ46" s="420">
        <f t="shared" si="130"/>
        <v>0</v>
      </c>
      <c r="HGA46" s="420">
        <f t="shared" si="130"/>
        <v>0</v>
      </c>
      <c r="HGB46" s="420">
        <f t="shared" si="130"/>
        <v>0</v>
      </c>
      <c r="HGC46" s="420">
        <f t="shared" si="130"/>
        <v>0</v>
      </c>
      <c r="HGD46" s="420">
        <f t="shared" si="130"/>
        <v>0</v>
      </c>
      <c r="HGE46" s="420">
        <f t="shared" si="130"/>
        <v>0</v>
      </c>
      <c r="HGF46" s="420">
        <f t="shared" si="130"/>
        <v>0</v>
      </c>
      <c r="HGG46" s="420">
        <f t="shared" si="130"/>
        <v>0</v>
      </c>
      <c r="HGH46" s="420">
        <f t="shared" si="130"/>
        <v>0</v>
      </c>
      <c r="HGI46" s="420">
        <f t="shared" si="130"/>
        <v>0</v>
      </c>
      <c r="HGJ46" s="420">
        <f t="shared" si="130"/>
        <v>0</v>
      </c>
      <c r="HGK46" s="420">
        <f t="shared" si="130"/>
        <v>0</v>
      </c>
      <c r="HGL46" s="420">
        <f t="shared" si="130"/>
        <v>0</v>
      </c>
      <c r="HGM46" s="420">
        <f t="shared" si="130"/>
        <v>0</v>
      </c>
      <c r="HGN46" s="420">
        <f t="shared" si="130"/>
        <v>0</v>
      </c>
      <c r="HGO46" s="420">
        <f t="shared" si="130"/>
        <v>0</v>
      </c>
      <c r="HGP46" s="420">
        <f t="shared" si="130"/>
        <v>0</v>
      </c>
      <c r="HGQ46" s="420">
        <f t="shared" si="130"/>
        <v>0</v>
      </c>
      <c r="HGR46" s="420">
        <f t="shared" si="130"/>
        <v>0</v>
      </c>
      <c r="HGS46" s="420">
        <f t="shared" si="130"/>
        <v>0</v>
      </c>
      <c r="HGT46" s="420">
        <f t="shared" si="130"/>
        <v>0</v>
      </c>
      <c r="HGU46" s="420">
        <f t="shared" si="130"/>
        <v>0</v>
      </c>
      <c r="HGV46" s="420">
        <f t="shared" si="130"/>
        <v>0</v>
      </c>
      <c r="HGW46" s="420">
        <f t="shared" si="130"/>
        <v>0</v>
      </c>
      <c r="HGX46" s="420">
        <f t="shared" si="130"/>
        <v>0</v>
      </c>
      <c r="HGY46" s="420">
        <f t="shared" si="130"/>
        <v>0</v>
      </c>
      <c r="HGZ46" s="420">
        <f t="shared" si="130"/>
        <v>0</v>
      </c>
      <c r="HHA46" s="420">
        <f t="shared" si="130"/>
        <v>0</v>
      </c>
      <c r="HHB46" s="420">
        <f t="shared" si="130"/>
        <v>0</v>
      </c>
      <c r="HHC46" s="420">
        <f t="shared" si="130"/>
        <v>0</v>
      </c>
      <c r="HHD46" s="420">
        <f t="shared" si="130"/>
        <v>0</v>
      </c>
      <c r="HHE46" s="420">
        <f t="shared" si="130"/>
        <v>0</v>
      </c>
      <c r="HHF46" s="420">
        <f t="shared" si="130"/>
        <v>0</v>
      </c>
      <c r="HHG46" s="420">
        <f t="shared" si="130"/>
        <v>0</v>
      </c>
      <c r="HHH46" s="420">
        <f t="shared" si="130"/>
        <v>0</v>
      </c>
      <c r="HHI46" s="420">
        <f t="shared" si="130"/>
        <v>0</v>
      </c>
      <c r="HHJ46" s="420">
        <f t="shared" si="130"/>
        <v>0</v>
      </c>
      <c r="HHK46" s="420">
        <f t="shared" si="130"/>
        <v>0</v>
      </c>
      <c r="HHL46" s="420">
        <f t="shared" si="130"/>
        <v>0</v>
      </c>
      <c r="HHM46" s="420">
        <f t="shared" si="130"/>
        <v>0</v>
      </c>
      <c r="HHN46" s="420">
        <f t="shared" si="130"/>
        <v>0</v>
      </c>
      <c r="HHO46" s="420">
        <f t="shared" si="130"/>
        <v>0</v>
      </c>
      <c r="HHP46" s="420">
        <f t="shared" si="130"/>
        <v>0</v>
      </c>
      <c r="HHQ46" s="420">
        <f t="shared" si="130"/>
        <v>0</v>
      </c>
      <c r="HHR46" s="420">
        <f t="shared" si="130"/>
        <v>0</v>
      </c>
      <c r="HHS46" s="420">
        <f t="shared" si="130"/>
        <v>0</v>
      </c>
      <c r="HHT46" s="420">
        <f t="shared" si="130"/>
        <v>0</v>
      </c>
      <c r="HHU46" s="420">
        <f t="shared" ref="HHU46:HKF46" si="131">HHU45*0.8</f>
        <v>0</v>
      </c>
      <c r="HHV46" s="420">
        <f t="shared" si="131"/>
        <v>0</v>
      </c>
      <c r="HHW46" s="420">
        <f t="shared" si="131"/>
        <v>0</v>
      </c>
      <c r="HHX46" s="420">
        <f t="shared" si="131"/>
        <v>0</v>
      </c>
      <c r="HHY46" s="420">
        <f t="shared" si="131"/>
        <v>0</v>
      </c>
      <c r="HHZ46" s="420">
        <f t="shared" si="131"/>
        <v>0</v>
      </c>
      <c r="HIA46" s="420">
        <f t="shared" si="131"/>
        <v>0</v>
      </c>
      <c r="HIB46" s="420">
        <f t="shared" si="131"/>
        <v>0</v>
      </c>
      <c r="HIC46" s="420">
        <f t="shared" si="131"/>
        <v>0</v>
      </c>
      <c r="HID46" s="420">
        <f t="shared" si="131"/>
        <v>0</v>
      </c>
      <c r="HIE46" s="420">
        <f t="shared" si="131"/>
        <v>0</v>
      </c>
      <c r="HIF46" s="420">
        <f t="shared" si="131"/>
        <v>0</v>
      </c>
      <c r="HIG46" s="420">
        <f t="shared" si="131"/>
        <v>0</v>
      </c>
      <c r="HIH46" s="420">
        <f t="shared" si="131"/>
        <v>0</v>
      </c>
      <c r="HII46" s="420">
        <f t="shared" si="131"/>
        <v>0</v>
      </c>
      <c r="HIJ46" s="420">
        <f t="shared" si="131"/>
        <v>0</v>
      </c>
      <c r="HIK46" s="420">
        <f t="shared" si="131"/>
        <v>0</v>
      </c>
      <c r="HIL46" s="420">
        <f t="shared" si="131"/>
        <v>0</v>
      </c>
      <c r="HIM46" s="420">
        <f t="shared" si="131"/>
        <v>0</v>
      </c>
      <c r="HIN46" s="420">
        <f t="shared" si="131"/>
        <v>0</v>
      </c>
      <c r="HIO46" s="420">
        <f t="shared" si="131"/>
        <v>0</v>
      </c>
      <c r="HIP46" s="420">
        <f t="shared" si="131"/>
        <v>0</v>
      </c>
      <c r="HIQ46" s="420">
        <f t="shared" si="131"/>
        <v>0</v>
      </c>
      <c r="HIR46" s="420">
        <f t="shared" si="131"/>
        <v>0</v>
      </c>
      <c r="HIS46" s="420">
        <f t="shared" si="131"/>
        <v>0</v>
      </c>
      <c r="HIT46" s="420">
        <f t="shared" si="131"/>
        <v>0</v>
      </c>
      <c r="HIU46" s="420">
        <f t="shared" si="131"/>
        <v>0</v>
      </c>
      <c r="HIV46" s="420">
        <f t="shared" si="131"/>
        <v>0</v>
      </c>
      <c r="HIW46" s="420">
        <f t="shared" si="131"/>
        <v>0</v>
      </c>
      <c r="HIX46" s="420">
        <f t="shared" si="131"/>
        <v>0</v>
      </c>
      <c r="HIY46" s="420">
        <f t="shared" si="131"/>
        <v>0</v>
      </c>
      <c r="HIZ46" s="420">
        <f t="shared" si="131"/>
        <v>0</v>
      </c>
      <c r="HJA46" s="420">
        <f t="shared" si="131"/>
        <v>0</v>
      </c>
      <c r="HJB46" s="420">
        <f t="shared" si="131"/>
        <v>0</v>
      </c>
      <c r="HJC46" s="420">
        <f t="shared" si="131"/>
        <v>0</v>
      </c>
      <c r="HJD46" s="420">
        <f t="shared" si="131"/>
        <v>0</v>
      </c>
      <c r="HJE46" s="420">
        <f t="shared" si="131"/>
        <v>0</v>
      </c>
      <c r="HJF46" s="420">
        <f t="shared" si="131"/>
        <v>0</v>
      </c>
      <c r="HJG46" s="420">
        <f t="shared" si="131"/>
        <v>0</v>
      </c>
      <c r="HJH46" s="420">
        <f t="shared" si="131"/>
        <v>0</v>
      </c>
      <c r="HJI46" s="420">
        <f t="shared" si="131"/>
        <v>0</v>
      </c>
      <c r="HJJ46" s="420">
        <f t="shared" si="131"/>
        <v>0</v>
      </c>
      <c r="HJK46" s="420">
        <f t="shared" si="131"/>
        <v>0</v>
      </c>
      <c r="HJL46" s="420">
        <f t="shared" si="131"/>
        <v>0</v>
      </c>
      <c r="HJM46" s="420">
        <f t="shared" si="131"/>
        <v>0</v>
      </c>
      <c r="HJN46" s="420">
        <f t="shared" si="131"/>
        <v>0</v>
      </c>
      <c r="HJO46" s="420">
        <f t="shared" si="131"/>
        <v>0</v>
      </c>
      <c r="HJP46" s="420">
        <f t="shared" si="131"/>
        <v>0</v>
      </c>
      <c r="HJQ46" s="420">
        <f t="shared" si="131"/>
        <v>0</v>
      </c>
      <c r="HJR46" s="420">
        <f t="shared" si="131"/>
        <v>0</v>
      </c>
      <c r="HJS46" s="420">
        <f t="shared" si="131"/>
        <v>0</v>
      </c>
      <c r="HJT46" s="420">
        <f t="shared" si="131"/>
        <v>0</v>
      </c>
      <c r="HJU46" s="420">
        <f t="shared" si="131"/>
        <v>0</v>
      </c>
      <c r="HJV46" s="420">
        <f t="shared" si="131"/>
        <v>0</v>
      </c>
      <c r="HJW46" s="420">
        <f t="shared" si="131"/>
        <v>0</v>
      </c>
      <c r="HJX46" s="420">
        <f t="shared" si="131"/>
        <v>0</v>
      </c>
      <c r="HJY46" s="420">
        <f t="shared" si="131"/>
        <v>0</v>
      </c>
      <c r="HJZ46" s="420">
        <f t="shared" si="131"/>
        <v>0</v>
      </c>
      <c r="HKA46" s="420">
        <f t="shared" si="131"/>
        <v>0</v>
      </c>
      <c r="HKB46" s="420">
        <f t="shared" si="131"/>
        <v>0</v>
      </c>
      <c r="HKC46" s="420">
        <f t="shared" si="131"/>
        <v>0</v>
      </c>
      <c r="HKD46" s="420">
        <f t="shared" si="131"/>
        <v>0</v>
      </c>
      <c r="HKE46" s="420">
        <f t="shared" si="131"/>
        <v>0</v>
      </c>
      <c r="HKF46" s="420">
        <f t="shared" si="131"/>
        <v>0</v>
      </c>
      <c r="HKG46" s="420">
        <f t="shared" ref="HKG46:HMR46" si="132">HKG45*0.8</f>
        <v>0</v>
      </c>
      <c r="HKH46" s="420">
        <f t="shared" si="132"/>
        <v>0</v>
      </c>
      <c r="HKI46" s="420">
        <f t="shared" si="132"/>
        <v>0</v>
      </c>
      <c r="HKJ46" s="420">
        <f t="shared" si="132"/>
        <v>0</v>
      </c>
      <c r="HKK46" s="420">
        <f t="shared" si="132"/>
        <v>0</v>
      </c>
      <c r="HKL46" s="420">
        <f t="shared" si="132"/>
        <v>0</v>
      </c>
      <c r="HKM46" s="420">
        <f t="shared" si="132"/>
        <v>0</v>
      </c>
      <c r="HKN46" s="420">
        <f t="shared" si="132"/>
        <v>0</v>
      </c>
      <c r="HKO46" s="420">
        <f t="shared" si="132"/>
        <v>0</v>
      </c>
      <c r="HKP46" s="420">
        <f t="shared" si="132"/>
        <v>0</v>
      </c>
      <c r="HKQ46" s="420">
        <f t="shared" si="132"/>
        <v>0</v>
      </c>
      <c r="HKR46" s="420">
        <f t="shared" si="132"/>
        <v>0</v>
      </c>
      <c r="HKS46" s="420">
        <f t="shared" si="132"/>
        <v>0</v>
      </c>
      <c r="HKT46" s="420">
        <f t="shared" si="132"/>
        <v>0</v>
      </c>
      <c r="HKU46" s="420">
        <f t="shared" si="132"/>
        <v>0</v>
      </c>
      <c r="HKV46" s="420">
        <f t="shared" si="132"/>
        <v>0</v>
      </c>
      <c r="HKW46" s="420">
        <f t="shared" si="132"/>
        <v>0</v>
      </c>
      <c r="HKX46" s="420">
        <f t="shared" si="132"/>
        <v>0</v>
      </c>
      <c r="HKY46" s="420">
        <f t="shared" si="132"/>
        <v>0</v>
      </c>
      <c r="HKZ46" s="420">
        <f t="shared" si="132"/>
        <v>0</v>
      </c>
      <c r="HLA46" s="420">
        <f t="shared" si="132"/>
        <v>0</v>
      </c>
      <c r="HLB46" s="420">
        <f t="shared" si="132"/>
        <v>0</v>
      </c>
      <c r="HLC46" s="420">
        <f t="shared" si="132"/>
        <v>0</v>
      </c>
      <c r="HLD46" s="420">
        <f t="shared" si="132"/>
        <v>0</v>
      </c>
      <c r="HLE46" s="420">
        <f t="shared" si="132"/>
        <v>0</v>
      </c>
      <c r="HLF46" s="420">
        <f t="shared" si="132"/>
        <v>0</v>
      </c>
      <c r="HLG46" s="420">
        <f t="shared" si="132"/>
        <v>0</v>
      </c>
      <c r="HLH46" s="420">
        <f t="shared" si="132"/>
        <v>0</v>
      </c>
      <c r="HLI46" s="420">
        <f t="shared" si="132"/>
        <v>0</v>
      </c>
      <c r="HLJ46" s="420">
        <f t="shared" si="132"/>
        <v>0</v>
      </c>
      <c r="HLK46" s="420">
        <f t="shared" si="132"/>
        <v>0</v>
      </c>
      <c r="HLL46" s="420">
        <f t="shared" si="132"/>
        <v>0</v>
      </c>
      <c r="HLM46" s="420">
        <f t="shared" si="132"/>
        <v>0</v>
      </c>
      <c r="HLN46" s="420">
        <f t="shared" si="132"/>
        <v>0</v>
      </c>
      <c r="HLO46" s="420">
        <f t="shared" si="132"/>
        <v>0</v>
      </c>
      <c r="HLP46" s="420">
        <f t="shared" si="132"/>
        <v>0</v>
      </c>
      <c r="HLQ46" s="420">
        <f t="shared" si="132"/>
        <v>0</v>
      </c>
      <c r="HLR46" s="420">
        <f t="shared" si="132"/>
        <v>0</v>
      </c>
      <c r="HLS46" s="420">
        <f t="shared" si="132"/>
        <v>0</v>
      </c>
      <c r="HLT46" s="420">
        <f t="shared" si="132"/>
        <v>0</v>
      </c>
      <c r="HLU46" s="420">
        <f t="shared" si="132"/>
        <v>0</v>
      </c>
      <c r="HLV46" s="420">
        <f t="shared" si="132"/>
        <v>0</v>
      </c>
      <c r="HLW46" s="420">
        <f t="shared" si="132"/>
        <v>0</v>
      </c>
      <c r="HLX46" s="420">
        <f t="shared" si="132"/>
        <v>0</v>
      </c>
      <c r="HLY46" s="420">
        <f t="shared" si="132"/>
        <v>0</v>
      </c>
      <c r="HLZ46" s="420">
        <f t="shared" si="132"/>
        <v>0</v>
      </c>
      <c r="HMA46" s="420">
        <f t="shared" si="132"/>
        <v>0</v>
      </c>
      <c r="HMB46" s="420">
        <f t="shared" si="132"/>
        <v>0</v>
      </c>
      <c r="HMC46" s="420">
        <f t="shared" si="132"/>
        <v>0</v>
      </c>
      <c r="HMD46" s="420">
        <f t="shared" si="132"/>
        <v>0</v>
      </c>
      <c r="HME46" s="420">
        <f t="shared" si="132"/>
        <v>0</v>
      </c>
      <c r="HMF46" s="420">
        <f t="shared" si="132"/>
        <v>0</v>
      </c>
      <c r="HMG46" s="420">
        <f t="shared" si="132"/>
        <v>0</v>
      </c>
      <c r="HMH46" s="420">
        <f t="shared" si="132"/>
        <v>0</v>
      </c>
      <c r="HMI46" s="420">
        <f t="shared" si="132"/>
        <v>0</v>
      </c>
      <c r="HMJ46" s="420">
        <f t="shared" si="132"/>
        <v>0</v>
      </c>
      <c r="HMK46" s="420">
        <f t="shared" si="132"/>
        <v>0</v>
      </c>
      <c r="HML46" s="420">
        <f t="shared" si="132"/>
        <v>0</v>
      </c>
      <c r="HMM46" s="420">
        <f t="shared" si="132"/>
        <v>0</v>
      </c>
      <c r="HMN46" s="420">
        <f t="shared" si="132"/>
        <v>0</v>
      </c>
      <c r="HMO46" s="420">
        <f t="shared" si="132"/>
        <v>0</v>
      </c>
      <c r="HMP46" s="420">
        <f t="shared" si="132"/>
        <v>0</v>
      </c>
      <c r="HMQ46" s="420">
        <f t="shared" si="132"/>
        <v>0</v>
      </c>
      <c r="HMR46" s="420">
        <f t="shared" si="132"/>
        <v>0</v>
      </c>
      <c r="HMS46" s="420">
        <f t="shared" ref="HMS46:HPD46" si="133">HMS45*0.8</f>
        <v>0</v>
      </c>
      <c r="HMT46" s="420">
        <f t="shared" si="133"/>
        <v>0</v>
      </c>
      <c r="HMU46" s="420">
        <f t="shared" si="133"/>
        <v>0</v>
      </c>
      <c r="HMV46" s="420">
        <f t="shared" si="133"/>
        <v>0</v>
      </c>
      <c r="HMW46" s="420">
        <f t="shared" si="133"/>
        <v>0</v>
      </c>
      <c r="HMX46" s="420">
        <f t="shared" si="133"/>
        <v>0</v>
      </c>
      <c r="HMY46" s="420">
        <f t="shared" si="133"/>
        <v>0</v>
      </c>
      <c r="HMZ46" s="420">
        <f t="shared" si="133"/>
        <v>0</v>
      </c>
      <c r="HNA46" s="420">
        <f t="shared" si="133"/>
        <v>0</v>
      </c>
      <c r="HNB46" s="420">
        <f t="shared" si="133"/>
        <v>0</v>
      </c>
      <c r="HNC46" s="420">
        <f t="shared" si="133"/>
        <v>0</v>
      </c>
      <c r="HND46" s="420">
        <f t="shared" si="133"/>
        <v>0</v>
      </c>
      <c r="HNE46" s="420">
        <f t="shared" si="133"/>
        <v>0</v>
      </c>
      <c r="HNF46" s="420">
        <f t="shared" si="133"/>
        <v>0</v>
      </c>
      <c r="HNG46" s="420">
        <f t="shared" si="133"/>
        <v>0</v>
      </c>
      <c r="HNH46" s="420">
        <f t="shared" si="133"/>
        <v>0</v>
      </c>
      <c r="HNI46" s="420">
        <f t="shared" si="133"/>
        <v>0</v>
      </c>
      <c r="HNJ46" s="420">
        <f t="shared" si="133"/>
        <v>0</v>
      </c>
      <c r="HNK46" s="420">
        <f t="shared" si="133"/>
        <v>0</v>
      </c>
      <c r="HNL46" s="420">
        <f t="shared" si="133"/>
        <v>0</v>
      </c>
      <c r="HNM46" s="420">
        <f t="shared" si="133"/>
        <v>0</v>
      </c>
      <c r="HNN46" s="420">
        <f t="shared" si="133"/>
        <v>0</v>
      </c>
      <c r="HNO46" s="420">
        <f t="shared" si="133"/>
        <v>0</v>
      </c>
      <c r="HNP46" s="420">
        <f t="shared" si="133"/>
        <v>0</v>
      </c>
      <c r="HNQ46" s="420">
        <f t="shared" si="133"/>
        <v>0</v>
      </c>
      <c r="HNR46" s="420">
        <f t="shared" si="133"/>
        <v>0</v>
      </c>
      <c r="HNS46" s="420">
        <f t="shared" si="133"/>
        <v>0</v>
      </c>
      <c r="HNT46" s="420">
        <f t="shared" si="133"/>
        <v>0</v>
      </c>
      <c r="HNU46" s="420">
        <f t="shared" si="133"/>
        <v>0</v>
      </c>
      <c r="HNV46" s="420">
        <f t="shared" si="133"/>
        <v>0</v>
      </c>
      <c r="HNW46" s="420">
        <f t="shared" si="133"/>
        <v>0</v>
      </c>
      <c r="HNX46" s="420">
        <f t="shared" si="133"/>
        <v>0</v>
      </c>
      <c r="HNY46" s="420">
        <f t="shared" si="133"/>
        <v>0</v>
      </c>
      <c r="HNZ46" s="420">
        <f t="shared" si="133"/>
        <v>0</v>
      </c>
      <c r="HOA46" s="420">
        <f t="shared" si="133"/>
        <v>0</v>
      </c>
      <c r="HOB46" s="420">
        <f t="shared" si="133"/>
        <v>0</v>
      </c>
      <c r="HOC46" s="420">
        <f t="shared" si="133"/>
        <v>0</v>
      </c>
      <c r="HOD46" s="420">
        <f t="shared" si="133"/>
        <v>0</v>
      </c>
      <c r="HOE46" s="420">
        <f t="shared" si="133"/>
        <v>0</v>
      </c>
      <c r="HOF46" s="420">
        <f t="shared" si="133"/>
        <v>0</v>
      </c>
      <c r="HOG46" s="420">
        <f t="shared" si="133"/>
        <v>0</v>
      </c>
      <c r="HOH46" s="420">
        <f t="shared" si="133"/>
        <v>0</v>
      </c>
      <c r="HOI46" s="420">
        <f t="shared" si="133"/>
        <v>0</v>
      </c>
      <c r="HOJ46" s="420">
        <f t="shared" si="133"/>
        <v>0</v>
      </c>
      <c r="HOK46" s="420">
        <f t="shared" si="133"/>
        <v>0</v>
      </c>
      <c r="HOL46" s="420">
        <f t="shared" si="133"/>
        <v>0</v>
      </c>
      <c r="HOM46" s="420">
        <f t="shared" si="133"/>
        <v>0</v>
      </c>
      <c r="HON46" s="420">
        <f t="shared" si="133"/>
        <v>0</v>
      </c>
      <c r="HOO46" s="420">
        <f t="shared" si="133"/>
        <v>0</v>
      </c>
      <c r="HOP46" s="420">
        <f t="shared" si="133"/>
        <v>0</v>
      </c>
      <c r="HOQ46" s="420">
        <f t="shared" si="133"/>
        <v>0</v>
      </c>
      <c r="HOR46" s="420">
        <f t="shared" si="133"/>
        <v>0</v>
      </c>
      <c r="HOS46" s="420">
        <f t="shared" si="133"/>
        <v>0</v>
      </c>
      <c r="HOT46" s="420">
        <f t="shared" si="133"/>
        <v>0</v>
      </c>
      <c r="HOU46" s="420">
        <f t="shared" si="133"/>
        <v>0</v>
      </c>
      <c r="HOV46" s="420">
        <f t="shared" si="133"/>
        <v>0</v>
      </c>
      <c r="HOW46" s="420">
        <f t="shared" si="133"/>
        <v>0</v>
      </c>
      <c r="HOX46" s="420">
        <f t="shared" si="133"/>
        <v>0</v>
      </c>
      <c r="HOY46" s="420">
        <f t="shared" si="133"/>
        <v>0</v>
      </c>
      <c r="HOZ46" s="420">
        <f t="shared" si="133"/>
        <v>0</v>
      </c>
      <c r="HPA46" s="420">
        <f t="shared" si="133"/>
        <v>0</v>
      </c>
      <c r="HPB46" s="420">
        <f t="shared" si="133"/>
        <v>0</v>
      </c>
      <c r="HPC46" s="420">
        <f t="shared" si="133"/>
        <v>0</v>
      </c>
      <c r="HPD46" s="420">
        <f t="shared" si="133"/>
        <v>0</v>
      </c>
      <c r="HPE46" s="420">
        <f t="shared" ref="HPE46:HRP46" si="134">HPE45*0.8</f>
        <v>0</v>
      </c>
      <c r="HPF46" s="420">
        <f t="shared" si="134"/>
        <v>0</v>
      </c>
      <c r="HPG46" s="420">
        <f t="shared" si="134"/>
        <v>0</v>
      </c>
      <c r="HPH46" s="420">
        <f t="shared" si="134"/>
        <v>0</v>
      </c>
      <c r="HPI46" s="420">
        <f t="shared" si="134"/>
        <v>0</v>
      </c>
      <c r="HPJ46" s="420">
        <f t="shared" si="134"/>
        <v>0</v>
      </c>
      <c r="HPK46" s="420">
        <f t="shared" si="134"/>
        <v>0</v>
      </c>
      <c r="HPL46" s="420">
        <f t="shared" si="134"/>
        <v>0</v>
      </c>
      <c r="HPM46" s="420">
        <f t="shared" si="134"/>
        <v>0</v>
      </c>
      <c r="HPN46" s="420">
        <f t="shared" si="134"/>
        <v>0</v>
      </c>
      <c r="HPO46" s="420">
        <f t="shared" si="134"/>
        <v>0</v>
      </c>
      <c r="HPP46" s="420">
        <f t="shared" si="134"/>
        <v>0</v>
      </c>
      <c r="HPQ46" s="420">
        <f t="shared" si="134"/>
        <v>0</v>
      </c>
      <c r="HPR46" s="420">
        <f t="shared" si="134"/>
        <v>0</v>
      </c>
      <c r="HPS46" s="420">
        <f t="shared" si="134"/>
        <v>0</v>
      </c>
      <c r="HPT46" s="420">
        <f t="shared" si="134"/>
        <v>0</v>
      </c>
      <c r="HPU46" s="420">
        <f t="shared" si="134"/>
        <v>0</v>
      </c>
      <c r="HPV46" s="420">
        <f t="shared" si="134"/>
        <v>0</v>
      </c>
      <c r="HPW46" s="420">
        <f t="shared" si="134"/>
        <v>0</v>
      </c>
      <c r="HPX46" s="420">
        <f t="shared" si="134"/>
        <v>0</v>
      </c>
      <c r="HPY46" s="420">
        <f t="shared" si="134"/>
        <v>0</v>
      </c>
      <c r="HPZ46" s="420">
        <f t="shared" si="134"/>
        <v>0</v>
      </c>
      <c r="HQA46" s="420">
        <f t="shared" si="134"/>
        <v>0</v>
      </c>
      <c r="HQB46" s="420">
        <f t="shared" si="134"/>
        <v>0</v>
      </c>
      <c r="HQC46" s="420">
        <f t="shared" si="134"/>
        <v>0</v>
      </c>
      <c r="HQD46" s="420">
        <f t="shared" si="134"/>
        <v>0</v>
      </c>
      <c r="HQE46" s="420">
        <f t="shared" si="134"/>
        <v>0</v>
      </c>
      <c r="HQF46" s="420">
        <f t="shared" si="134"/>
        <v>0</v>
      </c>
      <c r="HQG46" s="420">
        <f t="shared" si="134"/>
        <v>0</v>
      </c>
      <c r="HQH46" s="420">
        <f t="shared" si="134"/>
        <v>0</v>
      </c>
      <c r="HQI46" s="420">
        <f t="shared" si="134"/>
        <v>0</v>
      </c>
      <c r="HQJ46" s="420">
        <f t="shared" si="134"/>
        <v>0</v>
      </c>
      <c r="HQK46" s="420">
        <f t="shared" si="134"/>
        <v>0</v>
      </c>
      <c r="HQL46" s="420">
        <f t="shared" si="134"/>
        <v>0</v>
      </c>
      <c r="HQM46" s="420">
        <f t="shared" si="134"/>
        <v>0</v>
      </c>
      <c r="HQN46" s="420">
        <f t="shared" si="134"/>
        <v>0</v>
      </c>
      <c r="HQO46" s="420">
        <f t="shared" si="134"/>
        <v>0</v>
      </c>
      <c r="HQP46" s="420">
        <f t="shared" si="134"/>
        <v>0</v>
      </c>
      <c r="HQQ46" s="420">
        <f t="shared" si="134"/>
        <v>0</v>
      </c>
      <c r="HQR46" s="420">
        <f t="shared" si="134"/>
        <v>0</v>
      </c>
      <c r="HQS46" s="420">
        <f t="shared" si="134"/>
        <v>0</v>
      </c>
      <c r="HQT46" s="420">
        <f t="shared" si="134"/>
        <v>0</v>
      </c>
      <c r="HQU46" s="420">
        <f t="shared" si="134"/>
        <v>0</v>
      </c>
      <c r="HQV46" s="420">
        <f t="shared" si="134"/>
        <v>0</v>
      </c>
      <c r="HQW46" s="420">
        <f t="shared" si="134"/>
        <v>0</v>
      </c>
      <c r="HQX46" s="420">
        <f t="shared" si="134"/>
        <v>0</v>
      </c>
      <c r="HQY46" s="420">
        <f t="shared" si="134"/>
        <v>0</v>
      </c>
      <c r="HQZ46" s="420">
        <f t="shared" si="134"/>
        <v>0</v>
      </c>
      <c r="HRA46" s="420">
        <f t="shared" si="134"/>
        <v>0</v>
      </c>
      <c r="HRB46" s="420">
        <f t="shared" si="134"/>
        <v>0</v>
      </c>
      <c r="HRC46" s="420">
        <f t="shared" si="134"/>
        <v>0</v>
      </c>
      <c r="HRD46" s="420">
        <f t="shared" si="134"/>
        <v>0</v>
      </c>
      <c r="HRE46" s="420">
        <f t="shared" si="134"/>
        <v>0</v>
      </c>
      <c r="HRF46" s="420">
        <f t="shared" si="134"/>
        <v>0</v>
      </c>
      <c r="HRG46" s="420">
        <f t="shared" si="134"/>
        <v>0</v>
      </c>
      <c r="HRH46" s="420">
        <f t="shared" si="134"/>
        <v>0</v>
      </c>
      <c r="HRI46" s="420">
        <f t="shared" si="134"/>
        <v>0</v>
      </c>
      <c r="HRJ46" s="420">
        <f t="shared" si="134"/>
        <v>0</v>
      </c>
      <c r="HRK46" s="420">
        <f t="shared" si="134"/>
        <v>0</v>
      </c>
      <c r="HRL46" s="420">
        <f t="shared" si="134"/>
        <v>0</v>
      </c>
      <c r="HRM46" s="420">
        <f t="shared" si="134"/>
        <v>0</v>
      </c>
      <c r="HRN46" s="420">
        <f t="shared" si="134"/>
        <v>0</v>
      </c>
      <c r="HRO46" s="420">
        <f t="shared" si="134"/>
        <v>0</v>
      </c>
      <c r="HRP46" s="420">
        <f t="shared" si="134"/>
        <v>0</v>
      </c>
      <c r="HRQ46" s="420">
        <f t="shared" ref="HRQ46:HUB46" si="135">HRQ45*0.8</f>
        <v>0</v>
      </c>
      <c r="HRR46" s="420">
        <f t="shared" si="135"/>
        <v>0</v>
      </c>
      <c r="HRS46" s="420">
        <f t="shared" si="135"/>
        <v>0</v>
      </c>
      <c r="HRT46" s="420">
        <f t="shared" si="135"/>
        <v>0</v>
      </c>
      <c r="HRU46" s="420">
        <f t="shared" si="135"/>
        <v>0</v>
      </c>
      <c r="HRV46" s="420">
        <f t="shared" si="135"/>
        <v>0</v>
      </c>
      <c r="HRW46" s="420">
        <f t="shared" si="135"/>
        <v>0</v>
      </c>
      <c r="HRX46" s="420">
        <f t="shared" si="135"/>
        <v>0</v>
      </c>
      <c r="HRY46" s="420">
        <f t="shared" si="135"/>
        <v>0</v>
      </c>
      <c r="HRZ46" s="420">
        <f t="shared" si="135"/>
        <v>0</v>
      </c>
      <c r="HSA46" s="420">
        <f t="shared" si="135"/>
        <v>0</v>
      </c>
      <c r="HSB46" s="420">
        <f t="shared" si="135"/>
        <v>0</v>
      </c>
      <c r="HSC46" s="420">
        <f t="shared" si="135"/>
        <v>0</v>
      </c>
      <c r="HSD46" s="420">
        <f t="shared" si="135"/>
        <v>0</v>
      </c>
      <c r="HSE46" s="420">
        <f t="shared" si="135"/>
        <v>0</v>
      </c>
      <c r="HSF46" s="420">
        <f t="shared" si="135"/>
        <v>0</v>
      </c>
      <c r="HSG46" s="420">
        <f t="shared" si="135"/>
        <v>0</v>
      </c>
      <c r="HSH46" s="420">
        <f t="shared" si="135"/>
        <v>0</v>
      </c>
      <c r="HSI46" s="420">
        <f t="shared" si="135"/>
        <v>0</v>
      </c>
      <c r="HSJ46" s="420">
        <f t="shared" si="135"/>
        <v>0</v>
      </c>
      <c r="HSK46" s="420">
        <f t="shared" si="135"/>
        <v>0</v>
      </c>
      <c r="HSL46" s="420">
        <f t="shared" si="135"/>
        <v>0</v>
      </c>
      <c r="HSM46" s="420">
        <f t="shared" si="135"/>
        <v>0</v>
      </c>
      <c r="HSN46" s="420">
        <f t="shared" si="135"/>
        <v>0</v>
      </c>
      <c r="HSO46" s="420">
        <f t="shared" si="135"/>
        <v>0</v>
      </c>
      <c r="HSP46" s="420">
        <f t="shared" si="135"/>
        <v>0</v>
      </c>
      <c r="HSQ46" s="420">
        <f t="shared" si="135"/>
        <v>0</v>
      </c>
      <c r="HSR46" s="420">
        <f t="shared" si="135"/>
        <v>0</v>
      </c>
      <c r="HSS46" s="420">
        <f t="shared" si="135"/>
        <v>0</v>
      </c>
      <c r="HST46" s="420">
        <f t="shared" si="135"/>
        <v>0</v>
      </c>
      <c r="HSU46" s="420">
        <f t="shared" si="135"/>
        <v>0</v>
      </c>
      <c r="HSV46" s="420">
        <f t="shared" si="135"/>
        <v>0</v>
      </c>
      <c r="HSW46" s="420">
        <f t="shared" si="135"/>
        <v>0</v>
      </c>
      <c r="HSX46" s="420">
        <f t="shared" si="135"/>
        <v>0</v>
      </c>
      <c r="HSY46" s="420">
        <f t="shared" si="135"/>
        <v>0</v>
      </c>
      <c r="HSZ46" s="420">
        <f t="shared" si="135"/>
        <v>0</v>
      </c>
      <c r="HTA46" s="420">
        <f t="shared" si="135"/>
        <v>0</v>
      </c>
      <c r="HTB46" s="420">
        <f t="shared" si="135"/>
        <v>0</v>
      </c>
      <c r="HTC46" s="420">
        <f t="shared" si="135"/>
        <v>0</v>
      </c>
      <c r="HTD46" s="420">
        <f t="shared" si="135"/>
        <v>0</v>
      </c>
      <c r="HTE46" s="420">
        <f t="shared" si="135"/>
        <v>0</v>
      </c>
      <c r="HTF46" s="420">
        <f t="shared" si="135"/>
        <v>0</v>
      </c>
      <c r="HTG46" s="420">
        <f t="shared" si="135"/>
        <v>0</v>
      </c>
      <c r="HTH46" s="420">
        <f t="shared" si="135"/>
        <v>0</v>
      </c>
      <c r="HTI46" s="420">
        <f t="shared" si="135"/>
        <v>0</v>
      </c>
      <c r="HTJ46" s="420">
        <f t="shared" si="135"/>
        <v>0</v>
      </c>
      <c r="HTK46" s="420">
        <f t="shared" si="135"/>
        <v>0</v>
      </c>
      <c r="HTL46" s="420">
        <f t="shared" si="135"/>
        <v>0</v>
      </c>
      <c r="HTM46" s="420">
        <f t="shared" si="135"/>
        <v>0</v>
      </c>
      <c r="HTN46" s="420">
        <f t="shared" si="135"/>
        <v>0</v>
      </c>
      <c r="HTO46" s="420">
        <f t="shared" si="135"/>
        <v>0</v>
      </c>
      <c r="HTP46" s="420">
        <f t="shared" si="135"/>
        <v>0</v>
      </c>
      <c r="HTQ46" s="420">
        <f t="shared" si="135"/>
        <v>0</v>
      </c>
      <c r="HTR46" s="420">
        <f t="shared" si="135"/>
        <v>0</v>
      </c>
      <c r="HTS46" s="420">
        <f t="shared" si="135"/>
        <v>0</v>
      </c>
      <c r="HTT46" s="420">
        <f t="shared" si="135"/>
        <v>0</v>
      </c>
      <c r="HTU46" s="420">
        <f t="shared" si="135"/>
        <v>0</v>
      </c>
      <c r="HTV46" s="420">
        <f t="shared" si="135"/>
        <v>0</v>
      </c>
      <c r="HTW46" s="420">
        <f t="shared" si="135"/>
        <v>0</v>
      </c>
      <c r="HTX46" s="420">
        <f t="shared" si="135"/>
        <v>0</v>
      </c>
      <c r="HTY46" s="420">
        <f t="shared" si="135"/>
        <v>0</v>
      </c>
      <c r="HTZ46" s="420">
        <f t="shared" si="135"/>
        <v>0</v>
      </c>
      <c r="HUA46" s="420">
        <f t="shared" si="135"/>
        <v>0</v>
      </c>
      <c r="HUB46" s="420">
        <f t="shared" si="135"/>
        <v>0</v>
      </c>
      <c r="HUC46" s="420">
        <f t="shared" ref="HUC46:HWN46" si="136">HUC45*0.8</f>
        <v>0</v>
      </c>
      <c r="HUD46" s="420">
        <f t="shared" si="136"/>
        <v>0</v>
      </c>
      <c r="HUE46" s="420">
        <f t="shared" si="136"/>
        <v>0</v>
      </c>
      <c r="HUF46" s="420">
        <f t="shared" si="136"/>
        <v>0</v>
      </c>
      <c r="HUG46" s="420">
        <f t="shared" si="136"/>
        <v>0</v>
      </c>
      <c r="HUH46" s="420">
        <f t="shared" si="136"/>
        <v>0</v>
      </c>
      <c r="HUI46" s="420">
        <f t="shared" si="136"/>
        <v>0</v>
      </c>
      <c r="HUJ46" s="420">
        <f t="shared" si="136"/>
        <v>0</v>
      </c>
      <c r="HUK46" s="420">
        <f t="shared" si="136"/>
        <v>0</v>
      </c>
      <c r="HUL46" s="420">
        <f t="shared" si="136"/>
        <v>0</v>
      </c>
      <c r="HUM46" s="420">
        <f t="shared" si="136"/>
        <v>0</v>
      </c>
      <c r="HUN46" s="420">
        <f t="shared" si="136"/>
        <v>0</v>
      </c>
      <c r="HUO46" s="420">
        <f t="shared" si="136"/>
        <v>0</v>
      </c>
      <c r="HUP46" s="420">
        <f t="shared" si="136"/>
        <v>0</v>
      </c>
      <c r="HUQ46" s="420">
        <f t="shared" si="136"/>
        <v>0</v>
      </c>
      <c r="HUR46" s="420">
        <f t="shared" si="136"/>
        <v>0</v>
      </c>
      <c r="HUS46" s="420">
        <f t="shared" si="136"/>
        <v>0</v>
      </c>
      <c r="HUT46" s="420">
        <f t="shared" si="136"/>
        <v>0</v>
      </c>
      <c r="HUU46" s="420">
        <f t="shared" si="136"/>
        <v>0</v>
      </c>
      <c r="HUV46" s="420">
        <f t="shared" si="136"/>
        <v>0</v>
      </c>
      <c r="HUW46" s="420">
        <f t="shared" si="136"/>
        <v>0</v>
      </c>
      <c r="HUX46" s="420">
        <f t="shared" si="136"/>
        <v>0</v>
      </c>
      <c r="HUY46" s="420">
        <f t="shared" si="136"/>
        <v>0</v>
      </c>
      <c r="HUZ46" s="420">
        <f t="shared" si="136"/>
        <v>0</v>
      </c>
      <c r="HVA46" s="420">
        <f t="shared" si="136"/>
        <v>0</v>
      </c>
      <c r="HVB46" s="420">
        <f t="shared" si="136"/>
        <v>0</v>
      </c>
      <c r="HVC46" s="420">
        <f t="shared" si="136"/>
        <v>0</v>
      </c>
      <c r="HVD46" s="420">
        <f t="shared" si="136"/>
        <v>0</v>
      </c>
      <c r="HVE46" s="420">
        <f t="shared" si="136"/>
        <v>0</v>
      </c>
      <c r="HVF46" s="420">
        <f t="shared" si="136"/>
        <v>0</v>
      </c>
      <c r="HVG46" s="420">
        <f t="shared" si="136"/>
        <v>0</v>
      </c>
      <c r="HVH46" s="420">
        <f t="shared" si="136"/>
        <v>0</v>
      </c>
      <c r="HVI46" s="420">
        <f t="shared" si="136"/>
        <v>0</v>
      </c>
      <c r="HVJ46" s="420">
        <f t="shared" si="136"/>
        <v>0</v>
      </c>
      <c r="HVK46" s="420">
        <f t="shared" si="136"/>
        <v>0</v>
      </c>
      <c r="HVL46" s="420">
        <f t="shared" si="136"/>
        <v>0</v>
      </c>
      <c r="HVM46" s="420">
        <f t="shared" si="136"/>
        <v>0</v>
      </c>
      <c r="HVN46" s="420">
        <f t="shared" si="136"/>
        <v>0</v>
      </c>
      <c r="HVO46" s="420">
        <f t="shared" si="136"/>
        <v>0</v>
      </c>
      <c r="HVP46" s="420">
        <f t="shared" si="136"/>
        <v>0</v>
      </c>
      <c r="HVQ46" s="420">
        <f t="shared" si="136"/>
        <v>0</v>
      </c>
      <c r="HVR46" s="420">
        <f t="shared" si="136"/>
        <v>0</v>
      </c>
      <c r="HVS46" s="420">
        <f t="shared" si="136"/>
        <v>0</v>
      </c>
      <c r="HVT46" s="420">
        <f t="shared" si="136"/>
        <v>0</v>
      </c>
      <c r="HVU46" s="420">
        <f t="shared" si="136"/>
        <v>0</v>
      </c>
      <c r="HVV46" s="420">
        <f t="shared" si="136"/>
        <v>0</v>
      </c>
      <c r="HVW46" s="420">
        <f t="shared" si="136"/>
        <v>0</v>
      </c>
      <c r="HVX46" s="420">
        <f t="shared" si="136"/>
        <v>0</v>
      </c>
      <c r="HVY46" s="420">
        <f t="shared" si="136"/>
        <v>0</v>
      </c>
      <c r="HVZ46" s="420">
        <f t="shared" si="136"/>
        <v>0</v>
      </c>
      <c r="HWA46" s="420">
        <f t="shared" si="136"/>
        <v>0</v>
      </c>
      <c r="HWB46" s="420">
        <f t="shared" si="136"/>
        <v>0</v>
      </c>
      <c r="HWC46" s="420">
        <f t="shared" si="136"/>
        <v>0</v>
      </c>
      <c r="HWD46" s="420">
        <f t="shared" si="136"/>
        <v>0</v>
      </c>
      <c r="HWE46" s="420">
        <f t="shared" si="136"/>
        <v>0</v>
      </c>
      <c r="HWF46" s="420">
        <f t="shared" si="136"/>
        <v>0</v>
      </c>
      <c r="HWG46" s="420">
        <f t="shared" si="136"/>
        <v>0</v>
      </c>
      <c r="HWH46" s="420">
        <f t="shared" si="136"/>
        <v>0</v>
      </c>
      <c r="HWI46" s="420">
        <f t="shared" si="136"/>
        <v>0</v>
      </c>
      <c r="HWJ46" s="420">
        <f t="shared" si="136"/>
        <v>0</v>
      </c>
      <c r="HWK46" s="420">
        <f t="shared" si="136"/>
        <v>0</v>
      </c>
      <c r="HWL46" s="420">
        <f t="shared" si="136"/>
        <v>0</v>
      </c>
      <c r="HWM46" s="420">
        <f t="shared" si="136"/>
        <v>0</v>
      </c>
      <c r="HWN46" s="420">
        <f t="shared" si="136"/>
        <v>0</v>
      </c>
      <c r="HWO46" s="420">
        <f t="shared" ref="HWO46:HYZ46" si="137">HWO45*0.8</f>
        <v>0</v>
      </c>
      <c r="HWP46" s="420">
        <f t="shared" si="137"/>
        <v>0</v>
      </c>
      <c r="HWQ46" s="420">
        <f t="shared" si="137"/>
        <v>0</v>
      </c>
      <c r="HWR46" s="420">
        <f t="shared" si="137"/>
        <v>0</v>
      </c>
      <c r="HWS46" s="420">
        <f t="shared" si="137"/>
        <v>0</v>
      </c>
      <c r="HWT46" s="420">
        <f t="shared" si="137"/>
        <v>0</v>
      </c>
      <c r="HWU46" s="420">
        <f t="shared" si="137"/>
        <v>0</v>
      </c>
      <c r="HWV46" s="420">
        <f t="shared" si="137"/>
        <v>0</v>
      </c>
      <c r="HWW46" s="420">
        <f t="shared" si="137"/>
        <v>0</v>
      </c>
      <c r="HWX46" s="420">
        <f t="shared" si="137"/>
        <v>0</v>
      </c>
      <c r="HWY46" s="420">
        <f t="shared" si="137"/>
        <v>0</v>
      </c>
      <c r="HWZ46" s="420">
        <f t="shared" si="137"/>
        <v>0</v>
      </c>
      <c r="HXA46" s="420">
        <f t="shared" si="137"/>
        <v>0</v>
      </c>
      <c r="HXB46" s="420">
        <f t="shared" si="137"/>
        <v>0</v>
      </c>
      <c r="HXC46" s="420">
        <f t="shared" si="137"/>
        <v>0</v>
      </c>
      <c r="HXD46" s="420">
        <f t="shared" si="137"/>
        <v>0</v>
      </c>
      <c r="HXE46" s="420">
        <f t="shared" si="137"/>
        <v>0</v>
      </c>
      <c r="HXF46" s="420">
        <f t="shared" si="137"/>
        <v>0</v>
      </c>
      <c r="HXG46" s="420">
        <f t="shared" si="137"/>
        <v>0</v>
      </c>
      <c r="HXH46" s="420">
        <f t="shared" si="137"/>
        <v>0</v>
      </c>
      <c r="HXI46" s="420">
        <f t="shared" si="137"/>
        <v>0</v>
      </c>
      <c r="HXJ46" s="420">
        <f t="shared" si="137"/>
        <v>0</v>
      </c>
      <c r="HXK46" s="420">
        <f t="shared" si="137"/>
        <v>0</v>
      </c>
      <c r="HXL46" s="420">
        <f t="shared" si="137"/>
        <v>0</v>
      </c>
      <c r="HXM46" s="420">
        <f t="shared" si="137"/>
        <v>0</v>
      </c>
      <c r="HXN46" s="420">
        <f t="shared" si="137"/>
        <v>0</v>
      </c>
      <c r="HXO46" s="420">
        <f t="shared" si="137"/>
        <v>0</v>
      </c>
      <c r="HXP46" s="420">
        <f t="shared" si="137"/>
        <v>0</v>
      </c>
      <c r="HXQ46" s="420">
        <f t="shared" si="137"/>
        <v>0</v>
      </c>
      <c r="HXR46" s="420">
        <f t="shared" si="137"/>
        <v>0</v>
      </c>
      <c r="HXS46" s="420">
        <f t="shared" si="137"/>
        <v>0</v>
      </c>
      <c r="HXT46" s="420">
        <f t="shared" si="137"/>
        <v>0</v>
      </c>
      <c r="HXU46" s="420">
        <f t="shared" si="137"/>
        <v>0</v>
      </c>
      <c r="HXV46" s="420">
        <f t="shared" si="137"/>
        <v>0</v>
      </c>
      <c r="HXW46" s="420">
        <f t="shared" si="137"/>
        <v>0</v>
      </c>
      <c r="HXX46" s="420">
        <f t="shared" si="137"/>
        <v>0</v>
      </c>
      <c r="HXY46" s="420">
        <f t="shared" si="137"/>
        <v>0</v>
      </c>
      <c r="HXZ46" s="420">
        <f t="shared" si="137"/>
        <v>0</v>
      </c>
      <c r="HYA46" s="420">
        <f t="shared" si="137"/>
        <v>0</v>
      </c>
      <c r="HYB46" s="420">
        <f t="shared" si="137"/>
        <v>0</v>
      </c>
      <c r="HYC46" s="420">
        <f t="shared" si="137"/>
        <v>0</v>
      </c>
      <c r="HYD46" s="420">
        <f t="shared" si="137"/>
        <v>0</v>
      </c>
      <c r="HYE46" s="420">
        <f t="shared" si="137"/>
        <v>0</v>
      </c>
      <c r="HYF46" s="420">
        <f t="shared" si="137"/>
        <v>0</v>
      </c>
      <c r="HYG46" s="420">
        <f t="shared" si="137"/>
        <v>0</v>
      </c>
      <c r="HYH46" s="420">
        <f t="shared" si="137"/>
        <v>0</v>
      </c>
      <c r="HYI46" s="420">
        <f t="shared" si="137"/>
        <v>0</v>
      </c>
      <c r="HYJ46" s="420">
        <f t="shared" si="137"/>
        <v>0</v>
      </c>
      <c r="HYK46" s="420">
        <f t="shared" si="137"/>
        <v>0</v>
      </c>
      <c r="HYL46" s="420">
        <f t="shared" si="137"/>
        <v>0</v>
      </c>
      <c r="HYM46" s="420">
        <f t="shared" si="137"/>
        <v>0</v>
      </c>
      <c r="HYN46" s="420">
        <f t="shared" si="137"/>
        <v>0</v>
      </c>
      <c r="HYO46" s="420">
        <f t="shared" si="137"/>
        <v>0</v>
      </c>
      <c r="HYP46" s="420">
        <f t="shared" si="137"/>
        <v>0</v>
      </c>
      <c r="HYQ46" s="420">
        <f t="shared" si="137"/>
        <v>0</v>
      </c>
      <c r="HYR46" s="420">
        <f t="shared" si="137"/>
        <v>0</v>
      </c>
      <c r="HYS46" s="420">
        <f t="shared" si="137"/>
        <v>0</v>
      </c>
      <c r="HYT46" s="420">
        <f t="shared" si="137"/>
        <v>0</v>
      </c>
      <c r="HYU46" s="420">
        <f t="shared" si="137"/>
        <v>0</v>
      </c>
      <c r="HYV46" s="420">
        <f t="shared" si="137"/>
        <v>0</v>
      </c>
      <c r="HYW46" s="420">
        <f t="shared" si="137"/>
        <v>0</v>
      </c>
      <c r="HYX46" s="420">
        <f t="shared" si="137"/>
        <v>0</v>
      </c>
      <c r="HYY46" s="420">
        <f t="shared" si="137"/>
        <v>0</v>
      </c>
      <c r="HYZ46" s="420">
        <f t="shared" si="137"/>
        <v>0</v>
      </c>
      <c r="HZA46" s="420">
        <f t="shared" ref="HZA46:IBL46" si="138">HZA45*0.8</f>
        <v>0</v>
      </c>
      <c r="HZB46" s="420">
        <f t="shared" si="138"/>
        <v>0</v>
      </c>
      <c r="HZC46" s="420">
        <f t="shared" si="138"/>
        <v>0</v>
      </c>
      <c r="HZD46" s="420">
        <f t="shared" si="138"/>
        <v>0</v>
      </c>
      <c r="HZE46" s="420">
        <f t="shared" si="138"/>
        <v>0</v>
      </c>
      <c r="HZF46" s="420">
        <f t="shared" si="138"/>
        <v>0</v>
      </c>
      <c r="HZG46" s="420">
        <f t="shared" si="138"/>
        <v>0</v>
      </c>
      <c r="HZH46" s="420">
        <f t="shared" si="138"/>
        <v>0</v>
      </c>
      <c r="HZI46" s="420">
        <f t="shared" si="138"/>
        <v>0</v>
      </c>
      <c r="HZJ46" s="420">
        <f t="shared" si="138"/>
        <v>0</v>
      </c>
      <c r="HZK46" s="420">
        <f t="shared" si="138"/>
        <v>0</v>
      </c>
      <c r="HZL46" s="420">
        <f t="shared" si="138"/>
        <v>0</v>
      </c>
      <c r="HZM46" s="420">
        <f t="shared" si="138"/>
        <v>0</v>
      </c>
      <c r="HZN46" s="420">
        <f t="shared" si="138"/>
        <v>0</v>
      </c>
      <c r="HZO46" s="420">
        <f t="shared" si="138"/>
        <v>0</v>
      </c>
      <c r="HZP46" s="420">
        <f t="shared" si="138"/>
        <v>0</v>
      </c>
      <c r="HZQ46" s="420">
        <f t="shared" si="138"/>
        <v>0</v>
      </c>
      <c r="HZR46" s="420">
        <f t="shared" si="138"/>
        <v>0</v>
      </c>
      <c r="HZS46" s="420">
        <f t="shared" si="138"/>
        <v>0</v>
      </c>
      <c r="HZT46" s="420">
        <f t="shared" si="138"/>
        <v>0</v>
      </c>
      <c r="HZU46" s="420">
        <f t="shared" si="138"/>
        <v>0</v>
      </c>
      <c r="HZV46" s="420">
        <f t="shared" si="138"/>
        <v>0</v>
      </c>
      <c r="HZW46" s="420">
        <f t="shared" si="138"/>
        <v>0</v>
      </c>
      <c r="HZX46" s="420">
        <f t="shared" si="138"/>
        <v>0</v>
      </c>
      <c r="HZY46" s="420">
        <f t="shared" si="138"/>
        <v>0</v>
      </c>
      <c r="HZZ46" s="420">
        <f t="shared" si="138"/>
        <v>0</v>
      </c>
      <c r="IAA46" s="420">
        <f t="shared" si="138"/>
        <v>0</v>
      </c>
      <c r="IAB46" s="420">
        <f t="shared" si="138"/>
        <v>0</v>
      </c>
      <c r="IAC46" s="420">
        <f t="shared" si="138"/>
        <v>0</v>
      </c>
      <c r="IAD46" s="420">
        <f t="shared" si="138"/>
        <v>0</v>
      </c>
      <c r="IAE46" s="420">
        <f t="shared" si="138"/>
        <v>0</v>
      </c>
      <c r="IAF46" s="420">
        <f t="shared" si="138"/>
        <v>0</v>
      </c>
      <c r="IAG46" s="420">
        <f t="shared" si="138"/>
        <v>0</v>
      </c>
      <c r="IAH46" s="420">
        <f t="shared" si="138"/>
        <v>0</v>
      </c>
      <c r="IAI46" s="420">
        <f t="shared" si="138"/>
        <v>0</v>
      </c>
      <c r="IAJ46" s="420">
        <f t="shared" si="138"/>
        <v>0</v>
      </c>
      <c r="IAK46" s="420">
        <f t="shared" si="138"/>
        <v>0</v>
      </c>
      <c r="IAL46" s="420">
        <f t="shared" si="138"/>
        <v>0</v>
      </c>
      <c r="IAM46" s="420">
        <f t="shared" si="138"/>
        <v>0</v>
      </c>
      <c r="IAN46" s="420">
        <f t="shared" si="138"/>
        <v>0</v>
      </c>
      <c r="IAO46" s="420">
        <f t="shared" si="138"/>
        <v>0</v>
      </c>
      <c r="IAP46" s="420">
        <f t="shared" si="138"/>
        <v>0</v>
      </c>
      <c r="IAQ46" s="420">
        <f t="shared" si="138"/>
        <v>0</v>
      </c>
      <c r="IAR46" s="420">
        <f t="shared" si="138"/>
        <v>0</v>
      </c>
      <c r="IAS46" s="420">
        <f t="shared" si="138"/>
        <v>0</v>
      </c>
      <c r="IAT46" s="420">
        <f t="shared" si="138"/>
        <v>0</v>
      </c>
      <c r="IAU46" s="420">
        <f t="shared" si="138"/>
        <v>0</v>
      </c>
      <c r="IAV46" s="420">
        <f t="shared" si="138"/>
        <v>0</v>
      </c>
      <c r="IAW46" s="420">
        <f t="shared" si="138"/>
        <v>0</v>
      </c>
      <c r="IAX46" s="420">
        <f t="shared" si="138"/>
        <v>0</v>
      </c>
      <c r="IAY46" s="420">
        <f t="shared" si="138"/>
        <v>0</v>
      </c>
      <c r="IAZ46" s="420">
        <f t="shared" si="138"/>
        <v>0</v>
      </c>
      <c r="IBA46" s="420">
        <f t="shared" si="138"/>
        <v>0</v>
      </c>
      <c r="IBB46" s="420">
        <f t="shared" si="138"/>
        <v>0</v>
      </c>
      <c r="IBC46" s="420">
        <f t="shared" si="138"/>
        <v>0</v>
      </c>
      <c r="IBD46" s="420">
        <f t="shared" si="138"/>
        <v>0</v>
      </c>
      <c r="IBE46" s="420">
        <f t="shared" si="138"/>
        <v>0</v>
      </c>
      <c r="IBF46" s="420">
        <f t="shared" si="138"/>
        <v>0</v>
      </c>
      <c r="IBG46" s="420">
        <f t="shared" si="138"/>
        <v>0</v>
      </c>
      <c r="IBH46" s="420">
        <f t="shared" si="138"/>
        <v>0</v>
      </c>
      <c r="IBI46" s="420">
        <f t="shared" si="138"/>
        <v>0</v>
      </c>
      <c r="IBJ46" s="420">
        <f t="shared" si="138"/>
        <v>0</v>
      </c>
      <c r="IBK46" s="420">
        <f t="shared" si="138"/>
        <v>0</v>
      </c>
      <c r="IBL46" s="420">
        <f t="shared" si="138"/>
        <v>0</v>
      </c>
      <c r="IBM46" s="420">
        <f t="shared" ref="IBM46:IDX46" si="139">IBM45*0.8</f>
        <v>0</v>
      </c>
      <c r="IBN46" s="420">
        <f t="shared" si="139"/>
        <v>0</v>
      </c>
      <c r="IBO46" s="420">
        <f t="shared" si="139"/>
        <v>0</v>
      </c>
      <c r="IBP46" s="420">
        <f t="shared" si="139"/>
        <v>0</v>
      </c>
      <c r="IBQ46" s="420">
        <f t="shared" si="139"/>
        <v>0</v>
      </c>
      <c r="IBR46" s="420">
        <f t="shared" si="139"/>
        <v>0</v>
      </c>
      <c r="IBS46" s="420">
        <f t="shared" si="139"/>
        <v>0</v>
      </c>
      <c r="IBT46" s="420">
        <f t="shared" si="139"/>
        <v>0</v>
      </c>
      <c r="IBU46" s="420">
        <f t="shared" si="139"/>
        <v>0</v>
      </c>
      <c r="IBV46" s="420">
        <f t="shared" si="139"/>
        <v>0</v>
      </c>
      <c r="IBW46" s="420">
        <f t="shared" si="139"/>
        <v>0</v>
      </c>
      <c r="IBX46" s="420">
        <f t="shared" si="139"/>
        <v>0</v>
      </c>
      <c r="IBY46" s="420">
        <f t="shared" si="139"/>
        <v>0</v>
      </c>
      <c r="IBZ46" s="420">
        <f t="shared" si="139"/>
        <v>0</v>
      </c>
      <c r="ICA46" s="420">
        <f t="shared" si="139"/>
        <v>0</v>
      </c>
      <c r="ICB46" s="420">
        <f t="shared" si="139"/>
        <v>0</v>
      </c>
      <c r="ICC46" s="420">
        <f t="shared" si="139"/>
        <v>0</v>
      </c>
      <c r="ICD46" s="420">
        <f t="shared" si="139"/>
        <v>0</v>
      </c>
      <c r="ICE46" s="420">
        <f t="shared" si="139"/>
        <v>0</v>
      </c>
      <c r="ICF46" s="420">
        <f t="shared" si="139"/>
        <v>0</v>
      </c>
      <c r="ICG46" s="420">
        <f t="shared" si="139"/>
        <v>0</v>
      </c>
      <c r="ICH46" s="420">
        <f t="shared" si="139"/>
        <v>0</v>
      </c>
      <c r="ICI46" s="420">
        <f t="shared" si="139"/>
        <v>0</v>
      </c>
      <c r="ICJ46" s="420">
        <f t="shared" si="139"/>
        <v>0</v>
      </c>
      <c r="ICK46" s="420">
        <f t="shared" si="139"/>
        <v>0</v>
      </c>
      <c r="ICL46" s="420">
        <f t="shared" si="139"/>
        <v>0</v>
      </c>
      <c r="ICM46" s="420">
        <f t="shared" si="139"/>
        <v>0</v>
      </c>
      <c r="ICN46" s="420">
        <f t="shared" si="139"/>
        <v>0</v>
      </c>
      <c r="ICO46" s="420">
        <f t="shared" si="139"/>
        <v>0</v>
      </c>
      <c r="ICP46" s="420">
        <f t="shared" si="139"/>
        <v>0</v>
      </c>
      <c r="ICQ46" s="420">
        <f t="shared" si="139"/>
        <v>0</v>
      </c>
      <c r="ICR46" s="420">
        <f t="shared" si="139"/>
        <v>0</v>
      </c>
      <c r="ICS46" s="420">
        <f t="shared" si="139"/>
        <v>0</v>
      </c>
      <c r="ICT46" s="420">
        <f t="shared" si="139"/>
        <v>0</v>
      </c>
      <c r="ICU46" s="420">
        <f t="shared" si="139"/>
        <v>0</v>
      </c>
      <c r="ICV46" s="420">
        <f t="shared" si="139"/>
        <v>0</v>
      </c>
      <c r="ICW46" s="420">
        <f t="shared" si="139"/>
        <v>0</v>
      </c>
      <c r="ICX46" s="420">
        <f t="shared" si="139"/>
        <v>0</v>
      </c>
      <c r="ICY46" s="420">
        <f t="shared" si="139"/>
        <v>0</v>
      </c>
      <c r="ICZ46" s="420">
        <f t="shared" si="139"/>
        <v>0</v>
      </c>
      <c r="IDA46" s="420">
        <f t="shared" si="139"/>
        <v>0</v>
      </c>
      <c r="IDB46" s="420">
        <f t="shared" si="139"/>
        <v>0</v>
      </c>
      <c r="IDC46" s="420">
        <f t="shared" si="139"/>
        <v>0</v>
      </c>
      <c r="IDD46" s="420">
        <f t="shared" si="139"/>
        <v>0</v>
      </c>
      <c r="IDE46" s="420">
        <f t="shared" si="139"/>
        <v>0</v>
      </c>
      <c r="IDF46" s="420">
        <f t="shared" si="139"/>
        <v>0</v>
      </c>
      <c r="IDG46" s="420">
        <f t="shared" si="139"/>
        <v>0</v>
      </c>
      <c r="IDH46" s="420">
        <f t="shared" si="139"/>
        <v>0</v>
      </c>
      <c r="IDI46" s="420">
        <f t="shared" si="139"/>
        <v>0</v>
      </c>
      <c r="IDJ46" s="420">
        <f t="shared" si="139"/>
        <v>0</v>
      </c>
      <c r="IDK46" s="420">
        <f t="shared" si="139"/>
        <v>0</v>
      </c>
      <c r="IDL46" s="420">
        <f t="shared" si="139"/>
        <v>0</v>
      </c>
      <c r="IDM46" s="420">
        <f t="shared" si="139"/>
        <v>0</v>
      </c>
      <c r="IDN46" s="420">
        <f t="shared" si="139"/>
        <v>0</v>
      </c>
      <c r="IDO46" s="420">
        <f t="shared" si="139"/>
        <v>0</v>
      </c>
      <c r="IDP46" s="420">
        <f t="shared" si="139"/>
        <v>0</v>
      </c>
      <c r="IDQ46" s="420">
        <f t="shared" si="139"/>
        <v>0</v>
      </c>
      <c r="IDR46" s="420">
        <f t="shared" si="139"/>
        <v>0</v>
      </c>
      <c r="IDS46" s="420">
        <f t="shared" si="139"/>
        <v>0</v>
      </c>
      <c r="IDT46" s="420">
        <f t="shared" si="139"/>
        <v>0</v>
      </c>
      <c r="IDU46" s="420">
        <f t="shared" si="139"/>
        <v>0</v>
      </c>
      <c r="IDV46" s="420">
        <f t="shared" si="139"/>
        <v>0</v>
      </c>
      <c r="IDW46" s="420">
        <f t="shared" si="139"/>
        <v>0</v>
      </c>
      <c r="IDX46" s="420">
        <f t="shared" si="139"/>
        <v>0</v>
      </c>
      <c r="IDY46" s="420">
        <f t="shared" ref="IDY46:IGJ46" si="140">IDY45*0.8</f>
        <v>0</v>
      </c>
      <c r="IDZ46" s="420">
        <f t="shared" si="140"/>
        <v>0</v>
      </c>
      <c r="IEA46" s="420">
        <f t="shared" si="140"/>
        <v>0</v>
      </c>
      <c r="IEB46" s="420">
        <f t="shared" si="140"/>
        <v>0</v>
      </c>
      <c r="IEC46" s="420">
        <f t="shared" si="140"/>
        <v>0</v>
      </c>
      <c r="IED46" s="420">
        <f t="shared" si="140"/>
        <v>0</v>
      </c>
      <c r="IEE46" s="420">
        <f t="shared" si="140"/>
        <v>0</v>
      </c>
      <c r="IEF46" s="420">
        <f t="shared" si="140"/>
        <v>0</v>
      </c>
      <c r="IEG46" s="420">
        <f t="shared" si="140"/>
        <v>0</v>
      </c>
      <c r="IEH46" s="420">
        <f t="shared" si="140"/>
        <v>0</v>
      </c>
      <c r="IEI46" s="420">
        <f t="shared" si="140"/>
        <v>0</v>
      </c>
      <c r="IEJ46" s="420">
        <f t="shared" si="140"/>
        <v>0</v>
      </c>
      <c r="IEK46" s="420">
        <f t="shared" si="140"/>
        <v>0</v>
      </c>
      <c r="IEL46" s="420">
        <f t="shared" si="140"/>
        <v>0</v>
      </c>
      <c r="IEM46" s="420">
        <f t="shared" si="140"/>
        <v>0</v>
      </c>
      <c r="IEN46" s="420">
        <f t="shared" si="140"/>
        <v>0</v>
      </c>
      <c r="IEO46" s="420">
        <f t="shared" si="140"/>
        <v>0</v>
      </c>
      <c r="IEP46" s="420">
        <f t="shared" si="140"/>
        <v>0</v>
      </c>
      <c r="IEQ46" s="420">
        <f t="shared" si="140"/>
        <v>0</v>
      </c>
      <c r="IER46" s="420">
        <f t="shared" si="140"/>
        <v>0</v>
      </c>
      <c r="IES46" s="420">
        <f t="shared" si="140"/>
        <v>0</v>
      </c>
      <c r="IET46" s="420">
        <f t="shared" si="140"/>
        <v>0</v>
      </c>
      <c r="IEU46" s="420">
        <f t="shared" si="140"/>
        <v>0</v>
      </c>
      <c r="IEV46" s="420">
        <f t="shared" si="140"/>
        <v>0</v>
      </c>
      <c r="IEW46" s="420">
        <f t="shared" si="140"/>
        <v>0</v>
      </c>
      <c r="IEX46" s="420">
        <f t="shared" si="140"/>
        <v>0</v>
      </c>
      <c r="IEY46" s="420">
        <f t="shared" si="140"/>
        <v>0</v>
      </c>
      <c r="IEZ46" s="420">
        <f t="shared" si="140"/>
        <v>0</v>
      </c>
      <c r="IFA46" s="420">
        <f t="shared" si="140"/>
        <v>0</v>
      </c>
      <c r="IFB46" s="420">
        <f t="shared" si="140"/>
        <v>0</v>
      </c>
      <c r="IFC46" s="420">
        <f t="shared" si="140"/>
        <v>0</v>
      </c>
      <c r="IFD46" s="420">
        <f t="shared" si="140"/>
        <v>0</v>
      </c>
      <c r="IFE46" s="420">
        <f t="shared" si="140"/>
        <v>0</v>
      </c>
      <c r="IFF46" s="420">
        <f t="shared" si="140"/>
        <v>0</v>
      </c>
      <c r="IFG46" s="420">
        <f t="shared" si="140"/>
        <v>0</v>
      </c>
      <c r="IFH46" s="420">
        <f t="shared" si="140"/>
        <v>0</v>
      </c>
      <c r="IFI46" s="420">
        <f t="shared" si="140"/>
        <v>0</v>
      </c>
      <c r="IFJ46" s="420">
        <f t="shared" si="140"/>
        <v>0</v>
      </c>
      <c r="IFK46" s="420">
        <f t="shared" si="140"/>
        <v>0</v>
      </c>
      <c r="IFL46" s="420">
        <f t="shared" si="140"/>
        <v>0</v>
      </c>
      <c r="IFM46" s="420">
        <f t="shared" si="140"/>
        <v>0</v>
      </c>
      <c r="IFN46" s="420">
        <f t="shared" si="140"/>
        <v>0</v>
      </c>
      <c r="IFO46" s="420">
        <f t="shared" si="140"/>
        <v>0</v>
      </c>
      <c r="IFP46" s="420">
        <f t="shared" si="140"/>
        <v>0</v>
      </c>
      <c r="IFQ46" s="420">
        <f t="shared" si="140"/>
        <v>0</v>
      </c>
      <c r="IFR46" s="420">
        <f t="shared" si="140"/>
        <v>0</v>
      </c>
      <c r="IFS46" s="420">
        <f t="shared" si="140"/>
        <v>0</v>
      </c>
      <c r="IFT46" s="420">
        <f t="shared" si="140"/>
        <v>0</v>
      </c>
      <c r="IFU46" s="420">
        <f t="shared" si="140"/>
        <v>0</v>
      </c>
      <c r="IFV46" s="420">
        <f t="shared" si="140"/>
        <v>0</v>
      </c>
      <c r="IFW46" s="420">
        <f t="shared" si="140"/>
        <v>0</v>
      </c>
      <c r="IFX46" s="420">
        <f t="shared" si="140"/>
        <v>0</v>
      </c>
      <c r="IFY46" s="420">
        <f t="shared" si="140"/>
        <v>0</v>
      </c>
      <c r="IFZ46" s="420">
        <f t="shared" si="140"/>
        <v>0</v>
      </c>
      <c r="IGA46" s="420">
        <f t="shared" si="140"/>
        <v>0</v>
      </c>
      <c r="IGB46" s="420">
        <f t="shared" si="140"/>
        <v>0</v>
      </c>
      <c r="IGC46" s="420">
        <f t="shared" si="140"/>
        <v>0</v>
      </c>
      <c r="IGD46" s="420">
        <f t="shared" si="140"/>
        <v>0</v>
      </c>
      <c r="IGE46" s="420">
        <f t="shared" si="140"/>
        <v>0</v>
      </c>
      <c r="IGF46" s="420">
        <f t="shared" si="140"/>
        <v>0</v>
      </c>
      <c r="IGG46" s="420">
        <f t="shared" si="140"/>
        <v>0</v>
      </c>
      <c r="IGH46" s="420">
        <f t="shared" si="140"/>
        <v>0</v>
      </c>
      <c r="IGI46" s="420">
        <f t="shared" si="140"/>
        <v>0</v>
      </c>
      <c r="IGJ46" s="420">
        <f t="shared" si="140"/>
        <v>0</v>
      </c>
      <c r="IGK46" s="420">
        <f t="shared" ref="IGK46:IIV46" si="141">IGK45*0.8</f>
        <v>0</v>
      </c>
      <c r="IGL46" s="420">
        <f t="shared" si="141"/>
        <v>0</v>
      </c>
      <c r="IGM46" s="420">
        <f t="shared" si="141"/>
        <v>0</v>
      </c>
      <c r="IGN46" s="420">
        <f t="shared" si="141"/>
        <v>0</v>
      </c>
      <c r="IGO46" s="420">
        <f t="shared" si="141"/>
        <v>0</v>
      </c>
      <c r="IGP46" s="420">
        <f t="shared" si="141"/>
        <v>0</v>
      </c>
      <c r="IGQ46" s="420">
        <f t="shared" si="141"/>
        <v>0</v>
      </c>
      <c r="IGR46" s="420">
        <f t="shared" si="141"/>
        <v>0</v>
      </c>
      <c r="IGS46" s="420">
        <f t="shared" si="141"/>
        <v>0</v>
      </c>
      <c r="IGT46" s="420">
        <f t="shared" si="141"/>
        <v>0</v>
      </c>
      <c r="IGU46" s="420">
        <f t="shared" si="141"/>
        <v>0</v>
      </c>
      <c r="IGV46" s="420">
        <f t="shared" si="141"/>
        <v>0</v>
      </c>
      <c r="IGW46" s="420">
        <f t="shared" si="141"/>
        <v>0</v>
      </c>
      <c r="IGX46" s="420">
        <f t="shared" si="141"/>
        <v>0</v>
      </c>
      <c r="IGY46" s="420">
        <f t="shared" si="141"/>
        <v>0</v>
      </c>
      <c r="IGZ46" s="420">
        <f t="shared" si="141"/>
        <v>0</v>
      </c>
      <c r="IHA46" s="420">
        <f t="shared" si="141"/>
        <v>0</v>
      </c>
      <c r="IHB46" s="420">
        <f t="shared" si="141"/>
        <v>0</v>
      </c>
      <c r="IHC46" s="420">
        <f t="shared" si="141"/>
        <v>0</v>
      </c>
      <c r="IHD46" s="420">
        <f t="shared" si="141"/>
        <v>0</v>
      </c>
      <c r="IHE46" s="420">
        <f t="shared" si="141"/>
        <v>0</v>
      </c>
      <c r="IHF46" s="420">
        <f t="shared" si="141"/>
        <v>0</v>
      </c>
      <c r="IHG46" s="420">
        <f t="shared" si="141"/>
        <v>0</v>
      </c>
      <c r="IHH46" s="420">
        <f t="shared" si="141"/>
        <v>0</v>
      </c>
      <c r="IHI46" s="420">
        <f t="shared" si="141"/>
        <v>0</v>
      </c>
      <c r="IHJ46" s="420">
        <f t="shared" si="141"/>
        <v>0</v>
      </c>
      <c r="IHK46" s="420">
        <f t="shared" si="141"/>
        <v>0</v>
      </c>
      <c r="IHL46" s="420">
        <f t="shared" si="141"/>
        <v>0</v>
      </c>
      <c r="IHM46" s="420">
        <f t="shared" si="141"/>
        <v>0</v>
      </c>
      <c r="IHN46" s="420">
        <f t="shared" si="141"/>
        <v>0</v>
      </c>
      <c r="IHO46" s="420">
        <f t="shared" si="141"/>
        <v>0</v>
      </c>
      <c r="IHP46" s="420">
        <f t="shared" si="141"/>
        <v>0</v>
      </c>
      <c r="IHQ46" s="420">
        <f t="shared" si="141"/>
        <v>0</v>
      </c>
      <c r="IHR46" s="420">
        <f t="shared" si="141"/>
        <v>0</v>
      </c>
      <c r="IHS46" s="420">
        <f t="shared" si="141"/>
        <v>0</v>
      </c>
      <c r="IHT46" s="420">
        <f t="shared" si="141"/>
        <v>0</v>
      </c>
      <c r="IHU46" s="420">
        <f t="shared" si="141"/>
        <v>0</v>
      </c>
      <c r="IHV46" s="420">
        <f t="shared" si="141"/>
        <v>0</v>
      </c>
      <c r="IHW46" s="420">
        <f t="shared" si="141"/>
        <v>0</v>
      </c>
      <c r="IHX46" s="420">
        <f t="shared" si="141"/>
        <v>0</v>
      </c>
      <c r="IHY46" s="420">
        <f t="shared" si="141"/>
        <v>0</v>
      </c>
      <c r="IHZ46" s="420">
        <f t="shared" si="141"/>
        <v>0</v>
      </c>
      <c r="IIA46" s="420">
        <f t="shared" si="141"/>
        <v>0</v>
      </c>
      <c r="IIB46" s="420">
        <f t="shared" si="141"/>
        <v>0</v>
      </c>
      <c r="IIC46" s="420">
        <f t="shared" si="141"/>
        <v>0</v>
      </c>
      <c r="IID46" s="420">
        <f t="shared" si="141"/>
        <v>0</v>
      </c>
      <c r="IIE46" s="420">
        <f t="shared" si="141"/>
        <v>0</v>
      </c>
      <c r="IIF46" s="420">
        <f t="shared" si="141"/>
        <v>0</v>
      </c>
      <c r="IIG46" s="420">
        <f t="shared" si="141"/>
        <v>0</v>
      </c>
      <c r="IIH46" s="420">
        <f t="shared" si="141"/>
        <v>0</v>
      </c>
      <c r="III46" s="420">
        <f t="shared" si="141"/>
        <v>0</v>
      </c>
      <c r="IIJ46" s="420">
        <f t="shared" si="141"/>
        <v>0</v>
      </c>
      <c r="IIK46" s="420">
        <f t="shared" si="141"/>
        <v>0</v>
      </c>
      <c r="IIL46" s="420">
        <f t="shared" si="141"/>
        <v>0</v>
      </c>
      <c r="IIM46" s="420">
        <f t="shared" si="141"/>
        <v>0</v>
      </c>
      <c r="IIN46" s="420">
        <f t="shared" si="141"/>
        <v>0</v>
      </c>
      <c r="IIO46" s="420">
        <f t="shared" si="141"/>
        <v>0</v>
      </c>
      <c r="IIP46" s="420">
        <f t="shared" si="141"/>
        <v>0</v>
      </c>
      <c r="IIQ46" s="420">
        <f t="shared" si="141"/>
        <v>0</v>
      </c>
      <c r="IIR46" s="420">
        <f t="shared" si="141"/>
        <v>0</v>
      </c>
      <c r="IIS46" s="420">
        <f t="shared" si="141"/>
        <v>0</v>
      </c>
      <c r="IIT46" s="420">
        <f t="shared" si="141"/>
        <v>0</v>
      </c>
      <c r="IIU46" s="420">
        <f t="shared" si="141"/>
        <v>0</v>
      </c>
      <c r="IIV46" s="420">
        <f t="shared" si="141"/>
        <v>0</v>
      </c>
      <c r="IIW46" s="420">
        <f t="shared" ref="IIW46:ILH46" si="142">IIW45*0.8</f>
        <v>0</v>
      </c>
      <c r="IIX46" s="420">
        <f t="shared" si="142"/>
        <v>0</v>
      </c>
      <c r="IIY46" s="420">
        <f t="shared" si="142"/>
        <v>0</v>
      </c>
      <c r="IIZ46" s="420">
        <f t="shared" si="142"/>
        <v>0</v>
      </c>
      <c r="IJA46" s="420">
        <f t="shared" si="142"/>
        <v>0</v>
      </c>
      <c r="IJB46" s="420">
        <f t="shared" si="142"/>
        <v>0</v>
      </c>
      <c r="IJC46" s="420">
        <f t="shared" si="142"/>
        <v>0</v>
      </c>
      <c r="IJD46" s="420">
        <f t="shared" si="142"/>
        <v>0</v>
      </c>
      <c r="IJE46" s="420">
        <f t="shared" si="142"/>
        <v>0</v>
      </c>
      <c r="IJF46" s="420">
        <f t="shared" si="142"/>
        <v>0</v>
      </c>
      <c r="IJG46" s="420">
        <f t="shared" si="142"/>
        <v>0</v>
      </c>
      <c r="IJH46" s="420">
        <f t="shared" si="142"/>
        <v>0</v>
      </c>
      <c r="IJI46" s="420">
        <f t="shared" si="142"/>
        <v>0</v>
      </c>
      <c r="IJJ46" s="420">
        <f t="shared" si="142"/>
        <v>0</v>
      </c>
      <c r="IJK46" s="420">
        <f t="shared" si="142"/>
        <v>0</v>
      </c>
      <c r="IJL46" s="420">
        <f t="shared" si="142"/>
        <v>0</v>
      </c>
      <c r="IJM46" s="420">
        <f t="shared" si="142"/>
        <v>0</v>
      </c>
      <c r="IJN46" s="420">
        <f t="shared" si="142"/>
        <v>0</v>
      </c>
      <c r="IJO46" s="420">
        <f t="shared" si="142"/>
        <v>0</v>
      </c>
      <c r="IJP46" s="420">
        <f t="shared" si="142"/>
        <v>0</v>
      </c>
      <c r="IJQ46" s="420">
        <f t="shared" si="142"/>
        <v>0</v>
      </c>
      <c r="IJR46" s="420">
        <f t="shared" si="142"/>
        <v>0</v>
      </c>
      <c r="IJS46" s="420">
        <f t="shared" si="142"/>
        <v>0</v>
      </c>
      <c r="IJT46" s="420">
        <f t="shared" si="142"/>
        <v>0</v>
      </c>
      <c r="IJU46" s="420">
        <f t="shared" si="142"/>
        <v>0</v>
      </c>
      <c r="IJV46" s="420">
        <f t="shared" si="142"/>
        <v>0</v>
      </c>
      <c r="IJW46" s="420">
        <f t="shared" si="142"/>
        <v>0</v>
      </c>
      <c r="IJX46" s="420">
        <f t="shared" si="142"/>
        <v>0</v>
      </c>
      <c r="IJY46" s="420">
        <f t="shared" si="142"/>
        <v>0</v>
      </c>
      <c r="IJZ46" s="420">
        <f t="shared" si="142"/>
        <v>0</v>
      </c>
      <c r="IKA46" s="420">
        <f t="shared" si="142"/>
        <v>0</v>
      </c>
      <c r="IKB46" s="420">
        <f t="shared" si="142"/>
        <v>0</v>
      </c>
      <c r="IKC46" s="420">
        <f t="shared" si="142"/>
        <v>0</v>
      </c>
      <c r="IKD46" s="420">
        <f t="shared" si="142"/>
        <v>0</v>
      </c>
      <c r="IKE46" s="420">
        <f t="shared" si="142"/>
        <v>0</v>
      </c>
      <c r="IKF46" s="420">
        <f t="shared" si="142"/>
        <v>0</v>
      </c>
      <c r="IKG46" s="420">
        <f t="shared" si="142"/>
        <v>0</v>
      </c>
      <c r="IKH46" s="420">
        <f t="shared" si="142"/>
        <v>0</v>
      </c>
      <c r="IKI46" s="420">
        <f t="shared" si="142"/>
        <v>0</v>
      </c>
      <c r="IKJ46" s="420">
        <f t="shared" si="142"/>
        <v>0</v>
      </c>
      <c r="IKK46" s="420">
        <f t="shared" si="142"/>
        <v>0</v>
      </c>
      <c r="IKL46" s="420">
        <f t="shared" si="142"/>
        <v>0</v>
      </c>
      <c r="IKM46" s="420">
        <f t="shared" si="142"/>
        <v>0</v>
      </c>
      <c r="IKN46" s="420">
        <f t="shared" si="142"/>
        <v>0</v>
      </c>
      <c r="IKO46" s="420">
        <f t="shared" si="142"/>
        <v>0</v>
      </c>
      <c r="IKP46" s="420">
        <f t="shared" si="142"/>
        <v>0</v>
      </c>
      <c r="IKQ46" s="420">
        <f t="shared" si="142"/>
        <v>0</v>
      </c>
      <c r="IKR46" s="420">
        <f t="shared" si="142"/>
        <v>0</v>
      </c>
      <c r="IKS46" s="420">
        <f t="shared" si="142"/>
        <v>0</v>
      </c>
      <c r="IKT46" s="420">
        <f t="shared" si="142"/>
        <v>0</v>
      </c>
      <c r="IKU46" s="420">
        <f t="shared" si="142"/>
        <v>0</v>
      </c>
      <c r="IKV46" s="420">
        <f t="shared" si="142"/>
        <v>0</v>
      </c>
      <c r="IKW46" s="420">
        <f t="shared" si="142"/>
        <v>0</v>
      </c>
      <c r="IKX46" s="420">
        <f t="shared" si="142"/>
        <v>0</v>
      </c>
      <c r="IKY46" s="420">
        <f t="shared" si="142"/>
        <v>0</v>
      </c>
      <c r="IKZ46" s="420">
        <f t="shared" si="142"/>
        <v>0</v>
      </c>
      <c r="ILA46" s="420">
        <f t="shared" si="142"/>
        <v>0</v>
      </c>
      <c r="ILB46" s="420">
        <f t="shared" si="142"/>
        <v>0</v>
      </c>
      <c r="ILC46" s="420">
        <f t="shared" si="142"/>
        <v>0</v>
      </c>
      <c r="ILD46" s="420">
        <f t="shared" si="142"/>
        <v>0</v>
      </c>
      <c r="ILE46" s="420">
        <f t="shared" si="142"/>
        <v>0</v>
      </c>
      <c r="ILF46" s="420">
        <f t="shared" si="142"/>
        <v>0</v>
      </c>
      <c r="ILG46" s="420">
        <f t="shared" si="142"/>
        <v>0</v>
      </c>
      <c r="ILH46" s="420">
        <f t="shared" si="142"/>
        <v>0</v>
      </c>
      <c r="ILI46" s="420">
        <f t="shared" ref="ILI46:INT46" si="143">ILI45*0.8</f>
        <v>0</v>
      </c>
      <c r="ILJ46" s="420">
        <f t="shared" si="143"/>
        <v>0</v>
      </c>
      <c r="ILK46" s="420">
        <f t="shared" si="143"/>
        <v>0</v>
      </c>
      <c r="ILL46" s="420">
        <f t="shared" si="143"/>
        <v>0</v>
      </c>
      <c r="ILM46" s="420">
        <f t="shared" si="143"/>
        <v>0</v>
      </c>
      <c r="ILN46" s="420">
        <f t="shared" si="143"/>
        <v>0</v>
      </c>
      <c r="ILO46" s="420">
        <f t="shared" si="143"/>
        <v>0</v>
      </c>
      <c r="ILP46" s="420">
        <f t="shared" si="143"/>
        <v>0</v>
      </c>
      <c r="ILQ46" s="420">
        <f t="shared" si="143"/>
        <v>0</v>
      </c>
      <c r="ILR46" s="420">
        <f t="shared" si="143"/>
        <v>0</v>
      </c>
      <c r="ILS46" s="420">
        <f t="shared" si="143"/>
        <v>0</v>
      </c>
      <c r="ILT46" s="420">
        <f t="shared" si="143"/>
        <v>0</v>
      </c>
      <c r="ILU46" s="420">
        <f t="shared" si="143"/>
        <v>0</v>
      </c>
      <c r="ILV46" s="420">
        <f t="shared" si="143"/>
        <v>0</v>
      </c>
      <c r="ILW46" s="420">
        <f t="shared" si="143"/>
        <v>0</v>
      </c>
      <c r="ILX46" s="420">
        <f t="shared" si="143"/>
        <v>0</v>
      </c>
      <c r="ILY46" s="420">
        <f t="shared" si="143"/>
        <v>0</v>
      </c>
      <c r="ILZ46" s="420">
        <f t="shared" si="143"/>
        <v>0</v>
      </c>
      <c r="IMA46" s="420">
        <f t="shared" si="143"/>
        <v>0</v>
      </c>
      <c r="IMB46" s="420">
        <f t="shared" si="143"/>
        <v>0</v>
      </c>
      <c r="IMC46" s="420">
        <f t="shared" si="143"/>
        <v>0</v>
      </c>
      <c r="IMD46" s="420">
        <f t="shared" si="143"/>
        <v>0</v>
      </c>
      <c r="IME46" s="420">
        <f t="shared" si="143"/>
        <v>0</v>
      </c>
      <c r="IMF46" s="420">
        <f t="shared" si="143"/>
        <v>0</v>
      </c>
      <c r="IMG46" s="420">
        <f t="shared" si="143"/>
        <v>0</v>
      </c>
      <c r="IMH46" s="420">
        <f t="shared" si="143"/>
        <v>0</v>
      </c>
      <c r="IMI46" s="420">
        <f t="shared" si="143"/>
        <v>0</v>
      </c>
      <c r="IMJ46" s="420">
        <f t="shared" si="143"/>
        <v>0</v>
      </c>
      <c r="IMK46" s="420">
        <f t="shared" si="143"/>
        <v>0</v>
      </c>
      <c r="IML46" s="420">
        <f t="shared" si="143"/>
        <v>0</v>
      </c>
      <c r="IMM46" s="420">
        <f t="shared" si="143"/>
        <v>0</v>
      </c>
      <c r="IMN46" s="420">
        <f t="shared" si="143"/>
        <v>0</v>
      </c>
      <c r="IMO46" s="420">
        <f t="shared" si="143"/>
        <v>0</v>
      </c>
      <c r="IMP46" s="420">
        <f t="shared" si="143"/>
        <v>0</v>
      </c>
      <c r="IMQ46" s="420">
        <f t="shared" si="143"/>
        <v>0</v>
      </c>
      <c r="IMR46" s="420">
        <f t="shared" si="143"/>
        <v>0</v>
      </c>
      <c r="IMS46" s="420">
        <f t="shared" si="143"/>
        <v>0</v>
      </c>
      <c r="IMT46" s="420">
        <f t="shared" si="143"/>
        <v>0</v>
      </c>
      <c r="IMU46" s="420">
        <f t="shared" si="143"/>
        <v>0</v>
      </c>
      <c r="IMV46" s="420">
        <f t="shared" si="143"/>
        <v>0</v>
      </c>
      <c r="IMW46" s="420">
        <f t="shared" si="143"/>
        <v>0</v>
      </c>
      <c r="IMX46" s="420">
        <f t="shared" si="143"/>
        <v>0</v>
      </c>
      <c r="IMY46" s="420">
        <f t="shared" si="143"/>
        <v>0</v>
      </c>
      <c r="IMZ46" s="420">
        <f t="shared" si="143"/>
        <v>0</v>
      </c>
      <c r="INA46" s="420">
        <f t="shared" si="143"/>
        <v>0</v>
      </c>
      <c r="INB46" s="420">
        <f t="shared" si="143"/>
        <v>0</v>
      </c>
      <c r="INC46" s="420">
        <f t="shared" si="143"/>
        <v>0</v>
      </c>
      <c r="IND46" s="420">
        <f t="shared" si="143"/>
        <v>0</v>
      </c>
      <c r="INE46" s="420">
        <f t="shared" si="143"/>
        <v>0</v>
      </c>
      <c r="INF46" s="420">
        <f t="shared" si="143"/>
        <v>0</v>
      </c>
      <c r="ING46" s="420">
        <f t="shared" si="143"/>
        <v>0</v>
      </c>
      <c r="INH46" s="420">
        <f t="shared" si="143"/>
        <v>0</v>
      </c>
      <c r="INI46" s="420">
        <f t="shared" si="143"/>
        <v>0</v>
      </c>
      <c r="INJ46" s="420">
        <f t="shared" si="143"/>
        <v>0</v>
      </c>
      <c r="INK46" s="420">
        <f t="shared" si="143"/>
        <v>0</v>
      </c>
      <c r="INL46" s="420">
        <f t="shared" si="143"/>
        <v>0</v>
      </c>
      <c r="INM46" s="420">
        <f t="shared" si="143"/>
        <v>0</v>
      </c>
      <c r="INN46" s="420">
        <f t="shared" si="143"/>
        <v>0</v>
      </c>
      <c r="INO46" s="420">
        <f t="shared" si="143"/>
        <v>0</v>
      </c>
      <c r="INP46" s="420">
        <f t="shared" si="143"/>
        <v>0</v>
      </c>
      <c r="INQ46" s="420">
        <f t="shared" si="143"/>
        <v>0</v>
      </c>
      <c r="INR46" s="420">
        <f t="shared" si="143"/>
        <v>0</v>
      </c>
      <c r="INS46" s="420">
        <f t="shared" si="143"/>
        <v>0</v>
      </c>
      <c r="INT46" s="420">
        <f t="shared" si="143"/>
        <v>0</v>
      </c>
      <c r="INU46" s="420">
        <f t="shared" ref="INU46:IQF46" si="144">INU45*0.8</f>
        <v>0</v>
      </c>
      <c r="INV46" s="420">
        <f t="shared" si="144"/>
        <v>0</v>
      </c>
      <c r="INW46" s="420">
        <f t="shared" si="144"/>
        <v>0</v>
      </c>
      <c r="INX46" s="420">
        <f t="shared" si="144"/>
        <v>0</v>
      </c>
      <c r="INY46" s="420">
        <f t="shared" si="144"/>
        <v>0</v>
      </c>
      <c r="INZ46" s="420">
        <f t="shared" si="144"/>
        <v>0</v>
      </c>
      <c r="IOA46" s="420">
        <f t="shared" si="144"/>
        <v>0</v>
      </c>
      <c r="IOB46" s="420">
        <f t="shared" si="144"/>
        <v>0</v>
      </c>
      <c r="IOC46" s="420">
        <f t="shared" si="144"/>
        <v>0</v>
      </c>
      <c r="IOD46" s="420">
        <f t="shared" si="144"/>
        <v>0</v>
      </c>
      <c r="IOE46" s="420">
        <f t="shared" si="144"/>
        <v>0</v>
      </c>
      <c r="IOF46" s="420">
        <f t="shared" si="144"/>
        <v>0</v>
      </c>
      <c r="IOG46" s="420">
        <f t="shared" si="144"/>
        <v>0</v>
      </c>
      <c r="IOH46" s="420">
        <f t="shared" si="144"/>
        <v>0</v>
      </c>
      <c r="IOI46" s="420">
        <f t="shared" si="144"/>
        <v>0</v>
      </c>
      <c r="IOJ46" s="420">
        <f t="shared" si="144"/>
        <v>0</v>
      </c>
      <c r="IOK46" s="420">
        <f t="shared" si="144"/>
        <v>0</v>
      </c>
      <c r="IOL46" s="420">
        <f t="shared" si="144"/>
        <v>0</v>
      </c>
      <c r="IOM46" s="420">
        <f t="shared" si="144"/>
        <v>0</v>
      </c>
      <c r="ION46" s="420">
        <f t="shared" si="144"/>
        <v>0</v>
      </c>
      <c r="IOO46" s="420">
        <f t="shared" si="144"/>
        <v>0</v>
      </c>
      <c r="IOP46" s="420">
        <f t="shared" si="144"/>
        <v>0</v>
      </c>
      <c r="IOQ46" s="420">
        <f t="shared" si="144"/>
        <v>0</v>
      </c>
      <c r="IOR46" s="420">
        <f t="shared" si="144"/>
        <v>0</v>
      </c>
      <c r="IOS46" s="420">
        <f t="shared" si="144"/>
        <v>0</v>
      </c>
      <c r="IOT46" s="420">
        <f t="shared" si="144"/>
        <v>0</v>
      </c>
      <c r="IOU46" s="420">
        <f t="shared" si="144"/>
        <v>0</v>
      </c>
      <c r="IOV46" s="420">
        <f t="shared" si="144"/>
        <v>0</v>
      </c>
      <c r="IOW46" s="420">
        <f t="shared" si="144"/>
        <v>0</v>
      </c>
      <c r="IOX46" s="420">
        <f t="shared" si="144"/>
        <v>0</v>
      </c>
      <c r="IOY46" s="420">
        <f t="shared" si="144"/>
        <v>0</v>
      </c>
      <c r="IOZ46" s="420">
        <f t="shared" si="144"/>
        <v>0</v>
      </c>
      <c r="IPA46" s="420">
        <f t="shared" si="144"/>
        <v>0</v>
      </c>
      <c r="IPB46" s="420">
        <f t="shared" si="144"/>
        <v>0</v>
      </c>
      <c r="IPC46" s="420">
        <f t="shared" si="144"/>
        <v>0</v>
      </c>
      <c r="IPD46" s="420">
        <f t="shared" si="144"/>
        <v>0</v>
      </c>
      <c r="IPE46" s="420">
        <f t="shared" si="144"/>
        <v>0</v>
      </c>
      <c r="IPF46" s="420">
        <f t="shared" si="144"/>
        <v>0</v>
      </c>
      <c r="IPG46" s="420">
        <f t="shared" si="144"/>
        <v>0</v>
      </c>
      <c r="IPH46" s="420">
        <f t="shared" si="144"/>
        <v>0</v>
      </c>
      <c r="IPI46" s="420">
        <f t="shared" si="144"/>
        <v>0</v>
      </c>
      <c r="IPJ46" s="420">
        <f t="shared" si="144"/>
        <v>0</v>
      </c>
      <c r="IPK46" s="420">
        <f t="shared" si="144"/>
        <v>0</v>
      </c>
      <c r="IPL46" s="420">
        <f t="shared" si="144"/>
        <v>0</v>
      </c>
      <c r="IPM46" s="420">
        <f t="shared" si="144"/>
        <v>0</v>
      </c>
      <c r="IPN46" s="420">
        <f t="shared" si="144"/>
        <v>0</v>
      </c>
      <c r="IPO46" s="420">
        <f t="shared" si="144"/>
        <v>0</v>
      </c>
      <c r="IPP46" s="420">
        <f t="shared" si="144"/>
        <v>0</v>
      </c>
      <c r="IPQ46" s="420">
        <f t="shared" si="144"/>
        <v>0</v>
      </c>
      <c r="IPR46" s="420">
        <f t="shared" si="144"/>
        <v>0</v>
      </c>
      <c r="IPS46" s="420">
        <f t="shared" si="144"/>
        <v>0</v>
      </c>
      <c r="IPT46" s="420">
        <f t="shared" si="144"/>
        <v>0</v>
      </c>
      <c r="IPU46" s="420">
        <f t="shared" si="144"/>
        <v>0</v>
      </c>
      <c r="IPV46" s="420">
        <f t="shared" si="144"/>
        <v>0</v>
      </c>
      <c r="IPW46" s="420">
        <f t="shared" si="144"/>
        <v>0</v>
      </c>
      <c r="IPX46" s="420">
        <f t="shared" si="144"/>
        <v>0</v>
      </c>
      <c r="IPY46" s="420">
        <f t="shared" si="144"/>
        <v>0</v>
      </c>
      <c r="IPZ46" s="420">
        <f t="shared" si="144"/>
        <v>0</v>
      </c>
      <c r="IQA46" s="420">
        <f t="shared" si="144"/>
        <v>0</v>
      </c>
      <c r="IQB46" s="420">
        <f t="shared" si="144"/>
        <v>0</v>
      </c>
      <c r="IQC46" s="420">
        <f t="shared" si="144"/>
        <v>0</v>
      </c>
      <c r="IQD46" s="420">
        <f t="shared" si="144"/>
        <v>0</v>
      </c>
      <c r="IQE46" s="420">
        <f t="shared" si="144"/>
        <v>0</v>
      </c>
      <c r="IQF46" s="420">
        <f t="shared" si="144"/>
        <v>0</v>
      </c>
      <c r="IQG46" s="420">
        <f t="shared" ref="IQG46:ISR46" si="145">IQG45*0.8</f>
        <v>0</v>
      </c>
      <c r="IQH46" s="420">
        <f t="shared" si="145"/>
        <v>0</v>
      </c>
      <c r="IQI46" s="420">
        <f t="shared" si="145"/>
        <v>0</v>
      </c>
      <c r="IQJ46" s="420">
        <f t="shared" si="145"/>
        <v>0</v>
      </c>
      <c r="IQK46" s="420">
        <f t="shared" si="145"/>
        <v>0</v>
      </c>
      <c r="IQL46" s="420">
        <f t="shared" si="145"/>
        <v>0</v>
      </c>
      <c r="IQM46" s="420">
        <f t="shared" si="145"/>
        <v>0</v>
      </c>
      <c r="IQN46" s="420">
        <f t="shared" si="145"/>
        <v>0</v>
      </c>
      <c r="IQO46" s="420">
        <f t="shared" si="145"/>
        <v>0</v>
      </c>
      <c r="IQP46" s="420">
        <f t="shared" si="145"/>
        <v>0</v>
      </c>
      <c r="IQQ46" s="420">
        <f t="shared" si="145"/>
        <v>0</v>
      </c>
      <c r="IQR46" s="420">
        <f t="shared" si="145"/>
        <v>0</v>
      </c>
      <c r="IQS46" s="420">
        <f t="shared" si="145"/>
        <v>0</v>
      </c>
      <c r="IQT46" s="420">
        <f t="shared" si="145"/>
        <v>0</v>
      </c>
      <c r="IQU46" s="420">
        <f t="shared" si="145"/>
        <v>0</v>
      </c>
      <c r="IQV46" s="420">
        <f t="shared" si="145"/>
        <v>0</v>
      </c>
      <c r="IQW46" s="420">
        <f t="shared" si="145"/>
        <v>0</v>
      </c>
      <c r="IQX46" s="420">
        <f t="shared" si="145"/>
        <v>0</v>
      </c>
      <c r="IQY46" s="420">
        <f t="shared" si="145"/>
        <v>0</v>
      </c>
      <c r="IQZ46" s="420">
        <f t="shared" si="145"/>
        <v>0</v>
      </c>
      <c r="IRA46" s="420">
        <f t="shared" si="145"/>
        <v>0</v>
      </c>
      <c r="IRB46" s="420">
        <f t="shared" si="145"/>
        <v>0</v>
      </c>
      <c r="IRC46" s="420">
        <f t="shared" si="145"/>
        <v>0</v>
      </c>
      <c r="IRD46" s="420">
        <f t="shared" si="145"/>
        <v>0</v>
      </c>
      <c r="IRE46" s="420">
        <f t="shared" si="145"/>
        <v>0</v>
      </c>
      <c r="IRF46" s="420">
        <f t="shared" si="145"/>
        <v>0</v>
      </c>
      <c r="IRG46" s="420">
        <f t="shared" si="145"/>
        <v>0</v>
      </c>
      <c r="IRH46" s="420">
        <f t="shared" si="145"/>
        <v>0</v>
      </c>
      <c r="IRI46" s="420">
        <f t="shared" si="145"/>
        <v>0</v>
      </c>
      <c r="IRJ46" s="420">
        <f t="shared" si="145"/>
        <v>0</v>
      </c>
      <c r="IRK46" s="420">
        <f t="shared" si="145"/>
        <v>0</v>
      </c>
      <c r="IRL46" s="420">
        <f t="shared" si="145"/>
        <v>0</v>
      </c>
      <c r="IRM46" s="420">
        <f t="shared" si="145"/>
        <v>0</v>
      </c>
      <c r="IRN46" s="420">
        <f t="shared" si="145"/>
        <v>0</v>
      </c>
      <c r="IRO46" s="420">
        <f t="shared" si="145"/>
        <v>0</v>
      </c>
      <c r="IRP46" s="420">
        <f t="shared" si="145"/>
        <v>0</v>
      </c>
      <c r="IRQ46" s="420">
        <f t="shared" si="145"/>
        <v>0</v>
      </c>
      <c r="IRR46" s="420">
        <f t="shared" si="145"/>
        <v>0</v>
      </c>
      <c r="IRS46" s="420">
        <f t="shared" si="145"/>
        <v>0</v>
      </c>
      <c r="IRT46" s="420">
        <f t="shared" si="145"/>
        <v>0</v>
      </c>
      <c r="IRU46" s="420">
        <f t="shared" si="145"/>
        <v>0</v>
      </c>
      <c r="IRV46" s="420">
        <f t="shared" si="145"/>
        <v>0</v>
      </c>
      <c r="IRW46" s="420">
        <f t="shared" si="145"/>
        <v>0</v>
      </c>
      <c r="IRX46" s="420">
        <f t="shared" si="145"/>
        <v>0</v>
      </c>
      <c r="IRY46" s="420">
        <f t="shared" si="145"/>
        <v>0</v>
      </c>
      <c r="IRZ46" s="420">
        <f t="shared" si="145"/>
        <v>0</v>
      </c>
      <c r="ISA46" s="420">
        <f t="shared" si="145"/>
        <v>0</v>
      </c>
      <c r="ISB46" s="420">
        <f t="shared" si="145"/>
        <v>0</v>
      </c>
      <c r="ISC46" s="420">
        <f t="shared" si="145"/>
        <v>0</v>
      </c>
      <c r="ISD46" s="420">
        <f t="shared" si="145"/>
        <v>0</v>
      </c>
      <c r="ISE46" s="420">
        <f t="shared" si="145"/>
        <v>0</v>
      </c>
      <c r="ISF46" s="420">
        <f t="shared" si="145"/>
        <v>0</v>
      </c>
      <c r="ISG46" s="420">
        <f t="shared" si="145"/>
        <v>0</v>
      </c>
      <c r="ISH46" s="420">
        <f t="shared" si="145"/>
        <v>0</v>
      </c>
      <c r="ISI46" s="420">
        <f t="shared" si="145"/>
        <v>0</v>
      </c>
      <c r="ISJ46" s="420">
        <f t="shared" si="145"/>
        <v>0</v>
      </c>
      <c r="ISK46" s="420">
        <f t="shared" si="145"/>
        <v>0</v>
      </c>
      <c r="ISL46" s="420">
        <f t="shared" si="145"/>
        <v>0</v>
      </c>
      <c r="ISM46" s="420">
        <f t="shared" si="145"/>
        <v>0</v>
      </c>
      <c r="ISN46" s="420">
        <f t="shared" si="145"/>
        <v>0</v>
      </c>
      <c r="ISO46" s="420">
        <f t="shared" si="145"/>
        <v>0</v>
      </c>
      <c r="ISP46" s="420">
        <f t="shared" si="145"/>
        <v>0</v>
      </c>
      <c r="ISQ46" s="420">
        <f t="shared" si="145"/>
        <v>0</v>
      </c>
      <c r="ISR46" s="420">
        <f t="shared" si="145"/>
        <v>0</v>
      </c>
      <c r="ISS46" s="420">
        <f t="shared" ref="ISS46:IVD46" si="146">ISS45*0.8</f>
        <v>0</v>
      </c>
      <c r="IST46" s="420">
        <f t="shared" si="146"/>
        <v>0</v>
      </c>
      <c r="ISU46" s="420">
        <f t="shared" si="146"/>
        <v>0</v>
      </c>
      <c r="ISV46" s="420">
        <f t="shared" si="146"/>
        <v>0</v>
      </c>
      <c r="ISW46" s="420">
        <f t="shared" si="146"/>
        <v>0</v>
      </c>
      <c r="ISX46" s="420">
        <f t="shared" si="146"/>
        <v>0</v>
      </c>
      <c r="ISY46" s="420">
        <f t="shared" si="146"/>
        <v>0</v>
      </c>
      <c r="ISZ46" s="420">
        <f t="shared" si="146"/>
        <v>0</v>
      </c>
      <c r="ITA46" s="420">
        <f t="shared" si="146"/>
        <v>0</v>
      </c>
      <c r="ITB46" s="420">
        <f t="shared" si="146"/>
        <v>0</v>
      </c>
      <c r="ITC46" s="420">
        <f t="shared" si="146"/>
        <v>0</v>
      </c>
      <c r="ITD46" s="420">
        <f t="shared" si="146"/>
        <v>0</v>
      </c>
      <c r="ITE46" s="420">
        <f t="shared" si="146"/>
        <v>0</v>
      </c>
      <c r="ITF46" s="420">
        <f t="shared" si="146"/>
        <v>0</v>
      </c>
      <c r="ITG46" s="420">
        <f t="shared" si="146"/>
        <v>0</v>
      </c>
      <c r="ITH46" s="420">
        <f t="shared" si="146"/>
        <v>0</v>
      </c>
      <c r="ITI46" s="420">
        <f t="shared" si="146"/>
        <v>0</v>
      </c>
      <c r="ITJ46" s="420">
        <f t="shared" si="146"/>
        <v>0</v>
      </c>
      <c r="ITK46" s="420">
        <f t="shared" si="146"/>
        <v>0</v>
      </c>
      <c r="ITL46" s="420">
        <f t="shared" si="146"/>
        <v>0</v>
      </c>
      <c r="ITM46" s="420">
        <f t="shared" si="146"/>
        <v>0</v>
      </c>
      <c r="ITN46" s="420">
        <f t="shared" si="146"/>
        <v>0</v>
      </c>
      <c r="ITO46" s="420">
        <f t="shared" si="146"/>
        <v>0</v>
      </c>
      <c r="ITP46" s="420">
        <f t="shared" si="146"/>
        <v>0</v>
      </c>
      <c r="ITQ46" s="420">
        <f t="shared" si="146"/>
        <v>0</v>
      </c>
      <c r="ITR46" s="420">
        <f t="shared" si="146"/>
        <v>0</v>
      </c>
      <c r="ITS46" s="420">
        <f t="shared" si="146"/>
        <v>0</v>
      </c>
      <c r="ITT46" s="420">
        <f t="shared" si="146"/>
        <v>0</v>
      </c>
      <c r="ITU46" s="420">
        <f t="shared" si="146"/>
        <v>0</v>
      </c>
      <c r="ITV46" s="420">
        <f t="shared" si="146"/>
        <v>0</v>
      </c>
      <c r="ITW46" s="420">
        <f t="shared" si="146"/>
        <v>0</v>
      </c>
      <c r="ITX46" s="420">
        <f t="shared" si="146"/>
        <v>0</v>
      </c>
      <c r="ITY46" s="420">
        <f t="shared" si="146"/>
        <v>0</v>
      </c>
      <c r="ITZ46" s="420">
        <f t="shared" si="146"/>
        <v>0</v>
      </c>
      <c r="IUA46" s="420">
        <f t="shared" si="146"/>
        <v>0</v>
      </c>
      <c r="IUB46" s="420">
        <f t="shared" si="146"/>
        <v>0</v>
      </c>
      <c r="IUC46" s="420">
        <f t="shared" si="146"/>
        <v>0</v>
      </c>
      <c r="IUD46" s="420">
        <f t="shared" si="146"/>
        <v>0</v>
      </c>
      <c r="IUE46" s="420">
        <f t="shared" si="146"/>
        <v>0</v>
      </c>
      <c r="IUF46" s="420">
        <f t="shared" si="146"/>
        <v>0</v>
      </c>
      <c r="IUG46" s="420">
        <f t="shared" si="146"/>
        <v>0</v>
      </c>
      <c r="IUH46" s="420">
        <f t="shared" si="146"/>
        <v>0</v>
      </c>
      <c r="IUI46" s="420">
        <f t="shared" si="146"/>
        <v>0</v>
      </c>
      <c r="IUJ46" s="420">
        <f t="shared" si="146"/>
        <v>0</v>
      </c>
      <c r="IUK46" s="420">
        <f t="shared" si="146"/>
        <v>0</v>
      </c>
      <c r="IUL46" s="420">
        <f t="shared" si="146"/>
        <v>0</v>
      </c>
      <c r="IUM46" s="420">
        <f t="shared" si="146"/>
        <v>0</v>
      </c>
      <c r="IUN46" s="420">
        <f t="shared" si="146"/>
        <v>0</v>
      </c>
      <c r="IUO46" s="420">
        <f t="shared" si="146"/>
        <v>0</v>
      </c>
      <c r="IUP46" s="420">
        <f t="shared" si="146"/>
        <v>0</v>
      </c>
      <c r="IUQ46" s="420">
        <f t="shared" si="146"/>
        <v>0</v>
      </c>
      <c r="IUR46" s="420">
        <f t="shared" si="146"/>
        <v>0</v>
      </c>
      <c r="IUS46" s="420">
        <f t="shared" si="146"/>
        <v>0</v>
      </c>
      <c r="IUT46" s="420">
        <f t="shared" si="146"/>
        <v>0</v>
      </c>
      <c r="IUU46" s="420">
        <f t="shared" si="146"/>
        <v>0</v>
      </c>
      <c r="IUV46" s="420">
        <f t="shared" si="146"/>
        <v>0</v>
      </c>
      <c r="IUW46" s="420">
        <f t="shared" si="146"/>
        <v>0</v>
      </c>
      <c r="IUX46" s="420">
        <f t="shared" si="146"/>
        <v>0</v>
      </c>
      <c r="IUY46" s="420">
        <f t="shared" si="146"/>
        <v>0</v>
      </c>
      <c r="IUZ46" s="420">
        <f t="shared" si="146"/>
        <v>0</v>
      </c>
      <c r="IVA46" s="420">
        <f t="shared" si="146"/>
        <v>0</v>
      </c>
      <c r="IVB46" s="420">
        <f t="shared" si="146"/>
        <v>0</v>
      </c>
      <c r="IVC46" s="420">
        <f t="shared" si="146"/>
        <v>0</v>
      </c>
      <c r="IVD46" s="420">
        <f t="shared" si="146"/>
        <v>0</v>
      </c>
      <c r="IVE46" s="420">
        <f t="shared" ref="IVE46:IXP46" si="147">IVE45*0.8</f>
        <v>0</v>
      </c>
      <c r="IVF46" s="420">
        <f t="shared" si="147"/>
        <v>0</v>
      </c>
      <c r="IVG46" s="420">
        <f t="shared" si="147"/>
        <v>0</v>
      </c>
      <c r="IVH46" s="420">
        <f t="shared" si="147"/>
        <v>0</v>
      </c>
      <c r="IVI46" s="420">
        <f t="shared" si="147"/>
        <v>0</v>
      </c>
      <c r="IVJ46" s="420">
        <f t="shared" si="147"/>
        <v>0</v>
      </c>
      <c r="IVK46" s="420">
        <f t="shared" si="147"/>
        <v>0</v>
      </c>
      <c r="IVL46" s="420">
        <f t="shared" si="147"/>
        <v>0</v>
      </c>
      <c r="IVM46" s="420">
        <f t="shared" si="147"/>
        <v>0</v>
      </c>
      <c r="IVN46" s="420">
        <f t="shared" si="147"/>
        <v>0</v>
      </c>
      <c r="IVO46" s="420">
        <f t="shared" si="147"/>
        <v>0</v>
      </c>
      <c r="IVP46" s="420">
        <f t="shared" si="147"/>
        <v>0</v>
      </c>
      <c r="IVQ46" s="420">
        <f t="shared" si="147"/>
        <v>0</v>
      </c>
      <c r="IVR46" s="420">
        <f t="shared" si="147"/>
        <v>0</v>
      </c>
      <c r="IVS46" s="420">
        <f t="shared" si="147"/>
        <v>0</v>
      </c>
      <c r="IVT46" s="420">
        <f t="shared" si="147"/>
        <v>0</v>
      </c>
      <c r="IVU46" s="420">
        <f t="shared" si="147"/>
        <v>0</v>
      </c>
      <c r="IVV46" s="420">
        <f t="shared" si="147"/>
        <v>0</v>
      </c>
      <c r="IVW46" s="420">
        <f t="shared" si="147"/>
        <v>0</v>
      </c>
      <c r="IVX46" s="420">
        <f t="shared" si="147"/>
        <v>0</v>
      </c>
      <c r="IVY46" s="420">
        <f t="shared" si="147"/>
        <v>0</v>
      </c>
      <c r="IVZ46" s="420">
        <f t="shared" si="147"/>
        <v>0</v>
      </c>
      <c r="IWA46" s="420">
        <f t="shared" si="147"/>
        <v>0</v>
      </c>
      <c r="IWB46" s="420">
        <f t="shared" si="147"/>
        <v>0</v>
      </c>
      <c r="IWC46" s="420">
        <f t="shared" si="147"/>
        <v>0</v>
      </c>
      <c r="IWD46" s="420">
        <f t="shared" si="147"/>
        <v>0</v>
      </c>
      <c r="IWE46" s="420">
        <f t="shared" si="147"/>
        <v>0</v>
      </c>
      <c r="IWF46" s="420">
        <f t="shared" si="147"/>
        <v>0</v>
      </c>
      <c r="IWG46" s="420">
        <f t="shared" si="147"/>
        <v>0</v>
      </c>
      <c r="IWH46" s="420">
        <f t="shared" si="147"/>
        <v>0</v>
      </c>
      <c r="IWI46" s="420">
        <f t="shared" si="147"/>
        <v>0</v>
      </c>
      <c r="IWJ46" s="420">
        <f t="shared" si="147"/>
        <v>0</v>
      </c>
      <c r="IWK46" s="420">
        <f t="shared" si="147"/>
        <v>0</v>
      </c>
      <c r="IWL46" s="420">
        <f t="shared" si="147"/>
        <v>0</v>
      </c>
      <c r="IWM46" s="420">
        <f t="shared" si="147"/>
        <v>0</v>
      </c>
      <c r="IWN46" s="420">
        <f t="shared" si="147"/>
        <v>0</v>
      </c>
      <c r="IWO46" s="420">
        <f t="shared" si="147"/>
        <v>0</v>
      </c>
      <c r="IWP46" s="420">
        <f t="shared" si="147"/>
        <v>0</v>
      </c>
      <c r="IWQ46" s="420">
        <f t="shared" si="147"/>
        <v>0</v>
      </c>
      <c r="IWR46" s="420">
        <f t="shared" si="147"/>
        <v>0</v>
      </c>
      <c r="IWS46" s="420">
        <f t="shared" si="147"/>
        <v>0</v>
      </c>
      <c r="IWT46" s="420">
        <f t="shared" si="147"/>
        <v>0</v>
      </c>
      <c r="IWU46" s="420">
        <f t="shared" si="147"/>
        <v>0</v>
      </c>
      <c r="IWV46" s="420">
        <f t="shared" si="147"/>
        <v>0</v>
      </c>
      <c r="IWW46" s="420">
        <f t="shared" si="147"/>
        <v>0</v>
      </c>
      <c r="IWX46" s="420">
        <f t="shared" si="147"/>
        <v>0</v>
      </c>
      <c r="IWY46" s="420">
        <f t="shared" si="147"/>
        <v>0</v>
      </c>
      <c r="IWZ46" s="420">
        <f t="shared" si="147"/>
        <v>0</v>
      </c>
      <c r="IXA46" s="420">
        <f t="shared" si="147"/>
        <v>0</v>
      </c>
      <c r="IXB46" s="420">
        <f t="shared" si="147"/>
        <v>0</v>
      </c>
      <c r="IXC46" s="420">
        <f t="shared" si="147"/>
        <v>0</v>
      </c>
      <c r="IXD46" s="420">
        <f t="shared" si="147"/>
        <v>0</v>
      </c>
      <c r="IXE46" s="420">
        <f t="shared" si="147"/>
        <v>0</v>
      </c>
      <c r="IXF46" s="420">
        <f t="shared" si="147"/>
        <v>0</v>
      </c>
      <c r="IXG46" s="420">
        <f t="shared" si="147"/>
        <v>0</v>
      </c>
      <c r="IXH46" s="420">
        <f t="shared" si="147"/>
        <v>0</v>
      </c>
      <c r="IXI46" s="420">
        <f t="shared" si="147"/>
        <v>0</v>
      </c>
      <c r="IXJ46" s="420">
        <f t="shared" si="147"/>
        <v>0</v>
      </c>
      <c r="IXK46" s="420">
        <f t="shared" si="147"/>
        <v>0</v>
      </c>
      <c r="IXL46" s="420">
        <f t="shared" si="147"/>
        <v>0</v>
      </c>
      <c r="IXM46" s="420">
        <f t="shared" si="147"/>
        <v>0</v>
      </c>
      <c r="IXN46" s="420">
        <f t="shared" si="147"/>
        <v>0</v>
      </c>
      <c r="IXO46" s="420">
        <f t="shared" si="147"/>
        <v>0</v>
      </c>
      <c r="IXP46" s="420">
        <f t="shared" si="147"/>
        <v>0</v>
      </c>
      <c r="IXQ46" s="420">
        <f t="shared" ref="IXQ46:JAB46" si="148">IXQ45*0.8</f>
        <v>0</v>
      </c>
      <c r="IXR46" s="420">
        <f t="shared" si="148"/>
        <v>0</v>
      </c>
      <c r="IXS46" s="420">
        <f t="shared" si="148"/>
        <v>0</v>
      </c>
      <c r="IXT46" s="420">
        <f t="shared" si="148"/>
        <v>0</v>
      </c>
      <c r="IXU46" s="420">
        <f t="shared" si="148"/>
        <v>0</v>
      </c>
      <c r="IXV46" s="420">
        <f t="shared" si="148"/>
        <v>0</v>
      </c>
      <c r="IXW46" s="420">
        <f t="shared" si="148"/>
        <v>0</v>
      </c>
      <c r="IXX46" s="420">
        <f t="shared" si="148"/>
        <v>0</v>
      </c>
      <c r="IXY46" s="420">
        <f t="shared" si="148"/>
        <v>0</v>
      </c>
      <c r="IXZ46" s="420">
        <f t="shared" si="148"/>
        <v>0</v>
      </c>
      <c r="IYA46" s="420">
        <f t="shared" si="148"/>
        <v>0</v>
      </c>
      <c r="IYB46" s="420">
        <f t="shared" si="148"/>
        <v>0</v>
      </c>
      <c r="IYC46" s="420">
        <f t="shared" si="148"/>
        <v>0</v>
      </c>
      <c r="IYD46" s="420">
        <f t="shared" si="148"/>
        <v>0</v>
      </c>
      <c r="IYE46" s="420">
        <f t="shared" si="148"/>
        <v>0</v>
      </c>
      <c r="IYF46" s="420">
        <f t="shared" si="148"/>
        <v>0</v>
      </c>
      <c r="IYG46" s="420">
        <f t="shared" si="148"/>
        <v>0</v>
      </c>
      <c r="IYH46" s="420">
        <f t="shared" si="148"/>
        <v>0</v>
      </c>
      <c r="IYI46" s="420">
        <f t="shared" si="148"/>
        <v>0</v>
      </c>
      <c r="IYJ46" s="420">
        <f t="shared" si="148"/>
        <v>0</v>
      </c>
      <c r="IYK46" s="420">
        <f t="shared" si="148"/>
        <v>0</v>
      </c>
      <c r="IYL46" s="420">
        <f t="shared" si="148"/>
        <v>0</v>
      </c>
      <c r="IYM46" s="420">
        <f t="shared" si="148"/>
        <v>0</v>
      </c>
      <c r="IYN46" s="420">
        <f t="shared" si="148"/>
        <v>0</v>
      </c>
      <c r="IYO46" s="420">
        <f t="shared" si="148"/>
        <v>0</v>
      </c>
      <c r="IYP46" s="420">
        <f t="shared" si="148"/>
        <v>0</v>
      </c>
      <c r="IYQ46" s="420">
        <f t="shared" si="148"/>
        <v>0</v>
      </c>
      <c r="IYR46" s="420">
        <f t="shared" si="148"/>
        <v>0</v>
      </c>
      <c r="IYS46" s="420">
        <f t="shared" si="148"/>
        <v>0</v>
      </c>
      <c r="IYT46" s="420">
        <f t="shared" si="148"/>
        <v>0</v>
      </c>
      <c r="IYU46" s="420">
        <f t="shared" si="148"/>
        <v>0</v>
      </c>
      <c r="IYV46" s="420">
        <f t="shared" si="148"/>
        <v>0</v>
      </c>
      <c r="IYW46" s="420">
        <f t="shared" si="148"/>
        <v>0</v>
      </c>
      <c r="IYX46" s="420">
        <f t="shared" si="148"/>
        <v>0</v>
      </c>
      <c r="IYY46" s="420">
        <f t="shared" si="148"/>
        <v>0</v>
      </c>
      <c r="IYZ46" s="420">
        <f t="shared" si="148"/>
        <v>0</v>
      </c>
      <c r="IZA46" s="420">
        <f t="shared" si="148"/>
        <v>0</v>
      </c>
      <c r="IZB46" s="420">
        <f t="shared" si="148"/>
        <v>0</v>
      </c>
      <c r="IZC46" s="420">
        <f t="shared" si="148"/>
        <v>0</v>
      </c>
      <c r="IZD46" s="420">
        <f t="shared" si="148"/>
        <v>0</v>
      </c>
      <c r="IZE46" s="420">
        <f t="shared" si="148"/>
        <v>0</v>
      </c>
      <c r="IZF46" s="420">
        <f t="shared" si="148"/>
        <v>0</v>
      </c>
      <c r="IZG46" s="420">
        <f t="shared" si="148"/>
        <v>0</v>
      </c>
      <c r="IZH46" s="420">
        <f t="shared" si="148"/>
        <v>0</v>
      </c>
      <c r="IZI46" s="420">
        <f t="shared" si="148"/>
        <v>0</v>
      </c>
      <c r="IZJ46" s="420">
        <f t="shared" si="148"/>
        <v>0</v>
      </c>
      <c r="IZK46" s="420">
        <f t="shared" si="148"/>
        <v>0</v>
      </c>
      <c r="IZL46" s="420">
        <f t="shared" si="148"/>
        <v>0</v>
      </c>
      <c r="IZM46" s="420">
        <f t="shared" si="148"/>
        <v>0</v>
      </c>
      <c r="IZN46" s="420">
        <f t="shared" si="148"/>
        <v>0</v>
      </c>
      <c r="IZO46" s="420">
        <f t="shared" si="148"/>
        <v>0</v>
      </c>
      <c r="IZP46" s="420">
        <f t="shared" si="148"/>
        <v>0</v>
      </c>
      <c r="IZQ46" s="420">
        <f t="shared" si="148"/>
        <v>0</v>
      </c>
      <c r="IZR46" s="420">
        <f t="shared" si="148"/>
        <v>0</v>
      </c>
      <c r="IZS46" s="420">
        <f t="shared" si="148"/>
        <v>0</v>
      </c>
      <c r="IZT46" s="420">
        <f t="shared" si="148"/>
        <v>0</v>
      </c>
      <c r="IZU46" s="420">
        <f t="shared" si="148"/>
        <v>0</v>
      </c>
      <c r="IZV46" s="420">
        <f t="shared" si="148"/>
        <v>0</v>
      </c>
      <c r="IZW46" s="420">
        <f t="shared" si="148"/>
        <v>0</v>
      </c>
      <c r="IZX46" s="420">
        <f t="shared" si="148"/>
        <v>0</v>
      </c>
      <c r="IZY46" s="420">
        <f t="shared" si="148"/>
        <v>0</v>
      </c>
      <c r="IZZ46" s="420">
        <f t="shared" si="148"/>
        <v>0</v>
      </c>
      <c r="JAA46" s="420">
        <f t="shared" si="148"/>
        <v>0</v>
      </c>
      <c r="JAB46" s="420">
        <f t="shared" si="148"/>
        <v>0</v>
      </c>
      <c r="JAC46" s="420">
        <f t="shared" ref="JAC46:JCN46" si="149">JAC45*0.8</f>
        <v>0</v>
      </c>
      <c r="JAD46" s="420">
        <f t="shared" si="149"/>
        <v>0</v>
      </c>
      <c r="JAE46" s="420">
        <f t="shared" si="149"/>
        <v>0</v>
      </c>
      <c r="JAF46" s="420">
        <f t="shared" si="149"/>
        <v>0</v>
      </c>
      <c r="JAG46" s="420">
        <f t="shared" si="149"/>
        <v>0</v>
      </c>
      <c r="JAH46" s="420">
        <f t="shared" si="149"/>
        <v>0</v>
      </c>
      <c r="JAI46" s="420">
        <f t="shared" si="149"/>
        <v>0</v>
      </c>
      <c r="JAJ46" s="420">
        <f t="shared" si="149"/>
        <v>0</v>
      </c>
      <c r="JAK46" s="420">
        <f t="shared" si="149"/>
        <v>0</v>
      </c>
      <c r="JAL46" s="420">
        <f t="shared" si="149"/>
        <v>0</v>
      </c>
      <c r="JAM46" s="420">
        <f t="shared" si="149"/>
        <v>0</v>
      </c>
      <c r="JAN46" s="420">
        <f t="shared" si="149"/>
        <v>0</v>
      </c>
      <c r="JAO46" s="420">
        <f t="shared" si="149"/>
        <v>0</v>
      </c>
      <c r="JAP46" s="420">
        <f t="shared" si="149"/>
        <v>0</v>
      </c>
      <c r="JAQ46" s="420">
        <f t="shared" si="149"/>
        <v>0</v>
      </c>
      <c r="JAR46" s="420">
        <f t="shared" si="149"/>
        <v>0</v>
      </c>
      <c r="JAS46" s="420">
        <f t="shared" si="149"/>
        <v>0</v>
      </c>
      <c r="JAT46" s="420">
        <f t="shared" si="149"/>
        <v>0</v>
      </c>
      <c r="JAU46" s="420">
        <f t="shared" si="149"/>
        <v>0</v>
      </c>
      <c r="JAV46" s="420">
        <f t="shared" si="149"/>
        <v>0</v>
      </c>
      <c r="JAW46" s="420">
        <f t="shared" si="149"/>
        <v>0</v>
      </c>
      <c r="JAX46" s="420">
        <f t="shared" si="149"/>
        <v>0</v>
      </c>
      <c r="JAY46" s="420">
        <f t="shared" si="149"/>
        <v>0</v>
      </c>
      <c r="JAZ46" s="420">
        <f t="shared" si="149"/>
        <v>0</v>
      </c>
      <c r="JBA46" s="420">
        <f t="shared" si="149"/>
        <v>0</v>
      </c>
      <c r="JBB46" s="420">
        <f t="shared" si="149"/>
        <v>0</v>
      </c>
      <c r="JBC46" s="420">
        <f t="shared" si="149"/>
        <v>0</v>
      </c>
      <c r="JBD46" s="420">
        <f t="shared" si="149"/>
        <v>0</v>
      </c>
      <c r="JBE46" s="420">
        <f t="shared" si="149"/>
        <v>0</v>
      </c>
      <c r="JBF46" s="420">
        <f t="shared" si="149"/>
        <v>0</v>
      </c>
      <c r="JBG46" s="420">
        <f t="shared" si="149"/>
        <v>0</v>
      </c>
      <c r="JBH46" s="420">
        <f t="shared" si="149"/>
        <v>0</v>
      </c>
      <c r="JBI46" s="420">
        <f t="shared" si="149"/>
        <v>0</v>
      </c>
      <c r="JBJ46" s="420">
        <f t="shared" si="149"/>
        <v>0</v>
      </c>
      <c r="JBK46" s="420">
        <f t="shared" si="149"/>
        <v>0</v>
      </c>
      <c r="JBL46" s="420">
        <f t="shared" si="149"/>
        <v>0</v>
      </c>
      <c r="JBM46" s="420">
        <f t="shared" si="149"/>
        <v>0</v>
      </c>
      <c r="JBN46" s="420">
        <f t="shared" si="149"/>
        <v>0</v>
      </c>
      <c r="JBO46" s="420">
        <f t="shared" si="149"/>
        <v>0</v>
      </c>
      <c r="JBP46" s="420">
        <f t="shared" si="149"/>
        <v>0</v>
      </c>
      <c r="JBQ46" s="420">
        <f t="shared" si="149"/>
        <v>0</v>
      </c>
      <c r="JBR46" s="420">
        <f t="shared" si="149"/>
        <v>0</v>
      </c>
      <c r="JBS46" s="420">
        <f t="shared" si="149"/>
        <v>0</v>
      </c>
      <c r="JBT46" s="420">
        <f t="shared" si="149"/>
        <v>0</v>
      </c>
      <c r="JBU46" s="420">
        <f t="shared" si="149"/>
        <v>0</v>
      </c>
      <c r="JBV46" s="420">
        <f t="shared" si="149"/>
        <v>0</v>
      </c>
      <c r="JBW46" s="420">
        <f t="shared" si="149"/>
        <v>0</v>
      </c>
      <c r="JBX46" s="420">
        <f t="shared" si="149"/>
        <v>0</v>
      </c>
      <c r="JBY46" s="420">
        <f t="shared" si="149"/>
        <v>0</v>
      </c>
      <c r="JBZ46" s="420">
        <f t="shared" si="149"/>
        <v>0</v>
      </c>
      <c r="JCA46" s="420">
        <f t="shared" si="149"/>
        <v>0</v>
      </c>
      <c r="JCB46" s="420">
        <f t="shared" si="149"/>
        <v>0</v>
      </c>
      <c r="JCC46" s="420">
        <f t="shared" si="149"/>
        <v>0</v>
      </c>
      <c r="JCD46" s="420">
        <f t="shared" si="149"/>
        <v>0</v>
      </c>
      <c r="JCE46" s="420">
        <f t="shared" si="149"/>
        <v>0</v>
      </c>
      <c r="JCF46" s="420">
        <f t="shared" si="149"/>
        <v>0</v>
      </c>
      <c r="JCG46" s="420">
        <f t="shared" si="149"/>
        <v>0</v>
      </c>
      <c r="JCH46" s="420">
        <f t="shared" si="149"/>
        <v>0</v>
      </c>
      <c r="JCI46" s="420">
        <f t="shared" si="149"/>
        <v>0</v>
      </c>
      <c r="JCJ46" s="420">
        <f t="shared" si="149"/>
        <v>0</v>
      </c>
      <c r="JCK46" s="420">
        <f t="shared" si="149"/>
        <v>0</v>
      </c>
      <c r="JCL46" s="420">
        <f t="shared" si="149"/>
        <v>0</v>
      </c>
      <c r="JCM46" s="420">
        <f t="shared" si="149"/>
        <v>0</v>
      </c>
      <c r="JCN46" s="420">
        <f t="shared" si="149"/>
        <v>0</v>
      </c>
      <c r="JCO46" s="420">
        <f t="shared" ref="JCO46:JEZ46" si="150">JCO45*0.8</f>
        <v>0</v>
      </c>
      <c r="JCP46" s="420">
        <f t="shared" si="150"/>
        <v>0</v>
      </c>
      <c r="JCQ46" s="420">
        <f t="shared" si="150"/>
        <v>0</v>
      </c>
      <c r="JCR46" s="420">
        <f t="shared" si="150"/>
        <v>0</v>
      </c>
      <c r="JCS46" s="420">
        <f t="shared" si="150"/>
        <v>0</v>
      </c>
      <c r="JCT46" s="420">
        <f t="shared" si="150"/>
        <v>0</v>
      </c>
      <c r="JCU46" s="420">
        <f t="shared" si="150"/>
        <v>0</v>
      </c>
      <c r="JCV46" s="420">
        <f t="shared" si="150"/>
        <v>0</v>
      </c>
      <c r="JCW46" s="420">
        <f t="shared" si="150"/>
        <v>0</v>
      </c>
      <c r="JCX46" s="420">
        <f t="shared" si="150"/>
        <v>0</v>
      </c>
      <c r="JCY46" s="420">
        <f t="shared" si="150"/>
        <v>0</v>
      </c>
      <c r="JCZ46" s="420">
        <f t="shared" si="150"/>
        <v>0</v>
      </c>
      <c r="JDA46" s="420">
        <f t="shared" si="150"/>
        <v>0</v>
      </c>
      <c r="JDB46" s="420">
        <f t="shared" si="150"/>
        <v>0</v>
      </c>
      <c r="JDC46" s="420">
        <f t="shared" si="150"/>
        <v>0</v>
      </c>
      <c r="JDD46" s="420">
        <f t="shared" si="150"/>
        <v>0</v>
      </c>
      <c r="JDE46" s="420">
        <f t="shared" si="150"/>
        <v>0</v>
      </c>
      <c r="JDF46" s="420">
        <f t="shared" si="150"/>
        <v>0</v>
      </c>
      <c r="JDG46" s="420">
        <f t="shared" si="150"/>
        <v>0</v>
      </c>
      <c r="JDH46" s="420">
        <f t="shared" si="150"/>
        <v>0</v>
      </c>
      <c r="JDI46" s="420">
        <f t="shared" si="150"/>
        <v>0</v>
      </c>
      <c r="JDJ46" s="420">
        <f t="shared" si="150"/>
        <v>0</v>
      </c>
      <c r="JDK46" s="420">
        <f t="shared" si="150"/>
        <v>0</v>
      </c>
      <c r="JDL46" s="420">
        <f t="shared" si="150"/>
        <v>0</v>
      </c>
      <c r="JDM46" s="420">
        <f t="shared" si="150"/>
        <v>0</v>
      </c>
      <c r="JDN46" s="420">
        <f t="shared" si="150"/>
        <v>0</v>
      </c>
      <c r="JDO46" s="420">
        <f t="shared" si="150"/>
        <v>0</v>
      </c>
      <c r="JDP46" s="420">
        <f t="shared" si="150"/>
        <v>0</v>
      </c>
      <c r="JDQ46" s="420">
        <f t="shared" si="150"/>
        <v>0</v>
      </c>
      <c r="JDR46" s="420">
        <f t="shared" si="150"/>
        <v>0</v>
      </c>
      <c r="JDS46" s="420">
        <f t="shared" si="150"/>
        <v>0</v>
      </c>
      <c r="JDT46" s="420">
        <f t="shared" si="150"/>
        <v>0</v>
      </c>
      <c r="JDU46" s="420">
        <f t="shared" si="150"/>
        <v>0</v>
      </c>
      <c r="JDV46" s="420">
        <f t="shared" si="150"/>
        <v>0</v>
      </c>
      <c r="JDW46" s="420">
        <f t="shared" si="150"/>
        <v>0</v>
      </c>
      <c r="JDX46" s="420">
        <f t="shared" si="150"/>
        <v>0</v>
      </c>
      <c r="JDY46" s="420">
        <f t="shared" si="150"/>
        <v>0</v>
      </c>
      <c r="JDZ46" s="420">
        <f t="shared" si="150"/>
        <v>0</v>
      </c>
      <c r="JEA46" s="420">
        <f t="shared" si="150"/>
        <v>0</v>
      </c>
      <c r="JEB46" s="420">
        <f t="shared" si="150"/>
        <v>0</v>
      </c>
      <c r="JEC46" s="420">
        <f t="shared" si="150"/>
        <v>0</v>
      </c>
      <c r="JED46" s="420">
        <f t="shared" si="150"/>
        <v>0</v>
      </c>
      <c r="JEE46" s="420">
        <f t="shared" si="150"/>
        <v>0</v>
      </c>
      <c r="JEF46" s="420">
        <f t="shared" si="150"/>
        <v>0</v>
      </c>
      <c r="JEG46" s="420">
        <f t="shared" si="150"/>
        <v>0</v>
      </c>
      <c r="JEH46" s="420">
        <f t="shared" si="150"/>
        <v>0</v>
      </c>
      <c r="JEI46" s="420">
        <f t="shared" si="150"/>
        <v>0</v>
      </c>
      <c r="JEJ46" s="420">
        <f t="shared" si="150"/>
        <v>0</v>
      </c>
      <c r="JEK46" s="420">
        <f t="shared" si="150"/>
        <v>0</v>
      </c>
      <c r="JEL46" s="420">
        <f t="shared" si="150"/>
        <v>0</v>
      </c>
      <c r="JEM46" s="420">
        <f t="shared" si="150"/>
        <v>0</v>
      </c>
      <c r="JEN46" s="420">
        <f t="shared" si="150"/>
        <v>0</v>
      </c>
      <c r="JEO46" s="420">
        <f t="shared" si="150"/>
        <v>0</v>
      </c>
      <c r="JEP46" s="420">
        <f t="shared" si="150"/>
        <v>0</v>
      </c>
      <c r="JEQ46" s="420">
        <f t="shared" si="150"/>
        <v>0</v>
      </c>
      <c r="JER46" s="420">
        <f t="shared" si="150"/>
        <v>0</v>
      </c>
      <c r="JES46" s="420">
        <f t="shared" si="150"/>
        <v>0</v>
      </c>
      <c r="JET46" s="420">
        <f t="shared" si="150"/>
        <v>0</v>
      </c>
      <c r="JEU46" s="420">
        <f t="shared" si="150"/>
        <v>0</v>
      </c>
      <c r="JEV46" s="420">
        <f t="shared" si="150"/>
        <v>0</v>
      </c>
      <c r="JEW46" s="420">
        <f t="shared" si="150"/>
        <v>0</v>
      </c>
      <c r="JEX46" s="420">
        <f t="shared" si="150"/>
        <v>0</v>
      </c>
      <c r="JEY46" s="420">
        <f t="shared" si="150"/>
        <v>0</v>
      </c>
      <c r="JEZ46" s="420">
        <f t="shared" si="150"/>
        <v>0</v>
      </c>
      <c r="JFA46" s="420">
        <f t="shared" ref="JFA46:JHL46" si="151">JFA45*0.8</f>
        <v>0</v>
      </c>
      <c r="JFB46" s="420">
        <f t="shared" si="151"/>
        <v>0</v>
      </c>
      <c r="JFC46" s="420">
        <f t="shared" si="151"/>
        <v>0</v>
      </c>
      <c r="JFD46" s="420">
        <f t="shared" si="151"/>
        <v>0</v>
      </c>
      <c r="JFE46" s="420">
        <f t="shared" si="151"/>
        <v>0</v>
      </c>
      <c r="JFF46" s="420">
        <f t="shared" si="151"/>
        <v>0</v>
      </c>
      <c r="JFG46" s="420">
        <f t="shared" si="151"/>
        <v>0</v>
      </c>
      <c r="JFH46" s="420">
        <f t="shared" si="151"/>
        <v>0</v>
      </c>
      <c r="JFI46" s="420">
        <f t="shared" si="151"/>
        <v>0</v>
      </c>
      <c r="JFJ46" s="420">
        <f t="shared" si="151"/>
        <v>0</v>
      </c>
      <c r="JFK46" s="420">
        <f t="shared" si="151"/>
        <v>0</v>
      </c>
      <c r="JFL46" s="420">
        <f t="shared" si="151"/>
        <v>0</v>
      </c>
      <c r="JFM46" s="420">
        <f t="shared" si="151"/>
        <v>0</v>
      </c>
      <c r="JFN46" s="420">
        <f t="shared" si="151"/>
        <v>0</v>
      </c>
      <c r="JFO46" s="420">
        <f t="shared" si="151"/>
        <v>0</v>
      </c>
      <c r="JFP46" s="420">
        <f t="shared" si="151"/>
        <v>0</v>
      </c>
      <c r="JFQ46" s="420">
        <f t="shared" si="151"/>
        <v>0</v>
      </c>
      <c r="JFR46" s="420">
        <f t="shared" si="151"/>
        <v>0</v>
      </c>
      <c r="JFS46" s="420">
        <f t="shared" si="151"/>
        <v>0</v>
      </c>
      <c r="JFT46" s="420">
        <f t="shared" si="151"/>
        <v>0</v>
      </c>
      <c r="JFU46" s="420">
        <f t="shared" si="151"/>
        <v>0</v>
      </c>
      <c r="JFV46" s="420">
        <f t="shared" si="151"/>
        <v>0</v>
      </c>
      <c r="JFW46" s="420">
        <f t="shared" si="151"/>
        <v>0</v>
      </c>
      <c r="JFX46" s="420">
        <f t="shared" si="151"/>
        <v>0</v>
      </c>
      <c r="JFY46" s="420">
        <f t="shared" si="151"/>
        <v>0</v>
      </c>
      <c r="JFZ46" s="420">
        <f t="shared" si="151"/>
        <v>0</v>
      </c>
      <c r="JGA46" s="420">
        <f t="shared" si="151"/>
        <v>0</v>
      </c>
      <c r="JGB46" s="420">
        <f t="shared" si="151"/>
        <v>0</v>
      </c>
      <c r="JGC46" s="420">
        <f t="shared" si="151"/>
        <v>0</v>
      </c>
      <c r="JGD46" s="420">
        <f t="shared" si="151"/>
        <v>0</v>
      </c>
      <c r="JGE46" s="420">
        <f t="shared" si="151"/>
        <v>0</v>
      </c>
      <c r="JGF46" s="420">
        <f t="shared" si="151"/>
        <v>0</v>
      </c>
      <c r="JGG46" s="420">
        <f t="shared" si="151"/>
        <v>0</v>
      </c>
      <c r="JGH46" s="420">
        <f t="shared" si="151"/>
        <v>0</v>
      </c>
      <c r="JGI46" s="420">
        <f t="shared" si="151"/>
        <v>0</v>
      </c>
      <c r="JGJ46" s="420">
        <f t="shared" si="151"/>
        <v>0</v>
      </c>
      <c r="JGK46" s="420">
        <f t="shared" si="151"/>
        <v>0</v>
      </c>
      <c r="JGL46" s="420">
        <f t="shared" si="151"/>
        <v>0</v>
      </c>
      <c r="JGM46" s="420">
        <f t="shared" si="151"/>
        <v>0</v>
      </c>
      <c r="JGN46" s="420">
        <f t="shared" si="151"/>
        <v>0</v>
      </c>
      <c r="JGO46" s="420">
        <f t="shared" si="151"/>
        <v>0</v>
      </c>
      <c r="JGP46" s="420">
        <f t="shared" si="151"/>
        <v>0</v>
      </c>
      <c r="JGQ46" s="420">
        <f t="shared" si="151"/>
        <v>0</v>
      </c>
      <c r="JGR46" s="420">
        <f t="shared" si="151"/>
        <v>0</v>
      </c>
      <c r="JGS46" s="420">
        <f t="shared" si="151"/>
        <v>0</v>
      </c>
      <c r="JGT46" s="420">
        <f t="shared" si="151"/>
        <v>0</v>
      </c>
      <c r="JGU46" s="420">
        <f t="shared" si="151"/>
        <v>0</v>
      </c>
      <c r="JGV46" s="420">
        <f t="shared" si="151"/>
        <v>0</v>
      </c>
      <c r="JGW46" s="420">
        <f t="shared" si="151"/>
        <v>0</v>
      </c>
      <c r="JGX46" s="420">
        <f t="shared" si="151"/>
        <v>0</v>
      </c>
      <c r="JGY46" s="420">
        <f t="shared" si="151"/>
        <v>0</v>
      </c>
      <c r="JGZ46" s="420">
        <f t="shared" si="151"/>
        <v>0</v>
      </c>
      <c r="JHA46" s="420">
        <f t="shared" si="151"/>
        <v>0</v>
      </c>
      <c r="JHB46" s="420">
        <f t="shared" si="151"/>
        <v>0</v>
      </c>
      <c r="JHC46" s="420">
        <f t="shared" si="151"/>
        <v>0</v>
      </c>
      <c r="JHD46" s="420">
        <f t="shared" si="151"/>
        <v>0</v>
      </c>
      <c r="JHE46" s="420">
        <f t="shared" si="151"/>
        <v>0</v>
      </c>
      <c r="JHF46" s="420">
        <f t="shared" si="151"/>
        <v>0</v>
      </c>
      <c r="JHG46" s="420">
        <f t="shared" si="151"/>
        <v>0</v>
      </c>
      <c r="JHH46" s="420">
        <f t="shared" si="151"/>
        <v>0</v>
      </c>
      <c r="JHI46" s="420">
        <f t="shared" si="151"/>
        <v>0</v>
      </c>
      <c r="JHJ46" s="420">
        <f t="shared" si="151"/>
        <v>0</v>
      </c>
      <c r="JHK46" s="420">
        <f t="shared" si="151"/>
        <v>0</v>
      </c>
      <c r="JHL46" s="420">
        <f t="shared" si="151"/>
        <v>0</v>
      </c>
      <c r="JHM46" s="420">
        <f t="shared" ref="JHM46:JJX46" si="152">JHM45*0.8</f>
        <v>0</v>
      </c>
      <c r="JHN46" s="420">
        <f t="shared" si="152"/>
        <v>0</v>
      </c>
      <c r="JHO46" s="420">
        <f t="shared" si="152"/>
        <v>0</v>
      </c>
      <c r="JHP46" s="420">
        <f t="shared" si="152"/>
        <v>0</v>
      </c>
      <c r="JHQ46" s="420">
        <f t="shared" si="152"/>
        <v>0</v>
      </c>
      <c r="JHR46" s="420">
        <f t="shared" si="152"/>
        <v>0</v>
      </c>
      <c r="JHS46" s="420">
        <f t="shared" si="152"/>
        <v>0</v>
      </c>
      <c r="JHT46" s="420">
        <f t="shared" si="152"/>
        <v>0</v>
      </c>
      <c r="JHU46" s="420">
        <f t="shared" si="152"/>
        <v>0</v>
      </c>
      <c r="JHV46" s="420">
        <f t="shared" si="152"/>
        <v>0</v>
      </c>
      <c r="JHW46" s="420">
        <f t="shared" si="152"/>
        <v>0</v>
      </c>
      <c r="JHX46" s="420">
        <f t="shared" si="152"/>
        <v>0</v>
      </c>
      <c r="JHY46" s="420">
        <f t="shared" si="152"/>
        <v>0</v>
      </c>
      <c r="JHZ46" s="420">
        <f t="shared" si="152"/>
        <v>0</v>
      </c>
      <c r="JIA46" s="420">
        <f t="shared" si="152"/>
        <v>0</v>
      </c>
      <c r="JIB46" s="420">
        <f t="shared" si="152"/>
        <v>0</v>
      </c>
      <c r="JIC46" s="420">
        <f t="shared" si="152"/>
        <v>0</v>
      </c>
      <c r="JID46" s="420">
        <f t="shared" si="152"/>
        <v>0</v>
      </c>
      <c r="JIE46" s="420">
        <f t="shared" si="152"/>
        <v>0</v>
      </c>
      <c r="JIF46" s="420">
        <f t="shared" si="152"/>
        <v>0</v>
      </c>
      <c r="JIG46" s="420">
        <f t="shared" si="152"/>
        <v>0</v>
      </c>
      <c r="JIH46" s="420">
        <f t="shared" si="152"/>
        <v>0</v>
      </c>
      <c r="JII46" s="420">
        <f t="shared" si="152"/>
        <v>0</v>
      </c>
      <c r="JIJ46" s="420">
        <f t="shared" si="152"/>
        <v>0</v>
      </c>
      <c r="JIK46" s="420">
        <f t="shared" si="152"/>
        <v>0</v>
      </c>
      <c r="JIL46" s="420">
        <f t="shared" si="152"/>
        <v>0</v>
      </c>
      <c r="JIM46" s="420">
        <f t="shared" si="152"/>
        <v>0</v>
      </c>
      <c r="JIN46" s="420">
        <f t="shared" si="152"/>
        <v>0</v>
      </c>
      <c r="JIO46" s="420">
        <f t="shared" si="152"/>
        <v>0</v>
      </c>
      <c r="JIP46" s="420">
        <f t="shared" si="152"/>
        <v>0</v>
      </c>
      <c r="JIQ46" s="420">
        <f t="shared" si="152"/>
        <v>0</v>
      </c>
      <c r="JIR46" s="420">
        <f t="shared" si="152"/>
        <v>0</v>
      </c>
      <c r="JIS46" s="420">
        <f t="shared" si="152"/>
        <v>0</v>
      </c>
      <c r="JIT46" s="420">
        <f t="shared" si="152"/>
        <v>0</v>
      </c>
      <c r="JIU46" s="420">
        <f t="shared" si="152"/>
        <v>0</v>
      </c>
      <c r="JIV46" s="420">
        <f t="shared" si="152"/>
        <v>0</v>
      </c>
      <c r="JIW46" s="420">
        <f t="shared" si="152"/>
        <v>0</v>
      </c>
      <c r="JIX46" s="420">
        <f t="shared" si="152"/>
        <v>0</v>
      </c>
      <c r="JIY46" s="420">
        <f t="shared" si="152"/>
        <v>0</v>
      </c>
      <c r="JIZ46" s="420">
        <f t="shared" si="152"/>
        <v>0</v>
      </c>
      <c r="JJA46" s="420">
        <f t="shared" si="152"/>
        <v>0</v>
      </c>
      <c r="JJB46" s="420">
        <f t="shared" si="152"/>
        <v>0</v>
      </c>
      <c r="JJC46" s="420">
        <f t="shared" si="152"/>
        <v>0</v>
      </c>
      <c r="JJD46" s="420">
        <f t="shared" si="152"/>
        <v>0</v>
      </c>
      <c r="JJE46" s="420">
        <f t="shared" si="152"/>
        <v>0</v>
      </c>
      <c r="JJF46" s="420">
        <f t="shared" si="152"/>
        <v>0</v>
      </c>
      <c r="JJG46" s="420">
        <f t="shared" si="152"/>
        <v>0</v>
      </c>
      <c r="JJH46" s="420">
        <f t="shared" si="152"/>
        <v>0</v>
      </c>
      <c r="JJI46" s="420">
        <f t="shared" si="152"/>
        <v>0</v>
      </c>
      <c r="JJJ46" s="420">
        <f t="shared" si="152"/>
        <v>0</v>
      </c>
      <c r="JJK46" s="420">
        <f t="shared" si="152"/>
        <v>0</v>
      </c>
      <c r="JJL46" s="420">
        <f t="shared" si="152"/>
        <v>0</v>
      </c>
      <c r="JJM46" s="420">
        <f t="shared" si="152"/>
        <v>0</v>
      </c>
      <c r="JJN46" s="420">
        <f t="shared" si="152"/>
        <v>0</v>
      </c>
      <c r="JJO46" s="420">
        <f t="shared" si="152"/>
        <v>0</v>
      </c>
      <c r="JJP46" s="420">
        <f t="shared" si="152"/>
        <v>0</v>
      </c>
      <c r="JJQ46" s="420">
        <f t="shared" si="152"/>
        <v>0</v>
      </c>
      <c r="JJR46" s="420">
        <f t="shared" si="152"/>
        <v>0</v>
      </c>
      <c r="JJS46" s="420">
        <f t="shared" si="152"/>
        <v>0</v>
      </c>
      <c r="JJT46" s="420">
        <f t="shared" si="152"/>
        <v>0</v>
      </c>
      <c r="JJU46" s="420">
        <f t="shared" si="152"/>
        <v>0</v>
      </c>
      <c r="JJV46" s="420">
        <f t="shared" si="152"/>
        <v>0</v>
      </c>
      <c r="JJW46" s="420">
        <f t="shared" si="152"/>
        <v>0</v>
      </c>
      <c r="JJX46" s="420">
        <f t="shared" si="152"/>
        <v>0</v>
      </c>
      <c r="JJY46" s="420">
        <f t="shared" ref="JJY46:JMJ46" si="153">JJY45*0.8</f>
        <v>0</v>
      </c>
      <c r="JJZ46" s="420">
        <f t="shared" si="153"/>
        <v>0</v>
      </c>
      <c r="JKA46" s="420">
        <f t="shared" si="153"/>
        <v>0</v>
      </c>
      <c r="JKB46" s="420">
        <f t="shared" si="153"/>
        <v>0</v>
      </c>
      <c r="JKC46" s="420">
        <f t="shared" si="153"/>
        <v>0</v>
      </c>
      <c r="JKD46" s="420">
        <f t="shared" si="153"/>
        <v>0</v>
      </c>
      <c r="JKE46" s="420">
        <f t="shared" si="153"/>
        <v>0</v>
      </c>
      <c r="JKF46" s="420">
        <f t="shared" si="153"/>
        <v>0</v>
      </c>
      <c r="JKG46" s="420">
        <f t="shared" si="153"/>
        <v>0</v>
      </c>
      <c r="JKH46" s="420">
        <f t="shared" si="153"/>
        <v>0</v>
      </c>
      <c r="JKI46" s="420">
        <f t="shared" si="153"/>
        <v>0</v>
      </c>
      <c r="JKJ46" s="420">
        <f t="shared" si="153"/>
        <v>0</v>
      </c>
      <c r="JKK46" s="420">
        <f t="shared" si="153"/>
        <v>0</v>
      </c>
      <c r="JKL46" s="420">
        <f t="shared" si="153"/>
        <v>0</v>
      </c>
      <c r="JKM46" s="420">
        <f t="shared" si="153"/>
        <v>0</v>
      </c>
      <c r="JKN46" s="420">
        <f t="shared" si="153"/>
        <v>0</v>
      </c>
      <c r="JKO46" s="420">
        <f t="shared" si="153"/>
        <v>0</v>
      </c>
      <c r="JKP46" s="420">
        <f t="shared" si="153"/>
        <v>0</v>
      </c>
      <c r="JKQ46" s="420">
        <f t="shared" si="153"/>
        <v>0</v>
      </c>
      <c r="JKR46" s="420">
        <f t="shared" si="153"/>
        <v>0</v>
      </c>
      <c r="JKS46" s="420">
        <f t="shared" si="153"/>
        <v>0</v>
      </c>
      <c r="JKT46" s="420">
        <f t="shared" si="153"/>
        <v>0</v>
      </c>
      <c r="JKU46" s="420">
        <f t="shared" si="153"/>
        <v>0</v>
      </c>
      <c r="JKV46" s="420">
        <f t="shared" si="153"/>
        <v>0</v>
      </c>
      <c r="JKW46" s="420">
        <f t="shared" si="153"/>
        <v>0</v>
      </c>
      <c r="JKX46" s="420">
        <f t="shared" si="153"/>
        <v>0</v>
      </c>
      <c r="JKY46" s="420">
        <f t="shared" si="153"/>
        <v>0</v>
      </c>
      <c r="JKZ46" s="420">
        <f t="shared" si="153"/>
        <v>0</v>
      </c>
      <c r="JLA46" s="420">
        <f t="shared" si="153"/>
        <v>0</v>
      </c>
      <c r="JLB46" s="420">
        <f t="shared" si="153"/>
        <v>0</v>
      </c>
      <c r="JLC46" s="420">
        <f t="shared" si="153"/>
        <v>0</v>
      </c>
      <c r="JLD46" s="420">
        <f t="shared" si="153"/>
        <v>0</v>
      </c>
      <c r="JLE46" s="420">
        <f t="shared" si="153"/>
        <v>0</v>
      </c>
      <c r="JLF46" s="420">
        <f t="shared" si="153"/>
        <v>0</v>
      </c>
      <c r="JLG46" s="420">
        <f t="shared" si="153"/>
        <v>0</v>
      </c>
      <c r="JLH46" s="420">
        <f t="shared" si="153"/>
        <v>0</v>
      </c>
      <c r="JLI46" s="420">
        <f t="shared" si="153"/>
        <v>0</v>
      </c>
      <c r="JLJ46" s="420">
        <f t="shared" si="153"/>
        <v>0</v>
      </c>
      <c r="JLK46" s="420">
        <f t="shared" si="153"/>
        <v>0</v>
      </c>
      <c r="JLL46" s="420">
        <f t="shared" si="153"/>
        <v>0</v>
      </c>
      <c r="JLM46" s="420">
        <f t="shared" si="153"/>
        <v>0</v>
      </c>
      <c r="JLN46" s="420">
        <f t="shared" si="153"/>
        <v>0</v>
      </c>
      <c r="JLO46" s="420">
        <f t="shared" si="153"/>
        <v>0</v>
      </c>
      <c r="JLP46" s="420">
        <f t="shared" si="153"/>
        <v>0</v>
      </c>
      <c r="JLQ46" s="420">
        <f t="shared" si="153"/>
        <v>0</v>
      </c>
      <c r="JLR46" s="420">
        <f t="shared" si="153"/>
        <v>0</v>
      </c>
      <c r="JLS46" s="420">
        <f t="shared" si="153"/>
        <v>0</v>
      </c>
      <c r="JLT46" s="420">
        <f t="shared" si="153"/>
        <v>0</v>
      </c>
      <c r="JLU46" s="420">
        <f t="shared" si="153"/>
        <v>0</v>
      </c>
      <c r="JLV46" s="420">
        <f t="shared" si="153"/>
        <v>0</v>
      </c>
      <c r="JLW46" s="420">
        <f t="shared" si="153"/>
        <v>0</v>
      </c>
      <c r="JLX46" s="420">
        <f t="shared" si="153"/>
        <v>0</v>
      </c>
      <c r="JLY46" s="420">
        <f t="shared" si="153"/>
        <v>0</v>
      </c>
      <c r="JLZ46" s="420">
        <f t="shared" si="153"/>
        <v>0</v>
      </c>
      <c r="JMA46" s="420">
        <f t="shared" si="153"/>
        <v>0</v>
      </c>
      <c r="JMB46" s="420">
        <f t="shared" si="153"/>
        <v>0</v>
      </c>
      <c r="JMC46" s="420">
        <f t="shared" si="153"/>
        <v>0</v>
      </c>
      <c r="JMD46" s="420">
        <f t="shared" si="153"/>
        <v>0</v>
      </c>
      <c r="JME46" s="420">
        <f t="shared" si="153"/>
        <v>0</v>
      </c>
      <c r="JMF46" s="420">
        <f t="shared" si="153"/>
        <v>0</v>
      </c>
      <c r="JMG46" s="420">
        <f t="shared" si="153"/>
        <v>0</v>
      </c>
      <c r="JMH46" s="420">
        <f t="shared" si="153"/>
        <v>0</v>
      </c>
      <c r="JMI46" s="420">
        <f t="shared" si="153"/>
        <v>0</v>
      </c>
      <c r="JMJ46" s="420">
        <f t="shared" si="153"/>
        <v>0</v>
      </c>
      <c r="JMK46" s="420">
        <f t="shared" ref="JMK46:JOV46" si="154">JMK45*0.8</f>
        <v>0</v>
      </c>
      <c r="JML46" s="420">
        <f t="shared" si="154"/>
        <v>0</v>
      </c>
      <c r="JMM46" s="420">
        <f t="shared" si="154"/>
        <v>0</v>
      </c>
      <c r="JMN46" s="420">
        <f t="shared" si="154"/>
        <v>0</v>
      </c>
      <c r="JMO46" s="420">
        <f t="shared" si="154"/>
        <v>0</v>
      </c>
      <c r="JMP46" s="420">
        <f t="shared" si="154"/>
        <v>0</v>
      </c>
      <c r="JMQ46" s="420">
        <f t="shared" si="154"/>
        <v>0</v>
      </c>
      <c r="JMR46" s="420">
        <f t="shared" si="154"/>
        <v>0</v>
      </c>
      <c r="JMS46" s="420">
        <f t="shared" si="154"/>
        <v>0</v>
      </c>
      <c r="JMT46" s="420">
        <f t="shared" si="154"/>
        <v>0</v>
      </c>
      <c r="JMU46" s="420">
        <f t="shared" si="154"/>
        <v>0</v>
      </c>
      <c r="JMV46" s="420">
        <f t="shared" si="154"/>
        <v>0</v>
      </c>
      <c r="JMW46" s="420">
        <f t="shared" si="154"/>
        <v>0</v>
      </c>
      <c r="JMX46" s="420">
        <f t="shared" si="154"/>
        <v>0</v>
      </c>
      <c r="JMY46" s="420">
        <f t="shared" si="154"/>
        <v>0</v>
      </c>
      <c r="JMZ46" s="420">
        <f t="shared" si="154"/>
        <v>0</v>
      </c>
      <c r="JNA46" s="420">
        <f t="shared" si="154"/>
        <v>0</v>
      </c>
      <c r="JNB46" s="420">
        <f t="shared" si="154"/>
        <v>0</v>
      </c>
      <c r="JNC46" s="420">
        <f t="shared" si="154"/>
        <v>0</v>
      </c>
      <c r="JND46" s="420">
        <f t="shared" si="154"/>
        <v>0</v>
      </c>
      <c r="JNE46" s="420">
        <f t="shared" si="154"/>
        <v>0</v>
      </c>
      <c r="JNF46" s="420">
        <f t="shared" si="154"/>
        <v>0</v>
      </c>
      <c r="JNG46" s="420">
        <f t="shared" si="154"/>
        <v>0</v>
      </c>
      <c r="JNH46" s="420">
        <f t="shared" si="154"/>
        <v>0</v>
      </c>
      <c r="JNI46" s="420">
        <f t="shared" si="154"/>
        <v>0</v>
      </c>
      <c r="JNJ46" s="420">
        <f t="shared" si="154"/>
        <v>0</v>
      </c>
      <c r="JNK46" s="420">
        <f t="shared" si="154"/>
        <v>0</v>
      </c>
      <c r="JNL46" s="420">
        <f t="shared" si="154"/>
        <v>0</v>
      </c>
      <c r="JNM46" s="420">
        <f t="shared" si="154"/>
        <v>0</v>
      </c>
      <c r="JNN46" s="420">
        <f t="shared" si="154"/>
        <v>0</v>
      </c>
      <c r="JNO46" s="420">
        <f t="shared" si="154"/>
        <v>0</v>
      </c>
      <c r="JNP46" s="420">
        <f t="shared" si="154"/>
        <v>0</v>
      </c>
      <c r="JNQ46" s="420">
        <f t="shared" si="154"/>
        <v>0</v>
      </c>
      <c r="JNR46" s="420">
        <f t="shared" si="154"/>
        <v>0</v>
      </c>
      <c r="JNS46" s="420">
        <f t="shared" si="154"/>
        <v>0</v>
      </c>
      <c r="JNT46" s="420">
        <f t="shared" si="154"/>
        <v>0</v>
      </c>
      <c r="JNU46" s="420">
        <f t="shared" si="154"/>
        <v>0</v>
      </c>
      <c r="JNV46" s="420">
        <f t="shared" si="154"/>
        <v>0</v>
      </c>
      <c r="JNW46" s="420">
        <f t="shared" si="154"/>
        <v>0</v>
      </c>
      <c r="JNX46" s="420">
        <f t="shared" si="154"/>
        <v>0</v>
      </c>
      <c r="JNY46" s="420">
        <f t="shared" si="154"/>
        <v>0</v>
      </c>
      <c r="JNZ46" s="420">
        <f t="shared" si="154"/>
        <v>0</v>
      </c>
      <c r="JOA46" s="420">
        <f t="shared" si="154"/>
        <v>0</v>
      </c>
      <c r="JOB46" s="420">
        <f t="shared" si="154"/>
        <v>0</v>
      </c>
      <c r="JOC46" s="420">
        <f t="shared" si="154"/>
        <v>0</v>
      </c>
      <c r="JOD46" s="420">
        <f t="shared" si="154"/>
        <v>0</v>
      </c>
      <c r="JOE46" s="420">
        <f t="shared" si="154"/>
        <v>0</v>
      </c>
      <c r="JOF46" s="420">
        <f t="shared" si="154"/>
        <v>0</v>
      </c>
      <c r="JOG46" s="420">
        <f t="shared" si="154"/>
        <v>0</v>
      </c>
      <c r="JOH46" s="420">
        <f t="shared" si="154"/>
        <v>0</v>
      </c>
      <c r="JOI46" s="420">
        <f t="shared" si="154"/>
        <v>0</v>
      </c>
      <c r="JOJ46" s="420">
        <f t="shared" si="154"/>
        <v>0</v>
      </c>
      <c r="JOK46" s="420">
        <f t="shared" si="154"/>
        <v>0</v>
      </c>
      <c r="JOL46" s="420">
        <f t="shared" si="154"/>
        <v>0</v>
      </c>
      <c r="JOM46" s="420">
        <f t="shared" si="154"/>
        <v>0</v>
      </c>
      <c r="JON46" s="420">
        <f t="shared" si="154"/>
        <v>0</v>
      </c>
      <c r="JOO46" s="420">
        <f t="shared" si="154"/>
        <v>0</v>
      </c>
      <c r="JOP46" s="420">
        <f t="shared" si="154"/>
        <v>0</v>
      </c>
      <c r="JOQ46" s="420">
        <f t="shared" si="154"/>
        <v>0</v>
      </c>
      <c r="JOR46" s="420">
        <f t="shared" si="154"/>
        <v>0</v>
      </c>
      <c r="JOS46" s="420">
        <f t="shared" si="154"/>
        <v>0</v>
      </c>
      <c r="JOT46" s="420">
        <f t="shared" si="154"/>
        <v>0</v>
      </c>
      <c r="JOU46" s="420">
        <f t="shared" si="154"/>
        <v>0</v>
      </c>
      <c r="JOV46" s="420">
        <f t="shared" si="154"/>
        <v>0</v>
      </c>
      <c r="JOW46" s="420">
        <f t="shared" ref="JOW46:JRH46" si="155">JOW45*0.8</f>
        <v>0</v>
      </c>
      <c r="JOX46" s="420">
        <f t="shared" si="155"/>
        <v>0</v>
      </c>
      <c r="JOY46" s="420">
        <f t="shared" si="155"/>
        <v>0</v>
      </c>
      <c r="JOZ46" s="420">
        <f t="shared" si="155"/>
        <v>0</v>
      </c>
      <c r="JPA46" s="420">
        <f t="shared" si="155"/>
        <v>0</v>
      </c>
      <c r="JPB46" s="420">
        <f t="shared" si="155"/>
        <v>0</v>
      </c>
      <c r="JPC46" s="420">
        <f t="shared" si="155"/>
        <v>0</v>
      </c>
      <c r="JPD46" s="420">
        <f t="shared" si="155"/>
        <v>0</v>
      </c>
      <c r="JPE46" s="420">
        <f t="shared" si="155"/>
        <v>0</v>
      </c>
      <c r="JPF46" s="420">
        <f t="shared" si="155"/>
        <v>0</v>
      </c>
      <c r="JPG46" s="420">
        <f t="shared" si="155"/>
        <v>0</v>
      </c>
      <c r="JPH46" s="420">
        <f t="shared" si="155"/>
        <v>0</v>
      </c>
      <c r="JPI46" s="420">
        <f t="shared" si="155"/>
        <v>0</v>
      </c>
      <c r="JPJ46" s="420">
        <f t="shared" si="155"/>
        <v>0</v>
      </c>
      <c r="JPK46" s="420">
        <f t="shared" si="155"/>
        <v>0</v>
      </c>
      <c r="JPL46" s="420">
        <f t="shared" si="155"/>
        <v>0</v>
      </c>
      <c r="JPM46" s="420">
        <f t="shared" si="155"/>
        <v>0</v>
      </c>
      <c r="JPN46" s="420">
        <f t="shared" si="155"/>
        <v>0</v>
      </c>
      <c r="JPO46" s="420">
        <f t="shared" si="155"/>
        <v>0</v>
      </c>
      <c r="JPP46" s="420">
        <f t="shared" si="155"/>
        <v>0</v>
      </c>
      <c r="JPQ46" s="420">
        <f t="shared" si="155"/>
        <v>0</v>
      </c>
      <c r="JPR46" s="420">
        <f t="shared" si="155"/>
        <v>0</v>
      </c>
      <c r="JPS46" s="420">
        <f t="shared" si="155"/>
        <v>0</v>
      </c>
      <c r="JPT46" s="420">
        <f t="shared" si="155"/>
        <v>0</v>
      </c>
      <c r="JPU46" s="420">
        <f t="shared" si="155"/>
        <v>0</v>
      </c>
      <c r="JPV46" s="420">
        <f t="shared" si="155"/>
        <v>0</v>
      </c>
      <c r="JPW46" s="420">
        <f t="shared" si="155"/>
        <v>0</v>
      </c>
      <c r="JPX46" s="420">
        <f t="shared" si="155"/>
        <v>0</v>
      </c>
      <c r="JPY46" s="420">
        <f t="shared" si="155"/>
        <v>0</v>
      </c>
      <c r="JPZ46" s="420">
        <f t="shared" si="155"/>
        <v>0</v>
      </c>
      <c r="JQA46" s="420">
        <f t="shared" si="155"/>
        <v>0</v>
      </c>
      <c r="JQB46" s="420">
        <f t="shared" si="155"/>
        <v>0</v>
      </c>
      <c r="JQC46" s="420">
        <f t="shared" si="155"/>
        <v>0</v>
      </c>
      <c r="JQD46" s="420">
        <f t="shared" si="155"/>
        <v>0</v>
      </c>
      <c r="JQE46" s="420">
        <f t="shared" si="155"/>
        <v>0</v>
      </c>
      <c r="JQF46" s="420">
        <f t="shared" si="155"/>
        <v>0</v>
      </c>
      <c r="JQG46" s="420">
        <f t="shared" si="155"/>
        <v>0</v>
      </c>
      <c r="JQH46" s="420">
        <f t="shared" si="155"/>
        <v>0</v>
      </c>
      <c r="JQI46" s="420">
        <f t="shared" si="155"/>
        <v>0</v>
      </c>
      <c r="JQJ46" s="420">
        <f t="shared" si="155"/>
        <v>0</v>
      </c>
      <c r="JQK46" s="420">
        <f t="shared" si="155"/>
        <v>0</v>
      </c>
      <c r="JQL46" s="420">
        <f t="shared" si="155"/>
        <v>0</v>
      </c>
      <c r="JQM46" s="420">
        <f t="shared" si="155"/>
        <v>0</v>
      </c>
      <c r="JQN46" s="420">
        <f t="shared" si="155"/>
        <v>0</v>
      </c>
      <c r="JQO46" s="420">
        <f t="shared" si="155"/>
        <v>0</v>
      </c>
      <c r="JQP46" s="420">
        <f t="shared" si="155"/>
        <v>0</v>
      </c>
      <c r="JQQ46" s="420">
        <f t="shared" si="155"/>
        <v>0</v>
      </c>
      <c r="JQR46" s="420">
        <f t="shared" si="155"/>
        <v>0</v>
      </c>
      <c r="JQS46" s="420">
        <f t="shared" si="155"/>
        <v>0</v>
      </c>
      <c r="JQT46" s="420">
        <f t="shared" si="155"/>
        <v>0</v>
      </c>
      <c r="JQU46" s="420">
        <f t="shared" si="155"/>
        <v>0</v>
      </c>
      <c r="JQV46" s="420">
        <f t="shared" si="155"/>
        <v>0</v>
      </c>
      <c r="JQW46" s="420">
        <f t="shared" si="155"/>
        <v>0</v>
      </c>
      <c r="JQX46" s="420">
        <f t="shared" si="155"/>
        <v>0</v>
      </c>
      <c r="JQY46" s="420">
        <f t="shared" si="155"/>
        <v>0</v>
      </c>
      <c r="JQZ46" s="420">
        <f t="shared" si="155"/>
        <v>0</v>
      </c>
      <c r="JRA46" s="420">
        <f t="shared" si="155"/>
        <v>0</v>
      </c>
      <c r="JRB46" s="420">
        <f t="shared" si="155"/>
        <v>0</v>
      </c>
      <c r="JRC46" s="420">
        <f t="shared" si="155"/>
        <v>0</v>
      </c>
      <c r="JRD46" s="420">
        <f t="shared" si="155"/>
        <v>0</v>
      </c>
      <c r="JRE46" s="420">
        <f t="shared" si="155"/>
        <v>0</v>
      </c>
      <c r="JRF46" s="420">
        <f t="shared" si="155"/>
        <v>0</v>
      </c>
      <c r="JRG46" s="420">
        <f t="shared" si="155"/>
        <v>0</v>
      </c>
      <c r="JRH46" s="420">
        <f t="shared" si="155"/>
        <v>0</v>
      </c>
      <c r="JRI46" s="420">
        <f t="shared" ref="JRI46:JTT46" si="156">JRI45*0.8</f>
        <v>0</v>
      </c>
      <c r="JRJ46" s="420">
        <f t="shared" si="156"/>
        <v>0</v>
      </c>
      <c r="JRK46" s="420">
        <f t="shared" si="156"/>
        <v>0</v>
      </c>
      <c r="JRL46" s="420">
        <f t="shared" si="156"/>
        <v>0</v>
      </c>
      <c r="JRM46" s="420">
        <f t="shared" si="156"/>
        <v>0</v>
      </c>
      <c r="JRN46" s="420">
        <f t="shared" si="156"/>
        <v>0</v>
      </c>
      <c r="JRO46" s="420">
        <f t="shared" si="156"/>
        <v>0</v>
      </c>
      <c r="JRP46" s="420">
        <f t="shared" si="156"/>
        <v>0</v>
      </c>
      <c r="JRQ46" s="420">
        <f t="shared" si="156"/>
        <v>0</v>
      </c>
      <c r="JRR46" s="420">
        <f t="shared" si="156"/>
        <v>0</v>
      </c>
      <c r="JRS46" s="420">
        <f t="shared" si="156"/>
        <v>0</v>
      </c>
      <c r="JRT46" s="420">
        <f t="shared" si="156"/>
        <v>0</v>
      </c>
      <c r="JRU46" s="420">
        <f t="shared" si="156"/>
        <v>0</v>
      </c>
      <c r="JRV46" s="420">
        <f t="shared" si="156"/>
        <v>0</v>
      </c>
      <c r="JRW46" s="420">
        <f t="shared" si="156"/>
        <v>0</v>
      </c>
      <c r="JRX46" s="420">
        <f t="shared" si="156"/>
        <v>0</v>
      </c>
      <c r="JRY46" s="420">
        <f t="shared" si="156"/>
        <v>0</v>
      </c>
      <c r="JRZ46" s="420">
        <f t="shared" si="156"/>
        <v>0</v>
      </c>
      <c r="JSA46" s="420">
        <f t="shared" si="156"/>
        <v>0</v>
      </c>
      <c r="JSB46" s="420">
        <f t="shared" si="156"/>
        <v>0</v>
      </c>
      <c r="JSC46" s="420">
        <f t="shared" si="156"/>
        <v>0</v>
      </c>
      <c r="JSD46" s="420">
        <f t="shared" si="156"/>
        <v>0</v>
      </c>
      <c r="JSE46" s="420">
        <f t="shared" si="156"/>
        <v>0</v>
      </c>
      <c r="JSF46" s="420">
        <f t="shared" si="156"/>
        <v>0</v>
      </c>
      <c r="JSG46" s="420">
        <f t="shared" si="156"/>
        <v>0</v>
      </c>
      <c r="JSH46" s="420">
        <f t="shared" si="156"/>
        <v>0</v>
      </c>
      <c r="JSI46" s="420">
        <f t="shared" si="156"/>
        <v>0</v>
      </c>
      <c r="JSJ46" s="420">
        <f t="shared" si="156"/>
        <v>0</v>
      </c>
      <c r="JSK46" s="420">
        <f t="shared" si="156"/>
        <v>0</v>
      </c>
      <c r="JSL46" s="420">
        <f t="shared" si="156"/>
        <v>0</v>
      </c>
      <c r="JSM46" s="420">
        <f t="shared" si="156"/>
        <v>0</v>
      </c>
      <c r="JSN46" s="420">
        <f t="shared" si="156"/>
        <v>0</v>
      </c>
      <c r="JSO46" s="420">
        <f t="shared" si="156"/>
        <v>0</v>
      </c>
      <c r="JSP46" s="420">
        <f t="shared" si="156"/>
        <v>0</v>
      </c>
      <c r="JSQ46" s="420">
        <f t="shared" si="156"/>
        <v>0</v>
      </c>
      <c r="JSR46" s="420">
        <f t="shared" si="156"/>
        <v>0</v>
      </c>
      <c r="JSS46" s="420">
        <f t="shared" si="156"/>
        <v>0</v>
      </c>
      <c r="JST46" s="420">
        <f t="shared" si="156"/>
        <v>0</v>
      </c>
      <c r="JSU46" s="420">
        <f t="shared" si="156"/>
        <v>0</v>
      </c>
      <c r="JSV46" s="420">
        <f t="shared" si="156"/>
        <v>0</v>
      </c>
      <c r="JSW46" s="420">
        <f t="shared" si="156"/>
        <v>0</v>
      </c>
      <c r="JSX46" s="420">
        <f t="shared" si="156"/>
        <v>0</v>
      </c>
      <c r="JSY46" s="420">
        <f t="shared" si="156"/>
        <v>0</v>
      </c>
      <c r="JSZ46" s="420">
        <f t="shared" si="156"/>
        <v>0</v>
      </c>
      <c r="JTA46" s="420">
        <f t="shared" si="156"/>
        <v>0</v>
      </c>
      <c r="JTB46" s="420">
        <f t="shared" si="156"/>
        <v>0</v>
      </c>
      <c r="JTC46" s="420">
        <f t="shared" si="156"/>
        <v>0</v>
      </c>
      <c r="JTD46" s="420">
        <f t="shared" si="156"/>
        <v>0</v>
      </c>
      <c r="JTE46" s="420">
        <f t="shared" si="156"/>
        <v>0</v>
      </c>
      <c r="JTF46" s="420">
        <f t="shared" si="156"/>
        <v>0</v>
      </c>
      <c r="JTG46" s="420">
        <f t="shared" si="156"/>
        <v>0</v>
      </c>
      <c r="JTH46" s="420">
        <f t="shared" si="156"/>
        <v>0</v>
      </c>
      <c r="JTI46" s="420">
        <f t="shared" si="156"/>
        <v>0</v>
      </c>
      <c r="JTJ46" s="420">
        <f t="shared" si="156"/>
        <v>0</v>
      </c>
      <c r="JTK46" s="420">
        <f t="shared" si="156"/>
        <v>0</v>
      </c>
      <c r="JTL46" s="420">
        <f t="shared" si="156"/>
        <v>0</v>
      </c>
      <c r="JTM46" s="420">
        <f t="shared" si="156"/>
        <v>0</v>
      </c>
      <c r="JTN46" s="420">
        <f t="shared" si="156"/>
        <v>0</v>
      </c>
      <c r="JTO46" s="420">
        <f t="shared" si="156"/>
        <v>0</v>
      </c>
      <c r="JTP46" s="420">
        <f t="shared" si="156"/>
        <v>0</v>
      </c>
      <c r="JTQ46" s="420">
        <f t="shared" si="156"/>
        <v>0</v>
      </c>
      <c r="JTR46" s="420">
        <f t="shared" si="156"/>
        <v>0</v>
      </c>
      <c r="JTS46" s="420">
        <f t="shared" si="156"/>
        <v>0</v>
      </c>
      <c r="JTT46" s="420">
        <f t="shared" si="156"/>
        <v>0</v>
      </c>
      <c r="JTU46" s="420">
        <f t="shared" ref="JTU46:JWF46" si="157">JTU45*0.8</f>
        <v>0</v>
      </c>
      <c r="JTV46" s="420">
        <f t="shared" si="157"/>
        <v>0</v>
      </c>
      <c r="JTW46" s="420">
        <f t="shared" si="157"/>
        <v>0</v>
      </c>
      <c r="JTX46" s="420">
        <f t="shared" si="157"/>
        <v>0</v>
      </c>
      <c r="JTY46" s="420">
        <f t="shared" si="157"/>
        <v>0</v>
      </c>
      <c r="JTZ46" s="420">
        <f t="shared" si="157"/>
        <v>0</v>
      </c>
      <c r="JUA46" s="420">
        <f t="shared" si="157"/>
        <v>0</v>
      </c>
      <c r="JUB46" s="420">
        <f t="shared" si="157"/>
        <v>0</v>
      </c>
      <c r="JUC46" s="420">
        <f t="shared" si="157"/>
        <v>0</v>
      </c>
      <c r="JUD46" s="420">
        <f t="shared" si="157"/>
        <v>0</v>
      </c>
      <c r="JUE46" s="420">
        <f t="shared" si="157"/>
        <v>0</v>
      </c>
      <c r="JUF46" s="420">
        <f t="shared" si="157"/>
        <v>0</v>
      </c>
      <c r="JUG46" s="420">
        <f t="shared" si="157"/>
        <v>0</v>
      </c>
      <c r="JUH46" s="420">
        <f t="shared" si="157"/>
        <v>0</v>
      </c>
      <c r="JUI46" s="420">
        <f t="shared" si="157"/>
        <v>0</v>
      </c>
      <c r="JUJ46" s="420">
        <f t="shared" si="157"/>
        <v>0</v>
      </c>
      <c r="JUK46" s="420">
        <f t="shared" si="157"/>
        <v>0</v>
      </c>
      <c r="JUL46" s="420">
        <f t="shared" si="157"/>
        <v>0</v>
      </c>
      <c r="JUM46" s="420">
        <f t="shared" si="157"/>
        <v>0</v>
      </c>
      <c r="JUN46" s="420">
        <f t="shared" si="157"/>
        <v>0</v>
      </c>
      <c r="JUO46" s="420">
        <f t="shared" si="157"/>
        <v>0</v>
      </c>
      <c r="JUP46" s="420">
        <f t="shared" si="157"/>
        <v>0</v>
      </c>
      <c r="JUQ46" s="420">
        <f t="shared" si="157"/>
        <v>0</v>
      </c>
      <c r="JUR46" s="420">
        <f t="shared" si="157"/>
        <v>0</v>
      </c>
      <c r="JUS46" s="420">
        <f t="shared" si="157"/>
        <v>0</v>
      </c>
      <c r="JUT46" s="420">
        <f t="shared" si="157"/>
        <v>0</v>
      </c>
      <c r="JUU46" s="420">
        <f t="shared" si="157"/>
        <v>0</v>
      </c>
      <c r="JUV46" s="420">
        <f t="shared" si="157"/>
        <v>0</v>
      </c>
      <c r="JUW46" s="420">
        <f t="shared" si="157"/>
        <v>0</v>
      </c>
      <c r="JUX46" s="420">
        <f t="shared" si="157"/>
        <v>0</v>
      </c>
      <c r="JUY46" s="420">
        <f t="shared" si="157"/>
        <v>0</v>
      </c>
      <c r="JUZ46" s="420">
        <f t="shared" si="157"/>
        <v>0</v>
      </c>
      <c r="JVA46" s="420">
        <f t="shared" si="157"/>
        <v>0</v>
      </c>
      <c r="JVB46" s="420">
        <f t="shared" si="157"/>
        <v>0</v>
      </c>
      <c r="JVC46" s="420">
        <f t="shared" si="157"/>
        <v>0</v>
      </c>
      <c r="JVD46" s="420">
        <f t="shared" si="157"/>
        <v>0</v>
      </c>
      <c r="JVE46" s="420">
        <f t="shared" si="157"/>
        <v>0</v>
      </c>
      <c r="JVF46" s="420">
        <f t="shared" si="157"/>
        <v>0</v>
      </c>
      <c r="JVG46" s="420">
        <f t="shared" si="157"/>
        <v>0</v>
      </c>
      <c r="JVH46" s="420">
        <f t="shared" si="157"/>
        <v>0</v>
      </c>
      <c r="JVI46" s="420">
        <f t="shared" si="157"/>
        <v>0</v>
      </c>
      <c r="JVJ46" s="420">
        <f t="shared" si="157"/>
        <v>0</v>
      </c>
      <c r="JVK46" s="420">
        <f t="shared" si="157"/>
        <v>0</v>
      </c>
      <c r="JVL46" s="420">
        <f t="shared" si="157"/>
        <v>0</v>
      </c>
      <c r="JVM46" s="420">
        <f t="shared" si="157"/>
        <v>0</v>
      </c>
      <c r="JVN46" s="420">
        <f t="shared" si="157"/>
        <v>0</v>
      </c>
      <c r="JVO46" s="420">
        <f t="shared" si="157"/>
        <v>0</v>
      </c>
      <c r="JVP46" s="420">
        <f t="shared" si="157"/>
        <v>0</v>
      </c>
      <c r="JVQ46" s="420">
        <f t="shared" si="157"/>
        <v>0</v>
      </c>
      <c r="JVR46" s="420">
        <f t="shared" si="157"/>
        <v>0</v>
      </c>
      <c r="JVS46" s="420">
        <f t="shared" si="157"/>
        <v>0</v>
      </c>
      <c r="JVT46" s="420">
        <f t="shared" si="157"/>
        <v>0</v>
      </c>
      <c r="JVU46" s="420">
        <f t="shared" si="157"/>
        <v>0</v>
      </c>
      <c r="JVV46" s="420">
        <f t="shared" si="157"/>
        <v>0</v>
      </c>
      <c r="JVW46" s="420">
        <f t="shared" si="157"/>
        <v>0</v>
      </c>
      <c r="JVX46" s="420">
        <f t="shared" si="157"/>
        <v>0</v>
      </c>
      <c r="JVY46" s="420">
        <f t="shared" si="157"/>
        <v>0</v>
      </c>
      <c r="JVZ46" s="420">
        <f t="shared" si="157"/>
        <v>0</v>
      </c>
      <c r="JWA46" s="420">
        <f t="shared" si="157"/>
        <v>0</v>
      </c>
      <c r="JWB46" s="420">
        <f t="shared" si="157"/>
        <v>0</v>
      </c>
      <c r="JWC46" s="420">
        <f t="shared" si="157"/>
        <v>0</v>
      </c>
      <c r="JWD46" s="420">
        <f t="shared" si="157"/>
        <v>0</v>
      </c>
      <c r="JWE46" s="420">
        <f t="shared" si="157"/>
        <v>0</v>
      </c>
      <c r="JWF46" s="420">
        <f t="shared" si="157"/>
        <v>0</v>
      </c>
      <c r="JWG46" s="420">
        <f t="shared" ref="JWG46:JYR46" si="158">JWG45*0.8</f>
        <v>0</v>
      </c>
      <c r="JWH46" s="420">
        <f t="shared" si="158"/>
        <v>0</v>
      </c>
      <c r="JWI46" s="420">
        <f t="shared" si="158"/>
        <v>0</v>
      </c>
      <c r="JWJ46" s="420">
        <f t="shared" si="158"/>
        <v>0</v>
      </c>
      <c r="JWK46" s="420">
        <f t="shared" si="158"/>
        <v>0</v>
      </c>
      <c r="JWL46" s="420">
        <f t="shared" si="158"/>
        <v>0</v>
      </c>
      <c r="JWM46" s="420">
        <f t="shared" si="158"/>
        <v>0</v>
      </c>
      <c r="JWN46" s="420">
        <f t="shared" si="158"/>
        <v>0</v>
      </c>
      <c r="JWO46" s="420">
        <f t="shared" si="158"/>
        <v>0</v>
      </c>
      <c r="JWP46" s="420">
        <f t="shared" si="158"/>
        <v>0</v>
      </c>
      <c r="JWQ46" s="420">
        <f t="shared" si="158"/>
        <v>0</v>
      </c>
      <c r="JWR46" s="420">
        <f t="shared" si="158"/>
        <v>0</v>
      </c>
      <c r="JWS46" s="420">
        <f t="shared" si="158"/>
        <v>0</v>
      </c>
      <c r="JWT46" s="420">
        <f t="shared" si="158"/>
        <v>0</v>
      </c>
      <c r="JWU46" s="420">
        <f t="shared" si="158"/>
        <v>0</v>
      </c>
      <c r="JWV46" s="420">
        <f t="shared" si="158"/>
        <v>0</v>
      </c>
      <c r="JWW46" s="420">
        <f t="shared" si="158"/>
        <v>0</v>
      </c>
      <c r="JWX46" s="420">
        <f t="shared" si="158"/>
        <v>0</v>
      </c>
      <c r="JWY46" s="420">
        <f t="shared" si="158"/>
        <v>0</v>
      </c>
      <c r="JWZ46" s="420">
        <f t="shared" si="158"/>
        <v>0</v>
      </c>
      <c r="JXA46" s="420">
        <f t="shared" si="158"/>
        <v>0</v>
      </c>
      <c r="JXB46" s="420">
        <f t="shared" si="158"/>
        <v>0</v>
      </c>
      <c r="JXC46" s="420">
        <f t="shared" si="158"/>
        <v>0</v>
      </c>
      <c r="JXD46" s="420">
        <f t="shared" si="158"/>
        <v>0</v>
      </c>
      <c r="JXE46" s="420">
        <f t="shared" si="158"/>
        <v>0</v>
      </c>
      <c r="JXF46" s="420">
        <f t="shared" si="158"/>
        <v>0</v>
      </c>
      <c r="JXG46" s="420">
        <f t="shared" si="158"/>
        <v>0</v>
      </c>
      <c r="JXH46" s="420">
        <f t="shared" si="158"/>
        <v>0</v>
      </c>
      <c r="JXI46" s="420">
        <f t="shared" si="158"/>
        <v>0</v>
      </c>
      <c r="JXJ46" s="420">
        <f t="shared" si="158"/>
        <v>0</v>
      </c>
      <c r="JXK46" s="420">
        <f t="shared" si="158"/>
        <v>0</v>
      </c>
      <c r="JXL46" s="420">
        <f t="shared" si="158"/>
        <v>0</v>
      </c>
      <c r="JXM46" s="420">
        <f t="shared" si="158"/>
        <v>0</v>
      </c>
      <c r="JXN46" s="420">
        <f t="shared" si="158"/>
        <v>0</v>
      </c>
      <c r="JXO46" s="420">
        <f t="shared" si="158"/>
        <v>0</v>
      </c>
      <c r="JXP46" s="420">
        <f t="shared" si="158"/>
        <v>0</v>
      </c>
      <c r="JXQ46" s="420">
        <f t="shared" si="158"/>
        <v>0</v>
      </c>
      <c r="JXR46" s="420">
        <f t="shared" si="158"/>
        <v>0</v>
      </c>
      <c r="JXS46" s="420">
        <f t="shared" si="158"/>
        <v>0</v>
      </c>
      <c r="JXT46" s="420">
        <f t="shared" si="158"/>
        <v>0</v>
      </c>
      <c r="JXU46" s="420">
        <f t="shared" si="158"/>
        <v>0</v>
      </c>
      <c r="JXV46" s="420">
        <f t="shared" si="158"/>
        <v>0</v>
      </c>
      <c r="JXW46" s="420">
        <f t="shared" si="158"/>
        <v>0</v>
      </c>
      <c r="JXX46" s="420">
        <f t="shared" si="158"/>
        <v>0</v>
      </c>
      <c r="JXY46" s="420">
        <f t="shared" si="158"/>
        <v>0</v>
      </c>
      <c r="JXZ46" s="420">
        <f t="shared" si="158"/>
        <v>0</v>
      </c>
      <c r="JYA46" s="420">
        <f t="shared" si="158"/>
        <v>0</v>
      </c>
      <c r="JYB46" s="420">
        <f t="shared" si="158"/>
        <v>0</v>
      </c>
      <c r="JYC46" s="420">
        <f t="shared" si="158"/>
        <v>0</v>
      </c>
      <c r="JYD46" s="420">
        <f t="shared" si="158"/>
        <v>0</v>
      </c>
      <c r="JYE46" s="420">
        <f t="shared" si="158"/>
        <v>0</v>
      </c>
      <c r="JYF46" s="420">
        <f t="shared" si="158"/>
        <v>0</v>
      </c>
      <c r="JYG46" s="420">
        <f t="shared" si="158"/>
        <v>0</v>
      </c>
      <c r="JYH46" s="420">
        <f t="shared" si="158"/>
        <v>0</v>
      </c>
      <c r="JYI46" s="420">
        <f t="shared" si="158"/>
        <v>0</v>
      </c>
      <c r="JYJ46" s="420">
        <f t="shared" si="158"/>
        <v>0</v>
      </c>
      <c r="JYK46" s="420">
        <f t="shared" si="158"/>
        <v>0</v>
      </c>
      <c r="JYL46" s="420">
        <f t="shared" si="158"/>
        <v>0</v>
      </c>
      <c r="JYM46" s="420">
        <f t="shared" si="158"/>
        <v>0</v>
      </c>
      <c r="JYN46" s="420">
        <f t="shared" si="158"/>
        <v>0</v>
      </c>
      <c r="JYO46" s="420">
        <f t="shared" si="158"/>
        <v>0</v>
      </c>
      <c r="JYP46" s="420">
        <f t="shared" si="158"/>
        <v>0</v>
      </c>
      <c r="JYQ46" s="420">
        <f t="shared" si="158"/>
        <v>0</v>
      </c>
      <c r="JYR46" s="420">
        <f t="shared" si="158"/>
        <v>0</v>
      </c>
      <c r="JYS46" s="420">
        <f t="shared" ref="JYS46:KBD46" si="159">JYS45*0.8</f>
        <v>0</v>
      </c>
      <c r="JYT46" s="420">
        <f t="shared" si="159"/>
        <v>0</v>
      </c>
      <c r="JYU46" s="420">
        <f t="shared" si="159"/>
        <v>0</v>
      </c>
      <c r="JYV46" s="420">
        <f t="shared" si="159"/>
        <v>0</v>
      </c>
      <c r="JYW46" s="420">
        <f t="shared" si="159"/>
        <v>0</v>
      </c>
      <c r="JYX46" s="420">
        <f t="shared" si="159"/>
        <v>0</v>
      </c>
      <c r="JYY46" s="420">
        <f t="shared" si="159"/>
        <v>0</v>
      </c>
      <c r="JYZ46" s="420">
        <f t="shared" si="159"/>
        <v>0</v>
      </c>
      <c r="JZA46" s="420">
        <f t="shared" si="159"/>
        <v>0</v>
      </c>
      <c r="JZB46" s="420">
        <f t="shared" si="159"/>
        <v>0</v>
      </c>
      <c r="JZC46" s="420">
        <f t="shared" si="159"/>
        <v>0</v>
      </c>
      <c r="JZD46" s="420">
        <f t="shared" si="159"/>
        <v>0</v>
      </c>
      <c r="JZE46" s="420">
        <f t="shared" si="159"/>
        <v>0</v>
      </c>
      <c r="JZF46" s="420">
        <f t="shared" si="159"/>
        <v>0</v>
      </c>
      <c r="JZG46" s="420">
        <f t="shared" si="159"/>
        <v>0</v>
      </c>
      <c r="JZH46" s="420">
        <f t="shared" si="159"/>
        <v>0</v>
      </c>
      <c r="JZI46" s="420">
        <f t="shared" si="159"/>
        <v>0</v>
      </c>
      <c r="JZJ46" s="420">
        <f t="shared" si="159"/>
        <v>0</v>
      </c>
      <c r="JZK46" s="420">
        <f t="shared" si="159"/>
        <v>0</v>
      </c>
      <c r="JZL46" s="420">
        <f t="shared" si="159"/>
        <v>0</v>
      </c>
      <c r="JZM46" s="420">
        <f t="shared" si="159"/>
        <v>0</v>
      </c>
      <c r="JZN46" s="420">
        <f t="shared" si="159"/>
        <v>0</v>
      </c>
      <c r="JZO46" s="420">
        <f t="shared" si="159"/>
        <v>0</v>
      </c>
      <c r="JZP46" s="420">
        <f t="shared" si="159"/>
        <v>0</v>
      </c>
      <c r="JZQ46" s="420">
        <f t="shared" si="159"/>
        <v>0</v>
      </c>
      <c r="JZR46" s="420">
        <f t="shared" si="159"/>
        <v>0</v>
      </c>
      <c r="JZS46" s="420">
        <f t="shared" si="159"/>
        <v>0</v>
      </c>
      <c r="JZT46" s="420">
        <f t="shared" si="159"/>
        <v>0</v>
      </c>
      <c r="JZU46" s="420">
        <f t="shared" si="159"/>
        <v>0</v>
      </c>
      <c r="JZV46" s="420">
        <f t="shared" si="159"/>
        <v>0</v>
      </c>
      <c r="JZW46" s="420">
        <f t="shared" si="159"/>
        <v>0</v>
      </c>
      <c r="JZX46" s="420">
        <f t="shared" si="159"/>
        <v>0</v>
      </c>
      <c r="JZY46" s="420">
        <f t="shared" si="159"/>
        <v>0</v>
      </c>
      <c r="JZZ46" s="420">
        <f t="shared" si="159"/>
        <v>0</v>
      </c>
      <c r="KAA46" s="420">
        <f t="shared" si="159"/>
        <v>0</v>
      </c>
      <c r="KAB46" s="420">
        <f t="shared" si="159"/>
        <v>0</v>
      </c>
      <c r="KAC46" s="420">
        <f t="shared" si="159"/>
        <v>0</v>
      </c>
      <c r="KAD46" s="420">
        <f t="shared" si="159"/>
        <v>0</v>
      </c>
      <c r="KAE46" s="420">
        <f t="shared" si="159"/>
        <v>0</v>
      </c>
      <c r="KAF46" s="420">
        <f t="shared" si="159"/>
        <v>0</v>
      </c>
      <c r="KAG46" s="420">
        <f t="shared" si="159"/>
        <v>0</v>
      </c>
      <c r="KAH46" s="420">
        <f t="shared" si="159"/>
        <v>0</v>
      </c>
      <c r="KAI46" s="420">
        <f t="shared" si="159"/>
        <v>0</v>
      </c>
      <c r="KAJ46" s="420">
        <f t="shared" si="159"/>
        <v>0</v>
      </c>
      <c r="KAK46" s="420">
        <f t="shared" si="159"/>
        <v>0</v>
      </c>
      <c r="KAL46" s="420">
        <f t="shared" si="159"/>
        <v>0</v>
      </c>
      <c r="KAM46" s="420">
        <f t="shared" si="159"/>
        <v>0</v>
      </c>
      <c r="KAN46" s="420">
        <f t="shared" si="159"/>
        <v>0</v>
      </c>
      <c r="KAO46" s="420">
        <f t="shared" si="159"/>
        <v>0</v>
      </c>
      <c r="KAP46" s="420">
        <f t="shared" si="159"/>
        <v>0</v>
      </c>
      <c r="KAQ46" s="420">
        <f t="shared" si="159"/>
        <v>0</v>
      </c>
      <c r="KAR46" s="420">
        <f t="shared" si="159"/>
        <v>0</v>
      </c>
      <c r="KAS46" s="420">
        <f t="shared" si="159"/>
        <v>0</v>
      </c>
      <c r="KAT46" s="420">
        <f t="shared" si="159"/>
        <v>0</v>
      </c>
      <c r="KAU46" s="420">
        <f t="shared" si="159"/>
        <v>0</v>
      </c>
      <c r="KAV46" s="420">
        <f t="shared" si="159"/>
        <v>0</v>
      </c>
      <c r="KAW46" s="420">
        <f t="shared" si="159"/>
        <v>0</v>
      </c>
      <c r="KAX46" s="420">
        <f t="shared" si="159"/>
        <v>0</v>
      </c>
      <c r="KAY46" s="420">
        <f t="shared" si="159"/>
        <v>0</v>
      </c>
      <c r="KAZ46" s="420">
        <f t="shared" si="159"/>
        <v>0</v>
      </c>
      <c r="KBA46" s="420">
        <f t="shared" si="159"/>
        <v>0</v>
      </c>
      <c r="KBB46" s="420">
        <f t="shared" si="159"/>
        <v>0</v>
      </c>
      <c r="KBC46" s="420">
        <f t="shared" si="159"/>
        <v>0</v>
      </c>
      <c r="KBD46" s="420">
        <f t="shared" si="159"/>
        <v>0</v>
      </c>
      <c r="KBE46" s="420">
        <f t="shared" ref="KBE46:KDP46" si="160">KBE45*0.8</f>
        <v>0</v>
      </c>
      <c r="KBF46" s="420">
        <f t="shared" si="160"/>
        <v>0</v>
      </c>
      <c r="KBG46" s="420">
        <f t="shared" si="160"/>
        <v>0</v>
      </c>
      <c r="KBH46" s="420">
        <f t="shared" si="160"/>
        <v>0</v>
      </c>
      <c r="KBI46" s="420">
        <f t="shared" si="160"/>
        <v>0</v>
      </c>
      <c r="KBJ46" s="420">
        <f t="shared" si="160"/>
        <v>0</v>
      </c>
      <c r="KBK46" s="420">
        <f t="shared" si="160"/>
        <v>0</v>
      </c>
      <c r="KBL46" s="420">
        <f t="shared" si="160"/>
        <v>0</v>
      </c>
      <c r="KBM46" s="420">
        <f t="shared" si="160"/>
        <v>0</v>
      </c>
      <c r="KBN46" s="420">
        <f t="shared" si="160"/>
        <v>0</v>
      </c>
      <c r="KBO46" s="420">
        <f t="shared" si="160"/>
        <v>0</v>
      </c>
      <c r="KBP46" s="420">
        <f t="shared" si="160"/>
        <v>0</v>
      </c>
      <c r="KBQ46" s="420">
        <f t="shared" si="160"/>
        <v>0</v>
      </c>
      <c r="KBR46" s="420">
        <f t="shared" si="160"/>
        <v>0</v>
      </c>
      <c r="KBS46" s="420">
        <f t="shared" si="160"/>
        <v>0</v>
      </c>
      <c r="KBT46" s="420">
        <f t="shared" si="160"/>
        <v>0</v>
      </c>
      <c r="KBU46" s="420">
        <f t="shared" si="160"/>
        <v>0</v>
      </c>
      <c r="KBV46" s="420">
        <f t="shared" si="160"/>
        <v>0</v>
      </c>
      <c r="KBW46" s="420">
        <f t="shared" si="160"/>
        <v>0</v>
      </c>
      <c r="KBX46" s="420">
        <f t="shared" si="160"/>
        <v>0</v>
      </c>
      <c r="KBY46" s="420">
        <f t="shared" si="160"/>
        <v>0</v>
      </c>
      <c r="KBZ46" s="420">
        <f t="shared" si="160"/>
        <v>0</v>
      </c>
      <c r="KCA46" s="420">
        <f t="shared" si="160"/>
        <v>0</v>
      </c>
      <c r="KCB46" s="420">
        <f t="shared" si="160"/>
        <v>0</v>
      </c>
      <c r="KCC46" s="420">
        <f t="shared" si="160"/>
        <v>0</v>
      </c>
      <c r="KCD46" s="420">
        <f t="shared" si="160"/>
        <v>0</v>
      </c>
      <c r="KCE46" s="420">
        <f t="shared" si="160"/>
        <v>0</v>
      </c>
      <c r="KCF46" s="420">
        <f t="shared" si="160"/>
        <v>0</v>
      </c>
      <c r="KCG46" s="420">
        <f t="shared" si="160"/>
        <v>0</v>
      </c>
      <c r="KCH46" s="420">
        <f t="shared" si="160"/>
        <v>0</v>
      </c>
      <c r="KCI46" s="420">
        <f t="shared" si="160"/>
        <v>0</v>
      </c>
      <c r="KCJ46" s="420">
        <f t="shared" si="160"/>
        <v>0</v>
      </c>
      <c r="KCK46" s="420">
        <f t="shared" si="160"/>
        <v>0</v>
      </c>
      <c r="KCL46" s="420">
        <f t="shared" si="160"/>
        <v>0</v>
      </c>
      <c r="KCM46" s="420">
        <f t="shared" si="160"/>
        <v>0</v>
      </c>
      <c r="KCN46" s="420">
        <f t="shared" si="160"/>
        <v>0</v>
      </c>
      <c r="KCO46" s="420">
        <f t="shared" si="160"/>
        <v>0</v>
      </c>
      <c r="KCP46" s="420">
        <f t="shared" si="160"/>
        <v>0</v>
      </c>
      <c r="KCQ46" s="420">
        <f t="shared" si="160"/>
        <v>0</v>
      </c>
      <c r="KCR46" s="420">
        <f t="shared" si="160"/>
        <v>0</v>
      </c>
      <c r="KCS46" s="420">
        <f t="shared" si="160"/>
        <v>0</v>
      </c>
      <c r="KCT46" s="420">
        <f t="shared" si="160"/>
        <v>0</v>
      </c>
      <c r="KCU46" s="420">
        <f t="shared" si="160"/>
        <v>0</v>
      </c>
      <c r="KCV46" s="420">
        <f t="shared" si="160"/>
        <v>0</v>
      </c>
      <c r="KCW46" s="420">
        <f t="shared" si="160"/>
        <v>0</v>
      </c>
      <c r="KCX46" s="420">
        <f t="shared" si="160"/>
        <v>0</v>
      </c>
      <c r="KCY46" s="420">
        <f t="shared" si="160"/>
        <v>0</v>
      </c>
      <c r="KCZ46" s="420">
        <f t="shared" si="160"/>
        <v>0</v>
      </c>
      <c r="KDA46" s="420">
        <f t="shared" si="160"/>
        <v>0</v>
      </c>
      <c r="KDB46" s="420">
        <f t="shared" si="160"/>
        <v>0</v>
      </c>
      <c r="KDC46" s="420">
        <f t="shared" si="160"/>
        <v>0</v>
      </c>
      <c r="KDD46" s="420">
        <f t="shared" si="160"/>
        <v>0</v>
      </c>
      <c r="KDE46" s="420">
        <f t="shared" si="160"/>
        <v>0</v>
      </c>
      <c r="KDF46" s="420">
        <f t="shared" si="160"/>
        <v>0</v>
      </c>
      <c r="KDG46" s="420">
        <f t="shared" si="160"/>
        <v>0</v>
      </c>
      <c r="KDH46" s="420">
        <f t="shared" si="160"/>
        <v>0</v>
      </c>
      <c r="KDI46" s="420">
        <f t="shared" si="160"/>
        <v>0</v>
      </c>
      <c r="KDJ46" s="420">
        <f t="shared" si="160"/>
        <v>0</v>
      </c>
      <c r="KDK46" s="420">
        <f t="shared" si="160"/>
        <v>0</v>
      </c>
      <c r="KDL46" s="420">
        <f t="shared" si="160"/>
        <v>0</v>
      </c>
      <c r="KDM46" s="420">
        <f t="shared" si="160"/>
        <v>0</v>
      </c>
      <c r="KDN46" s="420">
        <f t="shared" si="160"/>
        <v>0</v>
      </c>
      <c r="KDO46" s="420">
        <f t="shared" si="160"/>
        <v>0</v>
      </c>
      <c r="KDP46" s="420">
        <f t="shared" si="160"/>
        <v>0</v>
      </c>
      <c r="KDQ46" s="420">
        <f t="shared" ref="KDQ46:KGB46" si="161">KDQ45*0.8</f>
        <v>0</v>
      </c>
      <c r="KDR46" s="420">
        <f t="shared" si="161"/>
        <v>0</v>
      </c>
      <c r="KDS46" s="420">
        <f t="shared" si="161"/>
        <v>0</v>
      </c>
      <c r="KDT46" s="420">
        <f t="shared" si="161"/>
        <v>0</v>
      </c>
      <c r="KDU46" s="420">
        <f t="shared" si="161"/>
        <v>0</v>
      </c>
      <c r="KDV46" s="420">
        <f t="shared" si="161"/>
        <v>0</v>
      </c>
      <c r="KDW46" s="420">
        <f t="shared" si="161"/>
        <v>0</v>
      </c>
      <c r="KDX46" s="420">
        <f t="shared" si="161"/>
        <v>0</v>
      </c>
      <c r="KDY46" s="420">
        <f t="shared" si="161"/>
        <v>0</v>
      </c>
      <c r="KDZ46" s="420">
        <f t="shared" si="161"/>
        <v>0</v>
      </c>
      <c r="KEA46" s="420">
        <f t="shared" si="161"/>
        <v>0</v>
      </c>
      <c r="KEB46" s="420">
        <f t="shared" si="161"/>
        <v>0</v>
      </c>
      <c r="KEC46" s="420">
        <f t="shared" si="161"/>
        <v>0</v>
      </c>
      <c r="KED46" s="420">
        <f t="shared" si="161"/>
        <v>0</v>
      </c>
      <c r="KEE46" s="420">
        <f t="shared" si="161"/>
        <v>0</v>
      </c>
      <c r="KEF46" s="420">
        <f t="shared" si="161"/>
        <v>0</v>
      </c>
      <c r="KEG46" s="420">
        <f t="shared" si="161"/>
        <v>0</v>
      </c>
      <c r="KEH46" s="420">
        <f t="shared" si="161"/>
        <v>0</v>
      </c>
      <c r="KEI46" s="420">
        <f t="shared" si="161"/>
        <v>0</v>
      </c>
      <c r="KEJ46" s="420">
        <f t="shared" si="161"/>
        <v>0</v>
      </c>
      <c r="KEK46" s="420">
        <f t="shared" si="161"/>
        <v>0</v>
      </c>
      <c r="KEL46" s="420">
        <f t="shared" si="161"/>
        <v>0</v>
      </c>
      <c r="KEM46" s="420">
        <f t="shared" si="161"/>
        <v>0</v>
      </c>
      <c r="KEN46" s="420">
        <f t="shared" si="161"/>
        <v>0</v>
      </c>
      <c r="KEO46" s="420">
        <f t="shared" si="161"/>
        <v>0</v>
      </c>
      <c r="KEP46" s="420">
        <f t="shared" si="161"/>
        <v>0</v>
      </c>
      <c r="KEQ46" s="420">
        <f t="shared" si="161"/>
        <v>0</v>
      </c>
      <c r="KER46" s="420">
        <f t="shared" si="161"/>
        <v>0</v>
      </c>
      <c r="KES46" s="420">
        <f t="shared" si="161"/>
        <v>0</v>
      </c>
      <c r="KET46" s="420">
        <f t="shared" si="161"/>
        <v>0</v>
      </c>
      <c r="KEU46" s="420">
        <f t="shared" si="161"/>
        <v>0</v>
      </c>
      <c r="KEV46" s="420">
        <f t="shared" si="161"/>
        <v>0</v>
      </c>
      <c r="KEW46" s="420">
        <f t="shared" si="161"/>
        <v>0</v>
      </c>
      <c r="KEX46" s="420">
        <f t="shared" si="161"/>
        <v>0</v>
      </c>
      <c r="KEY46" s="420">
        <f t="shared" si="161"/>
        <v>0</v>
      </c>
      <c r="KEZ46" s="420">
        <f t="shared" si="161"/>
        <v>0</v>
      </c>
      <c r="KFA46" s="420">
        <f t="shared" si="161"/>
        <v>0</v>
      </c>
      <c r="KFB46" s="420">
        <f t="shared" si="161"/>
        <v>0</v>
      </c>
      <c r="KFC46" s="420">
        <f t="shared" si="161"/>
        <v>0</v>
      </c>
      <c r="KFD46" s="420">
        <f t="shared" si="161"/>
        <v>0</v>
      </c>
      <c r="KFE46" s="420">
        <f t="shared" si="161"/>
        <v>0</v>
      </c>
      <c r="KFF46" s="420">
        <f t="shared" si="161"/>
        <v>0</v>
      </c>
      <c r="KFG46" s="420">
        <f t="shared" si="161"/>
        <v>0</v>
      </c>
      <c r="KFH46" s="420">
        <f t="shared" si="161"/>
        <v>0</v>
      </c>
      <c r="KFI46" s="420">
        <f t="shared" si="161"/>
        <v>0</v>
      </c>
      <c r="KFJ46" s="420">
        <f t="shared" si="161"/>
        <v>0</v>
      </c>
      <c r="KFK46" s="420">
        <f t="shared" si="161"/>
        <v>0</v>
      </c>
      <c r="KFL46" s="420">
        <f t="shared" si="161"/>
        <v>0</v>
      </c>
      <c r="KFM46" s="420">
        <f t="shared" si="161"/>
        <v>0</v>
      </c>
      <c r="KFN46" s="420">
        <f t="shared" si="161"/>
        <v>0</v>
      </c>
      <c r="KFO46" s="420">
        <f t="shared" si="161"/>
        <v>0</v>
      </c>
      <c r="KFP46" s="420">
        <f t="shared" si="161"/>
        <v>0</v>
      </c>
      <c r="KFQ46" s="420">
        <f t="shared" si="161"/>
        <v>0</v>
      </c>
      <c r="KFR46" s="420">
        <f t="shared" si="161"/>
        <v>0</v>
      </c>
      <c r="KFS46" s="420">
        <f t="shared" si="161"/>
        <v>0</v>
      </c>
      <c r="KFT46" s="420">
        <f t="shared" si="161"/>
        <v>0</v>
      </c>
      <c r="KFU46" s="420">
        <f t="shared" si="161"/>
        <v>0</v>
      </c>
      <c r="KFV46" s="420">
        <f t="shared" si="161"/>
        <v>0</v>
      </c>
      <c r="KFW46" s="420">
        <f t="shared" si="161"/>
        <v>0</v>
      </c>
      <c r="KFX46" s="420">
        <f t="shared" si="161"/>
        <v>0</v>
      </c>
      <c r="KFY46" s="420">
        <f t="shared" si="161"/>
        <v>0</v>
      </c>
      <c r="KFZ46" s="420">
        <f t="shared" si="161"/>
        <v>0</v>
      </c>
      <c r="KGA46" s="420">
        <f t="shared" si="161"/>
        <v>0</v>
      </c>
      <c r="KGB46" s="420">
        <f t="shared" si="161"/>
        <v>0</v>
      </c>
      <c r="KGC46" s="420">
        <f t="shared" ref="KGC46:KIN46" si="162">KGC45*0.8</f>
        <v>0</v>
      </c>
      <c r="KGD46" s="420">
        <f t="shared" si="162"/>
        <v>0</v>
      </c>
      <c r="KGE46" s="420">
        <f t="shared" si="162"/>
        <v>0</v>
      </c>
      <c r="KGF46" s="420">
        <f t="shared" si="162"/>
        <v>0</v>
      </c>
      <c r="KGG46" s="420">
        <f t="shared" si="162"/>
        <v>0</v>
      </c>
      <c r="KGH46" s="420">
        <f t="shared" si="162"/>
        <v>0</v>
      </c>
      <c r="KGI46" s="420">
        <f t="shared" si="162"/>
        <v>0</v>
      </c>
      <c r="KGJ46" s="420">
        <f t="shared" si="162"/>
        <v>0</v>
      </c>
      <c r="KGK46" s="420">
        <f t="shared" si="162"/>
        <v>0</v>
      </c>
      <c r="KGL46" s="420">
        <f t="shared" si="162"/>
        <v>0</v>
      </c>
      <c r="KGM46" s="420">
        <f t="shared" si="162"/>
        <v>0</v>
      </c>
      <c r="KGN46" s="420">
        <f t="shared" si="162"/>
        <v>0</v>
      </c>
      <c r="KGO46" s="420">
        <f t="shared" si="162"/>
        <v>0</v>
      </c>
      <c r="KGP46" s="420">
        <f t="shared" si="162"/>
        <v>0</v>
      </c>
      <c r="KGQ46" s="420">
        <f t="shared" si="162"/>
        <v>0</v>
      </c>
      <c r="KGR46" s="420">
        <f t="shared" si="162"/>
        <v>0</v>
      </c>
      <c r="KGS46" s="420">
        <f t="shared" si="162"/>
        <v>0</v>
      </c>
      <c r="KGT46" s="420">
        <f t="shared" si="162"/>
        <v>0</v>
      </c>
      <c r="KGU46" s="420">
        <f t="shared" si="162"/>
        <v>0</v>
      </c>
      <c r="KGV46" s="420">
        <f t="shared" si="162"/>
        <v>0</v>
      </c>
      <c r="KGW46" s="420">
        <f t="shared" si="162"/>
        <v>0</v>
      </c>
      <c r="KGX46" s="420">
        <f t="shared" si="162"/>
        <v>0</v>
      </c>
      <c r="KGY46" s="420">
        <f t="shared" si="162"/>
        <v>0</v>
      </c>
      <c r="KGZ46" s="420">
        <f t="shared" si="162"/>
        <v>0</v>
      </c>
      <c r="KHA46" s="420">
        <f t="shared" si="162"/>
        <v>0</v>
      </c>
      <c r="KHB46" s="420">
        <f t="shared" si="162"/>
        <v>0</v>
      </c>
      <c r="KHC46" s="420">
        <f t="shared" si="162"/>
        <v>0</v>
      </c>
      <c r="KHD46" s="420">
        <f t="shared" si="162"/>
        <v>0</v>
      </c>
      <c r="KHE46" s="420">
        <f t="shared" si="162"/>
        <v>0</v>
      </c>
      <c r="KHF46" s="420">
        <f t="shared" si="162"/>
        <v>0</v>
      </c>
      <c r="KHG46" s="420">
        <f t="shared" si="162"/>
        <v>0</v>
      </c>
      <c r="KHH46" s="420">
        <f t="shared" si="162"/>
        <v>0</v>
      </c>
      <c r="KHI46" s="420">
        <f t="shared" si="162"/>
        <v>0</v>
      </c>
      <c r="KHJ46" s="420">
        <f t="shared" si="162"/>
        <v>0</v>
      </c>
      <c r="KHK46" s="420">
        <f t="shared" si="162"/>
        <v>0</v>
      </c>
      <c r="KHL46" s="420">
        <f t="shared" si="162"/>
        <v>0</v>
      </c>
      <c r="KHM46" s="420">
        <f t="shared" si="162"/>
        <v>0</v>
      </c>
      <c r="KHN46" s="420">
        <f t="shared" si="162"/>
        <v>0</v>
      </c>
      <c r="KHO46" s="420">
        <f t="shared" si="162"/>
        <v>0</v>
      </c>
      <c r="KHP46" s="420">
        <f t="shared" si="162"/>
        <v>0</v>
      </c>
      <c r="KHQ46" s="420">
        <f t="shared" si="162"/>
        <v>0</v>
      </c>
      <c r="KHR46" s="420">
        <f t="shared" si="162"/>
        <v>0</v>
      </c>
      <c r="KHS46" s="420">
        <f t="shared" si="162"/>
        <v>0</v>
      </c>
      <c r="KHT46" s="420">
        <f t="shared" si="162"/>
        <v>0</v>
      </c>
      <c r="KHU46" s="420">
        <f t="shared" si="162"/>
        <v>0</v>
      </c>
      <c r="KHV46" s="420">
        <f t="shared" si="162"/>
        <v>0</v>
      </c>
      <c r="KHW46" s="420">
        <f t="shared" si="162"/>
        <v>0</v>
      </c>
      <c r="KHX46" s="420">
        <f t="shared" si="162"/>
        <v>0</v>
      </c>
      <c r="KHY46" s="420">
        <f t="shared" si="162"/>
        <v>0</v>
      </c>
      <c r="KHZ46" s="420">
        <f t="shared" si="162"/>
        <v>0</v>
      </c>
      <c r="KIA46" s="420">
        <f t="shared" si="162"/>
        <v>0</v>
      </c>
      <c r="KIB46" s="420">
        <f t="shared" si="162"/>
        <v>0</v>
      </c>
      <c r="KIC46" s="420">
        <f t="shared" si="162"/>
        <v>0</v>
      </c>
      <c r="KID46" s="420">
        <f t="shared" si="162"/>
        <v>0</v>
      </c>
      <c r="KIE46" s="420">
        <f t="shared" si="162"/>
        <v>0</v>
      </c>
      <c r="KIF46" s="420">
        <f t="shared" si="162"/>
        <v>0</v>
      </c>
      <c r="KIG46" s="420">
        <f t="shared" si="162"/>
        <v>0</v>
      </c>
      <c r="KIH46" s="420">
        <f t="shared" si="162"/>
        <v>0</v>
      </c>
      <c r="KII46" s="420">
        <f t="shared" si="162"/>
        <v>0</v>
      </c>
      <c r="KIJ46" s="420">
        <f t="shared" si="162"/>
        <v>0</v>
      </c>
      <c r="KIK46" s="420">
        <f t="shared" si="162"/>
        <v>0</v>
      </c>
      <c r="KIL46" s="420">
        <f t="shared" si="162"/>
        <v>0</v>
      </c>
      <c r="KIM46" s="420">
        <f t="shared" si="162"/>
        <v>0</v>
      </c>
      <c r="KIN46" s="420">
        <f t="shared" si="162"/>
        <v>0</v>
      </c>
      <c r="KIO46" s="420">
        <f t="shared" ref="KIO46:KKZ46" si="163">KIO45*0.8</f>
        <v>0</v>
      </c>
      <c r="KIP46" s="420">
        <f t="shared" si="163"/>
        <v>0</v>
      </c>
      <c r="KIQ46" s="420">
        <f t="shared" si="163"/>
        <v>0</v>
      </c>
      <c r="KIR46" s="420">
        <f t="shared" si="163"/>
        <v>0</v>
      </c>
      <c r="KIS46" s="420">
        <f t="shared" si="163"/>
        <v>0</v>
      </c>
      <c r="KIT46" s="420">
        <f t="shared" si="163"/>
        <v>0</v>
      </c>
      <c r="KIU46" s="420">
        <f t="shared" si="163"/>
        <v>0</v>
      </c>
      <c r="KIV46" s="420">
        <f t="shared" si="163"/>
        <v>0</v>
      </c>
      <c r="KIW46" s="420">
        <f t="shared" si="163"/>
        <v>0</v>
      </c>
      <c r="KIX46" s="420">
        <f t="shared" si="163"/>
        <v>0</v>
      </c>
      <c r="KIY46" s="420">
        <f t="shared" si="163"/>
        <v>0</v>
      </c>
      <c r="KIZ46" s="420">
        <f t="shared" si="163"/>
        <v>0</v>
      </c>
      <c r="KJA46" s="420">
        <f t="shared" si="163"/>
        <v>0</v>
      </c>
      <c r="KJB46" s="420">
        <f t="shared" si="163"/>
        <v>0</v>
      </c>
      <c r="KJC46" s="420">
        <f t="shared" si="163"/>
        <v>0</v>
      </c>
      <c r="KJD46" s="420">
        <f t="shared" si="163"/>
        <v>0</v>
      </c>
      <c r="KJE46" s="420">
        <f t="shared" si="163"/>
        <v>0</v>
      </c>
      <c r="KJF46" s="420">
        <f t="shared" si="163"/>
        <v>0</v>
      </c>
      <c r="KJG46" s="420">
        <f t="shared" si="163"/>
        <v>0</v>
      </c>
      <c r="KJH46" s="420">
        <f t="shared" si="163"/>
        <v>0</v>
      </c>
      <c r="KJI46" s="420">
        <f t="shared" si="163"/>
        <v>0</v>
      </c>
      <c r="KJJ46" s="420">
        <f t="shared" si="163"/>
        <v>0</v>
      </c>
      <c r="KJK46" s="420">
        <f t="shared" si="163"/>
        <v>0</v>
      </c>
      <c r="KJL46" s="420">
        <f t="shared" si="163"/>
        <v>0</v>
      </c>
      <c r="KJM46" s="420">
        <f t="shared" si="163"/>
        <v>0</v>
      </c>
      <c r="KJN46" s="420">
        <f t="shared" si="163"/>
        <v>0</v>
      </c>
      <c r="KJO46" s="420">
        <f t="shared" si="163"/>
        <v>0</v>
      </c>
      <c r="KJP46" s="420">
        <f t="shared" si="163"/>
        <v>0</v>
      </c>
      <c r="KJQ46" s="420">
        <f t="shared" si="163"/>
        <v>0</v>
      </c>
      <c r="KJR46" s="420">
        <f t="shared" si="163"/>
        <v>0</v>
      </c>
      <c r="KJS46" s="420">
        <f t="shared" si="163"/>
        <v>0</v>
      </c>
      <c r="KJT46" s="420">
        <f t="shared" si="163"/>
        <v>0</v>
      </c>
      <c r="KJU46" s="420">
        <f t="shared" si="163"/>
        <v>0</v>
      </c>
      <c r="KJV46" s="420">
        <f t="shared" si="163"/>
        <v>0</v>
      </c>
      <c r="KJW46" s="420">
        <f t="shared" si="163"/>
        <v>0</v>
      </c>
      <c r="KJX46" s="420">
        <f t="shared" si="163"/>
        <v>0</v>
      </c>
      <c r="KJY46" s="420">
        <f t="shared" si="163"/>
        <v>0</v>
      </c>
      <c r="KJZ46" s="420">
        <f t="shared" si="163"/>
        <v>0</v>
      </c>
      <c r="KKA46" s="420">
        <f t="shared" si="163"/>
        <v>0</v>
      </c>
      <c r="KKB46" s="420">
        <f t="shared" si="163"/>
        <v>0</v>
      </c>
      <c r="KKC46" s="420">
        <f t="shared" si="163"/>
        <v>0</v>
      </c>
      <c r="KKD46" s="420">
        <f t="shared" si="163"/>
        <v>0</v>
      </c>
      <c r="KKE46" s="420">
        <f t="shared" si="163"/>
        <v>0</v>
      </c>
      <c r="KKF46" s="420">
        <f t="shared" si="163"/>
        <v>0</v>
      </c>
      <c r="KKG46" s="420">
        <f t="shared" si="163"/>
        <v>0</v>
      </c>
      <c r="KKH46" s="420">
        <f t="shared" si="163"/>
        <v>0</v>
      </c>
      <c r="KKI46" s="420">
        <f t="shared" si="163"/>
        <v>0</v>
      </c>
      <c r="KKJ46" s="420">
        <f t="shared" si="163"/>
        <v>0</v>
      </c>
      <c r="KKK46" s="420">
        <f t="shared" si="163"/>
        <v>0</v>
      </c>
      <c r="KKL46" s="420">
        <f t="shared" si="163"/>
        <v>0</v>
      </c>
      <c r="KKM46" s="420">
        <f t="shared" si="163"/>
        <v>0</v>
      </c>
      <c r="KKN46" s="420">
        <f t="shared" si="163"/>
        <v>0</v>
      </c>
      <c r="KKO46" s="420">
        <f t="shared" si="163"/>
        <v>0</v>
      </c>
      <c r="KKP46" s="420">
        <f t="shared" si="163"/>
        <v>0</v>
      </c>
      <c r="KKQ46" s="420">
        <f t="shared" si="163"/>
        <v>0</v>
      </c>
      <c r="KKR46" s="420">
        <f t="shared" si="163"/>
        <v>0</v>
      </c>
      <c r="KKS46" s="420">
        <f t="shared" si="163"/>
        <v>0</v>
      </c>
      <c r="KKT46" s="420">
        <f t="shared" si="163"/>
        <v>0</v>
      </c>
      <c r="KKU46" s="420">
        <f t="shared" si="163"/>
        <v>0</v>
      </c>
      <c r="KKV46" s="420">
        <f t="shared" si="163"/>
        <v>0</v>
      </c>
      <c r="KKW46" s="420">
        <f t="shared" si="163"/>
        <v>0</v>
      </c>
      <c r="KKX46" s="420">
        <f t="shared" si="163"/>
        <v>0</v>
      </c>
      <c r="KKY46" s="420">
        <f t="shared" si="163"/>
        <v>0</v>
      </c>
      <c r="KKZ46" s="420">
        <f t="shared" si="163"/>
        <v>0</v>
      </c>
      <c r="KLA46" s="420">
        <f t="shared" ref="KLA46:KNL46" si="164">KLA45*0.8</f>
        <v>0</v>
      </c>
      <c r="KLB46" s="420">
        <f t="shared" si="164"/>
        <v>0</v>
      </c>
      <c r="KLC46" s="420">
        <f t="shared" si="164"/>
        <v>0</v>
      </c>
      <c r="KLD46" s="420">
        <f t="shared" si="164"/>
        <v>0</v>
      </c>
      <c r="KLE46" s="420">
        <f t="shared" si="164"/>
        <v>0</v>
      </c>
      <c r="KLF46" s="420">
        <f t="shared" si="164"/>
        <v>0</v>
      </c>
      <c r="KLG46" s="420">
        <f t="shared" si="164"/>
        <v>0</v>
      </c>
      <c r="KLH46" s="420">
        <f t="shared" si="164"/>
        <v>0</v>
      </c>
      <c r="KLI46" s="420">
        <f t="shared" si="164"/>
        <v>0</v>
      </c>
      <c r="KLJ46" s="420">
        <f t="shared" si="164"/>
        <v>0</v>
      </c>
      <c r="KLK46" s="420">
        <f t="shared" si="164"/>
        <v>0</v>
      </c>
      <c r="KLL46" s="420">
        <f t="shared" si="164"/>
        <v>0</v>
      </c>
      <c r="KLM46" s="420">
        <f t="shared" si="164"/>
        <v>0</v>
      </c>
      <c r="KLN46" s="420">
        <f t="shared" si="164"/>
        <v>0</v>
      </c>
      <c r="KLO46" s="420">
        <f t="shared" si="164"/>
        <v>0</v>
      </c>
      <c r="KLP46" s="420">
        <f t="shared" si="164"/>
        <v>0</v>
      </c>
      <c r="KLQ46" s="420">
        <f t="shared" si="164"/>
        <v>0</v>
      </c>
      <c r="KLR46" s="420">
        <f t="shared" si="164"/>
        <v>0</v>
      </c>
      <c r="KLS46" s="420">
        <f t="shared" si="164"/>
        <v>0</v>
      </c>
      <c r="KLT46" s="420">
        <f t="shared" si="164"/>
        <v>0</v>
      </c>
      <c r="KLU46" s="420">
        <f t="shared" si="164"/>
        <v>0</v>
      </c>
      <c r="KLV46" s="420">
        <f t="shared" si="164"/>
        <v>0</v>
      </c>
      <c r="KLW46" s="420">
        <f t="shared" si="164"/>
        <v>0</v>
      </c>
      <c r="KLX46" s="420">
        <f t="shared" si="164"/>
        <v>0</v>
      </c>
      <c r="KLY46" s="420">
        <f t="shared" si="164"/>
        <v>0</v>
      </c>
      <c r="KLZ46" s="420">
        <f t="shared" si="164"/>
        <v>0</v>
      </c>
      <c r="KMA46" s="420">
        <f t="shared" si="164"/>
        <v>0</v>
      </c>
      <c r="KMB46" s="420">
        <f t="shared" si="164"/>
        <v>0</v>
      </c>
      <c r="KMC46" s="420">
        <f t="shared" si="164"/>
        <v>0</v>
      </c>
      <c r="KMD46" s="420">
        <f t="shared" si="164"/>
        <v>0</v>
      </c>
      <c r="KME46" s="420">
        <f t="shared" si="164"/>
        <v>0</v>
      </c>
      <c r="KMF46" s="420">
        <f t="shared" si="164"/>
        <v>0</v>
      </c>
      <c r="KMG46" s="420">
        <f t="shared" si="164"/>
        <v>0</v>
      </c>
      <c r="KMH46" s="420">
        <f t="shared" si="164"/>
        <v>0</v>
      </c>
      <c r="KMI46" s="420">
        <f t="shared" si="164"/>
        <v>0</v>
      </c>
      <c r="KMJ46" s="420">
        <f t="shared" si="164"/>
        <v>0</v>
      </c>
      <c r="KMK46" s="420">
        <f t="shared" si="164"/>
        <v>0</v>
      </c>
      <c r="KML46" s="420">
        <f t="shared" si="164"/>
        <v>0</v>
      </c>
      <c r="KMM46" s="420">
        <f t="shared" si="164"/>
        <v>0</v>
      </c>
      <c r="KMN46" s="420">
        <f t="shared" si="164"/>
        <v>0</v>
      </c>
      <c r="KMO46" s="420">
        <f t="shared" si="164"/>
        <v>0</v>
      </c>
      <c r="KMP46" s="420">
        <f t="shared" si="164"/>
        <v>0</v>
      </c>
      <c r="KMQ46" s="420">
        <f t="shared" si="164"/>
        <v>0</v>
      </c>
      <c r="KMR46" s="420">
        <f t="shared" si="164"/>
        <v>0</v>
      </c>
      <c r="KMS46" s="420">
        <f t="shared" si="164"/>
        <v>0</v>
      </c>
      <c r="KMT46" s="420">
        <f t="shared" si="164"/>
        <v>0</v>
      </c>
      <c r="KMU46" s="420">
        <f t="shared" si="164"/>
        <v>0</v>
      </c>
      <c r="KMV46" s="420">
        <f t="shared" si="164"/>
        <v>0</v>
      </c>
      <c r="KMW46" s="420">
        <f t="shared" si="164"/>
        <v>0</v>
      </c>
      <c r="KMX46" s="420">
        <f t="shared" si="164"/>
        <v>0</v>
      </c>
      <c r="KMY46" s="420">
        <f t="shared" si="164"/>
        <v>0</v>
      </c>
      <c r="KMZ46" s="420">
        <f t="shared" si="164"/>
        <v>0</v>
      </c>
      <c r="KNA46" s="420">
        <f t="shared" si="164"/>
        <v>0</v>
      </c>
      <c r="KNB46" s="420">
        <f t="shared" si="164"/>
        <v>0</v>
      </c>
      <c r="KNC46" s="420">
        <f t="shared" si="164"/>
        <v>0</v>
      </c>
      <c r="KND46" s="420">
        <f t="shared" si="164"/>
        <v>0</v>
      </c>
      <c r="KNE46" s="420">
        <f t="shared" si="164"/>
        <v>0</v>
      </c>
      <c r="KNF46" s="420">
        <f t="shared" si="164"/>
        <v>0</v>
      </c>
      <c r="KNG46" s="420">
        <f t="shared" si="164"/>
        <v>0</v>
      </c>
      <c r="KNH46" s="420">
        <f t="shared" si="164"/>
        <v>0</v>
      </c>
      <c r="KNI46" s="420">
        <f t="shared" si="164"/>
        <v>0</v>
      </c>
      <c r="KNJ46" s="420">
        <f t="shared" si="164"/>
        <v>0</v>
      </c>
      <c r="KNK46" s="420">
        <f t="shared" si="164"/>
        <v>0</v>
      </c>
      <c r="KNL46" s="420">
        <f t="shared" si="164"/>
        <v>0</v>
      </c>
      <c r="KNM46" s="420">
        <f t="shared" ref="KNM46:KPX46" si="165">KNM45*0.8</f>
        <v>0</v>
      </c>
      <c r="KNN46" s="420">
        <f t="shared" si="165"/>
        <v>0</v>
      </c>
      <c r="KNO46" s="420">
        <f t="shared" si="165"/>
        <v>0</v>
      </c>
      <c r="KNP46" s="420">
        <f t="shared" si="165"/>
        <v>0</v>
      </c>
      <c r="KNQ46" s="420">
        <f t="shared" si="165"/>
        <v>0</v>
      </c>
      <c r="KNR46" s="420">
        <f t="shared" si="165"/>
        <v>0</v>
      </c>
      <c r="KNS46" s="420">
        <f t="shared" si="165"/>
        <v>0</v>
      </c>
      <c r="KNT46" s="420">
        <f t="shared" si="165"/>
        <v>0</v>
      </c>
      <c r="KNU46" s="420">
        <f t="shared" si="165"/>
        <v>0</v>
      </c>
      <c r="KNV46" s="420">
        <f t="shared" si="165"/>
        <v>0</v>
      </c>
      <c r="KNW46" s="420">
        <f t="shared" si="165"/>
        <v>0</v>
      </c>
      <c r="KNX46" s="420">
        <f t="shared" si="165"/>
        <v>0</v>
      </c>
      <c r="KNY46" s="420">
        <f t="shared" si="165"/>
        <v>0</v>
      </c>
      <c r="KNZ46" s="420">
        <f t="shared" si="165"/>
        <v>0</v>
      </c>
      <c r="KOA46" s="420">
        <f t="shared" si="165"/>
        <v>0</v>
      </c>
      <c r="KOB46" s="420">
        <f t="shared" si="165"/>
        <v>0</v>
      </c>
      <c r="KOC46" s="420">
        <f t="shared" si="165"/>
        <v>0</v>
      </c>
      <c r="KOD46" s="420">
        <f t="shared" si="165"/>
        <v>0</v>
      </c>
      <c r="KOE46" s="420">
        <f t="shared" si="165"/>
        <v>0</v>
      </c>
      <c r="KOF46" s="420">
        <f t="shared" si="165"/>
        <v>0</v>
      </c>
      <c r="KOG46" s="420">
        <f t="shared" si="165"/>
        <v>0</v>
      </c>
      <c r="KOH46" s="420">
        <f t="shared" si="165"/>
        <v>0</v>
      </c>
      <c r="KOI46" s="420">
        <f t="shared" si="165"/>
        <v>0</v>
      </c>
      <c r="KOJ46" s="420">
        <f t="shared" si="165"/>
        <v>0</v>
      </c>
      <c r="KOK46" s="420">
        <f t="shared" si="165"/>
        <v>0</v>
      </c>
      <c r="KOL46" s="420">
        <f t="shared" si="165"/>
        <v>0</v>
      </c>
      <c r="KOM46" s="420">
        <f t="shared" si="165"/>
        <v>0</v>
      </c>
      <c r="KON46" s="420">
        <f t="shared" si="165"/>
        <v>0</v>
      </c>
      <c r="KOO46" s="420">
        <f t="shared" si="165"/>
        <v>0</v>
      </c>
      <c r="KOP46" s="420">
        <f t="shared" si="165"/>
        <v>0</v>
      </c>
      <c r="KOQ46" s="420">
        <f t="shared" si="165"/>
        <v>0</v>
      </c>
      <c r="KOR46" s="420">
        <f t="shared" si="165"/>
        <v>0</v>
      </c>
      <c r="KOS46" s="420">
        <f t="shared" si="165"/>
        <v>0</v>
      </c>
      <c r="KOT46" s="420">
        <f t="shared" si="165"/>
        <v>0</v>
      </c>
      <c r="KOU46" s="420">
        <f t="shared" si="165"/>
        <v>0</v>
      </c>
      <c r="KOV46" s="420">
        <f t="shared" si="165"/>
        <v>0</v>
      </c>
      <c r="KOW46" s="420">
        <f t="shared" si="165"/>
        <v>0</v>
      </c>
      <c r="KOX46" s="420">
        <f t="shared" si="165"/>
        <v>0</v>
      </c>
      <c r="KOY46" s="420">
        <f t="shared" si="165"/>
        <v>0</v>
      </c>
      <c r="KOZ46" s="420">
        <f t="shared" si="165"/>
        <v>0</v>
      </c>
      <c r="KPA46" s="420">
        <f t="shared" si="165"/>
        <v>0</v>
      </c>
      <c r="KPB46" s="420">
        <f t="shared" si="165"/>
        <v>0</v>
      </c>
      <c r="KPC46" s="420">
        <f t="shared" si="165"/>
        <v>0</v>
      </c>
      <c r="KPD46" s="420">
        <f t="shared" si="165"/>
        <v>0</v>
      </c>
      <c r="KPE46" s="420">
        <f t="shared" si="165"/>
        <v>0</v>
      </c>
      <c r="KPF46" s="420">
        <f t="shared" si="165"/>
        <v>0</v>
      </c>
      <c r="KPG46" s="420">
        <f t="shared" si="165"/>
        <v>0</v>
      </c>
      <c r="KPH46" s="420">
        <f t="shared" si="165"/>
        <v>0</v>
      </c>
      <c r="KPI46" s="420">
        <f t="shared" si="165"/>
        <v>0</v>
      </c>
      <c r="KPJ46" s="420">
        <f t="shared" si="165"/>
        <v>0</v>
      </c>
      <c r="KPK46" s="420">
        <f t="shared" si="165"/>
        <v>0</v>
      </c>
      <c r="KPL46" s="420">
        <f t="shared" si="165"/>
        <v>0</v>
      </c>
      <c r="KPM46" s="420">
        <f t="shared" si="165"/>
        <v>0</v>
      </c>
      <c r="KPN46" s="420">
        <f t="shared" si="165"/>
        <v>0</v>
      </c>
      <c r="KPO46" s="420">
        <f t="shared" si="165"/>
        <v>0</v>
      </c>
      <c r="KPP46" s="420">
        <f t="shared" si="165"/>
        <v>0</v>
      </c>
      <c r="KPQ46" s="420">
        <f t="shared" si="165"/>
        <v>0</v>
      </c>
      <c r="KPR46" s="420">
        <f t="shared" si="165"/>
        <v>0</v>
      </c>
      <c r="KPS46" s="420">
        <f t="shared" si="165"/>
        <v>0</v>
      </c>
      <c r="KPT46" s="420">
        <f t="shared" si="165"/>
        <v>0</v>
      </c>
      <c r="KPU46" s="420">
        <f t="shared" si="165"/>
        <v>0</v>
      </c>
      <c r="KPV46" s="420">
        <f t="shared" si="165"/>
        <v>0</v>
      </c>
      <c r="KPW46" s="420">
        <f t="shared" si="165"/>
        <v>0</v>
      </c>
      <c r="KPX46" s="420">
        <f t="shared" si="165"/>
        <v>0</v>
      </c>
      <c r="KPY46" s="420">
        <f t="shared" ref="KPY46:KSJ46" si="166">KPY45*0.8</f>
        <v>0</v>
      </c>
      <c r="KPZ46" s="420">
        <f t="shared" si="166"/>
        <v>0</v>
      </c>
      <c r="KQA46" s="420">
        <f t="shared" si="166"/>
        <v>0</v>
      </c>
      <c r="KQB46" s="420">
        <f t="shared" si="166"/>
        <v>0</v>
      </c>
      <c r="KQC46" s="420">
        <f t="shared" si="166"/>
        <v>0</v>
      </c>
      <c r="KQD46" s="420">
        <f t="shared" si="166"/>
        <v>0</v>
      </c>
      <c r="KQE46" s="420">
        <f t="shared" si="166"/>
        <v>0</v>
      </c>
      <c r="KQF46" s="420">
        <f t="shared" si="166"/>
        <v>0</v>
      </c>
      <c r="KQG46" s="420">
        <f t="shared" si="166"/>
        <v>0</v>
      </c>
      <c r="KQH46" s="420">
        <f t="shared" si="166"/>
        <v>0</v>
      </c>
      <c r="KQI46" s="420">
        <f t="shared" si="166"/>
        <v>0</v>
      </c>
      <c r="KQJ46" s="420">
        <f t="shared" si="166"/>
        <v>0</v>
      </c>
      <c r="KQK46" s="420">
        <f t="shared" si="166"/>
        <v>0</v>
      </c>
      <c r="KQL46" s="420">
        <f t="shared" si="166"/>
        <v>0</v>
      </c>
      <c r="KQM46" s="420">
        <f t="shared" si="166"/>
        <v>0</v>
      </c>
      <c r="KQN46" s="420">
        <f t="shared" si="166"/>
        <v>0</v>
      </c>
      <c r="KQO46" s="420">
        <f t="shared" si="166"/>
        <v>0</v>
      </c>
      <c r="KQP46" s="420">
        <f t="shared" si="166"/>
        <v>0</v>
      </c>
      <c r="KQQ46" s="420">
        <f t="shared" si="166"/>
        <v>0</v>
      </c>
      <c r="KQR46" s="420">
        <f t="shared" si="166"/>
        <v>0</v>
      </c>
      <c r="KQS46" s="420">
        <f t="shared" si="166"/>
        <v>0</v>
      </c>
      <c r="KQT46" s="420">
        <f t="shared" si="166"/>
        <v>0</v>
      </c>
      <c r="KQU46" s="420">
        <f t="shared" si="166"/>
        <v>0</v>
      </c>
      <c r="KQV46" s="420">
        <f t="shared" si="166"/>
        <v>0</v>
      </c>
      <c r="KQW46" s="420">
        <f t="shared" si="166"/>
        <v>0</v>
      </c>
      <c r="KQX46" s="420">
        <f t="shared" si="166"/>
        <v>0</v>
      </c>
      <c r="KQY46" s="420">
        <f t="shared" si="166"/>
        <v>0</v>
      </c>
      <c r="KQZ46" s="420">
        <f t="shared" si="166"/>
        <v>0</v>
      </c>
      <c r="KRA46" s="420">
        <f t="shared" si="166"/>
        <v>0</v>
      </c>
      <c r="KRB46" s="420">
        <f t="shared" si="166"/>
        <v>0</v>
      </c>
      <c r="KRC46" s="420">
        <f t="shared" si="166"/>
        <v>0</v>
      </c>
      <c r="KRD46" s="420">
        <f t="shared" si="166"/>
        <v>0</v>
      </c>
      <c r="KRE46" s="420">
        <f t="shared" si="166"/>
        <v>0</v>
      </c>
      <c r="KRF46" s="420">
        <f t="shared" si="166"/>
        <v>0</v>
      </c>
      <c r="KRG46" s="420">
        <f t="shared" si="166"/>
        <v>0</v>
      </c>
      <c r="KRH46" s="420">
        <f t="shared" si="166"/>
        <v>0</v>
      </c>
      <c r="KRI46" s="420">
        <f t="shared" si="166"/>
        <v>0</v>
      </c>
      <c r="KRJ46" s="420">
        <f t="shared" si="166"/>
        <v>0</v>
      </c>
      <c r="KRK46" s="420">
        <f t="shared" si="166"/>
        <v>0</v>
      </c>
      <c r="KRL46" s="420">
        <f t="shared" si="166"/>
        <v>0</v>
      </c>
      <c r="KRM46" s="420">
        <f t="shared" si="166"/>
        <v>0</v>
      </c>
      <c r="KRN46" s="420">
        <f t="shared" si="166"/>
        <v>0</v>
      </c>
      <c r="KRO46" s="420">
        <f t="shared" si="166"/>
        <v>0</v>
      </c>
      <c r="KRP46" s="420">
        <f t="shared" si="166"/>
        <v>0</v>
      </c>
      <c r="KRQ46" s="420">
        <f t="shared" si="166"/>
        <v>0</v>
      </c>
      <c r="KRR46" s="420">
        <f t="shared" si="166"/>
        <v>0</v>
      </c>
      <c r="KRS46" s="420">
        <f t="shared" si="166"/>
        <v>0</v>
      </c>
      <c r="KRT46" s="420">
        <f t="shared" si="166"/>
        <v>0</v>
      </c>
      <c r="KRU46" s="420">
        <f t="shared" si="166"/>
        <v>0</v>
      </c>
      <c r="KRV46" s="420">
        <f t="shared" si="166"/>
        <v>0</v>
      </c>
      <c r="KRW46" s="420">
        <f t="shared" si="166"/>
        <v>0</v>
      </c>
      <c r="KRX46" s="420">
        <f t="shared" si="166"/>
        <v>0</v>
      </c>
      <c r="KRY46" s="420">
        <f t="shared" si="166"/>
        <v>0</v>
      </c>
      <c r="KRZ46" s="420">
        <f t="shared" si="166"/>
        <v>0</v>
      </c>
      <c r="KSA46" s="420">
        <f t="shared" si="166"/>
        <v>0</v>
      </c>
      <c r="KSB46" s="420">
        <f t="shared" si="166"/>
        <v>0</v>
      </c>
      <c r="KSC46" s="420">
        <f t="shared" si="166"/>
        <v>0</v>
      </c>
      <c r="KSD46" s="420">
        <f t="shared" si="166"/>
        <v>0</v>
      </c>
      <c r="KSE46" s="420">
        <f t="shared" si="166"/>
        <v>0</v>
      </c>
      <c r="KSF46" s="420">
        <f t="shared" si="166"/>
        <v>0</v>
      </c>
      <c r="KSG46" s="420">
        <f t="shared" si="166"/>
        <v>0</v>
      </c>
      <c r="KSH46" s="420">
        <f t="shared" si="166"/>
        <v>0</v>
      </c>
      <c r="KSI46" s="420">
        <f t="shared" si="166"/>
        <v>0</v>
      </c>
      <c r="KSJ46" s="420">
        <f t="shared" si="166"/>
        <v>0</v>
      </c>
      <c r="KSK46" s="420">
        <f t="shared" ref="KSK46:KUV46" si="167">KSK45*0.8</f>
        <v>0</v>
      </c>
      <c r="KSL46" s="420">
        <f t="shared" si="167"/>
        <v>0</v>
      </c>
      <c r="KSM46" s="420">
        <f t="shared" si="167"/>
        <v>0</v>
      </c>
      <c r="KSN46" s="420">
        <f t="shared" si="167"/>
        <v>0</v>
      </c>
      <c r="KSO46" s="420">
        <f t="shared" si="167"/>
        <v>0</v>
      </c>
      <c r="KSP46" s="420">
        <f t="shared" si="167"/>
        <v>0</v>
      </c>
      <c r="KSQ46" s="420">
        <f t="shared" si="167"/>
        <v>0</v>
      </c>
      <c r="KSR46" s="420">
        <f t="shared" si="167"/>
        <v>0</v>
      </c>
      <c r="KSS46" s="420">
        <f t="shared" si="167"/>
        <v>0</v>
      </c>
      <c r="KST46" s="420">
        <f t="shared" si="167"/>
        <v>0</v>
      </c>
      <c r="KSU46" s="420">
        <f t="shared" si="167"/>
        <v>0</v>
      </c>
      <c r="KSV46" s="420">
        <f t="shared" si="167"/>
        <v>0</v>
      </c>
      <c r="KSW46" s="420">
        <f t="shared" si="167"/>
        <v>0</v>
      </c>
      <c r="KSX46" s="420">
        <f t="shared" si="167"/>
        <v>0</v>
      </c>
      <c r="KSY46" s="420">
        <f t="shared" si="167"/>
        <v>0</v>
      </c>
      <c r="KSZ46" s="420">
        <f t="shared" si="167"/>
        <v>0</v>
      </c>
      <c r="KTA46" s="420">
        <f t="shared" si="167"/>
        <v>0</v>
      </c>
      <c r="KTB46" s="420">
        <f t="shared" si="167"/>
        <v>0</v>
      </c>
      <c r="KTC46" s="420">
        <f t="shared" si="167"/>
        <v>0</v>
      </c>
      <c r="KTD46" s="420">
        <f t="shared" si="167"/>
        <v>0</v>
      </c>
      <c r="KTE46" s="420">
        <f t="shared" si="167"/>
        <v>0</v>
      </c>
      <c r="KTF46" s="420">
        <f t="shared" si="167"/>
        <v>0</v>
      </c>
      <c r="KTG46" s="420">
        <f t="shared" si="167"/>
        <v>0</v>
      </c>
      <c r="KTH46" s="420">
        <f t="shared" si="167"/>
        <v>0</v>
      </c>
      <c r="KTI46" s="420">
        <f t="shared" si="167"/>
        <v>0</v>
      </c>
      <c r="KTJ46" s="420">
        <f t="shared" si="167"/>
        <v>0</v>
      </c>
      <c r="KTK46" s="420">
        <f t="shared" si="167"/>
        <v>0</v>
      </c>
      <c r="KTL46" s="420">
        <f t="shared" si="167"/>
        <v>0</v>
      </c>
      <c r="KTM46" s="420">
        <f t="shared" si="167"/>
        <v>0</v>
      </c>
      <c r="KTN46" s="420">
        <f t="shared" si="167"/>
        <v>0</v>
      </c>
      <c r="KTO46" s="420">
        <f t="shared" si="167"/>
        <v>0</v>
      </c>
      <c r="KTP46" s="420">
        <f t="shared" si="167"/>
        <v>0</v>
      </c>
      <c r="KTQ46" s="420">
        <f t="shared" si="167"/>
        <v>0</v>
      </c>
      <c r="KTR46" s="420">
        <f t="shared" si="167"/>
        <v>0</v>
      </c>
      <c r="KTS46" s="420">
        <f t="shared" si="167"/>
        <v>0</v>
      </c>
      <c r="KTT46" s="420">
        <f t="shared" si="167"/>
        <v>0</v>
      </c>
      <c r="KTU46" s="420">
        <f t="shared" si="167"/>
        <v>0</v>
      </c>
      <c r="KTV46" s="420">
        <f t="shared" si="167"/>
        <v>0</v>
      </c>
      <c r="KTW46" s="420">
        <f t="shared" si="167"/>
        <v>0</v>
      </c>
      <c r="KTX46" s="420">
        <f t="shared" si="167"/>
        <v>0</v>
      </c>
      <c r="KTY46" s="420">
        <f t="shared" si="167"/>
        <v>0</v>
      </c>
      <c r="KTZ46" s="420">
        <f t="shared" si="167"/>
        <v>0</v>
      </c>
      <c r="KUA46" s="420">
        <f t="shared" si="167"/>
        <v>0</v>
      </c>
      <c r="KUB46" s="420">
        <f t="shared" si="167"/>
        <v>0</v>
      </c>
      <c r="KUC46" s="420">
        <f t="shared" si="167"/>
        <v>0</v>
      </c>
      <c r="KUD46" s="420">
        <f t="shared" si="167"/>
        <v>0</v>
      </c>
      <c r="KUE46" s="420">
        <f t="shared" si="167"/>
        <v>0</v>
      </c>
      <c r="KUF46" s="420">
        <f t="shared" si="167"/>
        <v>0</v>
      </c>
      <c r="KUG46" s="420">
        <f t="shared" si="167"/>
        <v>0</v>
      </c>
      <c r="KUH46" s="420">
        <f t="shared" si="167"/>
        <v>0</v>
      </c>
      <c r="KUI46" s="420">
        <f t="shared" si="167"/>
        <v>0</v>
      </c>
      <c r="KUJ46" s="420">
        <f t="shared" si="167"/>
        <v>0</v>
      </c>
      <c r="KUK46" s="420">
        <f t="shared" si="167"/>
        <v>0</v>
      </c>
      <c r="KUL46" s="420">
        <f t="shared" si="167"/>
        <v>0</v>
      </c>
      <c r="KUM46" s="420">
        <f t="shared" si="167"/>
        <v>0</v>
      </c>
      <c r="KUN46" s="420">
        <f t="shared" si="167"/>
        <v>0</v>
      </c>
      <c r="KUO46" s="420">
        <f t="shared" si="167"/>
        <v>0</v>
      </c>
      <c r="KUP46" s="420">
        <f t="shared" si="167"/>
        <v>0</v>
      </c>
      <c r="KUQ46" s="420">
        <f t="shared" si="167"/>
        <v>0</v>
      </c>
      <c r="KUR46" s="420">
        <f t="shared" si="167"/>
        <v>0</v>
      </c>
      <c r="KUS46" s="420">
        <f t="shared" si="167"/>
        <v>0</v>
      </c>
      <c r="KUT46" s="420">
        <f t="shared" si="167"/>
        <v>0</v>
      </c>
      <c r="KUU46" s="420">
        <f t="shared" si="167"/>
        <v>0</v>
      </c>
      <c r="KUV46" s="420">
        <f t="shared" si="167"/>
        <v>0</v>
      </c>
      <c r="KUW46" s="420">
        <f t="shared" ref="KUW46:KXH46" si="168">KUW45*0.8</f>
        <v>0</v>
      </c>
      <c r="KUX46" s="420">
        <f t="shared" si="168"/>
        <v>0</v>
      </c>
      <c r="KUY46" s="420">
        <f t="shared" si="168"/>
        <v>0</v>
      </c>
      <c r="KUZ46" s="420">
        <f t="shared" si="168"/>
        <v>0</v>
      </c>
      <c r="KVA46" s="420">
        <f t="shared" si="168"/>
        <v>0</v>
      </c>
      <c r="KVB46" s="420">
        <f t="shared" si="168"/>
        <v>0</v>
      </c>
      <c r="KVC46" s="420">
        <f t="shared" si="168"/>
        <v>0</v>
      </c>
      <c r="KVD46" s="420">
        <f t="shared" si="168"/>
        <v>0</v>
      </c>
      <c r="KVE46" s="420">
        <f t="shared" si="168"/>
        <v>0</v>
      </c>
      <c r="KVF46" s="420">
        <f t="shared" si="168"/>
        <v>0</v>
      </c>
      <c r="KVG46" s="420">
        <f t="shared" si="168"/>
        <v>0</v>
      </c>
      <c r="KVH46" s="420">
        <f t="shared" si="168"/>
        <v>0</v>
      </c>
      <c r="KVI46" s="420">
        <f t="shared" si="168"/>
        <v>0</v>
      </c>
      <c r="KVJ46" s="420">
        <f t="shared" si="168"/>
        <v>0</v>
      </c>
      <c r="KVK46" s="420">
        <f t="shared" si="168"/>
        <v>0</v>
      </c>
      <c r="KVL46" s="420">
        <f t="shared" si="168"/>
        <v>0</v>
      </c>
      <c r="KVM46" s="420">
        <f t="shared" si="168"/>
        <v>0</v>
      </c>
      <c r="KVN46" s="420">
        <f t="shared" si="168"/>
        <v>0</v>
      </c>
      <c r="KVO46" s="420">
        <f t="shared" si="168"/>
        <v>0</v>
      </c>
      <c r="KVP46" s="420">
        <f t="shared" si="168"/>
        <v>0</v>
      </c>
      <c r="KVQ46" s="420">
        <f t="shared" si="168"/>
        <v>0</v>
      </c>
      <c r="KVR46" s="420">
        <f t="shared" si="168"/>
        <v>0</v>
      </c>
      <c r="KVS46" s="420">
        <f t="shared" si="168"/>
        <v>0</v>
      </c>
      <c r="KVT46" s="420">
        <f t="shared" si="168"/>
        <v>0</v>
      </c>
      <c r="KVU46" s="420">
        <f t="shared" si="168"/>
        <v>0</v>
      </c>
      <c r="KVV46" s="420">
        <f t="shared" si="168"/>
        <v>0</v>
      </c>
      <c r="KVW46" s="420">
        <f t="shared" si="168"/>
        <v>0</v>
      </c>
      <c r="KVX46" s="420">
        <f t="shared" si="168"/>
        <v>0</v>
      </c>
      <c r="KVY46" s="420">
        <f t="shared" si="168"/>
        <v>0</v>
      </c>
      <c r="KVZ46" s="420">
        <f t="shared" si="168"/>
        <v>0</v>
      </c>
      <c r="KWA46" s="420">
        <f t="shared" si="168"/>
        <v>0</v>
      </c>
      <c r="KWB46" s="420">
        <f t="shared" si="168"/>
        <v>0</v>
      </c>
      <c r="KWC46" s="420">
        <f t="shared" si="168"/>
        <v>0</v>
      </c>
      <c r="KWD46" s="420">
        <f t="shared" si="168"/>
        <v>0</v>
      </c>
      <c r="KWE46" s="420">
        <f t="shared" si="168"/>
        <v>0</v>
      </c>
      <c r="KWF46" s="420">
        <f t="shared" si="168"/>
        <v>0</v>
      </c>
      <c r="KWG46" s="420">
        <f t="shared" si="168"/>
        <v>0</v>
      </c>
      <c r="KWH46" s="420">
        <f t="shared" si="168"/>
        <v>0</v>
      </c>
      <c r="KWI46" s="420">
        <f t="shared" si="168"/>
        <v>0</v>
      </c>
      <c r="KWJ46" s="420">
        <f t="shared" si="168"/>
        <v>0</v>
      </c>
      <c r="KWK46" s="420">
        <f t="shared" si="168"/>
        <v>0</v>
      </c>
      <c r="KWL46" s="420">
        <f t="shared" si="168"/>
        <v>0</v>
      </c>
      <c r="KWM46" s="420">
        <f t="shared" si="168"/>
        <v>0</v>
      </c>
      <c r="KWN46" s="420">
        <f t="shared" si="168"/>
        <v>0</v>
      </c>
      <c r="KWO46" s="420">
        <f t="shared" si="168"/>
        <v>0</v>
      </c>
      <c r="KWP46" s="420">
        <f t="shared" si="168"/>
        <v>0</v>
      </c>
      <c r="KWQ46" s="420">
        <f t="shared" si="168"/>
        <v>0</v>
      </c>
      <c r="KWR46" s="420">
        <f t="shared" si="168"/>
        <v>0</v>
      </c>
      <c r="KWS46" s="420">
        <f t="shared" si="168"/>
        <v>0</v>
      </c>
      <c r="KWT46" s="420">
        <f t="shared" si="168"/>
        <v>0</v>
      </c>
      <c r="KWU46" s="420">
        <f t="shared" si="168"/>
        <v>0</v>
      </c>
      <c r="KWV46" s="420">
        <f t="shared" si="168"/>
        <v>0</v>
      </c>
      <c r="KWW46" s="420">
        <f t="shared" si="168"/>
        <v>0</v>
      </c>
      <c r="KWX46" s="420">
        <f t="shared" si="168"/>
        <v>0</v>
      </c>
      <c r="KWY46" s="420">
        <f t="shared" si="168"/>
        <v>0</v>
      </c>
      <c r="KWZ46" s="420">
        <f t="shared" si="168"/>
        <v>0</v>
      </c>
      <c r="KXA46" s="420">
        <f t="shared" si="168"/>
        <v>0</v>
      </c>
      <c r="KXB46" s="420">
        <f t="shared" si="168"/>
        <v>0</v>
      </c>
      <c r="KXC46" s="420">
        <f t="shared" si="168"/>
        <v>0</v>
      </c>
      <c r="KXD46" s="420">
        <f t="shared" si="168"/>
        <v>0</v>
      </c>
      <c r="KXE46" s="420">
        <f t="shared" si="168"/>
        <v>0</v>
      </c>
      <c r="KXF46" s="420">
        <f t="shared" si="168"/>
        <v>0</v>
      </c>
      <c r="KXG46" s="420">
        <f t="shared" si="168"/>
        <v>0</v>
      </c>
      <c r="KXH46" s="420">
        <f t="shared" si="168"/>
        <v>0</v>
      </c>
      <c r="KXI46" s="420">
        <f t="shared" ref="KXI46:KZT46" si="169">KXI45*0.8</f>
        <v>0</v>
      </c>
      <c r="KXJ46" s="420">
        <f t="shared" si="169"/>
        <v>0</v>
      </c>
      <c r="KXK46" s="420">
        <f t="shared" si="169"/>
        <v>0</v>
      </c>
      <c r="KXL46" s="420">
        <f t="shared" si="169"/>
        <v>0</v>
      </c>
      <c r="KXM46" s="420">
        <f t="shared" si="169"/>
        <v>0</v>
      </c>
      <c r="KXN46" s="420">
        <f t="shared" si="169"/>
        <v>0</v>
      </c>
      <c r="KXO46" s="420">
        <f t="shared" si="169"/>
        <v>0</v>
      </c>
      <c r="KXP46" s="420">
        <f t="shared" si="169"/>
        <v>0</v>
      </c>
      <c r="KXQ46" s="420">
        <f t="shared" si="169"/>
        <v>0</v>
      </c>
      <c r="KXR46" s="420">
        <f t="shared" si="169"/>
        <v>0</v>
      </c>
      <c r="KXS46" s="420">
        <f t="shared" si="169"/>
        <v>0</v>
      </c>
      <c r="KXT46" s="420">
        <f t="shared" si="169"/>
        <v>0</v>
      </c>
      <c r="KXU46" s="420">
        <f t="shared" si="169"/>
        <v>0</v>
      </c>
      <c r="KXV46" s="420">
        <f t="shared" si="169"/>
        <v>0</v>
      </c>
      <c r="KXW46" s="420">
        <f t="shared" si="169"/>
        <v>0</v>
      </c>
      <c r="KXX46" s="420">
        <f t="shared" si="169"/>
        <v>0</v>
      </c>
      <c r="KXY46" s="420">
        <f t="shared" si="169"/>
        <v>0</v>
      </c>
      <c r="KXZ46" s="420">
        <f t="shared" si="169"/>
        <v>0</v>
      </c>
      <c r="KYA46" s="420">
        <f t="shared" si="169"/>
        <v>0</v>
      </c>
      <c r="KYB46" s="420">
        <f t="shared" si="169"/>
        <v>0</v>
      </c>
      <c r="KYC46" s="420">
        <f t="shared" si="169"/>
        <v>0</v>
      </c>
      <c r="KYD46" s="420">
        <f t="shared" si="169"/>
        <v>0</v>
      </c>
      <c r="KYE46" s="420">
        <f t="shared" si="169"/>
        <v>0</v>
      </c>
      <c r="KYF46" s="420">
        <f t="shared" si="169"/>
        <v>0</v>
      </c>
      <c r="KYG46" s="420">
        <f t="shared" si="169"/>
        <v>0</v>
      </c>
      <c r="KYH46" s="420">
        <f t="shared" si="169"/>
        <v>0</v>
      </c>
      <c r="KYI46" s="420">
        <f t="shared" si="169"/>
        <v>0</v>
      </c>
      <c r="KYJ46" s="420">
        <f t="shared" si="169"/>
        <v>0</v>
      </c>
      <c r="KYK46" s="420">
        <f t="shared" si="169"/>
        <v>0</v>
      </c>
      <c r="KYL46" s="420">
        <f t="shared" si="169"/>
        <v>0</v>
      </c>
      <c r="KYM46" s="420">
        <f t="shared" si="169"/>
        <v>0</v>
      </c>
      <c r="KYN46" s="420">
        <f t="shared" si="169"/>
        <v>0</v>
      </c>
      <c r="KYO46" s="420">
        <f t="shared" si="169"/>
        <v>0</v>
      </c>
      <c r="KYP46" s="420">
        <f t="shared" si="169"/>
        <v>0</v>
      </c>
      <c r="KYQ46" s="420">
        <f t="shared" si="169"/>
        <v>0</v>
      </c>
      <c r="KYR46" s="420">
        <f t="shared" si="169"/>
        <v>0</v>
      </c>
      <c r="KYS46" s="420">
        <f t="shared" si="169"/>
        <v>0</v>
      </c>
      <c r="KYT46" s="420">
        <f t="shared" si="169"/>
        <v>0</v>
      </c>
      <c r="KYU46" s="420">
        <f t="shared" si="169"/>
        <v>0</v>
      </c>
      <c r="KYV46" s="420">
        <f t="shared" si="169"/>
        <v>0</v>
      </c>
      <c r="KYW46" s="420">
        <f t="shared" si="169"/>
        <v>0</v>
      </c>
      <c r="KYX46" s="420">
        <f t="shared" si="169"/>
        <v>0</v>
      </c>
      <c r="KYY46" s="420">
        <f t="shared" si="169"/>
        <v>0</v>
      </c>
      <c r="KYZ46" s="420">
        <f t="shared" si="169"/>
        <v>0</v>
      </c>
      <c r="KZA46" s="420">
        <f t="shared" si="169"/>
        <v>0</v>
      </c>
      <c r="KZB46" s="420">
        <f t="shared" si="169"/>
        <v>0</v>
      </c>
      <c r="KZC46" s="420">
        <f t="shared" si="169"/>
        <v>0</v>
      </c>
      <c r="KZD46" s="420">
        <f t="shared" si="169"/>
        <v>0</v>
      </c>
      <c r="KZE46" s="420">
        <f t="shared" si="169"/>
        <v>0</v>
      </c>
      <c r="KZF46" s="420">
        <f t="shared" si="169"/>
        <v>0</v>
      </c>
      <c r="KZG46" s="420">
        <f t="shared" si="169"/>
        <v>0</v>
      </c>
      <c r="KZH46" s="420">
        <f t="shared" si="169"/>
        <v>0</v>
      </c>
      <c r="KZI46" s="420">
        <f t="shared" si="169"/>
        <v>0</v>
      </c>
      <c r="KZJ46" s="420">
        <f t="shared" si="169"/>
        <v>0</v>
      </c>
      <c r="KZK46" s="420">
        <f t="shared" si="169"/>
        <v>0</v>
      </c>
      <c r="KZL46" s="420">
        <f t="shared" si="169"/>
        <v>0</v>
      </c>
      <c r="KZM46" s="420">
        <f t="shared" si="169"/>
        <v>0</v>
      </c>
      <c r="KZN46" s="420">
        <f t="shared" si="169"/>
        <v>0</v>
      </c>
      <c r="KZO46" s="420">
        <f t="shared" si="169"/>
        <v>0</v>
      </c>
      <c r="KZP46" s="420">
        <f t="shared" si="169"/>
        <v>0</v>
      </c>
      <c r="KZQ46" s="420">
        <f t="shared" si="169"/>
        <v>0</v>
      </c>
      <c r="KZR46" s="420">
        <f t="shared" si="169"/>
        <v>0</v>
      </c>
      <c r="KZS46" s="420">
        <f t="shared" si="169"/>
        <v>0</v>
      </c>
      <c r="KZT46" s="420">
        <f t="shared" si="169"/>
        <v>0</v>
      </c>
      <c r="KZU46" s="420">
        <f t="shared" ref="KZU46:LCF46" si="170">KZU45*0.8</f>
        <v>0</v>
      </c>
      <c r="KZV46" s="420">
        <f t="shared" si="170"/>
        <v>0</v>
      </c>
      <c r="KZW46" s="420">
        <f t="shared" si="170"/>
        <v>0</v>
      </c>
      <c r="KZX46" s="420">
        <f t="shared" si="170"/>
        <v>0</v>
      </c>
      <c r="KZY46" s="420">
        <f t="shared" si="170"/>
        <v>0</v>
      </c>
      <c r="KZZ46" s="420">
        <f t="shared" si="170"/>
        <v>0</v>
      </c>
      <c r="LAA46" s="420">
        <f t="shared" si="170"/>
        <v>0</v>
      </c>
      <c r="LAB46" s="420">
        <f t="shared" si="170"/>
        <v>0</v>
      </c>
      <c r="LAC46" s="420">
        <f t="shared" si="170"/>
        <v>0</v>
      </c>
      <c r="LAD46" s="420">
        <f t="shared" si="170"/>
        <v>0</v>
      </c>
      <c r="LAE46" s="420">
        <f t="shared" si="170"/>
        <v>0</v>
      </c>
      <c r="LAF46" s="420">
        <f t="shared" si="170"/>
        <v>0</v>
      </c>
      <c r="LAG46" s="420">
        <f t="shared" si="170"/>
        <v>0</v>
      </c>
      <c r="LAH46" s="420">
        <f t="shared" si="170"/>
        <v>0</v>
      </c>
      <c r="LAI46" s="420">
        <f t="shared" si="170"/>
        <v>0</v>
      </c>
      <c r="LAJ46" s="420">
        <f t="shared" si="170"/>
        <v>0</v>
      </c>
      <c r="LAK46" s="420">
        <f t="shared" si="170"/>
        <v>0</v>
      </c>
      <c r="LAL46" s="420">
        <f t="shared" si="170"/>
        <v>0</v>
      </c>
      <c r="LAM46" s="420">
        <f t="shared" si="170"/>
        <v>0</v>
      </c>
      <c r="LAN46" s="420">
        <f t="shared" si="170"/>
        <v>0</v>
      </c>
      <c r="LAO46" s="420">
        <f t="shared" si="170"/>
        <v>0</v>
      </c>
      <c r="LAP46" s="420">
        <f t="shared" si="170"/>
        <v>0</v>
      </c>
      <c r="LAQ46" s="420">
        <f t="shared" si="170"/>
        <v>0</v>
      </c>
      <c r="LAR46" s="420">
        <f t="shared" si="170"/>
        <v>0</v>
      </c>
      <c r="LAS46" s="420">
        <f t="shared" si="170"/>
        <v>0</v>
      </c>
      <c r="LAT46" s="420">
        <f t="shared" si="170"/>
        <v>0</v>
      </c>
      <c r="LAU46" s="420">
        <f t="shared" si="170"/>
        <v>0</v>
      </c>
      <c r="LAV46" s="420">
        <f t="shared" si="170"/>
        <v>0</v>
      </c>
      <c r="LAW46" s="420">
        <f t="shared" si="170"/>
        <v>0</v>
      </c>
      <c r="LAX46" s="420">
        <f t="shared" si="170"/>
        <v>0</v>
      </c>
      <c r="LAY46" s="420">
        <f t="shared" si="170"/>
        <v>0</v>
      </c>
      <c r="LAZ46" s="420">
        <f t="shared" si="170"/>
        <v>0</v>
      </c>
      <c r="LBA46" s="420">
        <f t="shared" si="170"/>
        <v>0</v>
      </c>
      <c r="LBB46" s="420">
        <f t="shared" si="170"/>
        <v>0</v>
      </c>
      <c r="LBC46" s="420">
        <f t="shared" si="170"/>
        <v>0</v>
      </c>
      <c r="LBD46" s="420">
        <f t="shared" si="170"/>
        <v>0</v>
      </c>
      <c r="LBE46" s="420">
        <f t="shared" si="170"/>
        <v>0</v>
      </c>
      <c r="LBF46" s="420">
        <f t="shared" si="170"/>
        <v>0</v>
      </c>
      <c r="LBG46" s="420">
        <f t="shared" si="170"/>
        <v>0</v>
      </c>
      <c r="LBH46" s="420">
        <f t="shared" si="170"/>
        <v>0</v>
      </c>
      <c r="LBI46" s="420">
        <f t="shared" si="170"/>
        <v>0</v>
      </c>
      <c r="LBJ46" s="420">
        <f t="shared" si="170"/>
        <v>0</v>
      </c>
      <c r="LBK46" s="420">
        <f t="shared" si="170"/>
        <v>0</v>
      </c>
      <c r="LBL46" s="420">
        <f t="shared" si="170"/>
        <v>0</v>
      </c>
      <c r="LBM46" s="420">
        <f t="shared" si="170"/>
        <v>0</v>
      </c>
      <c r="LBN46" s="420">
        <f t="shared" si="170"/>
        <v>0</v>
      </c>
      <c r="LBO46" s="420">
        <f t="shared" si="170"/>
        <v>0</v>
      </c>
      <c r="LBP46" s="420">
        <f t="shared" si="170"/>
        <v>0</v>
      </c>
      <c r="LBQ46" s="420">
        <f t="shared" si="170"/>
        <v>0</v>
      </c>
      <c r="LBR46" s="420">
        <f t="shared" si="170"/>
        <v>0</v>
      </c>
      <c r="LBS46" s="420">
        <f t="shared" si="170"/>
        <v>0</v>
      </c>
      <c r="LBT46" s="420">
        <f t="shared" si="170"/>
        <v>0</v>
      </c>
      <c r="LBU46" s="420">
        <f t="shared" si="170"/>
        <v>0</v>
      </c>
      <c r="LBV46" s="420">
        <f t="shared" si="170"/>
        <v>0</v>
      </c>
      <c r="LBW46" s="420">
        <f t="shared" si="170"/>
        <v>0</v>
      </c>
      <c r="LBX46" s="420">
        <f t="shared" si="170"/>
        <v>0</v>
      </c>
      <c r="LBY46" s="420">
        <f t="shared" si="170"/>
        <v>0</v>
      </c>
      <c r="LBZ46" s="420">
        <f t="shared" si="170"/>
        <v>0</v>
      </c>
      <c r="LCA46" s="420">
        <f t="shared" si="170"/>
        <v>0</v>
      </c>
      <c r="LCB46" s="420">
        <f t="shared" si="170"/>
        <v>0</v>
      </c>
      <c r="LCC46" s="420">
        <f t="shared" si="170"/>
        <v>0</v>
      </c>
      <c r="LCD46" s="420">
        <f t="shared" si="170"/>
        <v>0</v>
      </c>
      <c r="LCE46" s="420">
        <f t="shared" si="170"/>
        <v>0</v>
      </c>
      <c r="LCF46" s="420">
        <f t="shared" si="170"/>
        <v>0</v>
      </c>
      <c r="LCG46" s="420">
        <f t="shared" ref="LCG46:LER46" si="171">LCG45*0.8</f>
        <v>0</v>
      </c>
      <c r="LCH46" s="420">
        <f t="shared" si="171"/>
        <v>0</v>
      </c>
      <c r="LCI46" s="420">
        <f t="shared" si="171"/>
        <v>0</v>
      </c>
      <c r="LCJ46" s="420">
        <f t="shared" si="171"/>
        <v>0</v>
      </c>
      <c r="LCK46" s="420">
        <f t="shared" si="171"/>
        <v>0</v>
      </c>
      <c r="LCL46" s="420">
        <f t="shared" si="171"/>
        <v>0</v>
      </c>
      <c r="LCM46" s="420">
        <f t="shared" si="171"/>
        <v>0</v>
      </c>
      <c r="LCN46" s="420">
        <f t="shared" si="171"/>
        <v>0</v>
      </c>
      <c r="LCO46" s="420">
        <f t="shared" si="171"/>
        <v>0</v>
      </c>
      <c r="LCP46" s="420">
        <f t="shared" si="171"/>
        <v>0</v>
      </c>
      <c r="LCQ46" s="420">
        <f t="shared" si="171"/>
        <v>0</v>
      </c>
      <c r="LCR46" s="420">
        <f t="shared" si="171"/>
        <v>0</v>
      </c>
      <c r="LCS46" s="420">
        <f t="shared" si="171"/>
        <v>0</v>
      </c>
      <c r="LCT46" s="420">
        <f t="shared" si="171"/>
        <v>0</v>
      </c>
      <c r="LCU46" s="420">
        <f t="shared" si="171"/>
        <v>0</v>
      </c>
      <c r="LCV46" s="420">
        <f t="shared" si="171"/>
        <v>0</v>
      </c>
      <c r="LCW46" s="420">
        <f t="shared" si="171"/>
        <v>0</v>
      </c>
      <c r="LCX46" s="420">
        <f t="shared" si="171"/>
        <v>0</v>
      </c>
      <c r="LCY46" s="420">
        <f t="shared" si="171"/>
        <v>0</v>
      </c>
      <c r="LCZ46" s="420">
        <f t="shared" si="171"/>
        <v>0</v>
      </c>
      <c r="LDA46" s="420">
        <f t="shared" si="171"/>
        <v>0</v>
      </c>
      <c r="LDB46" s="420">
        <f t="shared" si="171"/>
        <v>0</v>
      </c>
      <c r="LDC46" s="420">
        <f t="shared" si="171"/>
        <v>0</v>
      </c>
      <c r="LDD46" s="420">
        <f t="shared" si="171"/>
        <v>0</v>
      </c>
      <c r="LDE46" s="420">
        <f t="shared" si="171"/>
        <v>0</v>
      </c>
      <c r="LDF46" s="420">
        <f t="shared" si="171"/>
        <v>0</v>
      </c>
      <c r="LDG46" s="420">
        <f t="shared" si="171"/>
        <v>0</v>
      </c>
      <c r="LDH46" s="420">
        <f t="shared" si="171"/>
        <v>0</v>
      </c>
      <c r="LDI46" s="420">
        <f t="shared" si="171"/>
        <v>0</v>
      </c>
      <c r="LDJ46" s="420">
        <f t="shared" si="171"/>
        <v>0</v>
      </c>
      <c r="LDK46" s="420">
        <f t="shared" si="171"/>
        <v>0</v>
      </c>
      <c r="LDL46" s="420">
        <f t="shared" si="171"/>
        <v>0</v>
      </c>
      <c r="LDM46" s="420">
        <f t="shared" si="171"/>
        <v>0</v>
      </c>
      <c r="LDN46" s="420">
        <f t="shared" si="171"/>
        <v>0</v>
      </c>
      <c r="LDO46" s="420">
        <f t="shared" si="171"/>
        <v>0</v>
      </c>
      <c r="LDP46" s="420">
        <f t="shared" si="171"/>
        <v>0</v>
      </c>
      <c r="LDQ46" s="420">
        <f t="shared" si="171"/>
        <v>0</v>
      </c>
      <c r="LDR46" s="420">
        <f t="shared" si="171"/>
        <v>0</v>
      </c>
      <c r="LDS46" s="420">
        <f t="shared" si="171"/>
        <v>0</v>
      </c>
      <c r="LDT46" s="420">
        <f t="shared" si="171"/>
        <v>0</v>
      </c>
      <c r="LDU46" s="420">
        <f t="shared" si="171"/>
        <v>0</v>
      </c>
      <c r="LDV46" s="420">
        <f t="shared" si="171"/>
        <v>0</v>
      </c>
      <c r="LDW46" s="420">
        <f t="shared" si="171"/>
        <v>0</v>
      </c>
      <c r="LDX46" s="420">
        <f t="shared" si="171"/>
        <v>0</v>
      </c>
      <c r="LDY46" s="420">
        <f t="shared" si="171"/>
        <v>0</v>
      </c>
      <c r="LDZ46" s="420">
        <f t="shared" si="171"/>
        <v>0</v>
      </c>
      <c r="LEA46" s="420">
        <f t="shared" si="171"/>
        <v>0</v>
      </c>
      <c r="LEB46" s="420">
        <f t="shared" si="171"/>
        <v>0</v>
      </c>
      <c r="LEC46" s="420">
        <f t="shared" si="171"/>
        <v>0</v>
      </c>
      <c r="LED46" s="420">
        <f t="shared" si="171"/>
        <v>0</v>
      </c>
      <c r="LEE46" s="420">
        <f t="shared" si="171"/>
        <v>0</v>
      </c>
      <c r="LEF46" s="420">
        <f t="shared" si="171"/>
        <v>0</v>
      </c>
      <c r="LEG46" s="420">
        <f t="shared" si="171"/>
        <v>0</v>
      </c>
      <c r="LEH46" s="420">
        <f t="shared" si="171"/>
        <v>0</v>
      </c>
      <c r="LEI46" s="420">
        <f t="shared" si="171"/>
        <v>0</v>
      </c>
      <c r="LEJ46" s="420">
        <f t="shared" si="171"/>
        <v>0</v>
      </c>
      <c r="LEK46" s="420">
        <f t="shared" si="171"/>
        <v>0</v>
      </c>
      <c r="LEL46" s="420">
        <f t="shared" si="171"/>
        <v>0</v>
      </c>
      <c r="LEM46" s="420">
        <f t="shared" si="171"/>
        <v>0</v>
      </c>
      <c r="LEN46" s="420">
        <f t="shared" si="171"/>
        <v>0</v>
      </c>
      <c r="LEO46" s="420">
        <f t="shared" si="171"/>
        <v>0</v>
      </c>
      <c r="LEP46" s="420">
        <f t="shared" si="171"/>
        <v>0</v>
      </c>
      <c r="LEQ46" s="420">
        <f t="shared" si="171"/>
        <v>0</v>
      </c>
      <c r="LER46" s="420">
        <f t="shared" si="171"/>
        <v>0</v>
      </c>
      <c r="LES46" s="420">
        <f t="shared" ref="LES46:LHD46" si="172">LES45*0.8</f>
        <v>0</v>
      </c>
      <c r="LET46" s="420">
        <f t="shared" si="172"/>
        <v>0</v>
      </c>
      <c r="LEU46" s="420">
        <f t="shared" si="172"/>
        <v>0</v>
      </c>
      <c r="LEV46" s="420">
        <f t="shared" si="172"/>
        <v>0</v>
      </c>
      <c r="LEW46" s="420">
        <f t="shared" si="172"/>
        <v>0</v>
      </c>
      <c r="LEX46" s="420">
        <f t="shared" si="172"/>
        <v>0</v>
      </c>
      <c r="LEY46" s="420">
        <f t="shared" si="172"/>
        <v>0</v>
      </c>
      <c r="LEZ46" s="420">
        <f t="shared" si="172"/>
        <v>0</v>
      </c>
      <c r="LFA46" s="420">
        <f t="shared" si="172"/>
        <v>0</v>
      </c>
      <c r="LFB46" s="420">
        <f t="shared" si="172"/>
        <v>0</v>
      </c>
      <c r="LFC46" s="420">
        <f t="shared" si="172"/>
        <v>0</v>
      </c>
      <c r="LFD46" s="420">
        <f t="shared" si="172"/>
        <v>0</v>
      </c>
      <c r="LFE46" s="420">
        <f t="shared" si="172"/>
        <v>0</v>
      </c>
      <c r="LFF46" s="420">
        <f t="shared" si="172"/>
        <v>0</v>
      </c>
      <c r="LFG46" s="420">
        <f t="shared" si="172"/>
        <v>0</v>
      </c>
      <c r="LFH46" s="420">
        <f t="shared" si="172"/>
        <v>0</v>
      </c>
      <c r="LFI46" s="420">
        <f t="shared" si="172"/>
        <v>0</v>
      </c>
      <c r="LFJ46" s="420">
        <f t="shared" si="172"/>
        <v>0</v>
      </c>
      <c r="LFK46" s="420">
        <f t="shared" si="172"/>
        <v>0</v>
      </c>
      <c r="LFL46" s="420">
        <f t="shared" si="172"/>
        <v>0</v>
      </c>
      <c r="LFM46" s="420">
        <f t="shared" si="172"/>
        <v>0</v>
      </c>
      <c r="LFN46" s="420">
        <f t="shared" si="172"/>
        <v>0</v>
      </c>
      <c r="LFO46" s="420">
        <f t="shared" si="172"/>
        <v>0</v>
      </c>
      <c r="LFP46" s="420">
        <f t="shared" si="172"/>
        <v>0</v>
      </c>
      <c r="LFQ46" s="420">
        <f t="shared" si="172"/>
        <v>0</v>
      </c>
      <c r="LFR46" s="420">
        <f t="shared" si="172"/>
        <v>0</v>
      </c>
      <c r="LFS46" s="420">
        <f t="shared" si="172"/>
        <v>0</v>
      </c>
      <c r="LFT46" s="420">
        <f t="shared" si="172"/>
        <v>0</v>
      </c>
      <c r="LFU46" s="420">
        <f t="shared" si="172"/>
        <v>0</v>
      </c>
      <c r="LFV46" s="420">
        <f t="shared" si="172"/>
        <v>0</v>
      </c>
      <c r="LFW46" s="420">
        <f t="shared" si="172"/>
        <v>0</v>
      </c>
      <c r="LFX46" s="420">
        <f t="shared" si="172"/>
        <v>0</v>
      </c>
      <c r="LFY46" s="420">
        <f t="shared" si="172"/>
        <v>0</v>
      </c>
      <c r="LFZ46" s="420">
        <f t="shared" si="172"/>
        <v>0</v>
      </c>
      <c r="LGA46" s="420">
        <f t="shared" si="172"/>
        <v>0</v>
      </c>
      <c r="LGB46" s="420">
        <f t="shared" si="172"/>
        <v>0</v>
      </c>
      <c r="LGC46" s="420">
        <f t="shared" si="172"/>
        <v>0</v>
      </c>
      <c r="LGD46" s="420">
        <f t="shared" si="172"/>
        <v>0</v>
      </c>
      <c r="LGE46" s="420">
        <f t="shared" si="172"/>
        <v>0</v>
      </c>
      <c r="LGF46" s="420">
        <f t="shared" si="172"/>
        <v>0</v>
      </c>
      <c r="LGG46" s="420">
        <f t="shared" si="172"/>
        <v>0</v>
      </c>
      <c r="LGH46" s="420">
        <f t="shared" si="172"/>
        <v>0</v>
      </c>
      <c r="LGI46" s="420">
        <f t="shared" si="172"/>
        <v>0</v>
      </c>
      <c r="LGJ46" s="420">
        <f t="shared" si="172"/>
        <v>0</v>
      </c>
      <c r="LGK46" s="420">
        <f t="shared" si="172"/>
        <v>0</v>
      </c>
      <c r="LGL46" s="420">
        <f t="shared" si="172"/>
        <v>0</v>
      </c>
      <c r="LGM46" s="420">
        <f t="shared" si="172"/>
        <v>0</v>
      </c>
      <c r="LGN46" s="420">
        <f t="shared" si="172"/>
        <v>0</v>
      </c>
      <c r="LGO46" s="420">
        <f t="shared" si="172"/>
        <v>0</v>
      </c>
      <c r="LGP46" s="420">
        <f t="shared" si="172"/>
        <v>0</v>
      </c>
      <c r="LGQ46" s="420">
        <f t="shared" si="172"/>
        <v>0</v>
      </c>
      <c r="LGR46" s="420">
        <f t="shared" si="172"/>
        <v>0</v>
      </c>
      <c r="LGS46" s="420">
        <f t="shared" si="172"/>
        <v>0</v>
      </c>
      <c r="LGT46" s="420">
        <f t="shared" si="172"/>
        <v>0</v>
      </c>
      <c r="LGU46" s="420">
        <f t="shared" si="172"/>
        <v>0</v>
      </c>
      <c r="LGV46" s="420">
        <f t="shared" si="172"/>
        <v>0</v>
      </c>
      <c r="LGW46" s="420">
        <f t="shared" si="172"/>
        <v>0</v>
      </c>
      <c r="LGX46" s="420">
        <f t="shared" si="172"/>
        <v>0</v>
      </c>
      <c r="LGY46" s="420">
        <f t="shared" si="172"/>
        <v>0</v>
      </c>
      <c r="LGZ46" s="420">
        <f t="shared" si="172"/>
        <v>0</v>
      </c>
      <c r="LHA46" s="420">
        <f t="shared" si="172"/>
        <v>0</v>
      </c>
      <c r="LHB46" s="420">
        <f t="shared" si="172"/>
        <v>0</v>
      </c>
      <c r="LHC46" s="420">
        <f t="shared" si="172"/>
        <v>0</v>
      </c>
      <c r="LHD46" s="420">
        <f t="shared" si="172"/>
        <v>0</v>
      </c>
      <c r="LHE46" s="420">
        <f t="shared" ref="LHE46:LJP46" si="173">LHE45*0.8</f>
        <v>0</v>
      </c>
      <c r="LHF46" s="420">
        <f t="shared" si="173"/>
        <v>0</v>
      </c>
      <c r="LHG46" s="420">
        <f t="shared" si="173"/>
        <v>0</v>
      </c>
      <c r="LHH46" s="420">
        <f t="shared" si="173"/>
        <v>0</v>
      </c>
      <c r="LHI46" s="420">
        <f t="shared" si="173"/>
        <v>0</v>
      </c>
      <c r="LHJ46" s="420">
        <f t="shared" si="173"/>
        <v>0</v>
      </c>
      <c r="LHK46" s="420">
        <f t="shared" si="173"/>
        <v>0</v>
      </c>
      <c r="LHL46" s="420">
        <f t="shared" si="173"/>
        <v>0</v>
      </c>
      <c r="LHM46" s="420">
        <f t="shared" si="173"/>
        <v>0</v>
      </c>
      <c r="LHN46" s="420">
        <f t="shared" si="173"/>
        <v>0</v>
      </c>
      <c r="LHO46" s="420">
        <f t="shared" si="173"/>
        <v>0</v>
      </c>
      <c r="LHP46" s="420">
        <f t="shared" si="173"/>
        <v>0</v>
      </c>
      <c r="LHQ46" s="420">
        <f t="shared" si="173"/>
        <v>0</v>
      </c>
      <c r="LHR46" s="420">
        <f t="shared" si="173"/>
        <v>0</v>
      </c>
      <c r="LHS46" s="420">
        <f t="shared" si="173"/>
        <v>0</v>
      </c>
      <c r="LHT46" s="420">
        <f t="shared" si="173"/>
        <v>0</v>
      </c>
      <c r="LHU46" s="420">
        <f t="shared" si="173"/>
        <v>0</v>
      </c>
      <c r="LHV46" s="420">
        <f t="shared" si="173"/>
        <v>0</v>
      </c>
      <c r="LHW46" s="420">
        <f t="shared" si="173"/>
        <v>0</v>
      </c>
      <c r="LHX46" s="420">
        <f t="shared" si="173"/>
        <v>0</v>
      </c>
      <c r="LHY46" s="420">
        <f t="shared" si="173"/>
        <v>0</v>
      </c>
      <c r="LHZ46" s="420">
        <f t="shared" si="173"/>
        <v>0</v>
      </c>
      <c r="LIA46" s="420">
        <f t="shared" si="173"/>
        <v>0</v>
      </c>
      <c r="LIB46" s="420">
        <f t="shared" si="173"/>
        <v>0</v>
      </c>
      <c r="LIC46" s="420">
        <f t="shared" si="173"/>
        <v>0</v>
      </c>
      <c r="LID46" s="420">
        <f t="shared" si="173"/>
        <v>0</v>
      </c>
      <c r="LIE46" s="420">
        <f t="shared" si="173"/>
        <v>0</v>
      </c>
      <c r="LIF46" s="420">
        <f t="shared" si="173"/>
        <v>0</v>
      </c>
      <c r="LIG46" s="420">
        <f t="shared" si="173"/>
        <v>0</v>
      </c>
      <c r="LIH46" s="420">
        <f t="shared" si="173"/>
        <v>0</v>
      </c>
      <c r="LII46" s="420">
        <f t="shared" si="173"/>
        <v>0</v>
      </c>
      <c r="LIJ46" s="420">
        <f t="shared" si="173"/>
        <v>0</v>
      </c>
      <c r="LIK46" s="420">
        <f t="shared" si="173"/>
        <v>0</v>
      </c>
      <c r="LIL46" s="420">
        <f t="shared" si="173"/>
        <v>0</v>
      </c>
      <c r="LIM46" s="420">
        <f t="shared" si="173"/>
        <v>0</v>
      </c>
      <c r="LIN46" s="420">
        <f t="shared" si="173"/>
        <v>0</v>
      </c>
      <c r="LIO46" s="420">
        <f t="shared" si="173"/>
        <v>0</v>
      </c>
      <c r="LIP46" s="420">
        <f t="shared" si="173"/>
        <v>0</v>
      </c>
      <c r="LIQ46" s="420">
        <f t="shared" si="173"/>
        <v>0</v>
      </c>
      <c r="LIR46" s="420">
        <f t="shared" si="173"/>
        <v>0</v>
      </c>
      <c r="LIS46" s="420">
        <f t="shared" si="173"/>
        <v>0</v>
      </c>
      <c r="LIT46" s="420">
        <f t="shared" si="173"/>
        <v>0</v>
      </c>
      <c r="LIU46" s="420">
        <f t="shared" si="173"/>
        <v>0</v>
      </c>
      <c r="LIV46" s="420">
        <f t="shared" si="173"/>
        <v>0</v>
      </c>
      <c r="LIW46" s="420">
        <f t="shared" si="173"/>
        <v>0</v>
      </c>
      <c r="LIX46" s="420">
        <f t="shared" si="173"/>
        <v>0</v>
      </c>
      <c r="LIY46" s="420">
        <f t="shared" si="173"/>
        <v>0</v>
      </c>
      <c r="LIZ46" s="420">
        <f t="shared" si="173"/>
        <v>0</v>
      </c>
      <c r="LJA46" s="420">
        <f t="shared" si="173"/>
        <v>0</v>
      </c>
      <c r="LJB46" s="420">
        <f t="shared" si="173"/>
        <v>0</v>
      </c>
      <c r="LJC46" s="420">
        <f t="shared" si="173"/>
        <v>0</v>
      </c>
      <c r="LJD46" s="420">
        <f t="shared" si="173"/>
        <v>0</v>
      </c>
      <c r="LJE46" s="420">
        <f t="shared" si="173"/>
        <v>0</v>
      </c>
      <c r="LJF46" s="420">
        <f t="shared" si="173"/>
        <v>0</v>
      </c>
      <c r="LJG46" s="420">
        <f t="shared" si="173"/>
        <v>0</v>
      </c>
      <c r="LJH46" s="420">
        <f t="shared" si="173"/>
        <v>0</v>
      </c>
      <c r="LJI46" s="420">
        <f t="shared" si="173"/>
        <v>0</v>
      </c>
      <c r="LJJ46" s="420">
        <f t="shared" si="173"/>
        <v>0</v>
      </c>
      <c r="LJK46" s="420">
        <f t="shared" si="173"/>
        <v>0</v>
      </c>
      <c r="LJL46" s="420">
        <f t="shared" si="173"/>
        <v>0</v>
      </c>
      <c r="LJM46" s="420">
        <f t="shared" si="173"/>
        <v>0</v>
      </c>
      <c r="LJN46" s="420">
        <f t="shared" si="173"/>
        <v>0</v>
      </c>
      <c r="LJO46" s="420">
        <f t="shared" si="173"/>
        <v>0</v>
      </c>
      <c r="LJP46" s="420">
        <f t="shared" si="173"/>
        <v>0</v>
      </c>
      <c r="LJQ46" s="420">
        <f t="shared" ref="LJQ46:LMB46" si="174">LJQ45*0.8</f>
        <v>0</v>
      </c>
      <c r="LJR46" s="420">
        <f t="shared" si="174"/>
        <v>0</v>
      </c>
      <c r="LJS46" s="420">
        <f t="shared" si="174"/>
        <v>0</v>
      </c>
      <c r="LJT46" s="420">
        <f t="shared" si="174"/>
        <v>0</v>
      </c>
      <c r="LJU46" s="420">
        <f t="shared" si="174"/>
        <v>0</v>
      </c>
      <c r="LJV46" s="420">
        <f t="shared" si="174"/>
        <v>0</v>
      </c>
      <c r="LJW46" s="420">
        <f t="shared" si="174"/>
        <v>0</v>
      </c>
      <c r="LJX46" s="420">
        <f t="shared" si="174"/>
        <v>0</v>
      </c>
      <c r="LJY46" s="420">
        <f t="shared" si="174"/>
        <v>0</v>
      </c>
      <c r="LJZ46" s="420">
        <f t="shared" si="174"/>
        <v>0</v>
      </c>
      <c r="LKA46" s="420">
        <f t="shared" si="174"/>
        <v>0</v>
      </c>
      <c r="LKB46" s="420">
        <f t="shared" si="174"/>
        <v>0</v>
      </c>
      <c r="LKC46" s="420">
        <f t="shared" si="174"/>
        <v>0</v>
      </c>
      <c r="LKD46" s="420">
        <f t="shared" si="174"/>
        <v>0</v>
      </c>
      <c r="LKE46" s="420">
        <f t="shared" si="174"/>
        <v>0</v>
      </c>
      <c r="LKF46" s="420">
        <f t="shared" si="174"/>
        <v>0</v>
      </c>
      <c r="LKG46" s="420">
        <f t="shared" si="174"/>
        <v>0</v>
      </c>
      <c r="LKH46" s="420">
        <f t="shared" si="174"/>
        <v>0</v>
      </c>
      <c r="LKI46" s="420">
        <f t="shared" si="174"/>
        <v>0</v>
      </c>
      <c r="LKJ46" s="420">
        <f t="shared" si="174"/>
        <v>0</v>
      </c>
      <c r="LKK46" s="420">
        <f t="shared" si="174"/>
        <v>0</v>
      </c>
      <c r="LKL46" s="420">
        <f t="shared" si="174"/>
        <v>0</v>
      </c>
      <c r="LKM46" s="420">
        <f t="shared" si="174"/>
        <v>0</v>
      </c>
      <c r="LKN46" s="420">
        <f t="shared" si="174"/>
        <v>0</v>
      </c>
      <c r="LKO46" s="420">
        <f t="shared" si="174"/>
        <v>0</v>
      </c>
      <c r="LKP46" s="420">
        <f t="shared" si="174"/>
        <v>0</v>
      </c>
      <c r="LKQ46" s="420">
        <f t="shared" si="174"/>
        <v>0</v>
      </c>
      <c r="LKR46" s="420">
        <f t="shared" si="174"/>
        <v>0</v>
      </c>
      <c r="LKS46" s="420">
        <f t="shared" si="174"/>
        <v>0</v>
      </c>
      <c r="LKT46" s="420">
        <f t="shared" si="174"/>
        <v>0</v>
      </c>
      <c r="LKU46" s="420">
        <f t="shared" si="174"/>
        <v>0</v>
      </c>
      <c r="LKV46" s="420">
        <f t="shared" si="174"/>
        <v>0</v>
      </c>
      <c r="LKW46" s="420">
        <f t="shared" si="174"/>
        <v>0</v>
      </c>
      <c r="LKX46" s="420">
        <f t="shared" si="174"/>
        <v>0</v>
      </c>
      <c r="LKY46" s="420">
        <f t="shared" si="174"/>
        <v>0</v>
      </c>
      <c r="LKZ46" s="420">
        <f t="shared" si="174"/>
        <v>0</v>
      </c>
      <c r="LLA46" s="420">
        <f t="shared" si="174"/>
        <v>0</v>
      </c>
      <c r="LLB46" s="420">
        <f t="shared" si="174"/>
        <v>0</v>
      </c>
      <c r="LLC46" s="420">
        <f t="shared" si="174"/>
        <v>0</v>
      </c>
      <c r="LLD46" s="420">
        <f t="shared" si="174"/>
        <v>0</v>
      </c>
      <c r="LLE46" s="420">
        <f t="shared" si="174"/>
        <v>0</v>
      </c>
      <c r="LLF46" s="420">
        <f t="shared" si="174"/>
        <v>0</v>
      </c>
      <c r="LLG46" s="420">
        <f t="shared" si="174"/>
        <v>0</v>
      </c>
      <c r="LLH46" s="420">
        <f t="shared" si="174"/>
        <v>0</v>
      </c>
      <c r="LLI46" s="420">
        <f t="shared" si="174"/>
        <v>0</v>
      </c>
      <c r="LLJ46" s="420">
        <f t="shared" si="174"/>
        <v>0</v>
      </c>
      <c r="LLK46" s="420">
        <f t="shared" si="174"/>
        <v>0</v>
      </c>
      <c r="LLL46" s="420">
        <f t="shared" si="174"/>
        <v>0</v>
      </c>
      <c r="LLM46" s="420">
        <f t="shared" si="174"/>
        <v>0</v>
      </c>
      <c r="LLN46" s="420">
        <f t="shared" si="174"/>
        <v>0</v>
      </c>
      <c r="LLO46" s="420">
        <f t="shared" si="174"/>
        <v>0</v>
      </c>
      <c r="LLP46" s="420">
        <f t="shared" si="174"/>
        <v>0</v>
      </c>
      <c r="LLQ46" s="420">
        <f t="shared" si="174"/>
        <v>0</v>
      </c>
      <c r="LLR46" s="420">
        <f t="shared" si="174"/>
        <v>0</v>
      </c>
      <c r="LLS46" s="420">
        <f t="shared" si="174"/>
        <v>0</v>
      </c>
      <c r="LLT46" s="420">
        <f t="shared" si="174"/>
        <v>0</v>
      </c>
      <c r="LLU46" s="420">
        <f t="shared" si="174"/>
        <v>0</v>
      </c>
      <c r="LLV46" s="420">
        <f t="shared" si="174"/>
        <v>0</v>
      </c>
      <c r="LLW46" s="420">
        <f t="shared" si="174"/>
        <v>0</v>
      </c>
      <c r="LLX46" s="420">
        <f t="shared" si="174"/>
        <v>0</v>
      </c>
      <c r="LLY46" s="420">
        <f t="shared" si="174"/>
        <v>0</v>
      </c>
      <c r="LLZ46" s="420">
        <f t="shared" si="174"/>
        <v>0</v>
      </c>
      <c r="LMA46" s="420">
        <f t="shared" si="174"/>
        <v>0</v>
      </c>
      <c r="LMB46" s="420">
        <f t="shared" si="174"/>
        <v>0</v>
      </c>
      <c r="LMC46" s="420">
        <f t="shared" ref="LMC46:LON46" si="175">LMC45*0.8</f>
        <v>0</v>
      </c>
      <c r="LMD46" s="420">
        <f t="shared" si="175"/>
        <v>0</v>
      </c>
      <c r="LME46" s="420">
        <f t="shared" si="175"/>
        <v>0</v>
      </c>
      <c r="LMF46" s="420">
        <f t="shared" si="175"/>
        <v>0</v>
      </c>
      <c r="LMG46" s="420">
        <f t="shared" si="175"/>
        <v>0</v>
      </c>
      <c r="LMH46" s="420">
        <f t="shared" si="175"/>
        <v>0</v>
      </c>
      <c r="LMI46" s="420">
        <f t="shared" si="175"/>
        <v>0</v>
      </c>
      <c r="LMJ46" s="420">
        <f t="shared" si="175"/>
        <v>0</v>
      </c>
      <c r="LMK46" s="420">
        <f t="shared" si="175"/>
        <v>0</v>
      </c>
      <c r="LML46" s="420">
        <f t="shared" si="175"/>
        <v>0</v>
      </c>
      <c r="LMM46" s="420">
        <f t="shared" si="175"/>
        <v>0</v>
      </c>
      <c r="LMN46" s="420">
        <f t="shared" si="175"/>
        <v>0</v>
      </c>
      <c r="LMO46" s="420">
        <f t="shared" si="175"/>
        <v>0</v>
      </c>
      <c r="LMP46" s="420">
        <f t="shared" si="175"/>
        <v>0</v>
      </c>
      <c r="LMQ46" s="420">
        <f t="shared" si="175"/>
        <v>0</v>
      </c>
      <c r="LMR46" s="420">
        <f t="shared" si="175"/>
        <v>0</v>
      </c>
      <c r="LMS46" s="420">
        <f t="shared" si="175"/>
        <v>0</v>
      </c>
      <c r="LMT46" s="420">
        <f t="shared" si="175"/>
        <v>0</v>
      </c>
      <c r="LMU46" s="420">
        <f t="shared" si="175"/>
        <v>0</v>
      </c>
      <c r="LMV46" s="420">
        <f t="shared" si="175"/>
        <v>0</v>
      </c>
      <c r="LMW46" s="420">
        <f t="shared" si="175"/>
        <v>0</v>
      </c>
      <c r="LMX46" s="420">
        <f t="shared" si="175"/>
        <v>0</v>
      </c>
      <c r="LMY46" s="420">
        <f t="shared" si="175"/>
        <v>0</v>
      </c>
      <c r="LMZ46" s="420">
        <f t="shared" si="175"/>
        <v>0</v>
      </c>
      <c r="LNA46" s="420">
        <f t="shared" si="175"/>
        <v>0</v>
      </c>
      <c r="LNB46" s="420">
        <f t="shared" si="175"/>
        <v>0</v>
      </c>
      <c r="LNC46" s="420">
        <f t="shared" si="175"/>
        <v>0</v>
      </c>
      <c r="LND46" s="420">
        <f t="shared" si="175"/>
        <v>0</v>
      </c>
      <c r="LNE46" s="420">
        <f t="shared" si="175"/>
        <v>0</v>
      </c>
      <c r="LNF46" s="420">
        <f t="shared" si="175"/>
        <v>0</v>
      </c>
      <c r="LNG46" s="420">
        <f t="shared" si="175"/>
        <v>0</v>
      </c>
      <c r="LNH46" s="420">
        <f t="shared" si="175"/>
        <v>0</v>
      </c>
      <c r="LNI46" s="420">
        <f t="shared" si="175"/>
        <v>0</v>
      </c>
      <c r="LNJ46" s="420">
        <f t="shared" si="175"/>
        <v>0</v>
      </c>
      <c r="LNK46" s="420">
        <f t="shared" si="175"/>
        <v>0</v>
      </c>
      <c r="LNL46" s="420">
        <f t="shared" si="175"/>
        <v>0</v>
      </c>
      <c r="LNM46" s="420">
        <f t="shared" si="175"/>
        <v>0</v>
      </c>
      <c r="LNN46" s="420">
        <f t="shared" si="175"/>
        <v>0</v>
      </c>
      <c r="LNO46" s="420">
        <f t="shared" si="175"/>
        <v>0</v>
      </c>
      <c r="LNP46" s="420">
        <f t="shared" si="175"/>
        <v>0</v>
      </c>
      <c r="LNQ46" s="420">
        <f t="shared" si="175"/>
        <v>0</v>
      </c>
      <c r="LNR46" s="420">
        <f t="shared" si="175"/>
        <v>0</v>
      </c>
      <c r="LNS46" s="420">
        <f t="shared" si="175"/>
        <v>0</v>
      </c>
      <c r="LNT46" s="420">
        <f t="shared" si="175"/>
        <v>0</v>
      </c>
      <c r="LNU46" s="420">
        <f t="shared" si="175"/>
        <v>0</v>
      </c>
      <c r="LNV46" s="420">
        <f t="shared" si="175"/>
        <v>0</v>
      </c>
      <c r="LNW46" s="420">
        <f t="shared" si="175"/>
        <v>0</v>
      </c>
      <c r="LNX46" s="420">
        <f t="shared" si="175"/>
        <v>0</v>
      </c>
      <c r="LNY46" s="420">
        <f t="shared" si="175"/>
        <v>0</v>
      </c>
      <c r="LNZ46" s="420">
        <f t="shared" si="175"/>
        <v>0</v>
      </c>
      <c r="LOA46" s="420">
        <f t="shared" si="175"/>
        <v>0</v>
      </c>
      <c r="LOB46" s="420">
        <f t="shared" si="175"/>
        <v>0</v>
      </c>
      <c r="LOC46" s="420">
        <f t="shared" si="175"/>
        <v>0</v>
      </c>
      <c r="LOD46" s="420">
        <f t="shared" si="175"/>
        <v>0</v>
      </c>
      <c r="LOE46" s="420">
        <f t="shared" si="175"/>
        <v>0</v>
      </c>
      <c r="LOF46" s="420">
        <f t="shared" si="175"/>
        <v>0</v>
      </c>
      <c r="LOG46" s="420">
        <f t="shared" si="175"/>
        <v>0</v>
      </c>
      <c r="LOH46" s="420">
        <f t="shared" si="175"/>
        <v>0</v>
      </c>
      <c r="LOI46" s="420">
        <f t="shared" si="175"/>
        <v>0</v>
      </c>
      <c r="LOJ46" s="420">
        <f t="shared" si="175"/>
        <v>0</v>
      </c>
      <c r="LOK46" s="420">
        <f t="shared" si="175"/>
        <v>0</v>
      </c>
      <c r="LOL46" s="420">
        <f t="shared" si="175"/>
        <v>0</v>
      </c>
      <c r="LOM46" s="420">
        <f t="shared" si="175"/>
        <v>0</v>
      </c>
      <c r="LON46" s="420">
        <f t="shared" si="175"/>
        <v>0</v>
      </c>
      <c r="LOO46" s="420">
        <f t="shared" ref="LOO46:LQZ46" si="176">LOO45*0.8</f>
        <v>0</v>
      </c>
      <c r="LOP46" s="420">
        <f t="shared" si="176"/>
        <v>0</v>
      </c>
      <c r="LOQ46" s="420">
        <f t="shared" si="176"/>
        <v>0</v>
      </c>
      <c r="LOR46" s="420">
        <f t="shared" si="176"/>
        <v>0</v>
      </c>
      <c r="LOS46" s="420">
        <f t="shared" si="176"/>
        <v>0</v>
      </c>
      <c r="LOT46" s="420">
        <f t="shared" si="176"/>
        <v>0</v>
      </c>
      <c r="LOU46" s="420">
        <f t="shared" si="176"/>
        <v>0</v>
      </c>
      <c r="LOV46" s="420">
        <f t="shared" si="176"/>
        <v>0</v>
      </c>
      <c r="LOW46" s="420">
        <f t="shared" si="176"/>
        <v>0</v>
      </c>
      <c r="LOX46" s="420">
        <f t="shared" si="176"/>
        <v>0</v>
      </c>
      <c r="LOY46" s="420">
        <f t="shared" si="176"/>
        <v>0</v>
      </c>
      <c r="LOZ46" s="420">
        <f t="shared" si="176"/>
        <v>0</v>
      </c>
      <c r="LPA46" s="420">
        <f t="shared" si="176"/>
        <v>0</v>
      </c>
      <c r="LPB46" s="420">
        <f t="shared" si="176"/>
        <v>0</v>
      </c>
      <c r="LPC46" s="420">
        <f t="shared" si="176"/>
        <v>0</v>
      </c>
      <c r="LPD46" s="420">
        <f t="shared" si="176"/>
        <v>0</v>
      </c>
      <c r="LPE46" s="420">
        <f t="shared" si="176"/>
        <v>0</v>
      </c>
      <c r="LPF46" s="420">
        <f t="shared" si="176"/>
        <v>0</v>
      </c>
      <c r="LPG46" s="420">
        <f t="shared" si="176"/>
        <v>0</v>
      </c>
      <c r="LPH46" s="420">
        <f t="shared" si="176"/>
        <v>0</v>
      </c>
      <c r="LPI46" s="420">
        <f t="shared" si="176"/>
        <v>0</v>
      </c>
      <c r="LPJ46" s="420">
        <f t="shared" si="176"/>
        <v>0</v>
      </c>
      <c r="LPK46" s="420">
        <f t="shared" si="176"/>
        <v>0</v>
      </c>
      <c r="LPL46" s="420">
        <f t="shared" si="176"/>
        <v>0</v>
      </c>
      <c r="LPM46" s="420">
        <f t="shared" si="176"/>
        <v>0</v>
      </c>
      <c r="LPN46" s="420">
        <f t="shared" si="176"/>
        <v>0</v>
      </c>
      <c r="LPO46" s="420">
        <f t="shared" si="176"/>
        <v>0</v>
      </c>
      <c r="LPP46" s="420">
        <f t="shared" si="176"/>
        <v>0</v>
      </c>
      <c r="LPQ46" s="420">
        <f t="shared" si="176"/>
        <v>0</v>
      </c>
      <c r="LPR46" s="420">
        <f t="shared" si="176"/>
        <v>0</v>
      </c>
      <c r="LPS46" s="420">
        <f t="shared" si="176"/>
        <v>0</v>
      </c>
      <c r="LPT46" s="420">
        <f t="shared" si="176"/>
        <v>0</v>
      </c>
      <c r="LPU46" s="420">
        <f t="shared" si="176"/>
        <v>0</v>
      </c>
      <c r="LPV46" s="420">
        <f t="shared" si="176"/>
        <v>0</v>
      </c>
      <c r="LPW46" s="420">
        <f t="shared" si="176"/>
        <v>0</v>
      </c>
      <c r="LPX46" s="420">
        <f t="shared" si="176"/>
        <v>0</v>
      </c>
      <c r="LPY46" s="420">
        <f t="shared" si="176"/>
        <v>0</v>
      </c>
      <c r="LPZ46" s="420">
        <f t="shared" si="176"/>
        <v>0</v>
      </c>
      <c r="LQA46" s="420">
        <f t="shared" si="176"/>
        <v>0</v>
      </c>
      <c r="LQB46" s="420">
        <f t="shared" si="176"/>
        <v>0</v>
      </c>
      <c r="LQC46" s="420">
        <f t="shared" si="176"/>
        <v>0</v>
      </c>
      <c r="LQD46" s="420">
        <f t="shared" si="176"/>
        <v>0</v>
      </c>
      <c r="LQE46" s="420">
        <f t="shared" si="176"/>
        <v>0</v>
      </c>
      <c r="LQF46" s="420">
        <f t="shared" si="176"/>
        <v>0</v>
      </c>
      <c r="LQG46" s="420">
        <f t="shared" si="176"/>
        <v>0</v>
      </c>
      <c r="LQH46" s="420">
        <f t="shared" si="176"/>
        <v>0</v>
      </c>
      <c r="LQI46" s="420">
        <f t="shared" si="176"/>
        <v>0</v>
      </c>
      <c r="LQJ46" s="420">
        <f t="shared" si="176"/>
        <v>0</v>
      </c>
      <c r="LQK46" s="420">
        <f t="shared" si="176"/>
        <v>0</v>
      </c>
      <c r="LQL46" s="420">
        <f t="shared" si="176"/>
        <v>0</v>
      </c>
      <c r="LQM46" s="420">
        <f t="shared" si="176"/>
        <v>0</v>
      </c>
      <c r="LQN46" s="420">
        <f t="shared" si="176"/>
        <v>0</v>
      </c>
      <c r="LQO46" s="420">
        <f t="shared" si="176"/>
        <v>0</v>
      </c>
      <c r="LQP46" s="420">
        <f t="shared" si="176"/>
        <v>0</v>
      </c>
      <c r="LQQ46" s="420">
        <f t="shared" si="176"/>
        <v>0</v>
      </c>
      <c r="LQR46" s="420">
        <f t="shared" si="176"/>
        <v>0</v>
      </c>
      <c r="LQS46" s="420">
        <f t="shared" si="176"/>
        <v>0</v>
      </c>
      <c r="LQT46" s="420">
        <f t="shared" si="176"/>
        <v>0</v>
      </c>
      <c r="LQU46" s="420">
        <f t="shared" si="176"/>
        <v>0</v>
      </c>
      <c r="LQV46" s="420">
        <f t="shared" si="176"/>
        <v>0</v>
      </c>
      <c r="LQW46" s="420">
        <f t="shared" si="176"/>
        <v>0</v>
      </c>
      <c r="LQX46" s="420">
        <f t="shared" si="176"/>
        <v>0</v>
      </c>
      <c r="LQY46" s="420">
        <f t="shared" si="176"/>
        <v>0</v>
      </c>
      <c r="LQZ46" s="420">
        <f t="shared" si="176"/>
        <v>0</v>
      </c>
      <c r="LRA46" s="420">
        <f t="shared" ref="LRA46:LTL46" si="177">LRA45*0.8</f>
        <v>0</v>
      </c>
      <c r="LRB46" s="420">
        <f t="shared" si="177"/>
        <v>0</v>
      </c>
      <c r="LRC46" s="420">
        <f t="shared" si="177"/>
        <v>0</v>
      </c>
      <c r="LRD46" s="420">
        <f t="shared" si="177"/>
        <v>0</v>
      </c>
      <c r="LRE46" s="420">
        <f t="shared" si="177"/>
        <v>0</v>
      </c>
      <c r="LRF46" s="420">
        <f t="shared" si="177"/>
        <v>0</v>
      </c>
      <c r="LRG46" s="420">
        <f t="shared" si="177"/>
        <v>0</v>
      </c>
      <c r="LRH46" s="420">
        <f t="shared" si="177"/>
        <v>0</v>
      </c>
      <c r="LRI46" s="420">
        <f t="shared" si="177"/>
        <v>0</v>
      </c>
      <c r="LRJ46" s="420">
        <f t="shared" si="177"/>
        <v>0</v>
      </c>
      <c r="LRK46" s="420">
        <f t="shared" si="177"/>
        <v>0</v>
      </c>
      <c r="LRL46" s="420">
        <f t="shared" si="177"/>
        <v>0</v>
      </c>
      <c r="LRM46" s="420">
        <f t="shared" si="177"/>
        <v>0</v>
      </c>
      <c r="LRN46" s="420">
        <f t="shared" si="177"/>
        <v>0</v>
      </c>
      <c r="LRO46" s="420">
        <f t="shared" si="177"/>
        <v>0</v>
      </c>
      <c r="LRP46" s="420">
        <f t="shared" si="177"/>
        <v>0</v>
      </c>
      <c r="LRQ46" s="420">
        <f t="shared" si="177"/>
        <v>0</v>
      </c>
      <c r="LRR46" s="420">
        <f t="shared" si="177"/>
        <v>0</v>
      </c>
      <c r="LRS46" s="420">
        <f t="shared" si="177"/>
        <v>0</v>
      </c>
      <c r="LRT46" s="420">
        <f t="shared" si="177"/>
        <v>0</v>
      </c>
      <c r="LRU46" s="420">
        <f t="shared" si="177"/>
        <v>0</v>
      </c>
      <c r="LRV46" s="420">
        <f t="shared" si="177"/>
        <v>0</v>
      </c>
      <c r="LRW46" s="420">
        <f t="shared" si="177"/>
        <v>0</v>
      </c>
      <c r="LRX46" s="420">
        <f t="shared" si="177"/>
        <v>0</v>
      </c>
      <c r="LRY46" s="420">
        <f t="shared" si="177"/>
        <v>0</v>
      </c>
      <c r="LRZ46" s="420">
        <f t="shared" si="177"/>
        <v>0</v>
      </c>
      <c r="LSA46" s="420">
        <f t="shared" si="177"/>
        <v>0</v>
      </c>
      <c r="LSB46" s="420">
        <f t="shared" si="177"/>
        <v>0</v>
      </c>
      <c r="LSC46" s="420">
        <f t="shared" si="177"/>
        <v>0</v>
      </c>
      <c r="LSD46" s="420">
        <f t="shared" si="177"/>
        <v>0</v>
      </c>
      <c r="LSE46" s="420">
        <f t="shared" si="177"/>
        <v>0</v>
      </c>
      <c r="LSF46" s="420">
        <f t="shared" si="177"/>
        <v>0</v>
      </c>
      <c r="LSG46" s="420">
        <f t="shared" si="177"/>
        <v>0</v>
      </c>
      <c r="LSH46" s="420">
        <f t="shared" si="177"/>
        <v>0</v>
      </c>
      <c r="LSI46" s="420">
        <f t="shared" si="177"/>
        <v>0</v>
      </c>
      <c r="LSJ46" s="420">
        <f t="shared" si="177"/>
        <v>0</v>
      </c>
      <c r="LSK46" s="420">
        <f t="shared" si="177"/>
        <v>0</v>
      </c>
      <c r="LSL46" s="420">
        <f t="shared" si="177"/>
        <v>0</v>
      </c>
      <c r="LSM46" s="420">
        <f t="shared" si="177"/>
        <v>0</v>
      </c>
      <c r="LSN46" s="420">
        <f t="shared" si="177"/>
        <v>0</v>
      </c>
      <c r="LSO46" s="420">
        <f t="shared" si="177"/>
        <v>0</v>
      </c>
      <c r="LSP46" s="420">
        <f t="shared" si="177"/>
        <v>0</v>
      </c>
      <c r="LSQ46" s="420">
        <f t="shared" si="177"/>
        <v>0</v>
      </c>
      <c r="LSR46" s="420">
        <f t="shared" si="177"/>
        <v>0</v>
      </c>
      <c r="LSS46" s="420">
        <f t="shared" si="177"/>
        <v>0</v>
      </c>
      <c r="LST46" s="420">
        <f t="shared" si="177"/>
        <v>0</v>
      </c>
      <c r="LSU46" s="420">
        <f t="shared" si="177"/>
        <v>0</v>
      </c>
      <c r="LSV46" s="420">
        <f t="shared" si="177"/>
        <v>0</v>
      </c>
      <c r="LSW46" s="420">
        <f t="shared" si="177"/>
        <v>0</v>
      </c>
      <c r="LSX46" s="420">
        <f t="shared" si="177"/>
        <v>0</v>
      </c>
      <c r="LSY46" s="420">
        <f t="shared" si="177"/>
        <v>0</v>
      </c>
      <c r="LSZ46" s="420">
        <f t="shared" si="177"/>
        <v>0</v>
      </c>
      <c r="LTA46" s="420">
        <f t="shared" si="177"/>
        <v>0</v>
      </c>
      <c r="LTB46" s="420">
        <f t="shared" si="177"/>
        <v>0</v>
      </c>
      <c r="LTC46" s="420">
        <f t="shared" si="177"/>
        <v>0</v>
      </c>
      <c r="LTD46" s="420">
        <f t="shared" si="177"/>
        <v>0</v>
      </c>
      <c r="LTE46" s="420">
        <f t="shared" si="177"/>
        <v>0</v>
      </c>
      <c r="LTF46" s="420">
        <f t="shared" si="177"/>
        <v>0</v>
      </c>
      <c r="LTG46" s="420">
        <f t="shared" si="177"/>
        <v>0</v>
      </c>
      <c r="LTH46" s="420">
        <f t="shared" si="177"/>
        <v>0</v>
      </c>
      <c r="LTI46" s="420">
        <f t="shared" si="177"/>
        <v>0</v>
      </c>
      <c r="LTJ46" s="420">
        <f t="shared" si="177"/>
        <v>0</v>
      </c>
      <c r="LTK46" s="420">
        <f t="shared" si="177"/>
        <v>0</v>
      </c>
      <c r="LTL46" s="420">
        <f t="shared" si="177"/>
        <v>0</v>
      </c>
      <c r="LTM46" s="420">
        <f t="shared" ref="LTM46:LVX46" si="178">LTM45*0.8</f>
        <v>0</v>
      </c>
      <c r="LTN46" s="420">
        <f t="shared" si="178"/>
        <v>0</v>
      </c>
      <c r="LTO46" s="420">
        <f t="shared" si="178"/>
        <v>0</v>
      </c>
      <c r="LTP46" s="420">
        <f t="shared" si="178"/>
        <v>0</v>
      </c>
      <c r="LTQ46" s="420">
        <f t="shared" si="178"/>
        <v>0</v>
      </c>
      <c r="LTR46" s="420">
        <f t="shared" si="178"/>
        <v>0</v>
      </c>
      <c r="LTS46" s="420">
        <f t="shared" si="178"/>
        <v>0</v>
      </c>
      <c r="LTT46" s="420">
        <f t="shared" si="178"/>
        <v>0</v>
      </c>
      <c r="LTU46" s="420">
        <f t="shared" si="178"/>
        <v>0</v>
      </c>
      <c r="LTV46" s="420">
        <f t="shared" si="178"/>
        <v>0</v>
      </c>
      <c r="LTW46" s="420">
        <f t="shared" si="178"/>
        <v>0</v>
      </c>
      <c r="LTX46" s="420">
        <f t="shared" si="178"/>
        <v>0</v>
      </c>
      <c r="LTY46" s="420">
        <f t="shared" si="178"/>
        <v>0</v>
      </c>
      <c r="LTZ46" s="420">
        <f t="shared" si="178"/>
        <v>0</v>
      </c>
      <c r="LUA46" s="420">
        <f t="shared" si="178"/>
        <v>0</v>
      </c>
      <c r="LUB46" s="420">
        <f t="shared" si="178"/>
        <v>0</v>
      </c>
      <c r="LUC46" s="420">
        <f t="shared" si="178"/>
        <v>0</v>
      </c>
      <c r="LUD46" s="420">
        <f t="shared" si="178"/>
        <v>0</v>
      </c>
      <c r="LUE46" s="420">
        <f t="shared" si="178"/>
        <v>0</v>
      </c>
      <c r="LUF46" s="420">
        <f t="shared" si="178"/>
        <v>0</v>
      </c>
      <c r="LUG46" s="420">
        <f t="shared" si="178"/>
        <v>0</v>
      </c>
      <c r="LUH46" s="420">
        <f t="shared" si="178"/>
        <v>0</v>
      </c>
      <c r="LUI46" s="420">
        <f t="shared" si="178"/>
        <v>0</v>
      </c>
      <c r="LUJ46" s="420">
        <f t="shared" si="178"/>
        <v>0</v>
      </c>
      <c r="LUK46" s="420">
        <f t="shared" si="178"/>
        <v>0</v>
      </c>
      <c r="LUL46" s="420">
        <f t="shared" si="178"/>
        <v>0</v>
      </c>
      <c r="LUM46" s="420">
        <f t="shared" si="178"/>
        <v>0</v>
      </c>
      <c r="LUN46" s="420">
        <f t="shared" si="178"/>
        <v>0</v>
      </c>
      <c r="LUO46" s="420">
        <f t="shared" si="178"/>
        <v>0</v>
      </c>
      <c r="LUP46" s="420">
        <f t="shared" si="178"/>
        <v>0</v>
      </c>
      <c r="LUQ46" s="420">
        <f t="shared" si="178"/>
        <v>0</v>
      </c>
      <c r="LUR46" s="420">
        <f t="shared" si="178"/>
        <v>0</v>
      </c>
      <c r="LUS46" s="420">
        <f t="shared" si="178"/>
        <v>0</v>
      </c>
      <c r="LUT46" s="420">
        <f t="shared" si="178"/>
        <v>0</v>
      </c>
      <c r="LUU46" s="420">
        <f t="shared" si="178"/>
        <v>0</v>
      </c>
      <c r="LUV46" s="420">
        <f t="shared" si="178"/>
        <v>0</v>
      </c>
      <c r="LUW46" s="420">
        <f t="shared" si="178"/>
        <v>0</v>
      </c>
      <c r="LUX46" s="420">
        <f t="shared" si="178"/>
        <v>0</v>
      </c>
      <c r="LUY46" s="420">
        <f t="shared" si="178"/>
        <v>0</v>
      </c>
      <c r="LUZ46" s="420">
        <f t="shared" si="178"/>
        <v>0</v>
      </c>
      <c r="LVA46" s="420">
        <f t="shared" si="178"/>
        <v>0</v>
      </c>
      <c r="LVB46" s="420">
        <f t="shared" si="178"/>
        <v>0</v>
      </c>
      <c r="LVC46" s="420">
        <f t="shared" si="178"/>
        <v>0</v>
      </c>
      <c r="LVD46" s="420">
        <f t="shared" si="178"/>
        <v>0</v>
      </c>
      <c r="LVE46" s="420">
        <f t="shared" si="178"/>
        <v>0</v>
      </c>
      <c r="LVF46" s="420">
        <f t="shared" si="178"/>
        <v>0</v>
      </c>
      <c r="LVG46" s="420">
        <f t="shared" si="178"/>
        <v>0</v>
      </c>
      <c r="LVH46" s="420">
        <f t="shared" si="178"/>
        <v>0</v>
      </c>
      <c r="LVI46" s="420">
        <f t="shared" si="178"/>
        <v>0</v>
      </c>
      <c r="LVJ46" s="420">
        <f t="shared" si="178"/>
        <v>0</v>
      </c>
      <c r="LVK46" s="420">
        <f t="shared" si="178"/>
        <v>0</v>
      </c>
      <c r="LVL46" s="420">
        <f t="shared" si="178"/>
        <v>0</v>
      </c>
      <c r="LVM46" s="420">
        <f t="shared" si="178"/>
        <v>0</v>
      </c>
      <c r="LVN46" s="420">
        <f t="shared" si="178"/>
        <v>0</v>
      </c>
      <c r="LVO46" s="420">
        <f t="shared" si="178"/>
        <v>0</v>
      </c>
      <c r="LVP46" s="420">
        <f t="shared" si="178"/>
        <v>0</v>
      </c>
      <c r="LVQ46" s="420">
        <f t="shared" si="178"/>
        <v>0</v>
      </c>
      <c r="LVR46" s="420">
        <f t="shared" si="178"/>
        <v>0</v>
      </c>
      <c r="LVS46" s="420">
        <f t="shared" si="178"/>
        <v>0</v>
      </c>
      <c r="LVT46" s="420">
        <f t="shared" si="178"/>
        <v>0</v>
      </c>
      <c r="LVU46" s="420">
        <f t="shared" si="178"/>
        <v>0</v>
      </c>
      <c r="LVV46" s="420">
        <f t="shared" si="178"/>
        <v>0</v>
      </c>
      <c r="LVW46" s="420">
        <f t="shared" si="178"/>
        <v>0</v>
      </c>
      <c r="LVX46" s="420">
        <f t="shared" si="178"/>
        <v>0</v>
      </c>
      <c r="LVY46" s="420">
        <f t="shared" ref="LVY46:LYJ46" si="179">LVY45*0.8</f>
        <v>0</v>
      </c>
      <c r="LVZ46" s="420">
        <f t="shared" si="179"/>
        <v>0</v>
      </c>
      <c r="LWA46" s="420">
        <f t="shared" si="179"/>
        <v>0</v>
      </c>
      <c r="LWB46" s="420">
        <f t="shared" si="179"/>
        <v>0</v>
      </c>
      <c r="LWC46" s="420">
        <f t="shared" si="179"/>
        <v>0</v>
      </c>
      <c r="LWD46" s="420">
        <f t="shared" si="179"/>
        <v>0</v>
      </c>
      <c r="LWE46" s="420">
        <f t="shared" si="179"/>
        <v>0</v>
      </c>
      <c r="LWF46" s="420">
        <f t="shared" si="179"/>
        <v>0</v>
      </c>
      <c r="LWG46" s="420">
        <f t="shared" si="179"/>
        <v>0</v>
      </c>
      <c r="LWH46" s="420">
        <f t="shared" si="179"/>
        <v>0</v>
      </c>
      <c r="LWI46" s="420">
        <f t="shared" si="179"/>
        <v>0</v>
      </c>
      <c r="LWJ46" s="420">
        <f t="shared" si="179"/>
        <v>0</v>
      </c>
      <c r="LWK46" s="420">
        <f t="shared" si="179"/>
        <v>0</v>
      </c>
      <c r="LWL46" s="420">
        <f t="shared" si="179"/>
        <v>0</v>
      </c>
      <c r="LWM46" s="420">
        <f t="shared" si="179"/>
        <v>0</v>
      </c>
      <c r="LWN46" s="420">
        <f t="shared" si="179"/>
        <v>0</v>
      </c>
      <c r="LWO46" s="420">
        <f t="shared" si="179"/>
        <v>0</v>
      </c>
      <c r="LWP46" s="420">
        <f t="shared" si="179"/>
        <v>0</v>
      </c>
      <c r="LWQ46" s="420">
        <f t="shared" si="179"/>
        <v>0</v>
      </c>
      <c r="LWR46" s="420">
        <f t="shared" si="179"/>
        <v>0</v>
      </c>
      <c r="LWS46" s="420">
        <f t="shared" si="179"/>
        <v>0</v>
      </c>
      <c r="LWT46" s="420">
        <f t="shared" si="179"/>
        <v>0</v>
      </c>
      <c r="LWU46" s="420">
        <f t="shared" si="179"/>
        <v>0</v>
      </c>
      <c r="LWV46" s="420">
        <f t="shared" si="179"/>
        <v>0</v>
      </c>
      <c r="LWW46" s="420">
        <f t="shared" si="179"/>
        <v>0</v>
      </c>
      <c r="LWX46" s="420">
        <f t="shared" si="179"/>
        <v>0</v>
      </c>
      <c r="LWY46" s="420">
        <f t="shared" si="179"/>
        <v>0</v>
      </c>
      <c r="LWZ46" s="420">
        <f t="shared" si="179"/>
        <v>0</v>
      </c>
      <c r="LXA46" s="420">
        <f t="shared" si="179"/>
        <v>0</v>
      </c>
      <c r="LXB46" s="420">
        <f t="shared" si="179"/>
        <v>0</v>
      </c>
      <c r="LXC46" s="420">
        <f t="shared" si="179"/>
        <v>0</v>
      </c>
      <c r="LXD46" s="420">
        <f t="shared" si="179"/>
        <v>0</v>
      </c>
      <c r="LXE46" s="420">
        <f t="shared" si="179"/>
        <v>0</v>
      </c>
      <c r="LXF46" s="420">
        <f t="shared" si="179"/>
        <v>0</v>
      </c>
      <c r="LXG46" s="420">
        <f t="shared" si="179"/>
        <v>0</v>
      </c>
      <c r="LXH46" s="420">
        <f t="shared" si="179"/>
        <v>0</v>
      </c>
      <c r="LXI46" s="420">
        <f t="shared" si="179"/>
        <v>0</v>
      </c>
      <c r="LXJ46" s="420">
        <f t="shared" si="179"/>
        <v>0</v>
      </c>
      <c r="LXK46" s="420">
        <f t="shared" si="179"/>
        <v>0</v>
      </c>
      <c r="LXL46" s="420">
        <f t="shared" si="179"/>
        <v>0</v>
      </c>
      <c r="LXM46" s="420">
        <f t="shared" si="179"/>
        <v>0</v>
      </c>
      <c r="LXN46" s="420">
        <f t="shared" si="179"/>
        <v>0</v>
      </c>
      <c r="LXO46" s="420">
        <f t="shared" si="179"/>
        <v>0</v>
      </c>
      <c r="LXP46" s="420">
        <f t="shared" si="179"/>
        <v>0</v>
      </c>
      <c r="LXQ46" s="420">
        <f t="shared" si="179"/>
        <v>0</v>
      </c>
      <c r="LXR46" s="420">
        <f t="shared" si="179"/>
        <v>0</v>
      </c>
      <c r="LXS46" s="420">
        <f t="shared" si="179"/>
        <v>0</v>
      </c>
      <c r="LXT46" s="420">
        <f t="shared" si="179"/>
        <v>0</v>
      </c>
      <c r="LXU46" s="420">
        <f t="shared" si="179"/>
        <v>0</v>
      </c>
      <c r="LXV46" s="420">
        <f t="shared" si="179"/>
        <v>0</v>
      </c>
      <c r="LXW46" s="420">
        <f t="shared" si="179"/>
        <v>0</v>
      </c>
      <c r="LXX46" s="420">
        <f t="shared" si="179"/>
        <v>0</v>
      </c>
      <c r="LXY46" s="420">
        <f t="shared" si="179"/>
        <v>0</v>
      </c>
      <c r="LXZ46" s="420">
        <f t="shared" si="179"/>
        <v>0</v>
      </c>
      <c r="LYA46" s="420">
        <f t="shared" si="179"/>
        <v>0</v>
      </c>
      <c r="LYB46" s="420">
        <f t="shared" si="179"/>
        <v>0</v>
      </c>
      <c r="LYC46" s="420">
        <f t="shared" si="179"/>
        <v>0</v>
      </c>
      <c r="LYD46" s="420">
        <f t="shared" si="179"/>
        <v>0</v>
      </c>
      <c r="LYE46" s="420">
        <f t="shared" si="179"/>
        <v>0</v>
      </c>
      <c r="LYF46" s="420">
        <f t="shared" si="179"/>
        <v>0</v>
      </c>
      <c r="LYG46" s="420">
        <f t="shared" si="179"/>
        <v>0</v>
      </c>
      <c r="LYH46" s="420">
        <f t="shared" si="179"/>
        <v>0</v>
      </c>
      <c r="LYI46" s="420">
        <f t="shared" si="179"/>
        <v>0</v>
      </c>
      <c r="LYJ46" s="420">
        <f t="shared" si="179"/>
        <v>0</v>
      </c>
      <c r="LYK46" s="420">
        <f t="shared" ref="LYK46:MAV46" si="180">LYK45*0.8</f>
        <v>0</v>
      </c>
      <c r="LYL46" s="420">
        <f t="shared" si="180"/>
        <v>0</v>
      </c>
      <c r="LYM46" s="420">
        <f t="shared" si="180"/>
        <v>0</v>
      </c>
      <c r="LYN46" s="420">
        <f t="shared" si="180"/>
        <v>0</v>
      </c>
      <c r="LYO46" s="420">
        <f t="shared" si="180"/>
        <v>0</v>
      </c>
      <c r="LYP46" s="420">
        <f t="shared" si="180"/>
        <v>0</v>
      </c>
      <c r="LYQ46" s="420">
        <f t="shared" si="180"/>
        <v>0</v>
      </c>
      <c r="LYR46" s="420">
        <f t="shared" si="180"/>
        <v>0</v>
      </c>
      <c r="LYS46" s="420">
        <f t="shared" si="180"/>
        <v>0</v>
      </c>
      <c r="LYT46" s="420">
        <f t="shared" si="180"/>
        <v>0</v>
      </c>
      <c r="LYU46" s="420">
        <f t="shared" si="180"/>
        <v>0</v>
      </c>
      <c r="LYV46" s="420">
        <f t="shared" si="180"/>
        <v>0</v>
      </c>
      <c r="LYW46" s="420">
        <f t="shared" si="180"/>
        <v>0</v>
      </c>
      <c r="LYX46" s="420">
        <f t="shared" si="180"/>
        <v>0</v>
      </c>
      <c r="LYY46" s="420">
        <f t="shared" si="180"/>
        <v>0</v>
      </c>
      <c r="LYZ46" s="420">
        <f t="shared" si="180"/>
        <v>0</v>
      </c>
      <c r="LZA46" s="420">
        <f t="shared" si="180"/>
        <v>0</v>
      </c>
      <c r="LZB46" s="420">
        <f t="shared" si="180"/>
        <v>0</v>
      </c>
      <c r="LZC46" s="420">
        <f t="shared" si="180"/>
        <v>0</v>
      </c>
      <c r="LZD46" s="420">
        <f t="shared" si="180"/>
        <v>0</v>
      </c>
      <c r="LZE46" s="420">
        <f t="shared" si="180"/>
        <v>0</v>
      </c>
      <c r="LZF46" s="420">
        <f t="shared" si="180"/>
        <v>0</v>
      </c>
      <c r="LZG46" s="420">
        <f t="shared" si="180"/>
        <v>0</v>
      </c>
      <c r="LZH46" s="420">
        <f t="shared" si="180"/>
        <v>0</v>
      </c>
      <c r="LZI46" s="420">
        <f t="shared" si="180"/>
        <v>0</v>
      </c>
      <c r="LZJ46" s="420">
        <f t="shared" si="180"/>
        <v>0</v>
      </c>
      <c r="LZK46" s="420">
        <f t="shared" si="180"/>
        <v>0</v>
      </c>
      <c r="LZL46" s="420">
        <f t="shared" si="180"/>
        <v>0</v>
      </c>
      <c r="LZM46" s="420">
        <f t="shared" si="180"/>
        <v>0</v>
      </c>
      <c r="LZN46" s="420">
        <f t="shared" si="180"/>
        <v>0</v>
      </c>
      <c r="LZO46" s="420">
        <f t="shared" si="180"/>
        <v>0</v>
      </c>
      <c r="LZP46" s="420">
        <f t="shared" si="180"/>
        <v>0</v>
      </c>
      <c r="LZQ46" s="420">
        <f t="shared" si="180"/>
        <v>0</v>
      </c>
      <c r="LZR46" s="420">
        <f t="shared" si="180"/>
        <v>0</v>
      </c>
      <c r="LZS46" s="420">
        <f t="shared" si="180"/>
        <v>0</v>
      </c>
      <c r="LZT46" s="420">
        <f t="shared" si="180"/>
        <v>0</v>
      </c>
      <c r="LZU46" s="420">
        <f t="shared" si="180"/>
        <v>0</v>
      </c>
      <c r="LZV46" s="420">
        <f t="shared" si="180"/>
        <v>0</v>
      </c>
      <c r="LZW46" s="420">
        <f t="shared" si="180"/>
        <v>0</v>
      </c>
      <c r="LZX46" s="420">
        <f t="shared" si="180"/>
        <v>0</v>
      </c>
      <c r="LZY46" s="420">
        <f t="shared" si="180"/>
        <v>0</v>
      </c>
      <c r="LZZ46" s="420">
        <f t="shared" si="180"/>
        <v>0</v>
      </c>
      <c r="MAA46" s="420">
        <f t="shared" si="180"/>
        <v>0</v>
      </c>
      <c r="MAB46" s="420">
        <f t="shared" si="180"/>
        <v>0</v>
      </c>
      <c r="MAC46" s="420">
        <f t="shared" si="180"/>
        <v>0</v>
      </c>
      <c r="MAD46" s="420">
        <f t="shared" si="180"/>
        <v>0</v>
      </c>
      <c r="MAE46" s="420">
        <f t="shared" si="180"/>
        <v>0</v>
      </c>
      <c r="MAF46" s="420">
        <f t="shared" si="180"/>
        <v>0</v>
      </c>
      <c r="MAG46" s="420">
        <f t="shared" si="180"/>
        <v>0</v>
      </c>
      <c r="MAH46" s="420">
        <f t="shared" si="180"/>
        <v>0</v>
      </c>
      <c r="MAI46" s="420">
        <f t="shared" si="180"/>
        <v>0</v>
      </c>
      <c r="MAJ46" s="420">
        <f t="shared" si="180"/>
        <v>0</v>
      </c>
      <c r="MAK46" s="420">
        <f t="shared" si="180"/>
        <v>0</v>
      </c>
      <c r="MAL46" s="420">
        <f t="shared" si="180"/>
        <v>0</v>
      </c>
      <c r="MAM46" s="420">
        <f t="shared" si="180"/>
        <v>0</v>
      </c>
      <c r="MAN46" s="420">
        <f t="shared" si="180"/>
        <v>0</v>
      </c>
      <c r="MAO46" s="420">
        <f t="shared" si="180"/>
        <v>0</v>
      </c>
      <c r="MAP46" s="420">
        <f t="shared" si="180"/>
        <v>0</v>
      </c>
      <c r="MAQ46" s="420">
        <f t="shared" si="180"/>
        <v>0</v>
      </c>
      <c r="MAR46" s="420">
        <f t="shared" si="180"/>
        <v>0</v>
      </c>
      <c r="MAS46" s="420">
        <f t="shared" si="180"/>
        <v>0</v>
      </c>
      <c r="MAT46" s="420">
        <f t="shared" si="180"/>
        <v>0</v>
      </c>
      <c r="MAU46" s="420">
        <f t="shared" si="180"/>
        <v>0</v>
      </c>
      <c r="MAV46" s="420">
        <f t="shared" si="180"/>
        <v>0</v>
      </c>
      <c r="MAW46" s="420">
        <f t="shared" ref="MAW46:MDH46" si="181">MAW45*0.8</f>
        <v>0</v>
      </c>
      <c r="MAX46" s="420">
        <f t="shared" si="181"/>
        <v>0</v>
      </c>
      <c r="MAY46" s="420">
        <f t="shared" si="181"/>
        <v>0</v>
      </c>
      <c r="MAZ46" s="420">
        <f t="shared" si="181"/>
        <v>0</v>
      </c>
      <c r="MBA46" s="420">
        <f t="shared" si="181"/>
        <v>0</v>
      </c>
      <c r="MBB46" s="420">
        <f t="shared" si="181"/>
        <v>0</v>
      </c>
      <c r="MBC46" s="420">
        <f t="shared" si="181"/>
        <v>0</v>
      </c>
      <c r="MBD46" s="420">
        <f t="shared" si="181"/>
        <v>0</v>
      </c>
      <c r="MBE46" s="420">
        <f t="shared" si="181"/>
        <v>0</v>
      </c>
      <c r="MBF46" s="420">
        <f t="shared" si="181"/>
        <v>0</v>
      </c>
      <c r="MBG46" s="420">
        <f t="shared" si="181"/>
        <v>0</v>
      </c>
      <c r="MBH46" s="420">
        <f t="shared" si="181"/>
        <v>0</v>
      </c>
      <c r="MBI46" s="420">
        <f t="shared" si="181"/>
        <v>0</v>
      </c>
      <c r="MBJ46" s="420">
        <f t="shared" si="181"/>
        <v>0</v>
      </c>
      <c r="MBK46" s="420">
        <f t="shared" si="181"/>
        <v>0</v>
      </c>
      <c r="MBL46" s="420">
        <f t="shared" si="181"/>
        <v>0</v>
      </c>
      <c r="MBM46" s="420">
        <f t="shared" si="181"/>
        <v>0</v>
      </c>
      <c r="MBN46" s="420">
        <f t="shared" si="181"/>
        <v>0</v>
      </c>
      <c r="MBO46" s="420">
        <f t="shared" si="181"/>
        <v>0</v>
      </c>
      <c r="MBP46" s="420">
        <f t="shared" si="181"/>
        <v>0</v>
      </c>
      <c r="MBQ46" s="420">
        <f t="shared" si="181"/>
        <v>0</v>
      </c>
      <c r="MBR46" s="420">
        <f t="shared" si="181"/>
        <v>0</v>
      </c>
      <c r="MBS46" s="420">
        <f t="shared" si="181"/>
        <v>0</v>
      </c>
      <c r="MBT46" s="420">
        <f t="shared" si="181"/>
        <v>0</v>
      </c>
      <c r="MBU46" s="420">
        <f t="shared" si="181"/>
        <v>0</v>
      </c>
      <c r="MBV46" s="420">
        <f t="shared" si="181"/>
        <v>0</v>
      </c>
      <c r="MBW46" s="420">
        <f t="shared" si="181"/>
        <v>0</v>
      </c>
      <c r="MBX46" s="420">
        <f t="shared" si="181"/>
        <v>0</v>
      </c>
      <c r="MBY46" s="420">
        <f t="shared" si="181"/>
        <v>0</v>
      </c>
      <c r="MBZ46" s="420">
        <f t="shared" si="181"/>
        <v>0</v>
      </c>
      <c r="MCA46" s="420">
        <f t="shared" si="181"/>
        <v>0</v>
      </c>
      <c r="MCB46" s="420">
        <f t="shared" si="181"/>
        <v>0</v>
      </c>
      <c r="MCC46" s="420">
        <f t="shared" si="181"/>
        <v>0</v>
      </c>
      <c r="MCD46" s="420">
        <f t="shared" si="181"/>
        <v>0</v>
      </c>
      <c r="MCE46" s="420">
        <f t="shared" si="181"/>
        <v>0</v>
      </c>
      <c r="MCF46" s="420">
        <f t="shared" si="181"/>
        <v>0</v>
      </c>
      <c r="MCG46" s="420">
        <f t="shared" si="181"/>
        <v>0</v>
      </c>
      <c r="MCH46" s="420">
        <f t="shared" si="181"/>
        <v>0</v>
      </c>
      <c r="MCI46" s="420">
        <f t="shared" si="181"/>
        <v>0</v>
      </c>
      <c r="MCJ46" s="420">
        <f t="shared" si="181"/>
        <v>0</v>
      </c>
      <c r="MCK46" s="420">
        <f t="shared" si="181"/>
        <v>0</v>
      </c>
      <c r="MCL46" s="420">
        <f t="shared" si="181"/>
        <v>0</v>
      </c>
      <c r="MCM46" s="420">
        <f t="shared" si="181"/>
        <v>0</v>
      </c>
      <c r="MCN46" s="420">
        <f t="shared" si="181"/>
        <v>0</v>
      </c>
      <c r="MCO46" s="420">
        <f t="shared" si="181"/>
        <v>0</v>
      </c>
      <c r="MCP46" s="420">
        <f t="shared" si="181"/>
        <v>0</v>
      </c>
      <c r="MCQ46" s="420">
        <f t="shared" si="181"/>
        <v>0</v>
      </c>
      <c r="MCR46" s="420">
        <f t="shared" si="181"/>
        <v>0</v>
      </c>
      <c r="MCS46" s="420">
        <f t="shared" si="181"/>
        <v>0</v>
      </c>
      <c r="MCT46" s="420">
        <f t="shared" si="181"/>
        <v>0</v>
      </c>
      <c r="MCU46" s="420">
        <f t="shared" si="181"/>
        <v>0</v>
      </c>
      <c r="MCV46" s="420">
        <f t="shared" si="181"/>
        <v>0</v>
      </c>
      <c r="MCW46" s="420">
        <f t="shared" si="181"/>
        <v>0</v>
      </c>
      <c r="MCX46" s="420">
        <f t="shared" si="181"/>
        <v>0</v>
      </c>
      <c r="MCY46" s="420">
        <f t="shared" si="181"/>
        <v>0</v>
      </c>
      <c r="MCZ46" s="420">
        <f t="shared" si="181"/>
        <v>0</v>
      </c>
      <c r="MDA46" s="420">
        <f t="shared" si="181"/>
        <v>0</v>
      </c>
      <c r="MDB46" s="420">
        <f t="shared" si="181"/>
        <v>0</v>
      </c>
      <c r="MDC46" s="420">
        <f t="shared" si="181"/>
        <v>0</v>
      </c>
      <c r="MDD46" s="420">
        <f t="shared" si="181"/>
        <v>0</v>
      </c>
      <c r="MDE46" s="420">
        <f t="shared" si="181"/>
        <v>0</v>
      </c>
      <c r="MDF46" s="420">
        <f t="shared" si="181"/>
        <v>0</v>
      </c>
      <c r="MDG46" s="420">
        <f t="shared" si="181"/>
        <v>0</v>
      </c>
      <c r="MDH46" s="420">
        <f t="shared" si="181"/>
        <v>0</v>
      </c>
      <c r="MDI46" s="420">
        <f t="shared" ref="MDI46:MFT46" si="182">MDI45*0.8</f>
        <v>0</v>
      </c>
      <c r="MDJ46" s="420">
        <f t="shared" si="182"/>
        <v>0</v>
      </c>
      <c r="MDK46" s="420">
        <f t="shared" si="182"/>
        <v>0</v>
      </c>
      <c r="MDL46" s="420">
        <f t="shared" si="182"/>
        <v>0</v>
      </c>
      <c r="MDM46" s="420">
        <f t="shared" si="182"/>
        <v>0</v>
      </c>
      <c r="MDN46" s="420">
        <f t="shared" si="182"/>
        <v>0</v>
      </c>
      <c r="MDO46" s="420">
        <f t="shared" si="182"/>
        <v>0</v>
      </c>
      <c r="MDP46" s="420">
        <f t="shared" si="182"/>
        <v>0</v>
      </c>
      <c r="MDQ46" s="420">
        <f t="shared" si="182"/>
        <v>0</v>
      </c>
      <c r="MDR46" s="420">
        <f t="shared" si="182"/>
        <v>0</v>
      </c>
      <c r="MDS46" s="420">
        <f t="shared" si="182"/>
        <v>0</v>
      </c>
      <c r="MDT46" s="420">
        <f t="shared" si="182"/>
        <v>0</v>
      </c>
      <c r="MDU46" s="420">
        <f t="shared" si="182"/>
        <v>0</v>
      </c>
      <c r="MDV46" s="420">
        <f t="shared" si="182"/>
        <v>0</v>
      </c>
      <c r="MDW46" s="420">
        <f t="shared" si="182"/>
        <v>0</v>
      </c>
      <c r="MDX46" s="420">
        <f t="shared" si="182"/>
        <v>0</v>
      </c>
      <c r="MDY46" s="420">
        <f t="shared" si="182"/>
        <v>0</v>
      </c>
      <c r="MDZ46" s="420">
        <f t="shared" si="182"/>
        <v>0</v>
      </c>
      <c r="MEA46" s="420">
        <f t="shared" si="182"/>
        <v>0</v>
      </c>
      <c r="MEB46" s="420">
        <f t="shared" si="182"/>
        <v>0</v>
      </c>
      <c r="MEC46" s="420">
        <f t="shared" si="182"/>
        <v>0</v>
      </c>
      <c r="MED46" s="420">
        <f t="shared" si="182"/>
        <v>0</v>
      </c>
      <c r="MEE46" s="420">
        <f t="shared" si="182"/>
        <v>0</v>
      </c>
      <c r="MEF46" s="420">
        <f t="shared" si="182"/>
        <v>0</v>
      </c>
      <c r="MEG46" s="420">
        <f t="shared" si="182"/>
        <v>0</v>
      </c>
      <c r="MEH46" s="420">
        <f t="shared" si="182"/>
        <v>0</v>
      </c>
      <c r="MEI46" s="420">
        <f t="shared" si="182"/>
        <v>0</v>
      </c>
      <c r="MEJ46" s="420">
        <f t="shared" si="182"/>
        <v>0</v>
      </c>
      <c r="MEK46" s="420">
        <f t="shared" si="182"/>
        <v>0</v>
      </c>
      <c r="MEL46" s="420">
        <f t="shared" si="182"/>
        <v>0</v>
      </c>
      <c r="MEM46" s="420">
        <f t="shared" si="182"/>
        <v>0</v>
      </c>
      <c r="MEN46" s="420">
        <f t="shared" si="182"/>
        <v>0</v>
      </c>
      <c r="MEO46" s="420">
        <f t="shared" si="182"/>
        <v>0</v>
      </c>
      <c r="MEP46" s="420">
        <f t="shared" si="182"/>
        <v>0</v>
      </c>
      <c r="MEQ46" s="420">
        <f t="shared" si="182"/>
        <v>0</v>
      </c>
      <c r="MER46" s="420">
        <f t="shared" si="182"/>
        <v>0</v>
      </c>
      <c r="MES46" s="420">
        <f t="shared" si="182"/>
        <v>0</v>
      </c>
      <c r="MET46" s="420">
        <f t="shared" si="182"/>
        <v>0</v>
      </c>
      <c r="MEU46" s="420">
        <f t="shared" si="182"/>
        <v>0</v>
      </c>
      <c r="MEV46" s="420">
        <f t="shared" si="182"/>
        <v>0</v>
      </c>
      <c r="MEW46" s="420">
        <f t="shared" si="182"/>
        <v>0</v>
      </c>
      <c r="MEX46" s="420">
        <f t="shared" si="182"/>
        <v>0</v>
      </c>
      <c r="MEY46" s="420">
        <f t="shared" si="182"/>
        <v>0</v>
      </c>
      <c r="MEZ46" s="420">
        <f t="shared" si="182"/>
        <v>0</v>
      </c>
      <c r="MFA46" s="420">
        <f t="shared" si="182"/>
        <v>0</v>
      </c>
      <c r="MFB46" s="420">
        <f t="shared" si="182"/>
        <v>0</v>
      </c>
      <c r="MFC46" s="420">
        <f t="shared" si="182"/>
        <v>0</v>
      </c>
      <c r="MFD46" s="420">
        <f t="shared" si="182"/>
        <v>0</v>
      </c>
      <c r="MFE46" s="420">
        <f t="shared" si="182"/>
        <v>0</v>
      </c>
      <c r="MFF46" s="420">
        <f t="shared" si="182"/>
        <v>0</v>
      </c>
      <c r="MFG46" s="420">
        <f t="shared" si="182"/>
        <v>0</v>
      </c>
      <c r="MFH46" s="420">
        <f t="shared" si="182"/>
        <v>0</v>
      </c>
      <c r="MFI46" s="420">
        <f t="shared" si="182"/>
        <v>0</v>
      </c>
      <c r="MFJ46" s="420">
        <f t="shared" si="182"/>
        <v>0</v>
      </c>
      <c r="MFK46" s="420">
        <f t="shared" si="182"/>
        <v>0</v>
      </c>
      <c r="MFL46" s="420">
        <f t="shared" si="182"/>
        <v>0</v>
      </c>
      <c r="MFM46" s="420">
        <f t="shared" si="182"/>
        <v>0</v>
      </c>
      <c r="MFN46" s="420">
        <f t="shared" si="182"/>
        <v>0</v>
      </c>
      <c r="MFO46" s="420">
        <f t="shared" si="182"/>
        <v>0</v>
      </c>
      <c r="MFP46" s="420">
        <f t="shared" si="182"/>
        <v>0</v>
      </c>
      <c r="MFQ46" s="420">
        <f t="shared" si="182"/>
        <v>0</v>
      </c>
      <c r="MFR46" s="420">
        <f t="shared" si="182"/>
        <v>0</v>
      </c>
      <c r="MFS46" s="420">
        <f t="shared" si="182"/>
        <v>0</v>
      </c>
      <c r="MFT46" s="420">
        <f t="shared" si="182"/>
        <v>0</v>
      </c>
      <c r="MFU46" s="420">
        <f t="shared" ref="MFU46:MIF46" si="183">MFU45*0.8</f>
        <v>0</v>
      </c>
      <c r="MFV46" s="420">
        <f t="shared" si="183"/>
        <v>0</v>
      </c>
      <c r="MFW46" s="420">
        <f t="shared" si="183"/>
        <v>0</v>
      </c>
      <c r="MFX46" s="420">
        <f t="shared" si="183"/>
        <v>0</v>
      </c>
      <c r="MFY46" s="420">
        <f t="shared" si="183"/>
        <v>0</v>
      </c>
      <c r="MFZ46" s="420">
        <f t="shared" si="183"/>
        <v>0</v>
      </c>
      <c r="MGA46" s="420">
        <f t="shared" si="183"/>
        <v>0</v>
      </c>
      <c r="MGB46" s="420">
        <f t="shared" si="183"/>
        <v>0</v>
      </c>
      <c r="MGC46" s="420">
        <f t="shared" si="183"/>
        <v>0</v>
      </c>
      <c r="MGD46" s="420">
        <f t="shared" si="183"/>
        <v>0</v>
      </c>
      <c r="MGE46" s="420">
        <f t="shared" si="183"/>
        <v>0</v>
      </c>
      <c r="MGF46" s="420">
        <f t="shared" si="183"/>
        <v>0</v>
      </c>
      <c r="MGG46" s="420">
        <f t="shared" si="183"/>
        <v>0</v>
      </c>
      <c r="MGH46" s="420">
        <f t="shared" si="183"/>
        <v>0</v>
      </c>
      <c r="MGI46" s="420">
        <f t="shared" si="183"/>
        <v>0</v>
      </c>
      <c r="MGJ46" s="420">
        <f t="shared" si="183"/>
        <v>0</v>
      </c>
      <c r="MGK46" s="420">
        <f t="shared" si="183"/>
        <v>0</v>
      </c>
      <c r="MGL46" s="420">
        <f t="shared" si="183"/>
        <v>0</v>
      </c>
      <c r="MGM46" s="420">
        <f t="shared" si="183"/>
        <v>0</v>
      </c>
      <c r="MGN46" s="420">
        <f t="shared" si="183"/>
        <v>0</v>
      </c>
      <c r="MGO46" s="420">
        <f t="shared" si="183"/>
        <v>0</v>
      </c>
      <c r="MGP46" s="420">
        <f t="shared" si="183"/>
        <v>0</v>
      </c>
      <c r="MGQ46" s="420">
        <f t="shared" si="183"/>
        <v>0</v>
      </c>
      <c r="MGR46" s="420">
        <f t="shared" si="183"/>
        <v>0</v>
      </c>
      <c r="MGS46" s="420">
        <f t="shared" si="183"/>
        <v>0</v>
      </c>
      <c r="MGT46" s="420">
        <f t="shared" si="183"/>
        <v>0</v>
      </c>
      <c r="MGU46" s="420">
        <f t="shared" si="183"/>
        <v>0</v>
      </c>
      <c r="MGV46" s="420">
        <f t="shared" si="183"/>
        <v>0</v>
      </c>
      <c r="MGW46" s="420">
        <f t="shared" si="183"/>
        <v>0</v>
      </c>
      <c r="MGX46" s="420">
        <f t="shared" si="183"/>
        <v>0</v>
      </c>
      <c r="MGY46" s="420">
        <f t="shared" si="183"/>
        <v>0</v>
      </c>
      <c r="MGZ46" s="420">
        <f t="shared" si="183"/>
        <v>0</v>
      </c>
      <c r="MHA46" s="420">
        <f t="shared" si="183"/>
        <v>0</v>
      </c>
      <c r="MHB46" s="420">
        <f t="shared" si="183"/>
        <v>0</v>
      </c>
      <c r="MHC46" s="420">
        <f t="shared" si="183"/>
        <v>0</v>
      </c>
      <c r="MHD46" s="420">
        <f t="shared" si="183"/>
        <v>0</v>
      </c>
      <c r="MHE46" s="420">
        <f t="shared" si="183"/>
        <v>0</v>
      </c>
      <c r="MHF46" s="420">
        <f t="shared" si="183"/>
        <v>0</v>
      </c>
      <c r="MHG46" s="420">
        <f t="shared" si="183"/>
        <v>0</v>
      </c>
      <c r="MHH46" s="420">
        <f t="shared" si="183"/>
        <v>0</v>
      </c>
      <c r="MHI46" s="420">
        <f t="shared" si="183"/>
        <v>0</v>
      </c>
      <c r="MHJ46" s="420">
        <f t="shared" si="183"/>
        <v>0</v>
      </c>
      <c r="MHK46" s="420">
        <f t="shared" si="183"/>
        <v>0</v>
      </c>
      <c r="MHL46" s="420">
        <f t="shared" si="183"/>
        <v>0</v>
      </c>
      <c r="MHM46" s="420">
        <f t="shared" si="183"/>
        <v>0</v>
      </c>
      <c r="MHN46" s="420">
        <f t="shared" si="183"/>
        <v>0</v>
      </c>
      <c r="MHO46" s="420">
        <f t="shared" si="183"/>
        <v>0</v>
      </c>
      <c r="MHP46" s="420">
        <f t="shared" si="183"/>
        <v>0</v>
      </c>
      <c r="MHQ46" s="420">
        <f t="shared" si="183"/>
        <v>0</v>
      </c>
      <c r="MHR46" s="420">
        <f t="shared" si="183"/>
        <v>0</v>
      </c>
      <c r="MHS46" s="420">
        <f t="shared" si="183"/>
        <v>0</v>
      </c>
      <c r="MHT46" s="420">
        <f t="shared" si="183"/>
        <v>0</v>
      </c>
      <c r="MHU46" s="420">
        <f t="shared" si="183"/>
        <v>0</v>
      </c>
      <c r="MHV46" s="420">
        <f t="shared" si="183"/>
        <v>0</v>
      </c>
      <c r="MHW46" s="420">
        <f t="shared" si="183"/>
        <v>0</v>
      </c>
      <c r="MHX46" s="420">
        <f t="shared" si="183"/>
        <v>0</v>
      </c>
      <c r="MHY46" s="420">
        <f t="shared" si="183"/>
        <v>0</v>
      </c>
      <c r="MHZ46" s="420">
        <f t="shared" si="183"/>
        <v>0</v>
      </c>
      <c r="MIA46" s="420">
        <f t="shared" si="183"/>
        <v>0</v>
      </c>
      <c r="MIB46" s="420">
        <f t="shared" si="183"/>
        <v>0</v>
      </c>
      <c r="MIC46" s="420">
        <f t="shared" si="183"/>
        <v>0</v>
      </c>
      <c r="MID46" s="420">
        <f t="shared" si="183"/>
        <v>0</v>
      </c>
      <c r="MIE46" s="420">
        <f t="shared" si="183"/>
        <v>0</v>
      </c>
      <c r="MIF46" s="420">
        <f t="shared" si="183"/>
        <v>0</v>
      </c>
      <c r="MIG46" s="420">
        <f t="shared" ref="MIG46:MKR46" si="184">MIG45*0.8</f>
        <v>0</v>
      </c>
      <c r="MIH46" s="420">
        <f t="shared" si="184"/>
        <v>0</v>
      </c>
      <c r="MII46" s="420">
        <f t="shared" si="184"/>
        <v>0</v>
      </c>
      <c r="MIJ46" s="420">
        <f t="shared" si="184"/>
        <v>0</v>
      </c>
      <c r="MIK46" s="420">
        <f t="shared" si="184"/>
        <v>0</v>
      </c>
      <c r="MIL46" s="420">
        <f t="shared" si="184"/>
        <v>0</v>
      </c>
      <c r="MIM46" s="420">
        <f t="shared" si="184"/>
        <v>0</v>
      </c>
      <c r="MIN46" s="420">
        <f t="shared" si="184"/>
        <v>0</v>
      </c>
      <c r="MIO46" s="420">
        <f t="shared" si="184"/>
        <v>0</v>
      </c>
      <c r="MIP46" s="420">
        <f t="shared" si="184"/>
        <v>0</v>
      </c>
      <c r="MIQ46" s="420">
        <f t="shared" si="184"/>
        <v>0</v>
      </c>
      <c r="MIR46" s="420">
        <f t="shared" si="184"/>
        <v>0</v>
      </c>
      <c r="MIS46" s="420">
        <f t="shared" si="184"/>
        <v>0</v>
      </c>
      <c r="MIT46" s="420">
        <f t="shared" si="184"/>
        <v>0</v>
      </c>
      <c r="MIU46" s="420">
        <f t="shared" si="184"/>
        <v>0</v>
      </c>
      <c r="MIV46" s="420">
        <f t="shared" si="184"/>
        <v>0</v>
      </c>
      <c r="MIW46" s="420">
        <f t="shared" si="184"/>
        <v>0</v>
      </c>
      <c r="MIX46" s="420">
        <f t="shared" si="184"/>
        <v>0</v>
      </c>
      <c r="MIY46" s="420">
        <f t="shared" si="184"/>
        <v>0</v>
      </c>
      <c r="MIZ46" s="420">
        <f t="shared" si="184"/>
        <v>0</v>
      </c>
      <c r="MJA46" s="420">
        <f t="shared" si="184"/>
        <v>0</v>
      </c>
      <c r="MJB46" s="420">
        <f t="shared" si="184"/>
        <v>0</v>
      </c>
      <c r="MJC46" s="420">
        <f t="shared" si="184"/>
        <v>0</v>
      </c>
      <c r="MJD46" s="420">
        <f t="shared" si="184"/>
        <v>0</v>
      </c>
      <c r="MJE46" s="420">
        <f t="shared" si="184"/>
        <v>0</v>
      </c>
      <c r="MJF46" s="420">
        <f t="shared" si="184"/>
        <v>0</v>
      </c>
      <c r="MJG46" s="420">
        <f t="shared" si="184"/>
        <v>0</v>
      </c>
      <c r="MJH46" s="420">
        <f t="shared" si="184"/>
        <v>0</v>
      </c>
      <c r="MJI46" s="420">
        <f t="shared" si="184"/>
        <v>0</v>
      </c>
      <c r="MJJ46" s="420">
        <f t="shared" si="184"/>
        <v>0</v>
      </c>
      <c r="MJK46" s="420">
        <f t="shared" si="184"/>
        <v>0</v>
      </c>
      <c r="MJL46" s="420">
        <f t="shared" si="184"/>
        <v>0</v>
      </c>
      <c r="MJM46" s="420">
        <f t="shared" si="184"/>
        <v>0</v>
      </c>
      <c r="MJN46" s="420">
        <f t="shared" si="184"/>
        <v>0</v>
      </c>
      <c r="MJO46" s="420">
        <f t="shared" si="184"/>
        <v>0</v>
      </c>
      <c r="MJP46" s="420">
        <f t="shared" si="184"/>
        <v>0</v>
      </c>
      <c r="MJQ46" s="420">
        <f t="shared" si="184"/>
        <v>0</v>
      </c>
      <c r="MJR46" s="420">
        <f t="shared" si="184"/>
        <v>0</v>
      </c>
      <c r="MJS46" s="420">
        <f t="shared" si="184"/>
        <v>0</v>
      </c>
      <c r="MJT46" s="420">
        <f t="shared" si="184"/>
        <v>0</v>
      </c>
      <c r="MJU46" s="420">
        <f t="shared" si="184"/>
        <v>0</v>
      </c>
      <c r="MJV46" s="420">
        <f t="shared" si="184"/>
        <v>0</v>
      </c>
      <c r="MJW46" s="420">
        <f t="shared" si="184"/>
        <v>0</v>
      </c>
      <c r="MJX46" s="420">
        <f t="shared" si="184"/>
        <v>0</v>
      </c>
      <c r="MJY46" s="420">
        <f t="shared" si="184"/>
        <v>0</v>
      </c>
      <c r="MJZ46" s="420">
        <f t="shared" si="184"/>
        <v>0</v>
      </c>
      <c r="MKA46" s="420">
        <f t="shared" si="184"/>
        <v>0</v>
      </c>
      <c r="MKB46" s="420">
        <f t="shared" si="184"/>
        <v>0</v>
      </c>
      <c r="MKC46" s="420">
        <f t="shared" si="184"/>
        <v>0</v>
      </c>
      <c r="MKD46" s="420">
        <f t="shared" si="184"/>
        <v>0</v>
      </c>
      <c r="MKE46" s="420">
        <f t="shared" si="184"/>
        <v>0</v>
      </c>
      <c r="MKF46" s="420">
        <f t="shared" si="184"/>
        <v>0</v>
      </c>
      <c r="MKG46" s="420">
        <f t="shared" si="184"/>
        <v>0</v>
      </c>
      <c r="MKH46" s="420">
        <f t="shared" si="184"/>
        <v>0</v>
      </c>
      <c r="MKI46" s="420">
        <f t="shared" si="184"/>
        <v>0</v>
      </c>
      <c r="MKJ46" s="420">
        <f t="shared" si="184"/>
        <v>0</v>
      </c>
      <c r="MKK46" s="420">
        <f t="shared" si="184"/>
        <v>0</v>
      </c>
      <c r="MKL46" s="420">
        <f t="shared" si="184"/>
        <v>0</v>
      </c>
      <c r="MKM46" s="420">
        <f t="shared" si="184"/>
        <v>0</v>
      </c>
      <c r="MKN46" s="420">
        <f t="shared" si="184"/>
        <v>0</v>
      </c>
      <c r="MKO46" s="420">
        <f t="shared" si="184"/>
        <v>0</v>
      </c>
      <c r="MKP46" s="420">
        <f t="shared" si="184"/>
        <v>0</v>
      </c>
      <c r="MKQ46" s="420">
        <f t="shared" si="184"/>
        <v>0</v>
      </c>
      <c r="MKR46" s="420">
        <f t="shared" si="184"/>
        <v>0</v>
      </c>
      <c r="MKS46" s="420">
        <f t="shared" ref="MKS46:MND46" si="185">MKS45*0.8</f>
        <v>0</v>
      </c>
      <c r="MKT46" s="420">
        <f t="shared" si="185"/>
        <v>0</v>
      </c>
      <c r="MKU46" s="420">
        <f t="shared" si="185"/>
        <v>0</v>
      </c>
      <c r="MKV46" s="420">
        <f t="shared" si="185"/>
        <v>0</v>
      </c>
      <c r="MKW46" s="420">
        <f t="shared" si="185"/>
        <v>0</v>
      </c>
      <c r="MKX46" s="420">
        <f t="shared" si="185"/>
        <v>0</v>
      </c>
      <c r="MKY46" s="420">
        <f t="shared" si="185"/>
        <v>0</v>
      </c>
      <c r="MKZ46" s="420">
        <f t="shared" si="185"/>
        <v>0</v>
      </c>
      <c r="MLA46" s="420">
        <f t="shared" si="185"/>
        <v>0</v>
      </c>
      <c r="MLB46" s="420">
        <f t="shared" si="185"/>
        <v>0</v>
      </c>
      <c r="MLC46" s="420">
        <f t="shared" si="185"/>
        <v>0</v>
      </c>
      <c r="MLD46" s="420">
        <f t="shared" si="185"/>
        <v>0</v>
      </c>
      <c r="MLE46" s="420">
        <f t="shared" si="185"/>
        <v>0</v>
      </c>
      <c r="MLF46" s="420">
        <f t="shared" si="185"/>
        <v>0</v>
      </c>
      <c r="MLG46" s="420">
        <f t="shared" si="185"/>
        <v>0</v>
      </c>
      <c r="MLH46" s="420">
        <f t="shared" si="185"/>
        <v>0</v>
      </c>
      <c r="MLI46" s="420">
        <f t="shared" si="185"/>
        <v>0</v>
      </c>
      <c r="MLJ46" s="420">
        <f t="shared" si="185"/>
        <v>0</v>
      </c>
      <c r="MLK46" s="420">
        <f t="shared" si="185"/>
        <v>0</v>
      </c>
      <c r="MLL46" s="420">
        <f t="shared" si="185"/>
        <v>0</v>
      </c>
      <c r="MLM46" s="420">
        <f t="shared" si="185"/>
        <v>0</v>
      </c>
      <c r="MLN46" s="420">
        <f t="shared" si="185"/>
        <v>0</v>
      </c>
      <c r="MLO46" s="420">
        <f t="shared" si="185"/>
        <v>0</v>
      </c>
      <c r="MLP46" s="420">
        <f t="shared" si="185"/>
        <v>0</v>
      </c>
      <c r="MLQ46" s="420">
        <f t="shared" si="185"/>
        <v>0</v>
      </c>
      <c r="MLR46" s="420">
        <f t="shared" si="185"/>
        <v>0</v>
      </c>
      <c r="MLS46" s="420">
        <f t="shared" si="185"/>
        <v>0</v>
      </c>
      <c r="MLT46" s="420">
        <f t="shared" si="185"/>
        <v>0</v>
      </c>
      <c r="MLU46" s="420">
        <f t="shared" si="185"/>
        <v>0</v>
      </c>
      <c r="MLV46" s="420">
        <f t="shared" si="185"/>
        <v>0</v>
      </c>
      <c r="MLW46" s="420">
        <f t="shared" si="185"/>
        <v>0</v>
      </c>
      <c r="MLX46" s="420">
        <f t="shared" si="185"/>
        <v>0</v>
      </c>
      <c r="MLY46" s="420">
        <f t="shared" si="185"/>
        <v>0</v>
      </c>
      <c r="MLZ46" s="420">
        <f t="shared" si="185"/>
        <v>0</v>
      </c>
      <c r="MMA46" s="420">
        <f t="shared" si="185"/>
        <v>0</v>
      </c>
      <c r="MMB46" s="420">
        <f t="shared" si="185"/>
        <v>0</v>
      </c>
      <c r="MMC46" s="420">
        <f t="shared" si="185"/>
        <v>0</v>
      </c>
      <c r="MMD46" s="420">
        <f t="shared" si="185"/>
        <v>0</v>
      </c>
      <c r="MME46" s="420">
        <f t="shared" si="185"/>
        <v>0</v>
      </c>
      <c r="MMF46" s="420">
        <f t="shared" si="185"/>
        <v>0</v>
      </c>
      <c r="MMG46" s="420">
        <f t="shared" si="185"/>
        <v>0</v>
      </c>
      <c r="MMH46" s="420">
        <f t="shared" si="185"/>
        <v>0</v>
      </c>
      <c r="MMI46" s="420">
        <f t="shared" si="185"/>
        <v>0</v>
      </c>
      <c r="MMJ46" s="420">
        <f t="shared" si="185"/>
        <v>0</v>
      </c>
      <c r="MMK46" s="420">
        <f t="shared" si="185"/>
        <v>0</v>
      </c>
      <c r="MML46" s="420">
        <f t="shared" si="185"/>
        <v>0</v>
      </c>
      <c r="MMM46" s="420">
        <f t="shared" si="185"/>
        <v>0</v>
      </c>
      <c r="MMN46" s="420">
        <f t="shared" si="185"/>
        <v>0</v>
      </c>
      <c r="MMO46" s="420">
        <f t="shared" si="185"/>
        <v>0</v>
      </c>
      <c r="MMP46" s="420">
        <f t="shared" si="185"/>
        <v>0</v>
      </c>
      <c r="MMQ46" s="420">
        <f t="shared" si="185"/>
        <v>0</v>
      </c>
      <c r="MMR46" s="420">
        <f t="shared" si="185"/>
        <v>0</v>
      </c>
      <c r="MMS46" s="420">
        <f t="shared" si="185"/>
        <v>0</v>
      </c>
      <c r="MMT46" s="420">
        <f t="shared" si="185"/>
        <v>0</v>
      </c>
      <c r="MMU46" s="420">
        <f t="shared" si="185"/>
        <v>0</v>
      </c>
      <c r="MMV46" s="420">
        <f t="shared" si="185"/>
        <v>0</v>
      </c>
      <c r="MMW46" s="420">
        <f t="shared" si="185"/>
        <v>0</v>
      </c>
      <c r="MMX46" s="420">
        <f t="shared" si="185"/>
        <v>0</v>
      </c>
      <c r="MMY46" s="420">
        <f t="shared" si="185"/>
        <v>0</v>
      </c>
      <c r="MMZ46" s="420">
        <f t="shared" si="185"/>
        <v>0</v>
      </c>
      <c r="MNA46" s="420">
        <f t="shared" si="185"/>
        <v>0</v>
      </c>
      <c r="MNB46" s="420">
        <f t="shared" si="185"/>
        <v>0</v>
      </c>
      <c r="MNC46" s="420">
        <f t="shared" si="185"/>
        <v>0</v>
      </c>
      <c r="MND46" s="420">
        <f t="shared" si="185"/>
        <v>0</v>
      </c>
      <c r="MNE46" s="420">
        <f t="shared" ref="MNE46:MPP46" si="186">MNE45*0.8</f>
        <v>0</v>
      </c>
      <c r="MNF46" s="420">
        <f t="shared" si="186"/>
        <v>0</v>
      </c>
      <c r="MNG46" s="420">
        <f t="shared" si="186"/>
        <v>0</v>
      </c>
      <c r="MNH46" s="420">
        <f t="shared" si="186"/>
        <v>0</v>
      </c>
      <c r="MNI46" s="420">
        <f t="shared" si="186"/>
        <v>0</v>
      </c>
      <c r="MNJ46" s="420">
        <f t="shared" si="186"/>
        <v>0</v>
      </c>
      <c r="MNK46" s="420">
        <f t="shared" si="186"/>
        <v>0</v>
      </c>
      <c r="MNL46" s="420">
        <f t="shared" si="186"/>
        <v>0</v>
      </c>
      <c r="MNM46" s="420">
        <f t="shared" si="186"/>
        <v>0</v>
      </c>
      <c r="MNN46" s="420">
        <f t="shared" si="186"/>
        <v>0</v>
      </c>
      <c r="MNO46" s="420">
        <f t="shared" si="186"/>
        <v>0</v>
      </c>
      <c r="MNP46" s="420">
        <f t="shared" si="186"/>
        <v>0</v>
      </c>
      <c r="MNQ46" s="420">
        <f t="shared" si="186"/>
        <v>0</v>
      </c>
      <c r="MNR46" s="420">
        <f t="shared" si="186"/>
        <v>0</v>
      </c>
      <c r="MNS46" s="420">
        <f t="shared" si="186"/>
        <v>0</v>
      </c>
      <c r="MNT46" s="420">
        <f t="shared" si="186"/>
        <v>0</v>
      </c>
      <c r="MNU46" s="420">
        <f t="shared" si="186"/>
        <v>0</v>
      </c>
      <c r="MNV46" s="420">
        <f t="shared" si="186"/>
        <v>0</v>
      </c>
      <c r="MNW46" s="420">
        <f t="shared" si="186"/>
        <v>0</v>
      </c>
      <c r="MNX46" s="420">
        <f t="shared" si="186"/>
        <v>0</v>
      </c>
      <c r="MNY46" s="420">
        <f t="shared" si="186"/>
        <v>0</v>
      </c>
      <c r="MNZ46" s="420">
        <f t="shared" si="186"/>
        <v>0</v>
      </c>
      <c r="MOA46" s="420">
        <f t="shared" si="186"/>
        <v>0</v>
      </c>
      <c r="MOB46" s="420">
        <f t="shared" si="186"/>
        <v>0</v>
      </c>
      <c r="MOC46" s="420">
        <f t="shared" si="186"/>
        <v>0</v>
      </c>
      <c r="MOD46" s="420">
        <f t="shared" si="186"/>
        <v>0</v>
      </c>
      <c r="MOE46" s="420">
        <f t="shared" si="186"/>
        <v>0</v>
      </c>
      <c r="MOF46" s="420">
        <f t="shared" si="186"/>
        <v>0</v>
      </c>
      <c r="MOG46" s="420">
        <f t="shared" si="186"/>
        <v>0</v>
      </c>
      <c r="MOH46" s="420">
        <f t="shared" si="186"/>
        <v>0</v>
      </c>
      <c r="MOI46" s="420">
        <f t="shared" si="186"/>
        <v>0</v>
      </c>
      <c r="MOJ46" s="420">
        <f t="shared" si="186"/>
        <v>0</v>
      </c>
      <c r="MOK46" s="420">
        <f t="shared" si="186"/>
        <v>0</v>
      </c>
      <c r="MOL46" s="420">
        <f t="shared" si="186"/>
        <v>0</v>
      </c>
      <c r="MOM46" s="420">
        <f t="shared" si="186"/>
        <v>0</v>
      </c>
      <c r="MON46" s="420">
        <f t="shared" si="186"/>
        <v>0</v>
      </c>
      <c r="MOO46" s="420">
        <f t="shared" si="186"/>
        <v>0</v>
      </c>
      <c r="MOP46" s="420">
        <f t="shared" si="186"/>
        <v>0</v>
      </c>
      <c r="MOQ46" s="420">
        <f t="shared" si="186"/>
        <v>0</v>
      </c>
      <c r="MOR46" s="420">
        <f t="shared" si="186"/>
        <v>0</v>
      </c>
      <c r="MOS46" s="420">
        <f t="shared" si="186"/>
        <v>0</v>
      </c>
      <c r="MOT46" s="420">
        <f t="shared" si="186"/>
        <v>0</v>
      </c>
      <c r="MOU46" s="420">
        <f t="shared" si="186"/>
        <v>0</v>
      </c>
      <c r="MOV46" s="420">
        <f t="shared" si="186"/>
        <v>0</v>
      </c>
      <c r="MOW46" s="420">
        <f t="shared" si="186"/>
        <v>0</v>
      </c>
      <c r="MOX46" s="420">
        <f t="shared" si="186"/>
        <v>0</v>
      </c>
      <c r="MOY46" s="420">
        <f t="shared" si="186"/>
        <v>0</v>
      </c>
      <c r="MOZ46" s="420">
        <f t="shared" si="186"/>
        <v>0</v>
      </c>
      <c r="MPA46" s="420">
        <f t="shared" si="186"/>
        <v>0</v>
      </c>
      <c r="MPB46" s="420">
        <f t="shared" si="186"/>
        <v>0</v>
      </c>
      <c r="MPC46" s="420">
        <f t="shared" si="186"/>
        <v>0</v>
      </c>
      <c r="MPD46" s="420">
        <f t="shared" si="186"/>
        <v>0</v>
      </c>
      <c r="MPE46" s="420">
        <f t="shared" si="186"/>
        <v>0</v>
      </c>
      <c r="MPF46" s="420">
        <f t="shared" si="186"/>
        <v>0</v>
      </c>
      <c r="MPG46" s="420">
        <f t="shared" si="186"/>
        <v>0</v>
      </c>
      <c r="MPH46" s="420">
        <f t="shared" si="186"/>
        <v>0</v>
      </c>
      <c r="MPI46" s="420">
        <f t="shared" si="186"/>
        <v>0</v>
      </c>
      <c r="MPJ46" s="420">
        <f t="shared" si="186"/>
        <v>0</v>
      </c>
      <c r="MPK46" s="420">
        <f t="shared" si="186"/>
        <v>0</v>
      </c>
      <c r="MPL46" s="420">
        <f t="shared" si="186"/>
        <v>0</v>
      </c>
      <c r="MPM46" s="420">
        <f t="shared" si="186"/>
        <v>0</v>
      </c>
      <c r="MPN46" s="420">
        <f t="shared" si="186"/>
        <v>0</v>
      </c>
      <c r="MPO46" s="420">
        <f t="shared" si="186"/>
        <v>0</v>
      </c>
      <c r="MPP46" s="420">
        <f t="shared" si="186"/>
        <v>0</v>
      </c>
      <c r="MPQ46" s="420">
        <f t="shared" ref="MPQ46:MSB46" si="187">MPQ45*0.8</f>
        <v>0</v>
      </c>
      <c r="MPR46" s="420">
        <f t="shared" si="187"/>
        <v>0</v>
      </c>
      <c r="MPS46" s="420">
        <f t="shared" si="187"/>
        <v>0</v>
      </c>
      <c r="MPT46" s="420">
        <f t="shared" si="187"/>
        <v>0</v>
      </c>
      <c r="MPU46" s="420">
        <f t="shared" si="187"/>
        <v>0</v>
      </c>
      <c r="MPV46" s="420">
        <f t="shared" si="187"/>
        <v>0</v>
      </c>
      <c r="MPW46" s="420">
        <f t="shared" si="187"/>
        <v>0</v>
      </c>
      <c r="MPX46" s="420">
        <f t="shared" si="187"/>
        <v>0</v>
      </c>
      <c r="MPY46" s="420">
        <f t="shared" si="187"/>
        <v>0</v>
      </c>
      <c r="MPZ46" s="420">
        <f t="shared" si="187"/>
        <v>0</v>
      </c>
      <c r="MQA46" s="420">
        <f t="shared" si="187"/>
        <v>0</v>
      </c>
      <c r="MQB46" s="420">
        <f t="shared" si="187"/>
        <v>0</v>
      </c>
      <c r="MQC46" s="420">
        <f t="shared" si="187"/>
        <v>0</v>
      </c>
      <c r="MQD46" s="420">
        <f t="shared" si="187"/>
        <v>0</v>
      </c>
      <c r="MQE46" s="420">
        <f t="shared" si="187"/>
        <v>0</v>
      </c>
      <c r="MQF46" s="420">
        <f t="shared" si="187"/>
        <v>0</v>
      </c>
      <c r="MQG46" s="420">
        <f t="shared" si="187"/>
        <v>0</v>
      </c>
      <c r="MQH46" s="420">
        <f t="shared" si="187"/>
        <v>0</v>
      </c>
      <c r="MQI46" s="420">
        <f t="shared" si="187"/>
        <v>0</v>
      </c>
      <c r="MQJ46" s="420">
        <f t="shared" si="187"/>
        <v>0</v>
      </c>
      <c r="MQK46" s="420">
        <f t="shared" si="187"/>
        <v>0</v>
      </c>
      <c r="MQL46" s="420">
        <f t="shared" si="187"/>
        <v>0</v>
      </c>
      <c r="MQM46" s="420">
        <f t="shared" si="187"/>
        <v>0</v>
      </c>
      <c r="MQN46" s="420">
        <f t="shared" si="187"/>
        <v>0</v>
      </c>
      <c r="MQO46" s="420">
        <f t="shared" si="187"/>
        <v>0</v>
      </c>
      <c r="MQP46" s="420">
        <f t="shared" si="187"/>
        <v>0</v>
      </c>
      <c r="MQQ46" s="420">
        <f t="shared" si="187"/>
        <v>0</v>
      </c>
      <c r="MQR46" s="420">
        <f t="shared" si="187"/>
        <v>0</v>
      </c>
      <c r="MQS46" s="420">
        <f t="shared" si="187"/>
        <v>0</v>
      </c>
      <c r="MQT46" s="420">
        <f t="shared" si="187"/>
        <v>0</v>
      </c>
      <c r="MQU46" s="420">
        <f t="shared" si="187"/>
        <v>0</v>
      </c>
      <c r="MQV46" s="420">
        <f t="shared" si="187"/>
        <v>0</v>
      </c>
      <c r="MQW46" s="420">
        <f t="shared" si="187"/>
        <v>0</v>
      </c>
      <c r="MQX46" s="420">
        <f t="shared" si="187"/>
        <v>0</v>
      </c>
      <c r="MQY46" s="420">
        <f t="shared" si="187"/>
        <v>0</v>
      </c>
      <c r="MQZ46" s="420">
        <f t="shared" si="187"/>
        <v>0</v>
      </c>
      <c r="MRA46" s="420">
        <f t="shared" si="187"/>
        <v>0</v>
      </c>
      <c r="MRB46" s="420">
        <f t="shared" si="187"/>
        <v>0</v>
      </c>
      <c r="MRC46" s="420">
        <f t="shared" si="187"/>
        <v>0</v>
      </c>
      <c r="MRD46" s="420">
        <f t="shared" si="187"/>
        <v>0</v>
      </c>
      <c r="MRE46" s="420">
        <f t="shared" si="187"/>
        <v>0</v>
      </c>
      <c r="MRF46" s="420">
        <f t="shared" si="187"/>
        <v>0</v>
      </c>
      <c r="MRG46" s="420">
        <f t="shared" si="187"/>
        <v>0</v>
      </c>
      <c r="MRH46" s="420">
        <f t="shared" si="187"/>
        <v>0</v>
      </c>
      <c r="MRI46" s="420">
        <f t="shared" si="187"/>
        <v>0</v>
      </c>
      <c r="MRJ46" s="420">
        <f t="shared" si="187"/>
        <v>0</v>
      </c>
      <c r="MRK46" s="420">
        <f t="shared" si="187"/>
        <v>0</v>
      </c>
      <c r="MRL46" s="420">
        <f t="shared" si="187"/>
        <v>0</v>
      </c>
      <c r="MRM46" s="420">
        <f t="shared" si="187"/>
        <v>0</v>
      </c>
      <c r="MRN46" s="420">
        <f t="shared" si="187"/>
        <v>0</v>
      </c>
      <c r="MRO46" s="420">
        <f t="shared" si="187"/>
        <v>0</v>
      </c>
      <c r="MRP46" s="420">
        <f t="shared" si="187"/>
        <v>0</v>
      </c>
      <c r="MRQ46" s="420">
        <f t="shared" si="187"/>
        <v>0</v>
      </c>
      <c r="MRR46" s="420">
        <f t="shared" si="187"/>
        <v>0</v>
      </c>
      <c r="MRS46" s="420">
        <f t="shared" si="187"/>
        <v>0</v>
      </c>
      <c r="MRT46" s="420">
        <f t="shared" si="187"/>
        <v>0</v>
      </c>
      <c r="MRU46" s="420">
        <f t="shared" si="187"/>
        <v>0</v>
      </c>
      <c r="MRV46" s="420">
        <f t="shared" si="187"/>
        <v>0</v>
      </c>
      <c r="MRW46" s="420">
        <f t="shared" si="187"/>
        <v>0</v>
      </c>
      <c r="MRX46" s="420">
        <f t="shared" si="187"/>
        <v>0</v>
      </c>
      <c r="MRY46" s="420">
        <f t="shared" si="187"/>
        <v>0</v>
      </c>
      <c r="MRZ46" s="420">
        <f t="shared" si="187"/>
        <v>0</v>
      </c>
      <c r="MSA46" s="420">
        <f t="shared" si="187"/>
        <v>0</v>
      </c>
      <c r="MSB46" s="420">
        <f t="shared" si="187"/>
        <v>0</v>
      </c>
      <c r="MSC46" s="420">
        <f t="shared" ref="MSC46:MUN46" si="188">MSC45*0.8</f>
        <v>0</v>
      </c>
      <c r="MSD46" s="420">
        <f t="shared" si="188"/>
        <v>0</v>
      </c>
      <c r="MSE46" s="420">
        <f t="shared" si="188"/>
        <v>0</v>
      </c>
      <c r="MSF46" s="420">
        <f t="shared" si="188"/>
        <v>0</v>
      </c>
      <c r="MSG46" s="420">
        <f t="shared" si="188"/>
        <v>0</v>
      </c>
      <c r="MSH46" s="420">
        <f t="shared" si="188"/>
        <v>0</v>
      </c>
      <c r="MSI46" s="420">
        <f t="shared" si="188"/>
        <v>0</v>
      </c>
      <c r="MSJ46" s="420">
        <f t="shared" si="188"/>
        <v>0</v>
      </c>
      <c r="MSK46" s="420">
        <f t="shared" si="188"/>
        <v>0</v>
      </c>
      <c r="MSL46" s="420">
        <f t="shared" si="188"/>
        <v>0</v>
      </c>
      <c r="MSM46" s="420">
        <f t="shared" si="188"/>
        <v>0</v>
      </c>
      <c r="MSN46" s="420">
        <f t="shared" si="188"/>
        <v>0</v>
      </c>
      <c r="MSO46" s="420">
        <f t="shared" si="188"/>
        <v>0</v>
      </c>
      <c r="MSP46" s="420">
        <f t="shared" si="188"/>
        <v>0</v>
      </c>
      <c r="MSQ46" s="420">
        <f t="shared" si="188"/>
        <v>0</v>
      </c>
      <c r="MSR46" s="420">
        <f t="shared" si="188"/>
        <v>0</v>
      </c>
      <c r="MSS46" s="420">
        <f t="shared" si="188"/>
        <v>0</v>
      </c>
      <c r="MST46" s="420">
        <f t="shared" si="188"/>
        <v>0</v>
      </c>
      <c r="MSU46" s="420">
        <f t="shared" si="188"/>
        <v>0</v>
      </c>
      <c r="MSV46" s="420">
        <f t="shared" si="188"/>
        <v>0</v>
      </c>
      <c r="MSW46" s="420">
        <f t="shared" si="188"/>
        <v>0</v>
      </c>
      <c r="MSX46" s="420">
        <f t="shared" si="188"/>
        <v>0</v>
      </c>
      <c r="MSY46" s="420">
        <f t="shared" si="188"/>
        <v>0</v>
      </c>
      <c r="MSZ46" s="420">
        <f t="shared" si="188"/>
        <v>0</v>
      </c>
      <c r="MTA46" s="420">
        <f t="shared" si="188"/>
        <v>0</v>
      </c>
      <c r="MTB46" s="420">
        <f t="shared" si="188"/>
        <v>0</v>
      </c>
      <c r="MTC46" s="420">
        <f t="shared" si="188"/>
        <v>0</v>
      </c>
      <c r="MTD46" s="420">
        <f t="shared" si="188"/>
        <v>0</v>
      </c>
      <c r="MTE46" s="420">
        <f t="shared" si="188"/>
        <v>0</v>
      </c>
      <c r="MTF46" s="420">
        <f t="shared" si="188"/>
        <v>0</v>
      </c>
      <c r="MTG46" s="420">
        <f t="shared" si="188"/>
        <v>0</v>
      </c>
      <c r="MTH46" s="420">
        <f t="shared" si="188"/>
        <v>0</v>
      </c>
      <c r="MTI46" s="420">
        <f t="shared" si="188"/>
        <v>0</v>
      </c>
      <c r="MTJ46" s="420">
        <f t="shared" si="188"/>
        <v>0</v>
      </c>
      <c r="MTK46" s="420">
        <f t="shared" si="188"/>
        <v>0</v>
      </c>
      <c r="MTL46" s="420">
        <f t="shared" si="188"/>
        <v>0</v>
      </c>
      <c r="MTM46" s="420">
        <f t="shared" si="188"/>
        <v>0</v>
      </c>
      <c r="MTN46" s="420">
        <f t="shared" si="188"/>
        <v>0</v>
      </c>
      <c r="MTO46" s="420">
        <f t="shared" si="188"/>
        <v>0</v>
      </c>
      <c r="MTP46" s="420">
        <f t="shared" si="188"/>
        <v>0</v>
      </c>
      <c r="MTQ46" s="420">
        <f t="shared" si="188"/>
        <v>0</v>
      </c>
      <c r="MTR46" s="420">
        <f t="shared" si="188"/>
        <v>0</v>
      </c>
      <c r="MTS46" s="420">
        <f t="shared" si="188"/>
        <v>0</v>
      </c>
      <c r="MTT46" s="420">
        <f t="shared" si="188"/>
        <v>0</v>
      </c>
      <c r="MTU46" s="420">
        <f t="shared" si="188"/>
        <v>0</v>
      </c>
      <c r="MTV46" s="420">
        <f t="shared" si="188"/>
        <v>0</v>
      </c>
      <c r="MTW46" s="420">
        <f t="shared" si="188"/>
        <v>0</v>
      </c>
      <c r="MTX46" s="420">
        <f t="shared" si="188"/>
        <v>0</v>
      </c>
      <c r="MTY46" s="420">
        <f t="shared" si="188"/>
        <v>0</v>
      </c>
      <c r="MTZ46" s="420">
        <f t="shared" si="188"/>
        <v>0</v>
      </c>
      <c r="MUA46" s="420">
        <f t="shared" si="188"/>
        <v>0</v>
      </c>
      <c r="MUB46" s="420">
        <f t="shared" si="188"/>
        <v>0</v>
      </c>
      <c r="MUC46" s="420">
        <f t="shared" si="188"/>
        <v>0</v>
      </c>
      <c r="MUD46" s="420">
        <f t="shared" si="188"/>
        <v>0</v>
      </c>
      <c r="MUE46" s="420">
        <f t="shared" si="188"/>
        <v>0</v>
      </c>
      <c r="MUF46" s="420">
        <f t="shared" si="188"/>
        <v>0</v>
      </c>
      <c r="MUG46" s="420">
        <f t="shared" si="188"/>
        <v>0</v>
      </c>
      <c r="MUH46" s="420">
        <f t="shared" si="188"/>
        <v>0</v>
      </c>
      <c r="MUI46" s="420">
        <f t="shared" si="188"/>
        <v>0</v>
      </c>
      <c r="MUJ46" s="420">
        <f t="shared" si="188"/>
        <v>0</v>
      </c>
      <c r="MUK46" s="420">
        <f t="shared" si="188"/>
        <v>0</v>
      </c>
      <c r="MUL46" s="420">
        <f t="shared" si="188"/>
        <v>0</v>
      </c>
      <c r="MUM46" s="420">
        <f t="shared" si="188"/>
        <v>0</v>
      </c>
      <c r="MUN46" s="420">
        <f t="shared" si="188"/>
        <v>0</v>
      </c>
      <c r="MUO46" s="420">
        <f t="shared" ref="MUO46:MWZ46" si="189">MUO45*0.8</f>
        <v>0</v>
      </c>
      <c r="MUP46" s="420">
        <f t="shared" si="189"/>
        <v>0</v>
      </c>
      <c r="MUQ46" s="420">
        <f t="shared" si="189"/>
        <v>0</v>
      </c>
      <c r="MUR46" s="420">
        <f t="shared" si="189"/>
        <v>0</v>
      </c>
      <c r="MUS46" s="420">
        <f t="shared" si="189"/>
        <v>0</v>
      </c>
      <c r="MUT46" s="420">
        <f t="shared" si="189"/>
        <v>0</v>
      </c>
      <c r="MUU46" s="420">
        <f t="shared" si="189"/>
        <v>0</v>
      </c>
      <c r="MUV46" s="420">
        <f t="shared" si="189"/>
        <v>0</v>
      </c>
      <c r="MUW46" s="420">
        <f t="shared" si="189"/>
        <v>0</v>
      </c>
      <c r="MUX46" s="420">
        <f t="shared" si="189"/>
        <v>0</v>
      </c>
      <c r="MUY46" s="420">
        <f t="shared" si="189"/>
        <v>0</v>
      </c>
      <c r="MUZ46" s="420">
        <f t="shared" si="189"/>
        <v>0</v>
      </c>
      <c r="MVA46" s="420">
        <f t="shared" si="189"/>
        <v>0</v>
      </c>
      <c r="MVB46" s="420">
        <f t="shared" si="189"/>
        <v>0</v>
      </c>
      <c r="MVC46" s="420">
        <f t="shared" si="189"/>
        <v>0</v>
      </c>
      <c r="MVD46" s="420">
        <f t="shared" si="189"/>
        <v>0</v>
      </c>
      <c r="MVE46" s="420">
        <f t="shared" si="189"/>
        <v>0</v>
      </c>
      <c r="MVF46" s="420">
        <f t="shared" si="189"/>
        <v>0</v>
      </c>
      <c r="MVG46" s="420">
        <f t="shared" si="189"/>
        <v>0</v>
      </c>
      <c r="MVH46" s="420">
        <f t="shared" si="189"/>
        <v>0</v>
      </c>
      <c r="MVI46" s="420">
        <f t="shared" si="189"/>
        <v>0</v>
      </c>
      <c r="MVJ46" s="420">
        <f t="shared" si="189"/>
        <v>0</v>
      </c>
      <c r="MVK46" s="420">
        <f t="shared" si="189"/>
        <v>0</v>
      </c>
      <c r="MVL46" s="420">
        <f t="shared" si="189"/>
        <v>0</v>
      </c>
      <c r="MVM46" s="420">
        <f t="shared" si="189"/>
        <v>0</v>
      </c>
      <c r="MVN46" s="420">
        <f t="shared" si="189"/>
        <v>0</v>
      </c>
      <c r="MVO46" s="420">
        <f t="shared" si="189"/>
        <v>0</v>
      </c>
      <c r="MVP46" s="420">
        <f t="shared" si="189"/>
        <v>0</v>
      </c>
      <c r="MVQ46" s="420">
        <f t="shared" si="189"/>
        <v>0</v>
      </c>
      <c r="MVR46" s="420">
        <f t="shared" si="189"/>
        <v>0</v>
      </c>
      <c r="MVS46" s="420">
        <f t="shared" si="189"/>
        <v>0</v>
      </c>
      <c r="MVT46" s="420">
        <f t="shared" si="189"/>
        <v>0</v>
      </c>
      <c r="MVU46" s="420">
        <f t="shared" si="189"/>
        <v>0</v>
      </c>
      <c r="MVV46" s="420">
        <f t="shared" si="189"/>
        <v>0</v>
      </c>
      <c r="MVW46" s="420">
        <f t="shared" si="189"/>
        <v>0</v>
      </c>
      <c r="MVX46" s="420">
        <f t="shared" si="189"/>
        <v>0</v>
      </c>
      <c r="MVY46" s="420">
        <f t="shared" si="189"/>
        <v>0</v>
      </c>
      <c r="MVZ46" s="420">
        <f t="shared" si="189"/>
        <v>0</v>
      </c>
      <c r="MWA46" s="420">
        <f t="shared" si="189"/>
        <v>0</v>
      </c>
      <c r="MWB46" s="420">
        <f t="shared" si="189"/>
        <v>0</v>
      </c>
      <c r="MWC46" s="420">
        <f t="shared" si="189"/>
        <v>0</v>
      </c>
      <c r="MWD46" s="420">
        <f t="shared" si="189"/>
        <v>0</v>
      </c>
      <c r="MWE46" s="420">
        <f t="shared" si="189"/>
        <v>0</v>
      </c>
      <c r="MWF46" s="420">
        <f t="shared" si="189"/>
        <v>0</v>
      </c>
      <c r="MWG46" s="420">
        <f t="shared" si="189"/>
        <v>0</v>
      </c>
      <c r="MWH46" s="420">
        <f t="shared" si="189"/>
        <v>0</v>
      </c>
      <c r="MWI46" s="420">
        <f t="shared" si="189"/>
        <v>0</v>
      </c>
      <c r="MWJ46" s="420">
        <f t="shared" si="189"/>
        <v>0</v>
      </c>
      <c r="MWK46" s="420">
        <f t="shared" si="189"/>
        <v>0</v>
      </c>
      <c r="MWL46" s="420">
        <f t="shared" si="189"/>
        <v>0</v>
      </c>
      <c r="MWM46" s="420">
        <f t="shared" si="189"/>
        <v>0</v>
      </c>
      <c r="MWN46" s="420">
        <f t="shared" si="189"/>
        <v>0</v>
      </c>
      <c r="MWO46" s="420">
        <f t="shared" si="189"/>
        <v>0</v>
      </c>
      <c r="MWP46" s="420">
        <f t="shared" si="189"/>
        <v>0</v>
      </c>
      <c r="MWQ46" s="420">
        <f t="shared" si="189"/>
        <v>0</v>
      </c>
      <c r="MWR46" s="420">
        <f t="shared" si="189"/>
        <v>0</v>
      </c>
      <c r="MWS46" s="420">
        <f t="shared" si="189"/>
        <v>0</v>
      </c>
      <c r="MWT46" s="420">
        <f t="shared" si="189"/>
        <v>0</v>
      </c>
      <c r="MWU46" s="420">
        <f t="shared" si="189"/>
        <v>0</v>
      </c>
      <c r="MWV46" s="420">
        <f t="shared" si="189"/>
        <v>0</v>
      </c>
      <c r="MWW46" s="420">
        <f t="shared" si="189"/>
        <v>0</v>
      </c>
      <c r="MWX46" s="420">
        <f t="shared" si="189"/>
        <v>0</v>
      </c>
      <c r="MWY46" s="420">
        <f t="shared" si="189"/>
        <v>0</v>
      </c>
      <c r="MWZ46" s="420">
        <f t="shared" si="189"/>
        <v>0</v>
      </c>
      <c r="MXA46" s="420">
        <f t="shared" ref="MXA46:MZL46" si="190">MXA45*0.8</f>
        <v>0</v>
      </c>
      <c r="MXB46" s="420">
        <f t="shared" si="190"/>
        <v>0</v>
      </c>
      <c r="MXC46" s="420">
        <f t="shared" si="190"/>
        <v>0</v>
      </c>
      <c r="MXD46" s="420">
        <f t="shared" si="190"/>
        <v>0</v>
      </c>
      <c r="MXE46" s="420">
        <f t="shared" si="190"/>
        <v>0</v>
      </c>
      <c r="MXF46" s="420">
        <f t="shared" si="190"/>
        <v>0</v>
      </c>
      <c r="MXG46" s="420">
        <f t="shared" si="190"/>
        <v>0</v>
      </c>
      <c r="MXH46" s="420">
        <f t="shared" si="190"/>
        <v>0</v>
      </c>
      <c r="MXI46" s="420">
        <f t="shared" si="190"/>
        <v>0</v>
      </c>
      <c r="MXJ46" s="420">
        <f t="shared" si="190"/>
        <v>0</v>
      </c>
      <c r="MXK46" s="420">
        <f t="shared" si="190"/>
        <v>0</v>
      </c>
      <c r="MXL46" s="420">
        <f t="shared" si="190"/>
        <v>0</v>
      </c>
      <c r="MXM46" s="420">
        <f t="shared" si="190"/>
        <v>0</v>
      </c>
      <c r="MXN46" s="420">
        <f t="shared" si="190"/>
        <v>0</v>
      </c>
      <c r="MXO46" s="420">
        <f t="shared" si="190"/>
        <v>0</v>
      </c>
      <c r="MXP46" s="420">
        <f t="shared" si="190"/>
        <v>0</v>
      </c>
      <c r="MXQ46" s="420">
        <f t="shared" si="190"/>
        <v>0</v>
      </c>
      <c r="MXR46" s="420">
        <f t="shared" si="190"/>
        <v>0</v>
      </c>
      <c r="MXS46" s="420">
        <f t="shared" si="190"/>
        <v>0</v>
      </c>
      <c r="MXT46" s="420">
        <f t="shared" si="190"/>
        <v>0</v>
      </c>
      <c r="MXU46" s="420">
        <f t="shared" si="190"/>
        <v>0</v>
      </c>
      <c r="MXV46" s="420">
        <f t="shared" si="190"/>
        <v>0</v>
      </c>
      <c r="MXW46" s="420">
        <f t="shared" si="190"/>
        <v>0</v>
      </c>
      <c r="MXX46" s="420">
        <f t="shared" si="190"/>
        <v>0</v>
      </c>
      <c r="MXY46" s="420">
        <f t="shared" si="190"/>
        <v>0</v>
      </c>
      <c r="MXZ46" s="420">
        <f t="shared" si="190"/>
        <v>0</v>
      </c>
      <c r="MYA46" s="420">
        <f t="shared" si="190"/>
        <v>0</v>
      </c>
      <c r="MYB46" s="420">
        <f t="shared" si="190"/>
        <v>0</v>
      </c>
      <c r="MYC46" s="420">
        <f t="shared" si="190"/>
        <v>0</v>
      </c>
      <c r="MYD46" s="420">
        <f t="shared" si="190"/>
        <v>0</v>
      </c>
      <c r="MYE46" s="420">
        <f t="shared" si="190"/>
        <v>0</v>
      </c>
      <c r="MYF46" s="420">
        <f t="shared" si="190"/>
        <v>0</v>
      </c>
      <c r="MYG46" s="420">
        <f t="shared" si="190"/>
        <v>0</v>
      </c>
      <c r="MYH46" s="420">
        <f t="shared" si="190"/>
        <v>0</v>
      </c>
      <c r="MYI46" s="420">
        <f t="shared" si="190"/>
        <v>0</v>
      </c>
      <c r="MYJ46" s="420">
        <f t="shared" si="190"/>
        <v>0</v>
      </c>
      <c r="MYK46" s="420">
        <f t="shared" si="190"/>
        <v>0</v>
      </c>
      <c r="MYL46" s="420">
        <f t="shared" si="190"/>
        <v>0</v>
      </c>
      <c r="MYM46" s="420">
        <f t="shared" si="190"/>
        <v>0</v>
      </c>
      <c r="MYN46" s="420">
        <f t="shared" si="190"/>
        <v>0</v>
      </c>
      <c r="MYO46" s="420">
        <f t="shared" si="190"/>
        <v>0</v>
      </c>
      <c r="MYP46" s="420">
        <f t="shared" si="190"/>
        <v>0</v>
      </c>
      <c r="MYQ46" s="420">
        <f t="shared" si="190"/>
        <v>0</v>
      </c>
      <c r="MYR46" s="420">
        <f t="shared" si="190"/>
        <v>0</v>
      </c>
      <c r="MYS46" s="420">
        <f t="shared" si="190"/>
        <v>0</v>
      </c>
      <c r="MYT46" s="420">
        <f t="shared" si="190"/>
        <v>0</v>
      </c>
      <c r="MYU46" s="420">
        <f t="shared" si="190"/>
        <v>0</v>
      </c>
      <c r="MYV46" s="420">
        <f t="shared" si="190"/>
        <v>0</v>
      </c>
      <c r="MYW46" s="420">
        <f t="shared" si="190"/>
        <v>0</v>
      </c>
      <c r="MYX46" s="420">
        <f t="shared" si="190"/>
        <v>0</v>
      </c>
      <c r="MYY46" s="420">
        <f t="shared" si="190"/>
        <v>0</v>
      </c>
      <c r="MYZ46" s="420">
        <f t="shared" si="190"/>
        <v>0</v>
      </c>
      <c r="MZA46" s="420">
        <f t="shared" si="190"/>
        <v>0</v>
      </c>
      <c r="MZB46" s="420">
        <f t="shared" si="190"/>
        <v>0</v>
      </c>
      <c r="MZC46" s="420">
        <f t="shared" si="190"/>
        <v>0</v>
      </c>
      <c r="MZD46" s="420">
        <f t="shared" si="190"/>
        <v>0</v>
      </c>
      <c r="MZE46" s="420">
        <f t="shared" si="190"/>
        <v>0</v>
      </c>
      <c r="MZF46" s="420">
        <f t="shared" si="190"/>
        <v>0</v>
      </c>
      <c r="MZG46" s="420">
        <f t="shared" si="190"/>
        <v>0</v>
      </c>
      <c r="MZH46" s="420">
        <f t="shared" si="190"/>
        <v>0</v>
      </c>
      <c r="MZI46" s="420">
        <f t="shared" si="190"/>
        <v>0</v>
      </c>
      <c r="MZJ46" s="420">
        <f t="shared" si="190"/>
        <v>0</v>
      </c>
      <c r="MZK46" s="420">
        <f t="shared" si="190"/>
        <v>0</v>
      </c>
      <c r="MZL46" s="420">
        <f t="shared" si="190"/>
        <v>0</v>
      </c>
      <c r="MZM46" s="420">
        <f t="shared" ref="MZM46:NBX46" si="191">MZM45*0.8</f>
        <v>0</v>
      </c>
      <c r="MZN46" s="420">
        <f t="shared" si="191"/>
        <v>0</v>
      </c>
      <c r="MZO46" s="420">
        <f t="shared" si="191"/>
        <v>0</v>
      </c>
      <c r="MZP46" s="420">
        <f t="shared" si="191"/>
        <v>0</v>
      </c>
      <c r="MZQ46" s="420">
        <f t="shared" si="191"/>
        <v>0</v>
      </c>
      <c r="MZR46" s="420">
        <f t="shared" si="191"/>
        <v>0</v>
      </c>
      <c r="MZS46" s="420">
        <f t="shared" si="191"/>
        <v>0</v>
      </c>
      <c r="MZT46" s="420">
        <f t="shared" si="191"/>
        <v>0</v>
      </c>
      <c r="MZU46" s="420">
        <f t="shared" si="191"/>
        <v>0</v>
      </c>
      <c r="MZV46" s="420">
        <f t="shared" si="191"/>
        <v>0</v>
      </c>
      <c r="MZW46" s="420">
        <f t="shared" si="191"/>
        <v>0</v>
      </c>
      <c r="MZX46" s="420">
        <f t="shared" si="191"/>
        <v>0</v>
      </c>
      <c r="MZY46" s="420">
        <f t="shared" si="191"/>
        <v>0</v>
      </c>
      <c r="MZZ46" s="420">
        <f t="shared" si="191"/>
        <v>0</v>
      </c>
      <c r="NAA46" s="420">
        <f t="shared" si="191"/>
        <v>0</v>
      </c>
      <c r="NAB46" s="420">
        <f t="shared" si="191"/>
        <v>0</v>
      </c>
      <c r="NAC46" s="420">
        <f t="shared" si="191"/>
        <v>0</v>
      </c>
      <c r="NAD46" s="420">
        <f t="shared" si="191"/>
        <v>0</v>
      </c>
      <c r="NAE46" s="420">
        <f t="shared" si="191"/>
        <v>0</v>
      </c>
      <c r="NAF46" s="420">
        <f t="shared" si="191"/>
        <v>0</v>
      </c>
      <c r="NAG46" s="420">
        <f t="shared" si="191"/>
        <v>0</v>
      </c>
      <c r="NAH46" s="420">
        <f t="shared" si="191"/>
        <v>0</v>
      </c>
      <c r="NAI46" s="420">
        <f t="shared" si="191"/>
        <v>0</v>
      </c>
      <c r="NAJ46" s="420">
        <f t="shared" si="191"/>
        <v>0</v>
      </c>
      <c r="NAK46" s="420">
        <f t="shared" si="191"/>
        <v>0</v>
      </c>
      <c r="NAL46" s="420">
        <f t="shared" si="191"/>
        <v>0</v>
      </c>
      <c r="NAM46" s="420">
        <f t="shared" si="191"/>
        <v>0</v>
      </c>
      <c r="NAN46" s="420">
        <f t="shared" si="191"/>
        <v>0</v>
      </c>
      <c r="NAO46" s="420">
        <f t="shared" si="191"/>
        <v>0</v>
      </c>
      <c r="NAP46" s="420">
        <f t="shared" si="191"/>
        <v>0</v>
      </c>
      <c r="NAQ46" s="420">
        <f t="shared" si="191"/>
        <v>0</v>
      </c>
      <c r="NAR46" s="420">
        <f t="shared" si="191"/>
        <v>0</v>
      </c>
      <c r="NAS46" s="420">
        <f t="shared" si="191"/>
        <v>0</v>
      </c>
      <c r="NAT46" s="420">
        <f t="shared" si="191"/>
        <v>0</v>
      </c>
      <c r="NAU46" s="420">
        <f t="shared" si="191"/>
        <v>0</v>
      </c>
      <c r="NAV46" s="420">
        <f t="shared" si="191"/>
        <v>0</v>
      </c>
      <c r="NAW46" s="420">
        <f t="shared" si="191"/>
        <v>0</v>
      </c>
      <c r="NAX46" s="420">
        <f t="shared" si="191"/>
        <v>0</v>
      </c>
      <c r="NAY46" s="420">
        <f t="shared" si="191"/>
        <v>0</v>
      </c>
      <c r="NAZ46" s="420">
        <f t="shared" si="191"/>
        <v>0</v>
      </c>
      <c r="NBA46" s="420">
        <f t="shared" si="191"/>
        <v>0</v>
      </c>
      <c r="NBB46" s="420">
        <f t="shared" si="191"/>
        <v>0</v>
      </c>
      <c r="NBC46" s="420">
        <f t="shared" si="191"/>
        <v>0</v>
      </c>
      <c r="NBD46" s="420">
        <f t="shared" si="191"/>
        <v>0</v>
      </c>
      <c r="NBE46" s="420">
        <f t="shared" si="191"/>
        <v>0</v>
      </c>
      <c r="NBF46" s="420">
        <f t="shared" si="191"/>
        <v>0</v>
      </c>
      <c r="NBG46" s="420">
        <f t="shared" si="191"/>
        <v>0</v>
      </c>
      <c r="NBH46" s="420">
        <f t="shared" si="191"/>
        <v>0</v>
      </c>
      <c r="NBI46" s="420">
        <f t="shared" si="191"/>
        <v>0</v>
      </c>
      <c r="NBJ46" s="420">
        <f t="shared" si="191"/>
        <v>0</v>
      </c>
      <c r="NBK46" s="420">
        <f t="shared" si="191"/>
        <v>0</v>
      </c>
      <c r="NBL46" s="420">
        <f t="shared" si="191"/>
        <v>0</v>
      </c>
      <c r="NBM46" s="420">
        <f t="shared" si="191"/>
        <v>0</v>
      </c>
      <c r="NBN46" s="420">
        <f t="shared" si="191"/>
        <v>0</v>
      </c>
      <c r="NBO46" s="420">
        <f t="shared" si="191"/>
        <v>0</v>
      </c>
      <c r="NBP46" s="420">
        <f t="shared" si="191"/>
        <v>0</v>
      </c>
      <c r="NBQ46" s="420">
        <f t="shared" si="191"/>
        <v>0</v>
      </c>
      <c r="NBR46" s="420">
        <f t="shared" si="191"/>
        <v>0</v>
      </c>
      <c r="NBS46" s="420">
        <f t="shared" si="191"/>
        <v>0</v>
      </c>
      <c r="NBT46" s="420">
        <f t="shared" si="191"/>
        <v>0</v>
      </c>
      <c r="NBU46" s="420">
        <f t="shared" si="191"/>
        <v>0</v>
      </c>
      <c r="NBV46" s="420">
        <f t="shared" si="191"/>
        <v>0</v>
      </c>
      <c r="NBW46" s="420">
        <f t="shared" si="191"/>
        <v>0</v>
      </c>
      <c r="NBX46" s="420">
        <f t="shared" si="191"/>
        <v>0</v>
      </c>
      <c r="NBY46" s="420">
        <f t="shared" ref="NBY46:NEJ46" si="192">NBY45*0.8</f>
        <v>0</v>
      </c>
      <c r="NBZ46" s="420">
        <f t="shared" si="192"/>
        <v>0</v>
      </c>
      <c r="NCA46" s="420">
        <f t="shared" si="192"/>
        <v>0</v>
      </c>
      <c r="NCB46" s="420">
        <f t="shared" si="192"/>
        <v>0</v>
      </c>
      <c r="NCC46" s="420">
        <f t="shared" si="192"/>
        <v>0</v>
      </c>
      <c r="NCD46" s="420">
        <f t="shared" si="192"/>
        <v>0</v>
      </c>
      <c r="NCE46" s="420">
        <f t="shared" si="192"/>
        <v>0</v>
      </c>
      <c r="NCF46" s="420">
        <f t="shared" si="192"/>
        <v>0</v>
      </c>
      <c r="NCG46" s="420">
        <f t="shared" si="192"/>
        <v>0</v>
      </c>
      <c r="NCH46" s="420">
        <f t="shared" si="192"/>
        <v>0</v>
      </c>
      <c r="NCI46" s="420">
        <f t="shared" si="192"/>
        <v>0</v>
      </c>
      <c r="NCJ46" s="420">
        <f t="shared" si="192"/>
        <v>0</v>
      </c>
      <c r="NCK46" s="420">
        <f t="shared" si="192"/>
        <v>0</v>
      </c>
      <c r="NCL46" s="420">
        <f t="shared" si="192"/>
        <v>0</v>
      </c>
      <c r="NCM46" s="420">
        <f t="shared" si="192"/>
        <v>0</v>
      </c>
      <c r="NCN46" s="420">
        <f t="shared" si="192"/>
        <v>0</v>
      </c>
      <c r="NCO46" s="420">
        <f t="shared" si="192"/>
        <v>0</v>
      </c>
      <c r="NCP46" s="420">
        <f t="shared" si="192"/>
        <v>0</v>
      </c>
      <c r="NCQ46" s="420">
        <f t="shared" si="192"/>
        <v>0</v>
      </c>
      <c r="NCR46" s="420">
        <f t="shared" si="192"/>
        <v>0</v>
      </c>
      <c r="NCS46" s="420">
        <f t="shared" si="192"/>
        <v>0</v>
      </c>
      <c r="NCT46" s="420">
        <f t="shared" si="192"/>
        <v>0</v>
      </c>
      <c r="NCU46" s="420">
        <f t="shared" si="192"/>
        <v>0</v>
      </c>
      <c r="NCV46" s="420">
        <f t="shared" si="192"/>
        <v>0</v>
      </c>
      <c r="NCW46" s="420">
        <f t="shared" si="192"/>
        <v>0</v>
      </c>
      <c r="NCX46" s="420">
        <f t="shared" si="192"/>
        <v>0</v>
      </c>
      <c r="NCY46" s="420">
        <f t="shared" si="192"/>
        <v>0</v>
      </c>
      <c r="NCZ46" s="420">
        <f t="shared" si="192"/>
        <v>0</v>
      </c>
      <c r="NDA46" s="420">
        <f t="shared" si="192"/>
        <v>0</v>
      </c>
      <c r="NDB46" s="420">
        <f t="shared" si="192"/>
        <v>0</v>
      </c>
      <c r="NDC46" s="420">
        <f t="shared" si="192"/>
        <v>0</v>
      </c>
      <c r="NDD46" s="420">
        <f t="shared" si="192"/>
        <v>0</v>
      </c>
      <c r="NDE46" s="420">
        <f t="shared" si="192"/>
        <v>0</v>
      </c>
      <c r="NDF46" s="420">
        <f t="shared" si="192"/>
        <v>0</v>
      </c>
      <c r="NDG46" s="420">
        <f t="shared" si="192"/>
        <v>0</v>
      </c>
      <c r="NDH46" s="420">
        <f t="shared" si="192"/>
        <v>0</v>
      </c>
      <c r="NDI46" s="420">
        <f t="shared" si="192"/>
        <v>0</v>
      </c>
      <c r="NDJ46" s="420">
        <f t="shared" si="192"/>
        <v>0</v>
      </c>
      <c r="NDK46" s="420">
        <f t="shared" si="192"/>
        <v>0</v>
      </c>
      <c r="NDL46" s="420">
        <f t="shared" si="192"/>
        <v>0</v>
      </c>
      <c r="NDM46" s="420">
        <f t="shared" si="192"/>
        <v>0</v>
      </c>
      <c r="NDN46" s="420">
        <f t="shared" si="192"/>
        <v>0</v>
      </c>
      <c r="NDO46" s="420">
        <f t="shared" si="192"/>
        <v>0</v>
      </c>
      <c r="NDP46" s="420">
        <f t="shared" si="192"/>
        <v>0</v>
      </c>
      <c r="NDQ46" s="420">
        <f t="shared" si="192"/>
        <v>0</v>
      </c>
      <c r="NDR46" s="420">
        <f t="shared" si="192"/>
        <v>0</v>
      </c>
      <c r="NDS46" s="420">
        <f t="shared" si="192"/>
        <v>0</v>
      </c>
      <c r="NDT46" s="420">
        <f t="shared" si="192"/>
        <v>0</v>
      </c>
      <c r="NDU46" s="420">
        <f t="shared" si="192"/>
        <v>0</v>
      </c>
      <c r="NDV46" s="420">
        <f t="shared" si="192"/>
        <v>0</v>
      </c>
      <c r="NDW46" s="420">
        <f t="shared" si="192"/>
        <v>0</v>
      </c>
      <c r="NDX46" s="420">
        <f t="shared" si="192"/>
        <v>0</v>
      </c>
      <c r="NDY46" s="420">
        <f t="shared" si="192"/>
        <v>0</v>
      </c>
      <c r="NDZ46" s="420">
        <f t="shared" si="192"/>
        <v>0</v>
      </c>
      <c r="NEA46" s="420">
        <f t="shared" si="192"/>
        <v>0</v>
      </c>
      <c r="NEB46" s="420">
        <f t="shared" si="192"/>
        <v>0</v>
      </c>
      <c r="NEC46" s="420">
        <f t="shared" si="192"/>
        <v>0</v>
      </c>
      <c r="NED46" s="420">
        <f t="shared" si="192"/>
        <v>0</v>
      </c>
      <c r="NEE46" s="420">
        <f t="shared" si="192"/>
        <v>0</v>
      </c>
      <c r="NEF46" s="420">
        <f t="shared" si="192"/>
        <v>0</v>
      </c>
      <c r="NEG46" s="420">
        <f t="shared" si="192"/>
        <v>0</v>
      </c>
      <c r="NEH46" s="420">
        <f t="shared" si="192"/>
        <v>0</v>
      </c>
      <c r="NEI46" s="420">
        <f t="shared" si="192"/>
        <v>0</v>
      </c>
      <c r="NEJ46" s="420">
        <f t="shared" si="192"/>
        <v>0</v>
      </c>
      <c r="NEK46" s="420">
        <f t="shared" ref="NEK46:NGV46" si="193">NEK45*0.8</f>
        <v>0</v>
      </c>
      <c r="NEL46" s="420">
        <f t="shared" si="193"/>
        <v>0</v>
      </c>
      <c r="NEM46" s="420">
        <f t="shared" si="193"/>
        <v>0</v>
      </c>
      <c r="NEN46" s="420">
        <f t="shared" si="193"/>
        <v>0</v>
      </c>
      <c r="NEO46" s="420">
        <f t="shared" si="193"/>
        <v>0</v>
      </c>
      <c r="NEP46" s="420">
        <f t="shared" si="193"/>
        <v>0</v>
      </c>
      <c r="NEQ46" s="420">
        <f t="shared" si="193"/>
        <v>0</v>
      </c>
      <c r="NER46" s="420">
        <f t="shared" si="193"/>
        <v>0</v>
      </c>
      <c r="NES46" s="420">
        <f t="shared" si="193"/>
        <v>0</v>
      </c>
      <c r="NET46" s="420">
        <f t="shared" si="193"/>
        <v>0</v>
      </c>
      <c r="NEU46" s="420">
        <f t="shared" si="193"/>
        <v>0</v>
      </c>
      <c r="NEV46" s="420">
        <f t="shared" si="193"/>
        <v>0</v>
      </c>
      <c r="NEW46" s="420">
        <f t="shared" si="193"/>
        <v>0</v>
      </c>
      <c r="NEX46" s="420">
        <f t="shared" si="193"/>
        <v>0</v>
      </c>
      <c r="NEY46" s="420">
        <f t="shared" si="193"/>
        <v>0</v>
      </c>
      <c r="NEZ46" s="420">
        <f t="shared" si="193"/>
        <v>0</v>
      </c>
      <c r="NFA46" s="420">
        <f t="shared" si="193"/>
        <v>0</v>
      </c>
      <c r="NFB46" s="420">
        <f t="shared" si="193"/>
        <v>0</v>
      </c>
      <c r="NFC46" s="420">
        <f t="shared" si="193"/>
        <v>0</v>
      </c>
      <c r="NFD46" s="420">
        <f t="shared" si="193"/>
        <v>0</v>
      </c>
      <c r="NFE46" s="420">
        <f t="shared" si="193"/>
        <v>0</v>
      </c>
      <c r="NFF46" s="420">
        <f t="shared" si="193"/>
        <v>0</v>
      </c>
      <c r="NFG46" s="420">
        <f t="shared" si="193"/>
        <v>0</v>
      </c>
      <c r="NFH46" s="420">
        <f t="shared" si="193"/>
        <v>0</v>
      </c>
      <c r="NFI46" s="420">
        <f t="shared" si="193"/>
        <v>0</v>
      </c>
      <c r="NFJ46" s="420">
        <f t="shared" si="193"/>
        <v>0</v>
      </c>
      <c r="NFK46" s="420">
        <f t="shared" si="193"/>
        <v>0</v>
      </c>
      <c r="NFL46" s="420">
        <f t="shared" si="193"/>
        <v>0</v>
      </c>
      <c r="NFM46" s="420">
        <f t="shared" si="193"/>
        <v>0</v>
      </c>
      <c r="NFN46" s="420">
        <f t="shared" si="193"/>
        <v>0</v>
      </c>
      <c r="NFO46" s="420">
        <f t="shared" si="193"/>
        <v>0</v>
      </c>
      <c r="NFP46" s="420">
        <f t="shared" si="193"/>
        <v>0</v>
      </c>
      <c r="NFQ46" s="420">
        <f t="shared" si="193"/>
        <v>0</v>
      </c>
      <c r="NFR46" s="420">
        <f t="shared" si="193"/>
        <v>0</v>
      </c>
      <c r="NFS46" s="420">
        <f t="shared" si="193"/>
        <v>0</v>
      </c>
      <c r="NFT46" s="420">
        <f t="shared" si="193"/>
        <v>0</v>
      </c>
      <c r="NFU46" s="420">
        <f t="shared" si="193"/>
        <v>0</v>
      </c>
      <c r="NFV46" s="420">
        <f t="shared" si="193"/>
        <v>0</v>
      </c>
      <c r="NFW46" s="420">
        <f t="shared" si="193"/>
        <v>0</v>
      </c>
      <c r="NFX46" s="420">
        <f t="shared" si="193"/>
        <v>0</v>
      </c>
      <c r="NFY46" s="420">
        <f t="shared" si="193"/>
        <v>0</v>
      </c>
      <c r="NFZ46" s="420">
        <f t="shared" si="193"/>
        <v>0</v>
      </c>
      <c r="NGA46" s="420">
        <f t="shared" si="193"/>
        <v>0</v>
      </c>
      <c r="NGB46" s="420">
        <f t="shared" si="193"/>
        <v>0</v>
      </c>
      <c r="NGC46" s="420">
        <f t="shared" si="193"/>
        <v>0</v>
      </c>
      <c r="NGD46" s="420">
        <f t="shared" si="193"/>
        <v>0</v>
      </c>
      <c r="NGE46" s="420">
        <f t="shared" si="193"/>
        <v>0</v>
      </c>
      <c r="NGF46" s="420">
        <f t="shared" si="193"/>
        <v>0</v>
      </c>
      <c r="NGG46" s="420">
        <f t="shared" si="193"/>
        <v>0</v>
      </c>
      <c r="NGH46" s="420">
        <f t="shared" si="193"/>
        <v>0</v>
      </c>
      <c r="NGI46" s="420">
        <f t="shared" si="193"/>
        <v>0</v>
      </c>
      <c r="NGJ46" s="420">
        <f t="shared" si="193"/>
        <v>0</v>
      </c>
      <c r="NGK46" s="420">
        <f t="shared" si="193"/>
        <v>0</v>
      </c>
      <c r="NGL46" s="420">
        <f t="shared" si="193"/>
        <v>0</v>
      </c>
      <c r="NGM46" s="420">
        <f t="shared" si="193"/>
        <v>0</v>
      </c>
      <c r="NGN46" s="420">
        <f t="shared" si="193"/>
        <v>0</v>
      </c>
      <c r="NGO46" s="420">
        <f t="shared" si="193"/>
        <v>0</v>
      </c>
      <c r="NGP46" s="420">
        <f t="shared" si="193"/>
        <v>0</v>
      </c>
      <c r="NGQ46" s="420">
        <f t="shared" si="193"/>
        <v>0</v>
      </c>
      <c r="NGR46" s="420">
        <f t="shared" si="193"/>
        <v>0</v>
      </c>
      <c r="NGS46" s="420">
        <f t="shared" si="193"/>
        <v>0</v>
      </c>
      <c r="NGT46" s="420">
        <f t="shared" si="193"/>
        <v>0</v>
      </c>
      <c r="NGU46" s="420">
        <f t="shared" si="193"/>
        <v>0</v>
      </c>
      <c r="NGV46" s="420">
        <f t="shared" si="193"/>
        <v>0</v>
      </c>
      <c r="NGW46" s="420">
        <f t="shared" ref="NGW46:NJH46" si="194">NGW45*0.8</f>
        <v>0</v>
      </c>
      <c r="NGX46" s="420">
        <f t="shared" si="194"/>
        <v>0</v>
      </c>
      <c r="NGY46" s="420">
        <f t="shared" si="194"/>
        <v>0</v>
      </c>
      <c r="NGZ46" s="420">
        <f t="shared" si="194"/>
        <v>0</v>
      </c>
      <c r="NHA46" s="420">
        <f t="shared" si="194"/>
        <v>0</v>
      </c>
      <c r="NHB46" s="420">
        <f t="shared" si="194"/>
        <v>0</v>
      </c>
      <c r="NHC46" s="420">
        <f t="shared" si="194"/>
        <v>0</v>
      </c>
      <c r="NHD46" s="420">
        <f t="shared" si="194"/>
        <v>0</v>
      </c>
      <c r="NHE46" s="420">
        <f t="shared" si="194"/>
        <v>0</v>
      </c>
      <c r="NHF46" s="420">
        <f t="shared" si="194"/>
        <v>0</v>
      </c>
      <c r="NHG46" s="420">
        <f t="shared" si="194"/>
        <v>0</v>
      </c>
      <c r="NHH46" s="420">
        <f t="shared" si="194"/>
        <v>0</v>
      </c>
      <c r="NHI46" s="420">
        <f t="shared" si="194"/>
        <v>0</v>
      </c>
      <c r="NHJ46" s="420">
        <f t="shared" si="194"/>
        <v>0</v>
      </c>
      <c r="NHK46" s="420">
        <f t="shared" si="194"/>
        <v>0</v>
      </c>
      <c r="NHL46" s="420">
        <f t="shared" si="194"/>
        <v>0</v>
      </c>
      <c r="NHM46" s="420">
        <f t="shared" si="194"/>
        <v>0</v>
      </c>
      <c r="NHN46" s="420">
        <f t="shared" si="194"/>
        <v>0</v>
      </c>
      <c r="NHO46" s="420">
        <f t="shared" si="194"/>
        <v>0</v>
      </c>
      <c r="NHP46" s="420">
        <f t="shared" si="194"/>
        <v>0</v>
      </c>
      <c r="NHQ46" s="420">
        <f t="shared" si="194"/>
        <v>0</v>
      </c>
      <c r="NHR46" s="420">
        <f t="shared" si="194"/>
        <v>0</v>
      </c>
      <c r="NHS46" s="420">
        <f t="shared" si="194"/>
        <v>0</v>
      </c>
      <c r="NHT46" s="420">
        <f t="shared" si="194"/>
        <v>0</v>
      </c>
      <c r="NHU46" s="420">
        <f t="shared" si="194"/>
        <v>0</v>
      </c>
      <c r="NHV46" s="420">
        <f t="shared" si="194"/>
        <v>0</v>
      </c>
      <c r="NHW46" s="420">
        <f t="shared" si="194"/>
        <v>0</v>
      </c>
      <c r="NHX46" s="420">
        <f t="shared" si="194"/>
        <v>0</v>
      </c>
      <c r="NHY46" s="420">
        <f t="shared" si="194"/>
        <v>0</v>
      </c>
      <c r="NHZ46" s="420">
        <f t="shared" si="194"/>
        <v>0</v>
      </c>
      <c r="NIA46" s="420">
        <f t="shared" si="194"/>
        <v>0</v>
      </c>
      <c r="NIB46" s="420">
        <f t="shared" si="194"/>
        <v>0</v>
      </c>
      <c r="NIC46" s="420">
        <f t="shared" si="194"/>
        <v>0</v>
      </c>
      <c r="NID46" s="420">
        <f t="shared" si="194"/>
        <v>0</v>
      </c>
      <c r="NIE46" s="420">
        <f t="shared" si="194"/>
        <v>0</v>
      </c>
      <c r="NIF46" s="420">
        <f t="shared" si="194"/>
        <v>0</v>
      </c>
      <c r="NIG46" s="420">
        <f t="shared" si="194"/>
        <v>0</v>
      </c>
      <c r="NIH46" s="420">
        <f t="shared" si="194"/>
        <v>0</v>
      </c>
      <c r="NII46" s="420">
        <f t="shared" si="194"/>
        <v>0</v>
      </c>
      <c r="NIJ46" s="420">
        <f t="shared" si="194"/>
        <v>0</v>
      </c>
      <c r="NIK46" s="420">
        <f t="shared" si="194"/>
        <v>0</v>
      </c>
      <c r="NIL46" s="420">
        <f t="shared" si="194"/>
        <v>0</v>
      </c>
      <c r="NIM46" s="420">
        <f t="shared" si="194"/>
        <v>0</v>
      </c>
      <c r="NIN46" s="420">
        <f t="shared" si="194"/>
        <v>0</v>
      </c>
      <c r="NIO46" s="420">
        <f t="shared" si="194"/>
        <v>0</v>
      </c>
      <c r="NIP46" s="420">
        <f t="shared" si="194"/>
        <v>0</v>
      </c>
      <c r="NIQ46" s="420">
        <f t="shared" si="194"/>
        <v>0</v>
      </c>
      <c r="NIR46" s="420">
        <f t="shared" si="194"/>
        <v>0</v>
      </c>
      <c r="NIS46" s="420">
        <f t="shared" si="194"/>
        <v>0</v>
      </c>
      <c r="NIT46" s="420">
        <f t="shared" si="194"/>
        <v>0</v>
      </c>
      <c r="NIU46" s="420">
        <f t="shared" si="194"/>
        <v>0</v>
      </c>
      <c r="NIV46" s="420">
        <f t="shared" si="194"/>
        <v>0</v>
      </c>
      <c r="NIW46" s="420">
        <f t="shared" si="194"/>
        <v>0</v>
      </c>
      <c r="NIX46" s="420">
        <f t="shared" si="194"/>
        <v>0</v>
      </c>
      <c r="NIY46" s="420">
        <f t="shared" si="194"/>
        <v>0</v>
      </c>
      <c r="NIZ46" s="420">
        <f t="shared" si="194"/>
        <v>0</v>
      </c>
      <c r="NJA46" s="420">
        <f t="shared" si="194"/>
        <v>0</v>
      </c>
      <c r="NJB46" s="420">
        <f t="shared" si="194"/>
        <v>0</v>
      </c>
      <c r="NJC46" s="420">
        <f t="shared" si="194"/>
        <v>0</v>
      </c>
      <c r="NJD46" s="420">
        <f t="shared" si="194"/>
        <v>0</v>
      </c>
      <c r="NJE46" s="420">
        <f t="shared" si="194"/>
        <v>0</v>
      </c>
      <c r="NJF46" s="420">
        <f t="shared" si="194"/>
        <v>0</v>
      </c>
      <c r="NJG46" s="420">
        <f t="shared" si="194"/>
        <v>0</v>
      </c>
      <c r="NJH46" s="420">
        <f t="shared" si="194"/>
        <v>0</v>
      </c>
      <c r="NJI46" s="420">
        <f t="shared" ref="NJI46:NLT46" si="195">NJI45*0.8</f>
        <v>0</v>
      </c>
      <c r="NJJ46" s="420">
        <f t="shared" si="195"/>
        <v>0</v>
      </c>
      <c r="NJK46" s="420">
        <f t="shared" si="195"/>
        <v>0</v>
      </c>
      <c r="NJL46" s="420">
        <f t="shared" si="195"/>
        <v>0</v>
      </c>
      <c r="NJM46" s="420">
        <f t="shared" si="195"/>
        <v>0</v>
      </c>
      <c r="NJN46" s="420">
        <f t="shared" si="195"/>
        <v>0</v>
      </c>
      <c r="NJO46" s="420">
        <f t="shared" si="195"/>
        <v>0</v>
      </c>
      <c r="NJP46" s="420">
        <f t="shared" si="195"/>
        <v>0</v>
      </c>
      <c r="NJQ46" s="420">
        <f t="shared" si="195"/>
        <v>0</v>
      </c>
      <c r="NJR46" s="420">
        <f t="shared" si="195"/>
        <v>0</v>
      </c>
      <c r="NJS46" s="420">
        <f t="shared" si="195"/>
        <v>0</v>
      </c>
      <c r="NJT46" s="420">
        <f t="shared" si="195"/>
        <v>0</v>
      </c>
      <c r="NJU46" s="420">
        <f t="shared" si="195"/>
        <v>0</v>
      </c>
      <c r="NJV46" s="420">
        <f t="shared" si="195"/>
        <v>0</v>
      </c>
      <c r="NJW46" s="420">
        <f t="shared" si="195"/>
        <v>0</v>
      </c>
      <c r="NJX46" s="420">
        <f t="shared" si="195"/>
        <v>0</v>
      </c>
      <c r="NJY46" s="420">
        <f t="shared" si="195"/>
        <v>0</v>
      </c>
      <c r="NJZ46" s="420">
        <f t="shared" si="195"/>
        <v>0</v>
      </c>
      <c r="NKA46" s="420">
        <f t="shared" si="195"/>
        <v>0</v>
      </c>
      <c r="NKB46" s="420">
        <f t="shared" si="195"/>
        <v>0</v>
      </c>
      <c r="NKC46" s="420">
        <f t="shared" si="195"/>
        <v>0</v>
      </c>
      <c r="NKD46" s="420">
        <f t="shared" si="195"/>
        <v>0</v>
      </c>
      <c r="NKE46" s="420">
        <f t="shared" si="195"/>
        <v>0</v>
      </c>
      <c r="NKF46" s="420">
        <f t="shared" si="195"/>
        <v>0</v>
      </c>
      <c r="NKG46" s="420">
        <f t="shared" si="195"/>
        <v>0</v>
      </c>
      <c r="NKH46" s="420">
        <f t="shared" si="195"/>
        <v>0</v>
      </c>
      <c r="NKI46" s="420">
        <f t="shared" si="195"/>
        <v>0</v>
      </c>
      <c r="NKJ46" s="420">
        <f t="shared" si="195"/>
        <v>0</v>
      </c>
      <c r="NKK46" s="420">
        <f t="shared" si="195"/>
        <v>0</v>
      </c>
      <c r="NKL46" s="420">
        <f t="shared" si="195"/>
        <v>0</v>
      </c>
      <c r="NKM46" s="420">
        <f t="shared" si="195"/>
        <v>0</v>
      </c>
      <c r="NKN46" s="420">
        <f t="shared" si="195"/>
        <v>0</v>
      </c>
      <c r="NKO46" s="420">
        <f t="shared" si="195"/>
        <v>0</v>
      </c>
      <c r="NKP46" s="420">
        <f t="shared" si="195"/>
        <v>0</v>
      </c>
      <c r="NKQ46" s="420">
        <f t="shared" si="195"/>
        <v>0</v>
      </c>
      <c r="NKR46" s="420">
        <f t="shared" si="195"/>
        <v>0</v>
      </c>
      <c r="NKS46" s="420">
        <f t="shared" si="195"/>
        <v>0</v>
      </c>
      <c r="NKT46" s="420">
        <f t="shared" si="195"/>
        <v>0</v>
      </c>
      <c r="NKU46" s="420">
        <f t="shared" si="195"/>
        <v>0</v>
      </c>
      <c r="NKV46" s="420">
        <f t="shared" si="195"/>
        <v>0</v>
      </c>
      <c r="NKW46" s="420">
        <f t="shared" si="195"/>
        <v>0</v>
      </c>
      <c r="NKX46" s="420">
        <f t="shared" si="195"/>
        <v>0</v>
      </c>
      <c r="NKY46" s="420">
        <f t="shared" si="195"/>
        <v>0</v>
      </c>
      <c r="NKZ46" s="420">
        <f t="shared" si="195"/>
        <v>0</v>
      </c>
      <c r="NLA46" s="420">
        <f t="shared" si="195"/>
        <v>0</v>
      </c>
      <c r="NLB46" s="420">
        <f t="shared" si="195"/>
        <v>0</v>
      </c>
      <c r="NLC46" s="420">
        <f t="shared" si="195"/>
        <v>0</v>
      </c>
      <c r="NLD46" s="420">
        <f t="shared" si="195"/>
        <v>0</v>
      </c>
      <c r="NLE46" s="420">
        <f t="shared" si="195"/>
        <v>0</v>
      </c>
      <c r="NLF46" s="420">
        <f t="shared" si="195"/>
        <v>0</v>
      </c>
      <c r="NLG46" s="420">
        <f t="shared" si="195"/>
        <v>0</v>
      </c>
      <c r="NLH46" s="420">
        <f t="shared" si="195"/>
        <v>0</v>
      </c>
      <c r="NLI46" s="420">
        <f t="shared" si="195"/>
        <v>0</v>
      </c>
      <c r="NLJ46" s="420">
        <f t="shared" si="195"/>
        <v>0</v>
      </c>
      <c r="NLK46" s="420">
        <f t="shared" si="195"/>
        <v>0</v>
      </c>
      <c r="NLL46" s="420">
        <f t="shared" si="195"/>
        <v>0</v>
      </c>
      <c r="NLM46" s="420">
        <f t="shared" si="195"/>
        <v>0</v>
      </c>
      <c r="NLN46" s="420">
        <f t="shared" si="195"/>
        <v>0</v>
      </c>
      <c r="NLO46" s="420">
        <f t="shared" si="195"/>
        <v>0</v>
      </c>
      <c r="NLP46" s="420">
        <f t="shared" si="195"/>
        <v>0</v>
      </c>
      <c r="NLQ46" s="420">
        <f t="shared" si="195"/>
        <v>0</v>
      </c>
      <c r="NLR46" s="420">
        <f t="shared" si="195"/>
        <v>0</v>
      </c>
      <c r="NLS46" s="420">
        <f t="shared" si="195"/>
        <v>0</v>
      </c>
      <c r="NLT46" s="420">
        <f t="shared" si="195"/>
        <v>0</v>
      </c>
      <c r="NLU46" s="420">
        <f t="shared" ref="NLU46:NOF46" si="196">NLU45*0.8</f>
        <v>0</v>
      </c>
      <c r="NLV46" s="420">
        <f t="shared" si="196"/>
        <v>0</v>
      </c>
      <c r="NLW46" s="420">
        <f t="shared" si="196"/>
        <v>0</v>
      </c>
      <c r="NLX46" s="420">
        <f t="shared" si="196"/>
        <v>0</v>
      </c>
      <c r="NLY46" s="420">
        <f t="shared" si="196"/>
        <v>0</v>
      </c>
      <c r="NLZ46" s="420">
        <f t="shared" si="196"/>
        <v>0</v>
      </c>
      <c r="NMA46" s="420">
        <f t="shared" si="196"/>
        <v>0</v>
      </c>
      <c r="NMB46" s="420">
        <f t="shared" si="196"/>
        <v>0</v>
      </c>
      <c r="NMC46" s="420">
        <f t="shared" si="196"/>
        <v>0</v>
      </c>
      <c r="NMD46" s="420">
        <f t="shared" si="196"/>
        <v>0</v>
      </c>
      <c r="NME46" s="420">
        <f t="shared" si="196"/>
        <v>0</v>
      </c>
      <c r="NMF46" s="420">
        <f t="shared" si="196"/>
        <v>0</v>
      </c>
      <c r="NMG46" s="420">
        <f t="shared" si="196"/>
        <v>0</v>
      </c>
      <c r="NMH46" s="420">
        <f t="shared" si="196"/>
        <v>0</v>
      </c>
      <c r="NMI46" s="420">
        <f t="shared" si="196"/>
        <v>0</v>
      </c>
      <c r="NMJ46" s="420">
        <f t="shared" si="196"/>
        <v>0</v>
      </c>
      <c r="NMK46" s="420">
        <f t="shared" si="196"/>
        <v>0</v>
      </c>
      <c r="NML46" s="420">
        <f t="shared" si="196"/>
        <v>0</v>
      </c>
      <c r="NMM46" s="420">
        <f t="shared" si="196"/>
        <v>0</v>
      </c>
      <c r="NMN46" s="420">
        <f t="shared" si="196"/>
        <v>0</v>
      </c>
      <c r="NMO46" s="420">
        <f t="shared" si="196"/>
        <v>0</v>
      </c>
      <c r="NMP46" s="420">
        <f t="shared" si="196"/>
        <v>0</v>
      </c>
      <c r="NMQ46" s="420">
        <f t="shared" si="196"/>
        <v>0</v>
      </c>
      <c r="NMR46" s="420">
        <f t="shared" si="196"/>
        <v>0</v>
      </c>
      <c r="NMS46" s="420">
        <f t="shared" si="196"/>
        <v>0</v>
      </c>
      <c r="NMT46" s="420">
        <f t="shared" si="196"/>
        <v>0</v>
      </c>
      <c r="NMU46" s="420">
        <f t="shared" si="196"/>
        <v>0</v>
      </c>
      <c r="NMV46" s="420">
        <f t="shared" si="196"/>
        <v>0</v>
      </c>
      <c r="NMW46" s="420">
        <f t="shared" si="196"/>
        <v>0</v>
      </c>
      <c r="NMX46" s="420">
        <f t="shared" si="196"/>
        <v>0</v>
      </c>
      <c r="NMY46" s="420">
        <f t="shared" si="196"/>
        <v>0</v>
      </c>
      <c r="NMZ46" s="420">
        <f t="shared" si="196"/>
        <v>0</v>
      </c>
      <c r="NNA46" s="420">
        <f t="shared" si="196"/>
        <v>0</v>
      </c>
      <c r="NNB46" s="420">
        <f t="shared" si="196"/>
        <v>0</v>
      </c>
      <c r="NNC46" s="420">
        <f t="shared" si="196"/>
        <v>0</v>
      </c>
      <c r="NND46" s="420">
        <f t="shared" si="196"/>
        <v>0</v>
      </c>
      <c r="NNE46" s="420">
        <f t="shared" si="196"/>
        <v>0</v>
      </c>
      <c r="NNF46" s="420">
        <f t="shared" si="196"/>
        <v>0</v>
      </c>
      <c r="NNG46" s="420">
        <f t="shared" si="196"/>
        <v>0</v>
      </c>
      <c r="NNH46" s="420">
        <f t="shared" si="196"/>
        <v>0</v>
      </c>
      <c r="NNI46" s="420">
        <f t="shared" si="196"/>
        <v>0</v>
      </c>
      <c r="NNJ46" s="420">
        <f t="shared" si="196"/>
        <v>0</v>
      </c>
      <c r="NNK46" s="420">
        <f t="shared" si="196"/>
        <v>0</v>
      </c>
      <c r="NNL46" s="420">
        <f t="shared" si="196"/>
        <v>0</v>
      </c>
      <c r="NNM46" s="420">
        <f t="shared" si="196"/>
        <v>0</v>
      </c>
      <c r="NNN46" s="420">
        <f t="shared" si="196"/>
        <v>0</v>
      </c>
      <c r="NNO46" s="420">
        <f t="shared" si="196"/>
        <v>0</v>
      </c>
      <c r="NNP46" s="420">
        <f t="shared" si="196"/>
        <v>0</v>
      </c>
      <c r="NNQ46" s="420">
        <f t="shared" si="196"/>
        <v>0</v>
      </c>
      <c r="NNR46" s="420">
        <f t="shared" si="196"/>
        <v>0</v>
      </c>
      <c r="NNS46" s="420">
        <f t="shared" si="196"/>
        <v>0</v>
      </c>
      <c r="NNT46" s="420">
        <f t="shared" si="196"/>
        <v>0</v>
      </c>
      <c r="NNU46" s="420">
        <f t="shared" si="196"/>
        <v>0</v>
      </c>
      <c r="NNV46" s="420">
        <f t="shared" si="196"/>
        <v>0</v>
      </c>
      <c r="NNW46" s="420">
        <f t="shared" si="196"/>
        <v>0</v>
      </c>
      <c r="NNX46" s="420">
        <f t="shared" si="196"/>
        <v>0</v>
      </c>
      <c r="NNY46" s="420">
        <f t="shared" si="196"/>
        <v>0</v>
      </c>
      <c r="NNZ46" s="420">
        <f t="shared" si="196"/>
        <v>0</v>
      </c>
      <c r="NOA46" s="420">
        <f t="shared" si="196"/>
        <v>0</v>
      </c>
      <c r="NOB46" s="420">
        <f t="shared" si="196"/>
        <v>0</v>
      </c>
      <c r="NOC46" s="420">
        <f t="shared" si="196"/>
        <v>0</v>
      </c>
      <c r="NOD46" s="420">
        <f t="shared" si="196"/>
        <v>0</v>
      </c>
      <c r="NOE46" s="420">
        <f t="shared" si="196"/>
        <v>0</v>
      </c>
      <c r="NOF46" s="420">
        <f t="shared" si="196"/>
        <v>0</v>
      </c>
      <c r="NOG46" s="420">
        <f t="shared" ref="NOG46:NQR46" si="197">NOG45*0.8</f>
        <v>0</v>
      </c>
      <c r="NOH46" s="420">
        <f t="shared" si="197"/>
        <v>0</v>
      </c>
      <c r="NOI46" s="420">
        <f t="shared" si="197"/>
        <v>0</v>
      </c>
      <c r="NOJ46" s="420">
        <f t="shared" si="197"/>
        <v>0</v>
      </c>
      <c r="NOK46" s="420">
        <f t="shared" si="197"/>
        <v>0</v>
      </c>
      <c r="NOL46" s="420">
        <f t="shared" si="197"/>
        <v>0</v>
      </c>
      <c r="NOM46" s="420">
        <f t="shared" si="197"/>
        <v>0</v>
      </c>
      <c r="NON46" s="420">
        <f t="shared" si="197"/>
        <v>0</v>
      </c>
      <c r="NOO46" s="420">
        <f t="shared" si="197"/>
        <v>0</v>
      </c>
      <c r="NOP46" s="420">
        <f t="shared" si="197"/>
        <v>0</v>
      </c>
      <c r="NOQ46" s="420">
        <f t="shared" si="197"/>
        <v>0</v>
      </c>
      <c r="NOR46" s="420">
        <f t="shared" si="197"/>
        <v>0</v>
      </c>
      <c r="NOS46" s="420">
        <f t="shared" si="197"/>
        <v>0</v>
      </c>
      <c r="NOT46" s="420">
        <f t="shared" si="197"/>
        <v>0</v>
      </c>
      <c r="NOU46" s="420">
        <f t="shared" si="197"/>
        <v>0</v>
      </c>
      <c r="NOV46" s="420">
        <f t="shared" si="197"/>
        <v>0</v>
      </c>
      <c r="NOW46" s="420">
        <f t="shared" si="197"/>
        <v>0</v>
      </c>
      <c r="NOX46" s="420">
        <f t="shared" si="197"/>
        <v>0</v>
      </c>
      <c r="NOY46" s="420">
        <f t="shared" si="197"/>
        <v>0</v>
      </c>
      <c r="NOZ46" s="420">
        <f t="shared" si="197"/>
        <v>0</v>
      </c>
      <c r="NPA46" s="420">
        <f t="shared" si="197"/>
        <v>0</v>
      </c>
      <c r="NPB46" s="420">
        <f t="shared" si="197"/>
        <v>0</v>
      </c>
      <c r="NPC46" s="420">
        <f t="shared" si="197"/>
        <v>0</v>
      </c>
      <c r="NPD46" s="420">
        <f t="shared" si="197"/>
        <v>0</v>
      </c>
      <c r="NPE46" s="420">
        <f t="shared" si="197"/>
        <v>0</v>
      </c>
      <c r="NPF46" s="420">
        <f t="shared" si="197"/>
        <v>0</v>
      </c>
      <c r="NPG46" s="420">
        <f t="shared" si="197"/>
        <v>0</v>
      </c>
      <c r="NPH46" s="420">
        <f t="shared" si="197"/>
        <v>0</v>
      </c>
      <c r="NPI46" s="420">
        <f t="shared" si="197"/>
        <v>0</v>
      </c>
      <c r="NPJ46" s="420">
        <f t="shared" si="197"/>
        <v>0</v>
      </c>
      <c r="NPK46" s="420">
        <f t="shared" si="197"/>
        <v>0</v>
      </c>
      <c r="NPL46" s="420">
        <f t="shared" si="197"/>
        <v>0</v>
      </c>
      <c r="NPM46" s="420">
        <f t="shared" si="197"/>
        <v>0</v>
      </c>
      <c r="NPN46" s="420">
        <f t="shared" si="197"/>
        <v>0</v>
      </c>
      <c r="NPO46" s="420">
        <f t="shared" si="197"/>
        <v>0</v>
      </c>
      <c r="NPP46" s="420">
        <f t="shared" si="197"/>
        <v>0</v>
      </c>
      <c r="NPQ46" s="420">
        <f t="shared" si="197"/>
        <v>0</v>
      </c>
      <c r="NPR46" s="420">
        <f t="shared" si="197"/>
        <v>0</v>
      </c>
      <c r="NPS46" s="420">
        <f t="shared" si="197"/>
        <v>0</v>
      </c>
      <c r="NPT46" s="420">
        <f t="shared" si="197"/>
        <v>0</v>
      </c>
      <c r="NPU46" s="420">
        <f t="shared" si="197"/>
        <v>0</v>
      </c>
      <c r="NPV46" s="420">
        <f t="shared" si="197"/>
        <v>0</v>
      </c>
      <c r="NPW46" s="420">
        <f t="shared" si="197"/>
        <v>0</v>
      </c>
      <c r="NPX46" s="420">
        <f t="shared" si="197"/>
        <v>0</v>
      </c>
      <c r="NPY46" s="420">
        <f t="shared" si="197"/>
        <v>0</v>
      </c>
      <c r="NPZ46" s="420">
        <f t="shared" si="197"/>
        <v>0</v>
      </c>
      <c r="NQA46" s="420">
        <f t="shared" si="197"/>
        <v>0</v>
      </c>
      <c r="NQB46" s="420">
        <f t="shared" si="197"/>
        <v>0</v>
      </c>
      <c r="NQC46" s="420">
        <f t="shared" si="197"/>
        <v>0</v>
      </c>
      <c r="NQD46" s="420">
        <f t="shared" si="197"/>
        <v>0</v>
      </c>
      <c r="NQE46" s="420">
        <f t="shared" si="197"/>
        <v>0</v>
      </c>
      <c r="NQF46" s="420">
        <f t="shared" si="197"/>
        <v>0</v>
      </c>
      <c r="NQG46" s="420">
        <f t="shared" si="197"/>
        <v>0</v>
      </c>
      <c r="NQH46" s="420">
        <f t="shared" si="197"/>
        <v>0</v>
      </c>
      <c r="NQI46" s="420">
        <f t="shared" si="197"/>
        <v>0</v>
      </c>
      <c r="NQJ46" s="420">
        <f t="shared" si="197"/>
        <v>0</v>
      </c>
      <c r="NQK46" s="420">
        <f t="shared" si="197"/>
        <v>0</v>
      </c>
      <c r="NQL46" s="420">
        <f t="shared" si="197"/>
        <v>0</v>
      </c>
      <c r="NQM46" s="420">
        <f t="shared" si="197"/>
        <v>0</v>
      </c>
      <c r="NQN46" s="420">
        <f t="shared" si="197"/>
        <v>0</v>
      </c>
      <c r="NQO46" s="420">
        <f t="shared" si="197"/>
        <v>0</v>
      </c>
      <c r="NQP46" s="420">
        <f t="shared" si="197"/>
        <v>0</v>
      </c>
      <c r="NQQ46" s="420">
        <f t="shared" si="197"/>
        <v>0</v>
      </c>
      <c r="NQR46" s="420">
        <f t="shared" si="197"/>
        <v>0</v>
      </c>
      <c r="NQS46" s="420">
        <f t="shared" ref="NQS46:NTD46" si="198">NQS45*0.8</f>
        <v>0</v>
      </c>
      <c r="NQT46" s="420">
        <f t="shared" si="198"/>
        <v>0</v>
      </c>
      <c r="NQU46" s="420">
        <f t="shared" si="198"/>
        <v>0</v>
      </c>
      <c r="NQV46" s="420">
        <f t="shared" si="198"/>
        <v>0</v>
      </c>
      <c r="NQW46" s="420">
        <f t="shared" si="198"/>
        <v>0</v>
      </c>
      <c r="NQX46" s="420">
        <f t="shared" si="198"/>
        <v>0</v>
      </c>
      <c r="NQY46" s="420">
        <f t="shared" si="198"/>
        <v>0</v>
      </c>
      <c r="NQZ46" s="420">
        <f t="shared" si="198"/>
        <v>0</v>
      </c>
      <c r="NRA46" s="420">
        <f t="shared" si="198"/>
        <v>0</v>
      </c>
      <c r="NRB46" s="420">
        <f t="shared" si="198"/>
        <v>0</v>
      </c>
      <c r="NRC46" s="420">
        <f t="shared" si="198"/>
        <v>0</v>
      </c>
      <c r="NRD46" s="420">
        <f t="shared" si="198"/>
        <v>0</v>
      </c>
      <c r="NRE46" s="420">
        <f t="shared" si="198"/>
        <v>0</v>
      </c>
      <c r="NRF46" s="420">
        <f t="shared" si="198"/>
        <v>0</v>
      </c>
      <c r="NRG46" s="420">
        <f t="shared" si="198"/>
        <v>0</v>
      </c>
      <c r="NRH46" s="420">
        <f t="shared" si="198"/>
        <v>0</v>
      </c>
      <c r="NRI46" s="420">
        <f t="shared" si="198"/>
        <v>0</v>
      </c>
      <c r="NRJ46" s="420">
        <f t="shared" si="198"/>
        <v>0</v>
      </c>
      <c r="NRK46" s="420">
        <f t="shared" si="198"/>
        <v>0</v>
      </c>
      <c r="NRL46" s="420">
        <f t="shared" si="198"/>
        <v>0</v>
      </c>
      <c r="NRM46" s="420">
        <f t="shared" si="198"/>
        <v>0</v>
      </c>
      <c r="NRN46" s="420">
        <f t="shared" si="198"/>
        <v>0</v>
      </c>
      <c r="NRO46" s="420">
        <f t="shared" si="198"/>
        <v>0</v>
      </c>
      <c r="NRP46" s="420">
        <f t="shared" si="198"/>
        <v>0</v>
      </c>
      <c r="NRQ46" s="420">
        <f t="shared" si="198"/>
        <v>0</v>
      </c>
      <c r="NRR46" s="420">
        <f t="shared" si="198"/>
        <v>0</v>
      </c>
      <c r="NRS46" s="420">
        <f t="shared" si="198"/>
        <v>0</v>
      </c>
      <c r="NRT46" s="420">
        <f t="shared" si="198"/>
        <v>0</v>
      </c>
      <c r="NRU46" s="420">
        <f t="shared" si="198"/>
        <v>0</v>
      </c>
      <c r="NRV46" s="420">
        <f t="shared" si="198"/>
        <v>0</v>
      </c>
      <c r="NRW46" s="420">
        <f t="shared" si="198"/>
        <v>0</v>
      </c>
      <c r="NRX46" s="420">
        <f t="shared" si="198"/>
        <v>0</v>
      </c>
      <c r="NRY46" s="420">
        <f t="shared" si="198"/>
        <v>0</v>
      </c>
      <c r="NRZ46" s="420">
        <f t="shared" si="198"/>
        <v>0</v>
      </c>
      <c r="NSA46" s="420">
        <f t="shared" si="198"/>
        <v>0</v>
      </c>
      <c r="NSB46" s="420">
        <f t="shared" si="198"/>
        <v>0</v>
      </c>
      <c r="NSC46" s="420">
        <f t="shared" si="198"/>
        <v>0</v>
      </c>
      <c r="NSD46" s="420">
        <f t="shared" si="198"/>
        <v>0</v>
      </c>
      <c r="NSE46" s="420">
        <f t="shared" si="198"/>
        <v>0</v>
      </c>
      <c r="NSF46" s="420">
        <f t="shared" si="198"/>
        <v>0</v>
      </c>
      <c r="NSG46" s="420">
        <f t="shared" si="198"/>
        <v>0</v>
      </c>
      <c r="NSH46" s="420">
        <f t="shared" si="198"/>
        <v>0</v>
      </c>
      <c r="NSI46" s="420">
        <f t="shared" si="198"/>
        <v>0</v>
      </c>
      <c r="NSJ46" s="420">
        <f t="shared" si="198"/>
        <v>0</v>
      </c>
      <c r="NSK46" s="420">
        <f t="shared" si="198"/>
        <v>0</v>
      </c>
      <c r="NSL46" s="420">
        <f t="shared" si="198"/>
        <v>0</v>
      </c>
      <c r="NSM46" s="420">
        <f t="shared" si="198"/>
        <v>0</v>
      </c>
      <c r="NSN46" s="420">
        <f t="shared" si="198"/>
        <v>0</v>
      </c>
      <c r="NSO46" s="420">
        <f t="shared" si="198"/>
        <v>0</v>
      </c>
      <c r="NSP46" s="420">
        <f t="shared" si="198"/>
        <v>0</v>
      </c>
      <c r="NSQ46" s="420">
        <f t="shared" si="198"/>
        <v>0</v>
      </c>
      <c r="NSR46" s="420">
        <f t="shared" si="198"/>
        <v>0</v>
      </c>
      <c r="NSS46" s="420">
        <f t="shared" si="198"/>
        <v>0</v>
      </c>
      <c r="NST46" s="420">
        <f t="shared" si="198"/>
        <v>0</v>
      </c>
      <c r="NSU46" s="420">
        <f t="shared" si="198"/>
        <v>0</v>
      </c>
      <c r="NSV46" s="420">
        <f t="shared" si="198"/>
        <v>0</v>
      </c>
      <c r="NSW46" s="420">
        <f t="shared" si="198"/>
        <v>0</v>
      </c>
      <c r="NSX46" s="420">
        <f t="shared" si="198"/>
        <v>0</v>
      </c>
      <c r="NSY46" s="420">
        <f t="shared" si="198"/>
        <v>0</v>
      </c>
      <c r="NSZ46" s="420">
        <f t="shared" si="198"/>
        <v>0</v>
      </c>
      <c r="NTA46" s="420">
        <f t="shared" si="198"/>
        <v>0</v>
      </c>
      <c r="NTB46" s="420">
        <f t="shared" si="198"/>
        <v>0</v>
      </c>
      <c r="NTC46" s="420">
        <f t="shared" si="198"/>
        <v>0</v>
      </c>
      <c r="NTD46" s="420">
        <f t="shared" si="198"/>
        <v>0</v>
      </c>
      <c r="NTE46" s="420">
        <f t="shared" ref="NTE46:NVP46" si="199">NTE45*0.8</f>
        <v>0</v>
      </c>
      <c r="NTF46" s="420">
        <f t="shared" si="199"/>
        <v>0</v>
      </c>
      <c r="NTG46" s="420">
        <f t="shared" si="199"/>
        <v>0</v>
      </c>
      <c r="NTH46" s="420">
        <f t="shared" si="199"/>
        <v>0</v>
      </c>
      <c r="NTI46" s="420">
        <f t="shared" si="199"/>
        <v>0</v>
      </c>
      <c r="NTJ46" s="420">
        <f t="shared" si="199"/>
        <v>0</v>
      </c>
      <c r="NTK46" s="420">
        <f t="shared" si="199"/>
        <v>0</v>
      </c>
      <c r="NTL46" s="420">
        <f t="shared" si="199"/>
        <v>0</v>
      </c>
      <c r="NTM46" s="420">
        <f t="shared" si="199"/>
        <v>0</v>
      </c>
      <c r="NTN46" s="420">
        <f t="shared" si="199"/>
        <v>0</v>
      </c>
      <c r="NTO46" s="420">
        <f t="shared" si="199"/>
        <v>0</v>
      </c>
      <c r="NTP46" s="420">
        <f t="shared" si="199"/>
        <v>0</v>
      </c>
      <c r="NTQ46" s="420">
        <f t="shared" si="199"/>
        <v>0</v>
      </c>
      <c r="NTR46" s="420">
        <f t="shared" si="199"/>
        <v>0</v>
      </c>
      <c r="NTS46" s="420">
        <f t="shared" si="199"/>
        <v>0</v>
      </c>
      <c r="NTT46" s="420">
        <f t="shared" si="199"/>
        <v>0</v>
      </c>
      <c r="NTU46" s="420">
        <f t="shared" si="199"/>
        <v>0</v>
      </c>
      <c r="NTV46" s="420">
        <f t="shared" si="199"/>
        <v>0</v>
      </c>
      <c r="NTW46" s="420">
        <f t="shared" si="199"/>
        <v>0</v>
      </c>
      <c r="NTX46" s="420">
        <f t="shared" si="199"/>
        <v>0</v>
      </c>
      <c r="NTY46" s="420">
        <f t="shared" si="199"/>
        <v>0</v>
      </c>
      <c r="NTZ46" s="420">
        <f t="shared" si="199"/>
        <v>0</v>
      </c>
      <c r="NUA46" s="420">
        <f t="shared" si="199"/>
        <v>0</v>
      </c>
      <c r="NUB46" s="420">
        <f t="shared" si="199"/>
        <v>0</v>
      </c>
      <c r="NUC46" s="420">
        <f t="shared" si="199"/>
        <v>0</v>
      </c>
      <c r="NUD46" s="420">
        <f t="shared" si="199"/>
        <v>0</v>
      </c>
      <c r="NUE46" s="420">
        <f t="shared" si="199"/>
        <v>0</v>
      </c>
      <c r="NUF46" s="420">
        <f t="shared" si="199"/>
        <v>0</v>
      </c>
      <c r="NUG46" s="420">
        <f t="shared" si="199"/>
        <v>0</v>
      </c>
      <c r="NUH46" s="420">
        <f t="shared" si="199"/>
        <v>0</v>
      </c>
      <c r="NUI46" s="420">
        <f t="shared" si="199"/>
        <v>0</v>
      </c>
      <c r="NUJ46" s="420">
        <f t="shared" si="199"/>
        <v>0</v>
      </c>
      <c r="NUK46" s="420">
        <f t="shared" si="199"/>
        <v>0</v>
      </c>
      <c r="NUL46" s="420">
        <f t="shared" si="199"/>
        <v>0</v>
      </c>
      <c r="NUM46" s="420">
        <f t="shared" si="199"/>
        <v>0</v>
      </c>
      <c r="NUN46" s="420">
        <f t="shared" si="199"/>
        <v>0</v>
      </c>
      <c r="NUO46" s="420">
        <f t="shared" si="199"/>
        <v>0</v>
      </c>
      <c r="NUP46" s="420">
        <f t="shared" si="199"/>
        <v>0</v>
      </c>
      <c r="NUQ46" s="420">
        <f t="shared" si="199"/>
        <v>0</v>
      </c>
      <c r="NUR46" s="420">
        <f t="shared" si="199"/>
        <v>0</v>
      </c>
      <c r="NUS46" s="420">
        <f t="shared" si="199"/>
        <v>0</v>
      </c>
      <c r="NUT46" s="420">
        <f t="shared" si="199"/>
        <v>0</v>
      </c>
      <c r="NUU46" s="420">
        <f t="shared" si="199"/>
        <v>0</v>
      </c>
      <c r="NUV46" s="420">
        <f t="shared" si="199"/>
        <v>0</v>
      </c>
      <c r="NUW46" s="420">
        <f t="shared" si="199"/>
        <v>0</v>
      </c>
      <c r="NUX46" s="420">
        <f t="shared" si="199"/>
        <v>0</v>
      </c>
      <c r="NUY46" s="420">
        <f t="shared" si="199"/>
        <v>0</v>
      </c>
      <c r="NUZ46" s="420">
        <f t="shared" si="199"/>
        <v>0</v>
      </c>
      <c r="NVA46" s="420">
        <f t="shared" si="199"/>
        <v>0</v>
      </c>
      <c r="NVB46" s="420">
        <f t="shared" si="199"/>
        <v>0</v>
      </c>
      <c r="NVC46" s="420">
        <f t="shared" si="199"/>
        <v>0</v>
      </c>
      <c r="NVD46" s="420">
        <f t="shared" si="199"/>
        <v>0</v>
      </c>
      <c r="NVE46" s="420">
        <f t="shared" si="199"/>
        <v>0</v>
      </c>
      <c r="NVF46" s="420">
        <f t="shared" si="199"/>
        <v>0</v>
      </c>
      <c r="NVG46" s="420">
        <f t="shared" si="199"/>
        <v>0</v>
      </c>
      <c r="NVH46" s="420">
        <f t="shared" si="199"/>
        <v>0</v>
      </c>
      <c r="NVI46" s="420">
        <f t="shared" si="199"/>
        <v>0</v>
      </c>
      <c r="NVJ46" s="420">
        <f t="shared" si="199"/>
        <v>0</v>
      </c>
      <c r="NVK46" s="420">
        <f t="shared" si="199"/>
        <v>0</v>
      </c>
      <c r="NVL46" s="420">
        <f t="shared" si="199"/>
        <v>0</v>
      </c>
      <c r="NVM46" s="420">
        <f t="shared" si="199"/>
        <v>0</v>
      </c>
      <c r="NVN46" s="420">
        <f t="shared" si="199"/>
        <v>0</v>
      </c>
      <c r="NVO46" s="420">
        <f t="shared" si="199"/>
        <v>0</v>
      </c>
      <c r="NVP46" s="420">
        <f t="shared" si="199"/>
        <v>0</v>
      </c>
      <c r="NVQ46" s="420">
        <f t="shared" ref="NVQ46:NYB46" si="200">NVQ45*0.8</f>
        <v>0</v>
      </c>
      <c r="NVR46" s="420">
        <f t="shared" si="200"/>
        <v>0</v>
      </c>
      <c r="NVS46" s="420">
        <f t="shared" si="200"/>
        <v>0</v>
      </c>
      <c r="NVT46" s="420">
        <f t="shared" si="200"/>
        <v>0</v>
      </c>
      <c r="NVU46" s="420">
        <f t="shared" si="200"/>
        <v>0</v>
      </c>
      <c r="NVV46" s="420">
        <f t="shared" si="200"/>
        <v>0</v>
      </c>
      <c r="NVW46" s="420">
        <f t="shared" si="200"/>
        <v>0</v>
      </c>
      <c r="NVX46" s="420">
        <f t="shared" si="200"/>
        <v>0</v>
      </c>
      <c r="NVY46" s="420">
        <f t="shared" si="200"/>
        <v>0</v>
      </c>
      <c r="NVZ46" s="420">
        <f t="shared" si="200"/>
        <v>0</v>
      </c>
      <c r="NWA46" s="420">
        <f t="shared" si="200"/>
        <v>0</v>
      </c>
      <c r="NWB46" s="420">
        <f t="shared" si="200"/>
        <v>0</v>
      </c>
      <c r="NWC46" s="420">
        <f t="shared" si="200"/>
        <v>0</v>
      </c>
      <c r="NWD46" s="420">
        <f t="shared" si="200"/>
        <v>0</v>
      </c>
      <c r="NWE46" s="420">
        <f t="shared" si="200"/>
        <v>0</v>
      </c>
      <c r="NWF46" s="420">
        <f t="shared" si="200"/>
        <v>0</v>
      </c>
      <c r="NWG46" s="420">
        <f t="shared" si="200"/>
        <v>0</v>
      </c>
      <c r="NWH46" s="420">
        <f t="shared" si="200"/>
        <v>0</v>
      </c>
      <c r="NWI46" s="420">
        <f t="shared" si="200"/>
        <v>0</v>
      </c>
      <c r="NWJ46" s="420">
        <f t="shared" si="200"/>
        <v>0</v>
      </c>
      <c r="NWK46" s="420">
        <f t="shared" si="200"/>
        <v>0</v>
      </c>
      <c r="NWL46" s="420">
        <f t="shared" si="200"/>
        <v>0</v>
      </c>
      <c r="NWM46" s="420">
        <f t="shared" si="200"/>
        <v>0</v>
      </c>
      <c r="NWN46" s="420">
        <f t="shared" si="200"/>
        <v>0</v>
      </c>
      <c r="NWO46" s="420">
        <f t="shared" si="200"/>
        <v>0</v>
      </c>
      <c r="NWP46" s="420">
        <f t="shared" si="200"/>
        <v>0</v>
      </c>
      <c r="NWQ46" s="420">
        <f t="shared" si="200"/>
        <v>0</v>
      </c>
      <c r="NWR46" s="420">
        <f t="shared" si="200"/>
        <v>0</v>
      </c>
      <c r="NWS46" s="420">
        <f t="shared" si="200"/>
        <v>0</v>
      </c>
      <c r="NWT46" s="420">
        <f t="shared" si="200"/>
        <v>0</v>
      </c>
      <c r="NWU46" s="420">
        <f t="shared" si="200"/>
        <v>0</v>
      </c>
      <c r="NWV46" s="420">
        <f t="shared" si="200"/>
        <v>0</v>
      </c>
      <c r="NWW46" s="420">
        <f t="shared" si="200"/>
        <v>0</v>
      </c>
      <c r="NWX46" s="420">
        <f t="shared" si="200"/>
        <v>0</v>
      </c>
      <c r="NWY46" s="420">
        <f t="shared" si="200"/>
        <v>0</v>
      </c>
      <c r="NWZ46" s="420">
        <f t="shared" si="200"/>
        <v>0</v>
      </c>
      <c r="NXA46" s="420">
        <f t="shared" si="200"/>
        <v>0</v>
      </c>
      <c r="NXB46" s="420">
        <f t="shared" si="200"/>
        <v>0</v>
      </c>
      <c r="NXC46" s="420">
        <f t="shared" si="200"/>
        <v>0</v>
      </c>
      <c r="NXD46" s="420">
        <f t="shared" si="200"/>
        <v>0</v>
      </c>
      <c r="NXE46" s="420">
        <f t="shared" si="200"/>
        <v>0</v>
      </c>
      <c r="NXF46" s="420">
        <f t="shared" si="200"/>
        <v>0</v>
      </c>
      <c r="NXG46" s="420">
        <f t="shared" si="200"/>
        <v>0</v>
      </c>
      <c r="NXH46" s="420">
        <f t="shared" si="200"/>
        <v>0</v>
      </c>
      <c r="NXI46" s="420">
        <f t="shared" si="200"/>
        <v>0</v>
      </c>
      <c r="NXJ46" s="420">
        <f t="shared" si="200"/>
        <v>0</v>
      </c>
      <c r="NXK46" s="420">
        <f t="shared" si="200"/>
        <v>0</v>
      </c>
      <c r="NXL46" s="420">
        <f t="shared" si="200"/>
        <v>0</v>
      </c>
      <c r="NXM46" s="420">
        <f t="shared" si="200"/>
        <v>0</v>
      </c>
      <c r="NXN46" s="420">
        <f t="shared" si="200"/>
        <v>0</v>
      </c>
      <c r="NXO46" s="420">
        <f t="shared" si="200"/>
        <v>0</v>
      </c>
      <c r="NXP46" s="420">
        <f t="shared" si="200"/>
        <v>0</v>
      </c>
      <c r="NXQ46" s="420">
        <f t="shared" si="200"/>
        <v>0</v>
      </c>
      <c r="NXR46" s="420">
        <f t="shared" si="200"/>
        <v>0</v>
      </c>
      <c r="NXS46" s="420">
        <f t="shared" si="200"/>
        <v>0</v>
      </c>
      <c r="NXT46" s="420">
        <f t="shared" si="200"/>
        <v>0</v>
      </c>
      <c r="NXU46" s="420">
        <f t="shared" si="200"/>
        <v>0</v>
      </c>
      <c r="NXV46" s="420">
        <f t="shared" si="200"/>
        <v>0</v>
      </c>
      <c r="NXW46" s="420">
        <f t="shared" si="200"/>
        <v>0</v>
      </c>
      <c r="NXX46" s="420">
        <f t="shared" si="200"/>
        <v>0</v>
      </c>
      <c r="NXY46" s="420">
        <f t="shared" si="200"/>
        <v>0</v>
      </c>
      <c r="NXZ46" s="420">
        <f t="shared" si="200"/>
        <v>0</v>
      </c>
      <c r="NYA46" s="420">
        <f t="shared" si="200"/>
        <v>0</v>
      </c>
      <c r="NYB46" s="420">
        <f t="shared" si="200"/>
        <v>0</v>
      </c>
      <c r="NYC46" s="420">
        <f t="shared" ref="NYC46:OAN46" si="201">NYC45*0.8</f>
        <v>0</v>
      </c>
      <c r="NYD46" s="420">
        <f t="shared" si="201"/>
        <v>0</v>
      </c>
      <c r="NYE46" s="420">
        <f t="shared" si="201"/>
        <v>0</v>
      </c>
      <c r="NYF46" s="420">
        <f t="shared" si="201"/>
        <v>0</v>
      </c>
      <c r="NYG46" s="420">
        <f t="shared" si="201"/>
        <v>0</v>
      </c>
      <c r="NYH46" s="420">
        <f t="shared" si="201"/>
        <v>0</v>
      </c>
      <c r="NYI46" s="420">
        <f t="shared" si="201"/>
        <v>0</v>
      </c>
      <c r="NYJ46" s="420">
        <f t="shared" si="201"/>
        <v>0</v>
      </c>
      <c r="NYK46" s="420">
        <f t="shared" si="201"/>
        <v>0</v>
      </c>
      <c r="NYL46" s="420">
        <f t="shared" si="201"/>
        <v>0</v>
      </c>
      <c r="NYM46" s="420">
        <f t="shared" si="201"/>
        <v>0</v>
      </c>
      <c r="NYN46" s="420">
        <f t="shared" si="201"/>
        <v>0</v>
      </c>
      <c r="NYO46" s="420">
        <f t="shared" si="201"/>
        <v>0</v>
      </c>
      <c r="NYP46" s="420">
        <f t="shared" si="201"/>
        <v>0</v>
      </c>
      <c r="NYQ46" s="420">
        <f t="shared" si="201"/>
        <v>0</v>
      </c>
      <c r="NYR46" s="420">
        <f t="shared" si="201"/>
        <v>0</v>
      </c>
      <c r="NYS46" s="420">
        <f t="shared" si="201"/>
        <v>0</v>
      </c>
      <c r="NYT46" s="420">
        <f t="shared" si="201"/>
        <v>0</v>
      </c>
      <c r="NYU46" s="420">
        <f t="shared" si="201"/>
        <v>0</v>
      </c>
      <c r="NYV46" s="420">
        <f t="shared" si="201"/>
        <v>0</v>
      </c>
      <c r="NYW46" s="420">
        <f t="shared" si="201"/>
        <v>0</v>
      </c>
      <c r="NYX46" s="420">
        <f t="shared" si="201"/>
        <v>0</v>
      </c>
      <c r="NYY46" s="420">
        <f t="shared" si="201"/>
        <v>0</v>
      </c>
      <c r="NYZ46" s="420">
        <f t="shared" si="201"/>
        <v>0</v>
      </c>
      <c r="NZA46" s="420">
        <f t="shared" si="201"/>
        <v>0</v>
      </c>
      <c r="NZB46" s="420">
        <f t="shared" si="201"/>
        <v>0</v>
      </c>
      <c r="NZC46" s="420">
        <f t="shared" si="201"/>
        <v>0</v>
      </c>
      <c r="NZD46" s="420">
        <f t="shared" si="201"/>
        <v>0</v>
      </c>
      <c r="NZE46" s="420">
        <f t="shared" si="201"/>
        <v>0</v>
      </c>
      <c r="NZF46" s="420">
        <f t="shared" si="201"/>
        <v>0</v>
      </c>
      <c r="NZG46" s="420">
        <f t="shared" si="201"/>
        <v>0</v>
      </c>
      <c r="NZH46" s="420">
        <f t="shared" si="201"/>
        <v>0</v>
      </c>
      <c r="NZI46" s="420">
        <f t="shared" si="201"/>
        <v>0</v>
      </c>
      <c r="NZJ46" s="420">
        <f t="shared" si="201"/>
        <v>0</v>
      </c>
      <c r="NZK46" s="420">
        <f t="shared" si="201"/>
        <v>0</v>
      </c>
      <c r="NZL46" s="420">
        <f t="shared" si="201"/>
        <v>0</v>
      </c>
      <c r="NZM46" s="420">
        <f t="shared" si="201"/>
        <v>0</v>
      </c>
      <c r="NZN46" s="420">
        <f t="shared" si="201"/>
        <v>0</v>
      </c>
      <c r="NZO46" s="420">
        <f t="shared" si="201"/>
        <v>0</v>
      </c>
      <c r="NZP46" s="420">
        <f t="shared" si="201"/>
        <v>0</v>
      </c>
      <c r="NZQ46" s="420">
        <f t="shared" si="201"/>
        <v>0</v>
      </c>
      <c r="NZR46" s="420">
        <f t="shared" si="201"/>
        <v>0</v>
      </c>
      <c r="NZS46" s="420">
        <f t="shared" si="201"/>
        <v>0</v>
      </c>
      <c r="NZT46" s="420">
        <f t="shared" si="201"/>
        <v>0</v>
      </c>
      <c r="NZU46" s="420">
        <f t="shared" si="201"/>
        <v>0</v>
      </c>
      <c r="NZV46" s="420">
        <f t="shared" si="201"/>
        <v>0</v>
      </c>
      <c r="NZW46" s="420">
        <f t="shared" si="201"/>
        <v>0</v>
      </c>
      <c r="NZX46" s="420">
        <f t="shared" si="201"/>
        <v>0</v>
      </c>
      <c r="NZY46" s="420">
        <f t="shared" si="201"/>
        <v>0</v>
      </c>
      <c r="NZZ46" s="420">
        <f t="shared" si="201"/>
        <v>0</v>
      </c>
      <c r="OAA46" s="420">
        <f t="shared" si="201"/>
        <v>0</v>
      </c>
      <c r="OAB46" s="420">
        <f t="shared" si="201"/>
        <v>0</v>
      </c>
      <c r="OAC46" s="420">
        <f t="shared" si="201"/>
        <v>0</v>
      </c>
      <c r="OAD46" s="420">
        <f t="shared" si="201"/>
        <v>0</v>
      </c>
      <c r="OAE46" s="420">
        <f t="shared" si="201"/>
        <v>0</v>
      </c>
      <c r="OAF46" s="420">
        <f t="shared" si="201"/>
        <v>0</v>
      </c>
      <c r="OAG46" s="420">
        <f t="shared" si="201"/>
        <v>0</v>
      </c>
      <c r="OAH46" s="420">
        <f t="shared" si="201"/>
        <v>0</v>
      </c>
      <c r="OAI46" s="420">
        <f t="shared" si="201"/>
        <v>0</v>
      </c>
      <c r="OAJ46" s="420">
        <f t="shared" si="201"/>
        <v>0</v>
      </c>
      <c r="OAK46" s="420">
        <f t="shared" si="201"/>
        <v>0</v>
      </c>
      <c r="OAL46" s="420">
        <f t="shared" si="201"/>
        <v>0</v>
      </c>
      <c r="OAM46" s="420">
        <f t="shared" si="201"/>
        <v>0</v>
      </c>
      <c r="OAN46" s="420">
        <f t="shared" si="201"/>
        <v>0</v>
      </c>
      <c r="OAO46" s="420">
        <f t="shared" ref="OAO46:OCZ46" si="202">OAO45*0.8</f>
        <v>0</v>
      </c>
      <c r="OAP46" s="420">
        <f t="shared" si="202"/>
        <v>0</v>
      </c>
      <c r="OAQ46" s="420">
        <f t="shared" si="202"/>
        <v>0</v>
      </c>
      <c r="OAR46" s="420">
        <f t="shared" si="202"/>
        <v>0</v>
      </c>
      <c r="OAS46" s="420">
        <f t="shared" si="202"/>
        <v>0</v>
      </c>
      <c r="OAT46" s="420">
        <f t="shared" si="202"/>
        <v>0</v>
      </c>
      <c r="OAU46" s="420">
        <f t="shared" si="202"/>
        <v>0</v>
      </c>
      <c r="OAV46" s="420">
        <f t="shared" si="202"/>
        <v>0</v>
      </c>
      <c r="OAW46" s="420">
        <f t="shared" si="202"/>
        <v>0</v>
      </c>
      <c r="OAX46" s="420">
        <f t="shared" si="202"/>
        <v>0</v>
      </c>
      <c r="OAY46" s="420">
        <f t="shared" si="202"/>
        <v>0</v>
      </c>
      <c r="OAZ46" s="420">
        <f t="shared" si="202"/>
        <v>0</v>
      </c>
      <c r="OBA46" s="420">
        <f t="shared" si="202"/>
        <v>0</v>
      </c>
      <c r="OBB46" s="420">
        <f t="shared" si="202"/>
        <v>0</v>
      </c>
      <c r="OBC46" s="420">
        <f t="shared" si="202"/>
        <v>0</v>
      </c>
      <c r="OBD46" s="420">
        <f t="shared" si="202"/>
        <v>0</v>
      </c>
      <c r="OBE46" s="420">
        <f t="shared" si="202"/>
        <v>0</v>
      </c>
      <c r="OBF46" s="420">
        <f t="shared" si="202"/>
        <v>0</v>
      </c>
      <c r="OBG46" s="420">
        <f t="shared" si="202"/>
        <v>0</v>
      </c>
      <c r="OBH46" s="420">
        <f t="shared" si="202"/>
        <v>0</v>
      </c>
      <c r="OBI46" s="420">
        <f t="shared" si="202"/>
        <v>0</v>
      </c>
      <c r="OBJ46" s="420">
        <f t="shared" si="202"/>
        <v>0</v>
      </c>
      <c r="OBK46" s="420">
        <f t="shared" si="202"/>
        <v>0</v>
      </c>
      <c r="OBL46" s="420">
        <f t="shared" si="202"/>
        <v>0</v>
      </c>
      <c r="OBM46" s="420">
        <f t="shared" si="202"/>
        <v>0</v>
      </c>
      <c r="OBN46" s="420">
        <f t="shared" si="202"/>
        <v>0</v>
      </c>
      <c r="OBO46" s="420">
        <f t="shared" si="202"/>
        <v>0</v>
      </c>
      <c r="OBP46" s="420">
        <f t="shared" si="202"/>
        <v>0</v>
      </c>
      <c r="OBQ46" s="420">
        <f t="shared" si="202"/>
        <v>0</v>
      </c>
      <c r="OBR46" s="420">
        <f t="shared" si="202"/>
        <v>0</v>
      </c>
      <c r="OBS46" s="420">
        <f t="shared" si="202"/>
        <v>0</v>
      </c>
      <c r="OBT46" s="420">
        <f t="shared" si="202"/>
        <v>0</v>
      </c>
      <c r="OBU46" s="420">
        <f t="shared" si="202"/>
        <v>0</v>
      </c>
      <c r="OBV46" s="420">
        <f t="shared" si="202"/>
        <v>0</v>
      </c>
      <c r="OBW46" s="420">
        <f t="shared" si="202"/>
        <v>0</v>
      </c>
      <c r="OBX46" s="420">
        <f t="shared" si="202"/>
        <v>0</v>
      </c>
      <c r="OBY46" s="420">
        <f t="shared" si="202"/>
        <v>0</v>
      </c>
      <c r="OBZ46" s="420">
        <f t="shared" si="202"/>
        <v>0</v>
      </c>
      <c r="OCA46" s="420">
        <f t="shared" si="202"/>
        <v>0</v>
      </c>
      <c r="OCB46" s="420">
        <f t="shared" si="202"/>
        <v>0</v>
      </c>
      <c r="OCC46" s="420">
        <f t="shared" si="202"/>
        <v>0</v>
      </c>
      <c r="OCD46" s="420">
        <f t="shared" si="202"/>
        <v>0</v>
      </c>
      <c r="OCE46" s="420">
        <f t="shared" si="202"/>
        <v>0</v>
      </c>
      <c r="OCF46" s="420">
        <f t="shared" si="202"/>
        <v>0</v>
      </c>
      <c r="OCG46" s="420">
        <f t="shared" si="202"/>
        <v>0</v>
      </c>
      <c r="OCH46" s="420">
        <f t="shared" si="202"/>
        <v>0</v>
      </c>
      <c r="OCI46" s="420">
        <f t="shared" si="202"/>
        <v>0</v>
      </c>
      <c r="OCJ46" s="420">
        <f t="shared" si="202"/>
        <v>0</v>
      </c>
      <c r="OCK46" s="420">
        <f t="shared" si="202"/>
        <v>0</v>
      </c>
      <c r="OCL46" s="420">
        <f t="shared" si="202"/>
        <v>0</v>
      </c>
      <c r="OCM46" s="420">
        <f t="shared" si="202"/>
        <v>0</v>
      </c>
      <c r="OCN46" s="420">
        <f t="shared" si="202"/>
        <v>0</v>
      </c>
      <c r="OCO46" s="420">
        <f t="shared" si="202"/>
        <v>0</v>
      </c>
      <c r="OCP46" s="420">
        <f t="shared" si="202"/>
        <v>0</v>
      </c>
      <c r="OCQ46" s="420">
        <f t="shared" si="202"/>
        <v>0</v>
      </c>
      <c r="OCR46" s="420">
        <f t="shared" si="202"/>
        <v>0</v>
      </c>
      <c r="OCS46" s="420">
        <f t="shared" si="202"/>
        <v>0</v>
      </c>
      <c r="OCT46" s="420">
        <f t="shared" si="202"/>
        <v>0</v>
      </c>
      <c r="OCU46" s="420">
        <f t="shared" si="202"/>
        <v>0</v>
      </c>
      <c r="OCV46" s="420">
        <f t="shared" si="202"/>
        <v>0</v>
      </c>
      <c r="OCW46" s="420">
        <f t="shared" si="202"/>
        <v>0</v>
      </c>
      <c r="OCX46" s="420">
        <f t="shared" si="202"/>
        <v>0</v>
      </c>
      <c r="OCY46" s="420">
        <f t="shared" si="202"/>
        <v>0</v>
      </c>
      <c r="OCZ46" s="420">
        <f t="shared" si="202"/>
        <v>0</v>
      </c>
      <c r="ODA46" s="420">
        <f t="shared" ref="ODA46:OFL46" si="203">ODA45*0.8</f>
        <v>0</v>
      </c>
      <c r="ODB46" s="420">
        <f t="shared" si="203"/>
        <v>0</v>
      </c>
      <c r="ODC46" s="420">
        <f t="shared" si="203"/>
        <v>0</v>
      </c>
      <c r="ODD46" s="420">
        <f t="shared" si="203"/>
        <v>0</v>
      </c>
      <c r="ODE46" s="420">
        <f t="shared" si="203"/>
        <v>0</v>
      </c>
      <c r="ODF46" s="420">
        <f t="shared" si="203"/>
        <v>0</v>
      </c>
      <c r="ODG46" s="420">
        <f t="shared" si="203"/>
        <v>0</v>
      </c>
      <c r="ODH46" s="420">
        <f t="shared" si="203"/>
        <v>0</v>
      </c>
      <c r="ODI46" s="420">
        <f t="shared" si="203"/>
        <v>0</v>
      </c>
      <c r="ODJ46" s="420">
        <f t="shared" si="203"/>
        <v>0</v>
      </c>
      <c r="ODK46" s="420">
        <f t="shared" si="203"/>
        <v>0</v>
      </c>
      <c r="ODL46" s="420">
        <f t="shared" si="203"/>
        <v>0</v>
      </c>
      <c r="ODM46" s="420">
        <f t="shared" si="203"/>
        <v>0</v>
      </c>
      <c r="ODN46" s="420">
        <f t="shared" si="203"/>
        <v>0</v>
      </c>
      <c r="ODO46" s="420">
        <f t="shared" si="203"/>
        <v>0</v>
      </c>
      <c r="ODP46" s="420">
        <f t="shared" si="203"/>
        <v>0</v>
      </c>
      <c r="ODQ46" s="420">
        <f t="shared" si="203"/>
        <v>0</v>
      </c>
      <c r="ODR46" s="420">
        <f t="shared" si="203"/>
        <v>0</v>
      </c>
      <c r="ODS46" s="420">
        <f t="shared" si="203"/>
        <v>0</v>
      </c>
      <c r="ODT46" s="420">
        <f t="shared" si="203"/>
        <v>0</v>
      </c>
      <c r="ODU46" s="420">
        <f t="shared" si="203"/>
        <v>0</v>
      </c>
      <c r="ODV46" s="420">
        <f t="shared" si="203"/>
        <v>0</v>
      </c>
      <c r="ODW46" s="420">
        <f t="shared" si="203"/>
        <v>0</v>
      </c>
      <c r="ODX46" s="420">
        <f t="shared" si="203"/>
        <v>0</v>
      </c>
      <c r="ODY46" s="420">
        <f t="shared" si="203"/>
        <v>0</v>
      </c>
      <c r="ODZ46" s="420">
        <f t="shared" si="203"/>
        <v>0</v>
      </c>
      <c r="OEA46" s="420">
        <f t="shared" si="203"/>
        <v>0</v>
      </c>
      <c r="OEB46" s="420">
        <f t="shared" si="203"/>
        <v>0</v>
      </c>
      <c r="OEC46" s="420">
        <f t="shared" si="203"/>
        <v>0</v>
      </c>
      <c r="OED46" s="420">
        <f t="shared" si="203"/>
        <v>0</v>
      </c>
      <c r="OEE46" s="420">
        <f t="shared" si="203"/>
        <v>0</v>
      </c>
      <c r="OEF46" s="420">
        <f t="shared" si="203"/>
        <v>0</v>
      </c>
      <c r="OEG46" s="420">
        <f t="shared" si="203"/>
        <v>0</v>
      </c>
      <c r="OEH46" s="420">
        <f t="shared" si="203"/>
        <v>0</v>
      </c>
      <c r="OEI46" s="420">
        <f t="shared" si="203"/>
        <v>0</v>
      </c>
      <c r="OEJ46" s="420">
        <f t="shared" si="203"/>
        <v>0</v>
      </c>
      <c r="OEK46" s="420">
        <f t="shared" si="203"/>
        <v>0</v>
      </c>
      <c r="OEL46" s="420">
        <f t="shared" si="203"/>
        <v>0</v>
      </c>
      <c r="OEM46" s="420">
        <f t="shared" si="203"/>
        <v>0</v>
      </c>
      <c r="OEN46" s="420">
        <f t="shared" si="203"/>
        <v>0</v>
      </c>
      <c r="OEO46" s="420">
        <f t="shared" si="203"/>
        <v>0</v>
      </c>
      <c r="OEP46" s="420">
        <f t="shared" si="203"/>
        <v>0</v>
      </c>
      <c r="OEQ46" s="420">
        <f t="shared" si="203"/>
        <v>0</v>
      </c>
      <c r="OER46" s="420">
        <f t="shared" si="203"/>
        <v>0</v>
      </c>
      <c r="OES46" s="420">
        <f t="shared" si="203"/>
        <v>0</v>
      </c>
      <c r="OET46" s="420">
        <f t="shared" si="203"/>
        <v>0</v>
      </c>
      <c r="OEU46" s="420">
        <f t="shared" si="203"/>
        <v>0</v>
      </c>
      <c r="OEV46" s="420">
        <f t="shared" si="203"/>
        <v>0</v>
      </c>
      <c r="OEW46" s="420">
        <f t="shared" si="203"/>
        <v>0</v>
      </c>
      <c r="OEX46" s="420">
        <f t="shared" si="203"/>
        <v>0</v>
      </c>
      <c r="OEY46" s="420">
        <f t="shared" si="203"/>
        <v>0</v>
      </c>
      <c r="OEZ46" s="420">
        <f t="shared" si="203"/>
        <v>0</v>
      </c>
      <c r="OFA46" s="420">
        <f t="shared" si="203"/>
        <v>0</v>
      </c>
      <c r="OFB46" s="420">
        <f t="shared" si="203"/>
        <v>0</v>
      </c>
      <c r="OFC46" s="420">
        <f t="shared" si="203"/>
        <v>0</v>
      </c>
      <c r="OFD46" s="420">
        <f t="shared" si="203"/>
        <v>0</v>
      </c>
      <c r="OFE46" s="420">
        <f t="shared" si="203"/>
        <v>0</v>
      </c>
      <c r="OFF46" s="420">
        <f t="shared" si="203"/>
        <v>0</v>
      </c>
      <c r="OFG46" s="420">
        <f t="shared" si="203"/>
        <v>0</v>
      </c>
      <c r="OFH46" s="420">
        <f t="shared" si="203"/>
        <v>0</v>
      </c>
      <c r="OFI46" s="420">
        <f t="shared" si="203"/>
        <v>0</v>
      </c>
      <c r="OFJ46" s="420">
        <f t="shared" si="203"/>
        <v>0</v>
      </c>
      <c r="OFK46" s="420">
        <f t="shared" si="203"/>
        <v>0</v>
      </c>
      <c r="OFL46" s="420">
        <f t="shared" si="203"/>
        <v>0</v>
      </c>
      <c r="OFM46" s="420">
        <f t="shared" ref="OFM46:OHX46" si="204">OFM45*0.8</f>
        <v>0</v>
      </c>
      <c r="OFN46" s="420">
        <f t="shared" si="204"/>
        <v>0</v>
      </c>
      <c r="OFO46" s="420">
        <f t="shared" si="204"/>
        <v>0</v>
      </c>
      <c r="OFP46" s="420">
        <f t="shared" si="204"/>
        <v>0</v>
      </c>
      <c r="OFQ46" s="420">
        <f t="shared" si="204"/>
        <v>0</v>
      </c>
      <c r="OFR46" s="420">
        <f t="shared" si="204"/>
        <v>0</v>
      </c>
      <c r="OFS46" s="420">
        <f t="shared" si="204"/>
        <v>0</v>
      </c>
      <c r="OFT46" s="420">
        <f t="shared" si="204"/>
        <v>0</v>
      </c>
      <c r="OFU46" s="420">
        <f t="shared" si="204"/>
        <v>0</v>
      </c>
      <c r="OFV46" s="420">
        <f t="shared" si="204"/>
        <v>0</v>
      </c>
      <c r="OFW46" s="420">
        <f t="shared" si="204"/>
        <v>0</v>
      </c>
      <c r="OFX46" s="420">
        <f t="shared" si="204"/>
        <v>0</v>
      </c>
      <c r="OFY46" s="420">
        <f t="shared" si="204"/>
        <v>0</v>
      </c>
      <c r="OFZ46" s="420">
        <f t="shared" si="204"/>
        <v>0</v>
      </c>
      <c r="OGA46" s="420">
        <f t="shared" si="204"/>
        <v>0</v>
      </c>
      <c r="OGB46" s="420">
        <f t="shared" si="204"/>
        <v>0</v>
      </c>
      <c r="OGC46" s="420">
        <f t="shared" si="204"/>
        <v>0</v>
      </c>
      <c r="OGD46" s="420">
        <f t="shared" si="204"/>
        <v>0</v>
      </c>
      <c r="OGE46" s="420">
        <f t="shared" si="204"/>
        <v>0</v>
      </c>
      <c r="OGF46" s="420">
        <f t="shared" si="204"/>
        <v>0</v>
      </c>
      <c r="OGG46" s="420">
        <f t="shared" si="204"/>
        <v>0</v>
      </c>
      <c r="OGH46" s="420">
        <f t="shared" si="204"/>
        <v>0</v>
      </c>
      <c r="OGI46" s="420">
        <f t="shared" si="204"/>
        <v>0</v>
      </c>
      <c r="OGJ46" s="420">
        <f t="shared" si="204"/>
        <v>0</v>
      </c>
      <c r="OGK46" s="420">
        <f t="shared" si="204"/>
        <v>0</v>
      </c>
      <c r="OGL46" s="420">
        <f t="shared" si="204"/>
        <v>0</v>
      </c>
      <c r="OGM46" s="420">
        <f t="shared" si="204"/>
        <v>0</v>
      </c>
      <c r="OGN46" s="420">
        <f t="shared" si="204"/>
        <v>0</v>
      </c>
      <c r="OGO46" s="420">
        <f t="shared" si="204"/>
        <v>0</v>
      </c>
      <c r="OGP46" s="420">
        <f t="shared" si="204"/>
        <v>0</v>
      </c>
      <c r="OGQ46" s="420">
        <f t="shared" si="204"/>
        <v>0</v>
      </c>
      <c r="OGR46" s="420">
        <f t="shared" si="204"/>
        <v>0</v>
      </c>
      <c r="OGS46" s="420">
        <f t="shared" si="204"/>
        <v>0</v>
      </c>
      <c r="OGT46" s="420">
        <f t="shared" si="204"/>
        <v>0</v>
      </c>
      <c r="OGU46" s="420">
        <f t="shared" si="204"/>
        <v>0</v>
      </c>
      <c r="OGV46" s="420">
        <f t="shared" si="204"/>
        <v>0</v>
      </c>
      <c r="OGW46" s="420">
        <f t="shared" si="204"/>
        <v>0</v>
      </c>
      <c r="OGX46" s="420">
        <f t="shared" si="204"/>
        <v>0</v>
      </c>
      <c r="OGY46" s="420">
        <f t="shared" si="204"/>
        <v>0</v>
      </c>
      <c r="OGZ46" s="420">
        <f t="shared" si="204"/>
        <v>0</v>
      </c>
      <c r="OHA46" s="420">
        <f t="shared" si="204"/>
        <v>0</v>
      </c>
      <c r="OHB46" s="420">
        <f t="shared" si="204"/>
        <v>0</v>
      </c>
      <c r="OHC46" s="420">
        <f t="shared" si="204"/>
        <v>0</v>
      </c>
      <c r="OHD46" s="420">
        <f t="shared" si="204"/>
        <v>0</v>
      </c>
      <c r="OHE46" s="420">
        <f t="shared" si="204"/>
        <v>0</v>
      </c>
      <c r="OHF46" s="420">
        <f t="shared" si="204"/>
        <v>0</v>
      </c>
      <c r="OHG46" s="420">
        <f t="shared" si="204"/>
        <v>0</v>
      </c>
      <c r="OHH46" s="420">
        <f t="shared" si="204"/>
        <v>0</v>
      </c>
      <c r="OHI46" s="420">
        <f t="shared" si="204"/>
        <v>0</v>
      </c>
      <c r="OHJ46" s="420">
        <f t="shared" si="204"/>
        <v>0</v>
      </c>
      <c r="OHK46" s="420">
        <f t="shared" si="204"/>
        <v>0</v>
      </c>
      <c r="OHL46" s="420">
        <f t="shared" si="204"/>
        <v>0</v>
      </c>
      <c r="OHM46" s="420">
        <f t="shared" si="204"/>
        <v>0</v>
      </c>
      <c r="OHN46" s="420">
        <f t="shared" si="204"/>
        <v>0</v>
      </c>
      <c r="OHO46" s="420">
        <f t="shared" si="204"/>
        <v>0</v>
      </c>
      <c r="OHP46" s="420">
        <f t="shared" si="204"/>
        <v>0</v>
      </c>
      <c r="OHQ46" s="420">
        <f t="shared" si="204"/>
        <v>0</v>
      </c>
      <c r="OHR46" s="420">
        <f t="shared" si="204"/>
        <v>0</v>
      </c>
      <c r="OHS46" s="420">
        <f t="shared" si="204"/>
        <v>0</v>
      </c>
      <c r="OHT46" s="420">
        <f t="shared" si="204"/>
        <v>0</v>
      </c>
      <c r="OHU46" s="420">
        <f t="shared" si="204"/>
        <v>0</v>
      </c>
      <c r="OHV46" s="420">
        <f t="shared" si="204"/>
        <v>0</v>
      </c>
      <c r="OHW46" s="420">
        <f t="shared" si="204"/>
        <v>0</v>
      </c>
      <c r="OHX46" s="420">
        <f t="shared" si="204"/>
        <v>0</v>
      </c>
      <c r="OHY46" s="420">
        <f t="shared" ref="OHY46:OKJ46" si="205">OHY45*0.8</f>
        <v>0</v>
      </c>
      <c r="OHZ46" s="420">
        <f t="shared" si="205"/>
        <v>0</v>
      </c>
      <c r="OIA46" s="420">
        <f t="shared" si="205"/>
        <v>0</v>
      </c>
      <c r="OIB46" s="420">
        <f t="shared" si="205"/>
        <v>0</v>
      </c>
      <c r="OIC46" s="420">
        <f t="shared" si="205"/>
        <v>0</v>
      </c>
      <c r="OID46" s="420">
        <f t="shared" si="205"/>
        <v>0</v>
      </c>
      <c r="OIE46" s="420">
        <f t="shared" si="205"/>
        <v>0</v>
      </c>
      <c r="OIF46" s="420">
        <f t="shared" si="205"/>
        <v>0</v>
      </c>
      <c r="OIG46" s="420">
        <f t="shared" si="205"/>
        <v>0</v>
      </c>
      <c r="OIH46" s="420">
        <f t="shared" si="205"/>
        <v>0</v>
      </c>
      <c r="OII46" s="420">
        <f t="shared" si="205"/>
        <v>0</v>
      </c>
      <c r="OIJ46" s="420">
        <f t="shared" si="205"/>
        <v>0</v>
      </c>
      <c r="OIK46" s="420">
        <f t="shared" si="205"/>
        <v>0</v>
      </c>
      <c r="OIL46" s="420">
        <f t="shared" si="205"/>
        <v>0</v>
      </c>
      <c r="OIM46" s="420">
        <f t="shared" si="205"/>
        <v>0</v>
      </c>
      <c r="OIN46" s="420">
        <f t="shared" si="205"/>
        <v>0</v>
      </c>
      <c r="OIO46" s="420">
        <f t="shared" si="205"/>
        <v>0</v>
      </c>
      <c r="OIP46" s="420">
        <f t="shared" si="205"/>
        <v>0</v>
      </c>
      <c r="OIQ46" s="420">
        <f t="shared" si="205"/>
        <v>0</v>
      </c>
      <c r="OIR46" s="420">
        <f t="shared" si="205"/>
        <v>0</v>
      </c>
      <c r="OIS46" s="420">
        <f t="shared" si="205"/>
        <v>0</v>
      </c>
      <c r="OIT46" s="420">
        <f t="shared" si="205"/>
        <v>0</v>
      </c>
      <c r="OIU46" s="420">
        <f t="shared" si="205"/>
        <v>0</v>
      </c>
      <c r="OIV46" s="420">
        <f t="shared" si="205"/>
        <v>0</v>
      </c>
      <c r="OIW46" s="420">
        <f t="shared" si="205"/>
        <v>0</v>
      </c>
      <c r="OIX46" s="420">
        <f t="shared" si="205"/>
        <v>0</v>
      </c>
      <c r="OIY46" s="420">
        <f t="shared" si="205"/>
        <v>0</v>
      </c>
      <c r="OIZ46" s="420">
        <f t="shared" si="205"/>
        <v>0</v>
      </c>
      <c r="OJA46" s="420">
        <f t="shared" si="205"/>
        <v>0</v>
      </c>
      <c r="OJB46" s="420">
        <f t="shared" si="205"/>
        <v>0</v>
      </c>
      <c r="OJC46" s="420">
        <f t="shared" si="205"/>
        <v>0</v>
      </c>
      <c r="OJD46" s="420">
        <f t="shared" si="205"/>
        <v>0</v>
      </c>
      <c r="OJE46" s="420">
        <f t="shared" si="205"/>
        <v>0</v>
      </c>
      <c r="OJF46" s="420">
        <f t="shared" si="205"/>
        <v>0</v>
      </c>
      <c r="OJG46" s="420">
        <f t="shared" si="205"/>
        <v>0</v>
      </c>
      <c r="OJH46" s="420">
        <f t="shared" si="205"/>
        <v>0</v>
      </c>
      <c r="OJI46" s="420">
        <f t="shared" si="205"/>
        <v>0</v>
      </c>
      <c r="OJJ46" s="420">
        <f t="shared" si="205"/>
        <v>0</v>
      </c>
      <c r="OJK46" s="420">
        <f t="shared" si="205"/>
        <v>0</v>
      </c>
      <c r="OJL46" s="420">
        <f t="shared" si="205"/>
        <v>0</v>
      </c>
      <c r="OJM46" s="420">
        <f t="shared" si="205"/>
        <v>0</v>
      </c>
      <c r="OJN46" s="420">
        <f t="shared" si="205"/>
        <v>0</v>
      </c>
      <c r="OJO46" s="420">
        <f t="shared" si="205"/>
        <v>0</v>
      </c>
      <c r="OJP46" s="420">
        <f t="shared" si="205"/>
        <v>0</v>
      </c>
      <c r="OJQ46" s="420">
        <f t="shared" si="205"/>
        <v>0</v>
      </c>
      <c r="OJR46" s="420">
        <f t="shared" si="205"/>
        <v>0</v>
      </c>
      <c r="OJS46" s="420">
        <f t="shared" si="205"/>
        <v>0</v>
      </c>
      <c r="OJT46" s="420">
        <f t="shared" si="205"/>
        <v>0</v>
      </c>
      <c r="OJU46" s="420">
        <f t="shared" si="205"/>
        <v>0</v>
      </c>
      <c r="OJV46" s="420">
        <f t="shared" si="205"/>
        <v>0</v>
      </c>
      <c r="OJW46" s="420">
        <f t="shared" si="205"/>
        <v>0</v>
      </c>
      <c r="OJX46" s="420">
        <f t="shared" si="205"/>
        <v>0</v>
      </c>
      <c r="OJY46" s="420">
        <f t="shared" si="205"/>
        <v>0</v>
      </c>
      <c r="OJZ46" s="420">
        <f t="shared" si="205"/>
        <v>0</v>
      </c>
      <c r="OKA46" s="420">
        <f t="shared" si="205"/>
        <v>0</v>
      </c>
      <c r="OKB46" s="420">
        <f t="shared" si="205"/>
        <v>0</v>
      </c>
      <c r="OKC46" s="420">
        <f t="shared" si="205"/>
        <v>0</v>
      </c>
      <c r="OKD46" s="420">
        <f t="shared" si="205"/>
        <v>0</v>
      </c>
      <c r="OKE46" s="420">
        <f t="shared" si="205"/>
        <v>0</v>
      </c>
      <c r="OKF46" s="420">
        <f t="shared" si="205"/>
        <v>0</v>
      </c>
      <c r="OKG46" s="420">
        <f t="shared" si="205"/>
        <v>0</v>
      </c>
      <c r="OKH46" s="420">
        <f t="shared" si="205"/>
        <v>0</v>
      </c>
      <c r="OKI46" s="420">
        <f t="shared" si="205"/>
        <v>0</v>
      </c>
      <c r="OKJ46" s="420">
        <f t="shared" si="205"/>
        <v>0</v>
      </c>
      <c r="OKK46" s="420">
        <f t="shared" ref="OKK46:OMV46" si="206">OKK45*0.8</f>
        <v>0</v>
      </c>
      <c r="OKL46" s="420">
        <f t="shared" si="206"/>
        <v>0</v>
      </c>
      <c r="OKM46" s="420">
        <f t="shared" si="206"/>
        <v>0</v>
      </c>
      <c r="OKN46" s="420">
        <f t="shared" si="206"/>
        <v>0</v>
      </c>
      <c r="OKO46" s="420">
        <f t="shared" si="206"/>
        <v>0</v>
      </c>
      <c r="OKP46" s="420">
        <f t="shared" si="206"/>
        <v>0</v>
      </c>
      <c r="OKQ46" s="420">
        <f t="shared" si="206"/>
        <v>0</v>
      </c>
      <c r="OKR46" s="420">
        <f t="shared" si="206"/>
        <v>0</v>
      </c>
      <c r="OKS46" s="420">
        <f t="shared" si="206"/>
        <v>0</v>
      </c>
      <c r="OKT46" s="420">
        <f t="shared" si="206"/>
        <v>0</v>
      </c>
      <c r="OKU46" s="420">
        <f t="shared" si="206"/>
        <v>0</v>
      </c>
      <c r="OKV46" s="420">
        <f t="shared" si="206"/>
        <v>0</v>
      </c>
      <c r="OKW46" s="420">
        <f t="shared" si="206"/>
        <v>0</v>
      </c>
      <c r="OKX46" s="420">
        <f t="shared" si="206"/>
        <v>0</v>
      </c>
      <c r="OKY46" s="420">
        <f t="shared" si="206"/>
        <v>0</v>
      </c>
      <c r="OKZ46" s="420">
        <f t="shared" si="206"/>
        <v>0</v>
      </c>
      <c r="OLA46" s="420">
        <f t="shared" si="206"/>
        <v>0</v>
      </c>
      <c r="OLB46" s="420">
        <f t="shared" si="206"/>
        <v>0</v>
      </c>
      <c r="OLC46" s="420">
        <f t="shared" si="206"/>
        <v>0</v>
      </c>
      <c r="OLD46" s="420">
        <f t="shared" si="206"/>
        <v>0</v>
      </c>
      <c r="OLE46" s="420">
        <f t="shared" si="206"/>
        <v>0</v>
      </c>
      <c r="OLF46" s="420">
        <f t="shared" si="206"/>
        <v>0</v>
      </c>
      <c r="OLG46" s="420">
        <f t="shared" si="206"/>
        <v>0</v>
      </c>
      <c r="OLH46" s="420">
        <f t="shared" si="206"/>
        <v>0</v>
      </c>
      <c r="OLI46" s="420">
        <f t="shared" si="206"/>
        <v>0</v>
      </c>
      <c r="OLJ46" s="420">
        <f t="shared" si="206"/>
        <v>0</v>
      </c>
      <c r="OLK46" s="420">
        <f t="shared" si="206"/>
        <v>0</v>
      </c>
      <c r="OLL46" s="420">
        <f t="shared" si="206"/>
        <v>0</v>
      </c>
      <c r="OLM46" s="420">
        <f t="shared" si="206"/>
        <v>0</v>
      </c>
      <c r="OLN46" s="420">
        <f t="shared" si="206"/>
        <v>0</v>
      </c>
      <c r="OLO46" s="420">
        <f t="shared" si="206"/>
        <v>0</v>
      </c>
      <c r="OLP46" s="420">
        <f t="shared" si="206"/>
        <v>0</v>
      </c>
      <c r="OLQ46" s="420">
        <f t="shared" si="206"/>
        <v>0</v>
      </c>
      <c r="OLR46" s="420">
        <f t="shared" si="206"/>
        <v>0</v>
      </c>
      <c r="OLS46" s="420">
        <f t="shared" si="206"/>
        <v>0</v>
      </c>
      <c r="OLT46" s="420">
        <f t="shared" si="206"/>
        <v>0</v>
      </c>
      <c r="OLU46" s="420">
        <f t="shared" si="206"/>
        <v>0</v>
      </c>
      <c r="OLV46" s="420">
        <f t="shared" si="206"/>
        <v>0</v>
      </c>
      <c r="OLW46" s="420">
        <f t="shared" si="206"/>
        <v>0</v>
      </c>
      <c r="OLX46" s="420">
        <f t="shared" si="206"/>
        <v>0</v>
      </c>
      <c r="OLY46" s="420">
        <f t="shared" si="206"/>
        <v>0</v>
      </c>
      <c r="OLZ46" s="420">
        <f t="shared" si="206"/>
        <v>0</v>
      </c>
      <c r="OMA46" s="420">
        <f t="shared" si="206"/>
        <v>0</v>
      </c>
      <c r="OMB46" s="420">
        <f t="shared" si="206"/>
        <v>0</v>
      </c>
      <c r="OMC46" s="420">
        <f t="shared" si="206"/>
        <v>0</v>
      </c>
      <c r="OMD46" s="420">
        <f t="shared" si="206"/>
        <v>0</v>
      </c>
      <c r="OME46" s="420">
        <f t="shared" si="206"/>
        <v>0</v>
      </c>
      <c r="OMF46" s="420">
        <f t="shared" si="206"/>
        <v>0</v>
      </c>
      <c r="OMG46" s="420">
        <f t="shared" si="206"/>
        <v>0</v>
      </c>
      <c r="OMH46" s="420">
        <f t="shared" si="206"/>
        <v>0</v>
      </c>
      <c r="OMI46" s="420">
        <f t="shared" si="206"/>
        <v>0</v>
      </c>
      <c r="OMJ46" s="420">
        <f t="shared" si="206"/>
        <v>0</v>
      </c>
      <c r="OMK46" s="420">
        <f t="shared" si="206"/>
        <v>0</v>
      </c>
      <c r="OML46" s="420">
        <f t="shared" si="206"/>
        <v>0</v>
      </c>
      <c r="OMM46" s="420">
        <f t="shared" si="206"/>
        <v>0</v>
      </c>
      <c r="OMN46" s="420">
        <f t="shared" si="206"/>
        <v>0</v>
      </c>
      <c r="OMO46" s="420">
        <f t="shared" si="206"/>
        <v>0</v>
      </c>
      <c r="OMP46" s="420">
        <f t="shared" si="206"/>
        <v>0</v>
      </c>
      <c r="OMQ46" s="420">
        <f t="shared" si="206"/>
        <v>0</v>
      </c>
      <c r="OMR46" s="420">
        <f t="shared" si="206"/>
        <v>0</v>
      </c>
      <c r="OMS46" s="420">
        <f t="shared" si="206"/>
        <v>0</v>
      </c>
      <c r="OMT46" s="420">
        <f t="shared" si="206"/>
        <v>0</v>
      </c>
      <c r="OMU46" s="420">
        <f t="shared" si="206"/>
        <v>0</v>
      </c>
      <c r="OMV46" s="420">
        <f t="shared" si="206"/>
        <v>0</v>
      </c>
      <c r="OMW46" s="420">
        <f t="shared" ref="OMW46:OPH46" si="207">OMW45*0.8</f>
        <v>0</v>
      </c>
      <c r="OMX46" s="420">
        <f t="shared" si="207"/>
        <v>0</v>
      </c>
      <c r="OMY46" s="420">
        <f t="shared" si="207"/>
        <v>0</v>
      </c>
      <c r="OMZ46" s="420">
        <f t="shared" si="207"/>
        <v>0</v>
      </c>
      <c r="ONA46" s="420">
        <f t="shared" si="207"/>
        <v>0</v>
      </c>
      <c r="ONB46" s="420">
        <f t="shared" si="207"/>
        <v>0</v>
      </c>
      <c r="ONC46" s="420">
        <f t="shared" si="207"/>
        <v>0</v>
      </c>
      <c r="OND46" s="420">
        <f t="shared" si="207"/>
        <v>0</v>
      </c>
      <c r="ONE46" s="420">
        <f t="shared" si="207"/>
        <v>0</v>
      </c>
      <c r="ONF46" s="420">
        <f t="shared" si="207"/>
        <v>0</v>
      </c>
      <c r="ONG46" s="420">
        <f t="shared" si="207"/>
        <v>0</v>
      </c>
      <c r="ONH46" s="420">
        <f t="shared" si="207"/>
        <v>0</v>
      </c>
      <c r="ONI46" s="420">
        <f t="shared" si="207"/>
        <v>0</v>
      </c>
      <c r="ONJ46" s="420">
        <f t="shared" si="207"/>
        <v>0</v>
      </c>
      <c r="ONK46" s="420">
        <f t="shared" si="207"/>
        <v>0</v>
      </c>
      <c r="ONL46" s="420">
        <f t="shared" si="207"/>
        <v>0</v>
      </c>
      <c r="ONM46" s="420">
        <f t="shared" si="207"/>
        <v>0</v>
      </c>
      <c r="ONN46" s="420">
        <f t="shared" si="207"/>
        <v>0</v>
      </c>
      <c r="ONO46" s="420">
        <f t="shared" si="207"/>
        <v>0</v>
      </c>
      <c r="ONP46" s="420">
        <f t="shared" si="207"/>
        <v>0</v>
      </c>
      <c r="ONQ46" s="420">
        <f t="shared" si="207"/>
        <v>0</v>
      </c>
      <c r="ONR46" s="420">
        <f t="shared" si="207"/>
        <v>0</v>
      </c>
      <c r="ONS46" s="420">
        <f t="shared" si="207"/>
        <v>0</v>
      </c>
      <c r="ONT46" s="420">
        <f t="shared" si="207"/>
        <v>0</v>
      </c>
      <c r="ONU46" s="420">
        <f t="shared" si="207"/>
        <v>0</v>
      </c>
      <c r="ONV46" s="420">
        <f t="shared" si="207"/>
        <v>0</v>
      </c>
      <c r="ONW46" s="420">
        <f t="shared" si="207"/>
        <v>0</v>
      </c>
      <c r="ONX46" s="420">
        <f t="shared" si="207"/>
        <v>0</v>
      </c>
      <c r="ONY46" s="420">
        <f t="shared" si="207"/>
        <v>0</v>
      </c>
      <c r="ONZ46" s="420">
        <f t="shared" si="207"/>
        <v>0</v>
      </c>
      <c r="OOA46" s="420">
        <f t="shared" si="207"/>
        <v>0</v>
      </c>
      <c r="OOB46" s="420">
        <f t="shared" si="207"/>
        <v>0</v>
      </c>
      <c r="OOC46" s="420">
        <f t="shared" si="207"/>
        <v>0</v>
      </c>
      <c r="OOD46" s="420">
        <f t="shared" si="207"/>
        <v>0</v>
      </c>
      <c r="OOE46" s="420">
        <f t="shared" si="207"/>
        <v>0</v>
      </c>
      <c r="OOF46" s="420">
        <f t="shared" si="207"/>
        <v>0</v>
      </c>
      <c r="OOG46" s="420">
        <f t="shared" si="207"/>
        <v>0</v>
      </c>
      <c r="OOH46" s="420">
        <f t="shared" si="207"/>
        <v>0</v>
      </c>
      <c r="OOI46" s="420">
        <f t="shared" si="207"/>
        <v>0</v>
      </c>
      <c r="OOJ46" s="420">
        <f t="shared" si="207"/>
        <v>0</v>
      </c>
      <c r="OOK46" s="420">
        <f t="shared" si="207"/>
        <v>0</v>
      </c>
      <c r="OOL46" s="420">
        <f t="shared" si="207"/>
        <v>0</v>
      </c>
      <c r="OOM46" s="420">
        <f t="shared" si="207"/>
        <v>0</v>
      </c>
      <c r="OON46" s="420">
        <f t="shared" si="207"/>
        <v>0</v>
      </c>
      <c r="OOO46" s="420">
        <f t="shared" si="207"/>
        <v>0</v>
      </c>
      <c r="OOP46" s="420">
        <f t="shared" si="207"/>
        <v>0</v>
      </c>
      <c r="OOQ46" s="420">
        <f t="shared" si="207"/>
        <v>0</v>
      </c>
      <c r="OOR46" s="420">
        <f t="shared" si="207"/>
        <v>0</v>
      </c>
      <c r="OOS46" s="420">
        <f t="shared" si="207"/>
        <v>0</v>
      </c>
      <c r="OOT46" s="420">
        <f t="shared" si="207"/>
        <v>0</v>
      </c>
      <c r="OOU46" s="420">
        <f t="shared" si="207"/>
        <v>0</v>
      </c>
      <c r="OOV46" s="420">
        <f t="shared" si="207"/>
        <v>0</v>
      </c>
      <c r="OOW46" s="420">
        <f t="shared" si="207"/>
        <v>0</v>
      </c>
      <c r="OOX46" s="420">
        <f t="shared" si="207"/>
        <v>0</v>
      </c>
      <c r="OOY46" s="420">
        <f t="shared" si="207"/>
        <v>0</v>
      </c>
      <c r="OOZ46" s="420">
        <f t="shared" si="207"/>
        <v>0</v>
      </c>
      <c r="OPA46" s="420">
        <f t="shared" si="207"/>
        <v>0</v>
      </c>
      <c r="OPB46" s="420">
        <f t="shared" si="207"/>
        <v>0</v>
      </c>
      <c r="OPC46" s="420">
        <f t="shared" si="207"/>
        <v>0</v>
      </c>
      <c r="OPD46" s="420">
        <f t="shared" si="207"/>
        <v>0</v>
      </c>
      <c r="OPE46" s="420">
        <f t="shared" si="207"/>
        <v>0</v>
      </c>
      <c r="OPF46" s="420">
        <f t="shared" si="207"/>
        <v>0</v>
      </c>
      <c r="OPG46" s="420">
        <f t="shared" si="207"/>
        <v>0</v>
      </c>
      <c r="OPH46" s="420">
        <f t="shared" si="207"/>
        <v>0</v>
      </c>
      <c r="OPI46" s="420">
        <f t="shared" ref="OPI46:ORT46" si="208">OPI45*0.8</f>
        <v>0</v>
      </c>
      <c r="OPJ46" s="420">
        <f t="shared" si="208"/>
        <v>0</v>
      </c>
      <c r="OPK46" s="420">
        <f t="shared" si="208"/>
        <v>0</v>
      </c>
      <c r="OPL46" s="420">
        <f t="shared" si="208"/>
        <v>0</v>
      </c>
      <c r="OPM46" s="420">
        <f t="shared" si="208"/>
        <v>0</v>
      </c>
      <c r="OPN46" s="420">
        <f t="shared" si="208"/>
        <v>0</v>
      </c>
      <c r="OPO46" s="420">
        <f t="shared" si="208"/>
        <v>0</v>
      </c>
      <c r="OPP46" s="420">
        <f t="shared" si="208"/>
        <v>0</v>
      </c>
      <c r="OPQ46" s="420">
        <f t="shared" si="208"/>
        <v>0</v>
      </c>
      <c r="OPR46" s="420">
        <f t="shared" si="208"/>
        <v>0</v>
      </c>
      <c r="OPS46" s="420">
        <f t="shared" si="208"/>
        <v>0</v>
      </c>
      <c r="OPT46" s="420">
        <f t="shared" si="208"/>
        <v>0</v>
      </c>
      <c r="OPU46" s="420">
        <f t="shared" si="208"/>
        <v>0</v>
      </c>
      <c r="OPV46" s="420">
        <f t="shared" si="208"/>
        <v>0</v>
      </c>
      <c r="OPW46" s="420">
        <f t="shared" si="208"/>
        <v>0</v>
      </c>
      <c r="OPX46" s="420">
        <f t="shared" si="208"/>
        <v>0</v>
      </c>
      <c r="OPY46" s="420">
        <f t="shared" si="208"/>
        <v>0</v>
      </c>
      <c r="OPZ46" s="420">
        <f t="shared" si="208"/>
        <v>0</v>
      </c>
      <c r="OQA46" s="420">
        <f t="shared" si="208"/>
        <v>0</v>
      </c>
      <c r="OQB46" s="420">
        <f t="shared" si="208"/>
        <v>0</v>
      </c>
      <c r="OQC46" s="420">
        <f t="shared" si="208"/>
        <v>0</v>
      </c>
      <c r="OQD46" s="420">
        <f t="shared" si="208"/>
        <v>0</v>
      </c>
      <c r="OQE46" s="420">
        <f t="shared" si="208"/>
        <v>0</v>
      </c>
      <c r="OQF46" s="420">
        <f t="shared" si="208"/>
        <v>0</v>
      </c>
      <c r="OQG46" s="420">
        <f t="shared" si="208"/>
        <v>0</v>
      </c>
      <c r="OQH46" s="420">
        <f t="shared" si="208"/>
        <v>0</v>
      </c>
      <c r="OQI46" s="420">
        <f t="shared" si="208"/>
        <v>0</v>
      </c>
      <c r="OQJ46" s="420">
        <f t="shared" si="208"/>
        <v>0</v>
      </c>
      <c r="OQK46" s="420">
        <f t="shared" si="208"/>
        <v>0</v>
      </c>
      <c r="OQL46" s="420">
        <f t="shared" si="208"/>
        <v>0</v>
      </c>
      <c r="OQM46" s="420">
        <f t="shared" si="208"/>
        <v>0</v>
      </c>
      <c r="OQN46" s="420">
        <f t="shared" si="208"/>
        <v>0</v>
      </c>
      <c r="OQO46" s="420">
        <f t="shared" si="208"/>
        <v>0</v>
      </c>
      <c r="OQP46" s="420">
        <f t="shared" si="208"/>
        <v>0</v>
      </c>
      <c r="OQQ46" s="420">
        <f t="shared" si="208"/>
        <v>0</v>
      </c>
      <c r="OQR46" s="420">
        <f t="shared" si="208"/>
        <v>0</v>
      </c>
      <c r="OQS46" s="420">
        <f t="shared" si="208"/>
        <v>0</v>
      </c>
      <c r="OQT46" s="420">
        <f t="shared" si="208"/>
        <v>0</v>
      </c>
      <c r="OQU46" s="420">
        <f t="shared" si="208"/>
        <v>0</v>
      </c>
      <c r="OQV46" s="420">
        <f t="shared" si="208"/>
        <v>0</v>
      </c>
      <c r="OQW46" s="420">
        <f t="shared" si="208"/>
        <v>0</v>
      </c>
      <c r="OQX46" s="420">
        <f t="shared" si="208"/>
        <v>0</v>
      </c>
      <c r="OQY46" s="420">
        <f t="shared" si="208"/>
        <v>0</v>
      </c>
      <c r="OQZ46" s="420">
        <f t="shared" si="208"/>
        <v>0</v>
      </c>
      <c r="ORA46" s="420">
        <f t="shared" si="208"/>
        <v>0</v>
      </c>
      <c r="ORB46" s="420">
        <f t="shared" si="208"/>
        <v>0</v>
      </c>
      <c r="ORC46" s="420">
        <f t="shared" si="208"/>
        <v>0</v>
      </c>
      <c r="ORD46" s="420">
        <f t="shared" si="208"/>
        <v>0</v>
      </c>
      <c r="ORE46" s="420">
        <f t="shared" si="208"/>
        <v>0</v>
      </c>
      <c r="ORF46" s="420">
        <f t="shared" si="208"/>
        <v>0</v>
      </c>
      <c r="ORG46" s="420">
        <f t="shared" si="208"/>
        <v>0</v>
      </c>
      <c r="ORH46" s="420">
        <f t="shared" si="208"/>
        <v>0</v>
      </c>
      <c r="ORI46" s="420">
        <f t="shared" si="208"/>
        <v>0</v>
      </c>
      <c r="ORJ46" s="420">
        <f t="shared" si="208"/>
        <v>0</v>
      </c>
      <c r="ORK46" s="420">
        <f t="shared" si="208"/>
        <v>0</v>
      </c>
      <c r="ORL46" s="420">
        <f t="shared" si="208"/>
        <v>0</v>
      </c>
      <c r="ORM46" s="420">
        <f t="shared" si="208"/>
        <v>0</v>
      </c>
      <c r="ORN46" s="420">
        <f t="shared" si="208"/>
        <v>0</v>
      </c>
      <c r="ORO46" s="420">
        <f t="shared" si="208"/>
        <v>0</v>
      </c>
      <c r="ORP46" s="420">
        <f t="shared" si="208"/>
        <v>0</v>
      </c>
      <c r="ORQ46" s="420">
        <f t="shared" si="208"/>
        <v>0</v>
      </c>
      <c r="ORR46" s="420">
        <f t="shared" si="208"/>
        <v>0</v>
      </c>
      <c r="ORS46" s="420">
        <f t="shared" si="208"/>
        <v>0</v>
      </c>
      <c r="ORT46" s="420">
        <f t="shared" si="208"/>
        <v>0</v>
      </c>
      <c r="ORU46" s="420">
        <f t="shared" ref="ORU46:OUF46" si="209">ORU45*0.8</f>
        <v>0</v>
      </c>
      <c r="ORV46" s="420">
        <f t="shared" si="209"/>
        <v>0</v>
      </c>
      <c r="ORW46" s="420">
        <f t="shared" si="209"/>
        <v>0</v>
      </c>
      <c r="ORX46" s="420">
        <f t="shared" si="209"/>
        <v>0</v>
      </c>
      <c r="ORY46" s="420">
        <f t="shared" si="209"/>
        <v>0</v>
      </c>
      <c r="ORZ46" s="420">
        <f t="shared" si="209"/>
        <v>0</v>
      </c>
      <c r="OSA46" s="420">
        <f t="shared" si="209"/>
        <v>0</v>
      </c>
      <c r="OSB46" s="420">
        <f t="shared" si="209"/>
        <v>0</v>
      </c>
      <c r="OSC46" s="420">
        <f t="shared" si="209"/>
        <v>0</v>
      </c>
      <c r="OSD46" s="420">
        <f t="shared" si="209"/>
        <v>0</v>
      </c>
      <c r="OSE46" s="420">
        <f t="shared" si="209"/>
        <v>0</v>
      </c>
      <c r="OSF46" s="420">
        <f t="shared" si="209"/>
        <v>0</v>
      </c>
      <c r="OSG46" s="420">
        <f t="shared" si="209"/>
        <v>0</v>
      </c>
      <c r="OSH46" s="420">
        <f t="shared" si="209"/>
        <v>0</v>
      </c>
      <c r="OSI46" s="420">
        <f t="shared" si="209"/>
        <v>0</v>
      </c>
      <c r="OSJ46" s="420">
        <f t="shared" si="209"/>
        <v>0</v>
      </c>
      <c r="OSK46" s="420">
        <f t="shared" si="209"/>
        <v>0</v>
      </c>
      <c r="OSL46" s="420">
        <f t="shared" si="209"/>
        <v>0</v>
      </c>
      <c r="OSM46" s="420">
        <f t="shared" si="209"/>
        <v>0</v>
      </c>
      <c r="OSN46" s="420">
        <f t="shared" si="209"/>
        <v>0</v>
      </c>
      <c r="OSO46" s="420">
        <f t="shared" si="209"/>
        <v>0</v>
      </c>
      <c r="OSP46" s="420">
        <f t="shared" si="209"/>
        <v>0</v>
      </c>
      <c r="OSQ46" s="420">
        <f t="shared" si="209"/>
        <v>0</v>
      </c>
      <c r="OSR46" s="420">
        <f t="shared" si="209"/>
        <v>0</v>
      </c>
      <c r="OSS46" s="420">
        <f t="shared" si="209"/>
        <v>0</v>
      </c>
      <c r="OST46" s="420">
        <f t="shared" si="209"/>
        <v>0</v>
      </c>
      <c r="OSU46" s="420">
        <f t="shared" si="209"/>
        <v>0</v>
      </c>
      <c r="OSV46" s="420">
        <f t="shared" si="209"/>
        <v>0</v>
      </c>
      <c r="OSW46" s="420">
        <f t="shared" si="209"/>
        <v>0</v>
      </c>
      <c r="OSX46" s="420">
        <f t="shared" si="209"/>
        <v>0</v>
      </c>
      <c r="OSY46" s="420">
        <f t="shared" si="209"/>
        <v>0</v>
      </c>
      <c r="OSZ46" s="420">
        <f t="shared" si="209"/>
        <v>0</v>
      </c>
      <c r="OTA46" s="420">
        <f t="shared" si="209"/>
        <v>0</v>
      </c>
      <c r="OTB46" s="420">
        <f t="shared" si="209"/>
        <v>0</v>
      </c>
      <c r="OTC46" s="420">
        <f t="shared" si="209"/>
        <v>0</v>
      </c>
      <c r="OTD46" s="420">
        <f t="shared" si="209"/>
        <v>0</v>
      </c>
      <c r="OTE46" s="420">
        <f t="shared" si="209"/>
        <v>0</v>
      </c>
      <c r="OTF46" s="420">
        <f t="shared" si="209"/>
        <v>0</v>
      </c>
      <c r="OTG46" s="420">
        <f t="shared" si="209"/>
        <v>0</v>
      </c>
      <c r="OTH46" s="420">
        <f t="shared" si="209"/>
        <v>0</v>
      </c>
      <c r="OTI46" s="420">
        <f t="shared" si="209"/>
        <v>0</v>
      </c>
      <c r="OTJ46" s="420">
        <f t="shared" si="209"/>
        <v>0</v>
      </c>
      <c r="OTK46" s="420">
        <f t="shared" si="209"/>
        <v>0</v>
      </c>
      <c r="OTL46" s="420">
        <f t="shared" si="209"/>
        <v>0</v>
      </c>
      <c r="OTM46" s="420">
        <f t="shared" si="209"/>
        <v>0</v>
      </c>
      <c r="OTN46" s="420">
        <f t="shared" si="209"/>
        <v>0</v>
      </c>
      <c r="OTO46" s="420">
        <f t="shared" si="209"/>
        <v>0</v>
      </c>
      <c r="OTP46" s="420">
        <f t="shared" si="209"/>
        <v>0</v>
      </c>
      <c r="OTQ46" s="420">
        <f t="shared" si="209"/>
        <v>0</v>
      </c>
      <c r="OTR46" s="420">
        <f t="shared" si="209"/>
        <v>0</v>
      </c>
      <c r="OTS46" s="420">
        <f t="shared" si="209"/>
        <v>0</v>
      </c>
      <c r="OTT46" s="420">
        <f t="shared" si="209"/>
        <v>0</v>
      </c>
      <c r="OTU46" s="420">
        <f t="shared" si="209"/>
        <v>0</v>
      </c>
      <c r="OTV46" s="420">
        <f t="shared" si="209"/>
        <v>0</v>
      </c>
      <c r="OTW46" s="420">
        <f t="shared" si="209"/>
        <v>0</v>
      </c>
      <c r="OTX46" s="420">
        <f t="shared" si="209"/>
        <v>0</v>
      </c>
      <c r="OTY46" s="420">
        <f t="shared" si="209"/>
        <v>0</v>
      </c>
      <c r="OTZ46" s="420">
        <f t="shared" si="209"/>
        <v>0</v>
      </c>
      <c r="OUA46" s="420">
        <f t="shared" si="209"/>
        <v>0</v>
      </c>
      <c r="OUB46" s="420">
        <f t="shared" si="209"/>
        <v>0</v>
      </c>
      <c r="OUC46" s="420">
        <f t="shared" si="209"/>
        <v>0</v>
      </c>
      <c r="OUD46" s="420">
        <f t="shared" si="209"/>
        <v>0</v>
      </c>
      <c r="OUE46" s="420">
        <f t="shared" si="209"/>
        <v>0</v>
      </c>
      <c r="OUF46" s="420">
        <f t="shared" si="209"/>
        <v>0</v>
      </c>
      <c r="OUG46" s="420">
        <f t="shared" ref="OUG46:OWR46" si="210">OUG45*0.8</f>
        <v>0</v>
      </c>
      <c r="OUH46" s="420">
        <f t="shared" si="210"/>
        <v>0</v>
      </c>
      <c r="OUI46" s="420">
        <f t="shared" si="210"/>
        <v>0</v>
      </c>
      <c r="OUJ46" s="420">
        <f t="shared" si="210"/>
        <v>0</v>
      </c>
      <c r="OUK46" s="420">
        <f t="shared" si="210"/>
        <v>0</v>
      </c>
      <c r="OUL46" s="420">
        <f t="shared" si="210"/>
        <v>0</v>
      </c>
      <c r="OUM46" s="420">
        <f t="shared" si="210"/>
        <v>0</v>
      </c>
      <c r="OUN46" s="420">
        <f t="shared" si="210"/>
        <v>0</v>
      </c>
      <c r="OUO46" s="420">
        <f t="shared" si="210"/>
        <v>0</v>
      </c>
      <c r="OUP46" s="420">
        <f t="shared" si="210"/>
        <v>0</v>
      </c>
      <c r="OUQ46" s="420">
        <f t="shared" si="210"/>
        <v>0</v>
      </c>
      <c r="OUR46" s="420">
        <f t="shared" si="210"/>
        <v>0</v>
      </c>
      <c r="OUS46" s="420">
        <f t="shared" si="210"/>
        <v>0</v>
      </c>
      <c r="OUT46" s="420">
        <f t="shared" si="210"/>
        <v>0</v>
      </c>
      <c r="OUU46" s="420">
        <f t="shared" si="210"/>
        <v>0</v>
      </c>
      <c r="OUV46" s="420">
        <f t="shared" si="210"/>
        <v>0</v>
      </c>
      <c r="OUW46" s="420">
        <f t="shared" si="210"/>
        <v>0</v>
      </c>
      <c r="OUX46" s="420">
        <f t="shared" si="210"/>
        <v>0</v>
      </c>
      <c r="OUY46" s="420">
        <f t="shared" si="210"/>
        <v>0</v>
      </c>
      <c r="OUZ46" s="420">
        <f t="shared" si="210"/>
        <v>0</v>
      </c>
      <c r="OVA46" s="420">
        <f t="shared" si="210"/>
        <v>0</v>
      </c>
      <c r="OVB46" s="420">
        <f t="shared" si="210"/>
        <v>0</v>
      </c>
      <c r="OVC46" s="420">
        <f t="shared" si="210"/>
        <v>0</v>
      </c>
      <c r="OVD46" s="420">
        <f t="shared" si="210"/>
        <v>0</v>
      </c>
      <c r="OVE46" s="420">
        <f t="shared" si="210"/>
        <v>0</v>
      </c>
      <c r="OVF46" s="420">
        <f t="shared" si="210"/>
        <v>0</v>
      </c>
      <c r="OVG46" s="420">
        <f t="shared" si="210"/>
        <v>0</v>
      </c>
      <c r="OVH46" s="420">
        <f t="shared" si="210"/>
        <v>0</v>
      </c>
      <c r="OVI46" s="420">
        <f t="shared" si="210"/>
        <v>0</v>
      </c>
      <c r="OVJ46" s="420">
        <f t="shared" si="210"/>
        <v>0</v>
      </c>
      <c r="OVK46" s="420">
        <f t="shared" si="210"/>
        <v>0</v>
      </c>
      <c r="OVL46" s="420">
        <f t="shared" si="210"/>
        <v>0</v>
      </c>
      <c r="OVM46" s="420">
        <f t="shared" si="210"/>
        <v>0</v>
      </c>
      <c r="OVN46" s="420">
        <f t="shared" si="210"/>
        <v>0</v>
      </c>
      <c r="OVO46" s="420">
        <f t="shared" si="210"/>
        <v>0</v>
      </c>
      <c r="OVP46" s="420">
        <f t="shared" si="210"/>
        <v>0</v>
      </c>
      <c r="OVQ46" s="420">
        <f t="shared" si="210"/>
        <v>0</v>
      </c>
      <c r="OVR46" s="420">
        <f t="shared" si="210"/>
        <v>0</v>
      </c>
      <c r="OVS46" s="420">
        <f t="shared" si="210"/>
        <v>0</v>
      </c>
      <c r="OVT46" s="420">
        <f t="shared" si="210"/>
        <v>0</v>
      </c>
      <c r="OVU46" s="420">
        <f t="shared" si="210"/>
        <v>0</v>
      </c>
      <c r="OVV46" s="420">
        <f t="shared" si="210"/>
        <v>0</v>
      </c>
      <c r="OVW46" s="420">
        <f t="shared" si="210"/>
        <v>0</v>
      </c>
      <c r="OVX46" s="420">
        <f t="shared" si="210"/>
        <v>0</v>
      </c>
      <c r="OVY46" s="420">
        <f t="shared" si="210"/>
        <v>0</v>
      </c>
      <c r="OVZ46" s="420">
        <f t="shared" si="210"/>
        <v>0</v>
      </c>
      <c r="OWA46" s="420">
        <f t="shared" si="210"/>
        <v>0</v>
      </c>
      <c r="OWB46" s="420">
        <f t="shared" si="210"/>
        <v>0</v>
      </c>
      <c r="OWC46" s="420">
        <f t="shared" si="210"/>
        <v>0</v>
      </c>
      <c r="OWD46" s="420">
        <f t="shared" si="210"/>
        <v>0</v>
      </c>
      <c r="OWE46" s="420">
        <f t="shared" si="210"/>
        <v>0</v>
      </c>
      <c r="OWF46" s="420">
        <f t="shared" si="210"/>
        <v>0</v>
      </c>
      <c r="OWG46" s="420">
        <f t="shared" si="210"/>
        <v>0</v>
      </c>
      <c r="OWH46" s="420">
        <f t="shared" si="210"/>
        <v>0</v>
      </c>
      <c r="OWI46" s="420">
        <f t="shared" si="210"/>
        <v>0</v>
      </c>
      <c r="OWJ46" s="420">
        <f t="shared" si="210"/>
        <v>0</v>
      </c>
      <c r="OWK46" s="420">
        <f t="shared" si="210"/>
        <v>0</v>
      </c>
      <c r="OWL46" s="420">
        <f t="shared" si="210"/>
        <v>0</v>
      </c>
      <c r="OWM46" s="420">
        <f t="shared" si="210"/>
        <v>0</v>
      </c>
      <c r="OWN46" s="420">
        <f t="shared" si="210"/>
        <v>0</v>
      </c>
      <c r="OWO46" s="420">
        <f t="shared" si="210"/>
        <v>0</v>
      </c>
      <c r="OWP46" s="420">
        <f t="shared" si="210"/>
        <v>0</v>
      </c>
      <c r="OWQ46" s="420">
        <f t="shared" si="210"/>
        <v>0</v>
      </c>
      <c r="OWR46" s="420">
        <f t="shared" si="210"/>
        <v>0</v>
      </c>
      <c r="OWS46" s="420">
        <f t="shared" ref="OWS46:OZD46" si="211">OWS45*0.8</f>
        <v>0</v>
      </c>
      <c r="OWT46" s="420">
        <f t="shared" si="211"/>
        <v>0</v>
      </c>
      <c r="OWU46" s="420">
        <f t="shared" si="211"/>
        <v>0</v>
      </c>
      <c r="OWV46" s="420">
        <f t="shared" si="211"/>
        <v>0</v>
      </c>
      <c r="OWW46" s="420">
        <f t="shared" si="211"/>
        <v>0</v>
      </c>
      <c r="OWX46" s="420">
        <f t="shared" si="211"/>
        <v>0</v>
      </c>
      <c r="OWY46" s="420">
        <f t="shared" si="211"/>
        <v>0</v>
      </c>
      <c r="OWZ46" s="420">
        <f t="shared" si="211"/>
        <v>0</v>
      </c>
      <c r="OXA46" s="420">
        <f t="shared" si="211"/>
        <v>0</v>
      </c>
      <c r="OXB46" s="420">
        <f t="shared" si="211"/>
        <v>0</v>
      </c>
      <c r="OXC46" s="420">
        <f t="shared" si="211"/>
        <v>0</v>
      </c>
      <c r="OXD46" s="420">
        <f t="shared" si="211"/>
        <v>0</v>
      </c>
      <c r="OXE46" s="420">
        <f t="shared" si="211"/>
        <v>0</v>
      </c>
      <c r="OXF46" s="420">
        <f t="shared" si="211"/>
        <v>0</v>
      </c>
      <c r="OXG46" s="420">
        <f t="shared" si="211"/>
        <v>0</v>
      </c>
      <c r="OXH46" s="420">
        <f t="shared" si="211"/>
        <v>0</v>
      </c>
      <c r="OXI46" s="420">
        <f t="shared" si="211"/>
        <v>0</v>
      </c>
      <c r="OXJ46" s="420">
        <f t="shared" si="211"/>
        <v>0</v>
      </c>
      <c r="OXK46" s="420">
        <f t="shared" si="211"/>
        <v>0</v>
      </c>
      <c r="OXL46" s="420">
        <f t="shared" si="211"/>
        <v>0</v>
      </c>
      <c r="OXM46" s="420">
        <f t="shared" si="211"/>
        <v>0</v>
      </c>
      <c r="OXN46" s="420">
        <f t="shared" si="211"/>
        <v>0</v>
      </c>
      <c r="OXO46" s="420">
        <f t="shared" si="211"/>
        <v>0</v>
      </c>
      <c r="OXP46" s="420">
        <f t="shared" si="211"/>
        <v>0</v>
      </c>
      <c r="OXQ46" s="420">
        <f t="shared" si="211"/>
        <v>0</v>
      </c>
      <c r="OXR46" s="420">
        <f t="shared" si="211"/>
        <v>0</v>
      </c>
      <c r="OXS46" s="420">
        <f t="shared" si="211"/>
        <v>0</v>
      </c>
      <c r="OXT46" s="420">
        <f t="shared" si="211"/>
        <v>0</v>
      </c>
      <c r="OXU46" s="420">
        <f t="shared" si="211"/>
        <v>0</v>
      </c>
      <c r="OXV46" s="420">
        <f t="shared" si="211"/>
        <v>0</v>
      </c>
      <c r="OXW46" s="420">
        <f t="shared" si="211"/>
        <v>0</v>
      </c>
      <c r="OXX46" s="420">
        <f t="shared" si="211"/>
        <v>0</v>
      </c>
      <c r="OXY46" s="420">
        <f t="shared" si="211"/>
        <v>0</v>
      </c>
      <c r="OXZ46" s="420">
        <f t="shared" si="211"/>
        <v>0</v>
      </c>
      <c r="OYA46" s="420">
        <f t="shared" si="211"/>
        <v>0</v>
      </c>
      <c r="OYB46" s="420">
        <f t="shared" si="211"/>
        <v>0</v>
      </c>
      <c r="OYC46" s="420">
        <f t="shared" si="211"/>
        <v>0</v>
      </c>
      <c r="OYD46" s="420">
        <f t="shared" si="211"/>
        <v>0</v>
      </c>
      <c r="OYE46" s="420">
        <f t="shared" si="211"/>
        <v>0</v>
      </c>
      <c r="OYF46" s="420">
        <f t="shared" si="211"/>
        <v>0</v>
      </c>
      <c r="OYG46" s="420">
        <f t="shared" si="211"/>
        <v>0</v>
      </c>
      <c r="OYH46" s="420">
        <f t="shared" si="211"/>
        <v>0</v>
      </c>
      <c r="OYI46" s="420">
        <f t="shared" si="211"/>
        <v>0</v>
      </c>
      <c r="OYJ46" s="420">
        <f t="shared" si="211"/>
        <v>0</v>
      </c>
      <c r="OYK46" s="420">
        <f t="shared" si="211"/>
        <v>0</v>
      </c>
      <c r="OYL46" s="420">
        <f t="shared" si="211"/>
        <v>0</v>
      </c>
      <c r="OYM46" s="420">
        <f t="shared" si="211"/>
        <v>0</v>
      </c>
      <c r="OYN46" s="420">
        <f t="shared" si="211"/>
        <v>0</v>
      </c>
      <c r="OYO46" s="420">
        <f t="shared" si="211"/>
        <v>0</v>
      </c>
      <c r="OYP46" s="420">
        <f t="shared" si="211"/>
        <v>0</v>
      </c>
      <c r="OYQ46" s="420">
        <f t="shared" si="211"/>
        <v>0</v>
      </c>
      <c r="OYR46" s="420">
        <f t="shared" si="211"/>
        <v>0</v>
      </c>
      <c r="OYS46" s="420">
        <f t="shared" si="211"/>
        <v>0</v>
      </c>
      <c r="OYT46" s="420">
        <f t="shared" si="211"/>
        <v>0</v>
      </c>
      <c r="OYU46" s="420">
        <f t="shared" si="211"/>
        <v>0</v>
      </c>
      <c r="OYV46" s="420">
        <f t="shared" si="211"/>
        <v>0</v>
      </c>
      <c r="OYW46" s="420">
        <f t="shared" si="211"/>
        <v>0</v>
      </c>
      <c r="OYX46" s="420">
        <f t="shared" si="211"/>
        <v>0</v>
      </c>
      <c r="OYY46" s="420">
        <f t="shared" si="211"/>
        <v>0</v>
      </c>
      <c r="OYZ46" s="420">
        <f t="shared" si="211"/>
        <v>0</v>
      </c>
      <c r="OZA46" s="420">
        <f t="shared" si="211"/>
        <v>0</v>
      </c>
      <c r="OZB46" s="420">
        <f t="shared" si="211"/>
        <v>0</v>
      </c>
      <c r="OZC46" s="420">
        <f t="shared" si="211"/>
        <v>0</v>
      </c>
      <c r="OZD46" s="420">
        <f t="shared" si="211"/>
        <v>0</v>
      </c>
      <c r="OZE46" s="420">
        <f t="shared" ref="OZE46:PBP46" si="212">OZE45*0.8</f>
        <v>0</v>
      </c>
      <c r="OZF46" s="420">
        <f t="shared" si="212"/>
        <v>0</v>
      </c>
      <c r="OZG46" s="420">
        <f t="shared" si="212"/>
        <v>0</v>
      </c>
      <c r="OZH46" s="420">
        <f t="shared" si="212"/>
        <v>0</v>
      </c>
      <c r="OZI46" s="420">
        <f t="shared" si="212"/>
        <v>0</v>
      </c>
      <c r="OZJ46" s="420">
        <f t="shared" si="212"/>
        <v>0</v>
      </c>
      <c r="OZK46" s="420">
        <f t="shared" si="212"/>
        <v>0</v>
      </c>
      <c r="OZL46" s="420">
        <f t="shared" si="212"/>
        <v>0</v>
      </c>
      <c r="OZM46" s="420">
        <f t="shared" si="212"/>
        <v>0</v>
      </c>
      <c r="OZN46" s="420">
        <f t="shared" si="212"/>
        <v>0</v>
      </c>
      <c r="OZO46" s="420">
        <f t="shared" si="212"/>
        <v>0</v>
      </c>
      <c r="OZP46" s="420">
        <f t="shared" si="212"/>
        <v>0</v>
      </c>
      <c r="OZQ46" s="420">
        <f t="shared" si="212"/>
        <v>0</v>
      </c>
      <c r="OZR46" s="420">
        <f t="shared" si="212"/>
        <v>0</v>
      </c>
      <c r="OZS46" s="420">
        <f t="shared" si="212"/>
        <v>0</v>
      </c>
      <c r="OZT46" s="420">
        <f t="shared" si="212"/>
        <v>0</v>
      </c>
      <c r="OZU46" s="420">
        <f t="shared" si="212"/>
        <v>0</v>
      </c>
      <c r="OZV46" s="420">
        <f t="shared" si="212"/>
        <v>0</v>
      </c>
      <c r="OZW46" s="420">
        <f t="shared" si="212"/>
        <v>0</v>
      </c>
      <c r="OZX46" s="420">
        <f t="shared" si="212"/>
        <v>0</v>
      </c>
      <c r="OZY46" s="420">
        <f t="shared" si="212"/>
        <v>0</v>
      </c>
      <c r="OZZ46" s="420">
        <f t="shared" si="212"/>
        <v>0</v>
      </c>
      <c r="PAA46" s="420">
        <f t="shared" si="212"/>
        <v>0</v>
      </c>
      <c r="PAB46" s="420">
        <f t="shared" si="212"/>
        <v>0</v>
      </c>
      <c r="PAC46" s="420">
        <f t="shared" si="212"/>
        <v>0</v>
      </c>
      <c r="PAD46" s="420">
        <f t="shared" si="212"/>
        <v>0</v>
      </c>
      <c r="PAE46" s="420">
        <f t="shared" si="212"/>
        <v>0</v>
      </c>
      <c r="PAF46" s="420">
        <f t="shared" si="212"/>
        <v>0</v>
      </c>
      <c r="PAG46" s="420">
        <f t="shared" si="212"/>
        <v>0</v>
      </c>
      <c r="PAH46" s="420">
        <f t="shared" si="212"/>
        <v>0</v>
      </c>
      <c r="PAI46" s="420">
        <f t="shared" si="212"/>
        <v>0</v>
      </c>
      <c r="PAJ46" s="420">
        <f t="shared" si="212"/>
        <v>0</v>
      </c>
      <c r="PAK46" s="420">
        <f t="shared" si="212"/>
        <v>0</v>
      </c>
      <c r="PAL46" s="420">
        <f t="shared" si="212"/>
        <v>0</v>
      </c>
      <c r="PAM46" s="420">
        <f t="shared" si="212"/>
        <v>0</v>
      </c>
      <c r="PAN46" s="420">
        <f t="shared" si="212"/>
        <v>0</v>
      </c>
      <c r="PAO46" s="420">
        <f t="shared" si="212"/>
        <v>0</v>
      </c>
      <c r="PAP46" s="420">
        <f t="shared" si="212"/>
        <v>0</v>
      </c>
      <c r="PAQ46" s="420">
        <f t="shared" si="212"/>
        <v>0</v>
      </c>
      <c r="PAR46" s="420">
        <f t="shared" si="212"/>
        <v>0</v>
      </c>
      <c r="PAS46" s="420">
        <f t="shared" si="212"/>
        <v>0</v>
      </c>
      <c r="PAT46" s="420">
        <f t="shared" si="212"/>
        <v>0</v>
      </c>
      <c r="PAU46" s="420">
        <f t="shared" si="212"/>
        <v>0</v>
      </c>
      <c r="PAV46" s="420">
        <f t="shared" si="212"/>
        <v>0</v>
      </c>
      <c r="PAW46" s="420">
        <f t="shared" si="212"/>
        <v>0</v>
      </c>
      <c r="PAX46" s="420">
        <f t="shared" si="212"/>
        <v>0</v>
      </c>
      <c r="PAY46" s="420">
        <f t="shared" si="212"/>
        <v>0</v>
      </c>
      <c r="PAZ46" s="420">
        <f t="shared" si="212"/>
        <v>0</v>
      </c>
      <c r="PBA46" s="420">
        <f t="shared" si="212"/>
        <v>0</v>
      </c>
      <c r="PBB46" s="420">
        <f t="shared" si="212"/>
        <v>0</v>
      </c>
      <c r="PBC46" s="420">
        <f t="shared" si="212"/>
        <v>0</v>
      </c>
      <c r="PBD46" s="420">
        <f t="shared" si="212"/>
        <v>0</v>
      </c>
      <c r="PBE46" s="420">
        <f t="shared" si="212"/>
        <v>0</v>
      </c>
      <c r="PBF46" s="420">
        <f t="shared" si="212"/>
        <v>0</v>
      </c>
      <c r="PBG46" s="420">
        <f t="shared" si="212"/>
        <v>0</v>
      </c>
      <c r="PBH46" s="420">
        <f t="shared" si="212"/>
        <v>0</v>
      </c>
      <c r="PBI46" s="420">
        <f t="shared" si="212"/>
        <v>0</v>
      </c>
      <c r="PBJ46" s="420">
        <f t="shared" si="212"/>
        <v>0</v>
      </c>
      <c r="PBK46" s="420">
        <f t="shared" si="212"/>
        <v>0</v>
      </c>
      <c r="PBL46" s="420">
        <f t="shared" si="212"/>
        <v>0</v>
      </c>
      <c r="PBM46" s="420">
        <f t="shared" si="212"/>
        <v>0</v>
      </c>
      <c r="PBN46" s="420">
        <f t="shared" si="212"/>
        <v>0</v>
      </c>
      <c r="PBO46" s="420">
        <f t="shared" si="212"/>
        <v>0</v>
      </c>
      <c r="PBP46" s="420">
        <f t="shared" si="212"/>
        <v>0</v>
      </c>
      <c r="PBQ46" s="420">
        <f t="shared" ref="PBQ46:PEB46" si="213">PBQ45*0.8</f>
        <v>0</v>
      </c>
      <c r="PBR46" s="420">
        <f t="shared" si="213"/>
        <v>0</v>
      </c>
      <c r="PBS46" s="420">
        <f t="shared" si="213"/>
        <v>0</v>
      </c>
      <c r="PBT46" s="420">
        <f t="shared" si="213"/>
        <v>0</v>
      </c>
      <c r="PBU46" s="420">
        <f t="shared" si="213"/>
        <v>0</v>
      </c>
      <c r="PBV46" s="420">
        <f t="shared" si="213"/>
        <v>0</v>
      </c>
      <c r="PBW46" s="420">
        <f t="shared" si="213"/>
        <v>0</v>
      </c>
      <c r="PBX46" s="420">
        <f t="shared" si="213"/>
        <v>0</v>
      </c>
      <c r="PBY46" s="420">
        <f t="shared" si="213"/>
        <v>0</v>
      </c>
      <c r="PBZ46" s="420">
        <f t="shared" si="213"/>
        <v>0</v>
      </c>
      <c r="PCA46" s="420">
        <f t="shared" si="213"/>
        <v>0</v>
      </c>
      <c r="PCB46" s="420">
        <f t="shared" si="213"/>
        <v>0</v>
      </c>
      <c r="PCC46" s="420">
        <f t="shared" si="213"/>
        <v>0</v>
      </c>
      <c r="PCD46" s="420">
        <f t="shared" si="213"/>
        <v>0</v>
      </c>
      <c r="PCE46" s="420">
        <f t="shared" si="213"/>
        <v>0</v>
      </c>
      <c r="PCF46" s="420">
        <f t="shared" si="213"/>
        <v>0</v>
      </c>
      <c r="PCG46" s="420">
        <f t="shared" si="213"/>
        <v>0</v>
      </c>
      <c r="PCH46" s="420">
        <f t="shared" si="213"/>
        <v>0</v>
      </c>
      <c r="PCI46" s="420">
        <f t="shared" si="213"/>
        <v>0</v>
      </c>
      <c r="PCJ46" s="420">
        <f t="shared" si="213"/>
        <v>0</v>
      </c>
      <c r="PCK46" s="420">
        <f t="shared" si="213"/>
        <v>0</v>
      </c>
      <c r="PCL46" s="420">
        <f t="shared" si="213"/>
        <v>0</v>
      </c>
      <c r="PCM46" s="420">
        <f t="shared" si="213"/>
        <v>0</v>
      </c>
      <c r="PCN46" s="420">
        <f t="shared" si="213"/>
        <v>0</v>
      </c>
      <c r="PCO46" s="420">
        <f t="shared" si="213"/>
        <v>0</v>
      </c>
      <c r="PCP46" s="420">
        <f t="shared" si="213"/>
        <v>0</v>
      </c>
      <c r="PCQ46" s="420">
        <f t="shared" si="213"/>
        <v>0</v>
      </c>
      <c r="PCR46" s="420">
        <f t="shared" si="213"/>
        <v>0</v>
      </c>
      <c r="PCS46" s="420">
        <f t="shared" si="213"/>
        <v>0</v>
      </c>
      <c r="PCT46" s="420">
        <f t="shared" si="213"/>
        <v>0</v>
      </c>
      <c r="PCU46" s="420">
        <f t="shared" si="213"/>
        <v>0</v>
      </c>
      <c r="PCV46" s="420">
        <f t="shared" si="213"/>
        <v>0</v>
      </c>
      <c r="PCW46" s="420">
        <f t="shared" si="213"/>
        <v>0</v>
      </c>
      <c r="PCX46" s="420">
        <f t="shared" si="213"/>
        <v>0</v>
      </c>
      <c r="PCY46" s="420">
        <f t="shared" si="213"/>
        <v>0</v>
      </c>
      <c r="PCZ46" s="420">
        <f t="shared" si="213"/>
        <v>0</v>
      </c>
      <c r="PDA46" s="420">
        <f t="shared" si="213"/>
        <v>0</v>
      </c>
      <c r="PDB46" s="420">
        <f t="shared" si="213"/>
        <v>0</v>
      </c>
      <c r="PDC46" s="420">
        <f t="shared" si="213"/>
        <v>0</v>
      </c>
      <c r="PDD46" s="420">
        <f t="shared" si="213"/>
        <v>0</v>
      </c>
      <c r="PDE46" s="420">
        <f t="shared" si="213"/>
        <v>0</v>
      </c>
      <c r="PDF46" s="420">
        <f t="shared" si="213"/>
        <v>0</v>
      </c>
      <c r="PDG46" s="420">
        <f t="shared" si="213"/>
        <v>0</v>
      </c>
      <c r="PDH46" s="420">
        <f t="shared" si="213"/>
        <v>0</v>
      </c>
      <c r="PDI46" s="420">
        <f t="shared" si="213"/>
        <v>0</v>
      </c>
      <c r="PDJ46" s="420">
        <f t="shared" si="213"/>
        <v>0</v>
      </c>
      <c r="PDK46" s="420">
        <f t="shared" si="213"/>
        <v>0</v>
      </c>
      <c r="PDL46" s="420">
        <f t="shared" si="213"/>
        <v>0</v>
      </c>
      <c r="PDM46" s="420">
        <f t="shared" si="213"/>
        <v>0</v>
      </c>
      <c r="PDN46" s="420">
        <f t="shared" si="213"/>
        <v>0</v>
      </c>
      <c r="PDO46" s="420">
        <f t="shared" si="213"/>
        <v>0</v>
      </c>
      <c r="PDP46" s="420">
        <f t="shared" si="213"/>
        <v>0</v>
      </c>
      <c r="PDQ46" s="420">
        <f t="shared" si="213"/>
        <v>0</v>
      </c>
      <c r="PDR46" s="420">
        <f t="shared" si="213"/>
        <v>0</v>
      </c>
      <c r="PDS46" s="420">
        <f t="shared" si="213"/>
        <v>0</v>
      </c>
      <c r="PDT46" s="420">
        <f t="shared" si="213"/>
        <v>0</v>
      </c>
      <c r="PDU46" s="420">
        <f t="shared" si="213"/>
        <v>0</v>
      </c>
      <c r="PDV46" s="420">
        <f t="shared" si="213"/>
        <v>0</v>
      </c>
      <c r="PDW46" s="420">
        <f t="shared" si="213"/>
        <v>0</v>
      </c>
      <c r="PDX46" s="420">
        <f t="shared" si="213"/>
        <v>0</v>
      </c>
      <c r="PDY46" s="420">
        <f t="shared" si="213"/>
        <v>0</v>
      </c>
      <c r="PDZ46" s="420">
        <f t="shared" si="213"/>
        <v>0</v>
      </c>
      <c r="PEA46" s="420">
        <f t="shared" si="213"/>
        <v>0</v>
      </c>
      <c r="PEB46" s="420">
        <f t="shared" si="213"/>
        <v>0</v>
      </c>
      <c r="PEC46" s="420">
        <f t="shared" ref="PEC46:PGN46" si="214">PEC45*0.8</f>
        <v>0</v>
      </c>
      <c r="PED46" s="420">
        <f t="shared" si="214"/>
        <v>0</v>
      </c>
      <c r="PEE46" s="420">
        <f t="shared" si="214"/>
        <v>0</v>
      </c>
      <c r="PEF46" s="420">
        <f t="shared" si="214"/>
        <v>0</v>
      </c>
      <c r="PEG46" s="420">
        <f t="shared" si="214"/>
        <v>0</v>
      </c>
      <c r="PEH46" s="420">
        <f t="shared" si="214"/>
        <v>0</v>
      </c>
      <c r="PEI46" s="420">
        <f t="shared" si="214"/>
        <v>0</v>
      </c>
      <c r="PEJ46" s="420">
        <f t="shared" si="214"/>
        <v>0</v>
      </c>
      <c r="PEK46" s="420">
        <f t="shared" si="214"/>
        <v>0</v>
      </c>
      <c r="PEL46" s="420">
        <f t="shared" si="214"/>
        <v>0</v>
      </c>
      <c r="PEM46" s="420">
        <f t="shared" si="214"/>
        <v>0</v>
      </c>
      <c r="PEN46" s="420">
        <f t="shared" si="214"/>
        <v>0</v>
      </c>
      <c r="PEO46" s="420">
        <f t="shared" si="214"/>
        <v>0</v>
      </c>
      <c r="PEP46" s="420">
        <f t="shared" si="214"/>
        <v>0</v>
      </c>
      <c r="PEQ46" s="420">
        <f t="shared" si="214"/>
        <v>0</v>
      </c>
      <c r="PER46" s="420">
        <f t="shared" si="214"/>
        <v>0</v>
      </c>
      <c r="PES46" s="420">
        <f t="shared" si="214"/>
        <v>0</v>
      </c>
      <c r="PET46" s="420">
        <f t="shared" si="214"/>
        <v>0</v>
      </c>
      <c r="PEU46" s="420">
        <f t="shared" si="214"/>
        <v>0</v>
      </c>
      <c r="PEV46" s="420">
        <f t="shared" si="214"/>
        <v>0</v>
      </c>
      <c r="PEW46" s="420">
        <f t="shared" si="214"/>
        <v>0</v>
      </c>
      <c r="PEX46" s="420">
        <f t="shared" si="214"/>
        <v>0</v>
      </c>
      <c r="PEY46" s="420">
        <f t="shared" si="214"/>
        <v>0</v>
      </c>
      <c r="PEZ46" s="420">
        <f t="shared" si="214"/>
        <v>0</v>
      </c>
      <c r="PFA46" s="420">
        <f t="shared" si="214"/>
        <v>0</v>
      </c>
      <c r="PFB46" s="420">
        <f t="shared" si="214"/>
        <v>0</v>
      </c>
      <c r="PFC46" s="420">
        <f t="shared" si="214"/>
        <v>0</v>
      </c>
      <c r="PFD46" s="420">
        <f t="shared" si="214"/>
        <v>0</v>
      </c>
      <c r="PFE46" s="420">
        <f t="shared" si="214"/>
        <v>0</v>
      </c>
      <c r="PFF46" s="420">
        <f t="shared" si="214"/>
        <v>0</v>
      </c>
      <c r="PFG46" s="420">
        <f t="shared" si="214"/>
        <v>0</v>
      </c>
      <c r="PFH46" s="420">
        <f t="shared" si="214"/>
        <v>0</v>
      </c>
      <c r="PFI46" s="420">
        <f t="shared" si="214"/>
        <v>0</v>
      </c>
      <c r="PFJ46" s="420">
        <f t="shared" si="214"/>
        <v>0</v>
      </c>
      <c r="PFK46" s="420">
        <f t="shared" si="214"/>
        <v>0</v>
      </c>
      <c r="PFL46" s="420">
        <f t="shared" si="214"/>
        <v>0</v>
      </c>
      <c r="PFM46" s="420">
        <f t="shared" si="214"/>
        <v>0</v>
      </c>
      <c r="PFN46" s="420">
        <f t="shared" si="214"/>
        <v>0</v>
      </c>
      <c r="PFO46" s="420">
        <f t="shared" si="214"/>
        <v>0</v>
      </c>
      <c r="PFP46" s="420">
        <f t="shared" si="214"/>
        <v>0</v>
      </c>
      <c r="PFQ46" s="420">
        <f t="shared" si="214"/>
        <v>0</v>
      </c>
      <c r="PFR46" s="420">
        <f t="shared" si="214"/>
        <v>0</v>
      </c>
      <c r="PFS46" s="420">
        <f t="shared" si="214"/>
        <v>0</v>
      </c>
      <c r="PFT46" s="420">
        <f t="shared" si="214"/>
        <v>0</v>
      </c>
      <c r="PFU46" s="420">
        <f t="shared" si="214"/>
        <v>0</v>
      </c>
      <c r="PFV46" s="420">
        <f t="shared" si="214"/>
        <v>0</v>
      </c>
      <c r="PFW46" s="420">
        <f t="shared" si="214"/>
        <v>0</v>
      </c>
      <c r="PFX46" s="420">
        <f t="shared" si="214"/>
        <v>0</v>
      </c>
      <c r="PFY46" s="420">
        <f t="shared" si="214"/>
        <v>0</v>
      </c>
      <c r="PFZ46" s="420">
        <f t="shared" si="214"/>
        <v>0</v>
      </c>
      <c r="PGA46" s="420">
        <f t="shared" si="214"/>
        <v>0</v>
      </c>
      <c r="PGB46" s="420">
        <f t="shared" si="214"/>
        <v>0</v>
      </c>
      <c r="PGC46" s="420">
        <f t="shared" si="214"/>
        <v>0</v>
      </c>
      <c r="PGD46" s="420">
        <f t="shared" si="214"/>
        <v>0</v>
      </c>
      <c r="PGE46" s="420">
        <f t="shared" si="214"/>
        <v>0</v>
      </c>
      <c r="PGF46" s="420">
        <f t="shared" si="214"/>
        <v>0</v>
      </c>
      <c r="PGG46" s="420">
        <f t="shared" si="214"/>
        <v>0</v>
      </c>
      <c r="PGH46" s="420">
        <f t="shared" si="214"/>
        <v>0</v>
      </c>
      <c r="PGI46" s="420">
        <f t="shared" si="214"/>
        <v>0</v>
      </c>
      <c r="PGJ46" s="420">
        <f t="shared" si="214"/>
        <v>0</v>
      </c>
      <c r="PGK46" s="420">
        <f t="shared" si="214"/>
        <v>0</v>
      </c>
      <c r="PGL46" s="420">
        <f t="shared" si="214"/>
        <v>0</v>
      </c>
      <c r="PGM46" s="420">
        <f t="shared" si="214"/>
        <v>0</v>
      </c>
      <c r="PGN46" s="420">
        <f t="shared" si="214"/>
        <v>0</v>
      </c>
      <c r="PGO46" s="420">
        <f t="shared" ref="PGO46:PIZ46" si="215">PGO45*0.8</f>
        <v>0</v>
      </c>
      <c r="PGP46" s="420">
        <f t="shared" si="215"/>
        <v>0</v>
      </c>
      <c r="PGQ46" s="420">
        <f t="shared" si="215"/>
        <v>0</v>
      </c>
      <c r="PGR46" s="420">
        <f t="shared" si="215"/>
        <v>0</v>
      </c>
      <c r="PGS46" s="420">
        <f t="shared" si="215"/>
        <v>0</v>
      </c>
      <c r="PGT46" s="420">
        <f t="shared" si="215"/>
        <v>0</v>
      </c>
      <c r="PGU46" s="420">
        <f t="shared" si="215"/>
        <v>0</v>
      </c>
      <c r="PGV46" s="420">
        <f t="shared" si="215"/>
        <v>0</v>
      </c>
      <c r="PGW46" s="420">
        <f t="shared" si="215"/>
        <v>0</v>
      </c>
      <c r="PGX46" s="420">
        <f t="shared" si="215"/>
        <v>0</v>
      </c>
      <c r="PGY46" s="420">
        <f t="shared" si="215"/>
        <v>0</v>
      </c>
      <c r="PGZ46" s="420">
        <f t="shared" si="215"/>
        <v>0</v>
      </c>
      <c r="PHA46" s="420">
        <f t="shared" si="215"/>
        <v>0</v>
      </c>
      <c r="PHB46" s="420">
        <f t="shared" si="215"/>
        <v>0</v>
      </c>
      <c r="PHC46" s="420">
        <f t="shared" si="215"/>
        <v>0</v>
      </c>
      <c r="PHD46" s="420">
        <f t="shared" si="215"/>
        <v>0</v>
      </c>
      <c r="PHE46" s="420">
        <f t="shared" si="215"/>
        <v>0</v>
      </c>
      <c r="PHF46" s="420">
        <f t="shared" si="215"/>
        <v>0</v>
      </c>
      <c r="PHG46" s="420">
        <f t="shared" si="215"/>
        <v>0</v>
      </c>
      <c r="PHH46" s="420">
        <f t="shared" si="215"/>
        <v>0</v>
      </c>
      <c r="PHI46" s="420">
        <f t="shared" si="215"/>
        <v>0</v>
      </c>
      <c r="PHJ46" s="420">
        <f t="shared" si="215"/>
        <v>0</v>
      </c>
      <c r="PHK46" s="420">
        <f t="shared" si="215"/>
        <v>0</v>
      </c>
      <c r="PHL46" s="420">
        <f t="shared" si="215"/>
        <v>0</v>
      </c>
      <c r="PHM46" s="420">
        <f t="shared" si="215"/>
        <v>0</v>
      </c>
      <c r="PHN46" s="420">
        <f t="shared" si="215"/>
        <v>0</v>
      </c>
      <c r="PHO46" s="420">
        <f t="shared" si="215"/>
        <v>0</v>
      </c>
      <c r="PHP46" s="420">
        <f t="shared" si="215"/>
        <v>0</v>
      </c>
      <c r="PHQ46" s="420">
        <f t="shared" si="215"/>
        <v>0</v>
      </c>
      <c r="PHR46" s="420">
        <f t="shared" si="215"/>
        <v>0</v>
      </c>
      <c r="PHS46" s="420">
        <f t="shared" si="215"/>
        <v>0</v>
      </c>
      <c r="PHT46" s="420">
        <f t="shared" si="215"/>
        <v>0</v>
      </c>
      <c r="PHU46" s="420">
        <f t="shared" si="215"/>
        <v>0</v>
      </c>
      <c r="PHV46" s="420">
        <f t="shared" si="215"/>
        <v>0</v>
      </c>
      <c r="PHW46" s="420">
        <f t="shared" si="215"/>
        <v>0</v>
      </c>
      <c r="PHX46" s="420">
        <f t="shared" si="215"/>
        <v>0</v>
      </c>
      <c r="PHY46" s="420">
        <f t="shared" si="215"/>
        <v>0</v>
      </c>
      <c r="PHZ46" s="420">
        <f t="shared" si="215"/>
        <v>0</v>
      </c>
      <c r="PIA46" s="420">
        <f t="shared" si="215"/>
        <v>0</v>
      </c>
      <c r="PIB46" s="420">
        <f t="shared" si="215"/>
        <v>0</v>
      </c>
      <c r="PIC46" s="420">
        <f t="shared" si="215"/>
        <v>0</v>
      </c>
      <c r="PID46" s="420">
        <f t="shared" si="215"/>
        <v>0</v>
      </c>
      <c r="PIE46" s="420">
        <f t="shared" si="215"/>
        <v>0</v>
      </c>
      <c r="PIF46" s="420">
        <f t="shared" si="215"/>
        <v>0</v>
      </c>
      <c r="PIG46" s="420">
        <f t="shared" si="215"/>
        <v>0</v>
      </c>
      <c r="PIH46" s="420">
        <f t="shared" si="215"/>
        <v>0</v>
      </c>
      <c r="PII46" s="420">
        <f t="shared" si="215"/>
        <v>0</v>
      </c>
      <c r="PIJ46" s="420">
        <f t="shared" si="215"/>
        <v>0</v>
      </c>
      <c r="PIK46" s="420">
        <f t="shared" si="215"/>
        <v>0</v>
      </c>
      <c r="PIL46" s="420">
        <f t="shared" si="215"/>
        <v>0</v>
      </c>
      <c r="PIM46" s="420">
        <f t="shared" si="215"/>
        <v>0</v>
      </c>
      <c r="PIN46" s="420">
        <f t="shared" si="215"/>
        <v>0</v>
      </c>
      <c r="PIO46" s="420">
        <f t="shared" si="215"/>
        <v>0</v>
      </c>
      <c r="PIP46" s="420">
        <f t="shared" si="215"/>
        <v>0</v>
      </c>
      <c r="PIQ46" s="420">
        <f t="shared" si="215"/>
        <v>0</v>
      </c>
      <c r="PIR46" s="420">
        <f t="shared" si="215"/>
        <v>0</v>
      </c>
      <c r="PIS46" s="420">
        <f t="shared" si="215"/>
        <v>0</v>
      </c>
      <c r="PIT46" s="420">
        <f t="shared" si="215"/>
        <v>0</v>
      </c>
      <c r="PIU46" s="420">
        <f t="shared" si="215"/>
        <v>0</v>
      </c>
      <c r="PIV46" s="420">
        <f t="shared" si="215"/>
        <v>0</v>
      </c>
      <c r="PIW46" s="420">
        <f t="shared" si="215"/>
        <v>0</v>
      </c>
      <c r="PIX46" s="420">
        <f t="shared" si="215"/>
        <v>0</v>
      </c>
      <c r="PIY46" s="420">
        <f t="shared" si="215"/>
        <v>0</v>
      </c>
      <c r="PIZ46" s="420">
        <f t="shared" si="215"/>
        <v>0</v>
      </c>
      <c r="PJA46" s="420">
        <f t="shared" ref="PJA46:PLL46" si="216">PJA45*0.8</f>
        <v>0</v>
      </c>
      <c r="PJB46" s="420">
        <f t="shared" si="216"/>
        <v>0</v>
      </c>
      <c r="PJC46" s="420">
        <f t="shared" si="216"/>
        <v>0</v>
      </c>
      <c r="PJD46" s="420">
        <f t="shared" si="216"/>
        <v>0</v>
      </c>
      <c r="PJE46" s="420">
        <f t="shared" si="216"/>
        <v>0</v>
      </c>
      <c r="PJF46" s="420">
        <f t="shared" si="216"/>
        <v>0</v>
      </c>
      <c r="PJG46" s="420">
        <f t="shared" si="216"/>
        <v>0</v>
      </c>
      <c r="PJH46" s="420">
        <f t="shared" si="216"/>
        <v>0</v>
      </c>
      <c r="PJI46" s="420">
        <f t="shared" si="216"/>
        <v>0</v>
      </c>
      <c r="PJJ46" s="420">
        <f t="shared" si="216"/>
        <v>0</v>
      </c>
      <c r="PJK46" s="420">
        <f t="shared" si="216"/>
        <v>0</v>
      </c>
      <c r="PJL46" s="420">
        <f t="shared" si="216"/>
        <v>0</v>
      </c>
      <c r="PJM46" s="420">
        <f t="shared" si="216"/>
        <v>0</v>
      </c>
      <c r="PJN46" s="420">
        <f t="shared" si="216"/>
        <v>0</v>
      </c>
      <c r="PJO46" s="420">
        <f t="shared" si="216"/>
        <v>0</v>
      </c>
      <c r="PJP46" s="420">
        <f t="shared" si="216"/>
        <v>0</v>
      </c>
      <c r="PJQ46" s="420">
        <f t="shared" si="216"/>
        <v>0</v>
      </c>
      <c r="PJR46" s="420">
        <f t="shared" si="216"/>
        <v>0</v>
      </c>
      <c r="PJS46" s="420">
        <f t="shared" si="216"/>
        <v>0</v>
      </c>
      <c r="PJT46" s="420">
        <f t="shared" si="216"/>
        <v>0</v>
      </c>
      <c r="PJU46" s="420">
        <f t="shared" si="216"/>
        <v>0</v>
      </c>
      <c r="PJV46" s="420">
        <f t="shared" si="216"/>
        <v>0</v>
      </c>
      <c r="PJW46" s="420">
        <f t="shared" si="216"/>
        <v>0</v>
      </c>
      <c r="PJX46" s="420">
        <f t="shared" si="216"/>
        <v>0</v>
      </c>
      <c r="PJY46" s="420">
        <f t="shared" si="216"/>
        <v>0</v>
      </c>
      <c r="PJZ46" s="420">
        <f t="shared" si="216"/>
        <v>0</v>
      </c>
      <c r="PKA46" s="420">
        <f t="shared" si="216"/>
        <v>0</v>
      </c>
      <c r="PKB46" s="420">
        <f t="shared" si="216"/>
        <v>0</v>
      </c>
      <c r="PKC46" s="420">
        <f t="shared" si="216"/>
        <v>0</v>
      </c>
      <c r="PKD46" s="420">
        <f t="shared" si="216"/>
        <v>0</v>
      </c>
      <c r="PKE46" s="420">
        <f t="shared" si="216"/>
        <v>0</v>
      </c>
      <c r="PKF46" s="420">
        <f t="shared" si="216"/>
        <v>0</v>
      </c>
      <c r="PKG46" s="420">
        <f t="shared" si="216"/>
        <v>0</v>
      </c>
      <c r="PKH46" s="420">
        <f t="shared" si="216"/>
        <v>0</v>
      </c>
      <c r="PKI46" s="420">
        <f t="shared" si="216"/>
        <v>0</v>
      </c>
      <c r="PKJ46" s="420">
        <f t="shared" si="216"/>
        <v>0</v>
      </c>
      <c r="PKK46" s="420">
        <f t="shared" si="216"/>
        <v>0</v>
      </c>
      <c r="PKL46" s="420">
        <f t="shared" si="216"/>
        <v>0</v>
      </c>
      <c r="PKM46" s="420">
        <f t="shared" si="216"/>
        <v>0</v>
      </c>
      <c r="PKN46" s="420">
        <f t="shared" si="216"/>
        <v>0</v>
      </c>
      <c r="PKO46" s="420">
        <f t="shared" si="216"/>
        <v>0</v>
      </c>
      <c r="PKP46" s="420">
        <f t="shared" si="216"/>
        <v>0</v>
      </c>
      <c r="PKQ46" s="420">
        <f t="shared" si="216"/>
        <v>0</v>
      </c>
      <c r="PKR46" s="420">
        <f t="shared" si="216"/>
        <v>0</v>
      </c>
      <c r="PKS46" s="420">
        <f t="shared" si="216"/>
        <v>0</v>
      </c>
      <c r="PKT46" s="420">
        <f t="shared" si="216"/>
        <v>0</v>
      </c>
      <c r="PKU46" s="420">
        <f t="shared" si="216"/>
        <v>0</v>
      </c>
      <c r="PKV46" s="420">
        <f t="shared" si="216"/>
        <v>0</v>
      </c>
      <c r="PKW46" s="420">
        <f t="shared" si="216"/>
        <v>0</v>
      </c>
      <c r="PKX46" s="420">
        <f t="shared" si="216"/>
        <v>0</v>
      </c>
      <c r="PKY46" s="420">
        <f t="shared" si="216"/>
        <v>0</v>
      </c>
      <c r="PKZ46" s="420">
        <f t="shared" si="216"/>
        <v>0</v>
      </c>
      <c r="PLA46" s="420">
        <f t="shared" si="216"/>
        <v>0</v>
      </c>
      <c r="PLB46" s="420">
        <f t="shared" si="216"/>
        <v>0</v>
      </c>
      <c r="PLC46" s="420">
        <f t="shared" si="216"/>
        <v>0</v>
      </c>
      <c r="PLD46" s="420">
        <f t="shared" si="216"/>
        <v>0</v>
      </c>
      <c r="PLE46" s="420">
        <f t="shared" si="216"/>
        <v>0</v>
      </c>
      <c r="PLF46" s="420">
        <f t="shared" si="216"/>
        <v>0</v>
      </c>
      <c r="PLG46" s="420">
        <f t="shared" si="216"/>
        <v>0</v>
      </c>
      <c r="PLH46" s="420">
        <f t="shared" si="216"/>
        <v>0</v>
      </c>
      <c r="PLI46" s="420">
        <f t="shared" si="216"/>
        <v>0</v>
      </c>
      <c r="PLJ46" s="420">
        <f t="shared" si="216"/>
        <v>0</v>
      </c>
      <c r="PLK46" s="420">
        <f t="shared" si="216"/>
        <v>0</v>
      </c>
      <c r="PLL46" s="420">
        <f t="shared" si="216"/>
        <v>0</v>
      </c>
      <c r="PLM46" s="420">
        <f t="shared" ref="PLM46:PNX46" si="217">PLM45*0.8</f>
        <v>0</v>
      </c>
      <c r="PLN46" s="420">
        <f t="shared" si="217"/>
        <v>0</v>
      </c>
      <c r="PLO46" s="420">
        <f t="shared" si="217"/>
        <v>0</v>
      </c>
      <c r="PLP46" s="420">
        <f t="shared" si="217"/>
        <v>0</v>
      </c>
      <c r="PLQ46" s="420">
        <f t="shared" si="217"/>
        <v>0</v>
      </c>
      <c r="PLR46" s="420">
        <f t="shared" si="217"/>
        <v>0</v>
      </c>
      <c r="PLS46" s="420">
        <f t="shared" si="217"/>
        <v>0</v>
      </c>
      <c r="PLT46" s="420">
        <f t="shared" si="217"/>
        <v>0</v>
      </c>
      <c r="PLU46" s="420">
        <f t="shared" si="217"/>
        <v>0</v>
      </c>
      <c r="PLV46" s="420">
        <f t="shared" si="217"/>
        <v>0</v>
      </c>
      <c r="PLW46" s="420">
        <f t="shared" si="217"/>
        <v>0</v>
      </c>
      <c r="PLX46" s="420">
        <f t="shared" si="217"/>
        <v>0</v>
      </c>
      <c r="PLY46" s="420">
        <f t="shared" si="217"/>
        <v>0</v>
      </c>
      <c r="PLZ46" s="420">
        <f t="shared" si="217"/>
        <v>0</v>
      </c>
      <c r="PMA46" s="420">
        <f t="shared" si="217"/>
        <v>0</v>
      </c>
      <c r="PMB46" s="420">
        <f t="shared" si="217"/>
        <v>0</v>
      </c>
      <c r="PMC46" s="420">
        <f t="shared" si="217"/>
        <v>0</v>
      </c>
      <c r="PMD46" s="420">
        <f t="shared" si="217"/>
        <v>0</v>
      </c>
      <c r="PME46" s="420">
        <f t="shared" si="217"/>
        <v>0</v>
      </c>
      <c r="PMF46" s="420">
        <f t="shared" si="217"/>
        <v>0</v>
      </c>
      <c r="PMG46" s="420">
        <f t="shared" si="217"/>
        <v>0</v>
      </c>
      <c r="PMH46" s="420">
        <f t="shared" si="217"/>
        <v>0</v>
      </c>
      <c r="PMI46" s="420">
        <f t="shared" si="217"/>
        <v>0</v>
      </c>
      <c r="PMJ46" s="420">
        <f t="shared" si="217"/>
        <v>0</v>
      </c>
      <c r="PMK46" s="420">
        <f t="shared" si="217"/>
        <v>0</v>
      </c>
      <c r="PML46" s="420">
        <f t="shared" si="217"/>
        <v>0</v>
      </c>
      <c r="PMM46" s="420">
        <f t="shared" si="217"/>
        <v>0</v>
      </c>
      <c r="PMN46" s="420">
        <f t="shared" si="217"/>
        <v>0</v>
      </c>
      <c r="PMO46" s="420">
        <f t="shared" si="217"/>
        <v>0</v>
      </c>
      <c r="PMP46" s="420">
        <f t="shared" si="217"/>
        <v>0</v>
      </c>
      <c r="PMQ46" s="420">
        <f t="shared" si="217"/>
        <v>0</v>
      </c>
      <c r="PMR46" s="420">
        <f t="shared" si="217"/>
        <v>0</v>
      </c>
      <c r="PMS46" s="420">
        <f t="shared" si="217"/>
        <v>0</v>
      </c>
      <c r="PMT46" s="420">
        <f t="shared" si="217"/>
        <v>0</v>
      </c>
      <c r="PMU46" s="420">
        <f t="shared" si="217"/>
        <v>0</v>
      </c>
      <c r="PMV46" s="420">
        <f t="shared" si="217"/>
        <v>0</v>
      </c>
      <c r="PMW46" s="420">
        <f t="shared" si="217"/>
        <v>0</v>
      </c>
      <c r="PMX46" s="420">
        <f t="shared" si="217"/>
        <v>0</v>
      </c>
      <c r="PMY46" s="420">
        <f t="shared" si="217"/>
        <v>0</v>
      </c>
      <c r="PMZ46" s="420">
        <f t="shared" si="217"/>
        <v>0</v>
      </c>
      <c r="PNA46" s="420">
        <f t="shared" si="217"/>
        <v>0</v>
      </c>
      <c r="PNB46" s="420">
        <f t="shared" si="217"/>
        <v>0</v>
      </c>
      <c r="PNC46" s="420">
        <f t="shared" si="217"/>
        <v>0</v>
      </c>
      <c r="PND46" s="420">
        <f t="shared" si="217"/>
        <v>0</v>
      </c>
      <c r="PNE46" s="420">
        <f t="shared" si="217"/>
        <v>0</v>
      </c>
      <c r="PNF46" s="420">
        <f t="shared" si="217"/>
        <v>0</v>
      </c>
      <c r="PNG46" s="420">
        <f t="shared" si="217"/>
        <v>0</v>
      </c>
      <c r="PNH46" s="420">
        <f t="shared" si="217"/>
        <v>0</v>
      </c>
      <c r="PNI46" s="420">
        <f t="shared" si="217"/>
        <v>0</v>
      </c>
      <c r="PNJ46" s="420">
        <f t="shared" si="217"/>
        <v>0</v>
      </c>
      <c r="PNK46" s="420">
        <f t="shared" si="217"/>
        <v>0</v>
      </c>
      <c r="PNL46" s="420">
        <f t="shared" si="217"/>
        <v>0</v>
      </c>
      <c r="PNM46" s="420">
        <f t="shared" si="217"/>
        <v>0</v>
      </c>
      <c r="PNN46" s="420">
        <f t="shared" si="217"/>
        <v>0</v>
      </c>
      <c r="PNO46" s="420">
        <f t="shared" si="217"/>
        <v>0</v>
      </c>
      <c r="PNP46" s="420">
        <f t="shared" si="217"/>
        <v>0</v>
      </c>
      <c r="PNQ46" s="420">
        <f t="shared" si="217"/>
        <v>0</v>
      </c>
      <c r="PNR46" s="420">
        <f t="shared" si="217"/>
        <v>0</v>
      </c>
      <c r="PNS46" s="420">
        <f t="shared" si="217"/>
        <v>0</v>
      </c>
      <c r="PNT46" s="420">
        <f t="shared" si="217"/>
        <v>0</v>
      </c>
      <c r="PNU46" s="420">
        <f t="shared" si="217"/>
        <v>0</v>
      </c>
      <c r="PNV46" s="420">
        <f t="shared" si="217"/>
        <v>0</v>
      </c>
      <c r="PNW46" s="420">
        <f t="shared" si="217"/>
        <v>0</v>
      </c>
      <c r="PNX46" s="420">
        <f t="shared" si="217"/>
        <v>0</v>
      </c>
      <c r="PNY46" s="420">
        <f t="shared" ref="PNY46:PQJ46" si="218">PNY45*0.8</f>
        <v>0</v>
      </c>
      <c r="PNZ46" s="420">
        <f t="shared" si="218"/>
        <v>0</v>
      </c>
      <c r="POA46" s="420">
        <f t="shared" si="218"/>
        <v>0</v>
      </c>
      <c r="POB46" s="420">
        <f t="shared" si="218"/>
        <v>0</v>
      </c>
      <c r="POC46" s="420">
        <f t="shared" si="218"/>
        <v>0</v>
      </c>
      <c r="POD46" s="420">
        <f t="shared" si="218"/>
        <v>0</v>
      </c>
      <c r="POE46" s="420">
        <f t="shared" si="218"/>
        <v>0</v>
      </c>
      <c r="POF46" s="420">
        <f t="shared" si="218"/>
        <v>0</v>
      </c>
      <c r="POG46" s="420">
        <f t="shared" si="218"/>
        <v>0</v>
      </c>
      <c r="POH46" s="420">
        <f t="shared" si="218"/>
        <v>0</v>
      </c>
      <c r="POI46" s="420">
        <f t="shared" si="218"/>
        <v>0</v>
      </c>
      <c r="POJ46" s="420">
        <f t="shared" si="218"/>
        <v>0</v>
      </c>
      <c r="POK46" s="420">
        <f t="shared" si="218"/>
        <v>0</v>
      </c>
      <c r="POL46" s="420">
        <f t="shared" si="218"/>
        <v>0</v>
      </c>
      <c r="POM46" s="420">
        <f t="shared" si="218"/>
        <v>0</v>
      </c>
      <c r="PON46" s="420">
        <f t="shared" si="218"/>
        <v>0</v>
      </c>
      <c r="POO46" s="420">
        <f t="shared" si="218"/>
        <v>0</v>
      </c>
      <c r="POP46" s="420">
        <f t="shared" si="218"/>
        <v>0</v>
      </c>
      <c r="POQ46" s="420">
        <f t="shared" si="218"/>
        <v>0</v>
      </c>
      <c r="POR46" s="420">
        <f t="shared" si="218"/>
        <v>0</v>
      </c>
      <c r="POS46" s="420">
        <f t="shared" si="218"/>
        <v>0</v>
      </c>
      <c r="POT46" s="420">
        <f t="shared" si="218"/>
        <v>0</v>
      </c>
      <c r="POU46" s="420">
        <f t="shared" si="218"/>
        <v>0</v>
      </c>
      <c r="POV46" s="420">
        <f t="shared" si="218"/>
        <v>0</v>
      </c>
      <c r="POW46" s="420">
        <f t="shared" si="218"/>
        <v>0</v>
      </c>
      <c r="POX46" s="420">
        <f t="shared" si="218"/>
        <v>0</v>
      </c>
      <c r="POY46" s="420">
        <f t="shared" si="218"/>
        <v>0</v>
      </c>
      <c r="POZ46" s="420">
        <f t="shared" si="218"/>
        <v>0</v>
      </c>
      <c r="PPA46" s="420">
        <f t="shared" si="218"/>
        <v>0</v>
      </c>
      <c r="PPB46" s="420">
        <f t="shared" si="218"/>
        <v>0</v>
      </c>
      <c r="PPC46" s="420">
        <f t="shared" si="218"/>
        <v>0</v>
      </c>
      <c r="PPD46" s="420">
        <f t="shared" si="218"/>
        <v>0</v>
      </c>
      <c r="PPE46" s="420">
        <f t="shared" si="218"/>
        <v>0</v>
      </c>
      <c r="PPF46" s="420">
        <f t="shared" si="218"/>
        <v>0</v>
      </c>
      <c r="PPG46" s="420">
        <f t="shared" si="218"/>
        <v>0</v>
      </c>
      <c r="PPH46" s="420">
        <f t="shared" si="218"/>
        <v>0</v>
      </c>
      <c r="PPI46" s="420">
        <f t="shared" si="218"/>
        <v>0</v>
      </c>
      <c r="PPJ46" s="420">
        <f t="shared" si="218"/>
        <v>0</v>
      </c>
      <c r="PPK46" s="420">
        <f t="shared" si="218"/>
        <v>0</v>
      </c>
      <c r="PPL46" s="420">
        <f t="shared" si="218"/>
        <v>0</v>
      </c>
      <c r="PPM46" s="420">
        <f t="shared" si="218"/>
        <v>0</v>
      </c>
      <c r="PPN46" s="420">
        <f t="shared" si="218"/>
        <v>0</v>
      </c>
      <c r="PPO46" s="420">
        <f t="shared" si="218"/>
        <v>0</v>
      </c>
      <c r="PPP46" s="420">
        <f t="shared" si="218"/>
        <v>0</v>
      </c>
      <c r="PPQ46" s="420">
        <f t="shared" si="218"/>
        <v>0</v>
      </c>
      <c r="PPR46" s="420">
        <f t="shared" si="218"/>
        <v>0</v>
      </c>
      <c r="PPS46" s="420">
        <f t="shared" si="218"/>
        <v>0</v>
      </c>
      <c r="PPT46" s="420">
        <f t="shared" si="218"/>
        <v>0</v>
      </c>
      <c r="PPU46" s="420">
        <f t="shared" si="218"/>
        <v>0</v>
      </c>
      <c r="PPV46" s="420">
        <f t="shared" si="218"/>
        <v>0</v>
      </c>
      <c r="PPW46" s="420">
        <f t="shared" si="218"/>
        <v>0</v>
      </c>
      <c r="PPX46" s="420">
        <f t="shared" si="218"/>
        <v>0</v>
      </c>
      <c r="PPY46" s="420">
        <f t="shared" si="218"/>
        <v>0</v>
      </c>
      <c r="PPZ46" s="420">
        <f t="shared" si="218"/>
        <v>0</v>
      </c>
      <c r="PQA46" s="420">
        <f t="shared" si="218"/>
        <v>0</v>
      </c>
      <c r="PQB46" s="420">
        <f t="shared" si="218"/>
        <v>0</v>
      </c>
      <c r="PQC46" s="420">
        <f t="shared" si="218"/>
        <v>0</v>
      </c>
      <c r="PQD46" s="420">
        <f t="shared" si="218"/>
        <v>0</v>
      </c>
      <c r="PQE46" s="420">
        <f t="shared" si="218"/>
        <v>0</v>
      </c>
      <c r="PQF46" s="420">
        <f t="shared" si="218"/>
        <v>0</v>
      </c>
      <c r="PQG46" s="420">
        <f t="shared" si="218"/>
        <v>0</v>
      </c>
      <c r="PQH46" s="420">
        <f t="shared" si="218"/>
        <v>0</v>
      </c>
      <c r="PQI46" s="420">
        <f t="shared" si="218"/>
        <v>0</v>
      </c>
      <c r="PQJ46" s="420">
        <f t="shared" si="218"/>
        <v>0</v>
      </c>
      <c r="PQK46" s="420">
        <f t="shared" ref="PQK46:PSV46" si="219">PQK45*0.8</f>
        <v>0</v>
      </c>
      <c r="PQL46" s="420">
        <f t="shared" si="219"/>
        <v>0</v>
      </c>
      <c r="PQM46" s="420">
        <f t="shared" si="219"/>
        <v>0</v>
      </c>
      <c r="PQN46" s="420">
        <f t="shared" si="219"/>
        <v>0</v>
      </c>
      <c r="PQO46" s="420">
        <f t="shared" si="219"/>
        <v>0</v>
      </c>
      <c r="PQP46" s="420">
        <f t="shared" si="219"/>
        <v>0</v>
      </c>
      <c r="PQQ46" s="420">
        <f t="shared" si="219"/>
        <v>0</v>
      </c>
      <c r="PQR46" s="420">
        <f t="shared" si="219"/>
        <v>0</v>
      </c>
      <c r="PQS46" s="420">
        <f t="shared" si="219"/>
        <v>0</v>
      </c>
      <c r="PQT46" s="420">
        <f t="shared" si="219"/>
        <v>0</v>
      </c>
      <c r="PQU46" s="420">
        <f t="shared" si="219"/>
        <v>0</v>
      </c>
      <c r="PQV46" s="420">
        <f t="shared" si="219"/>
        <v>0</v>
      </c>
      <c r="PQW46" s="420">
        <f t="shared" si="219"/>
        <v>0</v>
      </c>
      <c r="PQX46" s="420">
        <f t="shared" si="219"/>
        <v>0</v>
      </c>
      <c r="PQY46" s="420">
        <f t="shared" si="219"/>
        <v>0</v>
      </c>
      <c r="PQZ46" s="420">
        <f t="shared" si="219"/>
        <v>0</v>
      </c>
      <c r="PRA46" s="420">
        <f t="shared" si="219"/>
        <v>0</v>
      </c>
      <c r="PRB46" s="420">
        <f t="shared" si="219"/>
        <v>0</v>
      </c>
      <c r="PRC46" s="420">
        <f t="shared" si="219"/>
        <v>0</v>
      </c>
      <c r="PRD46" s="420">
        <f t="shared" si="219"/>
        <v>0</v>
      </c>
      <c r="PRE46" s="420">
        <f t="shared" si="219"/>
        <v>0</v>
      </c>
      <c r="PRF46" s="420">
        <f t="shared" si="219"/>
        <v>0</v>
      </c>
      <c r="PRG46" s="420">
        <f t="shared" si="219"/>
        <v>0</v>
      </c>
      <c r="PRH46" s="420">
        <f t="shared" si="219"/>
        <v>0</v>
      </c>
      <c r="PRI46" s="420">
        <f t="shared" si="219"/>
        <v>0</v>
      </c>
      <c r="PRJ46" s="420">
        <f t="shared" si="219"/>
        <v>0</v>
      </c>
      <c r="PRK46" s="420">
        <f t="shared" si="219"/>
        <v>0</v>
      </c>
      <c r="PRL46" s="420">
        <f t="shared" si="219"/>
        <v>0</v>
      </c>
      <c r="PRM46" s="420">
        <f t="shared" si="219"/>
        <v>0</v>
      </c>
      <c r="PRN46" s="420">
        <f t="shared" si="219"/>
        <v>0</v>
      </c>
      <c r="PRO46" s="420">
        <f t="shared" si="219"/>
        <v>0</v>
      </c>
      <c r="PRP46" s="420">
        <f t="shared" si="219"/>
        <v>0</v>
      </c>
      <c r="PRQ46" s="420">
        <f t="shared" si="219"/>
        <v>0</v>
      </c>
      <c r="PRR46" s="420">
        <f t="shared" si="219"/>
        <v>0</v>
      </c>
      <c r="PRS46" s="420">
        <f t="shared" si="219"/>
        <v>0</v>
      </c>
      <c r="PRT46" s="420">
        <f t="shared" si="219"/>
        <v>0</v>
      </c>
      <c r="PRU46" s="420">
        <f t="shared" si="219"/>
        <v>0</v>
      </c>
      <c r="PRV46" s="420">
        <f t="shared" si="219"/>
        <v>0</v>
      </c>
      <c r="PRW46" s="420">
        <f t="shared" si="219"/>
        <v>0</v>
      </c>
      <c r="PRX46" s="420">
        <f t="shared" si="219"/>
        <v>0</v>
      </c>
      <c r="PRY46" s="420">
        <f t="shared" si="219"/>
        <v>0</v>
      </c>
      <c r="PRZ46" s="420">
        <f t="shared" si="219"/>
        <v>0</v>
      </c>
      <c r="PSA46" s="420">
        <f t="shared" si="219"/>
        <v>0</v>
      </c>
      <c r="PSB46" s="420">
        <f t="shared" si="219"/>
        <v>0</v>
      </c>
      <c r="PSC46" s="420">
        <f t="shared" si="219"/>
        <v>0</v>
      </c>
      <c r="PSD46" s="420">
        <f t="shared" si="219"/>
        <v>0</v>
      </c>
      <c r="PSE46" s="420">
        <f t="shared" si="219"/>
        <v>0</v>
      </c>
      <c r="PSF46" s="420">
        <f t="shared" si="219"/>
        <v>0</v>
      </c>
      <c r="PSG46" s="420">
        <f t="shared" si="219"/>
        <v>0</v>
      </c>
      <c r="PSH46" s="420">
        <f t="shared" si="219"/>
        <v>0</v>
      </c>
      <c r="PSI46" s="420">
        <f t="shared" si="219"/>
        <v>0</v>
      </c>
      <c r="PSJ46" s="420">
        <f t="shared" si="219"/>
        <v>0</v>
      </c>
      <c r="PSK46" s="420">
        <f t="shared" si="219"/>
        <v>0</v>
      </c>
      <c r="PSL46" s="420">
        <f t="shared" si="219"/>
        <v>0</v>
      </c>
      <c r="PSM46" s="420">
        <f t="shared" si="219"/>
        <v>0</v>
      </c>
      <c r="PSN46" s="420">
        <f t="shared" si="219"/>
        <v>0</v>
      </c>
      <c r="PSO46" s="420">
        <f t="shared" si="219"/>
        <v>0</v>
      </c>
      <c r="PSP46" s="420">
        <f t="shared" si="219"/>
        <v>0</v>
      </c>
      <c r="PSQ46" s="420">
        <f t="shared" si="219"/>
        <v>0</v>
      </c>
      <c r="PSR46" s="420">
        <f t="shared" si="219"/>
        <v>0</v>
      </c>
      <c r="PSS46" s="420">
        <f t="shared" si="219"/>
        <v>0</v>
      </c>
      <c r="PST46" s="420">
        <f t="shared" si="219"/>
        <v>0</v>
      </c>
      <c r="PSU46" s="420">
        <f t="shared" si="219"/>
        <v>0</v>
      </c>
      <c r="PSV46" s="420">
        <f t="shared" si="219"/>
        <v>0</v>
      </c>
      <c r="PSW46" s="420">
        <f t="shared" ref="PSW46:PVH46" si="220">PSW45*0.8</f>
        <v>0</v>
      </c>
      <c r="PSX46" s="420">
        <f t="shared" si="220"/>
        <v>0</v>
      </c>
      <c r="PSY46" s="420">
        <f t="shared" si="220"/>
        <v>0</v>
      </c>
      <c r="PSZ46" s="420">
        <f t="shared" si="220"/>
        <v>0</v>
      </c>
      <c r="PTA46" s="420">
        <f t="shared" si="220"/>
        <v>0</v>
      </c>
      <c r="PTB46" s="420">
        <f t="shared" si="220"/>
        <v>0</v>
      </c>
      <c r="PTC46" s="420">
        <f t="shared" si="220"/>
        <v>0</v>
      </c>
      <c r="PTD46" s="420">
        <f t="shared" si="220"/>
        <v>0</v>
      </c>
      <c r="PTE46" s="420">
        <f t="shared" si="220"/>
        <v>0</v>
      </c>
      <c r="PTF46" s="420">
        <f t="shared" si="220"/>
        <v>0</v>
      </c>
      <c r="PTG46" s="420">
        <f t="shared" si="220"/>
        <v>0</v>
      </c>
      <c r="PTH46" s="420">
        <f t="shared" si="220"/>
        <v>0</v>
      </c>
      <c r="PTI46" s="420">
        <f t="shared" si="220"/>
        <v>0</v>
      </c>
      <c r="PTJ46" s="420">
        <f t="shared" si="220"/>
        <v>0</v>
      </c>
      <c r="PTK46" s="420">
        <f t="shared" si="220"/>
        <v>0</v>
      </c>
      <c r="PTL46" s="420">
        <f t="shared" si="220"/>
        <v>0</v>
      </c>
      <c r="PTM46" s="420">
        <f t="shared" si="220"/>
        <v>0</v>
      </c>
      <c r="PTN46" s="420">
        <f t="shared" si="220"/>
        <v>0</v>
      </c>
      <c r="PTO46" s="420">
        <f t="shared" si="220"/>
        <v>0</v>
      </c>
      <c r="PTP46" s="420">
        <f t="shared" si="220"/>
        <v>0</v>
      </c>
      <c r="PTQ46" s="420">
        <f t="shared" si="220"/>
        <v>0</v>
      </c>
      <c r="PTR46" s="420">
        <f t="shared" si="220"/>
        <v>0</v>
      </c>
      <c r="PTS46" s="420">
        <f t="shared" si="220"/>
        <v>0</v>
      </c>
      <c r="PTT46" s="420">
        <f t="shared" si="220"/>
        <v>0</v>
      </c>
      <c r="PTU46" s="420">
        <f t="shared" si="220"/>
        <v>0</v>
      </c>
      <c r="PTV46" s="420">
        <f t="shared" si="220"/>
        <v>0</v>
      </c>
      <c r="PTW46" s="420">
        <f t="shared" si="220"/>
        <v>0</v>
      </c>
      <c r="PTX46" s="420">
        <f t="shared" si="220"/>
        <v>0</v>
      </c>
      <c r="PTY46" s="420">
        <f t="shared" si="220"/>
        <v>0</v>
      </c>
      <c r="PTZ46" s="420">
        <f t="shared" si="220"/>
        <v>0</v>
      </c>
      <c r="PUA46" s="420">
        <f t="shared" si="220"/>
        <v>0</v>
      </c>
      <c r="PUB46" s="420">
        <f t="shared" si="220"/>
        <v>0</v>
      </c>
      <c r="PUC46" s="420">
        <f t="shared" si="220"/>
        <v>0</v>
      </c>
      <c r="PUD46" s="420">
        <f t="shared" si="220"/>
        <v>0</v>
      </c>
      <c r="PUE46" s="420">
        <f t="shared" si="220"/>
        <v>0</v>
      </c>
      <c r="PUF46" s="420">
        <f t="shared" si="220"/>
        <v>0</v>
      </c>
      <c r="PUG46" s="420">
        <f t="shared" si="220"/>
        <v>0</v>
      </c>
      <c r="PUH46" s="420">
        <f t="shared" si="220"/>
        <v>0</v>
      </c>
      <c r="PUI46" s="420">
        <f t="shared" si="220"/>
        <v>0</v>
      </c>
      <c r="PUJ46" s="420">
        <f t="shared" si="220"/>
        <v>0</v>
      </c>
      <c r="PUK46" s="420">
        <f t="shared" si="220"/>
        <v>0</v>
      </c>
      <c r="PUL46" s="420">
        <f t="shared" si="220"/>
        <v>0</v>
      </c>
      <c r="PUM46" s="420">
        <f t="shared" si="220"/>
        <v>0</v>
      </c>
      <c r="PUN46" s="420">
        <f t="shared" si="220"/>
        <v>0</v>
      </c>
      <c r="PUO46" s="420">
        <f t="shared" si="220"/>
        <v>0</v>
      </c>
      <c r="PUP46" s="420">
        <f t="shared" si="220"/>
        <v>0</v>
      </c>
      <c r="PUQ46" s="420">
        <f t="shared" si="220"/>
        <v>0</v>
      </c>
      <c r="PUR46" s="420">
        <f t="shared" si="220"/>
        <v>0</v>
      </c>
      <c r="PUS46" s="420">
        <f t="shared" si="220"/>
        <v>0</v>
      </c>
      <c r="PUT46" s="420">
        <f t="shared" si="220"/>
        <v>0</v>
      </c>
      <c r="PUU46" s="420">
        <f t="shared" si="220"/>
        <v>0</v>
      </c>
      <c r="PUV46" s="420">
        <f t="shared" si="220"/>
        <v>0</v>
      </c>
      <c r="PUW46" s="420">
        <f t="shared" si="220"/>
        <v>0</v>
      </c>
      <c r="PUX46" s="420">
        <f t="shared" si="220"/>
        <v>0</v>
      </c>
      <c r="PUY46" s="420">
        <f t="shared" si="220"/>
        <v>0</v>
      </c>
      <c r="PUZ46" s="420">
        <f t="shared" si="220"/>
        <v>0</v>
      </c>
      <c r="PVA46" s="420">
        <f t="shared" si="220"/>
        <v>0</v>
      </c>
      <c r="PVB46" s="420">
        <f t="shared" si="220"/>
        <v>0</v>
      </c>
      <c r="PVC46" s="420">
        <f t="shared" si="220"/>
        <v>0</v>
      </c>
      <c r="PVD46" s="420">
        <f t="shared" si="220"/>
        <v>0</v>
      </c>
      <c r="PVE46" s="420">
        <f t="shared" si="220"/>
        <v>0</v>
      </c>
      <c r="PVF46" s="420">
        <f t="shared" si="220"/>
        <v>0</v>
      </c>
      <c r="PVG46" s="420">
        <f t="shared" si="220"/>
        <v>0</v>
      </c>
      <c r="PVH46" s="420">
        <f t="shared" si="220"/>
        <v>0</v>
      </c>
      <c r="PVI46" s="420">
        <f t="shared" ref="PVI46:PXT46" si="221">PVI45*0.8</f>
        <v>0</v>
      </c>
      <c r="PVJ46" s="420">
        <f t="shared" si="221"/>
        <v>0</v>
      </c>
      <c r="PVK46" s="420">
        <f t="shared" si="221"/>
        <v>0</v>
      </c>
      <c r="PVL46" s="420">
        <f t="shared" si="221"/>
        <v>0</v>
      </c>
      <c r="PVM46" s="420">
        <f t="shared" si="221"/>
        <v>0</v>
      </c>
      <c r="PVN46" s="420">
        <f t="shared" si="221"/>
        <v>0</v>
      </c>
      <c r="PVO46" s="420">
        <f t="shared" si="221"/>
        <v>0</v>
      </c>
      <c r="PVP46" s="420">
        <f t="shared" si="221"/>
        <v>0</v>
      </c>
      <c r="PVQ46" s="420">
        <f t="shared" si="221"/>
        <v>0</v>
      </c>
      <c r="PVR46" s="420">
        <f t="shared" si="221"/>
        <v>0</v>
      </c>
      <c r="PVS46" s="420">
        <f t="shared" si="221"/>
        <v>0</v>
      </c>
      <c r="PVT46" s="420">
        <f t="shared" si="221"/>
        <v>0</v>
      </c>
      <c r="PVU46" s="420">
        <f t="shared" si="221"/>
        <v>0</v>
      </c>
      <c r="PVV46" s="420">
        <f t="shared" si="221"/>
        <v>0</v>
      </c>
      <c r="PVW46" s="420">
        <f t="shared" si="221"/>
        <v>0</v>
      </c>
      <c r="PVX46" s="420">
        <f t="shared" si="221"/>
        <v>0</v>
      </c>
      <c r="PVY46" s="420">
        <f t="shared" si="221"/>
        <v>0</v>
      </c>
      <c r="PVZ46" s="420">
        <f t="shared" si="221"/>
        <v>0</v>
      </c>
      <c r="PWA46" s="420">
        <f t="shared" si="221"/>
        <v>0</v>
      </c>
      <c r="PWB46" s="420">
        <f t="shared" si="221"/>
        <v>0</v>
      </c>
      <c r="PWC46" s="420">
        <f t="shared" si="221"/>
        <v>0</v>
      </c>
      <c r="PWD46" s="420">
        <f t="shared" si="221"/>
        <v>0</v>
      </c>
      <c r="PWE46" s="420">
        <f t="shared" si="221"/>
        <v>0</v>
      </c>
      <c r="PWF46" s="420">
        <f t="shared" si="221"/>
        <v>0</v>
      </c>
      <c r="PWG46" s="420">
        <f t="shared" si="221"/>
        <v>0</v>
      </c>
      <c r="PWH46" s="420">
        <f t="shared" si="221"/>
        <v>0</v>
      </c>
      <c r="PWI46" s="420">
        <f t="shared" si="221"/>
        <v>0</v>
      </c>
      <c r="PWJ46" s="420">
        <f t="shared" si="221"/>
        <v>0</v>
      </c>
      <c r="PWK46" s="420">
        <f t="shared" si="221"/>
        <v>0</v>
      </c>
      <c r="PWL46" s="420">
        <f t="shared" si="221"/>
        <v>0</v>
      </c>
      <c r="PWM46" s="420">
        <f t="shared" si="221"/>
        <v>0</v>
      </c>
      <c r="PWN46" s="420">
        <f t="shared" si="221"/>
        <v>0</v>
      </c>
      <c r="PWO46" s="420">
        <f t="shared" si="221"/>
        <v>0</v>
      </c>
      <c r="PWP46" s="420">
        <f t="shared" si="221"/>
        <v>0</v>
      </c>
      <c r="PWQ46" s="420">
        <f t="shared" si="221"/>
        <v>0</v>
      </c>
      <c r="PWR46" s="420">
        <f t="shared" si="221"/>
        <v>0</v>
      </c>
      <c r="PWS46" s="420">
        <f t="shared" si="221"/>
        <v>0</v>
      </c>
      <c r="PWT46" s="420">
        <f t="shared" si="221"/>
        <v>0</v>
      </c>
      <c r="PWU46" s="420">
        <f t="shared" si="221"/>
        <v>0</v>
      </c>
      <c r="PWV46" s="420">
        <f t="shared" si="221"/>
        <v>0</v>
      </c>
      <c r="PWW46" s="420">
        <f t="shared" si="221"/>
        <v>0</v>
      </c>
      <c r="PWX46" s="420">
        <f t="shared" si="221"/>
        <v>0</v>
      </c>
      <c r="PWY46" s="420">
        <f t="shared" si="221"/>
        <v>0</v>
      </c>
      <c r="PWZ46" s="420">
        <f t="shared" si="221"/>
        <v>0</v>
      </c>
      <c r="PXA46" s="420">
        <f t="shared" si="221"/>
        <v>0</v>
      </c>
      <c r="PXB46" s="420">
        <f t="shared" si="221"/>
        <v>0</v>
      </c>
      <c r="PXC46" s="420">
        <f t="shared" si="221"/>
        <v>0</v>
      </c>
      <c r="PXD46" s="420">
        <f t="shared" si="221"/>
        <v>0</v>
      </c>
      <c r="PXE46" s="420">
        <f t="shared" si="221"/>
        <v>0</v>
      </c>
      <c r="PXF46" s="420">
        <f t="shared" si="221"/>
        <v>0</v>
      </c>
      <c r="PXG46" s="420">
        <f t="shared" si="221"/>
        <v>0</v>
      </c>
      <c r="PXH46" s="420">
        <f t="shared" si="221"/>
        <v>0</v>
      </c>
      <c r="PXI46" s="420">
        <f t="shared" si="221"/>
        <v>0</v>
      </c>
      <c r="PXJ46" s="420">
        <f t="shared" si="221"/>
        <v>0</v>
      </c>
      <c r="PXK46" s="420">
        <f t="shared" si="221"/>
        <v>0</v>
      </c>
      <c r="PXL46" s="420">
        <f t="shared" si="221"/>
        <v>0</v>
      </c>
      <c r="PXM46" s="420">
        <f t="shared" si="221"/>
        <v>0</v>
      </c>
      <c r="PXN46" s="420">
        <f t="shared" si="221"/>
        <v>0</v>
      </c>
      <c r="PXO46" s="420">
        <f t="shared" si="221"/>
        <v>0</v>
      </c>
      <c r="PXP46" s="420">
        <f t="shared" si="221"/>
        <v>0</v>
      </c>
      <c r="PXQ46" s="420">
        <f t="shared" si="221"/>
        <v>0</v>
      </c>
      <c r="PXR46" s="420">
        <f t="shared" si="221"/>
        <v>0</v>
      </c>
      <c r="PXS46" s="420">
        <f t="shared" si="221"/>
        <v>0</v>
      </c>
      <c r="PXT46" s="420">
        <f t="shared" si="221"/>
        <v>0</v>
      </c>
      <c r="PXU46" s="420">
        <f t="shared" ref="PXU46:QAF46" si="222">PXU45*0.8</f>
        <v>0</v>
      </c>
      <c r="PXV46" s="420">
        <f t="shared" si="222"/>
        <v>0</v>
      </c>
      <c r="PXW46" s="420">
        <f t="shared" si="222"/>
        <v>0</v>
      </c>
      <c r="PXX46" s="420">
        <f t="shared" si="222"/>
        <v>0</v>
      </c>
      <c r="PXY46" s="420">
        <f t="shared" si="222"/>
        <v>0</v>
      </c>
      <c r="PXZ46" s="420">
        <f t="shared" si="222"/>
        <v>0</v>
      </c>
      <c r="PYA46" s="420">
        <f t="shared" si="222"/>
        <v>0</v>
      </c>
      <c r="PYB46" s="420">
        <f t="shared" si="222"/>
        <v>0</v>
      </c>
      <c r="PYC46" s="420">
        <f t="shared" si="222"/>
        <v>0</v>
      </c>
      <c r="PYD46" s="420">
        <f t="shared" si="222"/>
        <v>0</v>
      </c>
      <c r="PYE46" s="420">
        <f t="shared" si="222"/>
        <v>0</v>
      </c>
      <c r="PYF46" s="420">
        <f t="shared" si="222"/>
        <v>0</v>
      </c>
      <c r="PYG46" s="420">
        <f t="shared" si="222"/>
        <v>0</v>
      </c>
      <c r="PYH46" s="420">
        <f t="shared" si="222"/>
        <v>0</v>
      </c>
      <c r="PYI46" s="420">
        <f t="shared" si="222"/>
        <v>0</v>
      </c>
      <c r="PYJ46" s="420">
        <f t="shared" si="222"/>
        <v>0</v>
      </c>
      <c r="PYK46" s="420">
        <f t="shared" si="222"/>
        <v>0</v>
      </c>
      <c r="PYL46" s="420">
        <f t="shared" si="222"/>
        <v>0</v>
      </c>
      <c r="PYM46" s="420">
        <f t="shared" si="222"/>
        <v>0</v>
      </c>
      <c r="PYN46" s="420">
        <f t="shared" si="222"/>
        <v>0</v>
      </c>
      <c r="PYO46" s="420">
        <f t="shared" si="222"/>
        <v>0</v>
      </c>
      <c r="PYP46" s="420">
        <f t="shared" si="222"/>
        <v>0</v>
      </c>
      <c r="PYQ46" s="420">
        <f t="shared" si="222"/>
        <v>0</v>
      </c>
      <c r="PYR46" s="420">
        <f t="shared" si="222"/>
        <v>0</v>
      </c>
      <c r="PYS46" s="420">
        <f t="shared" si="222"/>
        <v>0</v>
      </c>
      <c r="PYT46" s="420">
        <f t="shared" si="222"/>
        <v>0</v>
      </c>
      <c r="PYU46" s="420">
        <f t="shared" si="222"/>
        <v>0</v>
      </c>
      <c r="PYV46" s="420">
        <f t="shared" si="222"/>
        <v>0</v>
      </c>
      <c r="PYW46" s="420">
        <f t="shared" si="222"/>
        <v>0</v>
      </c>
      <c r="PYX46" s="420">
        <f t="shared" si="222"/>
        <v>0</v>
      </c>
      <c r="PYY46" s="420">
        <f t="shared" si="222"/>
        <v>0</v>
      </c>
      <c r="PYZ46" s="420">
        <f t="shared" si="222"/>
        <v>0</v>
      </c>
      <c r="PZA46" s="420">
        <f t="shared" si="222"/>
        <v>0</v>
      </c>
      <c r="PZB46" s="420">
        <f t="shared" si="222"/>
        <v>0</v>
      </c>
      <c r="PZC46" s="420">
        <f t="shared" si="222"/>
        <v>0</v>
      </c>
      <c r="PZD46" s="420">
        <f t="shared" si="222"/>
        <v>0</v>
      </c>
      <c r="PZE46" s="420">
        <f t="shared" si="222"/>
        <v>0</v>
      </c>
      <c r="PZF46" s="420">
        <f t="shared" si="222"/>
        <v>0</v>
      </c>
      <c r="PZG46" s="420">
        <f t="shared" si="222"/>
        <v>0</v>
      </c>
      <c r="PZH46" s="420">
        <f t="shared" si="222"/>
        <v>0</v>
      </c>
      <c r="PZI46" s="420">
        <f t="shared" si="222"/>
        <v>0</v>
      </c>
      <c r="PZJ46" s="420">
        <f t="shared" si="222"/>
        <v>0</v>
      </c>
      <c r="PZK46" s="420">
        <f t="shared" si="222"/>
        <v>0</v>
      </c>
      <c r="PZL46" s="420">
        <f t="shared" si="222"/>
        <v>0</v>
      </c>
      <c r="PZM46" s="420">
        <f t="shared" si="222"/>
        <v>0</v>
      </c>
      <c r="PZN46" s="420">
        <f t="shared" si="222"/>
        <v>0</v>
      </c>
      <c r="PZO46" s="420">
        <f t="shared" si="222"/>
        <v>0</v>
      </c>
      <c r="PZP46" s="420">
        <f t="shared" si="222"/>
        <v>0</v>
      </c>
      <c r="PZQ46" s="420">
        <f t="shared" si="222"/>
        <v>0</v>
      </c>
      <c r="PZR46" s="420">
        <f t="shared" si="222"/>
        <v>0</v>
      </c>
      <c r="PZS46" s="420">
        <f t="shared" si="222"/>
        <v>0</v>
      </c>
      <c r="PZT46" s="420">
        <f t="shared" si="222"/>
        <v>0</v>
      </c>
      <c r="PZU46" s="420">
        <f t="shared" si="222"/>
        <v>0</v>
      </c>
      <c r="PZV46" s="420">
        <f t="shared" si="222"/>
        <v>0</v>
      </c>
      <c r="PZW46" s="420">
        <f t="shared" si="222"/>
        <v>0</v>
      </c>
      <c r="PZX46" s="420">
        <f t="shared" si="222"/>
        <v>0</v>
      </c>
      <c r="PZY46" s="420">
        <f t="shared" si="222"/>
        <v>0</v>
      </c>
      <c r="PZZ46" s="420">
        <f t="shared" si="222"/>
        <v>0</v>
      </c>
      <c r="QAA46" s="420">
        <f t="shared" si="222"/>
        <v>0</v>
      </c>
      <c r="QAB46" s="420">
        <f t="shared" si="222"/>
        <v>0</v>
      </c>
      <c r="QAC46" s="420">
        <f t="shared" si="222"/>
        <v>0</v>
      </c>
      <c r="QAD46" s="420">
        <f t="shared" si="222"/>
        <v>0</v>
      </c>
      <c r="QAE46" s="420">
        <f t="shared" si="222"/>
        <v>0</v>
      </c>
      <c r="QAF46" s="420">
        <f t="shared" si="222"/>
        <v>0</v>
      </c>
      <c r="QAG46" s="420">
        <f t="shared" ref="QAG46:QCR46" si="223">QAG45*0.8</f>
        <v>0</v>
      </c>
      <c r="QAH46" s="420">
        <f t="shared" si="223"/>
        <v>0</v>
      </c>
      <c r="QAI46" s="420">
        <f t="shared" si="223"/>
        <v>0</v>
      </c>
      <c r="QAJ46" s="420">
        <f t="shared" si="223"/>
        <v>0</v>
      </c>
      <c r="QAK46" s="420">
        <f t="shared" si="223"/>
        <v>0</v>
      </c>
      <c r="QAL46" s="420">
        <f t="shared" si="223"/>
        <v>0</v>
      </c>
      <c r="QAM46" s="420">
        <f t="shared" si="223"/>
        <v>0</v>
      </c>
      <c r="QAN46" s="420">
        <f t="shared" si="223"/>
        <v>0</v>
      </c>
      <c r="QAO46" s="420">
        <f t="shared" si="223"/>
        <v>0</v>
      </c>
      <c r="QAP46" s="420">
        <f t="shared" si="223"/>
        <v>0</v>
      </c>
      <c r="QAQ46" s="420">
        <f t="shared" si="223"/>
        <v>0</v>
      </c>
      <c r="QAR46" s="420">
        <f t="shared" si="223"/>
        <v>0</v>
      </c>
      <c r="QAS46" s="420">
        <f t="shared" si="223"/>
        <v>0</v>
      </c>
      <c r="QAT46" s="420">
        <f t="shared" si="223"/>
        <v>0</v>
      </c>
      <c r="QAU46" s="420">
        <f t="shared" si="223"/>
        <v>0</v>
      </c>
      <c r="QAV46" s="420">
        <f t="shared" si="223"/>
        <v>0</v>
      </c>
      <c r="QAW46" s="420">
        <f t="shared" si="223"/>
        <v>0</v>
      </c>
      <c r="QAX46" s="420">
        <f t="shared" si="223"/>
        <v>0</v>
      </c>
      <c r="QAY46" s="420">
        <f t="shared" si="223"/>
        <v>0</v>
      </c>
      <c r="QAZ46" s="420">
        <f t="shared" si="223"/>
        <v>0</v>
      </c>
      <c r="QBA46" s="420">
        <f t="shared" si="223"/>
        <v>0</v>
      </c>
      <c r="QBB46" s="420">
        <f t="shared" si="223"/>
        <v>0</v>
      </c>
      <c r="QBC46" s="420">
        <f t="shared" si="223"/>
        <v>0</v>
      </c>
      <c r="QBD46" s="420">
        <f t="shared" si="223"/>
        <v>0</v>
      </c>
      <c r="QBE46" s="420">
        <f t="shared" si="223"/>
        <v>0</v>
      </c>
      <c r="QBF46" s="420">
        <f t="shared" si="223"/>
        <v>0</v>
      </c>
      <c r="QBG46" s="420">
        <f t="shared" si="223"/>
        <v>0</v>
      </c>
      <c r="QBH46" s="420">
        <f t="shared" si="223"/>
        <v>0</v>
      </c>
      <c r="QBI46" s="420">
        <f t="shared" si="223"/>
        <v>0</v>
      </c>
      <c r="QBJ46" s="420">
        <f t="shared" si="223"/>
        <v>0</v>
      </c>
      <c r="QBK46" s="420">
        <f t="shared" si="223"/>
        <v>0</v>
      </c>
      <c r="QBL46" s="420">
        <f t="shared" si="223"/>
        <v>0</v>
      </c>
      <c r="QBM46" s="420">
        <f t="shared" si="223"/>
        <v>0</v>
      </c>
      <c r="QBN46" s="420">
        <f t="shared" si="223"/>
        <v>0</v>
      </c>
      <c r="QBO46" s="420">
        <f t="shared" si="223"/>
        <v>0</v>
      </c>
      <c r="QBP46" s="420">
        <f t="shared" si="223"/>
        <v>0</v>
      </c>
      <c r="QBQ46" s="420">
        <f t="shared" si="223"/>
        <v>0</v>
      </c>
      <c r="QBR46" s="420">
        <f t="shared" si="223"/>
        <v>0</v>
      </c>
      <c r="QBS46" s="420">
        <f t="shared" si="223"/>
        <v>0</v>
      </c>
      <c r="QBT46" s="420">
        <f t="shared" si="223"/>
        <v>0</v>
      </c>
      <c r="QBU46" s="420">
        <f t="shared" si="223"/>
        <v>0</v>
      </c>
      <c r="QBV46" s="420">
        <f t="shared" si="223"/>
        <v>0</v>
      </c>
      <c r="QBW46" s="420">
        <f t="shared" si="223"/>
        <v>0</v>
      </c>
      <c r="QBX46" s="420">
        <f t="shared" si="223"/>
        <v>0</v>
      </c>
      <c r="QBY46" s="420">
        <f t="shared" si="223"/>
        <v>0</v>
      </c>
      <c r="QBZ46" s="420">
        <f t="shared" si="223"/>
        <v>0</v>
      </c>
      <c r="QCA46" s="420">
        <f t="shared" si="223"/>
        <v>0</v>
      </c>
      <c r="QCB46" s="420">
        <f t="shared" si="223"/>
        <v>0</v>
      </c>
      <c r="QCC46" s="420">
        <f t="shared" si="223"/>
        <v>0</v>
      </c>
      <c r="QCD46" s="420">
        <f t="shared" si="223"/>
        <v>0</v>
      </c>
      <c r="QCE46" s="420">
        <f t="shared" si="223"/>
        <v>0</v>
      </c>
      <c r="QCF46" s="420">
        <f t="shared" si="223"/>
        <v>0</v>
      </c>
      <c r="QCG46" s="420">
        <f t="shared" si="223"/>
        <v>0</v>
      </c>
      <c r="QCH46" s="420">
        <f t="shared" si="223"/>
        <v>0</v>
      </c>
      <c r="QCI46" s="420">
        <f t="shared" si="223"/>
        <v>0</v>
      </c>
      <c r="QCJ46" s="420">
        <f t="shared" si="223"/>
        <v>0</v>
      </c>
      <c r="QCK46" s="420">
        <f t="shared" si="223"/>
        <v>0</v>
      </c>
      <c r="QCL46" s="420">
        <f t="shared" si="223"/>
        <v>0</v>
      </c>
      <c r="QCM46" s="420">
        <f t="shared" si="223"/>
        <v>0</v>
      </c>
      <c r="QCN46" s="420">
        <f t="shared" si="223"/>
        <v>0</v>
      </c>
      <c r="QCO46" s="420">
        <f t="shared" si="223"/>
        <v>0</v>
      </c>
      <c r="QCP46" s="420">
        <f t="shared" si="223"/>
        <v>0</v>
      </c>
      <c r="QCQ46" s="420">
        <f t="shared" si="223"/>
        <v>0</v>
      </c>
      <c r="QCR46" s="420">
        <f t="shared" si="223"/>
        <v>0</v>
      </c>
      <c r="QCS46" s="420">
        <f t="shared" ref="QCS46:QFD46" si="224">QCS45*0.8</f>
        <v>0</v>
      </c>
      <c r="QCT46" s="420">
        <f t="shared" si="224"/>
        <v>0</v>
      </c>
      <c r="QCU46" s="420">
        <f t="shared" si="224"/>
        <v>0</v>
      </c>
      <c r="QCV46" s="420">
        <f t="shared" si="224"/>
        <v>0</v>
      </c>
      <c r="QCW46" s="420">
        <f t="shared" si="224"/>
        <v>0</v>
      </c>
      <c r="QCX46" s="420">
        <f t="shared" si="224"/>
        <v>0</v>
      </c>
      <c r="QCY46" s="420">
        <f t="shared" si="224"/>
        <v>0</v>
      </c>
      <c r="QCZ46" s="420">
        <f t="shared" si="224"/>
        <v>0</v>
      </c>
      <c r="QDA46" s="420">
        <f t="shared" si="224"/>
        <v>0</v>
      </c>
      <c r="QDB46" s="420">
        <f t="shared" si="224"/>
        <v>0</v>
      </c>
      <c r="QDC46" s="420">
        <f t="shared" si="224"/>
        <v>0</v>
      </c>
      <c r="QDD46" s="420">
        <f t="shared" si="224"/>
        <v>0</v>
      </c>
      <c r="QDE46" s="420">
        <f t="shared" si="224"/>
        <v>0</v>
      </c>
      <c r="QDF46" s="420">
        <f t="shared" si="224"/>
        <v>0</v>
      </c>
      <c r="QDG46" s="420">
        <f t="shared" si="224"/>
        <v>0</v>
      </c>
      <c r="QDH46" s="420">
        <f t="shared" si="224"/>
        <v>0</v>
      </c>
      <c r="QDI46" s="420">
        <f t="shared" si="224"/>
        <v>0</v>
      </c>
      <c r="QDJ46" s="420">
        <f t="shared" si="224"/>
        <v>0</v>
      </c>
      <c r="QDK46" s="420">
        <f t="shared" si="224"/>
        <v>0</v>
      </c>
      <c r="QDL46" s="420">
        <f t="shared" si="224"/>
        <v>0</v>
      </c>
      <c r="QDM46" s="420">
        <f t="shared" si="224"/>
        <v>0</v>
      </c>
      <c r="QDN46" s="420">
        <f t="shared" si="224"/>
        <v>0</v>
      </c>
      <c r="QDO46" s="420">
        <f t="shared" si="224"/>
        <v>0</v>
      </c>
      <c r="QDP46" s="420">
        <f t="shared" si="224"/>
        <v>0</v>
      </c>
      <c r="QDQ46" s="420">
        <f t="shared" si="224"/>
        <v>0</v>
      </c>
      <c r="QDR46" s="420">
        <f t="shared" si="224"/>
        <v>0</v>
      </c>
      <c r="QDS46" s="420">
        <f t="shared" si="224"/>
        <v>0</v>
      </c>
      <c r="QDT46" s="420">
        <f t="shared" si="224"/>
        <v>0</v>
      </c>
      <c r="QDU46" s="420">
        <f t="shared" si="224"/>
        <v>0</v>
      </c>
      <c r="QDV46" s="420">
        <f t="shared" si="224"/>
        <v>0</v>
      </c>
      <c r="QDW46" s="420">
        <f t="shared" si="224"/>
        <v>0</v>
      </c>
      <c r="QDX46" s="420">
        <f t="shared" si="224"/>
        <v>0</v>
      </c>
      <c r="QDY46" s="420">
        <f t="shared" si="224"/>
        <v>0</v>
      </c>
      <c r="QDZ46" s="420">
        <f t="shared" si="224"/>
        <v>0</v>
      </c>
      <c r="QEA46" s="420">
        <f t="shared" si="224"/>
        <v>0</v>
      </c>
      <c r="QEB46" s="420">
        <f t="shared" si="224"/>
        <v>0</v>
      </c>
      <c r="QEC46" s="420">
        <f t="shared" si="224"/>
        <v>0</v>
      </c>
      <c r="QED46" s="420">
        <f t="shared" si="224"/>
        <v>0</v>
      </c>
      <c r="QEE46" s="420">
        <f t="shared" si="224"/>
        <v>0</v>
      </c>
      <c r="QEF46" s="420">
        <f t="shared" si="224"/>
        <v>0</v>
      </c>
      <c r="QEG46" s="420">
        <f t="shared" si="224"/>
        <v>0</v>
      </c>
      <c r="QEH46" s="420">
        <f t="shared" si="224"/>
        <v>0</v>
      </c>
      <c r="QEI46" s="420">
        <f t="shared" si="224"/>
        <v>0</v>
      </c>
      <c r="QEJ46" s="420">
        <f t="shared" si="224"/>
        <v>0</v>
      </c>
      <c r="QEK46" s="420">
        <f t="shared" si="224"/>
        <v>0</v>
      </c>
      <c r="QEL46" s="420">
        <f t="shared" si="224"/>
        <v>0</v>
      </c>
      <c r="QEM46" s="420">
        <f t="shared" si="224"/>
        <v>0</v>
      </c>
      <c r="QEN46" s="420">
        <f t="shared" si="224"/>
        <v>0</v>
      </c>
      <c r="QEO46" s="420">
        <f t="shared" si="224"/>
        <v>0</v>
      </c>
      <c r="QEP46" s="420">
        <f t="shared" si="224"/>
        <v>0</v>
      </c>
      <c r="QEQ46" s="420">
        <f t="shared" si="224"/>
        <v>0</v>
      </c>
      <c r="QER46" s="420">
        <f t="shared" si="224"/>
        <v>0</v>
      </c>
      <c r="QES46" s="420">
        <f t="shared" si="224"/>
        <v>0</v>
      </c>
      <c r="QET46" s="420">
        <f t="shared" si="224"/>
        <v>0</v>
      </c>
      <c r="QEU46" s="420">
        <f t="shared" si="224"/>
        <v>0</v>
      </c>
      <c r="QEV46" s="420">
        <f t="shared" si="224"/>
        <v>0</v>
      </c>
      <c r="QEW46" s="420">
        <f t="shared" si="224"/>
        <v>0</v>
      </c>
      <c r="QEX46" s="420">
        <f t="shared" si="224"/>
        <v>0</v>
      </c>
      <c r="QEY46" s="420">
        <f t="shared" si="224"/>
        <v>0</v>
      </c>
      <c r="QEZ46" s="420">
        <f t="shared" si="224"/>
        <v>0</v>
      </c>
      <c r="QFA46" s="420">
        <f t="shared" si="224"/>
        <v>0</v>
      </c>
      <c r="QFB46" s="420">
        <f t="shared" si="224"/>
        <v>0</v>
      </c>
      <c r="QFC46" s="420">
        <f t="shared" si="224"/>
        <v>0</v>
      </c>
      <c r="QFD46" s="420">
        <f t="shared" si="224"/>
        <v>0</v>
      </c>
      <c r="QFE46" s="420">
        <f t="shared" ref="QFE46:QHP46" si="225">QFE45*0.8</f>
        <v>0</v>
      </c>
      <c r="QFF46" s="420">
        <f t="shared" si="225"/>
        <v>0</v>
      </c>
      <c r="QFG46" s="420">
        <f t="shared" si="225"/>
        <v>0</v>
      </c>
      <c r="QFH46" s="420">
        <f t="shared" si="225"/>
        <v>0</v>
      </c>
      <c r="QFI46" s="420">
        <f t="shared" si="225"/>
        <v>0</v>
      </c>
      <c r="QFJ46" s="420">
        <f t="shared" si="225"/>
        <v>0</v>
      </c>
      <c r="QFK46" s="420">
        <f t="shared" si="225"/>
        <v>0</v>
      </c>
      <c r="QFL46" s="420">
        <f t="shared" si="225"/>
        <v>0</v>
      </c>
      <c r="QFM46" s="420">
        <f t="shared" si="225"/>
        <v>0</v>
      </c>
      <c r="QFN46" s="420">
        <f t="shared" si="225"/>
        <v>0</v>
      </c>
      <c r="QFO46" s="420">
        <f t="shared" si="225"/>
        <v>0</v>
      </c>
      <c r="QFP46" s="420">
        <f t="shared" si="225"/>
        <v>0</v>
      </c>
      <c r="QFQ46" s="420">
        <f t="shared" si="225"/>
        <v>0</v>
      </c>
      <c r="QFR46" s="420">
        <f t="shared" si="225"/>
        <v>0</v>
      </c>
      <c r="QFS46" s="420">
        <f t="shared" si="225"/>
        <v>0</v>
      </c>
      <c r="QFT46" s="420">
        <f t="shared" si="225"/>
        <v>0</v>
      </c>
      <c r="QFU46" s="420">
        <f t="shared" si="225"/>
        <v>0</v>
      </c>
      <c r="QFV46" s="420">
        <f t="shared" si="225"/>
        <v>0</v>
      </c>
      <c r="QFW46" s="420">
        <f t="shared" si="225"/>
        <v>0</v>
      </c>
      <c r="QFX46" s="420">
        <f t="shared" si="225"/>
        <v>0</v>
      </c>
      <c r="QFY46" s="420">
        <f t="shared" si="225"/>
        <v>0</v>
      </c>
      <c r="QFZ46" s="420">
        <f t="shared" si="225"/>
        <v>0</v>
      </c>
      <c r="QGA46" s="420">
        <f t="shared" si="225"/>
        <v>0</v>
      </c>
      <c r="QGB46" s="420">
        <f t="shared" si="225"/>
        <v>0</v>
      </c>
      <c r="QGC46" s="420">
        <f t="shared" si="225"/>
        <v>0</v>
      </c>
      <c r="QGD46" s="420">
        <f t="shared" si="225"/>
        <v>0</v>
      </c>
      <c r="QGE46" s="420">
        <f t="shared" si="225"/>
        <v>0</v>
      </c>
      <c r="QGF46" s="420">
        <f t="shared" si="225"/>
        <v>0</v>
      </c>
      <c r="QGG46" s="420">
        <f t="shared" si="225"/>
        <v>0</v>
      </c>
      <c r="QGH46" s="420">
        <f t="shared" si="225"/>
        <v>0</v>
      </c>
      <c r="QGI46" s="420">
        <f t="shared" si="225"/>
        <v>0</v>
      </c>
      <c r="QGJ46" s="420">
        <f t="shared" si="225"/>
        <v>0</v>
      </c>
      <c r="QGK46" s="420">
        <f t="shared" si="225"/>
        <v>0</v>
      </c>
      <c r="QGL46" s="420">
        <f t="shared" si="225"/>
        <v>0</v>
      </c>
      <c r="QGM46" s="420">
        <f t="shared" si="225"/>
        <v>0</v>
      </c>
      <c r="QGN46" s="420">
        <f t="shared" si="225"/>
        <v>0</v>
      </c>
      <c r="QGO46" s="420">
        <f t="shared" si="225"/>
        <v>0</v>
      </c>
      <c r="QGP46" s="420">
        <f t="shared" si="225"/>
        <v>0</v>
      </c>
      <c r="QGQ46" s="420">
        <f t="shared" si="225"/>
        <v>0</v>
      </c>
      <c r="QGR46" s="420">
        <f t="shared" si="225"/>
        <v>0</v>
      </c>
      <c r="QGS46" s="420">
        <f t="shared" si="225"/>
        <v>0</v>
      </c>
      <c r="QGT46" s="420">
        <f t="shared" si="225"/>
        <v>0</v>
      </c>
      <c r="QGU46" s="420">
        <f t="shared" si="225"/>
        <v>0</v>
      </c>
      <c r="QGV46" s="420">
        <f t="shared" si="225"/>
        <v>0</v>
      </c>
      <c r="QGW46" s="420">
        <f t="shared" si="225"/>
        <v>0</v>
      </c>
      <c r="QGX46" s="420">
        <f t="shared" si="225"/>
        <v>0</v>
      </c>
      <c r="QGY46" s="420">
        <f t="shared" si="225"/>
        <v>0</v>
      </c>
      <c r="QGZ46" s="420">
        <f t="shared" si="225"/>
        <v>0</v>
      </c>
      <c r="QHA46" s="420">
        <f t="shared" si="225"/>
        <v>0</v>
      </c>
      <c r="QHB46" s="420">
        <f t="shared" si="225"/>
        <v>0</v>
      </c>
      <c r="QHC46" s="420">
        <f t="shared" si="225"/>
        <v>0</v>
      </c>
      <c r="QHD46" s="420">
        <f t="shared" si="225"/>
        <v>0</v>
      </c>
      <c r="QHE46" s="420">
        <f t="shared" si="225"/>
        <v>0</v>
      </c>
      <c r="QHF46" s="420">
        <f t="shared" si="225"/>
        <v>0</v>
      </c>
      <c r="QHG46" s="420">
        <f t="shared" si="225"/>
        <v>0</v>
      </c>
      <c r="QHH46" s="420">
        <f t="shared" si="225"/>
        <v>0</v>
      </c>
      <c r="QHI46" s="420">
        <f t="shared" si="225"/>
        <v>0</v>
      </c>
      <c r="QHJ46" s="420">
        <f t="shared" si="225"/>
        <v>0</v>
      </c>
      <c r="QHK46" s="420">
        <f t="shared" si="225"/>
        <v>0</v>
      </c>
      <c r="QHL46" s="420">
        <f t="shared" si="225"/>
        <v>0</v>
      </c>
      <c r="QHM46" s="420">
        <f t="shared" si="225"/>
        <v>0</v>
      </c>
      <c r="QHN46" s="420">
        <f t="shared" si="225"/>
        <v>0</v>
      </c>
      <c r="QHO46" s="420">
        <f t="shared" si="225"/>
        <v>0</v>
      </c>
      <c r="QHP46" s="420">
        <f t="shared" si="225"/>
        <v>0</v>
      </c>
      <c r="QHQ46" s="420">
        <f t="shared" ref="QHQ46:QKB46" si="226">QHQ45*0.8</f>
        <v>0</v>
      </c>
      <c r="QHR46" s="420">
        <f t="shared" si="226"/>
        <v>0</v>
      </c>
      <c r="QHS46" s="420">
        <f t="shared" si="226"/>
        <v>0</v>
      </c>
      <c r="QHT46" s="420">
        <f t="shared" si="226"/>
        <v>0</v>
      </c>
      <c r="QHU46" s="420">
        <f t="shared" si="226"/>
        <v>0</v>
      </c>
      <c r="QHV46" s="420">
        <f t="shared" si="226"/>
        <v>0</v>
      </c>
      <c r="QHW46" s="420">
        <f t="shared" si="226"/>
        <v>0</v>
      </c>
      <c r="QHX46" s="420">
        <f t="shared" si="226"/>
        <v>0</v>
      </c>
      <c r="QHY46" s="420">
        <f t="shared" si="226"/>
        <v>0</v>
      </c>
      <c r="QHZ46" s="420">
        <f t="shared" si="226"/>
        <v>0</v>
      </c>
      <c r="QIA46" s="420">
        <f t="shared" si="226"/>
        <v>0</v>
      </c>
      <c r="QIB46" s="420">
        <f t="shared" si="226"/>
        <v>0</v>
      </c>
      <c r="QIC46" s="420">
        <f t="shared" si="226"/>
        <v>0</v>
      </c>
      <c r="QID46" s="420">
        <f t="shared" si="226"/>
        <v>0</v>
      </c>
      <c r="QIE46" s="420">
        <f t="shared" si="226"/>
        <v>0</v>
      </c>
      <c r="QIF46" s="420">
        <f t="shared" si="226"/>
        <v>0</v>
      </c>
      <c r="QIG46" s="420">
        <f t="shared" si="226"/>
        <v>0</v>
      </c>
      <c r="QIH46" s="420">
        <f t="shared" si="226"/>
        <v>0</v>
      </c>
      <c r="QII46" s="420">
        <f t="shared" si="226"/>
        <v>0</v>
      </c>
      <c r="QIJ46" s="420">
        <f t="shared" si="226"/>
        <v>0</v>
      </c>
      <c r="QIK46" s="420">
        <f t="shared" si="226"/>
        <v>0</v>
      </c>
      <c r="QIL46" s="420">
        <f t="shared" si="226"/>
        <v>0</v>
      </c>
      <c r="QIM46" s="420">
        <f t="shared" si="226"/>
        <v>0</v>
      </c>
      <c r="QIN46" s="420">
        <f t="shared" si="226"/>
        <v>0</v>
      </c>
      <c r="QIO46" s="420">
        <f t="shared" si="226"/>
        <v>0</v>
      </c>
      <c r="QIP46" s="420">
        <f t="shared" si="226"/>
        <v>0</v>
      </c>
      <c r="QIQ46" s="420">
        <f t="shared" si="226"/>
        <v>0</v>
      </c>
      <c r="QIR46" s="420">
        <f t="shared" si="226"/>
        <v>0</v>
      </c>
      <c r="QIS46" s="420">
        <f t="shared" si="226"/>
        <v>0</v>
      </c>
      <c r="QIT46" s="420">
        <f t="shared" si="226"/>
        <v>0</v>
      </c>
      <c r="QIU46" s="420">
        <f t="shared" si="226"/>
        <v>0</v>
      </c>
      <c r="QIV46" s="420">
        <f t="shared" si="226"/>
        <v>0</v>
      </c>
      <c r="QIW46" s="420">
        <f t="shared" si="226"/>
        <v>0</v>
      </c>
      <c r="QIX46" s="420">
        <f t="shared" si="226"/>
        <v>0</v>
      </c>
      <c r="QIY46" s="420">
        <f t="shared" si="226"/>
        <v>0</v>
      </c>
      <c r="QIZ46" s="420">
        <f t="shared" si="226"/>
        <v>0</v>
      </c>
      <c r="QJA46" s="420">
        <f t="shared" si="226"/>
        <v>0</v>
      </c>
      <c r="QJB46" s="420">
        <f t="shared" si="226"/>
        <v>0</v>
      </c>
      <c r="QJC46" s="420">
        <f t="shared" si="226"/>
        <v>0</v>
      </c>
      <c r="QJD46" s="420">
        <f t="shared" si="226"/>
        <v>0</v>
      </c>
      <c r="QJE46" s="420">
        <f t="shared" si="226"/>
        <v>0</v>
      </c>
      <c r="QJF46" s="420">
        <f t="shared" si="226"/>
        <v>0</v>
      </c>
      <c r="QJG46" s="420">
        <f t="shared" si="226"/>
        <v>0</v>
      </c>
      <c r="QJH46" s="420">
        <f t="shared" si="226"/>
        <v>0</v>
      </c>
      <c r="QJI46" s="420">
        <f t="shared" si="226"/>
        <v>0</v>
      </c>
      <c r="QJJ46" s="420">
        <f t="shared" si="226"/>
        <v>0</v>
      </c>
      <c r="QJK46" s="420">
        <f t="shared" si="226"/>
        <v>0</v>
      </c>
      <c r="QJL46" s="420">
        <f t="shared" si="226"/>
        <v>0</v>
      </c>
      <c r="QJM46" s="420">
        <f t="shared" si="226"/>
        <v>0</v>
      </c>
      <c r="QJN46" s="420">
        <f t="shared" si="226"/>
        <v>0</v>
      </c>
      <c r="QJO46" s="420">
        <f t="shared" si="226"/>
        <v>0</v>
      </c>
      <c r="QJP46" s="420">
        <f t="shared" si="226"/>
        <v>0</v>
      </c>
      <c r="QJQ46" s="420">
        <f t="shared" si="226"/>
        <v>0</v>
      </c>
      <c r="QJR46" s="420">
        <f t="shared" si="226"/>
        <v>0</v>
      </c>
      <c r="QJS46" s="420">
        <f t="shared" si="226"/>
        <v>0</v>
      </c>
      <c r="QJT46" s="420">
        <f t="shared" si="226"/>
        <v>0</v>
      </c>
      <c r="QJU46" s="420">
        <f t="shared" si="226"/>
        <v>0</v>
      </c>
      <c r="QJV46" s="420">
        <f t="shared" si="226"/>
        <v>0</v>
      </c>
      <c r="QJW46" s="420">
        <f t="shared" si="226"/>
        <v>0</v>
      </c>
      <c r="QJX46" s="420">
        <f t="shared" si="226"/>
        <v>0</v>
      </c>
      <c r="QJY46" s="420">
        <f t="shared" si="226"/>
        <v>0</v>
      </c>
      <c r="QJZ46" s="420">
        <f t="shared" si="226"/>
        <v>0</v>
      </c>
      <c r="QKA46" s="420">
        <f t="shared" si="226"/>
        <v>0</v>
      </c>
      <c r="QKB46" s="420">
        <f t="shared" si="226"/>
        <v>0</v>
      </c>
      <c r="QKC46" s="420">
        <f t="shared" ref="QKC46:QMN46" si="227">QKC45*0.8</f>
        <v>0</v>
      </c>
      <c r="QKD46" s="420">
        <f t="shared" si="227"/>
        <v>0</v>
      </c>
      <c r="QKE46" s="420">
        <f t="shared" si="227"/>
        <v>0</v>
      </c>
      <c r="QKF46" s="420">
        <f t="shared" si="227"/>
        <v>0</v>
      </c>
      <c r="QKG46" s="420">
        <f t="shared" si="227"/>
        <v>0</v>
      </c>
      <c r="QKH46" s="420">
        <f t="shared" si="227"/>
        <v>0</v>
      </c>
      <c r="QKI46" s="420">
        <f t="shared" si="227"/>
        <v>0</v>
      </c>
      <c r="QKJ46" s="420">
        <f t="shared" si="227"/>
        <v>0</v>
      </c>
      <c r="QKK46" s="420">
        <f t="shared" si="227"/>
        <v>0</v>
      </c>
      <c r="QKL46" s="420">
        <f t="shared" si="227"/>
        <v>0</v>
      </c>
      <c r="QKM46" s="420">
        <f t="shared" si="227"/>
        <v>0</v>
      </c>
      <c r="QKN46" s="420">
        <f t="shared" si="227"/>
        <v>0</v>
      </c>
      <c r="QKO46" s="420">
        <f t="shared" si="227"/>
        <v>0</v>
      </c>
      <c r="QKP46" s="420">
        <f t="shared" si="227"/>
        <v>0</v>
      </c>
      <c r="QKQ46" s="420">
        <f t="shared" si="227"/>
        <v>0</v>
      </c>
      <c r="QKR46" s="420">
        <f t="shared" si="227"/>
        <v>0</v>
      </c>
      <c r="QKS46" s="420">
        <f t="shared" si="227"/>
        <v>0</v>
      </c>
      <c r="QKT46" s="420">
        <f t="shared" si="227"/>
        <v>0</v>
      </c>
      <c r="QKU46" s="420">
        <f t="shared" si="227"/>
        <v>0</v>
      </c>
      <c r="QKV46" s="420">
        <f t="shared" si="227"/>
        <v>0</v>
      </c>
      <c r="QKW46" s="420">
        <f t="shared" si="227"/>
        <v>0</v>
      </c>
      <c r="QKX46" s="420">
        <f t="shared" si="227"/>
        <v>0</v>
      </c>
      <c r="QKY46" s="420">
        <f t="shared" si="227"/>
        <v>0</v>
      </c>
      <c r="QKZ46" s="420">
        <f t="shared" si="227"/>
        <v>0</v>
      </c>
      <c r="QLA46" s="420">
        <f t="shared" si="227"/>
        <v>0</v>
      </c>
      <c r="QLB46" s="420">
        <f t="shared" si="227"/>
        <v>0</v>
      </c>
      <c r="QLC46" s="420">
        <f t="shared" si="227"/>
        <v>0</v>
      </c>
      <c r="QLD46" s="420">
        <f t="shared" si="227"/>
        <v>0</v>
      </c>
      <c r="QLE46" s="420">
        <f t="shared" si="227"/>
        <v>0</v>
      </c>
      <c r="QLF46" s="420">
        <f t="shared" si="227"/>
        <v>0</v>
      </c>
      <c r="QLG46" s="420">
        <f t="shared" si="227"/>
        <v>0</v>
      </c>
      <c r="QLH46" s="420">
        <f t="shared" si="227"/>
        <v>0</v>
      </c>
      <c r="QLI46" s="420">
        <f t="shared" si="227"/>
        <v>0</v>
      </c>
      <c r="QLJ46" s="420">
        <f t="shared" si="227"/>
        <v>0</v>
      </c>
      <c r="QLK46" s="420">
        <f t="shared" si="227"/>
        <v>0</v>
      </c>
      <c r="QLL46" s="420">
        <f t="shared" si="227"/>
        <v>0</v>
      </c>
      <c r="QLM46" s="420">
        <f t="shared" si="227"/>
        <v>0</v>
      </c>
      <c r="QLN46" s="420">
        <f t="shared" si="227"/>
        <v>0</v>
      </c>
      <c r="QLO46" s="420">
        <f t="shared" si="227"/>
        <v>0</v>
      </c>
      <c r="QLP46" s="420">
        <f t="shared" si="227"/>
        <v>0</v>
      </c>
      <c r="QLQ46" s="420">
        <f t="shared" si="227"/>
        <v>0</v>
      </c>
      <c r="QLR46" s="420">
        <f t="shared" si="227"/>
        <v>0</v>
      </c>
      <c r="QLS46" s="420">
        <f t="shared" si="227"/>
        <v>0</v>
      </c>
      <c r="QLT46" s="420">
        <f t="shared" si="227"/>
        <v>0</v>
      </c>
      <c r="QLU46" s="420">
        <f t="shared" si="227"/>
        <v>0</v>
      </c>
      <c r="QLV46" s="420">
        <f t="shared" si="227"/>
        <v>0</v>
      </c>
      <c r="QLW46" s="420">
        <f t="shared" si="227"/>
        <v>0</v>
      </c>
      <c r="QLX46" s="420">
        <f t="shared" si="227"/>
        <v>0</v>
      </c>
      <c r="QLY46" s="420">
        <f t="shared" si="227"/>
        <v>0</v>
      </c>
      <c r="QLZ46" s="420">
        <f t="shared" si="227"/>
        <v>0</v>
      </c>
      <c r="QMA46" s="420">
        <f t="shared" si="227"/>
        <v>0</v>
      </c>
      <c r="QMB46" s="420">
        <f t="shared" si="227"/>
        <v>0</v>
      </c>
      <c r="QMC46" s="420">
        <f t="shared" si="227"/>
        <v>0</v>
      </c>
      <c r="QMD46" s="420">
        <f t="shared" si="227"/>
        <v>0</v>
      </c>
      <c r="QME46" s="420">
        <f t="shared" si="227"/>
        <v>0</v>
      </c>
      <c r="QMF46" s="420">
        <f t="shared" si="227"/>
        <v>0</v>
      </c>
      <c r="QMG46" s="420">
        <f t="shared" si="227"/>
        <v>0</v>
      </c>
      <c r="QMH46" s="420">
        <f t="shared" si="227"/>
        <v>0</v>
      </c>
      <c r="QMI46" s="420">
        <f t="shared" si="227"/>
        <v>0</v>
      </c>
      <c r="QMJ46" s="420">
        <f t="shared" si="227"/>
        <v>0</v>
      </c>
      <c r="QMK46" s="420">
        <f t="shared" si="227"/>
        <v>0</v>
      </c>
      <c r="QML46" s="420">
        <f t="shared" si="227"/>
        <v>0</v>
      </c>
      <c r="QMM46" s="420">
        <f t="shared" si="227"/>
        <v>0</v>
      </c>
      <c r="QMN46" s="420">
        <f t="shared" si="227"/>
        <v>0</v>
      </c>
      <c r="QMO46" s="420">
        <f t="shared" ref="QMO46:QOZ46" si="228">QMO45*0.8</f>
        <v>0</v>
      </c>
      <c r="QMP46" s="420">
        <f t="shared" si="228"/>
        <v>0</v>
      </c>
      <c r="QMQ46" s="420">
        <f t="shared" si="228"/>
        <v>0</v>
      </c>
      <c r="QMR46" s="420">
        <f t="shared" si="228"/>
        <v>0</v>
      </c>
      <c r="QMS46" s="420">
        <f t="shared" si="228"/>
        <v>0</v>
      </c>
      <c r="QMT46" s="420">
        <f t="shared" si="228"/>
        <v>0</v>
      </c>
      <c r="QMU46" s="420">
        <f t="shared" si="228"/>
        <v>0</v>
      </c>
      <c r="QMV46" s="420">
        <f t="shared" si="228"/>
        <v>0</v>
      </c>
      <c r="QMW46" s="420">
        <f t="shared" si="228"/>
        <v>0</v>
      </c>
      <c r="QMX46" s="420">
        <f t="shared" si="228"/>
        <v>0</v>
      </c>
      <c r="QMY46" s="420">
        <f t="shared" si="228"/>
        <v>0</v>
      </c>
      <c r="QMZ46" s="420">
        <f t="shared" si="228"/>
        <v>0</v>
      </c>
      <c r="QNA46" s="420">
        <f t="shared" si="228"/>
        <v>0</v>
      </c>
      <c r="QNB46" s="420">
        <f t="shared" si="228"/>
        <v>0</v>
      </c>
      <c r="QNC46" s="420">
        <f t="shared" si="228"/>
        <v>0</v>
      </c>
      <c r="QND46" s="420">
        <f t="shared" si="228"/>
        <v>0</v>
      </c>
      <c r="QNE46" s="420">
        <f t="shared" si="228"/>
        <v>0</v>
      </c>
      <c r="QNF46" s="420">
        <f t="shared" si="228"/>
        <v>0</v>
      </c>
      <c r="QNG46" s="420">
        <f t="shared" si="228"/>
        <v>0</v>
      </c>
      <c r="QNH46" s="420">
        <f t="shared" si="228"/>
        <v>0</v>
      </c>
      <c r="QNI46" s="420">
        <f t="shared" si="228"/>
        <v>0</v>
      </c>
      <c r="QNJ46" s="420">
        <f t="shared" si="228"/>
        <v>0</v>
      </c>
      <c r="QNK46" s="420">
        <f t="shared" si="228"/>
        <v>0</v>
      </c>
      <c r="QNL46" s="420">
        <f t="shared" si="228"/>
        <v>0</v>
      </c>
      <c r="QNM46" s="420">
        <f t="shared" si="228"/>
        <v>0</v>
      </c>
      <c r="QNN46" s="420">
        <f t="shared" si="228"/>
        <v>0</v>
      </c>
      <c r="QNO46" s="420">
        <f t="shared" si="228"/>
        <v>0</v>
      </c>
      <c r="QNP46" s="420">
        <f t="shared" si="228"/>
        <v>0</v>
      </c>
      <c r="QNQ46" s="420">
        <f t="shared" si="228"/>
        <v>0</v>
      </c>
      <c r="QNR46" s="420">
        <f t="shared" si="228"/>
        <v>0</v>
      </c>
      <c r="QNS46" s="420">
        <f t="shared" si="228"/>
        <v>0</v>
      </c>
      <c r="QNT46" s="420">
        <f t="shared" si="228"/>
        <v>0</v>
      </c>
      <c r="QNU46" s="420">
        <f t="shared" si="228"/>
        <v>0</v>
      </c>
      <c r="QNV46" s="420">
        <f t="shared" si="228"/>
        <v>0</v>
      </c>
      <c r="QNW46" s="420">
        <f t="shared" si="228"/>
        <v>0</v>
      </c>
      <c r="QNX46" s="420">
        <f t="shared" si="228"/>
        <v>0</v>
      </c>
      <c r="QNY46" s="420">
        <f t="shared" si="228"/>
        <v>0</v>
      </c>
      <c r="QNZ46" s="420">
        <f t="shared" si="228"/>
        <v>0</v>
      </c>
      <c r="QOA46" s="420">
        <f t="shared" si="228"/>
        <v>0</v>
      </c>
      <c r="QOB46" s="420">
        <f t="shared" si="228"/>
        <v>0</v>
      </c>
      <c r="QOC46" s="420">
        <f t="shared" si="228"/>
        <v>0</v>
      </c>
      <c r="QOD46" s="420">
        <f t="shared" si="228"/>
        <v>0</v>
      </c>
      <c r="QOE46" s="420">
        <f t="shared" si="228"/>
        <v>0</v>
      </c>
      <c r="QOF46" s="420">
        <f t="shared" si="228"/>
        <v>0</v>
      </c>
      <c r="QOG46" s="420">
        <f t="shared" si="228"/>
        <v>0</v>
      </c>
      <c r="QOH46" s="420">
        <f t="shared" si="228"/>
        <v>0</v>
      </c>
      <c r="QOI46" s="420">
        <f t="shared" si="228"/>
        <v>0</v>
      </c>
      <c r="QOJ46" s="420">
        <f t="shared" si="228"/>
        <v>0</v>
      </c>
      <c r="QOK46" s="420">
        <f t="shared" si="228"/>
        <v>0</v>
      </c>
      <c r="QOL46" s="420">
        <f t="shared" si="228"/>
        <v>0</v>
      </c>
      <c r="QOM46" s="420">
        <f t="shared" si="228"/>
        <v>0</v>
      </c>
      <c r="QON46" s="420">
        <f t="shared" si="228"/>
        <v>0</v>
      </c>
      <c r="QOO46" s="420">
        <f t="shared" si="228"/>
        <v>0</v>
      </c>
      <c r="QOP46" s="420">
        <f t="shared" si="228"/>
        <v>0</v>
      </c>
      <c r="QOQ46" s="420">
        <f t="shared" si="228"/>
        <v>0</v>
      </c>
      <c r="QOR46" s="420">
        <f t="shared" si="228"/>
        <v>0</v>
      </c>
      <c r="QOS46" s="420">
        <f t="shared" si="228"/>
        <v>0</v>
      </c>
      <c r="QOT46" s="420">
        <f t="shared" si="228"/>
        <v>0</v>
      </c>
      <c r="QOU46" s="420">
        <f t="shared" si="228"/>
        <v>0</v>
      </c>
      <c r="QOV46" s="420">
        <f t="shared" si="228"/>
        <v>0</v>
      </c>
      <c r="QOW46" s="420">
        <f t="shared" si="228"/>
        <v>0</v>
      </c>
      <c r="QOX46" s="420">
        <f t="shared" si="228"/>
        <v>0</v>
      </c>
      <c r="QOY46" s="420">
        <f t="shared" si="228"/>
        <v>0</v>
      </c>
      <c r="QOZ46" s="420">
        <f t="shared" si="228"/>
        <v>0</v>
      </c>
      <c r="QPA46" s="420">
        <f t="shared" ref="QPA46:QRL46" si="229">QPA45*0.8</f>
        <v>0</v>
      </c>
      <c r="QPB46" s="420">
        <f t="shared" si="229"/>
        <v>0</v>
      </c>
      <c r="QPC46" s="420">
        <f t="shared" si="229"/>
        <v>0</v>
      </c>
      <c r="QPD46" s="420">
        <f t="shared" si="229"/>
        <v>0</v>
      </c>
      <c r="QPE46" s="420">
        <f t="shared" si="229"/>
        <v>0</v>
      </c>
      <c r="QPF46" s="420">
        <f t="shared" si="229"/>
        <v>0</v>
      </c>
      <c r="QPG46" s="420">
        <f t="shared" si="229"/>
        <v>0</v>
      </c>
      <c r="QPH46" s="420">
        <f t="shared" si="229"/>
        <v>0</v>
      </c>
      <c r="QPI46" s="420">
        <f t="shared" si="229"/>
        <v>0</v>
      </c>
      <c r="QPJ46" s="420">
        <f t="shared" si="229"/>
        <v>0</v>
      </c>
      <c r="QPK46" s="420">
        <f t="shared" si="229"/>
        <v>0</v>
      </c>
      <c r="QPL46" s="420">
        <f t="shared" si="229"/>
        <v>0</v>
      </c>
      <c r="QPM46" s="420">
        <f t="shared" si="229"/>
        <v>0</v>
      </c>
      <c r="QPN46" s="420">
        <f t="shared" si="229"/>
        <v>0</v>
      </c>
      <c r="QPO46" s="420">
        <f t="shared" si="229"/>
        <v>0</v>
      </c>
      <c r="QPP46" s="420">
        <f t="shared" si="229"/>
        <v>0</v>
      </c>
      <c r="QPQ46" s="420">
        <f t="shared" si="229"/>
        <v>0</v>
      </c>
      <c r="QPR46" s="420">
        <f t="shared" si="229"/>
        <v>0</v>
      </c>
      <c r="QPS46" s="420">
        <f t="shared" si="229"/>
        <v>0</v>
      </c>
      <c r="QPT46" s="420">
        <f t="shared" si="229"/>
        <v>0</v>
      </c>
      <c r="QPU46" s="420">
        <f t="shared" si="229"/>
        <v>0</v>
      </c>
      <c r="QPV46" s="420">
        <f t="shared" si="229"/>
        <v>0</v>
      </c>
      <c r="QPW46" s="420">
        <f t="shared" si="229"/>
        <v>0</v>
      </c>
      <c r="QPX46" s="420">
        <f t="shared" si="229"/>
        <v>0</v>
      </c>
      <c r="QPY46" s="420">
        <f t="shared" si="229"/>
        <v>0</v>
      </c>
      <c r="QPZ46" s="420">
        <f t="shared" si="229"/>
        <v>0</v>
      </c>
      <c r="QQA46" s="420">
        <f t="shared" si="229"/>
        <v>0</v>
      </c>
      <c r="QQB46" s="420">
        <f t="shared" si="229"/>
        <v>0</v>
      </c>
      <c r="QQC46" s="420">
        <f t="shared" si="229"/>
        <v>0</v>
      </c>
      <c r="QQD46" s="420">
        <f t="shared" si="229"/>
        <v>0</v>
      </c>
      <c r="QQE46" s="420">
        <f t="shared" si="229"/>
        <v>0</v>
      </c>
      <c r="QQF46" s="420">
        <f t="shared" si="229"/>
        <v>0</v>
      </c>
      <c r="QQG46" s="420">
        <f t="shared" si="229"/>
        <v>0</v>
      </c>
      <c r="QQH46" s="420">
        <f t="shared" si="229"/>
        <v>0</v>
      </c>
      <c r="QQI46" s="420">
        <f t="shared" si="229"/>
        <v>0</v>
      </c>
      <c r="QQJ46" s="420">
        <f t="shared" si="229"/>
        <v>0</v>
      </c>
      <c r="QQK46" s="420">
        <f t="shared" si="229"/>
        <v>0</v>
      </c>
      <c r="QQL46" s="420">
        <f t="shared" si="229"/>
        <v>0</v>
      </c>
      <c r="QQM46" s="420">
        <f t="shared" si="229"/>
        <v>0</v>
      </c>
      <c r="QQN46" s="420">
        <f t="shared" si="229"/>
        <v>0</v>
      </c>
      <c r="QQO46" s="420">
        <f t="shared" si="229"/>
        <v>0</v>
      </c>
      <c r="QQP46" s="420">
        <f t="shared" si="229"/>
        <v>0</v>
      </c>
      <c r="QQQ46" s="420">
        <f t="shared" si="229"/>
        <v>0</v>
      </c>
      <c r="QQR46" s="420">
        <f t="shared" si="229"/>
        <v>0</v>
      </c>
      <c r="QQS46" s="420">
        <f t="shared" si="229"/>
        <v>0</v>
      </c>
      <c r="QQT46" s="420">
        <f t="shared" si="229"/>
        <v>0</v>
      </c>
      <c r="QQU46" s="420">
        <f t="shared" si="229"/>
        <v>0</v>
      </c>
      <c r="QQV46" s="420">
        <f t="shared" si="229"/>
        <v>0</v>
      </c>
      <c r="QQW46" s="420">
        <f t="shared" si="229"/>
        <v>0</v>
      </c>
      <c r="QQX46" s="420">
        <f t="shared" si="229"/>
        <v>0</v>
      </c>
      <c r="QQY46" s="420">
        <f t="shared" si="229"/>
        <v>0</v>
      </c>
      <c r="QQZ46" s="420">
        <f t="shared" si="229"/>
        <v>0</v>
      </c>
      <c r="QRA46" s="420">
        <f t="shared" si="229"/>
        <v>0</v>
      </c>
      <c r="QRB46" s="420">
        <f t="shared" si="229"/>
        <v>0</v>
      </c>
      <c r="QRC46" s="420">
        <f t="shared" si="229"/>
        <v>0</v>
      </c>
      <c r="QRD46" s="420">
        <f t="shared" si="229"/>
        <v>0</v>
      </c>
      <c r="QRE46" s="420">
        <f t="shared" si="229"/>
        <v>0</v>
      </c>
      <c r="QRF46" s="420">
        <f t="shared" si="229"/>
        <v>0</v>
      </c>
      <c r="QRG46" s="420">
        <f t="shared" si="229"/>
        <v>0</v>
      </c>
      <c r="QRH46" s="420">
        <f t="shared" si="229"/>
        <v>0</v>
      </c>
      <c r="QRI46" s="420">
        <f t="shared" si="229"/>
        <v>0</v>
      </c>
      <c r="QRJ46" s="420">
        <f t="shared" si="229"/>
        <v>0</v>
      </c>
      <c r="QRK46" s="420">
        <f t="shared" si="229"/>
        <v>0</v>
      </c>
      <c r="QRL46" s="420">
        <f t="shared" si="229"/>
        <v>0</v>
      </c>
      <c r="QRM46" s="420">
        <f t="shared" ref="QRM46:QTX46" si="230">QRM45*0.8</f>
        <v>0</v>
      </c>
      <c r="QRN46" s="420">
        <f t="shared" si="230"/>
        <v>0</v>
      </c>
      <c r="QRO46" s="420">
        <f t="shared" si="230"/>
        <v>0</v>
      </c>
      <c r="QRP46" s="420">
        <f t="shared" si="230"/>
        <v>0</v>
      </c>
      <c r="QRQ46" s="420">
        <f t="shared" si="230"/>
        <v>0</v>
      </c>
      <c r="QRR46" s="420">
        <f t="shared" si="230"/>
        <v>0</v>
      </c>
      <c r="QRS46" s="420">
        <f t="shared" si="230"/>
        <v>0</v>
      </c>
      <c r="QRT46" s="420">
        <f t="shared" si="230"/>
        <v>0</v>
      </c>
      <c r="QRU46" s="420">
        <f t="shared" si="230"/>
        <v>0</v>
      </c>
      <c r="QRV46" s="420">
        <f t="shared" si="230"/>
        <v>0</v>
      </c>
      <c r="QRW46" s="420">
        <f t="shared" si="230"/>
        <v>0</v>
      </c>
      <c r="QRX46" s="420">
        <f t="shared" si="230"/>
        <v>0</v>
      </c>
      <c r="QRY46" s="420">
        <f t="shared" si="230"/>
        <v>0</v>
      </c>
      <c r="QRZ46" s="420">
        <f t="shared" si="230"/>
        <v>0</v>
      </c>
      <c r="QSA46" s="420">
        <f t="shared" si="230"/>
        <v>0</v>
      </c>
      <c r="QSB46" s="420">
        <f t="shared" si="230"/>
        <v>0</v>
      </c>
      <c r="QSC46" s="420">
        <f t="shared" si="230"/>
        <v>0</v>
      </c>
      <c r="QSD46" s="420">
        <f t="shared" si="230"/>
        <v>0</v>
      </c>
      <c r="QSE46" s="420">
        <f t="shared" si="230"/>
        <v>0</v>
      </c>
      <c r="QSF46" s="420">
        <f t="shared" si="230"/>
        <v>0</v>
      </c>
      <c r="QSG46" s="420">
        <f t="shared" si="230"/>
        <v>0</v>
      </c>
      <c r="QSH46" s="420">
        <f t="shared" si="230"/>
        <v>0</v>
      </c>
      <c r="QSI46" s="420">
        <f t="shared" si="230"/>
        <v>0</v>
      </c>
      <c r="QSJ46" s="420">
        <f t="shared" si="230"/>
        <v>0</v>
      </c>
      <c r="QSK46" s="420">
        <f t="shared" si="230"/>
        <v>0</v>
      </c>
      <c r="QSL46" s="420">
        <f t="shared" si="230"/>
        <v>0</v>
      </c>
      <c r="QSM46" s="420">
        <f t="shared" si="230"/>
        <v>0</v>
      </c>
      <c r="QSN46" s="420">
        <f t="shared" si="230"/>
        <v>0</v>
      </c>
      <c r="QSO46" s="420">
        <f t="shared" si="230"/>
        <v>0</v>
      </c>
      <c r="QSP46" s="420">
        <f t="shared" si="230"/>
        <v>0</v>
      </c>
      <c r="QSQ46" s="420">
        <f t="shared" si="230"/>
        <v>0</v>
      </c>
      <c r="QSR46" s="420">
        <f t="shared" si="230"/>
        <v>0</v>
      </c>
      <c r="QSS46" s="420">
        <f t="shared" si="230"/>
        <v>0</v>
      </c>
      <c r="QST46" s="420">
        <f t="shared" si="230"/>
        <v>0</v>
      </c>
      <c r="QSU46" s="420">
        <f t="shared" si="230"/>
        <v>0</v>
      </c>
      <c r="QSV46" s="420">
        <f t="shared" si="230"/>
        <v>0</v>
      </c>
      <c r="QSW46" s="420">
        <f t="shared" si="230"/>
        <v>0</v>
      </c>
      <c r="QSX46" s="420">
        <f t="shared" si="230"/>
        <v>0</v>
      </c>
      <c r="QSY46" s="420">
        <f t="shared" si="230"/>
        <v>0</v>
      </c>
      <c r="QSZ46" s="420">
        <f t="shared" si="230"/>
        <v>0</v>
      </c>
      <c r="QTA46" s="420">
        <f t="shared" si="230"/>
        <v>0</v>
      </c>
      <c r="QTB46" s="420">
        <f t="shared" si="230"/>
        <v>0</v>
      </c>
      <c r="QTC46" s="420">
        <f t="shared" si="230"/>
        <v>0</v>
      </c>
      <c r="QTD46" s="420">
        <f t="shared" si="230"/>
        <v>0</v>
      </c>
      <c r="QTE46" s="420">
        <f t="shared" si="230"/>
        <v>0</v>
      </c>
      <c r="QTF46" s="420">
        <f t="shared" si="230"/>
        <v>0</v>
      </c>
      <c r="QTG46" s="420">
        <f t="shared" si="230"/>
        <v>0</v>
      </c>
      <c r="QTH46" s="420">
        <f t="shared" si="230"/>
        <v>0</v>
      </c>
      <c r="QTI46" s="420">
        <f t="shared" si="230"/>
        <v>0</v>
      </c>
      <c r="QTJ46" s="420">
        <f t="shared" si="230"/>
        <v>0</v>
      </c>
      <c r="QTK46" s="420">
        <f t="shared" si="230"/>
        <v>0</v>
      </c>
      <c r="QTL46" s="420">
        <f t="shared" si="230"/>
        <v>0</v>
      </c>
      <c r="QTM46" s="420">
        <f t="shared" si="230"/>
        <v>0</v>
      </c>
      <c r="QTN46" s="420">
        <f t="shared" si="230"/>
        <v>0</v>
      </c>
      <c r="QTO46" s="420">
        <f t="shared" si="230"/>
        <v>0</v>
      </c>
      <c r="QTP46" s="420">
        <f t="shared" si="230"/>
        <v>0</v>
      </c>
      <c r="QTQ46" s="420">
        <f t="shared" si="230"/>
        <v>0</v>
      </c>
      <c r="QTR46" s="420">
        <f t="shared" si="230"/>
        <v>0</v>
      </c>
      <c r="QTS46" s="420">
        <f t="shared" si="230"/>
        <v>0</v>
      </c>
      <c r="QTT46" s="420">
        <f t="shared" si="230"/>
        <v>0</v>
      </c>
      <c r="QTU46" s="420">
        <f t="shared" si="230"/>
        <v>0</v>
      </c>
      <c r="QTV46" s="420">
        <f t="shared" si="230"/>
        <v>0</v>
      </c>
      <c r="QTW46" s="420">
        <f t="shared" si="230"/>
        <v>0</v>
      </c>
      <c r="QTX46" s="420">
        <f t="shared" si="230"/>
        <v>0</v>
      </c>
      <c r="QTY46" s="420">
        <f t="shared" ref="QTY46:QWJ46" si="231">QTY45*0.8</f>
        <v>0</v>
      </c>
      <c r="QTZ46" s="420">
        <f t="shared" si="231"/>
        <v>0</v>
      </c>
      <c r="QUA46" s="420">
        <f t="shared" si="231"/>
        <v>0</v>
      </c>
      <c r="QUB46" s="420">
        <f t="shared" si="231"/>
        <v>0</v>
      </c>
      <c r="QUC46" s="420">
        <f t="shared" si="231"/>
        <v>0</v>
      </c>
      <c r="QUD46" s="420">
        <f t="shared" si="231"/>
        <v>0</v>
      </c>
      <c r="QUE46" s="420">
        <f t="shared" si="231"/>
        <v>0</v>
      </c>
      <c r="QUF46" s="420">
        <f t="shared" si="231"/>
        <v>0</v>
      </c>
      <c r="QUG46" s="420">
        <f t="shared" si="231"/>
        <v>0</v>
      </c>
      <c r="QUH46" s="420">
        <f t="shared" si="231"/>
        <v>0</v>
      </c>
      <c r="QUI46" s="420">
        <f t="shared" si="231"/>
        <v>0</v>
      </c>
      <c r="QUJ46" s="420">
        <f t="shared" si="231"/>
        <v>0</v>
      </c>
      <c r="QUK46" s="420">
        <f t="shared" si="231"/>
        <v>0</v>
      </c>
      <c r="QUL46" s="420">
        <f t="shared" si="231"/>
        <v>0</v>
      </c>
      <c r="QUM46" s="420">
        <f t="shared" si="231"/>
        <v>0</v>
      </c>
      <c r="QUN46" s="420">
        <f t="shared" si="231"/>
        <v>0</v>
      </c>
      <c r="QUO46" s="420">
        <f t="shared" si="231"/>
        <v>0</v>
      </c>
      <c r="QUP46" s="420">
        <f t="shared" si="231"/>
        <v>0</v>
      </c>
      <c r="QUQ46" s="420">
        <f t="shared" si="231"/>
        <v>0</v>
      </c>
      <c r="QUR46" s="420">
        <f t="shared" si="231"/>
        <v>0</v>
      </c>
      <c r="QUS46" s="420">
        <f t="shared" si="231"/>
        <v>0</v>
      </c>
      <c r="QUT46" s="420">
        <f t="shared" si="231"/>
        <v>0</v>
      </c>
      <c r="QUU46" s="420">
        <f t="shared" si="231"/>
        <v>0</v>
      </c>
      <c r="QUV46" s="420">
        <f t="shared" si="231"/>
        <v>0</v>
      </c>
      <c r="QUW46" s="420">
        <f t="shared" si="231"/>
        <v>0</v>
      </c>
      <c r="QUX46" s="420">
        <f t="shared" si="231"/>
        <v>0</v>
      </c>
      <c r="QUY46" s="420">
        <f t="shared" si="231"/>
        <v>0</v>
      </c>
      <c r="QUZ46" s="420">
        <f t="shared" si="231"/>
        <v>0</v>
      </c>
      <c r="QVA46" s="420">
        <f t="shared" si="231"/>
        <v>0</v>
      </c>
      <c r="QVB46" s="420">
        <f t="shared" si="231"/>
        <v>0</v>
      </c>
      <c r="QVC46" s="420">
        <f t="shared" si="231"/>
        <v>0</v>
      </c>
      <c r="QVD46" s="420">
        <f t="shared" si="231"/>
        <v>0</v>
      </c>
      <c r="QVE46" s="420">
        <f t="shared" si="231"/>
        <v>0</v>
      </c>
      <c r="QVF46" s="420">
        <f t="shared" si="231"/>
        <v>0</v>
      </c>
      <c r="QVG46" s="420">
        <f t="shared" si="231"/>
        <v>0</v>
      </c>
      <c r="QVH46" s="420">
        <f t="shared" si="231"/>
        <v>0</v>
      </c>
      <c r="QVI46" s="420">
        <f t="shared" si="231"/>
        <v>0</v>
      </c>
      <c r="QVJ46" s="420">
        <f t="shared" si="231"/>
        <v>0</v>
      </c>
      <c r="QVK46" s="420">
        <f t="shared" si="231"/>
        <v>0</v>
      </c>
      <c r="QVL46" s="420">
        <f t="shared" si="231"/>
        <v>0</v>
      </c>
      <c r="QVM46" s="420">
        <f t="shared" si="231"/>
        <v>0</v>
      </c>
      <c r="QVN46" s="420">
        <f t="shared" si="231"/>
        <v>0</v>
      </c>
      <c r="QVO46" s="420">
        <f t="shared" si="231"/>
        <v>0</v>
      </c>
      <c r="QVP46" s="420">
        <f t="shared" si="231"/>
        <v>0</v>
      </c>
      <c r="QVQ46" s="420">
        <f t="shared" si="231"/>
        <v>0</v>
      </c>
      <c r="QVR46" s="420">
        <f t="shared" si="231"/>
        <v>0</v>
      </c>
      <c r="QVS46" s="420">
        <f t="shared" si="231"/>
        <v>0</v>
      </c>
      <c r="QVT46" s="420">
        <f t="shared" si="231"/>
        <v>0</v>
      </c>
      <c r="QVU46" s="420">
        <f t="shared" si="231"/>
        <v>0</v>
      </c>
      <c r="QVV46" s="420">
        <f t="shared" si="231"/>
        <v>0</v>
      </c>
      <c r="QVW46" s="420">
        <f t="shared" si="231"/>
        <v>0</v>
      </c>
      <c r="QVX46" s="420">
        <f t="shared" si="231"/>
        <v>0</v>
      </c>
      <c r="QVY46" s="420">
        <f t="shared" si="231"/>
        <v>0</v>
      </c>
      <c r="QVZ46" s="420">
        <f t="shared" si="231"/>
        <v>0</v>
      </c>
      <c r="QWA46" s="420">
        <f t="shared" si="231"/>
        <v>0</v>
      </c>
      <c r="QWB46" s="420">
        <f t="shared" si="231"/>
        <v>0</v>
      </c>
      <c r="QWC46" s="420">
        <f t="shared" si="231"/>
        <v>0</v>
      </c>
      <c r="QWD46" s="420">
        <f t="shared" si="231"/>
        <v>0</v>
      </c>
      <c r="QWE46" s="420">
        <f t="shared" si="231"/>
        <v>0</v>
      </c>
      <c r="QWF46" s="420">
        <f t="shared" si="231"/>
        <v>0</v>
      </c>
      <c r="QWG46" s="420">
        <f t="shared" si="231"/>
        <v>0</v>
      </c>
      <c r="QWH46" s="420">
        <f t="shared" si="231"/>
        <v>0</v>
      </c>
      <c r="QWI46" s="420">
        <f t="shared" si="231"/>
        <v>0</v>
      </c>
      <c r="QWJ46" s="420">
        <f t="shared" si="231"/>
        <v>0</v>
      </c>
      <c r="QWK46" s="420">
        <f t="shared" ref="QWK46:QYV46" si="232">QWK45*0.8</f>
        <v>0</v>
      </c>
      <c r="QWL46" s="420">
        <f t="shared" si="232"/>
        <v>0</v>
      </c>
      <c r="QWM46" s="420">
        <f t="shared" si="232"/>
        <v>0</v>
      </c>
      <c r="QWN46" s="420">
        <f t="shared" si="232"/>
        <v>0</v>
      </c>
      <c r="QWO46" s="420">
        <f t="shared" si="232"/>
        <v>0</v>
      </c>
      <c r="QWP46" s="420">
        <f t="shared" si="232"/>
        <v>0</v>
      </c>
      <c r="QWQ46" s="420">
        <f t="shared" si="232"/>
        <v>0</v>
      </c>
      <c r="QWR46" s="420">
        <f t="shared" si="232"/>
        <v>0</v>
      </c>
      <c r="QWS46" s="420">
        <f t="shared" si="232"/>
        <v>0</v>
      </c>
      <c r="QWT46" s="420">
        <f t="shared" si="232"/>
        <v>0</v>
      </c>
      <c r="QWU46" s="420">
        <f t="shared" si="232"/>
        <v>0</v>
      </c>
      <c r="QWV46" s="420">
        <f t="shared" si="232"/>
        <v>0</v>
      </c>
      <c r="QWW46" s="420">
        <f t="shared" si="232"/>
        <v>0</v>
      </c>
      <c r="QWX46" s="420">
        <f t="shared" si="232"/>
        <v>0</v>
      </c>
      <c r="QWY46" s="420">
        <f t="shared" si="232"/>
        <v>0</v>
      </c>
      <c r="QWZ46" s="420">
        <f t="shared" si="232"/>
        <v>0</v>
      </c>
      <c r="QXA46" s="420">
        <f t="shared" si="232"/>
        <v>0</v>
      </c>
      <c r="QXB46" s="420">
        <f t="shared" si="232"/>
        <v>0</v>
      </c>
      <c r="QXC46" s="420">
        <f t="shared" si="232"/>
        <v>0</v>
      </c>
      <c r="QXD46" s="420">
        <f t="shared" si="232"/>
        <v>0</v>
      </c>
      <c r="QXE46" s="420">
        <f t="shared" si="232"/>
        <v>0</v>
      </c>
      <c r="QXF46" s="420">
        <f t="shared" si="232"/>
        <v>0</v>
      </c>
      <c r="QXG46" s="420">
        <f t="shared" si="232"/>
        <v>0</v>
      </c>
      <c r="QXH46" s="420">
        <f t="shared" si="232"/>
        <v>0</v>
      </c>
      <c r="QXI46" s="420">
        <f t="shared" si="232"/>
        <v>0</v>
      </c>
      <c r="QXJ46" s="420">
        <f t="shared" si="232"/>
        <v>0</v>
      </c>
      <c r="QXK46" s="420">
        <f t="shared" si="232"/>
        <v>0</v>
      </c>
      <c r="QXL46" s="420">
        <f t="shared" si="232"/>
        <v>0</v>
      </c>
      <c r="QXM46" s="420">
        <f t="shared" si="232"/>
        <v>0</v>
      </c>
      <c r="QXN46" s="420">
        <f t="shared" si="232"/>
        <v>0</v>
      </c>
      <c r="QXO46" s="420">
        <f t="shared" si="232"/>
        <v>0</v>
      </c>
      <c r="QXP46" s="420">
        <f t="shared" si="232"/>
        <v>0</v>
      </c>
      <c r="QXQ46" s="420">
        <f t="shared" si="232"/>
        <v>0</v>
      </c>
      <c r="QXR46" s="420">
        <f t="shared" si="232"/>
        <v>0</v>
      </c>
      <c r="QXS46" s="420">
        <f t="shared" si="232"/>
        <v>0</v>
      </c>
      <c r="QXT46" s="420">
        <f t="shared" si="232"/>
        <v>0</v>
      </c>
      <c r="QXU46" s="420">
        <f t="shared" si="232"/>
        <v>0</v>
      </c>
      <c r="QXV46" s="420">
        <f t="shared" si="232"/>
        <v>0</v>
      </c>
      <c r="QXW46" s="420">
        <f t="shared" si="232"/>
        <v>0</v>
      </c>
      <c r="QXX46" s="420">
        <f t="shared" si="232"/>
        <v>0</v>
      </c>
      <c r="QXY46" s="420">
        <f t="shared" si="232"/>
        <v>0</v>
      </c>
      <c r="QXZ46" s="420">
        <f t="shared" si="232"/>
        <v>0</v>
      </c>
      <c r="QYA46" s="420">
        <f t="shared" si="232"/>
        <v>0</v>
      </c>
      <c r="QYB46" s="420">
        <f t="shared" si="232"/>
        <v>0</v>
      </c>
      <c r="QYC46" s="420">
        <f t="shared" si="232"/>
        <v>0</v>
      </c>
      <c r="QYD46" s="420">
        <f t="shared" si="232"/>
        <v>0</v>
      </c>
      <c r="QYE46" s="420">
        <f t="shared" si="232"/>
        <v>0</v>
      </c>
      <c r="QYF46" s="420">
        <f t="shared" si="232"/>
        <v>0</v>
      </c>
      <c r="QYG46" s="420">
        <f t="shared" si="232"/>
        <v>0</v>
      </c>
      <c r="QYH46" s="420">
        <f t="shared" si="232"/>
        <v>0</v>
      </c>
      <c r="QYI46" s="420">
        <f t="shared" si="232"/>
        <v>0</v>
      </c>
      <c r="QYJ46" s="420">
        <f t="shared" si="232"/>
        <v>0</v>
      </c>
      <c r="QYK46" s="420">
        <f t="shared" si="232"/>
        <v>0</v>
      </c>
      <c r="QYL46" s="420">
        <f t="shared" si="232"/>
        <v>0</v>
      </c>
      <c r="QYM46" s="420">
        <f t="shared" si="232"/>
        <v>0</v>
      </c>
      <c r="QYN46" s="420">
        <f t="shared" si="232"/>
        <v>0</v>
      </c>
      <c r="QYO46" s="420">
        <f t="shared" si="232"/>
        <v>0</v>
      </c>
      <c r="QYP46" s="420">
        <f t="shared" si="232"/>
        <v>0</v>
      </c>
      <c r="QYQ46" s="420">
        <f t="shared" si="232"/>
        <v>0</v>
      </c>
      <c r="QYR46" s="420">
        <f t="shared" si="232"/>
        <v>0</v>
      </c>
      <c r="QYS46" s="420">
        <f t="shared" si="232"/>
        <v>0</v>
      </c>
      <c r="QYT46" s="420">
        <f t="shared" si="232"/>
        <v>0</v>
      </c>
      <c r="QYU46" s="420">
        <f t="shared" si="232"/>
        <v>0</v>
      </c>
      <c r="QYV46" s="420">
        <f t="shared" si="232"/>
        <v>0</v>
      </c>
      <c r="QYW46" s="420">
        <f t="shared" ref="QYW46:RBH46" si="233">QYW45*0.8</f>
        <v>0</v>
      </c>
      <c r="QYX46" s="420">
        <f t="shared" si="233"/>
        <v>0</v>
      </c>
      <c r="QYY46" s="420">
        <f t="shared" si="233"/>
        <v>0</v>
      </c>
      <c r="QYZ46" s="420">
        <f t="shared" si="233"/>
        <v>0</v>
      </c>
      <c r="QZA46" s="420">
        <f t="shared" si="233"/>
        <v>0</v>
      </c>
      <c r="QZB46" s="420">
        <f t="shared" si="233"/>
        <v>0</v>
      </c>
      <c r="QZC46" s="420">
        <f t="shared" si="233"/>
        <v>0</v>
      </c>
      <c r="QZD46" s="420">
        <f t="shared" si="233"/>
        <v>0</v>
      </c>
      <c r="QZE46" s="420">
        <f t="shared" si="233"/>
        <v>0</v>
      </c>
      <c r="QZF46" s="420">
        <f t="shared" si="233"/>
        <v>0</v>
      </c>
      <c r="QZG46" s="420">
        <f t="shared" si="233"/>
        <v>0</v>
      </c>
      <c r="QZH46" s="420">
        <f t="shared" si="233"/>
        <v>0</v>
      </c>
      <c r="QZI46" s="420">
        <f t="shared" si="233"/>
        <v>0</v>
      </c>
      <c r="QZJ46" s="420">
        <f t="shared" si="233"/>
        <v>0</v>
      </c>
      <c r="QZK46" s="420">
        <f t="shared" si="233"/>
        <v>0</v>
      </c>
      <c r="QZL46" s="420">
        <f t="shared" si="233"/>
        <v>0</v>
      </c>
      <c r="QZM46" s="420">
        <f t="shared" si="233"/>
        <v>0</v>
      </c>
      <c r="QZN46" s="420">
        <f t="shared" si="233"/>
        <v>0</v>
      </c>
      <c r="QZO46" s="420">
        <f t="shared" si="233"/>
        <v>0</v>
      </c>
      <c r="QZP46" s="420">
        <f t="shared" si="233"/>
        <v>0</v>
      </c>
      <c r="QZQ46" s="420">
        <f t="shared" si="233"/>
        <v>0</v>
      </c>
      <c r="QZR46" s="420">
        <f t="shared" si="233"/>
        <v>0</v>
      </c>
      <c r="QZS46" s="420">
        <f t="shared" si="233"/>
        <v>0</v>
      </c>
      <c r="QZT46" s="420">
        <f t="shared" si="233"/>
        <v>0</v>
      </c>
      <c r="QZU46" s="420">
        <f t="shared" si="233"/>
        <v>0</v>
      </c>
      <c r="QZV46" s="420">
        <f t="shared" si="233"/>
        <v>0</v>
      </c>
      <c r="QZW46" s="420">
        <f t="shared" si="233"/>
        <v>0</v>
      </c>
      <c r="QZX46" s="420">
        <f t="shared" si="233"/>
        <v>0</v>
      </c>
      <c r="QZY46" s="420">
        <f t="shared" si="233"/>
        <v>0</v>
      </c>
      <c r="QZZ46" s="420">
        <f t="shared" si="233"/>
        <v>0</v>
      </c>
      <c r="RAA46" s="420">
        <f t="shared" si="233"/>
        <v>0</v>
      </c>
      <c r="RAB46" s="420">
        <f t="shared" si="233"/>
        <v>0</v>
      </c>
      <c r="RAC46" s="420">
        <f t="shared" si="233"/>
        <v>0</v>
      </c>
      <c r="RAD46" s="420">
        <f t="shared" si="233"/>
        <v>0</v>
      </c>
      <c r="RAE46" s="420">
        <f t="shared" si="233"/>
        <v>0</v>
      </c>
      <c r="RAF46" s="420">
        <f t="shared" si="233"/>
        <v>0</v>
      </c>
      <c r="RAG46" s="420">
        <f t="shared" si="233"/>
        <v>0</v>
      </c>
      <c r="RAH46" s="420">
        <f t="shared" si="233"/>
        <v>0</v>
      </c>
      <c r="RAI46" s="420">
        <f t="shared" si="233"/>
        <v>0</v>
      </c>
      <c r="RAJ46" s="420">
        <f t="shared" si="233"/>
        <v>0</v>
      </c>
      <c r="RAK46" s="420">
        <f t="shared" si="233"/>
        <v>0</v>
      </c>
      <c r="RAL46" s="420">
        <f t="shared" si="233"/>
        <v>0</v>
      </c>
      <c r="RAM46" s="420">
        <f t="shared" si="233"/>
        <v>0</v>
      </c>
      <c r="RAN46" s="420">
        <f t="shared" si="233"/>
        <v>0</v>
      </c>
      <c r="RAO46" s="420">
        <f t="shared" si="233"/>
        <v>0</v>
      </c>
      <c r="RAP46" s="420">
        <f t="shared" si="233"/>
        <v>0</v>
      </c>
      <c r="RAQ46" s="420">
        <f t="shared" si="233"/>
        <v>0</v>
      </c>
      <c r="RAR46" s="420">
        <f t="shared" si="233"/>
        <v>0</v>
      </c>
      <c r="RAS46" s="420">
        <f t="shared" si="233"/>
        <v>0</v>
      </c>
      <c r="RAT46" s="420">
        <f t="shared" si="233"/>
        <v>0</v>
      </c>
      <c r="RAU46" s="420">
        <f t="shared" si="233"/>
        <v>0</v>
      </c>
      <c r="RAV46" s="420">
        <f t="shared" si="233"/>
        <v>0</v>
      </c>
      <c r="RAW46" s="420">
        <f t="shared" si="233"/>
        <v>0</v>
      </c>
      <c r="RAX46" s="420">
        <f t="shared" si="233"/>
        <v>0</v>
      </c>
      <c r="RAY46" s="420">
        <f t="shared" si="233"/>
        <v>0</v>
      </c>
      <c r="RAZ46" s="420">
        <f t="shared" si="233"/>
        <v>0</v>
      </c>
      <c r="RBA46" s="420">
        <f t="shared" si="233"/>
        <v>0</v>
      </c>
      <c r="RBB46" s="420">
        <f t="shared" si="233"/>
        <v>0</v>
      </c>
      <c r="RBC46" s="420">
        <f t="shared" si="233"/>
        <v>0</v>
      </c>
      <c r="RBD46" s="420">
        <f t="shared" si="233"/>
        <v>0</v>
      </c>
      <c r="RBE46" s="420">
        <f t="shared" si="233"/>
        <v>0</v>
      </c>
      <c r="RBF46" s="420">
        <f t="shared" si="233"/>
        <v>0</v>
      </c>
      <c r="RBG46" s="420">
        <f t="shared" si="233"/>
        <v>0</v>
      </c>
      <c r="RBH46" s="420">
        <f t="shared" si="233"/>
        <v>0</v>
      </c>
      <c r="RBI46" s="420">
        <f t="shared" ref="RBI46:RDT46" si="234">RBI45*0.8</f>
        <v>0</v>
      </c>
      <c r="RBJ46" s="420">
        <f t="shared" si="234"/>
        <v>0</v>
      </c>
      <c r="RBK46" s="420">
        <f t="shared" si="234"/>
        <v>0</v>
      </c>
      <c r="RBL46" s="420">
        <f t="shared" si="234"/>
        <v>0</v>
      </c>
      <c r="RBM46" s="420">
        <f t="shared" si="234"/>
        <v>0</v>
      </c>
      <c r="RBN46" s="420">
        <f t="shared" si="234"/>
        <v>0</v>
      </c>
      <c r="RBO46" s="420">
        <f t="shared" si="234"/>
        <v>0</v>
      </c>
      <c r="RBP46" s="420">
        <f t="shared" si="234"/>
        <v>0</v>
      </c>
      <c r="RBQ46" s="420">
        <f t="shared" si="234"/>
        <v>0</v>
      </c>
      <c r="RBR46" s="420">
        <f t="shared" si="234"/>
        <v>0</v>
      </c>
      <c r="RBS46" s="420">
        <f t="shared" si="234"/>
        <v>0</v>
      </c>
      <c r="RBT46" s="420">
        <f t="shared" si="234"/>
        <v>0</v>
      </c>
      <c r="RBU46" s="420">
        <f t="shared" si="234"/>
        <v>0</v>
      </c>
      <c r="RBV46" s="420">
        <f t="shared" si="234"/>
        <v>0</v>
      </c>
      <c r="RBW46" s="420">
        <f t="shared" si="234"/>
        <v>0</v>
      </c>
      <c r="RBX46" s="420">
        <f t="shared" si="234"/>
        <v>0</v>
      </c>
      <c r="RBY46" s="420">
        <f t="shared" si="234"/>
        <v>0</v>
      </c>
      <c r="RBZ46" s="420">
        <f t="shared" si="234"/>
        <v>0</v>
      </c>
      <c r="RCA46" s="420">
        <f t="shared" si="234"/>
        <v>0</v>
      </c>
      <c r="RCB46" s="420">
        <f t="shared" si="234"/>
        <v>0</v>
      </c>
      <c r="RCC46" s="420">
        <f t="shared" si="234"/>
        <v>0</v>
      </c>
      <c r="RCD46" s="420">
        <f t="shared" si="234"/>
        <v>0</v>
      </c>
      <c r="RCE46" s="420">
        <f t="shared" si="234"/>
        <v>0</v>
      </c>
      <c r="RCF46" s="420">
        <f t="shared" si="234"/>
        <v>0</v>
      </c>
      <c r="RCG46" s="420">
        <f t="shared" si="234"/>
        <v>0</v>
      </c>
      <c r="RCH46" s="420">
        <f t="shared" si="234"/>
        <v>0</v>
      </c>
      <c r="RCI46" s="420">
        <f t="shared" si="234"/>
        <v>0</v>
      </c>
      <c r="RCJ46" s="420">
        <f t="shared" si="234"/>
        <v>0</v>
      </c>
      <c r="RCK46" s="420">
        <f t="shared" si="234"/>
        <v>0</v>
      </c>
      <c r="RCL46" s="420">
        <f t="shared" si="234"/>
        <v>0</v>
      </c>
      <c r="RCM46" s="420">
        <f t="shared" si="234"/>
        <v>0</v>
      </c>
      <c r="RCN46" s="420">
        <f t="shared" si="234"/>
        <v>0</v>
      </c>
      <c r="RCO46" s="420">
        <f t="shared" si="234"/>
        <v>0</v>
      </c>
      <c r="RCP46" s="420">
        <f t="shared" si="234"/>
        <v>0</v>
      </c>
      <c r="RCQ46" s="420">
        <f t="shared" si="234"/>
        <v>0</v>
      </c>
      <c r="RCR46" s="420">
        <f t="shared" si="234"/>
        <v>0</v>
      </c>
      <c r="RCS46" s="420">
        <f t="shared" si="234"/>
        <v>0</v>
      </c>
      <c r="RCT46" s="420">
        <f t="shared" si="234"/>
        <v>0</v>
      </c>
      <c r="RCU46" s="420">
        <f t="shared" si="234"/>
        <v>0</v>
      </c>
      <c r="RCV46" s="420">
        <f t="shared" si="234"/>
        <v>0</v>
      </c>
      <c r="RCW46" s="420">
        <f t="shared" si="234"/>
        <v>0</v>
      </c>
      <c r="RCX46" s="420">
        <f t="shared" si="234"/>
        <v>0</v>
      </c>
      <c r="RCY46" s="420">
        <f t="shared" si="234"/>
        <v>0</v>
      </c>
      <c r="RCZ46" s="420">
        <f t="shared" si="234"/>
        <v>0</v>
      </c>
      <c r="RDA46" s="420">
        <f t="shared" si="234"/>
        <v>0</v>
      </c>
      <c r="RDB46" s="420">
        <f t="shared" si="234"/>
        <v>0</v>
      </c>
      <c r="RDC46" s="420">
        <f t="shared" si="234"/>
        <v>0</v>
      </c>
      <c r="RDD46" s="420">
        <f t="shared" si="234"/>
        <v>0</v>
      </c>
      <c r="RDE46" s="420">
        <f t="shared" si="234"/>
        <v>0</v>
      </c>
      <c r="RDF46" s="420">
        <f t="shared" si="234"/>
        <v>0</v>
      </c>
      <c r="RDG46" s="420">
        <f t="shared" si="234"/>
        <v>0</v>
      </c>
      <c r="RDH46" s="420">
        <f t="shared" si="234"/>
        <v>0</v>
      </c>
      <c r="RDI46" s="420">
        <f t="shared" si="234"/>
        <v>0</v>
      </c>
      <c r="RDJ46" s="420">
        <f t="shared" si="234"/>
        <v>0</v>
      </c>
      <c r="RDK46" s="420">
        <f t="shared" si="234"/>
        <v>0</v>
      </c>
      <c r="RDL46" s="420">
        <f t="shared" si="234"/>
        <v>0</v>
      </c>
      <c r="RDM46" s="420">
        <f t="shared" si="234"/>
        <v>0</v>
      </c>
      <c r="RDN46" s="420">
        <f t="shared" si="234"/>
        <v>0</v>
      </c>
      <c r="RDO46" s="420">
        <f t="shared" si="234"/>
        <v>0</v>
      </c>
      <c r="RDP46" s="420">
        <f t="shared" si="234"/>
        <v>0</v>
      </c>
      <c r="RDQ46" s="420">
        <f t="shared" si="234"/>
        <v>0</v>
      </c>
      <c r="RDR46" s="420">
        <f t="shared" si="234"/>
        <v>0</v>
      </c>
      <c r="RDS46" s="420">
        <f t="shared" si="234"/>
        <v>0</v>
      </c>
      <c r="RDT46" s="420">
        <f t="shared" si="234"/>
        <v>0</v>
      </c>
      <c r="RDU46" s="420">
        <f t="shared" ref="RDU46:RGF46" si="235">RDU45*0.8</f>
        <v>0</v>
      </c>
      <c r="RDV46" s="420">
        <f t="shared" si="235"/>
        <v>0</v>
      </c>
      <c r="RDW46" s="420">
        <f t="shared" si="235"/>
        <v>0</v>
      </c>
      <c r="RDX46" s="420">
        <f t="shared" si="235"/>
        <v>0</v>
      </c>
      <c r="RDY46" s="420">
        <f t="shared" si="235"/>
        <v>0</v>
      </c>
      <c r="RDZ46" s="420">
        <f t="shared" si="235"/>
        <v>0</v>
      </c>
      <c r="REA46" s="420">
        <f t="shared" si="235"/>
        <v>0</v>
      </c>
      <c r="REB46" s="420">
        <f t="shared" si="235"/>
        <v>0</v>
      </c>
      <c r="REC46" s="420">
        <f t="shared" si="235"/>
        <v>0</v>
      </c>
      <c r="RED46" s="420">
        <f t="shared" si="235"/>
        <v>0</v>
      </c>
      <c r="REE46" s="420">
        <f t="shared" si="235"/>
        <v>0</v>
      </c>
      <c r="REF46" s="420">
        <f t="shared" si="235"/>
        <v>0</v>
      </c>
      <c r="REG46" s="420">
        <f t="shared" si="235"/>
        <v>0</v>
      </c>
      <c r="REH46" s="420">
        <f t="shared" si="235"/>
        <v>0</v>
      </c>
      <c r="REI46" s="420">
        <f t="shared" si="235"/>
        <v>0</v>
      </c>
      <c r="REJ46" s="420">
        <f t="shared" si="235"/>
        <v>0</v>
      </c>
      <c r="REK46" s="420">
        <f t="shared" si="235"/>
        <v>0</v>
      </c>
      <c r="REL46" s="420">
        <f t="shared" si="235"/>
        <v>0</v>
      </c>
      <c r="REM46" s="420">
        <f t="shared" si="235"/>
        <v>0</v>
      </c>
      <c r="REN46" s="420">
        <f t="shared" si="235"/>
        <v>0</v>
      </c>
      <c r="REO46" s="420">
        <f t="shared" si="235"/>
        <v>0</v>
      </c>
      <c r="REP46" s="420">
        <f t="shared" si="235"/>
        <v>0</v>
      </c>
      <c r="REQ46" s="420">
        <f t="shared" si="235"/>
        <v>0</v>
      </c>
      <c r="RER46" s="420">
        <f t="shared" si="235"/>
        <v>0</v>
      </c>
      <c r="RES46" s="420">
        <f t="shared" si="235"/>
        <v>0</v>
      </c>
      <c r="RET46" s="420">
        <f t="shared" si="235"/>
        <v>0</v>
      </c>
      <c r="REU46" s="420">
        <f t="shared" si="235"/>
        <v>0</v>
      </c>
      <c r="REV46" s="420">
        <f t="shared" si="235"/>
        <v>0</v>
      </c>
      <c r="REW46" s="420">
        <f t="shared" si="235"/>
        <v>0</v>
      </c>
      <c r="REX46" s="420">
        <f t="shared" si="235"/>
        <v>0</v>
      </c>
      <c r="REY46" s="420">
        <f t="shared" si="235"/>
        <v>0</v>
      </c>
      <c r="REZ46" s="420">
        <f t="shared" si="235"/>
        <v>0</v>
      </c>
      <c r="RFA46" s="420">
        <f t="shared" si="235"/>
        <v>0</v>
      </c>
      <c r="RFB46" s="420">
        <f t="shared" si="235"/>
        <v>0</v>
      </c>
      <c r="RFC46" s="420">
        <f t="shared" si="235"/>
        <v>0</v>
      </c>
      <c r="RFD46" s="420">
        <f t="shared" si="235"/>
        <v>0</v>
      </c>
      <c r="RFE46" s="420">
        <f t="shared" si="235"/>
        <v>0</v>
      </c>
      <c r="RFF46" s="420">
        <f t="shared" si="235"/>
        <v>0</v>
      </c>
      <c r="RFG46" s="420">
        <f t="shared" si="235"/>
        <v>0</v>
      </c>
      <c r="RFH46" s="420">
        <f t="shared" si="235"/>
        <v>0</v>
      </c>
      <c r="RFI46" s="420">
        <f t="shared" si="235"/>
        <v>0</v>
      </c>
      <c r="RFJ46" s="420">
        <f t="shared" si="235"/>
        <v>0</v>
      </c>
      <c r="RFK46" s="420">
        <f t="shared" si="235"/>
        <v>0</v>
      </c>
      <c r="RFL46" s="420">
        <f t="shared" si="235"/>
        <v>0</v>
      </c>
      <c r="RFM46" s="420">
        <f t="shared" si="235"/>
        <v>0</v>
      </c>
      <c r="RFN46" s="420">
        <f t="shared" si="235"/>
        <v>0</v>
      </c>
      <c r="RFO46" s="420">
        <f t="shared" si="235"/>
        <v>0</v>
      </c>
      <c r="RFP46" s="420">
        <f t="shared" si="235"/>
        <v>0</v>
      </c>
      <c r="RFQ46" s="420">
        <f t="shared" si="235"/>
        <v>0</v>
      </c>
      <c r="RFR46" s="420">
        <f t="shared" si="235"/>
        <v>0</v>
      </c>
      <c r="RFS46" s="420">
        <f t="shared" si="235"/>
        <v>0</v>
      </c>
      <c r="RFT46" s="420">
        <f t="shared" si="235"/>
        <v>0</v>
      </c>
      <c r="RFU46" s="420">
        <f t="shared" si="235"/>
        <v>0</v>
      </c>
      <c r="RFV46" s="420">
        <f t="shared" si="235"/>
        <v>0</v>
      </c>
      <c r="RFW46" s="420">
        <f t="shared" si="235"/>
        <v>0</v>
      </c>
      <c r="RFX46" s="420">
        <f t="shared" si="235"/>
        <v>0</v>
      </c>
      <c r="RFY46" s="420">
        <f t="shared" si="235"/>
        <v>0</v>
      </c>
      <c r="RFZ46" s="420">
        <f t="shared" si="235"/>
        <v>0</v>
      </c>
      <c r="RGA46" s="420">
        <f t="shared" si="235"/>
        <v>0</v>
      </c>
      <c r="RGB46" s="420">
        <f t="shared" si="235"/>
        <v>0</v>
      </c>
      <c r="RGC46" s="420">
        <f t="shared" si="235"/>
        <v>0</v>
      </c>
      <c r="RGD46" s="420">
        <f t="shared" si="235"/>
        <v>0</v>
      </c>
      <c r="RGE46" s="420">
        <f t="shared" si="235"/>
        <v>0</v>
      </c>
      <c r="RGF46" s="420">
        <f t="shared" si="235"/>
        <v>0</v>
      </c>
      <c r="RGG46" s="420">
        <f t="shared" ref="RGG46:RIR46" si="236">RGG45*0.8</f>
        <v>0</v>
      </c>
      <c r="RGH46" s="420">
        <f t="shared" si="236"/>
        <v>0</v>
      </c>
      <c r="RGI46" s="420">
        <f t="shared" si="236"/>
        <v>0</v>
      </c>
      <c r="RGJ46" s="420">
        <f t="shared" si="236"/>
        <v>0</v>
      </c>
      <c r="RGK46" s="420">
        <f t="shared" si="236"/>
        <v>0</v>
      </c>
      <c r="RGL46" s="420">
        <f t="shared" si="236"/>
        <v>0</v>
      </c>
      <c r="RGM46" s="420">
        <f t="shared" si="236"/>
        <v>0</v>
      </c>
      <c r="RGN46" s="420">
        <f t="shared" si="236"/>
        <v>0</v>
      </c>
      <c r="RGO46" s="420">
        <f t="shared" si="236"/>
        <v>0</v>
      </c>
      <c r="RGP46" s="420">
        <f t="shared" si="236"/>
        <v>0</v>
      </c>
      <c r="RGQ46" s="420">
        <f t="shared" si="236"/>
        <v>0</v>
      </c>
      <c r="RGR46" s="420">
        <f t="shared" si="236"/>
        <v>0</v>
      </c>
      <c r="RGS46" s="420">
        <f t="shared" si="236"/>
        <v>0</v>
      </c>
      <c r="RGT46" s="420">
        <f t="shared" si="236"/>
        <v>0</v>
      </c>
      <c r="RGU46" s="420">
        <f t="shared" si="236"/>
        <v>0</v>
      </c>
      <c r="RGV46" s="420">
        <f t="shared" si="236"/>
        <v>0</v>
      </c>
      <c r="RGW46" s="420">
        <f t="shared" si="236"/>
        <v>0</v>
      </c>
      <c r="RGX46" s="420">
        <f t="shared" si="236"/>
        <v>0</v>
      </c>
      <c r="RGY46" s="420">
        <f t="shared" si="236"/>
        <v>0</v>
      </c>
      <c r="RGZ46" s="420">
        <f t="shared" si="236"/>
        <v>0</v>
      </c>
      <c r="RHA46" s="420">
        <f t="shared" si="236"/>
        <v>0</v>
      </c>
      <c r="RHB46" s="420">
        <f t="shared" si="236"/>
        <v>0</v>
      </c>
      <c r="RHC46" s="420">
        <f t="shared" si="236"/>
        <v>0</v>
      </c>
      <c r="RHD46" s="420">
        <f t="shared" si="236"/>
        <v>0</v>
      </c>
      <c r="RHE46" s="420">
        <f t="shared" si="236"/>
        <v>0</v>
      </c>
      <c r="RHF46" s="420">
        <f t="shared" si="236"/>
        <v>0</v>
      </c>
      <c r="RHG46" s="420">
        <f t="shared" si="236"/>
        <v>0</v>
      </c>
      <c r="RHH46" s="420">
        <f t="shared" si="236"/>
        <v>0</v>
      </c>
      <c r="RHI46" s="420">
        <f t="shared" si="236"/>
        <v>0</v>
      </c>
      <c r="RHJ46" s="420">
        <f t="shared" si="236"/>
        <v>0</v>
      </c>
      <c r="RHK46" s="420">
        <f t="shared" si="236"/>
        <v>0</v>
      </c>
      <c r="RHL46" s="420">
        <f t="shared" si="236"/>
        <v>0</v>
      </c>
      <c r="RHM46" s="420">
        <f t="shared" si="236"/>
        <v>0</v>
      </c>
      <c r="RHN46" s="420">
        <f t="shared" si="236"/>
        <v>0</v>
      </c>
      <c r="RHO46" s="420">
        <f t="shared" si="236"/>
        <v>0</v>
      </c>
      <c r="RHP46" s="420">
        <f t="shared" si="236"/>
        <v>0</v>
      </c>
      <c r="RHQ46" s="420">
        <f t="shared" si="236"/>
        <v>0</v>
      </c>
      <c r="RHR46" s="420">
        <f t="shared" si="236"/>
        <v>0</v>
      </c>
      <c r="RHS46" s="420">
        <f t="shared" si="236"/>
        <v>0</v>
      </c>
      <c r="RHT46" s="420">
        <f t="shared" si="236"/>
        <v>0</v>
      </c>
      <c r="RHU46" s="420">
        <f t="shared" si="236"/>
        <v>0</v>
      </c>
      <c r="RHV46" s="420">
        <f t="shared" si="236"/>
        <v>0</v>
      </c>
      <c r="RHW46" s="420">
        <f t="shared" si="236"/>
        <v>0</v>
      </c>
      <c r="RHX46" s="420">
        <f t="shared" si="236"/>
        <v>0</v>
      </c>
      <c r="RHY46" s="420">
        <f t="shared" si="236"/>
        <v>0</v>
      </c>
      <c r="RHZ46" s="420">
        <f t="shared" si="236"/>
        <v>0</v>
      </c>
      <c r="RIA46" s="420">
        <f t="shared" si="236"/>
        <v>0</v>
      </c>
      <c r="RIB46" s="420">
        <f t="shared" si="236"/>
        <v>0</v>
      </c>
      <c r="RIC46" s="420">
        <f t="shared" si="236"/>
        <v>0</v>
      </c>
      <c r="RID46" s="420">
        <f t="shared" si="236"/>
        <v>0</v>
      </c>
      <c r="RIE46" s="420">
        <f t="shared" si="236"/>
        <v>0</v>
      </c>
      <c r="RIF46" s="420">
        <f t="shared" si="236"/>
        <v>0</v>
      </c>
      <c r="RIG46" s="420">
        <f t="shared" si="236"/>
        <v>0</v>
      </c>
      <c r="RIH46" s="420">
        <f t="shared" si="236"/>
        <v>0</v>
      </c>
      <c r="RII46" s="420">
        <f t="shared" si="236"/>
        <v>0</v>
      </c>
      <c r="RIJ46" s="420">
        <f t="shared" si="236"/>
        <v>0</v>
      </c>
      <c r="RIK46" s="420">
        <f t="shared" si="236"/>
        <v>0</v>
      </c>
      <c r="RIL46" s="420">
        <f t="shared" si="236"/>
        <v>0</v>
      </c>
      <c r="RIM46" s="420">
        <f t="shared" si="236"/>
        <v>0</v>
      </c>
      <c r="RIN46" s="420">
        <f t="shared" si="236"/>
        <v>0</v>
      </c>
      <c r="RIO46" s="420">
        <f t="shared" si="236"/>
        <v>0</v>
      </c>
      <c r="RIP46" s="420">
        <f t="shared" si="236"/>
        <v>0</v>
      </c>
      <c r="RIQ46" s="420">
        <f t="shared" si="236"/>
        <v>0</v>
      </c>
      <c r="RIR46" s="420">
        <f t="shared" si="236"/>
        <v>0</v>
      </c>
      <c r="RIS46" s="420">
        <f t="shared" ref="RIS46:RLD46" si="237">RIS45*0.8</f>
        <v>0</v>
      </c>
      <c r="RIT46" s="420">
        <f t="shared" si="237"/>
        <v>0</v>
      </c>
      <c r="RIU46" s="420">
        <f t="shared" si="237"/>
        <v>0</v>
      </c>
      <c r="RIV46" s="420">
        <f t="shared" si="237"/>
        <v>0</v>
      </c>
      <c r="RIW46" s="420">
        <f t="shared" si="237"/>
        <v>0</v>
      </c>
      <c r="RIX46" s="420">
        <f t="shared" si="237"/>
        <v>0</v>
      </c>
      <c r="RIY46" s="420">
        <f t="shared" si="237"/>
        <v>0</v>
      </c>
      <c r="RIZ46" s="420">
        <f t="shared" si="237"/>
        <v>0</v>
      </c>
      <c r="RJA46" s="420">
        <f t="shared" si="237"/>
        <v>0</v>
      </c>
      <c r="RJB46" s="420">
        <f t="shared" si="237"/>
        <v>0</v>
      </c>
      <c r="RJC46" s="420">
        <f t="shared" si="237"/>
        <v>0</v>
      </c>
      <c r="RJD46" s="420">
        <f t="shared" si="237"/>
        <v>0</v>
      </c>
      <c r="RJE46" s="420">
        <f t="shared" si="237"/>
        <v>0</v>
      </c>
      <c r="RJF46" s="420">
        <f t="shared" si="237"/>
        <v>0</v>
      </c>
      <c r="RJG46" s="420">
        <f t="shared" si="237"/>
        <v>0</v>
      </c>
      <c r="RJH46" s="420">
        <f t="shared" si="237"/>
        <v>0</v>
      </c>
      <c r="RJI46" s="420">
        <f t="shared" si="237"/>
        <v>0</v>
      </c>
      <c r="RJJ46" s="420">
        <f t="shared" si="237"/>
        <v>0</v>
      </c>
      <c r="RJK46" s="420">
        <f t="shared" si="237"/>
        <v>0</v>
      </c>
      <c r="RJL46" s="420">
        <f t="shared" si="237"/>
        <v>0</v>
      </c>
      <c r="RJM46" s="420">
        <f t="shared" si="237"/>
        <v>0</v>
      </c>
      <c r="RJN46" s="420">
        <f t="shared" si="237"/>
        <v>0</v>
      </c>
      <c r="RJO46" s="420">
        <f t="shared" si="237"/>
        <v>0</v>
      </c>
      <c r="RJP46" s="420">
        <f t="shared" si="237"/>
        <v>0</v>
      </c>
      <c r="RJQ46" s="420">
        <f t="shared" si="237"/>
        <v>0</v>
      </c>
      <c r="RJR46" s="420">
        <f t="shared" si="237"/>
        <v>0</v>
      </c>
      <c r="RJS46" s="420">
        <f t="shared" si="237"/>
        <v>0</v>
      </c>
      <c r="RJT46" s="420">
        <f t="shared" si="237"/>
        <v>0</v>
      </c>
      <c r="RJU46" s="420">
        <f t="shared" si="237"/>
        <v>0</v>
      </c>
      <c r="RJV46" s="420">
        <f t="shared" si="237"/>
        <v>0</v>
      </c>
      <c r="RJW46" s="420">
        <f t="shared" si="237"/>
        <v>0</v>
      </c>
      <c r="RJX46" s="420">
        <f t="shared" si="237"/>
        <v>0</v>
      </c>
      <c r="RJY46" s="420">
        <f t="shared" si="237"/>
        <v>0</v>
      </c>
      <c r="RJZ46" s="420">
        <f t="shared" si="237"/>
        <v>0</v>
      </c>
      <c r="RKA46" s="420">
        <f t="shared" si="237"/>
        <v>0</v>
      </c>
      <c r="RKB46" s="420">
        <f t="shared" si="237"/>
        <v>0</v>
      </c>
      <c r="RKC46" s="420">
        <f t="shared" si="237"/>
        <v>0</v>
      </c>
      <c r="RKD46" s="420">
        <f t="shared" si="237"/>
        <v>0</v>
      </c>
      <c r="RKE46" s="420">
        <f t="shared" si="237"/>
        <v>0</v>
      </c>
      <c r="RKF46" s="420">
        <f t="shared" si="237"/>
        <v>0</v>
      </c>
      <c r="RKG46" s="420">
        <f t="shared" si="237"/>
        <v>0</v>
      </c>
      <c r="RKH46" s="420">
        <f t="shared" si="237"/>
        <v>0</v>
      </c>
      <c r="RKI46" s="420">
        <f t="shared" si="237"/>
        <v>0</v>
      </c>
      <c r="RKJ46" s="420">
        <f t="shared" si="237"/>
        <v>0</v>
      </c>
      <c r="RKK46" s="420">
        <f t="shared" si="237"/>
        <v>0</v>
      </c>
      <c r="RKL46" s="420">
        <f t="shared" si="237"/>
        <v>0</v>
      </c>
      <c r="RKM46" s="420">
        <f t="shared" si="237"/>
        <v>0</v>
      </c>
      <c r="RKN46" s="420">
        <f t="shared" si="237"/>
        <v>0</v>
      </c>
      <c r="RKO46" s="420">
        <f t="shared" si="237"/>
        <v>0</v>
      </c>
      <c r="RKP46" s="420">
        <f t="shared" si="237"/>
        <v>0</v>
      </c>
      <c r="RKQ46" s="420">
        <f t="shared" si="237"/>
        <v>0</v>
      </c>
      <c r="RKR46" s="420">
        <f t="shared" si="237"/>
        <v>0</v>
      </c>
      <c r="RKS46" s="420">
        <f t="shared" si="237"/>
        <v>0</v>
      </c>
      <c r="RKT46" s="420">
        <f t="shared" si="237"/>
        <v>0</v>
      </c>
      <c r="RKU46" s="420">
        <f t="shared" si="237"/>
        <v>0</v>
      </c>
      <c r="RKV46" s="420">
        <f t="shared" si="237"/>
        <v>0</v>
      </c>
      <c r="RKW46" s="420">
        <f t="shared" si="237"/>
        <v>0</v>
      </c>
      <c r="RKX46" s="420">
        <f t="shared" si="237"/>
        <v>0</v>
      </c>
      <c r="RKY46" s="420">
        <f t="shared" si="237"/>
        <v>0</v>
      </c>
      <c r="RKZ46" s="420">
        <f t="shared" si="237"/>
        <v>0</v>
      </c>
      <c r="RLA46" s="420">
        <f t="shared" si="237"/>
        <v>0</v>
      </c>
      <c r="RLB46" s="420">
        <f t="shared" si="237"/>
        <v>0</v>
      </c>
      <c r="RLC46" s="420">
        <f t="shared" si="237"/>
        <v>0</v>
      </c>
      <c r="RLD46" s="420">
        <f t="shared" si="237"/>
        <v>0</v>
      </c>
      <c r="RLE46" s="420">
        <f t="shared" ref="RLE46:RNP46" si="238">RLE45*0.8</f>
        <v>0</v>
      </c>
      <c r="RLF46" s="420">
        <f t="shared" si="238"/>
        <v>0</v>
      </c>
      <c r="RLG46" s="420">
        <f t="shared" si="238"/>
        <v>0</v>
      </c>
      <c r="RLH46" s="420">
        <f t="shared" si="238"/>
        <v>0</v>
      </c>
      <c r="RLI46" s="420">
        <f t="shared" si="238"/>
        <v>0</v>
      </c>
      <c r="RLJ46" s="420">
        <f t="shared" si="238"/>
        <v>0</v>
      </c>
      <c r="RLK46" s="420">
        <f t="shared" si="238"/>
        <v>0</v>
      </c>
      <c r="RLL46" s="420">
        <f t="shared" si="238"/>
        <v>0</v>
      </c>
      <c r="RLM46" s="420">
        <f t="shared" si="238"/>
        <v>0</v>
      </c>
      <c r="RLN46" s="420">
        <f t="shared" si="238"/>
        <v>0</v>
      </c>
      <c r="RLO46" s="420">
        <f t="shared" si="238"/>
        <v>0</v>
      </c>
      <c r="RLP46" s="420">
        <f t="shared" si="238"/>
        <v>0</v>
      </c>
      <c r="RLQ46" s="420">
        <f t="shared" si="238"/>
        <v>0</v>
      </c>
      <c r="RLR46" s="420">
        <f t="shared" si="238"/>
        <v>0</v>
      </c>
      <c r="RLS46" s="420">
        <f t="shared" si="238"/>
        <v>0</v>
      </c>
      <c r="RLT46" s="420">
        <f t="shared" si="238"/>
        <v>0</v>
      </c>
      <c r="RLU46" s="420">
        <f t="shared" si="238"/>
        <v>0</v>
      </c>
      <c r="RLV46" s="420">
        <f t="shared" si="238"/>
        <v>0</v>
      </c>
      <c r="RLW46" s="420">
        <f t="shared" si="238"/>
        <v>0</v>
      </c>
      <c r="RLX46" s="420">
        <f t="shared" si="238"/>
        <v>0</v>
      </c>
      <c r="RLY46" s="420">
        <f t="shared" si="238"/>
        <v>0</v>
      </c>
      <c r="RLZ46" s="420">
        <f t="shared" si="238"/>
        <v>0</v>
      </c>
      <c r="RMA46" s="420">
        <f t="shared" si="238"/>
        <v>0</v>
      </c>
      <c r="RMB46" s="420">
        <f t="shared" si="238"/>
        <v>0</v>
      </c>
      <c r="RMC46" s="420">
        <f t="shared" si="238"/>
        <v>0</v>
      </c>
      <c r="RMD46" s="420">
        <f t="shared" si="238"/>
        <v>0</v>
      </c>
      <c r="RME46" s="420">
        <f t="shared" si="238"/>
        <v>0</v>
      </c>
      <c r="RMF46" s="420">
        <f t="shared" si="238"/>
        <v>0</v>
      </c>
      <c r="RMG46" s="420">
        <f t="shared" si="238"/>
        <v>0</v>
      </c>
      <c r="RMH46" s="420">
        <f t="shared" si="238"/>
        <v>0</v>
      </c>
      <c r="RMI46" s="420">
        <f t="shared" si="238"/>
        <v>0</v>
      </c>
      <c r="RMJ46" s="420">
        <f t="shared" si="238"/>
        <v>0</v>
      </c>
      <c r="RMK46" s="420">
        <f t="shared" si="238"/>
        <v>0</v>
      </c>
      <c r="RML46" s="420">
        <f t="shared" si="238"/>
        <v>0</v>
      </c>
      <c r="RMM46" s="420">
        <f t="shared" si="238"/>
        <v>0</v>
      </c>
      <c r="RMN46" s="420">
        <f t="shared" si="238"/>
        <v>0</v>
      </c>
      <c r="RMO46" s="420">
        <f t="shared" si="238"/>
        <v>0</v>
      </c>
      <c r="RMP46" s="420">
        <f t="shared" si="238"/>
        <v>0</v>
      </c>
      <c r="RMQ46" s="420">
        <f t="shared" si="238"/>
        <v>0</v>
      </c>
      <c r="RMR46" s="420">
        <f t="shared" si="238"/>
        <v>0</v>
      </c>
      <c r="RMS46" s="420">
        <f t="shared" si="238"/>
        <v>0</v>
      </c>
      <c r="RMT46" s="420">
        <f t="shared" si="238"/>
        <v>0</v>
      </c>
      <c r="RMU46" s="420">
        <f t="shared" si="238"/>
        <v>0</v>
      </c>
      <c r="RMV46" s="420">
        <f t="shared" si="238"/>
        <v>0</v>
      </c>
      <c r="RMW46" s="420">
        <f t="shared" si="238"/>
        <v>0</v>
      </c>
      <c r="RMX46" s="420">
        <f t="shared" si="238"/>
        <v>0</v>
      </c>
      <c r="RMY46" s="420">
        <f t="shared" si="238"/>
        <v>0</v>
      </c>
      <c r="RMZ46" s="420">
        <f t="shared" si="238"/>
        <v>0</v>
      </c>
      <c r="RNA46" s="420">
        <f t="shared" si="238"/>
        <v>0</v>
      </c>
      <c r="RNB46" s="420">
        <f t="shared" si="238"/>
        <v>0</v>
      </c>
      <c r="RNC46" s="420">
        <f t="shared" si="238"/>
        <v>0</v>
      </c>
      <c r="RND46" s="420">
        <f t="shared" si="238"/>
        <v>0</v>
      </c>
      <c r="RNE46" s="420">
        <f t="shared" si="238"/>
        <v>0</v>
      </c>
      <c r="RNF46" s="420">
        <f t="shared" si="238"/>
        <v>0</v>
      </c>
      <c r="RNG46" s="420">
        <f t="shared" si="238"/>
        <v>0</v>
      </c>
      <c r="RNH46" s="420">
        <f t="shared" si="238"/>
        <v>0</v>
      </c>
      <c r="RNI46" s="420">
        <f t="shared" si="238"/>
        <v>0</v>
      </c>
      <c r="RNJ46" s="420">
        <f t="shared" si="238"/>
        <v>0</v>
      </c>
      <c r="RNK46" s="420">
        <f t="shared" si="238"/>
        <v>0</v>
      </c>
      <c r="RNL46" s="420">
        <f t="shared" si="238"/>
        <v>0</v>
      </c>
      <c r="RNM46" s="420">
        <f t="shared" si="238"/>
        <v>0</v>
      </c>
      <c r="RNN46" s="420">
        <f t="shared" si="238"/>
        <v>0</v>
      </c>
      <c r="RNO46" s="420">
        <f t="shared" si="238"/>
        <v>0</v>
      </c>
      <c r="RNP46" s="420">
        <f t="shared" si="238"/>
        <v>0</v>
      </c>
      <c r="RNQ46" s="420">
        <f t="shared" ref="RNQ46:RQB46" si="239">RNQ45*0.8</f>
        <v>0</v>
      </c>
      <c r="RNR46" s="420">
        <f t="shared" si="239"/>
        <v>0</v>
      </c>
      <c r="RNS46" s="420">
        <f t="shared" si="239"/>
        <v>0</v>
      </c>
      <c r="RNT46" s="420">
        <f t="shared" si="239"/>
        <v>0</v>
      </c>
      <c r="RNU46" s="420">
        <f t="shared" si="239"/>
        <v>0</v>
      </c>
      <c r="RNV46" s="420">
        <f t="shared" si="239"/>
        <v>0</v>
      </c>
      <c r="RNW46" s="420">
        <f t="shared" si="239"/>
        <v>0</v>
      </c>
      <c r="RNX46" s="420">
        <f t="shared" si="239"/>
        <v>0</v>
      </c>
      <c r="RNY46" s="420">
        <f t="shared" si="239"/>
        <v>0</v>
      </c>
      <c r="RNZ46" s="420">
        <f t="shared" si="239"/>
        <v>0</v>
      </c>
      <c r="ROA46" s="420">
        <f t="shared" si="239"/>
        <v>0</v>
      </c>
      <c r="ROB46" s="420">
        <f t="shared" si="239"/>
        <v>0</v>
      </c>
      <c r="ROC46" s="420">
        <f t="shared" si="239"/>
        <v>0</v>
      </c>
      <c r="ROD46" s="420">
        <f t="shared" si="239"/>
        <v>0</v>
      </c>
      <c r="ROE46" s="420">
        <f t="shared" si="239"/>
        <v>0</v>
      </c>
      <c r="ROF46" s="420">
        <f t="shared" si="239"/>
        <v>0</v>
      </c>
      <c r="ROG46" s="420">
        <f t="shared" si="239"/>
        <v>0</v>
      </c>
      <c r="ROH46" s="420">
        <f t="shared" si="239"/>
        <v>0</v>
      </c>
      <c r="ROI46" s="420">
        <f t="shared" si="239"/>
        <v>0</v>
      </c>
      <c r="ROJ46" s="420">
        <f t="shared" si="239"/>
        <v>0</v>
      </c>
      <c r="ROK46" s="420">
        <f t="shared" si="239"/>
        <v>0</v>
      </c>
      <c r="ROL46" s="420">
        <f t="shared" si="239"/>
        <v>0</v>
      </c>
      <c r="ROM46" s="420">
        <f t="shared" si="239"/>
        <v>0</v>
      </c>
      <c r="RON46" s="420">
        <f t="shared" si="239"/>
        <v>0</v>
      </c>
      <c r="ROO46" s="420">
        <f t="shared" si="239"/>
        <v>0</v>
      </c>
      <c r="ROP46" s="420">
        <f t="shared" si="239"/>
        <v>0</v>
      </c>
      <c r="ROQ46" s="420">
        <f t="shared" si="239"/>
        <v>0</v>
      </c>
      <c r="ROR46" s="420">
        <f t="shared" si="239"/>
        <v>0</v>
      </c>
      <c r="ROS46" s="420">
        <f t="shared" si="239"/>
        <v>0</v>
      </c>
      <c r="ROT46" s="420">
        <f t="shared" si="239"/>
        <v>0</v>
      </c>
      <c r="ROU46" s="420">
        <f t="shared" si="239"/>
        <v>0</v>
      </c>
      <c r="ROV46" s="420">
        <f t="shared" si="239"/>
        <v>0</v>
      </c>
      <c r="ROW46" s="420">
        <f t="shared" si="239"/>
        <v>0</v>
      </c>
      <c r="ROX46" s="420">
        <f t="shared" si="239"/>
        <v>0</v>
      </c>
      <c r="ROY46" s="420">
        <f t="shared" si="239"/>
        <v>0</v>
      </c>
      <c r="ROZ46" s="420">
        <f t="shared" si="239"/>
        <v>0</v>
      </c>
      <c r="RPA46" s="420">
        <f t="shared" si="239"/>
        <v>0</v>
      </c>
      <c r="RPB46" s="420">
        <f t="shared" si="239"/>
        <v>0</v>
      </c>
      <c r="RPC46" s="420">
        <f t="shared" si="239"/>
        <v>0</v>
      </c>
      <c r="RPD46" s="420">
        <f t="shared" si="239"/>
        <v>0</v>
      </c>
      <c r="RPE46" s="420">
        <f t="shared" si="239"/>
        <v>0</v>
      </c>
      <c r="RPF46" s="420">
        <f t="shared" si="239"/>
        <v>0</v>
      </c>
      <c r="RPG46" s="420">
        <f t="shared" si="239"/>
        <v>0</v>
      </c>
      <c r="RPH46" s="420">
        <f t="shared" si="239"/>
        <v>0</v>
      </c>
      <c r="RPI46" s="420">
        <f t="shared" si="239"/>
        <v>0</v>
      </c>
      <c r="RPJ46" s="420">
        <f t="shared" si="239"/>
        <v>0</v>
      </c>
      <c r="RPK46" s="420">
        <f t="shared" si="239"/>
        <v>0</v>
      </c>
      <c r="RPL46" s="420">
        <f t="shared" si="239"/>
        <v>0</v>
      </c>
      <c r="RPM46" s="420">
        <f t="shared" si="239"/>
        <v>0</v>
      </c>
      <c r="RPN46" s="420">
        <f t="shared" si="239"/>
        <v>0</v>
      </c>
      <c r="RPO46" s="420">
        <f t="shared" si="239"/>
        <v>0</v>
      </c>
      <c r="RPP46" s="420">
        <f t="shared" si="239"/>
        <v>0</v>
      </c>
      <c r="RPQ46" s="420">
        <f t="shared" si="239"/>
        <v>0</v>
      </c>
      <c r="RPR46" s="420">
        <f t="shared" si="239"/>
        <v>0</v>
      </c>
      <c r="RPS46" s="420">
        <f t="shared" si="239"/>
        <v>0</v>
      </c>
      <c r="RPT46" s="420">
        <f t="shared" si="239"/>
        <v>0</v>
      </c>
      <c r="RPU46" s="420">
        <f t="shared" si="239"/>
        <v>0</v>
      </c>
      <c r="RPV46" s="420">
        <f t="shared" si="239"/>
        <v>0</v>
      </c>
      <c r="RPW46" s="420">
        <f t="shared" si="239"/>
        <v>0</v>
      </c>
      <c r="RPX46" s="420">
        <f t="shared" si="239"/>
        <v>0</v>
      </c>
      <c r="RPY46" s="420">
        <f t="shared" si="239"/>
        <v>0</v>
      </c>
      <c r="RPZ46" s="420">
        <f t="shared" si="239"/>
        <v>0</v>
      </c>
      <c r="RQA46" s="420">
        <f t="shared" si="239"/>
        <v>0</v>
      </c>
      <c r="RQB46" s="420">
        <f t="shared" si="239"/>
        <v>0</v>
      </c>
      <c r="RQC46" s="420">
        <f t="shared" ref="RQC46:RSN46" si="240">RQC45*0.8</f>
        <v>0</v>
      </c>
      <c r="RQD46" s="420">
        <f t="shared" si="240"/>
        <v>0</v>
      </c>
      <c r="RQE46" s="420">
        <f t="shared" si="240"/>
        <v>0</v>
      </c>
      <c r="RQF46" s="420">
        <f t="shared" si="240"/>
        <v>0</v>
      </c>
      <c r="RQG46" s="420">
        <f t="shared" si="240"/>
        <v>0</v>
      </c>
      <c r="RQH46" s="420">
        <f t="shared" si="240"/>
        <v>0</v>
      </c>
      <c r="RQI46" s="420">
        <f t="shared" si="240"/>
        <v>0</v>
      </c>
      <c r="RQJ46" s="420">
        <f t="shared" si="240"/>
        <v>0</v>
      </c>
      <c r="RQK46" s="420">
        <f t="shared" si="240"/>
        <v>0</v>
      </c>
      <c r="RQL46" s="420">
        <f t="shared" si="240"/>
        <v>0</v>
      </c>
      <c r="RQM46" s="420">
        <f t="shared" si="240"/>
        <v>0</v>
      </c>
      <c r="RQN46" s="420">
        <f t="shared" si="240"/>
        <v>0</v>
      </c>
      <c r="RQO46" s="420">
        <f t="shared" si="240"/>
        <v>0</v>
      </c>
      <c r="RQP46" s="420">
        <f t="shared" si="240"/>
        <v>0</v>
      </c>
      <c r="RQQ46" s="420">
        <f t="shared" si="240"/>
        <v>0</v>
      </c>
      <c r="RQR46" s="420">
        <f t="shared" si="240"/>
        <v>0</v>
      </c>
      <c r="RQS46" s="420">
        <f t="shared" si="240"/>
        <v>0</v>
      </c>
      <c r="RQT46" s="420">
        <f t="shared" si="240"/>
        <v>0</v>
      </c>
      <c r="RQU46" s="420">
        <f t="shared" si="240"/>
        <v>0</v>
      </c>
      <c r="RQV46" s="420">
        <f t="shared" si="240"/>
        <v>0</v>
      </c>
      <c r="RQW46" s="420">
        <f t="shared" si="240"/>
        <v>0</v>
      </c>
      <c r="RQX46" s="420">
        <f t="shared" si="240"/>
        <v>0</v>
      </c>
      <c r="RQY46" s="420">
        <f t="shared" si="240"/>
        <v>0</v>
      </c>
      <c r="RQZ46" s="420">
        <f t="shared" si="240"/>
        <v>0</v>
      </c>
      <c r="RRA46" s="420">
        <f t="shared" si="240"/>
        <v>0</v>
      </c>
      <c r="RRB46" s="420">
        <f t="shared" si="240"/>
        <v>0</v>
      </c>
      <c r="RRC46" s="420">
        <f t="shared" si="240"/>
        <v>0</v>
      </c>
      <c r="RRD46" s="420">
        <f t="shared" si="240"/>
        <v>0</v>
      </c>
      <c r="RRE46" s="420">
        <f t="shared" si="240"/>
        <v>0</v>
      </c>
      <c r="RRF46" s="420">
        <f t="shared" si="240"/>
        <v>0</v>
      </c>
      <c r="RRG46" s="420">
        <f t="shared" si="240"/>
        <v>0</v>
      </c>
      <c r="RRH46" s="420">
        <f t="shared" si="240"/>
        <v>0</v>
      </c>
      <c r="RRI46" s="420">
        <f t="shared" si="240"/>
        <v>0</v>
      </c>
      <c r="RRJ46" s="420">
        <f t="shared" si="240"/>
        <v>0</v>
      </c>
      <c r="RRK46" s="420">
        <f t="shared" si="240"/>
        <v>0</v>
      </c>
      <c r="RRL46" s="420">
        <f t="shared" si="240"/>
        <v>0</v>
      </c>
      <c r="RRM46" s="420">
        <f t="shared" si="240"/>
        <v>0</v>
      </c>
      <c r="RRN46" s="420">
        <f t="shared" si="240"/>
        <v>0</v>
      </c>
      <c r="RRO46" s="420">
        <f t="shared" si="240"/>
        <v>0</v>
      </c>
      <c r="RRP46" s="420">
        <f t="shared" si="240"/>
        <v>0</v>
      </c>
      <c r="RRQ46" s="420">
        <f t="shared" si="240"/>
        <v>0</v>
      </c>
      <c r="RRR46" s="420">
        <f t="shared" si="240"/>
        <v>0</v>
      </c>
      <c r="RRS46" s="420">
        <f t="shared" si="240"/>
        <v>0</v>
      </c>
      <c r="RRT46" s="420">
        <f t="shared" si="240"/>
        <v>0</v>
      </c>
      <c r="RRU46" s="420">
        <f t="shared" si="240"/>
        <v>0</v>
      </c>
      <c r="RRV46" s="420">
        <f t="shared" si="240"/>
        <v>0</v>
      </c>
      <c r="RRW46" s="420">
        <f t="shared" si="240"/>
        <v>0</v>
      </c>
      <c r="RRX46" s="420">
        <f t="shared" si="240"/>
        <v>0</v>
      </c>
      <c r="RRY46" s="420">
        <f t="shared" si="240"/>
        <v>0</v>
      </c>
      <c r="RRZ46" s="420">
        <f t="shared" si="240"/>
        <v>0</v>
      </c>
      <c r="RSA46" s="420">
        <f t="shared" si="240"/>
        <v>0</v>
      </c>
      <c r="RSB46" s="420">
        <f t="shared" si="240"/>
        <v>0</v>
      </c>
      <c r="RSC46" s="420">
        <f t="shared" si="240"/>
        <v>0</v>
      </c>
      <c r="RSD46" s="420">
        <f t="shared" si="240"/>
        <v>0</v>
      </c>
      <c r="RSE46" s="420">
        <f t="shared" si="240"/>
        <v>0</v>
      </c>
      <c r="RSF46" s="420">
        <f t="shared" si="240"/>
        <v>0</v>
      </c>
      <c r="RSG46" s="420">
        <f t="shared" si="240"/>
        <v>0</v>
      </c>
      <c r="RSH46" s="420">
        <f t="shared" si="240"/>
        <v>0</v>
      </c>
      <c r="RSI46" s="420">
        <f t="shared" si="240"/>
        <v>0</v>
      </c>
      <c r="RSJ46" s="420">
        <f t="shared" si="240"/>
        <v>0</v>
      </c>
      <c r="RSK46" s="420">
        <f t="shared" si="240"/>
        <v>0</v>
      </c>
      <c r="RSL46" s="420">
        <f t="shared" si="240"/>
        <v>0</v>
      </c>
      <c r="RSM46" s="420">
        <f t="shared" si="240"/>
        <v>0</v>
      </c>
      <c r="RSN46" s="420">
        <f t="shared" si="240"/>
        <v>0</v>
      </c>
      <c r="RSO46" s="420">
        <f t="shared" ref="RSO46:RUZ46" si="241">RSO45*0.8</f>
        <v>0</v>
      </c>
      <c r="RSP46" s="420">
        <f t="shared" si="241"/>
        <v>0</v>
      </c>
      <c r="RSQ46" s="420">
        <f t="shared" si="241"/>
        <v>0</v>
      </c>
      <c r="RSR46" s="420">
        <f t="shared" si="241"/>
        <v>0</v>
      </c>
      <c r="RSS46" s="420">
        <f t="shared" si="241"/>
        <v>0</v>
      </c>
      <c r="RST46" s="420">
        <f t="shared" si="241"/>
        <v>0</v>
      </c>
      <c r="RSU46" s="420">
        <f t="shared" si="241"/>
        <v>0</v>
      </c>
      <c r="RSV46" s="420">
        <f t="shared" si="241"/>
        <v>0</v>
      </c>
      <c r="RSW46" s="420">
        <f t="shared" si="241"/>
        <v>0</v>
      </c>
      <c r="RSX46" s="420">
        <f t="shared" si="241"/>
        <v>0</v>
      </c>
      <c r="RSY46" s="420">
        <f t="shared" si="241"/>
        <v>0</v>
      </c>
      <c r="RSZ46" s="420">
        <f t="shared" si="241"/>
        <v>0</v>
      </c>
      <c r="RTA46" s="420">
        <f t="shared" si="241"/>
        <v>0</v>
      </c>
      <c r="RTB46" s="420">
        <f t="shared" si="241"/>
        <v>0</v>
      </c>
      <c r="RTC46" s="420">
        <f t="shared" si="241"/>
        <v>0</v>
      </c>
      <c r="RTD46" s="420">
        <f t="shared" si="241"/>
        <v>0</v>
      </c>
      <c r="RTE46" s="420">
        <f t="shared" si="241"/>
        <v>0</v>
      </c>
      <c r="RTF46" s="420">
        <f t="shared" si="241"/>
        <v>0</v>
      </c>
      <c r="RTG46" s="420">
        <f t="shared" si="241"/>
        <v>0</v>
      </c>
      <c r="RTH46" s="420">
        <f t="shared" si="241"/>
        <v>0</v>
      </c>
      <c r="RTI46" s="420">
        <f t="shared" si="241"/>
        <v>0</v>
      </c>
      <c r="RTJ46" s="420">
        <f t="shared" si="241"/>
        <v>0</v>
      </c>
      <c r="RTK46" s="420">
        <f t="shared" si="241"/>
        <v>0</v>
      </c>
      <c r="RTL46" s="420">
        <f t="shared" si="241"/>
        <v>0</v>
      </c>
      <c r="RTM46" s="420">
        <f t="shared" si="241"/>
        <v>0</v>
      </c>
      <c r="RTN46" s="420">
        <f t="shared" si="241"/>
        <v>0</v>
      </c>
      <c r="RTO46" s="420">
        <f t="shared" si="241"/>
        <v>0</v>
      </c>
      <c r="RTP46" s="420">
        <f t="shared" si="241"/>
        <v>0</v>
      </c>
      <c r="RTQ46" s="420">
        <f t="shared" si="241"/>
        <v>0</v>
      </c>
      <c r="RTR46" s="420">
        <f t="shared" si="241"/>
        <v>0</v>
      </c>
      <c r="RTS46" s="420">
        <f t="shared" si="241"/>
        <v>0</v>
      </c>
      <c r="RTT46" s="420">
        <f t="shared" si="241"/>
        <v>0</v>
      </c>
      <c r="RTU46" s="420">
        <f t="shared" si="241"/>
        <v>0</v>
      </c>
      <c r="RTV46" s="420">
        <f t="shared" si="241"/>
        <v>0</v>
      </c>
      <c r="RTW46" s="420">
        <f t="shared" si="241"/>
        <v>0</v>
      </c>
      <c r="RTX46" s="420">
        <f t="shared" si="241"/>
        <v>0</v>
      </c>
      <c r="RTY46" s="420">
        <f t="shared" si="241"/>
        <v>0</v>
      </c>
      <c r="RTZ46" s="420">
        <f t="shared" si="241"/>
        <v>0</v>
      </c>
      <c r="RUA46" s="420">
        <f t="shared" si="241"/>
        <v>0</v>
      </c>
      <c r="RUB46" s="420">
        <f t="shared" si="241"/>
        <v>0</v>
      </c>
      <c r="RUC46" s="420">
        <f t="shared" si="241"/>
        <v>0</v>
      </c>
      <c r="RUD46" s="420">
        <f t="shared" si="241"/>
        <v>0</v>
      </c>
      <c r="RUE46" s="420">
        <f t="shared" si="241"/>
        <v>0</v>
      </c>
      <c r="RUF46" s="420">
        <f t="shared" si="241"/>
        <v>0</v>
      </c>
      <c r="RUG46" s="420">
        <f t="shared" si="241"/>
        <v>0</v>
      </c>
      <c r="RUH46" s="420">
        <f t="shared" si="241"/>
        <v>0</v>
      </c>
      <c r="RUI46" s="420">
        <f t="shared" si="241"/>
        <v>0</v>
      </c>
      <c r="RUJ46" s="420">
        <f t="shared" si="241"/>
        <v>0</v>
      </c>
      <c r="RUK46" s="420">
        <f t="shared" si="241"/>
        <v>0</v>
      </c>
      <c r="RUL46" s="420">
        <f t="shared" si="241"/>
        <v>0</v>
      </c>
      <c r="RUM46" s="420">
        <f t="shared" si="241"/>
        <v>0</v>
      </c>
      <c r="RUN46" s="420">
        <f t="shared" si="241"/>
        <v>0</v>
      </c>
      <c r="RUO46" s="420">
        <f t="shared" si="241"/>
        <v>0</v>
      </c>
      <c r="RUP46" s="420">
        <f t="shared" si="241"/>
        <v>0</v>
      </c>
      <c r="RUQ46" s="420">
        <f t="shared" si="241"/>
        <v>0</v>
      </c>
      <c r="RUR46" s="420">
        <f t="shared" si="241"/>
        <v>0</v>
      </c>
      <c r="RUS46" s="420">
        <f t="shared" si="241"/>
        <v>0</v>
      </c>
      <c r="RUT46" s="420">
        <f t="shared" si="241"/>
        <v>0</v>
      </c>
      <c r="RUU46" s="420">
        <f t="shared" si="241"/>
        <v>0</v>
      </c>
      <c r="RUV46" s="420">
        <f t="shared" si="241"/>
        <v>0</v>
      </c>
      <c r="RUW46" s="420">
        <f t="shared" si="241"/>
        <v>0</v>
      </c>
      <c r="RUX46" s="420">
        <f t="shared" si="241"/>
        <v>0</v>
      </c>
      <c r="RUY46" s="420">
        <f t="shared" si="241"/>
        <v>0</v>
      </c>
      <c r="RUZ46" s="420">
        <f t="shared" si="241"/>
        <v>0</v>
      </c>
      <c r="RVA46" s="420">
        <f t="shared" ref="RVA46:RXL46" si="242">RVA45*0.8</f>
        <v>0</v>
      </c>
      <c r="RVB46" s="420">
        <f t="shared" si="242"/>
        <v>0</v>
      </c>
      <c r="RVC46" s="420">
        <f t="shared" si="242"/>
        <v>0</v>
      </c>
      <c r="RVD46" s="420">
        <f t="shared" si="242"/>
        <v>0</v>
      </c>
      <c r="RVE46" s="420">
        <f t="shared" si="242"/>
        <v>0</v>
      </c>
      <c r="RVF46" s="420">
        <f t="shared" si="242"/>
        <v>0</v>
      </c>
      <c r="RVG46" s="420">
        <f t="shared" si="242"/>
        <v>0</v>
      </c>
      <c r="RVH46" s="420">
        <f t="shared" si="242"/>
        <v>0</v>
      </c>
      <c r="RVI46" s="420">
        <f t="shared" si="242"/>
        <v>0</v>
      </c>
      <c r="RVJ46" s="420">
        <f t="shared" si="242"/>
        <v>0</v>
      </c>
      <c r="RVK46" s="420">
        <f t="shared" si="242"/>
        <v>0</v>
      </c>
      <c r="RVL46" s="420">
        <f t="shared" si="242"/>
        <v>0</v>
      </c>
      <c r="RVM46" s="420">
        <f t="shared" si="242"/>
        <v>0</v>
      </c>
      <c r="RVN46" s="420">
        <f t="shared" si="242"/>
        <v>0</v>
      </c>
      <c r="RVO46" s="420">
        <f t="shared" si="242"/>
        <v>0</v>
      </c>
      <c r="RVP46" s="420">
        <f t="shared" si="242"/>
        <v>0</v>
      </c>
      <c r="RVQ46" s="420">
        <f t="shared" si="242"/>
        <v>0</v>
      </c>
      <c r="RVR46" s="420">
        <f t="shared" si="242"/>
        <v>0</v>
      </c>
      <c r="RVS46" s="420">
        <f t="shared" si="242"/>
        <v>0</v>
      </c>
      <c r="RVT46" s="420">
        <f t="shared" si="242"/>
        <v>0</v>
      </c>
      <c r="RVU46" s="420">
        <f t="shared" si="242"/>
        <v>0</v>
      </c>
      <c r="RVV46" s="420">
        <f t="shared" si="242"/>
        <v>0</v>
      </c>
      <c r="RVW46" s="420">
        <f t="shared" si="242"/>
        <v>0</v>
      </c>
      <c r="RVX46" s="420">
        <f t="shared" si="242"/>
        <v>0</v>
      </c>
      <c r="RVY46" s="420">
        <f t="shared" si="242"/>
        <v>0</v>
      </c>
      <c r="RVZ46" s="420">
        <f t="shared" si="242"/>
        <v>0</v>
      </c>
      <c r="RWA46" s="420">
        <f t="shared" si="242"/>
        <v>0</v>
      </c>
      <c r="RWB46" s="420">
        <f t="shared" si="242"/>
        <v>0</v>
      </c>
      <c r="RWC46" s="420">
        <f t="shared" si="242"/>
        <v>0</v>
      </c>
      <c r="RWD46" s="420">
        <f t="shared" si="242"/>
        <v>0</v>
      </c>
      <c r="RWE46" s="420">
        <f t="shared" si="242"/>
        <v>0</v>
      </c>
      <c r="RWF46" s="420">
        <f t="shared" si="242"/>
        <v>0</v>
      </c>
      <c r="RWG46" s="420">
        <f t="shared" si="242"/>
        <v>0</v>
      </c>
      <c r="RWH46" s="420">
        <f t="shared" si="242"/>
        <v>0</v>
      </c>
      <c r="RWI46" s="420">
        <f t="shared" si="242"/>
        <v>0</v>
      </c>
      <c r="RWJ46" s="420">
        <f t="shared" si="242"/>
        <v>0</v>
      </c>
      <c r="RWK46" s="420">
        <f t="shared" si="242"/>
        <v>0</v>
      </c>
      <c r="RWL46" s="420">
        <f t="shared" si="242"/>
        <v>0</v>
      </c>
      <c r="RWM46" s="420">
        <f t="shared" si="242"/>
        <v>0</v>
      </c>
      <c r="RWN46" s="420">
        <f t="shared" si="242"/>
        <v>0</v>
      </c>
      <c r="RWO46" s="420">
        <f t="shared" si="242"/>
        <v>0</v>
      </c>
      <c r="RWP46" s="420">
        <f t="shared" si="242"/>
        <v>0</v>
      </c>
      <c r="RWQ46" s="420">
        <f t="shared" si="242"/>
        <v>0</v>
      </c>
      <c r="RWR46" s="420">
        <f t="shared" si="242"/>
        <v>0</v>
      </c>
      <c r="RWS46" s="420">
        <f t="shared" si="242"/>
        <v>0</v>
      </c>
      <c r="RWT46" s="420">
        <f t="shared" si="242"/>
        <v>0</v>
      </c>
      <c r="RWU46" s="420">
        <f t="shared" si="242"/>
        <v>0</v>
      </c>
      <c r="RWV46" s="420">
        <f t="shared" si="242"/>
        <v>0</v>
      </c>
      <c r="RWW46" s="420">
        <f t="shared" si="242"/>
        <v>0</v>
      </c>
      <c r="RWX46" s="420">
        <f t="shared" si="242"/>
        <v>0</v>
      </c>
      <c r="RWY46" s="420">
        <f t="shared" si="242"/>
        <v>0</v>
      </c>
      <c r="RWZ46" s="420">
        <f t="shared" si="242"/>
        <v>0</v>
      </c>
      <c r="RXA46" s="420">
        <f t="shared" si="242"/>
        <v>0</v>
      </c>
      <c r="RXB46" s="420">
        <f t="shared" si="242"/>
        <v>0</v>
      </c>
      <c r="RXC46" s="420">
        <f t="shared" si="242"/>
        <v>0</v>
      </c>
      <c r="RXD46" s="420">
        <f t="shared" si="242"/>
        <v>0</v>
      </c>
      <c r="RXE46" s="420">
        <f t="shared" si="242"/>
        <v>0</v>
      </c>
      <c r="RXF46" s="420">
        <f t="shared" si="242"/>
        <v>0</v>
      </c>
      <c r="RXG46" s="420">
        <f t="shared" si="242"/>
        <v>0</v>
      </c>
      <c r="RXH46" s="420">
        <f t="shared" si="242"/>
        <v>0</v>
      </c>
      <c r="RXI46" s="420">
        <f t="shared" si="242"/>
        <v>0</v>
      </c>
      <c r="RXJ46" s="420">
        <f t="shared" si="242"/>
        <v>0</v>
      </c>
      <c r="RXK46" s="420">
        <f t="shared" si="242"/>
        <v>0</v>
      </c>
      <c r="RXL46" s="420">
        <f t="shared" si="242"/>
        <v>0</v>
      </c>
      <c r="RXM46" s="420">
        <f t="shared" ref="RXM46:RZX46" si="243">RXM45*0.8</f>
        <v>0</v>
      </c>
      <c r="RXN46" s="420">
        <f t="shared" si="243"/>
        <v>0</v>
      </c>
      <c r="RXO46" s="420">
        <f t="shared" si="243"/>
        <v>0</v>
      </c>
      <c r="RXP46" s="420">
        <f t="shared" si="243"/>
        <v>0</v>
      </c>
      <c r="RXQ46" s="420">
        <f t="shared" si="243"/>
        <v>0</v>
      </c>
      <c r="RXR46" s="420">
        <f t="shared" si="243"/>
        <v>0</v>
      </c>
      <c r="RXS46" s="420">
        <f t="shared" si="243"/>
        <v>0</v>
      </c>
      <c r="RXT46" s="420">
        <f t="shared" si="243"/>
        <v>0</v>
      </c>
      <c r="RXU46" s="420">
        <f t="shared" si="243"/>
        <v>0</v>
      </c>
      <c r="RXV46" s="420">
        <f t="shared" si="243"/>
        <v>0</v>
      </c>
      <c r="RXW46" s="420">
        <f t="shared" si="243"/>
        <v>0</v>
      </c>
      <c r="RXX46" s="420">
        <f t="shared" si="243"/>
        <v>0</v>
      </c>
      <c r="RXY46" s="420">
        <f t="shared" si="243"/>
        <v>0</v>
      </c>
      <c r="RXZ46" s="420">
        <f t="shared" si="243"/>
        <v>0</v>
      </c>
      <c r="RYA46" s="420">
        <f t="shared" si="243"/>
        <v>0</v>
      </c>
      <c r="RYB46" s="420">
        <f t="shared" si="243"/>
        <v>0</v>
      </c>
      <c r="RYC46" s="420">
        <f t="shared" si="243"/>
        <v>0</v>
      </c>
      <c r="RYD46" s="420">
        <f t="shared" si="243"/>
        <v>0</v>
      </c>
      <c r="RYE46" s="420">
        <f t="shared" si="243"/>
        <v>0</v>
      </c>
      <c r="RYF46" s="420">
        <f t="shared" si="243"/>
        <v>0</v>
      </c>
      <c r="RYG46" s="420">
        <f t="shared" si="243"/>
        <v>0</v>
      </c>
      <c r="RYH46" s="420">
        <f t="shared" si="243"/>
        <v>0</v>
      </c>
      <c r="RYI46" s="420">
        <f t="shared" si="243"/>
        <v>0</v>
      </c>
      <c r="RYJ46" s="420">
        <f t="shared" si="243"/>
        <v>0</v>
      </c>
      <c r="RYK46" s="420">
        <f t="shared" si="243"/>
        <v>0</v>
      </c>
      <c r="RYL46" s="420">
        <f t="shared" si="243"/>
        <v>0</v>
      </c>
      <c r="RYM46" s="420">
        <f t="shared" si="243"/>
        <v>0</v>
      </c>
      <c r="RYN46" s="420">
        <f t="shared" si="243"/>
        <v>0</v>
      </c>
      <c r="RYO46" s="420">
        <f t="shared" si="243"/>
        <v>0</v>
      </c>
      <c r="RYP46" s="420">
        <f t="shared" si="243"/>
        <v>0</v>
      </c>
      <c r="RYQ46" s="420">
        <f t="shared" si="243"/>
        <v>0</v>
      </c>
      <c r="RYR46" s="420">
        <f t="shared" si="243"/>
        <v>0</v>
      </c>
      <c r="RYS46" s="420">
        <f t="shared" si="243"/>
        <v>0</v>
      </c>
      <c r="RYT46" s="420">
        <f t="shared" si="243"/>
        <v>0</v>
      </c>
      <c r="RYU46" s="420">
        <f t="shared" si="243"/>
        <v>0</v>
      </c>
      <c r="RYV46" s="420">
        <f t="shared" si="243"/>
        <v>0</v>
      </c>
      <c r="RYW46" s="420">
        <f t="shared" si="243"/>
        <v>0</v>
      </c>
      <c r="RYX46" s="420">
        <f t="shared" si="243"/>
        <v>0</v>
      </c>
      <c r="RYY46" s="420">
        <f t="shared" si="243"/>
        <v>0</v>
      </c>
      <c r="RYZ46" s="420">
        <f t="shared" si="243"/>
        <v>0</v>
      </c>
      <c r="RZA46" s="420">
        <f t="shared" si="243"/>
        <v>0</v>
      </c>
      <c r="RZB46" s="420">
        <f t="shared" si="243"/>
        <v>0</v>
      </c>
      <c r="RZC46" s="420">
        <f t="shared" si="243"/>
        <v>0</v>
      </c>
      <c r="RZD46" s="420">
        <f t="shared" si="243"/>
        <v>0</v>
      </c>
      <c r="RZE46" s="420">
        <f t="shared" si="243"/>
        <v>0</v>
      </c>
      <c r="RZF46" s="420">
        <f t="shared" si="243"/>
        <v>0</v>
      </c>
      <c r="RZG46" s="420">
        <f t="shared" si="243"/>
        <v>0</v>
      </c>
      <c r="RZH46" s="420">
        <f t="shared" si="243"/>
        <v>0</v>
      </c>
      <c r="RZI46" s="420">
        <f t="shared" si="243"/>
        <v>0</v>
      </c>
      <c r="RZJ46" s="420">
        <f t="shared" si="243"/>
        <v>0</v>
      </c>
      <c r="RZK46" s="420">
        <f t="shared" si="243"/>
        <v>0</v>
      </c>
      <c r="RZL46" s="420">
        <f t="shared" si="243"/>
        <v>0</v>
      </c>
      <c r="RZM46" s="420">
        <f t="shared" si="243"/>
        <v>0</v>
      </c>
      <c r="RZN46" s="420">
        <f t="shared" si="243"/>
        <v>0</v>
      </c>
      <c r="RZO46" s="420">
        <f t="shared" si="243"/>
        <v>0</v>
      </c>
      <c r="RZP46" s="420">
        <f t="shared" si="243"/>
        <v>0</v>
      </c>
      <c r="RZQ46" s="420">
        <f t="shared" si="243"/>
        <v>0</v>
      </c>
      <c r="RZR46" s="420">
        <f t="shared" si="243"/>
        <v>0</v>
      </c>
      <c r="RZS46" s="420">
        <f t="shared" si="243"/>
        <v>0</v>
      </c>
      <c r="RZT46" s="420">
        <f t="shared" si="243"/>
        <v>0</v>
      </c>
      <c r="RZU46" s="420">
        <f t="shared" si="243"/>
        <v>0</v>
      </c>
      <c r="RZV46" s="420">
        <f t="shared" si="243"/>
        <v>0</v>
      </c>
      <c r="RZW46" s="420">
        <f t="shared" si="243"/>
        <v>0</v>
      </c>
      <c r="RZX46" s="420">
        <f t="shared" si="243"/>
        <v>0</v>
      </c>
      <c r="RZY46" s="420">
        <f t="shared" ref="RZY46:SCJ46" si="244">RZY45*0.8</f>
        <v>0</v>
      </c>
      <c r="RZZ46" s="420">
        <f t="shared" si="244"/>
        <v>0</v>
      </c>
      <c r="SAA46" s="420">
        <f t="shared" si="244"/>
        <v>0</v>
      </c>
      <c r="SAB46" s="420">
        <f t="shared" si="244"/>
        <v>0</v>
      </c>
      <c r="SAC46" s="420">
        <f t="shared" si="244"/>
        <v>0</v>
      </c>
      <c r="SAD46" s="420">
        <f t="shared" si="244"/>
        <v>0</v>
      </c>
      <c r="SAE46" s="420">
        <f t="shared" si="244"/>
        <v>0</v>
      </c>
      <c r="SAF46" s="420">
        <f t="shared" si="244"/>
        <v>0</v>
      </c>
      <c r="SAG46" s="420">
        <f t="shared" si="244"/>
        <v>0</v>
      </c>
      <c r="SAH46" s="420">
        <f t="shared" si="244"/>
        <v>0</v>
      </c>
      <c r="SAI46" s="420">
        <f t="shared" si="244"/>
        <v>0</v>
      </c>
      <c r="SAJ46" s="420">
        <f t="shared" si="244"/>
        <v>0</v>
      </c>
      <c r="SAK46" s="420">
        <f t="shared" si="244"/>
        <v>0</v>
      </c>
      <c r="SAL46" s="420">
        <f t="shared" si="244"/>
        <v>0</v>
      </c>
      <c r="SAM46" s="420">
        <f t="shared" si="244"/>
        <v>0</v>
      </c>
      <c r="SAN46" s="420">
        <f t="shared" si="244"/>
        <v>0</v>
      </c>
      <c r="SAO46" s="420">
        <f t="shared" si="244"/>
        <v>0</v>
      </c>
      <c r="SAP46" s="420">
        <f t="shared" si="244"/>
        <v>0</v>
      </c>
      <c r="SAQ46" s="420">
        <f t="shared" si="244"/>
        <v>0</v>
      </c>
      <c r="SAR46" s="420">
        <f t="shared" si="244"/>
        <v>0</v>
      </c>
      <c r="SAS46" s="420">
        <f t="shared" si="244"/>
        <v>0</v>
      </c>
      <c r="SAT46" s="420">
        <f t="shared" si="244"/>
        <v>0</v>
      </c>
      <c r="SAU46" s="420">
        <f t="shared" si="244"/>
        <v>0</v>
      </c>
      <c r="SAV46" s="420">
        <f t="shared" si="244"/>
        <v>0</v>
      </c>
      <c r="SAW46" s="420">
        <f t="shared" si="244"/>
        <v>0</v>
      </c>
      <c r="SAX46" s="420">
        <f t="shared" si="244"/>
        <v>0</v>
      </c>
      <c r="SAY46" s="420">
        <f t="shared" si="244"/>
        <v>0</v>
      </c>
      <c r="SAZ46" s="420">
        <f t="shared" si="244"/>
        <v>0</v>
      </c>
      <c r="SBA46" s="420">
        <f t="shared" si="244"/>
        <v>0</v>
      </c>
      <c r="SBB46" s="420">
        <f t="shared" si="244"/>
        <v>0</v>
      </c>
      <c r="SBC46" s="420">
        <f t="shared" si="244"/>
        <v>0</v>
      </c>
      <c r="SBD46" s="420">
        <f t="shared" si="244"/>
        <v>0</v>
      </c>
      <c r="SBE46" s="420">
        <f t="shared" si="244"/>
        <v>0</v>
      </c>
      <c r="SBF46" s="420">
        <f t="shared" si="244"/>
        <v>0</v>
      </c>
      <c r="SBG46" s="420">
        <f t="shared" si="244"/>
        <v>0</v>
      </c>
      <c r="SBH46" s="420">
        <f t="shared" si="244"/>
        <v>0</v>
      </c>
      <c r="SBI46" s="420">
        <f t="shared" si="244"/>
        <v>0</v>
      </c>
      <c r="SBJ46" s="420">
        <f t="shared" si="244"/>
        <v>0</v>
      </c>
      <c r="SBK46" s="420">
        <f t="shared" si="244"/>
        <v>0</v>
      </c>
      <c r="SBL46" s="420">
        <f t="shared" si="244"/>
        <v>0</v>
      </c>
      <c r="SBM46" s="420">
        <f t="shared" si="244"/>
        <v>0</v>
      </c>
      <c r="SBN46" s="420">
        <f t="shared" si="244"/>
        <v>0</v>
      </c>
      <c r="SBO46" s="420">
        <f t="shared" si="244"/>
        <v>0</v>
      </c>
      <c r="SBP46" s="420">
        <f t="shared" si="244"/>
        <v>0</v>
      </c>
      <c r="SBQ46" s="420">
        <f t="shared" si="244"/>
        <v>0</v>
      </c>
      <c r="SBR46" s="420">
        <f t="shared" si="244"/>
        <v>0</v>
      </c>
      <c r="SBS46" s="420">
        <f t="shared" si="244"/>
        <v>0</v>
      </c>
      <c r="SBT46" s="420">
        <f t="shared" si="244"/>
        <v>0</v>
      </c>
      <c r="SBU46" s="420">
        <f t="shared" si="244"/>
        <v>0</v>
      </c>
      <c r="SBV46" s="420">
        <f t="shared" si="244"/>
        <v>0</v>
      </c>
      <c r="SBW46" s="420">
        <f t="shared" si="244"/>
        <v>0</v>
      </c>
      <c r="SBX46" s="420">
        <f t="shared" si="244"/>
        <v>0</v>
      </c>
      <c r="SBY46" s="420">
        <f t="shared" si="244"/>
        <v>0</v>
      </c>
      <c r="SBZ46" s="420">
        <f t="shared" si="244"/>
        <v>0</v>
      </c>
      <c r="SCA46" s="420">
        <f t="shared" si="244"/>
        <v>0</v>
      </c>
      <c r="SCB46" s="420">
        <f t="shared" si="244"/>
        <v>0</v>
      </c>
      <c r="SCC46" s="420">
        <f t="shared" si="244"/>
        <v>0</v>
      </c>
      <c r="SCD46" s="420">
        <f t="shared" si="244"/>
        <v>0</v>
      </c>
      <c r="SCE46" s="420">
        <f t="shared" si="244"/>
        <v>0</v>
      </c>
      <c r="SCF46" s="420">
        <f t="shared" si="244"/>
        <v>0</v>
      </c>
      <c r="SCG46" s="420">
        <f t="shared" si="244"/>
        <v>0</v>
      </c>
      <c r="SCH46" s="420">
        <f t="shared" si="244"/>
        <v>0</v>
      </c>
      <c r="SCI46" s="420">
        <f t="shared" si="244"/>
        <v>0</v>
      </c>
      <c r="SCJ46" s="420">
        <f t="shared" si="244"/>
        <v>0</v>
      </c>
      <c r="SCK46" s="420">
        <f t="shared" ref="SCK46:SEV46" si="245">SCK45*0.8</f>
        <v>0</v>
      </c>
      <c r="SCL46" s="420">
        <f t="shared" si="245"/>
        <v>0</v>
      </c>
      <c r="SCM46" s="420">
        <f t="shared" si="245"/>
        <v>0</v>
      </c>
      <c r="SCN46" s="420">
        <f t="shared" si="245"/>
        <v>0</v>
      </c>
      <c r="SCO46" s="420">
        <f t="shared" si="245"/>
        <v>0</v>
      </c>
      <c r="SCP46" s="420">
        <f t="shared" si="245"/>
        <v>0</v>
      </c>
      <c r="SCQ46" s="420">
        <f t="shared" si="245"/>
        <v>0</v>
      </c>
      <c r="SCR46" s="420">
        <f t="shared" si="245"/>
        <v>0</v>
      </c>
      <c r="SCS46" s="420">
        <f t="shared" si="245"/>
        <v>0</v>
      </c>
      <c r="SCT46" s="420">
        <f t="shared" si="245"/>
        <v>0</v>
      </c>
      <c r="SCU46" s="420">
        <f t="shared" si="245"/>
        <v>0</v>
      </c>
      <c r="SCV46" s="420">
        <f t="shared" si="245"/>
        <v>0</v>
      </c>
      <c r="SCW46" s="420">
        <f t="shared" si="245"/>
        <v>0</v>
      </c>
      <c r="SCX46" s="420">
        <f t="shared" si="245"/>
        <v>0</v>
      </c>
      <c r="SCY46" s="420">
        <f t="shared" si="245"/>
        <v>0</v>
      </c>
      <c r="SCZ46" s="420">
        <f t="shared" si="245"/>
        <v>0</v>
      </c>
      <c r="SDA46" s="420">
        <f t="shared" si="245"/>
        <v>0</v>
      </c>
      <c r="SDB46" s="420">
        <f t="shared" si="245"/>
        <v>0</v>
      </c>
      <c r="SDC46" s="420">
        <f t="shared" si="245"/>
        <v>0</v>
      </c>
      <c r="SDD46" s="420">
        <f t="shared" si="245"/>
        <v>0</v>
      </c>
      <c r="SDE46" s="420">
        <f t="shared" si="245"/>
        <v>0</v>
      </c>
      <c r="SDF46" s="420">
        <f t="shared" si="245"/>
        <v>0</v>
      </c>
      <c r="SDG46" s="420">
        <f t="shared" si="245"/>
        <v>0</v>
      </c>
      <c r="SDH46" s="420">
        <f t="shared" si="245"/>
        <v>0</v>
      </c>
      <c r="SDI46" s="420">
        <f t="shared" si="245"/>
        <v>0</v>
      </c>
      <c r="SDJ46" s="420">
        <f t="shared" si="245"/>
        <v>0</v>
      </c>
      <c r="SDK46" s="420">
        <f t="shared" si="245"/>
        <v>0</v>
      </c>
      <c r="SDL46" s="420">
        <f t="shared" si="245"/>
        <v>0</v>
      </c>
      <c r="SDM46" s="420">
        <f t="shared" si="245"/>
        <v>0</v>
      </c>
      <c r="SDN46" s="420">
        <f t="shared" si="245"/>
        <v>0</v>
      </c>
      <c r="SDO46" s="420">
        <f t="shared" si="245"/>
        <v>0</v>
      </c>
      <c r="SDP46" s="420">
        <f t="shared" si="245"/>
        <v>0</v>
      </c>
      <c r="SDQ46" s="420">
        <f t="shared" si="245"/>
        <v>0</v>
      </c>
      <c r="SDR46" s="420">
        <f t="shared" si="245"/>
        <v>0</v>
      </c>
      <c r="SDS46" s="420">
        <f t="shared" si="245"/>
        <v>0</v>
      </c>
      <c r="SDT46" s="420">
        <f t="shared" si="245"/>
        <v>0</v>
      </c>
      <c r="SDU46" s="420">
        <f t="shared" si="245"/>
        <v>0</v>
      </c>
      <c r="SDV46" s="420">
        <f t="shared" si="245"/>
        <v>0</v>
      </c>
      <c r="SDW46" s="420">
        <f t="shared" si="245"/>
        <v>0</v>
      </c>
      <c r="SDX46" s="420">
        <f t="shared" si="245"/>
        <v>0</v>
      </c>
      <c r="SDY46" s="420">
        <f t="shared" si="245"/>
        <v>0</v>
      </c>
      <c r="SDZ46" s="420">
        <f t="shared" si="245"/>
        <v>0</v>
      </c>
      <c r="SEA46" s="420">
        <f t="shared" si="245"/>
        <v>0</v>
      </c>
      <c r="SEB46" s="420">
        <f t="shared" si="245"/>
        <v>0</v>
      </c>
      <c r="SEC46" s="420">
        <f t="shared" si="245"/>
        <v>0</v>
      </c>
      <c r="SED46" s="420">
        <f t="shared" si="245"/>
        <v>0</v>
      </c>
      <c r="SEE46" s="420">
        <f t="shared" si="245"/>
        <v>0</v>
      </c>
      <c r="SEF46" s="420">
        <f t="shared" si="245"/>
        <v>0</v>
      </c>
      <c r="SEG46" s="420">
        <f t="shared" si="245"/>
        <v>0</v>
      </c>
      <c r="SEH46" s="420">
        <f t="shared" si="245"/>
        <v>0</v>
      </c>
      <c r="SEI46" s="420">
        <f t="shared" si="245"/>
        <v>0</v>
      </c>
      <c r="SEJ46" s="420">
        <f t="shared" si="245"/>
        <v>0</v>
      </c>
      <c r="SEK46" s="420">
        <f t="shared" si="245"/>
        <v>0</v>
      </c>
      <c r="SEL46" s="420">
        <f t="shared" si="245"/>
        <v>0</v>
      </c>
      <c r="SEM46" s="420">
        <f t="shared" si="245"/>
        <v>0</v>
      </c>
      <c r="SEN46" s="420">
        <f t="shared" si="245"/>
        <v>0</v>
      </c>
      <c r="SEO46" s="420">
        <f t="shared" si="245"/>
        <v>0</v>
      </c>
      <c r="SEP46" s="420">
        <f t="shared" si="245"/>
        <v>0</v>
      </c>
      <c r="SEQ46" s="420">
        <f t="shared" si="245"/>
        <v>0</v>
      </c>
      <c r="SER46" s="420">
        <f t="shared" si="245"/>
        <v>0</v>
      </c>
      <c r="SES46" s="420">
        <f t="shared" si="245"/>
        <v>0</v>
      </c>
      <c r="SET46" s="420">
        <f t="shared" si="245"/>
        <v>0</v>
      </c>
      <c r="SEU46" s="420">
        <f t="shared" si="245"/>
        <v>0</v>
      </c>
      <c r="SEV46" s="420">
        <f t="shared" si="245"/>
        <v>0</v>
      </c>
      <c r="SEW46" s="420">
        <f t="shared" ref="SEW46:SHH46" si="246">SEW45*0.8</f>
        <v>0</v>
      </c>
      <c r="SEX46" s="420">
        <f t="shared" si="246"/>
        <v>0</v>
      </c>
      <c r="SEY46" s="420">
        <f t="shared" si="246"/>
        <v>0</v>
      </c>
      <c r="SEZ46" s="420">
        <f t="shared" si="246"/>
        <v>0</v>
      </c>
      <c r="SFA46" s="420">
        <f t="shared" si="246"/>
        <v>0</v>
      </c>
      <c r="SFB46" s="420">
        <f t="shared" si="246"/>
        <v>0</v>
      </c>
      <c r="SFC46" s="420">
        <f t="shared" si="246"/>
        <v>0</v>
      </c>
      <c r="SFD46" s="420">
        <f t="shared" si="246"/>
        <v>0</v>
      </c>
      <c r="SFE46" s="420">
        <f t="shared" si="246"/>
        <v>0</v>
      </c>
      <c r="SFF46" s="420">
        <f t="shared" si="246"/>
        <v>0</v>
      </c>
      <c r="SFG46" s="420">
        <f t="shared" si="246"/>
        <v>0</v>
      </c>
      <c r="SFH46" s="420">
        <f t="shared" si="246"/>
        <v>0</v>
      </c>
      <c r="SFI46" s="420">
        <f t="shared" si="246"/>
        <v>0</v>
      </c>
      <c r="SFJ46" s="420">
        <f t="shared" si="246"/>
        <v>0</v>
      </c>
      <c r="SFK46" s="420">
        <f t="shared" si="246"/>
        <v>0</v>
      </c>
      <c r="SFL46" s="420">
        <f t="shared" si="246"/>
        <v>0</v>
      </c>
      <c r="SFM46" s="420">
        <f t="shared" si="246"/>
        <v>0</v>
      </c>
      <c r="SFN46" s="420">
        <f t="shared" si="246"/>
        <v>0</v>
      </c>
      <c r="SFO46" s="420">
        <f t="shared" si="246"/>
        <v>0</v>
      </c>
      <c r="SFP46" s="420">
        <f t="shared" si="246"/>
        <v>0</v>
      </c>
      <c r="SFQ46" s="420">
        <f t="shared" si="246"/>
        <v>0</v>
      </c>
      <c r="SFR46" s="420">
        <f t="shared" si="246"/>
        <v>0</v>
      </c>
      <c r="SFS46" s="420">
        <f t="shared" si="246"/>
        <v>0</v>
      </c>
      <c r="SFT46" s="420">
        <f t="shared" si="246"/>
        <v>0</v>
      </c>
      <c r="SFU46" s="420">
        <f t="shared" si="246"/>
        <v>0</v>
      </c>
      <c r="SFV46" s="420">
        <f t="shared" si="246"/>
        <v>0</v>
      </c>
      <c r="SFW46" s="420">
        <f t="shared" si="246"/>
        <v>0</v>
      </c>
      <c r="SFX46" s="420">
        <f t="shared" si="246"/>
        <v>0</v>
      </c>
      <c r="SFY46" s="420">
        <f t="shared" si="246"/>
        <v>0</v>
      </c>
      <c r="SFZ46" s="420">
        <f t="shared" si="246"/>
        <v>0</v>
      </c>
      <c r="SGA46" s="420">
        <f t="shared" si="246"/>
        <v>0</v>
      </c>
      <c r="SGB46" s="420">
        <f t="shared" si="246"/>
        <v>0</v>
      </c>
      <c r="SGC46" s="420">
        <f t="shared" si="246"/>
        <v>0</v>
      </c>
      <c r="SGD46" s="420">
        <f t="shared" si="246"/>
        <v>0</v>
      </c>
      <c r="SGE46" s="420">
        <f t="shared" si="246"/>
        <v>0</v>
      </c>
      <c r="SGF46" s="420">
        <f t="shared" si="246"/>
        <v>0</v>
      </c>
      <c r="SGG46" s="420">
        <f t="shared" si="246"/>
        <v>0</v>
      </c>
      <c r="SGH46" s="420">
        <f t="shared" si="246"/>
        <v>0</v>
      </c>
      <c r="SGI46" s="420">
        <f t="shared" si="246"/>
        <v>0</v>
      </c>
      <c r="SGJ46" s="420">
        <f t="shared" si="246"/>
        <v>0</v>
      </c>
      <c r="SGK46" s="420">
        <f t="shared" si="246"/>
        <v>0</v>
      </c>
      <c r="SGL46" s="420">
        <f t="shared" si="246"/>
        <v>0</v>
      </c>
      <c r="SGM46" s="420">
        <f t="shared" si="246"/>
        <v>0</v>
      </c>
      <c r="SGN46" s="420">
        <f t="shared" si="246"/>
        <v>0</v>
      </c>
      <c r="SGO46" s="420">
        <f t="shared" si="246"/>
        <v>0</v>
      </c>
      <c r="SGP46" s="420">
        <f t="shared" si="246"/>
        <v>0</v>
      </c>
      <c r="SGQ46" s="420">
        <f t="shared" si="246"/>
        <v>0</v>
      </c>
      <c r="SGR46" s="420">
        <f t="shared" si="246"/>
        <v>0</v>
      </c>
      <c r="SGS46" s="420">
        <f t="shared" si="246"/>
        <v>0</v>
      </c>
      <c r="SGT46" s="420">
        <f t="shared" si="246"/>
        <v>0</v>
      </c>
      <c r="SGU46" s="420">
        <f t="shared" si="246"/>
        <v>0</v>
      </c>
      <c r="SGV46" s="420">
        <f t="shared" si="246"/>
        <v>0</v>
      </c>
      <c r="SGW46" s="420">
        <f t="shared" si="246"/>
        <v>0</v>
      </c>
      <c r="SGX46" s="420">
        <f t="shared" si="246"/>
        <v>0</v>
      </c>
      <c r="SGY46" s="420">
        <f t="shared" si="246"/>
        <v>0</v>
      </c>
      <c r="SGZ46" s="420">
        <f t="shared" si="246"/>
        <v>0</v>
      </c>
      <c r="SHA46" s="420">
        <f t="shared" si="246"/>
        <v>0</v>
      </c>
      <c r="SHB46" s="420">
        <f t="shared" si="246"/>
        <v>0</v>
      </c>
      <c r="SHC46" s="420">
        <f t="shared" si="246"/>
        <v>0</v>
      </c>
      <c r="SHD46" s="420">
        <f t="shared" si="246"/>
        <v>0</v>
      </c>
      <c r="SHE46" s="420">
        <f t="shared" si="246"/>
        <v>0</v>
      </c>
      <c r="SHF46" s="420">
        <f t="shared" si="246"/>
        <v>0</v>
      </c>
      <c r="SHG46" s="420">
        <f t="shared" si="246"/>
        <v>0</v>
      </c>
      <c r="SHH46" s="420">
        <f t="shared" si="246"/>
        <v>0</v>
      </c>
      <c r="SHI46" s="420">
        <f t="shared" ref="SHI46:SJT46" si="247">SHI45*0.8</f>
        <v>0</v>
      </c>
      <c r="SHJ46" s="420">
        <f t="shared" si="247"/>
        <v>0</v>
      </c>
      <c r="SHK46" s="420">
        <f t="shared" si="247"/>
        <v>0</v>
      </c>
      <c r="SHL46" s="420">
        <f t="shared" si="247"/>
        <v>0</v>
      </c>
      <c r="SHM46" s="420">
        <f t="shared" si="247"/>
        <v>0</v>
      </c>
      <c r="SHN46" s="420">
        <f t="shared" si="247"/>
        <v>0</v>
      </c>
      <c r="SHO46" s="420">
        <f t="shared" si="247"/>
        <v>0</v>
      </c>
      <c r="SHP46" s="420">
        <f t="shared" si="247"/>
        <v>0</v>
      </c>
      <c r="SHQ46" s="420">
        <f t="shared" si="247"/>
        <v>0</v>
      </c>
      <c r="SHR46" s="420">
        <f t="shared" si="247"/>
        <v>0</v>
      </c>
      <c r="SHS46" s="420">
        <f t="shared" si="247"/>
        <v>0</v>
      </c>
      <c r="SHT46" s="420">
        <f t="shared" si="247"/>
        <v>0</v>
      </c>
      <c r="SHU46" s="420">
        <f t="shared" si="247"/>
        <v>0</v>
      </c>
      <c r="SHV46" s="420">
        <f t="shared" si="247"/>
        <v>0</v>
      </c>
      <c r="SHW46" s="420">
        <f t="shared" si="247"/>
        <v>0</v>
      </c>
      <c r="SHX46" s="420">
        <f t="shared" si="247"/>
        <v>0</v>
      </c>
      <c r="SHY46" s="420">
        <f t="shared" si="247"/>
        <v>0</v>
      </c>
      <c r="SHZ46" s="420">
        <f t="shared" si="247"/>
        <v>0</v>
      </c>
      <c r="SIA46" s="420">
        <f t="shared" si="247"/>
        <v>0</v>
      </c>
      <c r="SIB46" s="420">
        <f t="shared" si="247"/>
        <v>0</v>
      </c>
      <c r="SIC46" s="420">
        <f t="shared" si="247"/>
        <v>0</v>
      </c>
      <c r="SID46" s="420">
        <f t="shared" si="247"/>
        <v>0</v>
      </c>
      <c r="SIE46" s="420">
        <f t="shared" si="247"/>
        <v>0</v>
      </c>
      <c r="SIF46" s="420">
        <f t="shared" si="247"/>
        <v>0</v>
      </c>
      <c r="SIG46" s="420">
        <f t="shared" si="247"/>
        <v>0</v>
      </c>
      <c r="SIH46" s="420">
        <f t="shared" si="247"/>
        <v>0</v>
      </c>
      <c r="SII46" s="420">
        <f t="shared" si="247"/>
        <v>0</v>
      </c>
      <c r="SIJ46" s="420">
        <f t="shared" si="247"/>
        <v>0</v>
      </c>
      <c r="SIK46" s="420">
        <f t="shared" si="247"/>
        <v>0</v>
      </c>
      <c r="SIL46" s="420">
        <f t="shared" si="247"/>
        <v>0</v>
      </c>
      <c r="SIM46" s="420">
        <f t="shared" si="247"/>
        <v>0</v>
      </c>
      <c r="SIN46" s="420">
        <f t="shared" si="247"/>
        <v>0</v>
      </c>
      <c r="SIO46" s="420">
        <f t="shared" si="247"/>
        <v>0</v>
      </c>
      <c r="SIP46" s="420">
        <f t="shared" si="247"/>
        <v>0</v>
      </c>
      <c r="SIQ46" s="420">
        <f t="shared" si="247"/>
        <v>0</v>
      </c>
      <c r="SIR46" s="420">
        <f t="shared" si="247"/>
        <v>0</v>
      </c>
      <c r="SIS46" s="420">
        <f t="shared" si="247"/>
        <v>0</v>
      </c>
      <c r="SIT46" s="420">
        <f t="shared" si="247"/>
        <v>0</v>
      </c>
      <c r="SIU46" s="420">
        <f t="shared" si="247"/>
        <v>0</v>
      </c>
      <c r="SIV46" s="420">
        <f t="shared" si="247"/>
        <v>0</v>
      </c>
      <c r="SIW46" s="420">
        <f t="shared" si="247"/>
        <v>0</v>
      </c>
      <c r="SIX46" s="420">
        <f t="shared" si="247"/>
        <v>0</v>
      </c>
      <c r="SIY46" s="420">
        <f t="shared" si="247"/>
        <v>0</v>
      </c>
      <c r="SIZ46" s="420">
        <f t="shared" si="247"/>
        <v>0</v>
      </c>
      <c r="SJA46" s="420">
        <f t="shared" si="247"/>
        <v>0</v>
      </c>
      <c r="SJB46" s="420">
        <f t="shared" si="247"/>
        <v>0</v>
      </c>
      <c r="SJC46" s="420">
        <f t="shared" si="247"/>
        <v>0</v>
      </c>
      <c r="SJD46" s="420">
        <f t="shared" si="247"/>
        <v>0</v>
      </c>
      <c r="SJE46" s="420">
        <f t="shared" si="247"/>
        <v>0</v>
      </c>
      <c r="SJF46" s="420">
        <f t="shared" si="247"/>
        <v>0</v>
      </c>
      <c r="SJG46" s="420">
        <f t="shared" si="247"/>
        <v>0</v>
      </c>
      <c r="SJH46" s="420">
        <f t="shared" si="247"/>
        <v>0</v>
      </c>
      <c r="SJI46" s="420">
        <f t="shared" si="247"/>
        <v>0</v>
      </c>
      <c r="SJJ46" s="420">
        <f t="shared" si="247"/>
        <v>0</v>
      </c>
      <c r="SJK46" s="420">
        <f t="shared" si="247"/>
        <v>0</v>
      </c>
      <c r="SJL46" s="420">
        <f t="shared" si="247"/>
        <v>0</v>
      </c>
      <c r="SJM46" s="420">
        <f t="shared" si="247"/>
        <v>0</v>
      </c>
      <c r="SJN46" s="420">
        <f t="shared" si="247"/>
        <v>0</v>
      </c>
      <c r="SJO46" s="420">
        <f t="shared" si="247"/>
        <v>0</v>
      </c>
      <c r="SJP46" s="420">
        <f t="shared" si="247"/>
        <v>0</v>
      </c>
      <c r="SJQ46" s="420">
        <f t="shared" si="247"/>
        <v>0</v>
      </c>
      <c r="SJR46" s="420">
        <f t="shared" si="247"/>
        <v>0</v>
      </c>
      <c r="SJS46" s="420">
        <f t="shared" si="247"/>
        <v>0</v>
      </c>
      <c r="SJT46" s="420">
        <f t="shared" si="247"/>
        <v>0</v>
      </c>
      <c r="SJU46" s="420">
        <f t="shared" ref="SJU46:SMF46" si="248">SJU45*0.8</f>
        <v>0</v>
      </c>
      <c r="SJV46" s="420">
        <f t="shared" si="248"/>
        <v>0</v>
      </c>
      <c r="SJW46" s="420">
        <f t="shared" si="248"/>
        <v>0</v>
      </c>
      <c r="SJX46" s="420">
        <f t="shared" si="248"/>
        <v>0</v>
      </c>
      <c r="SJY46" s="420">
        <f t="shared" si="248"/>
        <v>0</v>
      </c>
      <c r="SJZ46" s="420">
        <f t="shared" si="248"/>
        <v>0</v>
      </c>
      <c r="SKA46" s="420">
        <f t="shared" si="248"/>
        <v>0</v>
      </c>
      <c r="SKB46" s="420">
        <f t="shared" si="248"/>
        <v>0</v>
      </c>
      <c r="SKC46" s="420">
        <f t="shared" si="248"/>
        <v>0</v>
      </c>
      <c r="SKD46" s="420">
        <f t="shared" si="248"/>
        <v>0</v>
      </c>
      <c r="SKE46" s="420">
        <f t="shared" si="248"/>
        <v>0</v>
      </c>
      <c r="SKF46" s="420">
        <f t="shared" si="248"/>
        <v>0</v>
      </c>
      <c r="SKG46" s="420">
        <f t="shared" si="248"/>
        <v>0</v>
      </c>
      <c r="SKH46" s="420">
        <f t="shared" si="248"/>
        <v>0</v>
      </c>
      <c r="SKI46" s="420">
        <f t="shared" si="248"/>
        <v>0</v>
      </c>
      <c r="SKJ46" s="420">
        <f t="shared" si="248"/>
        <v>0</v>
      </c>
      <c r="SKK46" s="420">
        <f t="shared" si="248"/>
        <v>0</v>
      </c>
      <c r="SKL46" s="420">
        <f t="shared" si="248"/>
        <v>0</v>
      </c>
      <c r="SKM46" s="420">
        <f t="shared" si="248"/>
        <v>0</v>
      </c>
      <c r="SKN46" s="420">
        <f t="shared" si="248"/>
        <v>0</v>
      </c>
      <c r="SKO46" s="420">
        <f t="shared" si="248"/>
        <v>0</v>
      </c>
      <c r="SKP46" s="420">
        <f t="shared" si="248"/>
        <v>0</v>
      </c>
      <c r="SKQ46" s="420">
        <f t="shared" si="248"/>
        <v>0</v>
      </c>
      <c r="SKR46" s="420">
        <f t="shared" si="248"/>
        <v>0</v>
      </c>
      <c r="SKS46" s="420">
        <f t="shared" si="248"/>
        <v>0</v>
      </c>
      <c r="SKT46" s="420">
        <f t="shared" si="248"/>
        <v>0</v>
      </c>
      <c r="SKU46" s="420">
        <f t="shared" si="248"/>
        <v>0</v>
      </c>
      <c r="SKV46" s="420">
        <f t="shared" si="248"/>
        <v>0</v>
      </c>
      <c r="SKW46" s="420">
        <f t="shared" si="248"/>
        <v>0</v>
      </c>
      <c r="SKX46" s="420">
        <f t="shared" si="248"/>
        <v>0</v>
      </c>
      <c r="SKY46" s="420">
        <f t="shared" si="248"/>
        <v>0</v>
      </c>
      <c r="SKZ46" s="420">
        <f t="shared" si="248"/>
        <v>0</v>
      </c>
      <c r="SLA46" s="420">
        <f t="shared" si="248"/>
        <v>0</v>
      </c>
      <c r="SLB46" s="420">
        <f t="shared" si="248"/>
        <v>0</v>
      </c>
      <c r="SLC46" s="420">
        <f t="shared" si="248"/>
        <v>0</v>
      </c>
      <c r="SLD46" s="420">
        <f t="shared" si="248"/>
        <v>0</v>
      </c>
      <c r="SLE46" s="420">
        <f t="shared" si="248"/>
        <v>0</v>
      </c>
      <c r="SLF46" s="420">
        <f t="shared" si="248"/>
        <v>0</v>
      </c>
      <c r="SLG46" s="420">
        <f t="shared" si="248"/>
        <v>0</v>
      </c>
      <c r="SLH46" s="420">
        <f t="shared" si="248"/>
        <v>0</v>
      </c>
      <c r="SLI46" s="420">
        <f t="shared" si="248"/>
        <v>0</v>
      </c>
      <c r="SLJ46" s="420">
        <f t="shared" si="248"/>
        <v>0</v>
      </c>
      <c r="SLK46" s="420">
        <f t="shared" si="248"/>
        <v>0</v>
      </c>
      <c r="SLL46" s="420">
        <f t="shared" si="248"/>
        <v>0</v>
      </c>
      <c r="SLM46" s="420">
        <f t="shared" si="248"/>
        <v>0</v>
      </c>
      <c r="SLN46" s="420">
        <f t="shared" si="248"/>
        <v>0</v>
      </c>
      <c r="SLO46" s="420">
        <f t="shared" si="248"/>
        <v>0</v>
      </c>
      <c r="SLP46" s="420">
        <f t="shared" si="248"/>
        <v>0</v>
      </c>
      <c r="SLQ46" s="420">
        <f t="shared" si="248"/>
        <v>0</v>
      </c>
      <c r="SLR46" s="420">
        <f t="shared" si="248"/>
        <v>0</v>
      </c>
      <c r="SLS46" s="420">
        <f t="shared" si="248"/>
        <v>0</v>
      </c>
      <c r="SLT46" s="420">
        <f t="shared" si="248"/>
        <v>0</v>
      </c>
      <c r="SLU46" s="420">
        <f t="shared" si="248"/>
        <v>0</v>
      </c>
      <c r="SLV46" s="420">
        <f t="shared" si="248"/>
        <v>0</v>
      </c>
      <c r="SLW46" s="420">
        <f t="shared" si="248"/>
        <v>0</v>
      </c>
      <c r="SLX46" s="420">
        <f t="shared" si="248"/>
        <v>0</v>
      </c>
      <c r="SLY46" s="420">
        <f t="shared" si="248"/>
        <v>0</v>
      </c>
      <c r="SLZ46" s="420">
        <f t="shared" si="248"/>
        <v>0</v>
      </c>
      <c r="SMA46" s="420">
        <f t="shared" si="248"/>
        <v>0</v>
      </c>
      <c r="SMB46" s="420">
        <f t="shared" si="248"/>
        <v>0</v>
      </c>
      <c r="SMC46" s="420">
        <f t="shared" si="248"/>
        <v>0</v>
      </c>
      <c r="SMD46" s="420">
        <f t="shared" si="248"/>
        <v>0</v>
      </c>
      <c r="SME46" s="420">
        <f t="shared" si="248"/>
        <v>0</v>
      </c>
      <c r="SMF46" s="420">
        <f t="shared" si="248"/>
        <v>0</v>
      </c>
      <c r="SMG46" s="420">
        <f t="shared" ref="SMG46:SOR46" si="249">SMG45*0.8</f>
        <v>0</v>
      </c>
      <c r="SMH46" s="420">
        <f t="shared" si="249"/>
        <v>0</v>
      </c>
      <c r="SMI46" s="420">
        <f t="shared" si="249"/>
        <v>0</v>
      </c>
      <c r="SMJ46" s="420">
        <f t="shared" si="249"/>
        <v>0</v>
      </c>
      <c r="SMK46" s="420">
        <f t="shared" si="249"/>
        <v>0</v>
      </c>
      <c r="SML46" s="420">
        <f t="shared" si="249"/>
        <v>0</v>
      </c>
      <c r="SMM46" s="420">
        <f t="shared" si="249"/>
        <v>0</v>
      </c>
      <c r="SMN46" s="420">
        <f t="shared" si="249"/>
        <v>0</v>
      </c>
      <c r="SMO46" s="420">
        <f t="shared" si="249"/>
        <v>0</v>
      </c>
      <c r="SMP46" s="420">
        <f t="shared" si="249"/>
        <v>0</v>
      </c>
      <c r="SMQ46" s="420">
        <f t="shared" si="249"/>
        <v>0</v>
      </c>
      <c r="SMR46" s="420">
        <f t="shared" si="249"/>
        <v>0</v>
      </c>
      <c r="SMS46" s="420">
        <f t="shared" si="249"/>
        <v>0</v>
      </c>
      <c r="SMT46" s="420">
        <f t="shared" si="249"/>
        <v>0</v>
      </c>
      <c r="SMU46" s="420">
        <f t="shared" si="249"/>
        <v>0</v>
      </c>
      <c r="SMV46" s="420">
        <f t="shared" si="249"/>
        <v>0</v>
      </c>
      <c r="SMW46" s="420">
        <f t="shared" si="249"/>
        <v>0</v>
      </c>
      <c r="SMX46" s="420">
        <f t="shared" si="249"/>
        <v>0</v>
      </c>
      <c r="SMY46" s="420">
        <f t="shared" si="249"/>
        <v>0</v>
      </c>
      <c r="SMZ46" s="420">
        <f t="shared" si="249"/>
        <v>0</v>
      </c>
      <c r="SNA46" s="420">
        <f t="shared" si="249"/>
        <v>0</v>
      </c>
      <c r="SNB46" s="420">
        <f t="shared" si="249"/>
        <v>0</v>
      </c>
      <c r="SNC46" s="420">
        <f t="shared" si="249"/>
        <v>0</v>
      </c>
      <c r="SND46" s="420">
        <f t="shared" si="249"/>
        <v>0</v>
      </c>
      <c r="SNE46" s="420">
        <f t="shared" si="249"/>
        <v>0</v>
      </c>
      <c r="SNF46" s="420">
        <f t="shared" si="249"/>
        <v>0</v>
      </c>
      <c r="SNG46" s="420">
        <f t="shared" si="249"/>
        <v>0</v>
      </c>
      <c r="SNH46" s="420">
        <f t="shared" si="249"/>
        <v>0</v>
      </c>
      <c r="SNI46" s="420">
        <f t="shared" si="249"/>
        <v>0</v>
      </c>
      <c r="SNJ46" s="420">
        <f t="shared" si="249"/>
        <v>0</v>
      </c>
      <c r="SNK46" s="420">
        <f t="shared" si="249"/>
        <v>0</v>
      </c>
      <c r="SNL46" s="420">
        <f t="shared" si="249"/>
        <v>0</v>
      </c>
      <c r="SNM46" s="420">
        <f t="shared" si="249"/>
        <v>0</v>
      </c>
      <c r="SNN46" s="420">
        <f t="shared" si="249"/>
        <v>0</v>
      </c>
      <c r="SNO46" s="420">
        <f t="shared" si="249"/>
        <v>0</v>
      </c>
      <c r="SNP46" s="420">
        <f t="shared" si="249"/>
        <v>0</v>
      </c>
      <c r="SNQ46" s="420">
        <f t="shared" si="249"/>
        <v>0</v>
      </c>
      <c r="SNR46" s="420">
        <f t="shared" si="249"/>
        <v>0</v>
      </c>
      <c r="SNS46" s="420">
        <f t="shared" si="249"/>
        <v>0</v>
      </c>
      <c r="SNT46" s="420">
        <f t="shared" si="249"/>
        <v>0</v>
      </c>
      <c r="SNU46" s="420">
        <f t="shared" si="249"/>
        <v>0</v>
      </c>
      <c r="SNV46" s="420">
        <f t="shared" si="249"/>
        <v>0</v>
      </c>
      <c r="SNW46" s="420">
        <f t="shared" si="249"/>
        <v>0</v>
      </c>
      <c r="SNX46" s="420">
        <f t="shared" si="249"/>
        <v>0</v>
      </c>
      <c r="SNY46" s="420">
        <f t="shared" si="249"/>
        <v>0</v>
      </c>
      <c r="SNZ46" s="420">
        <f t="shared" si="249"/>
        <v>0</v>
      </c>
      <c r="SOA46" s="420">
        <f t="shared" si="249"/>
        <v>0</v>
      </c>
      <c r="SOB46" s="420">
        <f t="shared" si="249"/>
        <v>0</v>
      </c>
      <c r="SOC46" s="420">
        <f t="shared" si="249"/>
        <v>0</v>
      </c>
      <c r="SOD46" s="420">
        <f t="shared" si="249"/>
        <v>0</v>
      </c>
      <c r="SOE46" s="420">
        <f t="shared" si="249"/>
        <v>0</v>
      </c>
      <c r="SOF46" s="420">
        <f t="shared" si="249"/>
        <v>0</v>
      </c>
      <c r="SOG46" s="420">
        <f t="shared" si="249"/>
        <v>0</v>
      </c>
      <c r="SOH46" s="420">
        <f t="shared" si="249"/>
        <v>0</v>
      </c>
      <c r="SOI46" s="420">
        <f t="shared" si="249"/>
        <v>0</v>
      </c>
      <c r="SOJ46" s="420">
        <f t="shared" si="249"/>
        <v>0</v>
      </c>
      <c r="SOK46" s="420">
        <f t="shared" si="249"/>
        <v>0</v>
      </c>
      <c r="SOL46" s="420">
        <f t="shared" si="249"/>
        <v>0</v>
      </c>
      <c r="SOM46" s="420">
        <f t="shared" si="249"/>
        <v>0</v>
      </c>
      <c r="SON46" s="420">
        <f t="shared" si="249"/>
        <v>0</v>
      </c>
      <c r="SOO46" s="420">
        <f t="shared" si="249"/>
        <v>0</v>
      </c>
      <c r="SOP46" s="420">
        <f t="shared" si="249"/>
        <v>0</v>
      </c>
      <c r="SOQ46" s="420">
        <f t="shared" si="249"/>
        <v>0</v>
      </c>
      <c r="SOR46" s="420">
        <f t="shared" si="249"/>
        <v>0</v>
      </c>
      <c r="SOS46" s="420">
        <f t="shared" ref="SOS46:SRD46" si="250">SOS45*0.8</f>
        <v>0</v>
      </c>
      <c r="SOT46" s="420">
        <f t="shared" si="250"/>
        <v>0</v>
      </c>
      <c r="SOU46" s="420">
        <f t="shared" si="250"/>
        <v>0</v>
      </c>
      <c r="SOV46" s="420">
        <f t="shared" si="250"/>
        <v>0</v>
      </c>
      <c r="SOW46" s="420">
        <f t="shared" si="250"/>
        <v>0</v>
      </c>
      <c r="SOX46" s="420">
        <f t="shared" si="250"/>
        <v>0</v>
      </c>
      <c r="SOY46" s="420">
        <f t="shared" si="250"/>
        <v>0</v>
      </c>
      <c r="SOZ46" s="420">
        <f t="shared" si="250"/>
        <v>0</v>
      </c>
      <c r="SPA46" s="420">
        <f t="shared" si="250"/>
        <v>0</v>
      </c>
      <c r="SPB46" s="420">
        <f t="shared" si="250"/>
        <v>0</v>
      </c>
      <c r="SPC46" s="420">
        <f t="shared" si="250"/>
        <v>0</v>
      </c>
      <c r="SPD46" s="420">
        <f t="shared" si="250"/>
        <v>0</v>
      </c>
      <c r="SPE46" s="420">
        <f t="shared" si="250"/>
        <v>0</v>
      </c>
      <c r="SPF46" s="420">
        <f t="shared" si="250"/>
        <v>0</v>
      </c>
      <c r="SPG46" s="420">
        <f t="shared" si="250"/>
        <v>0</v>
      </c>
      <c r="SPH46" s="420">
        <f t="shared" si="250"/>
        <v>0</v>
      </c>
      <c r="SPI46" s="420">
        <f t="shared" si="250"/>
        <v>0</v>
      </c>
      <c r="SPJ46" s="420">
        <f t="shared" si="250"/>
        <v>0</v>
      </c>
      <c r="SPK46" s="420">
        <f t="shared" si="250"/>
        <v>0</v>
      </c>
      <c r="SPL46" s="420">
        <f t="shared" si="250"/>
        <v>0</v>
      </c>
      <c r="SPM46" s="420">
        <f t="shared" si="250"/>
        <v>0</v>
      </c>
      <c r="SPN46" s="420">
        <f t="shared" si="250"/>
        <v>0</v>
      </c>
      <c r="SPO46" s="420">
        <f t="shared" si="250"/>
        <v>0</v>
      </c>
      <c r="SPP46" s="420">
        <f t="shared" si="250"/>
        <v>0</v>
      </c>
      <c r="SPQ46" s="420">
        <f t="shared" si="250"/>
        <v>0</v>
      </c>
      <c r="SPR46" s="420">
        <f t="shared" si="250"/>
        <v>0</v>
      </c>
      <c r="SPS46" s="420">
        <f t="shared" si="250"/>
        <v>0</v>
      </c>
      <c r="SPT46" s="420">
        <f t="shared" si="250"/>
        <v>0</v>
      </c>
      <c r="SPU46" s="420">
        <f t="shared" si="250"/>
        <v>0</v>
      </c>
      <c r="SPV46" s="420">
        <f t="shared" si="250"/>
        <v>0</v>
      </c>
      <c r="SPW46" s="420">
        <f t="shared" si="250"/>
        <v>0</v>
      </c>
      <c r="SPX46" s="420">
        <f t="shared" si="250"/>
        <v>0</v>
      </c>
      <c r="SPY46" s="420">
        <f t="shared" si="250"/>
        <v>0</v>
      </c>
      <c r="SPZ46" s="420">
        <f t="shared" si="250"/>
        <v>0</v>
      </c>
      <c r="SQA46" s="420">
        <f t="shared" si="250"/>
        <v>0</v>
      </c>
      <c r="SQB46" s="420">
        <f t="shared" si="250"/>
        <v>0</v>
      </c>
      <c r="SQC46" s="420">
        <f t="shared" si="250"/>
        <v>0</v>
      </c>
      <c r="SQD46" s="420">
        <f t="shared" si="250"/>
        <v>0</v>
      </c>
      <c r="SQE46" s="420">
        <f t="shared" si="250"/>
        <v>0</v>
      </c>
      <c r="SQF46" s="420">
        <f t="shared" si="250"/>
        <v>0</v>
      </c>
      <c r="SQG46" s="420">
        <f t="shared" si="250"/>
        <v>0</v>
      </c>
      <c r="SQH46" s="420">
        <f t="shared" si="250"/>
        <v>0</v>
      </c>
      <c r="SQI46" s="420">
        <f t="shared" si="250"/>
        <v>0</v>
      </c>
      <c r="SQJ46" s="420">
        <f t="shared" si="250"/>
        <v>0</v>
      </c>
      <c r="SQK46" s="420">
        <f t="shared" si="250"/>
        <v>0</v>
      </c>
      <c r="SQL46" s="420">
        <f t="shared" si="250"/>
        <v>0</v>
      </c>
      <c r="SQM46" s="420">
        <f t="shared" si="250"/>
        <v>0</v>
      </c>
      <c r="SQN46" s="420">
        <f t="shared" si="250"/>
        <v>0</v>
      </c>
      <c r="SQO46" s="420">
        <f t="shared" si="250"/>
        <v>0</v>
      </c>
      <c r="SQP46" s="420">
        <f t="shared" si="250"/>
        <v>0</v>
      </c>
      <c r="SQQ46" s="420">
        <f t="shared" si="250"/>
        <v>0</v>
      </c>
      <c r="SQR46" s="420">
        <f t="shared" si="250"/>
        <v>0</v>
      </c>
      <c r="SQS46" s="420">
        <f t="shared" si="250"/>
        <v>0</v>
      </c>
      <c r="SQT46" s="420">
        <f t="shared" si="250"/>
        <v>0</v>
      </c>
      <c r="SQU46" s="420">
        <f t="shared" si="250"/>
        <v>0</v>
      </c>
      <c r="SQV46" s="420">
        <f t="shared" si="250"/>
        <v>0</v>
      </c>
      <c r="SQW46" s="420">
        <f t="shared" si="250"/>
        <v>0</v>
      </c>
      <c r="SQX46" s="420">
        <f t="shared" si="250"/>
        <v>0</v>
      </c>
      <c r="SQY46" s="420">
        <f t="shared" si="250"/>
        <v>0</v>
      </c>
      <c r="SQZ46" s="420">
        <f t="shared" si="250"/>
        <v>0</v>
      </c>
      <c r="SRA46" s="420">
        <f t="shared" si="250"/>
        <v>0</v>
      </c>
      <c r="SRB46" s="420">
        <f t="shared" si="250"/>
        <v>0</v>
      </c>
      <c r="SRC46" s="420">
        <f t="shared" si="250"/>
        <v>0</v>
      </c>
      <c r="SRD46" s="420">
        <f t="shared" si="250"/>
        <v>0</v>
      </c>
      <c r="SRE46" s="420">
        <f t="shared" ref="SRE46:STP46" si="251">SRE45*0.8</f>
        <v>0</v>
      </c>
      <c r="SRF46" s="420">
        <f t="shared" si="251"/>
        <v>0</v>
      </c>
      <c r="SRG46" s="420">
        <f t="shared" si="251"/>
        <v>0</v>
      </c>
      <c r="SRH46" s="420">
        <f t="shared" si="251"/>
        <v>0</v>
      </c>
      <c r="SRI46" s="420">
        <f t="shared" si="251"/>
        <v>0</v>
      </c>
      <c r="SRJ46" s="420">
        <f t="shared" si="251"/>
        <v>0</v>
      </c>
      <c r="SRK46" s="420">
        <f t="shared" si="251"/>
        <v>0</v>
      </c>
      <c r="SRL46" s="420">
        <f t="shared" si="251"/>
        <v>0</v>
      </c>
      <c r="SRM46" s="420">
        <f t="shared" si="251"/>
        <v>0</v>
      </c>
      <c r="SRN46" s="420">
        <f t="shared" si="251"/>
        <v>0</v>
      </c>
      <c r="SRO46" s="420">
        <f t="shared" si="251"/>
        <v>0</v>
      </c>
      <c r="SRP46" s="420">
        <f t="shared" si="251"/>
        <v>0</v>
      </c>
      <c r="SRQ46" s="420">
        <f t="shared" si="251"/>
        <v>0</v>
      </c>
      <c r="SRR46" s="420">
        <f t="shared" si="251"/>
        <v>0</v>
      </c>
      <c r="SRS46" s="420">
        <f t="shared" si="251"/>
        <v>0</v>
      </c>
      <c r="SRT46" s="420">
        <f t="shared" si="251"/>
        <v>0</v>
      </c>
      <c r="SRU46" s="420">
        <f t="shared" si="251"/>
        <v>0</v>
      </c>
      <c r="SRV46" s="420">
        <f t="shared" si="251"/>
        <v>0</v>
      </c>
      <c r="SRW46" s="420">
        <f t="shared" si="251"/>
        <v>0</v>
      </c>
      <c r="SRX46" s="420">
        <f t="shared" si="251"/>
        <v>0</v>
      </c>
      <c r="SRY46" s="420">
        <f t="shared" si="251"/>
        <v>0</v>
      </c>
      <c r="SRZ46" s="420">
        <f t="shared" si="251"/>
        <v>0</v>
      </c>
      <c r="SSA46" s="420">
        <f t="shared" si="251"/>
        <v>0</v>
      </c>
      <c r="SSB46" s="420">
        <f t="shared" si="251"/>
        <v>0</v>
      </c>
      <c r="SSC46" s="420">
        <f t="shared" si="251"/>
        <v>0</v>
      </c>
      <c r="SSD46" s="420">
        <f t="shared" si="251"/>
        <v>0</v>
      </c>
      <c r="SSE46" s="420">
        <f t="shared" si="251"/>
        <v>0</v>
      </c>
      <c r="SSF46" s="420">
        <f t="shared" si="251"/>
        <v>0</v>
      </c>
      <c r="SSG46" s="420">
        <f t="shared" si="251"/>
        <v>0</v>
      </c>
      <c r="SSH46" s="420">
        <f t="shared" si="251"/>
        <v>0</v>
      </c>
      <c r="SSI46" s="420">
        <f t="shared" si="251"/>
        <v>0</v>
      </c>
      <c r="SSJ46" s="420">
        <f t="shared" si="251"/>
        <v>0</v>
      </c>
      <c r="SSK46" s="420">
        <f t="shared" si="251"/>
        <v>0</v>
      </c>
      <c r="SSL46" s="420">
        <f t="shared" si="251"/>
        <v>0</v>
      </c>
      <c r="SSM46" s="420">
        <f t="shared" si="251"/>
        <v>0</v>
      </c>
      <c r="SSN46" s="420">
        <f t="shared" si="251"/>
        <v>0</v>
      </c>
      <c r="SSO46" s="420">
        <f t="shared" si="251"/>
        <v>0</v>
      </c>
      <c r="SSP46" s="420">
        <f t="shared" si="251"/>
        <v>0</v>
      </c>
      <c r="SSQ46" s="420">
        <f t="shared" si="251"/>
        <v>0</v>
      </c>
      <c r="SSR46" s="420">
        <f t="shared" si="251"/>
        <v>0</v>
      </c>
      <c r="SSS46" s="420">
        <f t="shared" si="251"/>
        <v>0</v>
      </c>
      <c r="SST46" s="420">
        <f t="shared" si="251"/>
        <v>0</v>
      </c>
      <c r="SSU46" s="420">
        <f t="shared" si="251"/>
        <v>0</v>
      </c>
      <c r="SSV46" s="420">
        <f t="shared" si="251"/>
        <v>0</v>
      </c>
      <c r="SSW46" s="420">
        <f t="shared" si="251"/>
        <v>0</v>
      </c>
      <c r="SSX46" s="420">
        <f t="shared" si="251"/>
        <v>0</v>
      </c>
      <c r="SSY46" s="420">
        <f t="shared" si="251"/>
        <v>0</v>
      </c>
      <c r="SSZ46" s="420">
        <f t="shared" si="251"/>
        <v>0</v>
      </c>
      <c r="STA46" s="420">
        <f t="shared" si="251"/>
        <v>0</v>
      </c>
      <c r="STB46" s="420">
        <f t="shared" si="251"/>
        <v>0</v>
      </c>
      <c r="STC46" s="420">
        <f t="shared" si="251"/>
        <v>0</v>
      </c>
      <c r="STD46" s="420">
        <f t="shared" si="251"/>
        <v>0</v>
      </c>
      <c r="STE46" s="420">
        <f t="shared" si="251"/>
        <v>0</v>
      </c>
      <c r="STF46" s="420">
        <f t="shared" si="251"/>
        <v>0</v>
      </c>
      <c r="STG46" s="420">
        <f t="shared" si="251"/>
        <v>0</v>
      </c>
      <c r="STH46" s="420">
        <f t="shared" si="251"/>
        <v>0</v>
      </c>
      <c r="STI46" s="420">
        <f t="shared" si="251"/>
        <v>0</v>
      </c>
      <c r="STJ46" s="420">
        <f t="shared" si="251"/>
        <v>0</v>
      </c>
      <c r="STK46" s="420">
        <f t="shared" si="251"/>
        <v>0</v>
      </c>
      <c r="STL46" s="420">
        <f t="shared" si="251"/>
        <v>0</v>
      </c>
      <c r="STM46" s="420">
        <f t="shared" si="251"/>
        <v>0</v>
      </c>
      <c r="STN46" s="420">
        <f t="shared" si="251"/>
        <v>0</v>
      </c>
      <c r="STO46" s="420">
        <f t="shared" si="251"/>
        <v>0</v>
      </c>
      <c r="STP46" s="420">
        <f t="shared" si="251"/>
        <v>0</v>
      </c>
      <c r="STQ46" s="420">
        <f t="shared" ref="STQ46:SWB46" si="252">STQ45*0.8</f>
        <v>0</v>
      </c>
      <c r="STR46" s="420">
        <f t="shared" si="252"/>
        <v>0</v>
      </c>
      <c r="STS46" s="420">
        <f t="shared" si="252"/>
        <v>0</v>
      </c>
      <c r="STT46" s="420">
        <f t="shared" si="252"/>
        <v>0</v>
      </c>
      <c r="STU46" s="420">
        <f t="shared" si="252"/>
        <v>0</v>
      </c>
      <c r="STV46" s="420">
        <f t="shared" si="252"/>
        <v>0</v>
      </c>
      <c r="STW46" s="420">
        <f t="shared" si="252"/>
        <v>0</v>
      </c>
      <c r="STX46" s="420">
        <f t="shared" si="252"/>
        <v>0</v>
      </c>
      <c r="STY46" s="420">
        <f t="shared" si="252"/>
        <v>0</v>
      </c>
      <c r="STZ46" s="420">
        <f t="shared" si="252"/>
        <v>0</v>
      </c>
      <c r="SUA46" s="420">
        <f t="shared" si="252"/>
        <v>0</v>
      </c>
      <c r="SUB46" s="420">
        <f t="shared" si="252"/>
        <v>0</v>
      </c>
      <c r="SUC46" s="420">
        <f t="shared" si="252"/>
        <v>0</v>
      </c>
      <c r="SUD46" s="420">
        <f t="shared" si="252"/>
        <v>0</v>
      </c>
      <c r="SUE46" s="420">
        <f t="shared" si="252"/>
        <v>0</v>
      </c>
      <c r="SUF46" s="420">
        <f t="shared" si="252"/>
        <v>0</v>
      </c>
      <c r="SUG46" s="420">
        <f t="shared" si="252"/>
        <v>0</v>
      </c>
      <c r="SUH46" s="420">
        <f t="shared" si="252"/>
        <v>0</v>
      </c>
      <c r="SUI46" s="420">
        <f t="shared" si="252"/>
        <v>0</v>
      </c>
      <c r="SUJ46" s="420">
        <f t="shared" si="252"/>
        <v>0</v>
      </c>
      <c r="SUK46" s="420">
        <f t="shared" si="252"/>
        <v>0</v>
      </c>
      <c r="SUL46" s="420">
        <f t="shared" si="252"/>
        <v>0</v>
      </c>
      <c r="SUM46" s="420">
        <f t="shared" si="252"/>
        <v>0</v>
      </c>
      <c r="SUN46" s="420">
        <f t="shared" si="252"/>
        <v>0</v>
      </c>
      <c r="SUO46" s="420">
        <f t="shared" si="252"/>
        <v>0</v>
      </c>
      <c r="SUP46" s="420">
        <f t="shared" si="252"/>
        <v>0</v>
      </c>
      <c r="SUQ46" s="420">
        <f t="shared" si="252"/>
        <v>0</v>
      </c>
      <c r="SUR46" s="420">
        <f t="shared" si="252"/>
        <v>0</v>
      </c>
      <c r="SUS46" s="420">
        <f t="shared" si="252"/>
        <v>0</v>
      </c>
      <c r="SUT46" s="420">
        <f t="shared" si="252"/>
        <v>0</v>
      </c>
      <c r="SUU46" s="420">
        <f t="shared" si="252"/>
        <v>0</v>
      </c>
      <c r="SUV46" s="420">
        <f t="shared" si="252"/>
        <v>0</v>
      </c>
      <c r="SUW46" s="420">
        <f t="shared" si="252"/>
        <v>0</v>
      </c>
      <c r="SUX46" s="420">
        <f t="shared" si="252"/>
        <v>0</v>
      </c>
      <c r="SUY46" s="420">
        <f t="shared" si="252"/>
        <v>0</v>
      </c>
      <c r="SUZ46" s="420">
        <f t="shared" si="252"/>
        <v>0</v>
      </c>
      <c r="SVA46" s="420">
        <f t="shared" si="252"/>
        <v>0</v>
      </c>
      <c r="SVB46" s="420">
        <f t="shared" si="252"/>
        <v>0</v>
      </c>
      <c r="SVC46" s="420">
        <f t="shared" si="252"/>
        <v>0</v>
      </c>
      <c r="SVD46" s="420">
        <f t="shared" si="252"/>
        <v>0</v>
      </c>
      <c r="SVE46" s="420">
        <f t="shared" si="252"/>
        <v>0</v>
      </c>
      <c r="SVF46" s="420">
        <f t="shared" si="252"/>
        <v>0</v>
      </c>
      <c r="SVG46" s="420">
        <f t="shared" si="252"/>
        <v>0</v>
      </c>
      <c r="SVH46" s="420">
        <f t="shared" si="252"/>
        <v>0</v>
      </c>
      <c r="SVI46" s="420">
        <f t="shared" si="252"/>
        <v>0</v>
      </c>
      <c r="SVJ46" s="420">
        <f t="shared" si="252"/>
        <v>0</v>
      </c>
      <c r="SVK46" s="420">
        <f t="shared" si="252"/>
        <v>0</v>
      </c>
      <c r="SVL46" s="420">
        <f t="shared" si="252"/>
        <v>0</v>
      </c>
      <c r="SVM46" s="420">
        <f t="shared" si="252"/>
        <v>0</v>
      </c>
      <c r="SVN46" s="420">
        <f t="shared" si="252"/>
        <v>0</v>
      </c>
      <c r="SVO46" s="420">
        <f t="shared" si="252"/>
        <v>0</v>
      </c>
      <c r="SVP46" s="420">
        <f t="shared" si="252"/>
        <v>0</v>
      </c>
      <c r="SVQ46" s="420">
        <f t="shared" si="252"/>
        <v>0</v>
      </c>
      <c r="SVR46" s="420">
        <f t="shared" si="252"/>
        <v>0</v>
      </c>
      <c r="SVS46" s="420">
        <f t="shared" si="252"/>
        <v>0</v>
      </c>
      <c r="SVT46" s="420">
        <f t="shared" si="252"/>
        <v>0</v>
      </c>
      <c r="SVU46" s="420">
        <f t="shared" si="252"/>
        <v>0</v>
      </c>
      <c r="SVV46" s="420">
        <f t="shared" si="252"/>
        <v>0</v>
      </c>
      <c r="SVW46" s="420">
        <f t="shared" si="252"/>
        <v>0</v>
      </c>
      <c r="SVX46" s="420">
        <f t="shared" si="252"/>
        <v>0</v>
      </c>
      <c r="SVY46" s="420">
        <f t="shared" si="252"/>
        <v>0</v>
      </c>
      <c r="SVZ46" s="420">
        <f t="shared" si="252"/>
        <v>0</v>
      </c>
      <c r="SWA46" s="420">
        <f t="shared" si="252"/>
        <v>0</v>
      </c>
      <c r="SWB46" s="420">
        <f t="shared" si="252"/>
        <v>0</v>
      </c>
      <c r="SWC46" s="420">
        <f t="shared" ref="SWC46:SYN46" si="253">SWC45*0.8</f>
        <v>0</v>
      </c>
      <c r="SWD46" s="420">
        <f t="shared" si="253"/>
        <v>0</v>
      </c>
      <c r="SWE46" s="420">
        <f t="shared" si="253"/>
        <v>0</v>
      </c>
      <c r="SWF46" s="420">
        <f t="shared" si="253"/>
        <v>0</v>
      </c>
      <c r="SWG46" s="420">
        <f t="shared" si="253"/>
        <v>0</v>
      </c>
      <c r="SWH46" s="420">
        <f t="shared" si="253"/>
        <v>0</v>
      </c>
      <c r="SWI46" s="420">
        <f t="shared" si="253"/>
        <v>0</v>
      </c>
      <c r="SWJ46" s="420">
        <f t="shared" si="253"/>
        <v>0</v>
      </c>
      <c r="SWK46" s="420">
        <f t="shared" si="253"/>
        <v>0</v>
      </c>
      <c r="SWL46" s="420">
        <f t="shared" si="253"/>
        <v>0</v>
      </c>
      <c r="SWM46" s="420">
        <f t="shared" si="253"/>
        <v>0</v>
      </c>
      <c r="SWN46" s="420">
        <f t="shared" si="253"/>
        <v>0</v>
      </c>
      <c r="SWO46" s="420">
        <f t="shared" si="253"/>
        <v>0</v>
      </c>
      <c r="SWP46" s="420">
        <f t="shared" si="253"/>
        <v>0</v>
      </c>
      <c r="SWQ46" s="420">
        <f t="shared" si="253"/>
        <v>0</v>
      </c>
      <c r="SWR46" s="420">
        <f t="shared" si="253"/>
        <v>0</v>
      </c>
      <c r="SWS46" s="420">
        <f t="shared" si="253"/>
        <v>0</v>
      </c>
      <c r="SWT46" s="420">
        <f t="shared" si="253"/>
        <v>0</v>
      </c>
      <c r="SWU46" s="420">
        <f t="shared" si="253"/>
        <v>0</v>
      </c>
      <c r="SWV46" s="420">
        <f t="shared" si="253"/>
        <v>0</v>
      </c>
      <c r="SWW46" s="420">
        <f t="shared" si="253"/>
        <v>0</v>
      </c>
      <c r="SWX46" s="420">
        <f t="shared" si="253"/>
        <v>0</v>
      </c>
      <c r="SWY46" s="420">
        <f t="shared" si="253"/>
        <v>0</v>
      </c>
      <c r="SWZ46" s="420">
        <f t="shared" si="253"/>
        <v>0</v>
      </c>
      <c r="SXA46" s="420">
        <f t="shared" si="253"/>
        <v>0</v>
      </c>
      <c r="SXB46" s="420">
        <f t="shared" si="253"/>
        <v>0</v>
      </c>
      <c r="SXC46" s="420">
        <f t="shared" si="253"/>
        <v>0</v>
      </c>
      <c r="SXD46" s="420">
        <f t="shared" si="253"/>
        <v>0</v>
      </c>
      <c r="SXE46" s="420">
        <f t="shared" si="253"/>
        <v>0</v>
      </c>
      <c r="SXF46" s="420">
        <f t="shared" si="253"/>
        <v>0</v>
      </c>
      <c r="SXG46" s="420">
        <f t="shared" si="253"/>
        <v>0</v>
      </c>
      <c r="SXH46" s="420">
        <f t="shared" si="253"/>
        <v>0</v>
      </c>
      <c r="SXI46" s="420">
        <f t="shared" si="253"/>
        <v>0</v>
      </c>
      <c r="SXJ46" s="420">
        <f t="shared" si="253"/>
        <v>0</v>
      </c>
      <c r="SXK46" s="420">
        <f t="shared" si="253"/>
        <v>0</v>
      </c>
      <c r="SXL46" s="420">
        <f t="shared" si="253"/>
        <v>0</v>
      </c>
      <c r="SXM46" s="420">
        <f t="shared" si="253"/>
        <v>0</v>
      </c>
      <c r="SXN46" s="420">
        <f t="shared" si="253"/>
        <v>0</v>
      </c>
      <c r="SXO46" s="420">
        <f t="shared" si="253"/>
        <v>0</v>
      </c>
      <c r="SXP46" s="420">
        <f t="shared" si="253"/>
        <v>0</v>
      </c>
      <c r="SXQ46" s="420">
        <f t="shared" si="253"/>
        <v>0</v>
      </c>
      <c r="SXR46" s="420">
        <f t="shared" si="253"/>
        <v>0</v>
      </c>
      <c r="SXS46" s="420">
        <f t="shared" si="253"/>
        <v>0</v>
      </c>
      <c r="SXT46" s="420">
        <f t="shared" si="253"/>
        <v>0</v>
      </c>
      <c r="SXU46" s="420">
        <f t="shared" si="253"/>
        <v>0</v>
      </c>
      <c r="SXV46" s="420">
        <f t="shared" si="253"/>
        <v>0</v>
      </c>
      <c r="SXW46" s="420">
        <f t="shared" si="253"/>
        <v>0</v>
      </c>
      <c r="SXX46" s="420">
        <f t="shared" si="253"/>
        <v>0</v>
      </c>
      <c r="SXY46" s="420">
        <f t="shared" si="253"/>
        <v>0</v>
      </c>
      <c r="SXZ46" s="420">
        <f t="shared" si="253"/>
        <v>0</v>
      </c>
      <c r="SYA46" s="420">
        <f t="shared" si="253"/>
        <v>0</v>
      </c>
      <c r="SYB46" s="420">
        <f t="shared" si="253"/>
        <v>0</v>
      </c>
      <c r="SYC46" s="420">
        <f t="shared" si="253"/>
        <v>0</v>
      </c>
      <c r="SYD46" s="420">
        <f t="shared" si="253"/>
        <v>0</v>
      </c>
      <c r="SYE46" s="420">
        <f t="shared" si="253"/>
        <v>0</v>
      </c>
      <c r="SYF46" s="420">
        <f t="shared" si="253"/>
        <v>0</v>
      </c>
      <c r="SYG46" s="420">
        <f t="shared" si="253"/>
        <v>0</v>
      </c>
      <c r="SYH46" s="420">
        <f t="shared" si="253"/>
        <v>0</v>
      </c>
      <c r="SYI46" s="420">
        <f t="shared" si="253"/>
        <v>0</v>
      </c>
      <c r="SYJ46" s="420">
        <f t="shared" si="253"/>
        <v>0</v>
      </c>
      <c r="SYK46" s="420">
        <f t="shared" si="253"/>
        <v>0</v>
      </c>
      <c r="SYL46" s="420">
        <f t="shared" si="253"/>
        <v>0</v>
      </c>
      <c r="SYM46" s="420">
        <f t="shared" si="253"/>
        <v>0</v>
      </c>
      <c r="SYN46" s="420">
        <f t="shared" si="253"/>
        <v>0</v>
      </c>
      <c r="SYO46" s="420">
        <f t="shared" ref="SYO46:TAZ46" si="254">SYO45*0.8</f>
        <v>0</v>
      </c>
      <c r="SYP46" s="420">
        <f t="shared" si="254"/>
        <v>0</v>
      </c>
      <c r="SYQ46" s="420">
        <f t="shared" si="254"/>
        <v>0</v>
      </c>
      <c r="SYR46" s="420">
        <f t="shared" si="254"/>
        <v>0</v>
      </c>
      <c r="SYS46" s="420">
        <f t="shared" si="254"/>
        <v>0</v>
      </c>
      <c r="SYT46" s="420">
        <f t="shared" si="254"/>
        <v>0</v>
      </c>
      <c r="SYU46" s="420">
        <f t="shared" si="254"/>
        <v>0</v>
      </c>
      <c r="SYV46" s="420">
        <f t="shared" si="254"/>
        <v>0</v>
      </c>
      <c r="SYW46" s="420">
        <f t="shared" si="254"/>
        <v>0</v>
      </c>
      <c r="SYX46" s="420">
        <f t="shared" si="254"/>
        <v>0</v>
      </c>
      <c r="SYY46" s="420">
        <f t="shared" si="254"/>
        <v>0</v>
      </c>
      <c r="SYZ46" s="420">
        <f t="shared" si="254"/>
        <v>0</v>
      </c>
      <c r="SZA46" s="420">
        <f t="shared" si="254"/>
        <v>0</v>
      </c>
      <c r="SZB46" s="420">
        <f t="shared" si="254"/>
        <v>0</v>
      </c>
      <c r="SZC46" s="420">
        <f t="shared" si="254"/>
        <v>0</v>
      </c>
      <c r="SZD46" s="420">
        <f t="shared" si="254"/>
        <v>0</v>
      </c>
      <c r="SZE46" s="420">
        <f t="shared" si="254"/>
        <v>0</v>
      </c>
      <c r="SZF46" s="420">
        <f t="shared" si="254"/>
        <v>0</v>
      </c>
      <c r="SZG46" s="420">
        <f t="shared" si="254"/>
        <v>0</v>
      </c>
      <c r="SZH46" s="420">
        <f t="shared" si="254"/>
        <v>0</v>
      </c>
      <c r="SZI46" s="420">
        <f t="shared" si="254"/>
        <v>0</v>
      </c>
      <c r="SZJ46" s="420">
        <f t="shared" si="254"/>
        <v>0</v>
      </c>
      <c r="SZK46" s="420">
        <f t="shared" si="254"/>
        <v>0</v>
      </c>
      <c r="SZL46" s="420">
        <f t="shared" si="254"/>
        <v>0</v>
      </c>
      <c r="SZM46" s="420">
        <f t="shared" si="254"/>
        <v>0</v>
      </c>
      <c r="SZN46" s="420">
        <f t="shared" si="254"/>
        <v>0</v>
      </c>
      <c r="SZO46" s="420">
        <f t="shared" si="254"/>
        <v>0</v>
      </c>
      <c r="SZP46" s="420">
        <f t="shared" si="254"/>
        <v>0</v>
      </c>
      <c r="SZQ46" s="420">
        <f t="shared" si="254"/>
        <v>0</v>
      </c>
      <c r="SZR46" s="420">
        <f t="shared" si="254"/>
        <v>0</v>
      </c>
      <c r="SZS46" s="420">
        <f t="shared" si="254"/>
        <v>0</v>
      </c>
      <c r="SZT46" s="420">
        <f t="shared" si="254"/>
        <v>0</v>
      </c>
      <c r="SZU46" s="420">
        <f t="shared" si="254"/>
        <v>0</v>
      </c>
      <c r="SZV46" s="420">
        <f t="shared" si="254"/>
        <v>0</v>
      </c>
      <c r="SZW46" s="420">
        <f t="shared" si="254"/>
        <v>0</v>
      </c>
      <c r="SZX46" s="420">
        <f t="shared" si="254"/>
        <v>0</v>
      </c>
      <c r="SZY46" s="420">
        <f t="shared" si="254"/>
        <v>0</v>
      </c>
      <c r="SZZ46" s="420">
        <f t="shared" si="254"/>
        <v>0</v>
      </c>
      <c r="TAA46" s="420">
        <f t="shared" si="254"/>
        <v>0</v>
      </c>
      <c r="TAB46" s="420">
        <f t="shared" si="254"/>
        <v>0</v>
      </c>
      <c r="TAC46" s="420">
        <f t="shared" si="254"/>
        <v>0</v>
      </c>
      <c r="TAD46" s="420">
        <f t="shared" si="254"/>
        <v>0</v>
      </c>
      <c r="TAE46" s="420">
        <f t="shared" si="254"/>
        <v>0</v>
      </c>
      <c r="TAF46" s="420">
        <f t="shared" si="254"/>
        <v>0</v>
      </c>
      <c r="TAG46" s="420">
        <f t="shared" si="254"/>
        <v>0</v>
      </c>
      <c r="TAH46" s="420">
        <f t="shared" si="254"/>
        <v>0</v>
      </c>
      <c r="TAI46" s="420">
        <f t="shared" si="254"/>
        <v>0</v>
      </c>
      <c r="TAJ46" s="420">
        <f t="shared" si="254"/>
        <v>0</v>
      </c>
      <c r="TAK46" s="420">
        <f t="shared" si="254"/>
        <v>0</v>
      </c>
      <c r="TAL46" s="420">
        <f t="shared" si="254"/>
        <v>0</v>
      </c>
      <c r="TAM46" s="420">
        <f t="shared" si="254"/>
        <v>0</v>
      </c>
      <c r="TAN46" s="420">
        <f t="shared" si="254"/>
        <v>0</v>
      </c>
      <c r="TAO46" s="420">
        <f t="shared" si="254"/>
        <v>0</v>
      </c>
      <c r="TAP46" s="420">
        <f t="shared" si="254"/>
        <v>0</v>
      </c>
      <c r="TAQ46" s="420">
        <f t="shared" si="254"/>
        <v>0</v>
      </c>
      <c r="TAR46" s="420">
        <f t="shared" si="254"/>
        <v>0</v>
      </c>
      <c r="TAS46" s="420">
        <f t="shared" si="254"/>
        <v>0</v>
      </c>
      <c r="TAT46" s="420">
        <f t="shared" si="254"/>
        <v>0</v>
      </c>
      <c r="TAU46" s="420">
        <f t="shared" si="254"/>
        <v>0</v>
      </c>
      <c r="TAV46" s="420">
        <f t="shared" si="254"/>
        <v>0</v>
      </c>
      <c r="TAW46" s="420">
        <f t="shared" si="254"/>
        <v>0</v>
      </c>
      <c r="TAX46" s="420">
        <f t="shared" si="254"/>
        <v>0</v>
      </c>
      <c r="TAY46" s="420">
        <f t="shared" si="254"/>
        <v>0</v>
      </c>
      <c r="TAZ46" s="420">
        <f t="shared" si="254"/>
        <v>0</v>
      </c>
      <c r="TBA46" s="420">
        <f t="shared" ref="TBA46:TDL46" si="255">TBA45*0.8</f>
        <v>0</v>
      </c>
      <c r="TBB46" s="420">
        <f t="shared" si="255"/>
        <v>0</v>
      </c>
      <c r="TBC46" s="420">
        <f t="shared" si="255"/>
        <v>0</v>
      </c>
      <c r="TBD46" s="420">
        <f t="shared" si="255"/>
        <v>0</v>
      </c>
      <c r="TBE46" s="420">
        <f t="shared" si="255"/>
        <v>0</v>
      </c>
      <c r="TBF46" s="420">
        <f t="shared" si="255"/>
        <v>0</v>
      </c>
      <c r="TBG46" s="420">
        <f t="shared" si="255"/>
        <v>0</v>
      </c>
      <c r="TBH46" s="420">
        <f t="shared" si="255"/>
        <v>0</v>
      </c>
      <c r="TBI46" s="420">
        <f t="shared" si="255"/>
        <v>0</v>
      </c>
      <c r="TBJ46" s="420">
        <f t="shared" si="255"/>
        <v>0</v>
      </c>
      <c r="TBK46" s="420">
        <f t="shared" si="255"/>
        <v>0</v>
      </c>
      <c r="TBL46" s="420">
        <f t="shared" si="255"/>
        <v>0</v>
      </c>
      <c r="TBM46" s="420">
        <f t="shared" si="255"/>
        <v>0</v>
      </c>
      <c r="TBN46" s="420">
        <f t="shared" si="255"/>
        <v>0</v>
      </c>
      <c r="TBO46" s="420">
        <f t="shared" si="255"/>
        <v>0</v>
      </c>
      <c r="TBP46" s="420">
        <f t="shared" si="255"/>
        <v>0</v>
      </c>
      <c r="TBQ46" s="420">
        <f t="shared" si="255"/>
        <v>0</v>
      </c>
      <c r="TBR46" s="420">
        <f t="shared" si="255"/>
        <v>0</v>
      </c>
      <c r="TBS46" s="420">
        <f t="shared" si="255"/>
        <v>0</v>
      </c>
      <c r="TBT46" s="420">
        <f t="shared" si="255"/>
        <v>0</v>
      </c>
      <c r="TBU46" s="420">
        <f t="shared" si="255"/>
        <v>0</v>
      </c>
      <c r="TBV46" s="420">
        <f t="shared" si="255"/>
        <v>0</v>
      </c>
      <c r="TBW46" s="420">
        <f t="shared" si="255"/>
        <v>0</v>
      </c>
      <c r="TBX46" s="420">
        <f t="shared" si="255"/>
        <v>0</v>
      </c>
      <c r="TBY46" s="420">
        <f t="shared" si="255"/>
        <v>0</v>
      </c>
      <c r="TBZ46" s="420">
        <f t="shared" si="255"/>
        <v>0</v>
      </c>
      <c r="TCA46" s="420">
        <f t="shared" si="255"/>
        <v>0</v>
      </c>
      <c r="TCB46" s="420">
        <f t="shared" si="255"/>
        <v>0</v>
      </c>
      <c r="TCC46" s="420">
        <f t="shared" si="255"/>
        <v>0</v>
      </c>
      <c r="TCD46" s="420">
        <f t="shared" si="255"/>
        <v>0</v>
      </c>
      <c r="TCE46" s="420">
        <f t="shared" si="255"/>
        <v>0</v>
      </c>
      <c r="TCF46" s="420">
        <f t="shared" si="255"/>
        <v>0</v>
      </c>
      <c r="TCG46" s="420">
        <f t="shared" si="255"/>
        <v>0</v>
      </c>
      <c r="TCH46" s="420">
        <f t="shared" si="255"/>
        <v>0</v>
      </c>
      <c r="TCI46" s="420">
        <f t="shared" si="255"/>
        <v>0</v>
      </c>
      <c r="TCJ46" s="420">
        <f t="shared" si="255"/>
        <v>0</v>
      </c>
      <c r="TCK46" s="420">
        <f t="shared" si="255"/>
        <v>0</v>
      </c>
      <c r="TCL46" s="420">
        <f t="shared" si="255"/>
        <v>0</v>
      </c>
      <c r="TCM46" s="420">
        <f t="shared" si="255"/>
        <v>0</v>
      </c>
      <c r="TCN46" s="420">
        <f t="shared" si="255"/>
        <v>0</v>
      </c>
      <c r="TCO46" s="420">
        <f t="shared" si="255"/>
        <v>0</v>
      </c>
      <c r="TCP46" s="420">
        <f t="shared" si="255"/>
        <v>0</v>
      </c>
      <c r="TCQ46" s="420">
        <f t="shared" si="255"/>
        <v>0</v>
      </c>
      <c r="TCR46" s="420">
        <f t="shared" si="255"/>
        <v>0</v>
      </c>
      <c r="TCS46" s="420">
        <f t="shared" si="255"/>
        <v>0</v>
      </c>
      <c r="TCT46" s="420">
        <f t="shared" si="255"/>
        <v>0</v>
      </c>
      <c r="TCU46" s="420">
        <f t="shared" si="255"/>
        <v>0</v>
      </c>
      <c r="TCV46" s="420">
        <f t="shared" si="255"/>
        <v>0</v>
      </c>
      <c r="TCW46" s="420">
        <f t="shared" si="255"/>
        <v>0</v>
      </c>
      <c r="TCX46" s="420">
        <f t="shared" si="255"/>
        <v>0</v>
      </c>
      <c r="TCY46" s="420">
        <f t="shared" si="255"/>
        <v>0</v>
      </c>
      <c r="TCZ46" s="420">
        <f t="shared" si="255"/>
        <v>0</v>
      </c>
      <c r="TDA46" s="420">
        <f t="shared" si="255"/>
        <v>0</v>
      </c>
      <c r="TDB46" s="420">
        <f t="shared" si="255"/>
        <v>0</v>
      </c>
      <c r="TDC46" s="420">
        <f t="shared" si="255"/>
        <v>0</v>
      </c>
      <c r="TDD46" s="420">
        <f t="shared" si="255"/>
        <v>0</v>
      </c>
      <c r="TDE46" s="420">
        <f t="shared" si="255"/>
        <v>0</v>
      </c>
      <c r="TDF46" s="420">
        <f t="shared" si="255"/>
        <v>0</v>
      </c>
      <c r="TDG46" s="420">
        <f t="shared" si="255"/>
        <v>0</v>
      </c>
      <c r="TDH46" s="420">
        <f t="shared" si="255"/>
        <v>0</v>
      </c>
      <c r="TDI46" s="420">
        <f t="shared" si="255"/>
        <v>0</v>
      </c>
      <c r="TDJ46" s="420">
        <f t="shared" si="255"/>
        <v>0</v>
      </c>
      <c r="TDK46" s="420">
        <f t="shared" si="255"/>
        <v>0</v>
      </c>
      <c r="TDL46" s="420">
        <f t="shared" si="255"/>
        <v>0</v>
      </c>
      <c r="TDM46" s="420">
        <f t="shared" ref="TDM46:TFX46" si="256">TDM45*0.8</f>
        <v>0</v>
      </c>
      <c r="TDN46" s="420">
        <f t="shared" si="256"/>
        <v>0</v>
      </c>
      <c r="TDO46" s="420">
        <f t="shared" si="256"/>
        <v>0</v>
      </c>
      <c r="TDP46" s="420">
        <f t="shared" si="256"/>
        <v>0</v>
      </c>
      <c r="TDQ46" s="420">
        <f t="shared" si="256"/>
        <v>0</v>
      </c>
      <c r="TDR46" s="420">
        <f t="shared" si="256"/>
        <v>0</v>
      </c>
      <c r="TDS46" s="420">
        <f t="shared" si="256"/>
        <v>0</v>
      </c>
      <c r="TDT46" s="420">
        <f t="shared" si="256"/>
        <v>0</v>
      </c>
      <c r="TDU46" s="420">
        <f t="shared" si="256"/>
        <v>0</v>
      </c>
      <c r="TDV46" s="420">
        <f t="shared" si="256"/>
        <v>0</v>
      </c>
      <c r="TDW46" s="420">
        <f t="shared" si="256"/>
        <v>0</v>
      </c>
      <c r="TDX46" s="420">
        <f t="shared" si="256"/>
        <v>0</v>
      </c>
      <c r="TDY46" s="420">
        <f t="shared" si="256"/>
        <v>0</v>
      </c>
      <c r="TDZ46" s="420">
        <f t="shared" si="256"/>
        <v>0</v>
      </c>
      <c r="TEA46" s="420">
        <f t="shared" si="256"/>
        <v>0</v>
      </c>
      <c r="TEB46" s="420">
        <f t="shared" si="256"/>
        <v>0</v>
      </c>
      <c r="TEC46" s="420">
        <f t="shared" si="256"/>
        <v>0</v>
      </c>
      <c r="TED46" s="420">
        <f t="shared" si="256"/>
        <v>0</v>
      </c>
      <c r="TEE46" s="420">
        <f t="shared" si="256"/>
        <v>0</v>
      </c>
      <c r="TEF46" s="420">
        <f t="shared" si="256"/>
        <v>0</v>
      </c>
      <c r="TEG46" s="420">
        <f t="shared" si="256"/>
        <v>0</v>
      </c>
      <c r="TEH46" s="420">
        <f t="shared" si="256"/>
        <v>0</v>
      </c>
      <c r="TEI46" s="420">
        <f t="shared" si="256"/>
        <v>0</v>
      </c>
      <c r="TEJ46" s="420">
        <f t="shared" si="256"/>
        <v>0</v>
      </c>
      <c r="TEK46" s="420">
        <f t="shared" si="256"/>
        <v>0</v>
      </c>
      <c r="TEL46" s="420">
        <f t="shared" si="256"/>
        <v>0</v>
      </c>
      <c r="TEM46" s="420">
        <f t="shared" si="256"/>
        <v>0</v>
      </c>
      <c r="TEN46" s="420">
        <f t="shared" si="256"/>
        <v>0</v>
      </c>
      <c r="TEO46" s="420">
        <f t="shared" si="256"/>
        <v>0</v>
      </c>
      <c r="TEP46" s="420">
        <f t="shared" si="256"/>
        <v>0</v>
      </c>
      <c r="TEQ46" s="420">
        <f t="shared" si="256"/>
        <v>0</v>
      </c>
      <c r="TER46" s="420">
        <f t="shared" si="256"/>
        <v>0</v>
      </c>
      <c r="TES46" s="420">
        <f t="shared" si="256"/>
        <v>0</v>
      </c>
      <c r="TET46" s="420">
        <f t="shared" si="256"/>
        <v>0</v>
      </c>
      <c r="TEU46" s="420">
        <f t="shared" si="256"/>
        <v>0</v>
      </c>
      <c r="TEV46" s="420">
        <f t="shared" si="256"/>
        <v>0</v>
      </c>
      <c r="TEW46" s="420">
        <f t="shared" si="256"/>
        <v>0</v>
      </c>
      <c r="TEX46" s="420">
        <f t="shared" si="256"/>
        <v>0</v>
      </c>
      <c r="TEY46" s="420">
        <f t="shared" si="256"/>
        <v>0</v>
      </c>
      <c r="TEZ46" s="420">
        <f t="shared" si="256"/>
        <v>0</v>
      </c>
      <c r="TFA46" s="420">
        <f t="shared" si="256"/>
        <v>0</v>
      </c>
      <c r="TFB46" s="420">
        <f t="shared" si="256"/>
        <v>0</v>
      </c>
      <c r="TFC46" s="420">
        <f t="shared" si="256"/>
        <v>0</v>
      </c>
      <c r="TFD46" s="420">
        <f t="shared" si="256"/>
        <v>0</v>
      </c>
      <c r="TFE46" s="420">
        <f t="shared" si="256"/>
        <v>0</v>
      </c>
      <c r="TFF46" s="420">
        <f t="shared" si="256"/>
        <v>0</v>
      </c>
      <c r="TFG46" s="420">
        <f t="shared" si="256"/>
        <v>0</v>
      </c>
      <c r="TFH46" s="420">
        <f t="shared" si="256"/>
        <v>0</v>
      </c>
      <c r="TFI46" s="420">
        <f t="shared" si="256"/>
        <v>0</v>
      </c>
      <c r="TFJ46" s="420">
        <f t="shared" si="256"/>
        <v>0</v>
      </c>
      <c r="TFK46" s="420">
        <f t="shared" si="256"/>
        <v>0</v>
      </c>
      <c r="TFL46" s="420">
        <f t="shared" si="256"/>
        <v>0</v>
      </c>
      <c r="TFM46" s="420">
        <f t="shared" si="256"/>
        <v>0</v>
      </c>
      <c r="TFN46" s="420">
        <f t="shared" si="256"/>
        <v>0</v>
      </c>
      <c r="TFO46" s="420">
        <f t="shared" si="256"/>
        <v>0</v>
      </c>
      <c r="TFP46" s="420">
        <f t="shared" si="256"/>
        <v>0</v>
      </c>
      <c r="TFQ46" s="420">
        <f t="shared" si="256"/>
        <v>0</v>
      </c>
      <c r="TFR46" s="420">
        <f t="shared" si="256"/>
        <v>0</v>
      </c>
      <c r="TFS46" s="420">
        <f t="shared" si="256"/>
        <v>0</v>
      </c>
      <c r="TFT46" s="420">
        <f t="shared" si="256"/>
        <v>0</v>
      </c>
      <c r="TFU46" s="420">
        <f t="shared" si="256"/>
        <v>0</v>
      </c>
      <c r="TFV46" s="420">
        <f t="shared" si="256"/>
        <v>0</v>
      </c>
      <c r="TFW46" s="420">
        <f t="shared" si="256"/>
        <v>0</v>
      </c>
      <c r="TFX46" s="420">
        <f t="shared" si="256"/>
        <v>0</v>
      </c>
      <c r="TFY46" s="420">
        <f t="shared" ref="TFY46:TIJ46" si="257">TFY45*0.8</f>
        <v>0</v>
      </c>
      <c r="TFZ46" s="420">
        <f t="shared" si="257"/>
        <v>0</v>
      </c>
      <c r="TGA46" s="420">
        <f t="shared" si="257"/>
        <v>0</v>
      </c>
      <c r="TGB46" s="420">
        <f t="shared" si="257"/>
        <v>0</v>
      </c>
      <c r="TGC46" s="420">
        <f t="shared" si="257"/>
        <v>0</v>
      </c>
      <c r="TGD46" s="420">
        <f t="shared" si="257"/>
        <v>0</v>
      </c>
      <c r="TGE46" s="420">
        <f t="shared" si="257"/>
        <v>0</v>
      </c>
      <c r="TGF46" s="420">
        <f t="shared" si="257"/>
        <v>0</v>
      </c>
      <c r="TGG46" s="420">
        <f t="shared" si="257"/>
        <v>0</v>
      </c>
      <c r="TGH46" s="420">
        <f t="shared" si="257"/>
        <v>0</v>
      </c>
      <c r="TGI46" s="420">
        <f t="shared" si="257"/>
        <v>0</v>
      </c>
      <c r="TGJ46" s="420">
        <f t="shared" si="257"/>
        <v>0</v>
      </c>
      <c r="TGK46" s="420">
        <f t="shared" si="257"/>
        <v>0</v>
      </c>
      <c r="TGL46" s="420">
        <f t="shared" si="257"/>
        <v>0</v>
      </c>
      <c r="TGM46" s="420">
        <f t="shared" si="257"/>
        <v>0</v>
      </c>
      <c r="TGN46" s="420">
        <f t="shared" si="257"/>
        <v>0</v>
      </c>
      <c r="TGO46" s="420">
        <f t="shared" si="257"/>
        <v>0</v>
      </c>
      <c r="TGP46" s="420">
        <f t="shared" si="257"/>
        <v>0</v>
      </c>
      <c r="TGQ46" s="420">
        <f t="shared" si="257"/>
        <v>0</v>
      </c>
      <c r="TGR46" s="420">
        <f t="shared" si="257"/>
        <v>0</v>
      </c>
      <c r="TGS46" s="420">
        <f t="shared" si="257"/>
        <v>0</v>
      </c>
      <c r="TGT46" s="420">
        <f t="shared" si="257"/>
        <v>0</v>
      </c>
      <c r="TGU46" s="420">
        <f t="shared" si="257"/>
        <v>0</v>
      </c>
      <c r="TGV46" s="420">
        <f t="shared" si="257"/>
        <v>0</v>
      </c>
      <c r="TGW46" s="420">
        <f t="shared" si="257"/>
        <v>0</v>
      </c>
      <c r="TGX46" s="420">
        <f t="shared" si="257"/>
        <v>0</v>
      </c>
      <c r="TGY46" s="420">
        <f t="shared" si="257"/>
        <v>0</v>
      </c>
      <c r="TGZ46" s="420">
        <f t="shared" si="257"/>
        <v>0</v>
      </c>
      <c r="THA46" s="420">
        <f t="shared" si="257"/>
        <v>0</v>
      </c>
      <c r="THB46" s="420">
        <f t="shared" si="257"/>
        <v>0</v>
      </c>
      <c r="THC46" s="420">
        <f t="shared" si="257"/>
        <v>0</v>
      </c>
      <c r="THD46" s="420">
        <f t="shared" si="257"/>
        <v>0</v>
      </c>
      <c r="THE46" s="420">
        <f t="shared" si="257"/>
        <v>0</v>
      </c>
      <c r="THF46" s="420">
        <f t="shared" si="257"/>
        <v>0</v>
      </c>
      <c r="THG46" s="420">
        <f t="shared" si="257"/>
        <v>0</v>
      </c>
      <c r="THH46" s="420">
        <f t="shared" si="257"/>
        <v>0</v>
      </c>
      <c r="THI46" s="420">
        <f t="shared" si="257"/>
        <v>0</v>
      </c>
      <c r="THJ46" s="420">
        <f t="shared" si="257"/>
        <v>0</v>
      </c>
      <c r="THK46" s="420">
        <f t="shared" si="257"/>
        <v>0</v>
      </c>
      <c r="THL46" s="420">
        <f t="shared" si="257"/>
        <v>0</v>
      </c>
      <c r="THM46" s="420">
        <f t="shared" si="257"/>
        <v>0</v>
      </c>
      <c r="THN46" s="420">
        <f t="shared" si="257"/>
        <v>0</v>
      </c>
      <c r="THO46" s="420">
        <f t="shared" si="257"/>
        <v>0</v>
      </c>
      <c r="THP46" s="420">
        <f t="shared" si="257"/>
        <v>0</v>
      </c>
      <c r="THQ46" s="420">
        <f t="shared" si="257"/>
        <v>0</v>
      </c>
      <c r="THR46" s="420">
        <f t="shared" si="257"/>
        <v>0</v>
      </c>
      <c r="THS46" s="420">
        <f t="shared" si="257"/>
        <v>0</v>
      </c>
      <c r="THT46" s="420">
        <f t="shared" si="257"/>
        <v>0</v>
      </c>
      <c r="THU46" s="420">
        <f t="shared" si="257"/>
        <v>0</v>
      </c>
      <c r="THV46" s="420">
        <f t="shared" si="257"/>
        <v>0</v>
      </c>
      <c r="THW46" s="420">
        <f t="shared" si="257"/>
        <v>0</v>
      </c>
      <c r="THX46" s="420">
        <f t="shared" si="257"/>
        <v>0</v>
      </c>
      <c r="THY46" s="420">
        <f t="shared" si="257"/>
        <v>0</v>
      </c>
      <c r="THZ46" s="420">
        <f t="shared" si="257"/>
        <v>0</v>
      </c>
      <c r="TIA46" s="420">
        <f t="shared" si="257"/>
        <v>0</v>
      </c>
      <c r="TIB46" s="420">
        <f t="shared" si="257"/>
        <v>0</v>
      </c>
      <c r="TIC46" s="420">
        <f t="shared" si="257"/>
        <v>0</v>
      </c>
      <c r="TID46" s="420">
        <f t="shared" si="257"/>
        <v>0</v>
      </c>
      <c r="TIE46" s="420">
        <f t="shared" si="257"/>
        <v>0</v>
      </c>
      <c r="TIF46" s="420">
        <f t="shared" si="257"/>
        <v>0</v>
      </c>
      <c r="TIG46" s="420">
        <f t="shared" si="257"/>
        <v>0</v>
      </c>
      <c r="TIH46" s="420">
        <f t="shared" si="257"/>
        <v>0</v>
      </c>
      <c r="TII46" s="420">
        <f t="shared" si="257"/>
        <v>0</v>
      </c>
      <c r="TIJ46" s="420">
        <f t="shared" si="257"/>
        <v>0</v>
      </c>
      <c r="TIK46" s="420">
        <f t="shared" ref="TIK46:TKV46" si="258">TIK45*0.8</f>
        <v>0</v>
      </c>
      <c r="TIL46" s="420">
        <f t="shared" si="258"/>
        <v>0</v>
      </c>
      <c r="TIM46" s="420">
        <f t="shared" si="258"/>
        <v>0</v>
      </c>
      <c r="TIN46" s="420">
        <f t="shared" si="258"/>
        <v>0</v>
      </c>
      <c r="TIO46" s="420">
        <f t="shared" si="258"/>
        <v>0</v>
      </c>
      <c r="TIP46" s="420">
        <f t="shared" si="258"/>
        <v>0</v>
      </c>
      <c r="TIQ46" s="420">
        <f t="shared" si="258"/>
        <v>0</v>
      </c>
      <c r="TIR46" s="420">
        <f t="shared" si="258"/>
        <v>0</v>
      </c>
      <c r="TIS46" s="420">
        <f t="shared" si="258"/>
        <v>0</v>
      </c>
      <c r="TIT46" s="420">
        <f t="shared" si="258"/>
        <v>0</v>
      </c>
      <c r="TIU46" s="420">
        <f t="shared" si="258"/>
        <v>0</v>
      </c>
      <c r="TIV46" s="420">
        <f t="shared" si="258"/>
        <v>0</v>
      </c>
      <c r="TIW46" s="420">
        <f t="shared" si="258"/>
        <v>0</v>
      </c>
      <c r="TIX46" s="420">
        <f t="shared" si="258"/>
        <v>0</v>
      </c>
      <c r="TIY46" s="420">
        <f t="shared" si="258"/>
        <v>0</v>
      </c>
      <c r="TIZ46" s="420">
        <f t="shared" si="258"/>
        <v>0</v>
      </c>
      <c r="TJA46" s="420">
        <f t="shared" si="258"/>
        <v>0</v>
      </c>
      <c r="TJB46" s="420">
        <f t="shared" si="258"/>
        <v>0</v>
      </c>
      <c r="TJC46" s="420">
        <f t="shared" si="258"/>
        <v>0</v>
      </c>
      <c r="TJD46" s="420">
        <f t="shared" si="258"/>
        <v>0</v>
      </c>
      <c r="TJE46" s="420">
        <f t="shared" si="258"/>
        <v>0</v>
      </c>
      <c r="TJF46" s="420">
        <f t="shared" si="258"/>
        <v>0</v>
      </c>
      <c r="TJG46" s="420">
        <f t="shared" si="258"/>
        <v>0</v>
      </c>
      <c r="TJH46" s="420">
        <f t="shared" si="258"/>
        <v>0</v>
      </c>
      <c r="TJI46" s="420">
        <f t="shared" si="258"/>
        <v>0</v>
      </c>
      <c r="TJJ46" s="420">
        <f t="shared" si="258"/>
        <v>0</v>
      </c>
      <c r="TJK46" s="420">
        <f t="shared" si="258"/>
        <v>0</v>
      </c>
      <c r="TJL46" s="420">
        <f t="shared" si="258"/>
        <v>0</v>
      </c>
      <c r="TJM46" s="420">
        <f t="shared" si="258"/>
        <v>0</v>
      </c>
      <c r="TJN46" s="420">
        <f t="shared" si="258"/>
        <v>0</v>
      </c>
      <c r="TJO46" s="420">
        <f t="shared" si="258"/>
        <v>0</v>
      </c>
      <c r="TJP46" s="420">
        <f t="shared" si="258"/>
        <v>0</v>
      </c>
      <c r="TJQ46" s="420">
        <f t="shared" si="258"/>
        <v>0</v>
      </c>
      <c r="TJR46" s="420">
        <f t="shared" si="258"/>
        <v>0</v>
      </c>
      <c r="TJS46" s="420">
        <f t="shared" si="258"/>
        <v>0</v>
      </c>
      <c r="TJT46" s="420">
        <f t="shared" si="258"/>
        <v>0</v>
      </c>
      <c r="TJU46" s="420">
        <f t="shared" si="258"/>
        <v>0</v>
      </c>
      <c r="TJV46" s="420">
        <f t="shared" si="258"/>
        <v>0</v>
      </c>
      <c r="TJW46" s="420">
        <f t="shared" si="258"/>
        <v>0</v>
      </c>
      <c r="TJX46" s="420">
        <f t="shared" si="258"/>
        <v>0</v>
      </c>
      <c r="TJY46" s="420">
        <f t="shared" si="258"/>
        <v>0</v>
      </c>
      <c r="TJZ46" s="420">
        <f t="shared" si="258"/>
        <v>0</v>
      </c>
      <c r="TKA46" s="420">
        <f t="shared" si="258"/>
        <v>0</v>
      </c>
      <c r="TKB46" s="420">
        <f t="shared" si="258"/>
        <v>0</v>
      </c>
      <c r="TKC46" s="420">
        <f t="shared" si="258"/>
        <v>0</v>
      </c>
      <c r="TKD46" s="420">
        <f t="shared" si="258"/>
        <v>0</v>
      </c>
      <c r="TKE46" s="420">
        <f t="shared" si="258"/>
        <v>0</v>
      </c>
      <c r="TKF46" s="420">
        <f t="shared" si="258"/>
        <v>0</v>
      </c>
      <c r="TKG46" s="420">
        <f t="shared" si="258"/>
        <v>0</v>
      </c>
      <c r="TKH46" s="420">
        <f t="shared" si="258"/>
        <v>0</v>
      </c>
      <c r="TKI46" s="420">
        <f t="shared" si="258"/>
        <v>0</v>
      </c>
      <c r="TKJ46" s="420">
        <f t="shared" si="258"/>
        <v>0</v>
      </c>
      <c r="TKK46" s="420">
        <f t="shared" si="258"/>
        <v>0</v>
      </c>
      <c r="TKL46" s="420">
        <f t="shared" si="258"/>
        <v>0</v>
      </c>
      <c r="TKM46" s="420">
        <f t="shared" si="258"/>
        <v>0</v>
      </c>
      <c r="TKN46" s="420">
        <f t="shared" si="258"/>
        <v>0</v>
      </c>
      <c r="TKO46" s="420">
        <f t="shared" si="258"/>
        <v>0</v>
      </c>
      <c r="TKP46" s="420">
        <f t="shared" si="258"/>
        <v>0</v>
      </c>
      <c r="TKQ46" s="420">
        <f t="shared" si="258"/>
        <v>0</v>
      </c>
      <c r="TKR46" s="420">
        <f t="shared" si="258"/>
        <v>0</v>
      </c>
      <c r="TKS46" s="420">
        <f t="shared" si="258"/>
        <v>0</v>
      </c>
      <c r="TKT46" s="420">
        <f t="shared" si="258"/>
        <v>0</v>
      </c>
      <c r="TKU46" s="420">
        <f t="shared" si="258"/>
        <v>0</v>
      </c>
      <c r="TKV46" s="420">
        <f t="shared" si="258"/>
        <v>0</v>
      </c>
      <c r="TKW46" s="420">
        <f t="shared" ref="TKW46:TNH46" si="259">TKW45*0.8</f>
        <v>0</v>
      </c>
      <c r="TKX46" s="420">
        <f t="shared" si="259"/>
        <v>0</v>
      </c>
      <c r="TKY46" s="420">
        <f t="shared" si="259"/>
        <v>0</v>
      </c>
      <c r="TKZ46" s="420">
        <f t="shared" si="259"/>
        <v>0</v>
      </c>
      <c r="TLA46" s="420">
        <f t="shared" si="259"/>
        <v>0</v>
      </c>
      <c r="TLB46" s="420">
        <f t="shared" si="259"/>
        <v>0</v>
      </c>
      <c r="TLC46" s="420">
        <f t="shared" si="259"/>
        <v>0</v>
      </c>
      <c r="TLD46" s="420">
        <f t="shared" si="259"/>
        <v>0</v>
      </c>
      <c r="TLE46" s="420">
        <f t="shared" si="259"/>
        <v>0</v>
      </c>
      <c r="TLF46" s="420">
        <f t="shared" si="259"/>
        <v>0</v>
      </c>
      <c r="TLG46" s="420">
        <f t="shared" si="259"/>
        <v>0</v>
      </c>
      <c r="TLH46" s="420">
        <f t="shared" si="259"/>
        <v>0</v>
      </c>
      <c r="TLI46" s="420">
        <f t="shared" si="259"/>
        <v>0</v>
      </c>
      <c r="TLJ46" s="420">
        <f t="shared" si="259"/>
        <v>0</v>
      </c>
      <c r="TLK46" s="420">
        <f t="shared" si="259"/>
        <v>0</v>
      </c>
      <c r="TLL46" s="420">
        <f t="shared" si="259"/>
        <v>0</v>
      </c>
      <c r="TLM46" s="420">
        <f t="shared" si="259"/>
        <v>0</v>
      </c>
      <c r="TLN46" s="420">
        <f t="shared" si="259"/>
        <v>0</v>
      </c>
      <c r="TLO46" s="420">
        <f t="shared" si="259"/>
        <v>0</v>
      </c>
      <c r="TLP46" s="420">
        <f t="shared" si="259"/>
        <v>0</v>
      </c>
      <c r="TLQ46" s="420">
        <f t="shared" si="259"/>
        <v>0</v>
      </c>
      <c r="TLR46" s="420">
        <f t="shared" si="259"/>
        <v>0</v>
      </c>
      <c r="TLS46" s="420">
        <f t="shared" si="259"/>
        <v>0</v>
      </c>
      <c r="TLT46" s="420">
        <f t="shared" si="259"/>
        <v>0</v>
      </c>
      <c r="TLU46" s="420">
        <f t="shared" si="259"/>
        <v>0</v>
      </c>
      <c r="TLV46" s="420">
        <f t="shared" si="259"/>
        <v>0</v>
      </c>
      <c r="TLW46" s="420">
        <f t="shared" si="259"/>
        <v>0</v>
      </c>
      <c r="TLX46" s="420">
        <f t="shared" si="259"/>
        <v>0</v>
      </c>
      <c r="TLY46" s="420">
        <f t="shared" si="259"/>
        <v>0</v>
      </c>
      <c r="TLZ46" s="420">
        <f t="shared" si="259"/>
        <v>0</v>
      </c>
      <c r="TMA46" s="420">
        <f t="shared" si="259"/>
        <v>0</v>
      </c>
      <c r="TMB46" s="420">
        <f t="shared" si="259"/>
        <v>0</v>
      </c>
      <c r="TMC46" s="420">
        <f t="shared" si="259"/>
        <v>0</v>
      </c>
      <c r="TMD46" s="420">
        <f t="shared" si="259"/>
        <v>0</v>
      </c>
      <c r="TME46" s="420">
        <f t="shared" si="259"/>
        <v>0</v>
      </c>
      <c r="TMF46" s="420">
        <f t="shared" si="259"/>
        <v>0</v>
      </c>
      <c r="TMG46" s="420">
        <f t="shared" si="259"/>
        <v>0</v>
      </c>
      <c r="TMH46" s="420">
        <f t="shared" si="259"/>
        <v>0</v>
      </c>
      <c r="TMI46" s="420">
        <f t="shared" si="259"/>
        <v>0</v>
      </c>
      <c r="TMJ46" s="420">
        <f t="shared" si="259"/>
        <v>0</v>
      </c>
      <c r="TMK46" s="420">
        <f t="shared" si="259"/>
        <v>0</v>
      </c>
      <c r="TML46" s="420">
        <f t="shared" si="259"/>
        <v>0</v>
      </c>
      <c r="TMM46" s="420">
        <f t="shared" si="259"/>
        <v>0</v>
      </c>
      <c r="TMN46" s="420">
        <f t="shared" si="259"/>
        <v>0</v>
      </c>
      <c r="TMO46" s="420">
        <f t="shared" si="259"/>
        <v>0</v>
      </c>
      <c r="TMP46" s="420">
        <f t="shared" si="259"/>
        <v>0</v>
      </c>
      <c r="TMQ46" s="420">
        <f t="shared" si="259"/>
        <v>0</v>
      </c>
      <c r="TMR46" s="420">
        <f t="shared" si="259"/>
        <v>0</v>
      </c>
      <c r="TMS46" s="420">
        <f t="shared" si="259"/>
        <v>0</v>
      </c>
      <c r="TMT46" s="420">
        <f t="shared" si="259"/>
        <v>0</v>
      </c>
      <c r="TMU46" s="420">
        <f t="shared" si="259"/>
        <v>0</v>
      </c>
      <c r="TMV46" s="420">
        <f t="shared" si="259"/>
        <v>0</v>
      </c>
      <c r="TMW46" s="420">
        <f t="shared" si="259"/>
        <v>0</v>
      </c>
      <c r="TMX46" s="420">
        <f t="shared" si="259"/>
        <v>0</v>
      </c>
      <c r="TMY46" s="420">
        <f t="shared" si="259"/>
        <v>0</v>
      </c>
      <c r="TMZ46" s="420">
        <f t="shared" si="259"/>
        <v>0</v>
      </c>
      <c r="TNA46" s="420">
        <f t="shared" si="259"/>
        <v>0</v>
      </c>
      <c r="TNB46" s="420">
        <f t="shared" si="259"/>
        <v>0</v>
      </c>
      <c r="TNC46" s="420">
        <f t="shared" si="259"/>
        <v>0</v>
      </c>
      <c r="TND46" s="420">
        <f t="shared" si="259"/>
        <v>0</v>
      </c>
      <c r="TNE46" s="420">
        <f t="shared" si="259"/>
        <v>0</v>
      </c>
      <c r="TNF46" s="420">
        <f t="shared" si="259"/>
        <v>0</v>
      </c>
      <c r="TNG46" s="420">
        <f t="shared" si="259"/>
        <v>0</v>
      </c>
      <c r="TNH46" s="420">
        <f t="shared" si="259"/>
        <v>0</v>
      </c>
      <c r="TNI46" s="420">
        <f t="shared" ref="TNI46:TPT46" si="260">TNI45*0.8</f>
        <v>0</v>
      </c>
      <c r="TNJ46" s="420">
        <f t="shared" si="260"/>
        <v>0</v>
      </c>
      <c r="TNK46" s="420">
        <f t="shared" si="260"/>
        <v>0</v>
      </c>
      <c r="TNL46" s="420">
        <f t="shared" si="260"/>
        <v>0</v>
      </c>
      <c r="TNM46" s="420">
        <f t="shared" si="260"/>
        <v>0</v>
      </c>
      <c r="TNN46" s="420">
        <f t="shared" si="260"/>
        <v>0</v>
      </c>
      <c r="TNO46" s="420">
        <f t="shared" si="260"/>
        <v>0</v>
      </c>
      <c r="TNP46" s="420">
        <f t="shared" si="260"/>
        <v>0</v>
      </c>
      <c r="TNQ46" s="420">
        <f t="shared" si="260"/>
        <v>0</v>
      </c>
      <c r="TNR46" s="420">
        <f t="shared" si="260"/>
        <v>0</v>
      </c>
      <c r="TNS46" s="420">
        <f t="shared" si="260"/>
        <v>0</v>
      </c>
      <c r="TNT46" s="420">
        <f t="shared" si="260"/>
        <v>0</v>
      </c>
      <c r="TNU46" s="420">
        <f t="shared" si="260"/>
        <v>0</v>
      </c>
      <c r="TNV46" s="420">
        <f t="shared" si="260"/>
        <v>0</v>
      </c>
      <c r="TNW46" s="420">
        <f t="shared" si="260"/>
        <v>0</v>
      </c>
      <c r="TNX46" s="420">
        <f t="shared" si="260"/>
        <v>0</v>
      </c>
      <c r="TNY46" s="420">
        <f t="shared" si="260"/>
        <v>0</v>
      </c>
      <c r="TNZ46" s="420">
        <f t="shared" si="260"/>
        <v>0</v>
      </c>
      <c r="TOA46" s="420">
        <f t="shared" si="260"/>
        <v>0</v>
      </c>
      <c r="TOB46" s="420">
        <f t="shared" si="260"/>
        <v>0</v>
      </c>
      <c r="TOC46" s="420">
        <f t="shared" si="260"/>
        <v>0</v>
      </c>
      <c r="TOD46" s="420">
        <f t="shared" si="260"/>
        <v>0</v>
      </c>
      <c r="TOE46" s="420">
        <f t="shared" si="260"/>
        <v>0</v>
      </c>
      <c r="TOF46" s="420">
        <f t="shared" si="260"/>
        <v>0</v>
      </c>
      <c r="TOG46" s="420">
        <f t="shared" si="260"/>
        <v>0</v>
      </c>
      <c r="TOH46" s="420">
        <f t="shared" si="260"/>
        <v>0</v>
      </c>
      <c r="TOI46" s="420">
        <f t="shared" si="260"/>
        <v>0</v>
      </c>
      <c r="TOJ46" s="420">
        <f t="shared" si="260"/>
        <v>0</v>
      </c>
      <c r="TOK46" s="420">
        <f t="shared" si="260"/>
        <v>0</v>
      </c>
      <c r="TOL46" s="420">
        <f t="shared" si="260"/>
        <v>0</v>
      </c>
      <c r="TOM46" s="420">
        <f t="shared" si="260"/>
        <v>0</v>
      </c>
      <c r="TON46" s="420">
        <f t="shared" si="260"/>
        <v>0</v>
      </c>
      <c r="TOO46" s="420">
        <f t="shared" si="260"/>
        <v>0</v>
      </c>
      <c r="TOP46" s="420">
        <f t="shared" si="260"/>
        <v>0</v>
      </c>
      <c r="TOQ46" s="420">
        <f t="shared" si="260"/>
        <v>0</v>
      </c>
      <c r="TOR46" s="420">
        <f t="shared" si="260"/>
        <v>0</v>
      </c>
      <c r="TOS46" s="420">
        <f t="shared" si="260"/>
        <v>0</v>
      </c>
      <c r="TOT46" s="420">
        <f t="shared" si="260"/>
        <v>0</v>
      </c>
      <c r="TOU46" s="420">
        <f t="shared" si="260"/>
        <v>0</v>
      </c>
      <c r="TOV46" s="420">
        <f t="shared" si="260"/>
        <v>0</v>
      </c>
      <c r="TOW46" s="420">
        <f t="shared" si="260"/>
        <v>0</v>
      </c>
      <c r="TOX46" s="420">
        <f t="shared" si="260"/>
        <v>0</v>
      </c>
      <c r="TOY46" s="420">
        <f t="shared" si="260"/>
        <v>0</v>
      </c>
      <c r="TOZ46" s="420">
        <f t="shared" si="260"/>
        <v>0</v>
      </c>
      <c r="TPA46" s="420">
        <f t="shared" si="260"/>
        <v>0</v>
      </c>
      <c r="TPB46" s="420">
        <f t="shared" si="260"/>
        <v>0</v>
      </c>
      <c r="TPC46" s="420">
        <f t="shared" si="260"/>
        <v>0</v>
      </c>
      <c r="TPD46" s="420">
        <f t="shared" si="260"/>
        <v>0</v>
      </c>
      <c r="TPE46" s="420">
        <f t="shared" si="260"/>
        <v>0</v>
      </c>
      <c r="TPF46" s="420">
        <f t="shared" si="260"/>
        <v>0</v>
      </c>
      <c r="TPG46" s="420">
        <f t="shared" si="260"/>
        <v>0</v>
      </c>
      <c r="TPH46" s="420">
        <f t="shared" si="260"/>
        <v>0</v>
      </c>
      <c r="TPI46" s="420">
        <f t="shared" si="260"/>
        <v>0</v>
      </c>
      <c r="TPJ46" s="420">
        <f t="shared" si="260"/>
        <v>0</v>
      </c>
      <c r="TPK46" s="420">
        <f t="shared" si="260"/>
        <v>0</v>
      </c>
      <c r="TPL46" s="420">
        <f t="shared" si="260"/>
        <v>0</v>
      </c>
      <c r="TPM46" s="420">
        <f t="shared" si="260"/>
        <v>0</v>
      </c>
      <c r="TPN46" s="420">
        <f t="shared" si="260"/>
        <v>0</v>
      </c>
      <c r="TPO46" s="420">
        <f t="shared" si="260"/>
        <v>0</v>
      </c>
      <c r="TPP46" s="420">
        <f t="shared" si="260"/>
        <v>0</v>
      </c>
      <c r="TPQ46" s="420">
        <f t="shared" si="260"/>
        <v>0</v>
      </c>
      <c r="TPR46" s="420">
        <f t="shared" si="260"/>
        <v>0</v>
      </c>
      <c r="TPS46" s="420">
        <f t="shared" si="260"/>
        <v>0</v>
      </c>
      <c r="TPT46" s="420">
        <f t="shared" si="260"/>
        <v>0</v>
      </c>
      <c r="TPU46" s="420">
        <f t="shared" ref="TPU46:TSF46" si="261">TPU45*0.8</f>
        <v>0</v>
      </c>
      <c r="TPV46" s="420">
        <f t="shared" si="261"/>
        <v>0</v>
      </c>
      <c r="TPW46" s="420">
        <f t="shared" si="261"/>
        <v>0</v>
      </c>
      <c r="TPX46" s="420">
        <f t="shared" si="261"/>
        <v>0</v>
      </c>
      <c r="TPY46" s="420">
        <f t="shared" si="261"/>
        <v>0</v>
      </c>
      <c r="TPZ46" s="420">
        <f t="shared" si="261"/>
        <v>0</v>
      </c>
      <c r="TQA46" s="420">
        <f t="shared" si="261"/>
        <v>0</v>
      </c>
      <c r="TQB46" s="420">
        <f t="shared" si="261"/>
        <v>0</v>
      </c>
      <c r="TQC46" s="420">
        <f t="shared" si="261"/>
        <v>0</v>
      </c>
      <c r="TQD46" s="420">
        <f t="shared" si="261"/>
        <v>0</v>
      </c>
      <c r="TQE46" s="420">
        <f t="shared" si="261"/>
        <v>0</v>
      </c>
      <c r="TQF46" s="420">
        <f t="shared" si="261"/>
        <v>0</v>
      </c>
      <c r="TQG46" s="420">
        <f t="shared" si="261"/>
        <v>0</v>
      </c>
      <c r="TQH46" s="420">
        <f t="shared" si="261"/>
        <v>0</v>
      </c>
      <c r="TQI46" s="420">
        <f t="shared" si="261"/>
        <v>0</v>
      </c>
      <c r="TQJ46" s="420">
        <f t="shared" si="261"/>
        <v>0</v>
      </c>
      <c r="TQK46" s="420">
        <f t="shared" si="261"/>
        <v>0</v>
      </c>
      <c r="TQL46" s="420">
        <f t="shared" si="261"/>
        <v>0</v>
      </c>
      <c r="TQM46" s="420">
        <f t="shared" si="261"/>
        <v>0</v>
      </c>
      <c r="TQN46" s="420">
        <f t="shared" si="261"/>
        <v>0</v>
      </c>
      <c r="TQO46" s="420">
        <f t="shared" si="261"/>
        <v>0</v>
      </c>
      <c r="TQP46" s="420">
        <f t="shared" si="261"/>
        <v>0</v>
      </c>
      <c r="TQQ46" s="420">
        <f t="shared" si="261"/>
        <v>0</v>
      </c>
      <c r="TQR46" s="420">
        <f t="shared" si="261"/>
        <v>0</v>
      </c>
      <c r="TQS46" s="420">
        <f t="shared" si="261"/>
        <v>0</v>
      </c>
      <c r="TQT46" s="420">
        <f t="shared" si="261"/>
        <v>0</v>
      </c>
      <c r="TQU46" s="420">
        <f t="shared" si="261"/>
        <v>0</v>
      </c>
      <c r="TQV46" s="420">
        <f t="shared" si="261"/>
        <v>0</v>
      </c>
      <c r="TQW46" s="420">
        <f t="shared" si="261"/>
        <v>0</v>
      </c>
      <c r="TQX46" s="420">
        <f t="shared" si="261"/>
        <v>0</v>
      </c>
      <c r="TQY46" s="420">
        <f t="shared" si="261"/>
        <v>0</v>
      </c>
      <c r="TQZ46" s="420">
        <f t="shared" si="261"/>
        <v>0</v>
      </c>
      <c r="TRA46" s="420">
        <f t="shared" si="261"/>
        <v>0</v>
      </c>
      <c r="TRB46" s="420">
        <f t="shared" si="261"/>
        <v>0</v>
      </c>
      <c r="TRC46" s="420">
        <f t="shared" si="261"/>
        <v>0</v>
      </c>
      <c r="TRD46" s="420">
        <f t="shared" si="261"/>
        <v>0</v>
      </c>
      <c r="TRE46" s="420">
        <f t="shared" si="261"/>
        <v>0</v>
      </c>
      <c r="TRF46" s="420">
        <f t="shared" si="261"/>
        <v>0</v>
      </c>
      <c r="TRG46" s="420">
        <f t="shared" si="261"/>
        <v>0</v>
      </c>
      <c r="TRH46" s="420">
        <f t="shared" si="261"/>
        <v>0</v>
      </c>
      <c r="TRI46" s="420">
        <f t="shared" si="261"/>
        <v>0</v>
      </c>
      <c r="TRJ46" s="420">
        <f t="shared" si="261"/>
        <v>0</v>
      </c>
      <c r="TRK46" s="420">
        <f t="shared" si="261"/>
        <v>0</v>
      </c>
      <c r="TRL46" s="420">
        <f t="shared" si="261"/>
        <v>0</v>
      </c>
      <c r="TRM46" s="420">
        <f t="shared" si="261"/>
        <v>0</v>
      </c>
      <c r="TRN46" s="420">
        <f t="shared" si="261"/>
        <v>0</v>
      </c>
      <c r="TRO46" s="420">
        <f t="shared" si="261"/>
        <v>0</v>
      </c>
      <c r="TRP46" s="420">
        <f t="shared" si="261"/>
        <v>0</v>
      </c>
      <c r="TRQ46" s="420">
        <f t="shared" si="261"/>
        <v>0</v>
      </c>
      <c r="TRR46" s="420">
        <f t="shared" si="261"/>
        <v>0</v>
      </c>
      <c r="TRS46" s="420">
        <f t="shared" si="261"/>
        <v>0</v>
      </c>
      <c r="TRT46" s="420">
        <f t="shared" si="261"/>
        <v>0</v>
      </c>
      <c r="TRU46" s="420">
        <f t="shared" si="261"/>
        <v>0</v>
      </c>
      <c r="TRV46" s="420">
        <f t="shared" si="261"/>
        <v>0</v>
      </c>
      <c r="TRW46" s="420">
        <f t="shared" si="261"/>
        <v>0</v>
      </c>
      <c r="TRX46" s="420">
        <f t="shared" si="261"/>
        <v>0</v>
      </c>
      <c r="TRY46" s="420">
        <f t="shared" si="261"/>
        <v>0</v>
      </c>
      <c r="TRZ46" s="420">
        <f t="shared" si="261"/>
        <v>0</v>
      </c>
      <c r="TSA46" s="420">
        <f t="shared" si="261"/>
        <v>0</v>
      </c>
      <c r="TSB46" s="420">
        <f t="shared" si="261"/>
        <v>0</v>
      </c>
      <c r="TSC46" s="420">
        <f t="shared" si="261"/>
        <v>0</v>
      </c>
      <c r="TSD46" s="420">
        <f t="shared" si="261"/>
        <v>0</v>
      </c>
      <c r="TSE46" s="420">
        <f t="shared" si="261"/>
        <v>0</v>
      </c>
      <c r="TSF46" s="420">
        <f t="shared" si="261"/>
        <v>0</v>
      </c>
      <c r="TSG46" s="420">
        <f t="shared" ref="TSG46:TUR46" si="262">TSG45*0.8</f>
        <v>0</v>
      </c>
      <c r="TSH46" s="420">
        <f t="shared" si="262"/>
        <v>0</v>
      </c>
      <c r="TSI46" s="420">
        <f t="shared" si="262"/>
        <v>0</v>
      </c>
      <c r="TSJ46" s="420">
        <f t="shared" si="262"/>
        <v>0</v>
      </c>
      <c r="TSK46" s="420">
        <f t="shared" si="262"/>
        <v>0</v>
      </c>
      <c r="TSL46" s="420">
        <f t="shared" si="262"/>
        <v>0</v>
      </c>
      <c r="TSM46" s="420">
        <f t="shared" si="262"/>
        <v>0</v>
      </c>
      <c r="TSN46" s="420">
        <f t="shared" si="262"/>
        <v>0</v>
      </c>
      <c r="TSO46" s="420">
        <f t="shared" si="262"/>
        <v>0</v>
      </c>
      <c r="TSP46" s="420">
        <f t="shared" si="262"/>
        <v>0</v>
      </c>
      <c r="TSQ46" s="420">
        <f t="shared" si="262"/>
        <v>0</v>
      </c>
      <c r="TSR46" s="420">
        <f t="shared" si="262"/>
        <v>0</v>
      </c>
      <c r="TSS46" s="420">
        <f t="shared" si="262"/>
        <v>0</v>
      </c>
      <c r="TST46" s="420">
        <f t="shared" si="262"/>
        <v>0</v>
      </c>
      <c r="TSU46" s="420">
        <f t="shared" si="262"/>
        <v>0</v>
      </c>
      <c r="TSV46" s="420">
        <f t="shared" si="262"/>
        <v>0</v>
      </c>
      <c r="TSW46" s="420">
        <f t="shared" si="262"/>
        <v>0</v>
      </c>
      <c r="TSX46" s="420">
        <f t="shared" si="262"/>
        <v>0</v>
      </c>
      <c r="TSY46" s="420">
        <f t="shared" si="262"/>
        <v>0</v>
      </c>
      <c r="TSZ46" s="420">
        <f t="shared" si="262"/>
        <v>0</v>
      </c>
      <c r="TTA46" s="420">
        <f t="shared" si="262"/>
        <v>0</v>
      </c>
      <c r="TTB46" s="420">
        <f t="shared" si="262"/>
        <v>0</v>
      </c>
      <c r="TTC46" s="420">
        <f t="shared" si="262"/>
        <v>0</v>
      </c>
      <c r="TTD46" s="420">
        <f t="shared" si="262"/>
        <v>0</v>
      </c>
      <c r="TTE46" s="420">
        <f t="shared" si="262"/>
        <v>0</v>
      </c>
      <c r="TTF46" s="420">
        <f t="shared" si="262"/>
        <v>0</v>
      </c>
      <c r="TTG46" s="420">
        <f t="shared" si="262"/>
        <v>0</v>
      </c>
      <c r="TTH46" s="420">
        <f t="shared" si="262"/>
        <v>0</v>
      </c>
      <c r="TTI46" s="420">
        <f t="shared" si="262"/>
        <v>0</v>
      </c>
      <c r="TTJ46" s="420">
        <f t="shared" si="262"/>
        <v>0</v>
      </c>
      <c r="TTK46" s="420">
        <f t="shared" si="262"/>
        <v>0</v>
      </c>
      <c r="TTL46" s="420">
        <f t="shared" si="262"/>
        <v>0</v>
      </c>
      <c r="TTM46" s="420">
        <f t="shared" si="262"/>
        <v>0</v>
      </c>
      <c r="TTN46" s="420">
        <f t="shared" si="262"/>
        <v>0</v>
      </c>
      <c r="TTO46" s="420">
        <f t="shared" si="262"/>
        <v>0</v>
      </c>
      <c r="TTP46" s="420">
        <f t="shared" si="262"/>
        <v>0</v>
      </c>
      <c r="TTQ46" s="420">
        <f t="shared" si="262"/>
        <v>0</v>
      </c>
      <c r="TTR46" s="420">
        <f t="shared" si="262"/>
        <v>0</v>
      </c>
      <c r="TTS46" s="420">
        <f t="shared" si="262"/>
        <v>0</v>
      </c>
      <c r="TTT46" s="420">
        <f t="shared" si="262"/>
        <v>0</v>
      </c>
      <c r="TTU46" s="420">
        <f t="shared" si="262"/>
        <v>0</v>
      </c>
      <c r="TTV46" s="420">
        <f t="shared" si="262"/>
        <v>0</v>
      </c>
      <c r="TTW46" s="420">
        <f t="shared" si="262"/>
        <v>0</v>
      </c>
      <c r="TTX46" s="420">
        <f t="shared" si="262"/>
        <v>0</v>
      </c>
      <c r="TTY46" s="420">
        <f t="shared" si="262"/>
        <v>0</v>
      </c>
      <c r="TTZ46" s="420">
        <f t="shared" si="262"/>
        <v>0</v>
      </c>
      <c r="TUA46" s="420">
        <f t="shared" si="262"/>
        <v>0</v>
      </c>
      <c r="TUB46" s="420">
        <f t="shared" si="262"/>
        <v>0</v>
      </c>
      <c r="TUC46" s="420">
        <f t="shared" si="262"/>
        <v>0</v>
      </c>
      <c r="TUD46" s="420">
        <f t="shared" si="262"/>
        <v>0</v>
      </c>
      <c r="TUE46" s="420">
        <f t="shared" si="262"/>
        <v>0</v>
      </c>
      <c r="TUF46" s="420">
        <f t="shared" si="262"/>
        <v>0</v>
      </c>
      <c r="TUG46" s="420">
        <f t="shared" si="262"/>
        <v>0</v>
      </c>
      <c r="TUH46" s="420">
        <f t="shared" si="262"/>
        <v>0</v>
      </c>
      <c r="TUI46" s="420">
        <f t="shared" si="262"/>
        <v>0</v>
      </c>
      <c r="TUJ46" s="420">
        <f t="shared" si="262"/>
        <v>0</v>
      </c>
      <c r="TUK46" s="420">
        <f t="shared" si="262"/>
        <v>0</v>
      </c>
      <c r="TUL46" s="420">
        <f t="shared" si="262"/>
        <v>0</v>
      </c>
      <c r="TUM46" s="420">
        <f t="shared" si="262"/>
        <v>0</v>
      </c>
      <c r="TUN46" s="420">
        <f t="shared" si="262"/>
        <v>0</v>
      </c>
      <c r="TUO46" s="420">
        <f t="shared" si="262"/>
        <v>0</v>
      </c>
      <c r="TUP46" s="420">
        <f t="shared" si="262"/>
        <v>0</v>
      </c>
      <c r="TUQ46" s="420">
        <f t="shared" si="262"/>
        <v>0</v>
      </c>
      <c r="TUR46" s="420">
        <f t="shared" si="262"/>
        <v>0</v>
      </c>
      <c r="TUS46" s="420">
        <f t="shared" ref="TUS46:TXD46" si="263">TUS45*0.8</f>
        <v>0</v>
      </c>
      <c r="TUT46" s="420">
        <f t="shared" si="263"/>
        <v>0</v>
      </c>
      <c r="TUU46" s="420">
        <f t="shared" si="263"/>
        <v>0</v>
      </c>
      <c r="TUV46" s="420">
        <f t="shared" si="263"/>
        <v>0</v>
      </c>
      <c r="TUW46" s="420">
        <f t="shared" si="263"/>
        <v>0</v>
      </c>
      <c r="TUX46" s="420">
        <f t="shared" si="263"/>
        <v>0</v>
      </c>
      <c r="TUY46" s="420">
        <f t="shared" si="263"/>
        <v>0</v>
      </c>
      <c r="TUZ46" s="420">
        <f t="shared" si="263"/>
        <v>0</v>
      </c>
      <c r="TVA46" s="420">
        <f t="shared" si="263"/>
        <v>0</v>
      </c>
      <c r="TVB46" s="420">
        <f t="shared" si="263"/>
        <v>0</v>
      </c>
      <c r="TVC46" s="420">
        <f t="shared" si="263"/>
        <v>0</v>
      </c>
      <c r="TVD46" s="420">
        <f t="shared" si="263"/>
        <v>0</v>
      </c>
      <c r="TVE46" s="420">
        <f t="shared" si="263"/>
        <v>0</v>
      </c>
      <c r="TVF46" s="420">
        <f t="shared" si="263"/>
        <v>0</v>
      </c>
      <c r="TVG46" s="420">
        <f t="shared" si="263"/>
        <v>0</v>
      </c>
      <c r="TVH46" s="420">
        <f t="shared" si="263"/>
        <v>0</v>
      </c>
      <c r="TVI46" s="420">
        <f t="shared" si="263"/>
        <v>0</v>
      </c>
      <c r="TVJ46" s="420">
        <f t="shared" si="263"/>
        <v>0</v>
      </c>
      <c r="TVK46" s="420">
        <f t="shared" si="263"/>
        <v>0</v>
      </c>
      <c r="TVL46" s="420">
        <f t="shared" si="263"/>
        <v>0</v>
      </c>
      <c r="TVM46" s="420">
        <f t="shared" si="263"/>
        <v>0</v>
      </c>
      <c r="TVN46" s="420">
        <f t="shared" si="263"/>
        <v>0</v>
      </c>
      <c r="TVO46" s="420">
        <f t="shared" si="263"/>
        <v>0</v>
      </c>
      <c r="TVP46" s="420">
        <f t="shared" si="263"/>
        <v>0</v>
      </c>
      <c r="TVQ46" s="420">
        <f t="shared" si="263"/>
        <v>0</v>
      </c>
      <c r="TVR46" s="420">
        <f t="shared" si="263"/>
        <v>0</v>
      </c>
      <c r="TVS46" s="420">
        <f t="shared" si="263"/>
        <v>0</v>
      </c>
      <c r="TVT46" s="420">
        <f t="shared" si="263"/>
        <v>0</v>
      </c>
      <c r="TVU46" s="420">
        <f t="shared" si="263"/>
        <v>0</v>
      </c>
      <c r="TVV46" s="420">
        <f t="shared" si="263"/>
        <v>0</v>
      </c>
      <c r="TVW46" s="420">
        <f t="shared" si="263"/>
        <v>0</v>
      </c>
      <c r="TVX46" s="420">
        <f t="shared" si="263"/>
        <v>0</v>
      </c>
      <c r="TVY46" s="420">
        <f t="shared" si="263"/>
        <v>0</v>
      </c>
      <c r="TVZ46" s="420">
        <f t="shared" si="263"/>
        <v>0</v>
      </c>
      <c r="TWA46" s="420">
        <f t="shared" si="263"/>
        <v>0</v>
      </c>
      <c r="TWB46" s="420">
        <f t="shared" si="263"/>
        <v>0</v>
      </c>
      <c r="TWC46" s="420">
        <f t="shared" si="263"/>
        <v>0</v>
      </c>
      <c r="TWD46" s="420">
        <f t="shared" si="263"/>
        <v>0</v>
      </c>
      <c r="TWE46" s="420">
        <f t="shared" si="263"/>
        <v>0</v>
      </c>
      <c r="TWF46" s="420">
        <f t="shared" si="263"/>
        <v>0</v>
      </c>
      <c r="TWG46" s="420">
        <f t="shared" si="263"/>
        <v>0</v>
      </c>
      <c r="TWH46" s="420">
        <f t="shared" si="263"/>
        <v>0</v>
      </c>
      <c r="TWI46" s="420">
        <f t="shared" si="263"/>
        <v>0</v>
      </c>
      <c r="TWJ46" s="420">
        <f t="shared" si="263"/>
        <v>0</v>
      </c>
      <c r="TWK46" s="420">
        <f t="shared" si="263"/>
        <v>0</v>
      </c>
      <c r="TWL46" s="420">
        <f t="shared" si="263"/>
        <v>0</v>
      </c>
      <c r="TWM46" s="420">
        <f t="shared" si="263"/>
        <v>0</v>
      </c>
      <c r="TWN46" s="420">
        <f t="shared" si="263"/>
        <v>0</v>
      </c>
      <c r="TWO46" s="420">
        <f t="shared" si="263"/>
        <v>0</v>
      </c>
      <c r="TWP46" s="420">
        <f t="shared" si="263"/>
        <v>0</v>
      </c>
      <c r="TWQ46" s="420">
        <f t="shared" si="263"/>
        <v>0</v>
      </c>
      <c r="TWR46" s="420">
        <f t="shared" si="263"/>
        <v>0</v>
      </c>
      <c r="TWS46" s="420">
        <f t="shared" si="263"/>
        <v>0</v>
      </c>
      <c r="TWT46" s="420">
        <f t="shared" si="263"/>
        <v>0</v>
      </c>
      <c r="TWU46" s="420">
        <f t="shared" si="263"/>
        <v>0</v>
      </c>
      <c r="TWV46" s="420">
        <f t="shared" si="263"/>
        <v>0</v>
      </c>
      <c r="TWW46" s="420">
        <f t="shared" si="263"/>
        <v>0</v>
      </c>
      <c r="TWX46" s="420">
        <f t="shared" si="263"/>
        <v>0</v>
      </c>
      <c r="TWY46" s="420">
        <f t="shared" si="263"/>
        <v>0</v>
      </c>
      <c r="TWZ46" s="420">
        <f t="shared" si="263"/>
        <v>0</v>
      </c>
      <c r="TXA46" s="420">
        <f t="shared" si="263"/>
        <v>0</v>
      </c>
      <c r="TXB46" s="420">
        <f t="shared" si="263"/>
        <v>0</v>
      </c>
      <c r="TXC46" s="420">
        <f t="shared" si="263"/>
        <v>0</v>
      </c>
      <c r="TXD46" s="420">
        <f t="shared" si="263"/>
        <v>0</v>
      </c>
      <c r="TXE46" s="420">
        <f t="shared" ref="TXE46:TZP46" si="264">TXE45*0.8</f>
        <v>0</v>
      </c>
      <c r="TXF46" s="420">
        <f t="shared" si="264"/>
        <v>0</v>
      </c>
      <c r="TXG46" s="420">
        <f t="shared" si="264"/>
        <v>0</v>
      </c>
      <c r="TXH46" s="420">
        <f t="shared" si="264"/>
        <v>0</v>
      </c>
      <c r="TXI46" s="420">
        <f t="shared" si="264"/>
        <v>0</v>
      </c>
      <c r="TXJ46" s="420">
        <f t="shared" si="264"/>
        <v>0</v>
      </c>
      <c r="TXK46" s="420">
        <f t="shared" si="264"/>
        <v>0</v>
      </c>
      <c r="TXL46" s="420">
        <f t="shared" si="264"/>
        <v>0</v>
      </c>
      <c r="TXM46" s="420">
        <f t="shared" si="264"/>
        <v>0</v>
      </c>
      <c r="TXN46" s="420">
        <f t="shared" si="264"/>
        <v>0</v>
      </c>
      <c r="TXO46" s="420">
        <f t="shared" si="264"/>
        <v>0</v>
      </c>
      <c r="TXP46" s="420">
        <f t="shared" si="264"/>
        <v>0</v>
      </c>
      <c r="TXQ46" s="420">
        <f t="shared" si="264"/>
        <v>0</v>
      </c>
      <c r="TXR46" s="420">
        <f t="shared" si="264"/>
        <v>0</v>
      </c>
      <c r="TXS46" s="420">
        <f t="shared" si="264"/>
        <v>0</v>
      </c>
      <c r="TXT46" s="420">
        <f t="shared" si="264"/>
        <v>0</v>
      </c>
      <c r="TXU46" s="420">
        <f t="shared" si="264"/>
        <v>0</v>
      </c>
      <c r="TXV46" s="420">
        <f t="shared" si="264"/>
        <v>0</v>
      </c>
      <c r="TXW46" s="420">
        <f t="shared" si="264"/>
        <v>0</v>
      </c>
      <c r="TXX46" s="420">
        <f t="shared" si="264"/>
        <v>0</v>
      </c>
      <c r="TXY46" s="420">
        <f t="shared" si="264"/>
        <v>0</v>
      </c>
      <c r="TXZ46" s="420">
        <f t="shared" si="264"/>
        <v>0</v>
      </c>
      <c r="TYA46" s="420">
        <f t="shared" si="264"/>
        <v>0</v>
      </c>
      <c r="TYB46" s="420">
        <f t="shared" si="264"/>
        <v>0</v>
      </c>
      <c r="TYC46" s="420">
        <f t="shared" si="264"/>
        <v>0</v>
      </c>
      <c r="TYD46" s="420">
        <f t="shared" si="264"/>
        <v>0</v>
      </c>
      <c r="TYE46" s="420">
        <f t="shared" si="264"/>
        <v>0</v>
      </c>
      <c r="TYF46" s="420">
        <f t="shared" si="264"/>
        <v>0</v>
      </c>
      <c r="TYG46" s="420">
        <f t="shared" si="264"/>
        <v>0</v>
      </c>
      <c r="TYH46" s="420">
        <f t="shared" si="264"/>
        <v>0</v>
      </c>
      <c r="TYI46" s="420">
        <f t="shared" si="264"/>
        <v>0</v>
      </c>
      <c r="TYJ46" s="420">
        <f t="shared" si="264"/>
        <v>0</v>
      </c>
      <c r="TYK46" s="420">
        <f t="shared" si="264"/>
        <v>0</v>
      </c>
      <c r="TYL46" s="420">
        <f t="shared" si="264"/>
        <v>0</v>
      </c>
      <c r="TYM46" s="420">
        <f t="shared" si="264"/>
        <v>0</v>
      </c>
      <c r="TYN46" s="420">
        <f t="shared" si="264"/>
        <v>0</v>
      </c>
      <c r="TYO46" s="420">
        <f t="shared" si="264"/>
        <v>0</v>
      </c>
      <c r="TYP46" s="420">
        <f t="shared" si="264"/>
        <v>0</v>
      </c>
      <c r="TYQ46" s="420">
        <f t="shared" si="264"/>
        <v>0</v>
      </c>
      <c r="TYR46" s="420">
        <f t="shared" si="264"/>
        <v>0</v>
      </c>
      <c r="TYS46" s="420">
        <f t="shared" si="264"/>
        <v>0</v>
      </c>
      <c r="TYT46" s="420">
        <f t="shared" si="264"/>
        <v>0</v>
      </c>
      <c r="TYU46" s="420">
        <f t="shared" si="264"/>
        <v>0</v>
      </c>
      <c r="TYV46" s="420">
        <f t="shared" si="264"/>
        <v>0</v>
      </c>
      <c r="TYW46" s="420">
        <f t="shared" si="264"/>
        <v>0</v>
      </c>
      <c r="TYX46" s="420">
        <f t="shared" si="264"/>
        <v>0</v>
      </c>
      <c r="TYY46" s="420">
        <f t="shared" si="264"/>
        <v>0</v>
      </c>
      <c r="TYZ46" s="420">
        <f t="shared" si="264"/>
        <v>0</v>
      </c>
      <c r="TZA46" s="420">
        <f t="shared" si="264"/>
        <v>0</v>
      </c>
      <c r="TZB46" s="420">
        <f t="shared" si="264"/>
        <v>0</v>
      </c>
      <c r="TZC46" s="420">
        <f t="shared" si="264"/>
        <v>0</v>
      </c>
      <c r="TZD46" s="420">
        <f t="shared" si="264"/>
        <v>0</v>
      </c>
      <c r="TZE46" s="420">
        <f t="shared" si="264"/>
        <v>0</v>
      </c>
      <c r="TZF46" s="420">
        <f t="shared" si="264"/>
        <v>0</v>
      </c>
      <c r="TZG46" s="420">
        <f t="shared" si="264"/>
        <v>0</v>
      </c>
      <c r="TZH46" s="420">
        <f t="shared" si="264"/>
        <v>0</v>
      </c>
      <c r="TZI46" s="420">
        <f t="shared" si="264"/>
        <v>0</v>
      </c>
      <c r="TZJ46" s="420">
        <f t="shared" si="264"/>
        <v>0</v>
      </c>
      <c r="TZK46" s="420">
        <f t="shared" si="264"/>
        <v>0</v>
      </c>
      <c r="TZL46" s="420">
        <f t="shared" si="264"/>
        <v>0</v>
      </c>
      <c r="TZM46" s="420">
        <f t="shared" si="264"/>
        <v>0</v>
      </c>
      <c r="TZN46" s="420">
        <f t="shared" si="264"/>
        <v>0</v>
      </c>
      <c r="TZO46" s="420">
        <f t="shared" si="264"/>
        <v>0</v>
      </c>
      <c r="TZP46" s="420">
        <f t="shared" si="264"/>
        <v>0</v>
      </c>
      <c r="TZQ46" s="420">
        <f t="shared" ref="TZQ46:UCB46" si="265">TZQ45*0.8</f>
        <v>0</v>
      </c>
      <c r="TZR46" s="420">
        <f t="shared" si="265"/>
        <v>0</v>
      </c>
      <c r="TZS46" s="420">
        <f t="shared" si="265"/>
        <v>0</v>
      </c>
      <c r="TZT46" s="420">
        <f t="shared" si="265"/>
        <v>0</v>
      </c>
      <c r="TZU46" s="420">
        <f t="shared" si="265"/>
        <v>0</v>
      </c>
      <c r="TZV46" s="420">
        <f t="shared" si="265"/>
        <v>0</v>
      </c>
      <c r="TZW46" s="420">
        <f t="shared" si="265"/>
        <v>0</v>
      </c>
      <c r="TZX46" s="420">
        <f t="shared" si="265"/>
        <v>0</v>
      </c>
      <c r="TZY46" s="420">
        <f t="shared" si="265"/>
        <v>0</v>
      </c>
      <c r="TZZ46" s="420">
        <f t="shared" si="265"/>
        <v>0</v>
      </c>
      <c r="UAA46" s="420">
        <f t="shared" si="265"/>
        <v>0</v>
      </c>
      <c r="UAB46" s="420">
        <f t="shared" si="265"/>
        <v>0</v>
      </c>
      <c r="UAC46" s="420">
        <f t="shared" si="265"/>
        <v>0</v>
      </c>
      <c r="UAD46" s="420">
        <f t="shared" si="265"/>
        <v>0</v>
      </c>
      <c r="UAE46" s="420">
        <f t="shared" si="265"/>
        <v>0</v>
      </c>
      <c r="UAF46" s="420">
        <f t="shared" si="265"/>
        <v>0</v>
      </c>
      <c r="UAG46" s="420">
        <f t="shared" si="265"/>
        <v>0</v>
      </c>
      <c r="UAH46" s="420">
        <f t="shared" si="265"/>
        <v>0</v>
      </c>
      <c r="UAI46" s="420">
        <f t="shared" si="265"/>
        <v>0</v>
      </c>
      <c r="UAJ46" s="420">
        <f t="shared" si="265"/>
        <v>0</v>
      </c>
      <c r="UAK46" s="420">
        <f t="shared" si="265"/>
        <v>0</v>
      </c>
      <c r="UAL46" s="420">
        <f t="shared" si="265"/>
        <v>0</v>
      </c>
      <c r="UAM46" s="420">
        <f t="shared" si="265"/>
        <v>0</v>
      </c>
      <c r="UAN46" s="420">
        <f t="shared" si="265"/>
        <v>0</v>
      </c>
      <c r="UAO46" s="420">
        <f t="shared" si="265"/>
        <v>0</v>
      </c>
      <c r="UAP46" s="420">
        <f t="shared" si="265"/>
        <v>0</v>
      </c>
      <c r="UAQ46" s="420">
        <f t="shared" si="265"/>
        <v>0</v>
      </c>
      <c r="UAR46" s="420">
        <f t="shared" si="265"/>
        <v>0</v>
      </c>
      <c r="UAS46" s="420">
        <f t="shared" si="265"/>
        <v>0</v>
      </c>
      <c r="UAT46" s="420">
        <f t="shared" si="265"/>
        <v>0</v>
      </c>
      <c r="UAU46" s="420">
        <f t="shared" si="265"/>
        <v>0</v>
      </c>
      <c r="UAV46" s="420">
        <f t="shared" si="265"/>
        <v>0</v>
      </c>
      <c r="UAW46" s="420">
        <f t="shared" si="265"/>
        <v>0</v>
      </c>
      <c r="UAX46" s="420">
        <f t="shared" si="265"/>
        <v>0</v>
      </c>
      <c r="UAY46" s="420">
        <f t="shared" si="265"/>
        <v>0</v>
      </c>
      <c r="UAZ46" s="420">
        <f t="shared" si="265"/>
        <v>0</v>
      </c>
      <c r="UBA46" s="420">
        <f t="shared" si="265"/>
        <v>0</v>
      </c>
      <c r="UBB46" s="420">
        <f t="shared" si="265"/>
        <v>0</v>
      </c>
      <c r="UBC46" s="420">
        <f t="shared" si="265"/>
        <v>0</v>
      </c>
      <c r="UBD46" s="420">
        <f t="shared" si="265"/>
        <v>0</v>
      </c>
      <c r="UBE46" s="420">
        <f t="shared" si="265"/>
        <v>0</v>
      </c>
      <c r="UBF46" s="420">
        <f t="shared" si="265"/>
        <v>0</v>
      </c>
      <c r="UBG46" s="420">
        <f t="shared" si="265"/>
        <v>0</v>
      </c>
      <c r="UBH46" s="420">
        <f t="shared" si="265"/>
        <v>0</v>
      </c>
      <c r="UBI46" s="420">
        <f t="shared" si="265"/>
        <v>0</v>
      </c>
      <c r="UBJ46" s="420">
        <f t="shared" si="265"/>
        <v>0</v>
      </c>
      <c r="UBK46" s="420">
        <f t="shared" si="265"/>
        <v>0</v>
      </c>
      <c r="UBL46" s="420">
        <f t="shared" si="265"/>
        <v>0</v>
      </c>
      <c r="UBM46" s="420">
        <f t="shared" si="265"/>
        <v>0</v>
      </c>
      <c r="UBN46" s="420">
        <f t="shared" si="265"/>
        <v>0</v>
      </c>
      <c r="UBO46" s="420">
        <f t="shared" si="265"/>
        <v>0</v>
      </c>
      <c r="UBP46" s="420">
        <f t="shared" si="265"/>
        <v>0</v>
      </c>
      <c r="UBQ46" s="420">
        <f t="shared" si="265"/>
        <v>0</v>
      </c>
      <c r="UBR46" s="420">
        <f t="shared" si="265"/>
        <v>0</v>
      </c>
      <c r="UBS46" s="420">
        <f t="shared" si="265"/>
        <v>0</v>
      </c>
      <c r="UBT46" s="420">
        <f t="shared" si="265"/>
        <v>0</v>
      </c>
      <c r="UBU46" s="420">
        <f t="shared" si="265"/>
        <v>0</v>
      </c>
      <c r="UBV46" s="420">
        <f t="shared" si="265"/>
        <v>0</v>
      </c>
      <c r="UBW46" s="420">
        <f t="shared" si="265"/>
        <v>0</v>
      </c>
      <c r="UBX46" s="420">
        <f t="shared" si="265"/>
        <v>0</v>
      </c>
      <c r="UBY46" s="420">
        <f t="shared" si="265"/>
        <v>0</v>
      </c>
      <c r="UBZ46" s="420">
        <f t="shared" si="265"/>
        <v>0</v>
      </c>
      <c r="UCA46" s="420">
        <f t="shared" si="265"/>
        <v>0</v>
      </c>
      <c r="UCB46" s="420">
        <f t="shared" si="265"/>
        <v>0</v>
      </c>
      <c r="UCC46" s="420">
        <f t="shared" ref="UCC46:UEN46" si="266">UCC45*0.8</f>
        <v>0</v>
      </c>
      <c r="UCD46" s="420">
        <f t="shared" si="266"/>
        <v>0</v>
      </c>
      <c r="UCE46" s="420">
        <f t="shared" si="266"/>
        <v>0</v>
      </c>
      <c r="UCF46" s="420">
        <f t="shared" si="266"/>
        <v>0</v>
      </c>
      <c r="UCG46" s="420">
        <f t="shared" si="266"/>
        <v>0</v>
      </c>
      <c r="UCH46" s="420">
        <f t="shared" si="266"/>
        <v>0</v>
      </c>
      <c r="UCI46" s="420">
        <f t="shared" si="266"/>
        <v>0</v>
      </c>
      <c r="UCJ46" s="420">
        <f t="shared" si="266"/>
        <v>0</v>
      </c>
      <c r="UCK46" s="420">
        <f t="shared" si="266"/>
        <v>0</v>
      </c>
      <c r="UCL46" s="420">
        <f t="shared" si="266"/>
        <v>0</v>
      </c>
      <c r="UCM46" s="420">
        <f t="shared" si="266"/>
        <v>0</v>
      </c>
      <c r="UCN46" s="420">
        <f t="shared" si="266"/>
        <v>0</v>
      </c>
      <c r="UCO46" s="420">
        <f t="shared" si="266"/>
        <v>0</v>
      </c>
      <c r="UCP46" s="420">
        <f t="shared" si="266"/>
        <v>0</v>
      </c>
      <c r="UCQ46" s="420">
        <f t="shared" si="266"/>
        <v>0</v>
      </c>
      <c r="UCR46" s="420">
        <f t="shared" si="266"/>
        <v>0</v>
      </c>
      <c r="UCS46" s="420">
        <f t="shared" si="266"/>
        <v>0</v>
      </c>
      <c r="UCT46" s="420">
        <f t="shared" si="266"/>
        <v>0</v>
      </c>
      <c r="UCU46" s="420">
        <f t="shared" si="266"/>
        <v>0</v>
      </c>
      <c r="UCV46" s="420">
        <f t="shared" si="266"/>
        <v>0</v>
      </c>
      <c r="UCW46" s="420">
        <f t="shared" si="266"/>
        <v>0</v>
      </c>
      <c r="UCX46" s="420">
        <f t="shared" si="266"/>
        <v>0</v>
      </c>
      <c r="UCY46" s="420">
        <f t="shared" si="266"/>
        <v>0</v>
      </c>
      <c r="UCZ46" s="420">
        <f t="shared" si="266"/>
        <v>0</v>
      </c>
      <c r="UDA46" s="420">
        <f t="shared" si="266"/>
        <v>0</v>
      </c>
      <c r="UDB46" s="420">
        <f t="shared" si="266"/>
        <v>0</v>
      </c>
      <c r="UDC46" s="420">
        <f t="shared" si="266"/>
        <v>0</v>
      </c>
      <c r="UDD46" s="420">
        <f t="shared" si="266"/>
        <v>0</v>
      </c>
      <c r="UDE46" s="420">
        <f t="shared" si="266"/>
        <v>0</v>
      </c>
      <c r="UDF46" s="420">
        <f t="shared" si="266"/>
        <v>0</v>
      </c>
      <c r="UDG46" s="420">
        <f t="shared" si="266"/>
        <v>0</v>
      </c>
      <c r="UDH46" s="420">
        <f t="shared" si="266"/>
        <v>0</v>
      </c>
      <c r="UDI46" s="420">
        <f t="shared" si="266"/>
        <v>0</v>
      </c>
      <c r="UDJ46" s="420">
        <f t="shared" si="266"/>
        <v>0</v>
      </c>
      <c r="UDK46" s="420">
        <f t="shared" si="266"/>
        <v>0</v>
      </c>
      <c r="UDL46" s="420">
        <f t="shared" si="266"/>
        <v>0</v>
      </c>
      <c r="UDM46" s="420">
        <f t="shared" si="266"/>
        <v>0</v>
      </c>
      <c r="UDN46" s="420">
        <f t="shared" si="266"/>
        <v>0</v>
      </c>
      <c r="UDO46" s="420">
        <f t="shared" si="266"/>
        <v>0</v>
      </c>
      <c r="UDP46" s="420">
        <f t="shared" si="266"/>
        <v>0</v>
      </c>
      <c r="UDQ46" s="420">
        <f t="shared" si="266"/>
        <v>0</v>
      </c>
      <c r="UDR46" s="420">
        <f t="shared" si="266"/>
        <v>0</v>
      </c>
      <c r="UDS46" s="420">
        <f t="shared" si="266"/>
        <v>0</v>
      </c>
      <c r="UDT46" s="420">
        <f t="shared" si="266"/>
        <v>0</v>
      </c>
      <c r="UDU46" s="420">
        <f t="shared" si="266"/>
        <v>0</v>
      </c>
      <c r="UDV46" s="420">
        <f t="shared" si="266"/>
        <v>0</v>
      </c>
      <c r="UDW46" s="420">
        <f t="shared" si="266"/>
        <v>0</v>
      </c>
      <c r="UDX46" s="420">
        <f t="shared" si="266"/>
        <v>0</v>
      </c>
      <c r="UDY46" s="420">
        <f t="shared" si="266"/>
        <v>0</v>
      </c>
      <c r="UDZ46" s="420">
        <f t="shared" si="266"/>
        <v>0</v>
      </c>
      <c r="UEA46" s="420">
        <f t="shared" si="266"/>
        <v>0</v>
      </c>
      <c r="UEB46" s="420">
        <f t="shared" si="266"/>
        <v>0</v>
      </c>
      <c r="UEC46" s="420">
        <f t="shared" si="266"/>
        <v>0</v>
      </c>
      <c r="UED46" s="420">
        <f t="shared" si="266"/>
        <v>0</v>
      </c>
      <c r="UEE46" s="420">
        <f t="shared" si="266"/>
        <v>0</v>
      </c>
      <c r="UEF46" s="420">
        <f t="shared" si="266"/>
        <v>0</v>
      </c>
      <c r="UEG46" s="420">
        <f t="shared" si="266"/>
        <v>0</v>
      </c>
      <c r="UEH46" s="420">
        <f t="shared" si="266"/>
        <v>0</v>
      </c>
      <c r="UEI46" s="420">
        <f t="shared" si="266"/>
        <v>0</v>
      </c>
      <c r="UEJ46" s="420">
        <f t="shared" si="266"/>
        <v>0</v>
      </c>
      <c r="UEK46" s="420">
        <f t="shared" si="266"/>
        <v>0</v>
      </c>
      <c r="UEL46" s="420">
        <f t="shared" si="266"/>
        <v>0</v>
      </c>
      <c r="UEM46" s="420">
        <f t="shared" si="266"/>
        <v>0</v>
      </c>
      <c r="UEN46" s="420">
        <f t="shared" si="266"/>
        <v>0</v>
      </c>
      <c r="UEO46" s="420">
        <f t="shared" ref="UEO46:UGZ46" si="267">UEO45*0.8</f>
        <v>0</v>
      </c>
      <c r="UEP46" s="420">
        <f t="shared" si="267"/>
        <v>0</v>
      </c>
      <c r="UEQ46" s="420">
        <f t="shared" si="267"/>
        <v>0</v>
      </c>
      <c r="UER46" s="420">
        <f t="shared" si="267"/>
        <v>0</v>
      </c>
      <c r="UES46" s="420">
        <f t="shared" si="267"/>
        <v>0</v>
      </c>
      <c r="UET46" s="420">
        <f t="shared" si="267"/>
        <v>0</v>
      </c>
      <c r="UEU46" s="420">
        <f t="shared" si="267"/>
        <v>0</v>
      </c>
      <c r="UEV46" s="420">
        <f t="shared" si="267"/>
        <v>0</v>
      </c>
      <c r="UEW46" s="420">
        <f t="shared" si="267"/>
        <v>0</v>
      </c>
      <c r="UEX46" s="420">
        <f t="shared" si="267"/>
        <v>0</v>
      </c>
      <c r="UEY46" s="420">
        <f t="shared" si="267"/>
        <v>0</v>
      </c>
      <c r="UEZ46" s="420">
        <f t="shared" si="267"/>
        <v>0</v>
      </c>
      <c r="UFA46" s="420">
        <f t="shared" si="267"/>
        <v>0</v>
      </c>
      <c r="UFB46" s="420">
        <f t="shared" si="267"/>
        <v>0</v>
      </c>
      <c r="UFC46" s="420">
        <f t="shared" si="267"/>
        <v>0</v>
      </c>
      <c r="UFD46" s="420">
        <f t="shared" si="267"/>
        <v>0</v>
      </c>
      <c r="UFE46" s="420">
        <f t="shared" si="267"/>
        <v>0</v>
      </c>
      <c r="UFF46" s="420">
        <f t="shared" si="267"/>
        <v>0</v>
      </c>
      <c r="UFG46" s="420">
        <f t="shared" si="267"/>
        <v>0</v>
      </c>
      <c r="UFH46" s="420">
        <f t="shared" si="267"/>
        <v>0</v>
      </c>
      <c r="UFI46" s="420">
        <f t="shared" si="267"/>
        <v>0</v>
      </c>
      <c r="UFJ46" s="420">
        <f t="shared" si="267"/>
        <v>0</v>
      </c>
      <c r="UFK46" s="420">
        <f t="shared" si="267"/>
        <v>0</v>
      </c>
      <c r="UFL46" s="420">
        <f t="shared" si="267"/>
        <v>0</v>
      </c>
      <c r="UFM46" s="420">
        <f t="shared" si="267"/>
        <v>0</v>
      </c>
      <c r="UFN46" s="420">
        <f t="shared" si="267"/>
        <v>0</v>
      </c>
      <c r="UFO46" s="420">
        <f t="shared" si="267"/>
        <v>0</v>
      </c>
      <c r="UFP46" s="420">
        <f t="shared" si="267"/>
        <v>0</v>
      </c>
      <c r="UFQ46" s="420">
        <f t="shared" si="267"/>
        <v>0</v>
      </c>
      <c r="UFR46" s="420">
        <f t="shared" si="267"/>
        <v>0</v>
      </c>
      <c r="UFS46" s="420">
        <f t="shared" si="267"/>
        <v>0</v>
      </c>
      <c r="UFT46" s="420">
        <f t="shared" si="267"/>
        <v>0</v>
      </c>
      <c r="UFU46" s="420">
        <f t="shared" si="267"/>
        <v>0</v>
      </c>
      <c r="UFV46" s="420">
        <f t="shared" si="267"/>
        <v>0</v>
      </c>
      <c r="UFW46" s="420">
        <f t="shared" si="267"/>
        <v>0</v>
      </c>
      <c r="UFX46" s="420">
        <f t="shared" si="267"/>
        <v>0</v>
      </c>
      <c r="UFY46" s="420">
        <f t="shared" si="267"/>
        <v>0</v>
      </c>
      <c r="UFZ46" s="420">
        <f t="shared" si="267"/>
        <v>0</v>
      </c>
      <c r="UGA46" s="420">
        <f t="shared" si="267"/>
        <v>0</v>
      </c>
      <c r="UGB46" s="420">
        <f t="shared" si="267"/>
        <v>0</v>
      </c>
      <c r="UGC46" s="420">
        <f t="shared" si="267"/>
        <v>0</v>
      </c>
      <c r="UGD46" s="420">
        <f t="shared" si="267"/>
        <v>0</v>
      </c>
      <c r="UGE46" s="420">
        <f t="shared" si="267"/>
        <v>0</v>
      </c>
      <c r="UGF46" s="420">
        <f t="shared" si="267"/>
        <v>0</v>
      </c>
      <c r="UGG46" s="420">
        <f t="shared" si="267"/>
        <v>0</v>
      </c>
      <c r="UGH46" s="420">
        <f t="shared" si="267"/>
        <v>0</v>
      </c>
      <c r="UGI46" s="420">
        <f t="shared" si="267"/>
        <v>0</v>
      </c>
      <c r="UGJ46" s="420">
        <f t="shared" si="267"/>
        <v>0</v>
      </c>
      <c r="UGK46" s="420">
        <f t="shared" si="267"/>
        <v>0</v>
      </c>
      <c r="UGL46" s="420">
        <f t="shared" si="267"/>
        <v>0</v>
      </c>
      <c r="UGM46" s="420">
        <f t="shared" si="267"/>
        <v>0</v>
      </c>
      <c r="UGN46" s="420">
        <f t="shared" si="267"/>
        <v>0</v>
      </c>
      <c r="UGO46" s="420">
        <f t="shared" si="267"/>
        <v>0</v>
      </c>
      <c r="UGP46" s="420">
        <f t="shared" si="267"/>
        <v>0</v>
      </c>
      <c r="UGQ46" s="420">
        <f t="shared" si="267"/>
        <v>0</v>
      </c>
      <c r="UGR46" s="420">
        <f t="shared" si="267"/>
        <v>0</v>
      </c>
      <c r="UGS46" s="420">
        <f t="shared" si="267"/>
        <v>0</v>
      </c>
      <c r="UGT46" s="420">
        <f t="shared" si="267"/>
        <v>0</v>
      </c>
      <c r="UGU46" s="420">
        <f t="shared" si="267"/>
        <v>0</v>
      </c>
      <c r="UGV46" s="420">
        <f t="shared" si="267"/>
        <v>0</v>
      </c>
      <c r="UGW46" s="420">
        <f t="shared" si="267"/>
        <v>0</v>
      </c>
      <c r="UGX46" s="420">
        <f t="shared" si="267"/>
        <v>0</v>
      </c>
      <c r="UGY46" s="420">
        <f t="shared" si="267"/>
        <v>0</v>
      </c>
      <c r="UGZ46" s="420">
        <f t="shared" si="267"/>
        <v>0</v>
      </c>
      <c r="UHA46" s="420">
        <f t="shared" ref="UHA46:UJL46" si="268">UHA45*0.8</f>
        <v>0</v>
      </c>
      <c r="UHB46" s="420">
        <f t="shared" si="268"/>
        <v>0</v>
      </c>
      <c r="UHC46" s="420">
        <f t="shared" si="268"/>
        <v>0</v>
      </c>
      <c r="UHD46" s="420">
        <f t="shared" si="268"/>
        <v>0</v>
      </c>
      <c r="UHE46" s="420">
        <f t="shared" si="268"/>
        <v>0</v>
      </c>
      <c r="UHF46" s="420">
        <f t="shared" si="268"/>
        <v>0</v>
      </c>
      <c r="UHG46" s="420">
        <f t="shared" si="268"/>
        <v>0</v>
      </c>
      <c r="UHH46" s="420">
        <f t="shared" si="268"/>
        <v>0</v>
      </c>
      <c r="UHI46" s="420">
        <f t="shared" si="268"/>
        <v>0</v>
      </c>
      <c r="UHJ46" s="420">
        <f t="shared" si="268"/>
        <v>0</v>
      </c>
      <c r="UHK46" s="420">
        <f t="shared" si="268"/>
        <v>0</v>
      </c>
      <c r="UHL46" s="420">
        <f t="shared" si="268"/>
        <v>0</v>
      </c>
      <c r="UHM46" s="420">
        <f t="shared" si="268"/>
        <v>0</v>
      </c>
      <c r="UHN46" s="420">
        <f t="shared" si="268"/>
        <v>0</v>
      </c>
      <c r="UHO46" s="420">
        <f t="shared" si="268"/>
        <v>0</v>
      </c>
      <c r="UHP46" s="420">
        <f t="shared" si="268"/>
        <v>0</v>
      </c>
      <c r="UHQ46" s="420">
        <f t="shared" si="268"/>
        <v>0</v>
      </c>
      <c r="UHR46" s="420">
        <f t="shared" si="268"/>
        <v>0</v>
      </c>
      <c r="UHS46" s="420">
        <f t="shared" si="268"/>
        <v>0</v>
      </c>
      <c r="UHT46" s="420">
        <f t="shared" si="268"/>
        <v>0</v>
      </c>
      <c r="UHU46" s="420">
        <f t="shared" si="268"/>
        <v>0</v>
      </c>
      <c r="UHV46" s="420">
        <f t="shared" si="268"/>
        <v>0</v>
      </c>
      <c r="UHW46" s="420">
        <f t="shared" si="268"/>
        <v>0</v>
      </c>
      <c r="UHX46" s="420">
        <f t="shared" si="268"/>
        <v>0</v>
      </c>
      <c r="UHY46" s="420">
        <f t="shared" si="268"/>
        <v>0</v>
      </c>
      <c r="UHZ46" s="420">
        <f t="shared" si="268"/>
        <v>0</v>
      </c>
      <c r="UIA46" s="420">
        <f t="shared" si="268"/>
        <v>0</v>
      </c>
      <c r="UIB46" s="420">
        <f t="shared" si="268"/>
        <v>0</v>
      </c>
      <c r="UIC46" s="420">
        <f t="shared" si="268"/>
        <v>0</v>
      </c>
      <c r="UID46" s="420">
        <f t="shared" si="268"/>
        <v>0</v>
      </c>
      <c r="UIE46" s="420">
        <f t="shared" si="268"/>
        <v>0</v>
      </c>
      <c r="UIF46" s="420">
        <f t="shared" si="268"/>
        <v>0</v>
      </c>
      <c r="UIG46" s="420">
        <f t="shared" si="268"/>
        <v>0</v>
      </c>
      <c r="UIH46" s="420">
        <f t="shared" si="268"/>
        <v>0</v>
      </c>
      <c r="UII46" s="420">
        <f t="shared" si="268"/>
        <v>0</v>
      </c>
      <c r="UIJ46" s="420">
        <f t="shared" si="268"/>
        <v>0</v>
      </c>
      <c r="UIK46" s="420">
        <f t="shared" si="268"/>
        <v>0</v>
      </c>
      <c r="UIL46" s="420">
        <f t="shared" si="268"/>
        <v>0</v>
      </c>
      <c r="UIM46" s="420">
        <f t="shared" si="268"/>
        <v>0</v>
      </c>
      <c r="UIN46" s="420">
        <f t="shared" si="268"/>
        <v>0</v>
      </c>
      <c r="UIO46" s="420">
        <f t="shared" si="268"/>
        <v>0</v>
      </c>
      <c r="UIP46" s="420">
        <f t="shared" si="268"/>
        <v>0</v>
      </c>
      <c r="UIQ46" s="420">
        <f t="shared" si="268"/>
        <v>0</v>
      </c>
      <c r="UIR46" s="420">
        <f t="shared" si="268"/>
        <v>0</v>
      </c>
      <c r="UIS46" s="420">
        <f t="shared" si="268"/>
        <v>0</v>
      </c>
      <c r="UIT46" s="420">
        <f t="shared" si="268"/>
        <v>0</v>
      </c>
      <c r="UIU46" s="420">
        <f t="shared" si="268"/>
        <v>0</v>
      </c>
      <c r="UIV46" s="420">
        <f t="shared" si="268"/>
        <v>0</v>
      </c>
      <c r="UIW46" s="420">
        <f t="shared" si="268"/>
        <v>0</v>
      </c>
      <c r="UIX46" s="420">
        <f t="shared" si="268"/>
        <v>0</v>
      </c>
      <c r="UIY46" s="420">
        <f t="shared" si="268"/>
        <v>0</v>
      </c>
      <c r="UIZ46" s="420">
        <f t="shared" si="268"/>
        <v>0</v>
      </c>
      <c r="UJA46" s="420">
        <f t="shared" si="268"/>
        <v>0</v>
      </c>
      <c r="UJB46" s="420">
        <f t="shared" si="268"/>
        <v>0</v>
      </c>
      <c r="UJC46" s="420">
        <f t="shared" si="268"/>
        <v>0</v>
      </c>
      <c r="UJD46" s="420">
        <f t="shared" si="268"/>
        <v>0</v>
      </c>
      <c r="UJE46" s="420">
        <f t="shared" si="268"/>
        <v>0</v>
      </c>
      <c r="UJF46" s="420">
        <f t="shared" si="268"/>
        <v>0</v>
      </c>
      <c r="UJG46" s="420">
        <f t="shared" si="268"/>
        <v>0</v>
      </c>
      <c r="UJH46" s="420">
        <f t="shared" si="268"/>
        <v>0</v>
      </c>
      <c r="UJI46" s="420">
        <f t="shared" si="268"/>
        <v>0</v>
      </c>
      <c r="UJJ46" s="420">
        <f t="shared" si="268"/>
        <v>0</v>
      </c>
      <c r="UJK46" s="420">
        <f t="shared" si="268"/>
        <v>0</v>
      </c>
      <c r="UJL46" s="420">
        <f t="shared" si="268"/>
        <v>0</v>
      </c>
      <c r="UJM46" s="420">
        <f t="shared" ref="UJM46:ULX46" si="269">UJM45*0.8</f>
        <v>0</v>
      </c>
      <c r="UJN46" s="420">
        <f t="shared" si="269"/>
        <v>0</v>
      </c>
      <c r="UJO46" s="420">
        <f t="shared" si="269"/>
        <v>0</v>
      </c>
      <c r="UJP46" s="420">
        <f t="shared" si="269"/>
        <v>0</v>
      </c>
      <c r="UJQ46" s="420">
        <f t="shared" si="269"/>
        <v>0</v>
      </c>
      <c r="UJR46" s="420">
        <f t="shared" si="269"/>
        <v>0</v>
      </c>
      <c r="UJS46" s="420">
        <f t="shared" si="269"/>
        <v>0</v>
      </c>
      <c r="UJT46" s="420">
        <f t="shared" si="269"/>
        <v>0</v>
      </c>
      <c r="UJU46" s="420">
        <f t="shared" si="269"/>
        <v>0</v>
      </c>
      <c r="UJV46" s="420">
        <f t="shared" si="269"/>
        <v>0</v>
      </c>
      <c r="UJW46" s="420">
        <f t="shared" si="269"/>
        <v>0</v>
      </c>
      <c r="UJX46" s="420">
        <f t="shared" si="269"/>
        <v>0</v>
      </c>
      <c r="UJY46" s="420">
        <f t="shared" si="269"/>
        <v>0</v>
      </c>
      <c r="UJZ46" s="420">
        <f t="shared" si="269"/>
        <v>0</v>
      </c>
      <c r="UKA46" s="420">
        <f t="shared" si="269"/>
        <v>0</v>
      </c>
      <c r="UKB46" s="420">
        <f t="shared" si="269"/>
        <v>0</v>
      </c>
      <c r="UKC46" s="420">
        <f t="shared" si="269"/>
        <v>0</v>
      </c>
      <c r="UKD46" s="420">
        <f t="shared" si="269"/>
        <v>0</v>
      </c>
      <c r="UKE46" s="420">
        <f t="shared" si="269"/>
        <v>0</v>
      </c>
      <c r="UKF46" s="420">
        <f t="shared" si="269"/>
        <v>0</v>
      </c>
      <c r="UKG46" s="420">
        <f t="shared" si="269"/>
        <v>0</v>
      </c>
      <c r="UKH46" s="420">
        <f t="shared" si="269"/>
        <v>0</v>
      </c>
      <c r="UKI46" s="420">
        <f t="shared" si="269"/>
        <v>0</v>
      </c>
      <c r="UKJ46" s="420">
        <f t="shared" si="269"/>
        <v>0</v>
      </c>
      <c r="UKK46" s="420">
        <f t="shared" si="269"/>
        <v>0</v>
      </c>
      <c r="UKL46" s="420">
        <f t="shared" si="269"/>
        <v>0</v>
      </c>
      <c r="UKM46" s="420">
        <f t="shared" si="269"/>
        <v>0</v>
      </c>
      <c r="UKN46" s="420">
        <f t="shared" si="269"/>
        <v>0</v>
      </c>
      <c r="UKO46" s="420">
        <f t="shared" si="269"/>
        <v>0</v>
      </c>
      <c r="UKP46" s="420">
        <f t="shared" si="269"/>
        <v>0</v>
      </c>
      <c r="UKQ46" s="420">
        <f t="shared" si="269"/>
        <v>0</v>
      </c>
      <c r="UKR46" s="420">
        <f t="shared" si="269"/>
        <v>0</v>
      </c>
      <c r="UKS46" s="420">
        <f t="shared" si="269"/>
        <v>0</v>
      </c>
      <c r="UKT46" s="420">
        <f t="shared" si="269"/>
        <v>0</v>
      </c>
      <c r="UKU46" s="420">
        <f t="shared" si="269"/>
        <v>0</v>
      </c>
      <c r="UKV46" s="420">
        <f t="shared" si="269"/>
        <v>0</v>
      </c>
      <c r="UKW46" s="420">
        <f t="shared" si="269"/>
        <v>0</v>
      </c>
      <c r="UKX46" s="420">
        <f t="shared" si="269"/>
        <v>0</v>
      </c>
      <c r="UKY46" s="420">
        <f t="shared" si="269"/>
        <v>0</v>
      </c>
      <c r="UKZ46" s="420">
        <f t="shared" si="269"/>
        <v>0</v>
      </c>
      <c r="ULA46" s="420">
        <f t="shared" si="269"/>
        <v>0</v>
      </c>
      <c r="ULB46" s="420">
        <f t="shared" si="269"/>
        <v>0</v>
      </c>
      <c r="ULC46" s="420">
        <f t="shared" si="269"/>
        <v>0</v>
      </c>
      <c r="ULD46" s="420">
        <f t="shared" si="269"/>
        <v>0</v>
      </c>
      <c r="ULE46" s="420">
        <f t="shared" si="269"/>
        <v>0</v>
      </c>
      <c r="ULF46" s="420">
        <f t="shared" si="269"/>
        <v>0</v>
      </c>
      <c r="ULG46" s="420">
        <f t="shared" si="269"/>
        <v>0</v>
      </c>
      <c r="ULH46" s="420">
        <f t="shared" si="269"/>
        <v>0</v>
      </c>
      <c r="ULI46" s="420">
        <f t="shared" si="269"/>
        <v>0</v>
      </c>
      <c r="ULJ46" s="420">
        <f t="shared" si="269"/>
        <v>0</v>
      </c>
      <c r="ULK46" s="420">
        <f t="shared" si="269"/>
        <v>0</v>
      </c>
      <c r="ULL46" s="420">
        <f t="shared" si="269"/>
        <v>0</v>
      </c>
      <c r="ULM46" s="420">
        <f t="shared" si="269"/>
        <v>0</v>
      </c>
      <c r="ULN46" s="420">
        <f t="shared" si="269"/>
        <v>0</v>
      </c>
      <c r="ULO46" s="420">
        <f t="shared" si="269"/>
        <v>0</v>
      </c>
      <c r="ULP46" s="420">
        <f t="shared" si="269"/>
        <v>0</v>
      </c>
      <c r="ULQ46" s="420">
        <f t="shared" si="269"/>
        <v>0</v>
      </c>
      <c r="ULR46" s="420">
        <f t="shared" si="269"/>
        <v>0</v>
      </c>
      <c r="ULS46" s="420">
        <f t="shared" si="269"/>
        <v>0</v>
      </c>
      <c r="ULT46" s="420">
        <f t="shared" si="269"/>
        <v>0</v>
      </c>
      <c r="ULU46" s="420">
        <f t="shared" si="269"/>
        <v>0</v>
      </c>
      <c r="ULV46" s="420">
        <f t="shared" si="269"/>
        <v>0</v>
      </c>
      <c r="ULW46" s="420">
        <f t="shared" si="269"/>
        <v>0</v>
      </c>
      <c r="ULX46" s="420">
        <f t="shared" si="269"/>
        <v>0</v>
      </c>
      <c r="ULY46" s="420">
        <f t="shared" ref="ULY46:UOJ46" si="270">ULY45*0.8</f>
        <v>0</v>
      </c>
      <c r="ULZ46" s="420">
        <f t="shared" si="270"/>
        <v>0</v>
      </c>
      <c r="UMA46" s="420">
        <f t="shared" si="270"/>
        <v>0</v>
      </c>
      <c r="UMB46" s="420">
        <f t="shared" si="270"/>
        <v>0</v>
      </c>
      <c r="UMC46" s="420">
        <f t="shared" si="270"/>
        <v>0</v>
      </c>
      <c r="UMD46" s="420">
        <f t="shared" si="270"/>
        <v>0</v>
      </c>
      <c r="UME46" s="420">
        <f t="shared" si="270"/>
        <v>0</v>
      </c>
      <c r="UMF46" s="420">
        <f t="shared" si="270"/>
        <v>0</v>
      </c>
      <c r="UMG46" s="420">
        <f t="shared" si="270"/>
        <v>0</v>
      </c>
      <c r="UMH46" s="420">
        <f t="shared" si="270"/>
        <v>0</v>
      </c>
      <c r="UMI46" s="420">
        <f t="shared" si="270"/>
        <v>0</v>
      </c>
      <c r="UMJ46" s="420">
        <f t="shared" si="270"/>
        <v>0</v>
      </c>
      <c r="UMK46" s="420">
        <f t="shared" si="270"/>
        <v>0</v>
      </c>
      <c r="UML46" s="420">
        <f t="shared" si="270"/>
        <v>0</v>
      </c>
      <c r="UMM46" s="420">
        <f t="shared" si="270"/>
        <v>0</v>
      </c>
      <c r="UMN46" s="420">
        <f t="shared" si="270"/>
        <v>0</v>
      </c>
      <c r="UMO46" s="420">
        <f t="shared" si="270"/>
        <v>0</v>
      </c>
      <c r="UMP46" s="420">
        <f t="shared" si="270"/>
        <v>0</v>
      </c>
      <c r="UMQ46" s="420">
        <f t="shared" si="270"/>
        <v>0</v>
      </c>
      <c r="UMR46" s="420">
        <f t="shared" si="270"/>
        <v>0</v>
      </c>
      <c r="UMS46" s="420">
        <f t="shared" si="270"/>
        <v>0</v>
      </c>
      <c r="UMT46" s="420">
        <f t="shared" si="270"/>
        <v>0</v>
      </c>
      <c r="UMU46" s="420">
        <f t="shared" si="270"/>
        <v>0</v>
      </c>
      <c r="UMV46" s="420">
        <f t="shared" si="270"/>
        <v>0</v>
      </c>
      <c r="UMW46" s="420">
        <f t="shared" si="270"/>
        <v>0</v>
      </c>
      <c r="UMX46" s="420">
        <f t="shared" si="270"/>
        <v>0</v>
      </c>
      <c r="UMY46" s="420">
        <f t="shared" si="270"/>
        <v>0</v>
      </c>
      <c r="UMZ46" s="420">
        <f t="shared" si="270"/>
        <v>0</v>
      </c>
      <c r="UNA46" s="420">
        <f t="shared" si="270"/>
        <v>0</v>
      </c>
      <c r="UNB46" s="420">
        <f t="shared" si="270"/>
        <v>0</v>
      </c>
      <c r="UNC46" s="420">
        <f t="shared" si="270"/>
        <v>0</v>
      </c>
      <c r="UND46" s="420">
        <f t="shared" si="270"/>
        <v>0</v>
      </c>
      <c r="UNE46" s="420">
        <f t="shared" si="270"/>
        <v>0</v>
      </c>
      <c r="UNF46" s="420">
        <f t="shared" si="270"/>
        <v>0</v>
      </c>
      <c r="UNG46" s="420">
        <f t="shared" si="270"/>
        <v>0</v>
      </c>
      <c r="UNH46" s="420">
        <f t="shared" si="270"/>
        <v>0</v>
      </c>
      <c r="UNI46" s="420">
        <f t="shared" si="270"/>
        <v>0</v>
      </c>
      <c r="UNJ46" s="420">
        <f t="shared" si="270"/>
        <v>0</v>
      </c>
      <c r="UNK46" s="420">
        <f t="shared" si="270"/>
        <v>0</v>
      </c>
      <c r="UNL46" s="420">
        <f t="shared" si="270"/>
        <v>0</v>
      </c>
      <c r="UNM46" s="420">
        <f t="shared" si="270"/>
        <v>0</v>
      </c>
      <c r="UNN46" s="420">
        <f t="shared" si="270"/>
        <v>0</v>
      </c>
      <c r="UNO46" s="420">
        <f t="shared" si="270"/>
        <v>0</v>
      </c>
      <c r="UNP46" s="420">
        <f t="shared" si="270"/>
        <v>0</v>
      </c>
      <c r="UNQ46" s="420">
        <f t="shared" si="270"/>
        <v>0</v>
      </c>
      <c r="UNR46" s="420">
        <f t="shared" si="270"/>
        <v>0</v>
      </c>
      <c r="UNS46" s="420">
        <f t="shared" si="270"/>
        <v>0</v>
      </c>
      <c r="UNT46" s="420">
        <f t="shared" si="270"/>
        <v>0</v>
      </c>
      <c r="UNU46" s="420">
        <f t="shared" si="270"/>
        <v>0</v>
      </c>
      <c r="UNV46" s="420">
        <f t="shared" si="270"/>
        <v>0</v>
      </c>
      <c r="UNW46" s="420">
        <f t="shared" si="270"/>
        <v>0</v>
      </c>
      <c r="UNX46" s="420">
        <f t="shared" si="270"/>
        <v>0</v>
      </c>
      <c r="UNY46" s="420">
        <f t="shared" si="270"/>
        <v>0</v>
      </c>
      <c r="UNZ46" s="420">
        <f t="shared" si="270"/>
        <v>0</v>
      </c>
      <c r="UOA46" s="420">
        <f t="shared" si="270"/>
        <v>0</v>
      </c>
      <c r="UOB46" s="420">
        <f t="shared" si="270"/>
        <v>0</v>
      </c>
      <c r="UOC46" s="420">
        <f t="shared" si="270"/>
        <v>0</v>
      </c>
      <c r="UOD46" s="420">
        <f t="shared" si="270"/>
        <v>0</v>
      </c>
      <c r="UOE46" s="420">
        <f t="shared" si="270"/>
        <v>0</v>
      </c>
      <c r="UOF46" s="420">
        <f t="shared" si="270"/>
        <v>0</v>
      </c>
      <c r="UOG46" s="420">
        <f t="shared" si="270"/>
        <v>0</v>
      </c>
      <c r="UOH46" s="420">
        <f t="shared" si="270"/>
        <v>0</v>
      </c>
      <c r="UOI46" s="420">
        <f t="shared" si="270"/>
        <v>0</v>
      </c>
      <c r="UOJ46" s="420">
        <f t="shared" si="270"/>
        <v>0</v>
      </c>
      <c r="UOK46" s="420">
        <f t="shared" ref="UOK46:UQV46" si="271">UOK45*0.8</f>
        <v>0</v>
      </c>
      <c r="UOL46" s="420">
        <f t="shared" si="271"/>
        <v>0</v>
      </c>
      <c r="UOM46" s="420">
        <f t="shared" si="271"/>
        <v>0</v>
      </c>
      <c r="UON46" s="420">
        <f t="shared" si="271"/>
        <v>0</v>
      </c>
      <c r="UOO46" s="420">
        <f t="shared" si="271"/>
        <v>0</v>
      </c>
      <c r="UOP46" s="420">
        <f t="shared" si="271"/>
        <v>0</v>
      </c>
      <c r="UOQ46" s="420">
        <f t="shared" si="271"/>
        <v>0</v>
      </c>
      <c r="UOR46" s="420">
        <f t="shared" si="271"/>
        <v>0</v>
      </c>
      <c r="UOS46" s="420">
        <f t="shared" si="271"/>
        <v>0</v>
      </c>
      <c r="UOT46" s="420">
        <f t="shared" si="271"/>
        <v>0</v>
      </c>
      <c r="UOU46" s="420">
        <f t="shared" si="271"/>
        <v>0</v>
      </c>
      <c r="UOV46" s="420">
        <f t="shared" si="271"/>
        <v>0</v>
      </c>
      <c r="UOW46" s="420">
        <f t="shared" si="271"/>
        <v>0</v>
      </c>
      <c r="UOX46" s="420">
        <f t="shared" si="271"/>
        <v>0</v>
      </c>
      <c r="UOY46" s="420">
        <f t="shared" si="271"/>
        <v>0</v>
      </c>
      <c r="UOZ46" s="420">
        <f t="shared" si="271"/>
        <v>0</v>
      </c>
      <c r="UPA46" s="420">
        <f t="shared" si="271"/>
        <v>0</v>
      </c>
      <c r="UPB46" s="420">
        <f t="shared" si="271"/>
        <v>0</v>
      </c>
      <c r="UPC46" s="420">
        <f t="shared" si="271"/>
        <v>0</v>
      </c>
      <c r="UPD46" s="420">
        <f t="shared" si="271"/>
        <v>0</v>
      </c>
      <c r="UPE46" s="420">
        <f t="shared" si="271"/>
        <v>0</v>
      </c>
      <c r="UPF46" s="420">
        <f t="shared" si="271"/>
        <v>0</v>
      </c>
      <c r="UPG46" s="420">
        <f t="shared" si="271"/>
        <v>0</v>
      </c>
      <c r="UPH46" s="420">
        <f t="shared" si="271"/>
        <v>0</v>
      </c>
      <c r="UPI46" s="420">
        <f t="shared" si="271"/>
        <v>0</v>
      </c>
      <c r="UPJ46" s="420">
        <f t="shared" si="271"/>
        <v>0</v>
      </c>
      <c r="UPK46" s="420">
        <f t="shared" si="271"/>
        <v>0</v>
      </c>
      <c r="UPL46" s="420">
        <f t="shared" si="271"/>
        <v>0</v>
      </c>
      <c r="UPM46" s="420">
        <f t="shared" si="271"/>
        <v>0</v>
      </c>
      <c r="UPN46" s="420">
        <f t="shared" si="271"/>
        <v>0</v>
      </c>
      <c r="UPO46" s="420">
        <f t="shared" si="271"/>
        <v>0</v>
      </c>
      <c r="UPP46" s="420">
        <f t="shared" si="271"/>
        <v>0</v>
      </c>
      <c r="UPQ46" s="420">
        <f t="shared" si="271"/>
        <v>0</v>
      </c>
      <c r="UPR46" s="420">
        <f t="shared" si="271"/>
        <v>0</v>
      </c>
      <c r="UPS46" s="420">
        <f t="shared" si="271"/>
        <v>0</v>
      </c>
      <c r="UPT46" s="420">
        <f t="shared" si="271"/>
        <v>0</v>
      </c>
      <c r="UPU46" s="420">
        <f t="shared" si="271"/>
        <v>0</v>
      </c>
      <c r="UPV46" s="420">
        <f t="shared" si="271"/>
        <v>0</v>
      </c>
      <c r="UPW46" s="420">
        <f t="shared" si="271"/>
        <v>0</v>
      </c>
      <c r="UPX46" s="420">
        <f t="shared" si="271"/>
        <v>0</v>
      </c>
      <c r="UPY46" s="420">
        <f t="shared" si="271"/>
        <v>0</v>
      </c>
      <c r="UPZ46" s="420">
        <f t="shared" si="271"/>
        <v>0</v>
      </c>
      <c r="UQA46" s="420">
        <f t="shared" si="271"/>
        <v>0</v>
      </c>
      <c r="UQB46" s="420">
        <f t="shared" si="271"/>
        <v>0</v>
      </c>
      <c r="UQC46" s="420">
        <f t="shared" si="271"/>
        <v>0</v>
      </c>
      <c r="UQD46" s="420">
        <f t="shared" si="271"/>
        <v>0</v>
      </c>
      <c r="UQE46" s="420">
        <f t="shared" si="271"/>
        <v>0</v>
      </c>
      <c r="UQF46" s="420">
        <f t="shared" si="271"/>
        <v>0</v>
      </c>
      <c r="UQG46" s="420">
        <f t="shared" si="271"/>
        <v>0</v>
      </c>
      <c r="UQH46" s="420">
        <f t="shared" si="271"/>
        <v>0</v>
      </c>
      <c r="UQI46" s="420">
        <f t="shared" si="271"/>
        <v>0</v>
      </c>
      <c r="UQJ46" s="420">
        <f t="shared" si="271"/>
        <v>0</v>
      </c>
      <c r="UQK46" s="420">
        <f t="shared" si="271"/>
        <v>0</v>
      </c>
      <c r="UQL46" s="420">
        <f t="shared" si="271"/>
        <v>0</v>
      </c>
      <c r="UQM46" s="420">
        <f t="shared" si="271"/>
        <v>0</v>
      </c>
      <c r="UQN46" s="420">
        <f t="shared" si="271"/>
        <v>0</v>
      </c>
      <c r="UQO46" s="420">
        <f t="shared" si="271"/>
        <v>0</v>
      </c>
      <c r="UQP46" s="420">
        <f t="shared" si="271"/>
        <v>0</v>
      </c>
      <c r="UQQ46" s="420">
        <f t="shared" si="271"/>
        <v>0</v>
      </c>
      <c r="UQR46" s="420">
        <f t="shared" si="271"/>
        <v>0</v>
      </c>
      <c r="UQS46" s="420">
        <f t="shared" si="271"/>
        <v>0</v>
      </c>
      <c r="UQT46" s="420">
        <f t="shared" si="271"/>
        <v>0</v>
      </c>
      <c r="UQU46" s="420">
        <f t="shared" si="271"/>
        <v>0</v>
      </c>
      <c r="UQV46" s="420">
        <f t="shared" si="271"/>
        <v>0</v>
      </c>
      <c r="UQW46" s="420">
        <f t="shared" ref="UQW46:UTH46" si="272">UQW45*0.8</f>
        <v>0</v>
      </c>
      <c r="UQX46" s="420">
        <f t="shared" si="272"/>
        <v>0</v>
      </c>
      <c r="UQY46" s="420">
        <f t="shared" si="272"/>
        <v>0</v>
      </c>
      <c r="UQZ46" s="420">
        <f t="shared" si="272"/>
        <v>0</v>
      </c>
      <c r="URA46" s="420">
        <f t="shared" si="272"/>
        <v>0</v>
      </c>
      <c r="URB46" s="420">
        <f t="shared" si="272"/>
        <v>0</v>
      </c>
      <c r="URC46" s="420">
        <f t="shared" si="272"/>
        <v>0</v>
      </c>
      <c r="URD46" s="420">
        <f t="shared" si="272"/>
        <v>0</v>
      </c>
      <c r="URE46" s="420">
        <f t="shared" si="272"/>
        <v>0</v>
      </c>
      <c r="URF46" s="420">
        <f t="shared" si="272"/>
        <v>0</v>
      </c>
      <c r="URG46" s="420">
        <f t="shared" si="272"/>
        <v>0</v>
      </c>
      <c r="URH46" s="420">
        <f t="shared" si="272"/>
        <v>0</v>
      </c>
      <c r="URI46" s="420">
        <f t="shared" si="272"/>
        <v>0</v>
      </c>
      <c r="URJ46" s="420">
        <f t="shared" si="272"/>
        <v>0</v>
      </c>
      <c r="URK46" s="420">
        <f t="shared" si="272"/>
        <v>0</v>
      </c>
      <c r="URL46" s="420">
        <f t="shared" si="272"/>
        <v>0</v>
      </c>
      <c r="URM46" s="420">
        <f t="shared" si="272"/>
        <v>0</v>
      </c>
      <c r="URN46" s="420">
        <f t="shared" si="272"/>
        <v>0</v>
      </c>
      <c r="URO46" s="420">
        <f t="shared" si="272"/>
        <v>0</v>
      </c>
      <c r="URP46" s="420">
        <f t="shared" si="272"/>
        <v>0</v>
      </c>
      <c r="URQ46" s="420">
        <f t="shared" si="272"/>
        <v>0</v>
      </c>
      <c r="URR46" s="420">
        <f t="shared" si="272"/>
        <v>0</v>
      </c>
      <c r="URS46" s="420">
        <f t="shared" si="272"/>
        <v>0</v>
      </c>
      <c r="URT46" s="420">
        <f t="shared" si="272"/>
        <v>0</v>
      </c>
      <c r="URU46" s="420">
        <f t="shared" si="272"/>
        <v>0</v>
      </c>
      <c r="URV46" s="420">
        <f t="shared" si="272"/>
        <v>0</v>
      </c>
      <c r="URW46" s="420">
        <f t="shared" si="272"/>
        <v>0</v>
      </c>
      <c r="URX46" s="420">
        <f t="shared" si="272"/>
        <v>0</v>
      </c>
      <c r="URY46" s="420">
        <f t="shared" si="272"/>
        <v>0</v>
      </c>
      <c r="URZ46" s="420">
        <f t="shared" si="272"/>
        <v>0</v>
      </c>
      <c r="USA46" s="420">
        <f t="shared" si="272"/>
        <v>0</v>
      </c>
      <c r="USB46" s="420">
        <f t="shared" si="272"/>
        <v>0</v>
      </c>
      <c r="USC46" s="420">
        <f t="shared" si="272"/>
        <v>0</v>
      </c>
      <c r="USD46" s="420">
        <f t="shared" si="272"/>
        <v>0</v>
      </c>
      <c r="USE46" s="420">
        <f t="shared" si="272"/>
        <v>0</v>
      </c>
      <c r="USF46" s="420">
        <f t="shared" si="272"/>
        <v>0</v>
      </c>
      <c r="USG46" s="420">
        <f t="shared" si="272"/>
        <v>0</v>
      </c>
      <c r="USH46" s="420">
        <f t="shared" si="272"/>
        <v>0</v>
      </c>
      <c r="USI46" s="420">
        <f t="shared" si="272"/>
        <v>0</v>
      </c>
      <c r="USJ46" s="420">
        <f t="shared" si="272"/>
        <v>0</v>
      </c>
      <c r="USK46" s="420">
        <f t="shared" si="272"/>
        <v>0</v>
      </c>
      <c r="USL46" s="420">
        <f t="shared" si="272"/>
        <v>0</v>
      </c>
      <c r="USM46" s="420">
        <f t="shared" si="272"/>
        <v>0</v>
      </c>
      <c r="USN46" s="420">
        <f t="shared" si="272"/>
        <v>0</v>
      </c>
      <c r="USO46" s="420">
        <f t="shared" si="272"/>
        <v>0</v>
      </c>
      <c r="USP46" s="420">
        <f t="shared" si="272"/>
        <v>0</v>
      </c>
      <c r="USQ46" s="420">
        <f t="shared" si="272"/>
        <v>0</v>
      </c>
      <c r="USR46" s="420">
        <f t="shared" si="272"/>
        <v>0</v>
      </c>
      <c r="USS46" s="420">
        <f t="shared" si="272"/>
        <v>0</v>
      </c>
      <c r="UST46" s="420">
        <f t="shared" si="272"/>
        <v>0</v>
      </c>
      <c r="USU46" s="420">
        <f t="shared" si="272"/>
        <v>0</v>
      </c>
      <c r="USV46" s="420">
        <f t="shared" si="272"/>
        <v>0</v>
      </c>
      <c r="USW46" s="420">
        <f t="shared" si="272"/>
        <v>0</v>
      </c>
      <c r="USX46" s="420">
        <f t="shared" si="272"/>
        <v>0</v>
      </c>
      <c r="USY46" s="420">
        <f t="shared" si="272"/>
        <v>0</v>
      </c>
      <c r="USZ46" s="420">
        <f t="shared" si="272"/>
        <v>0</v>
      </c>
      <c r="UTA46" s="420">
        <f t="shared" si="272"/>
        <v>0</v>
      </c>
      <c r="UTB46" s="420">
        <f t="shared" si="272"/>
        <v>0</v>
      </c>
      <c r="UTC46" s="420">
        <f t="shared" si="272"/>
        <v>0</v>
      </c>
      <c r="UTD46" s="420">
        <f t="shared" si="272"/>
        <v>0</v>
      </c>
      <c r="UTE46" s="420">
        <f t="shared" si="272"/>
        <v>0</v>
      </c>
      <c r="UTF46" s="420">
        <f t="shared" si="272"/>
        <v>0</v>
      </c>
      <c r="UTG46" s="420">
        <f t="shared" si="272"/>
        <v>0</v>
      </c>
      <c r="UTH46" s="420">
        <f t="shared" si="272"/>
        <v>0</v>
      </c>
      <c r="UTI46" s="420">
        <f t="shared" ref="UTI46:UVT46" si="273">UTI45*0.8</f>
        <v>0</v>
      </c>
      <c r="UTJ46" s="420">
        <f t="shared" si="273"/>
        <v>0</v>
      </c>
      <c r="UTK46" s="420">
        <f t="shared" si="273"/>
        <v>0</v>
      </c>
      <c r="UTL46" s="420">
        <f t="shared" si="273"/>
        <v>0</v>
      </c>
      <c r="UTM46" s="420">
        <f t="shared" si="273"/>
        <v>0</v>
      </c>
      <c r="UTN46" s="420">
        <f t="shared" si="273"/>
        <v>0</v>
      </c>
      <c r="UTO46" s="420">
        <f t="shared" si="273"/>
        <v>0</v>
      </c>
      <c r="UTP46" s="420">
        <f t="shared" si="273"/>
        <v>0</v>
      </c>
      <c r="UTQ46" s="420">
        <f t="shared" si="273"/>
        <v>0</v>
      </c>
      <c r="UTR46" s="420">
        <f t="shared" si="273"/>
        <v>0</v>
      </c>
      <c r="UTS46" s="420">
        <f t="shared" si="273"/>
        <v>0</v>
      </c>
      <c r="UTT46" s="420">
        <f t="shared" si="273"/>
        <v>0</v>
      </c>
      <c r="UTU46" s="420">
        <f t="shared" si="273"/>
        <v>0</v>
      </c>
      <c r="UTV46" s="420">
        <f t="shared" si="273"/>
        <v>0</v>
      </c>
      <c r="UTW46" s="420">
        <f t="shared" si="273"/>
        <v>0</v>
      </c>
      <c r="UTX46" s="420">
        <f t="shared" si="273"/>
        <v>0</v>
      </c>
      <c r="UTY46" s="420">
        <f t="shared" si="273"/>
        <v>0</v>
      </c>
      <c r="UTZ46" s="420">
        <f t="shared" si="273"/>
        <v>0</v>
      </c>
      <c r="UUA46" s="420">
        <f t="shared" si="273"/>
        <v>0</v>
      </c>
      <c r="UUB46" s="420">
        <f t="shared" si="273"/>
        <v>0</v>
      </c>
      <c r="UUC46" s="420">
        <f t="shared" si="273"/>
        <v>0</v>
      </c>
      <c r="UUD46" s="420">
        <f t="shared" si="273"/>
        <v>0</v>
      </c>
      <c r="UUE46" s="420">
        <f t="shared" si="273"/>
        <v>0</v>
      </c>
      <c r="UUF46" s="420">
        <f t="shared" si="273"/>
        <v>0</v>
      </c>
      <c r="UUG46" s="420">
        <f t="shared" si="273"/>
        <v>0</v>
      </c>
      <c r="UUH46" s="420">
        <f t="shared" si="273"/>
        <v>0</v>
      </c>
      <c r="UUI46" s="420">
        <f t="shared" si="273"/>
        <v>0</v>
      </c>
      <c r="UUJ46" s="420">
        <f t="shared" si="273"/>
        <v>0</v>
      </c>
      <c r="UUK46" s="420">
        <f t="shared" si="273"/>
        <v>0</v>
      </c>
      <c r="UUL46" s="420">
        <f t="shared" si="273"/>
        <v>0</v>
      </c>
      <c r="UUM46" s="420">
        <f t="shared" si="273"/>
        <v>0</v>
      </c>
      <c r="UUN46" s="420">
        <f t="shared" si="273"/>
        <v>0</v>
      </c>
      <c r="UUO46" s="420">
        <f t="shared" si="273"/>
        <v>0</v>
      </c>
      <c r="UUP46" s="420">
        <f t="shared" si="273"/>
        <v>0</v>
      </c>
      <c r="UUQ46" s="420">
        <f t="shared" si="273"/>
        <v>0</v>
      </c>
      <c r="UUR46" s="420">
        <f t="shared" si="273"/>
        <v>0</v>
      </c>
      <c r="UUS46" s="420">
        <f t="shared" si="273"/>
        <v>0</v>
      </c>
      <c r="UUT46" s="420">
        <f t="shared" si="273"/>
        <v>0</v>
      </c>
      <c r="UUU46" s="420">
        <f t="shared" si="273"/>
        <v>0</v>
      </c>
      <c r="UUV46" s="420">
        <f t="shared" si="273"/>
        <v>0</v>
      </c>
      <c r="UUW46" s="420">
        <f t="shared" si="273"/>
        <v>0</v>
      </c>
      <c r="UUX46" s="420">
        <f t="shared" si="273"/>
        <v>0</v>
      </c>
      <c r="UUY46" s="420">
        <f t="shared" si="273"/>
        <v>0</v>
      </c>
      <c r="UUZ46" s="420">
        <f t="shared" si="273"/>
        <v>0</v>
      </c>
      <c r="UVA46" s="420">
        <f t="shared" si="273"/>
        <v>0</v>
      </c>
      <c r="UVB46" s="420">
        <f t="shared" si="273"/>
        <v>0</v>
      </c>
      <c r="UVC46" s="420">
        <f t="shared" si="273"/>
        <v>0</v>
      </c>
      <c r="UVD46" s="420">
        <f t="shared" si="273"/>
        <v>0</v>
      </c>
      <c r="UVE46" s="420">
        <f t="shared" si="273"/>
        <v>0</v>
      </c>
      <c r="UVF46" s="420">
        <f t="shared" si="273"/>
        <v>0</v>
      </c>
      <c r="UVG46" s="420">
        <f t="shared" si="273"/>
        <v>0</v>
      </c>
      <c r="UVH46" s="420">
        <f t="shared" si="273"/>
        <v>0</v>
      </c>
      <c r="UVI46" s="420">
        <f t="shared" si="273"/>
        <v>0</v>
      </c>
      <c r="UVJ46" s="420">
        <f t="shared" si="273"/>
        <v>0</v>
      </c>
      <c r="UVK46" s="420">
        <f t="shared" si="273"/>
        <v>0</v>
      </c>
      <c r="UVL46" s="420">
        <f t="shared" si="273"/>
        <v>0</v>
      </c>
      <c r="UVM46" s="420">
        <f t="shared" si="273"/>
        <v>0</v>
      </c>
      <c r="UVN46" s="420">
        <f t="shared" si="273"/>
        <v>0</v>
      </c>
      <c r="UVO46" s="420">
        <f t="shared" si="273"/>
        <v>0</v>
      </c>
      <c r="UVP46" s="420">
        <f t="shared" si="273"/>
        <v>0</v>
      </c>
      <c r="UVQ46" s="420">
        <f t="shared" si="273"/>
        <v>0</v>
      </c>
      <c r="UVR46" s="420">
        <f t="shared" si="273"/>
        <v>0</v>
      </c>
      <c r="UVS46" s="420">
        <f t="shared" si="273"/>
        <v>0</v>
      </c>
      <c r="UVT46" s="420">
        <f t="shared" si="273"/>
        <v>0</v>
      </c>
      <c r="UVU46" s="420">
        <f t="shared" ref="UVU46:UYF46" si="274">UVU45*0.8</f>
        <v>0</v>
      </c>
      <c r="UVV46" s="420">
        <f t="shared" si="274"/>
        <v>0</v>
      </c>
      <c r="UVW46" s="420">
        <f t="shared" si="274"/>
        <v>0</v>
      </c>
      <c r="UVX46" s="420">
        <f t="shared" si="274"/>
        <v>0</v>
      </c>
      <c r="UVY46" s="420">
        <f t="shared" si="274"/>
        <v>0</v>
      </c>
      <c r="UVZ46" s="420">
        <f t="shared" si="274"/>
        <v>0</v>
      </c>
      <c r="UWA46" s="420">
        <f t="shared" si="274"/>
        <v>0</v>
      </c>
      <c r="UWB46" s="420">
        <f t="shared" si="274"/>
        <v>0</v>
      </c>
      <c r="UWC46" s="420">
        <f t="shared" si="274"/>
        <v>0</v>
      </c>
      <c r="UWD46" s="420">
        <f t="shared" si="274"/>
        <v>0</v>
      </c>
      <c r="UWE46" s="420">
        <f t="shared" si="274"/>
        <v>0</v>
      </c>
      <c r="UWF46" s="420">
        <f t="shared" si="274"/>
        <v>0</v>
      </c>
      <c r="UWG46" s="420">
        <f t="shared" si="274"/>
        <v>0</v>
      </c>
      <c r="UWH46" s="420">
        <f t="shared" si="274"/>
        <v>0</v>
      </c>
      <c r="UWI46" s="420">
        <f t="shared" si="274"/>
        <v>0</v>
      </c>
      <c r="UWJ46" s="420">
        <f t="shared" si="274"/>
        <v>0</v>
      </c>
      <c r="UWK46" s="420">
        <f t="shared" si="274"/>
        <v>0</v>
      </c>
      <c r="UWL46" s="420">
        <f t="shared" si="274"/>
        <v>0</v>
      </c>
      <c r="UWM46" s="420">
        <f t="shared" si="274"/>
        <v>0</v>
      </c>
      <c r="UWN46" s="420">
        <f t="shared" si="274"/>
        <v>0</v>
      </c>
      <c r="UWO46" s="420">
        <f t="shared" si="274"/>
        <v>0</v>
      </c>
      <c r="UWP46" s="420">
        <f t="shared" si="274"/>
        <v>0</v>
      </c>
      <c r="UWQ46" s="420">
        <f t="shared" si="274"/>
        <v>0</v>
      </c>
      <c r="UWR46" s="420">
        <f t="shared" si="274"/>
        <v>0</v>
      </c>
      <c r="UWS46" s="420">
        <f t="shared" si="274"/>
        <v>0</v>
      </c>
      <c r="UWT46" s="420">
        <f t="shared" si="274"/>
        <v>0</v>
      </c>
      <c r="UWU46" s="420">
        <f t="shared" si="274"/>
        <v>0</v>
      </c>
      <c r="UWV46" s="420">
        <f t="shared" si="274"/>
        <v>0</v>
      </c>
      <c r="UWW46" s="420">
        <f t="shared" si="274"/>
        <v>0</v>
      </c>
      <c r="UWX46" s="420">
        <f t="shared" si="274"/>
        <v>0</v>
      </c>
      <c r="UWY46" s="420">
        <f t="shared" si="274"/>
        <v>0</v>
      </c>
      <c r="UWZ46" s="420">
        <f t="shared" si="274"/>
        <v>0</v>
      </c>
      <c r="UXA46" s="420">
        <f t="shared" si="274"/>
        <v>0</v>
      </c>
      <c r="UXB46" s="420">
        <f t="shared" si="274"/>
        <v>0</v>
      </c>
      <c r="UXC46" s="420">
        <f t="shared" si="274"/>
        <v>0</v>
      </c>
      <c r="UXD46" s="420">
        <f t="shared" si="274"/>
        <v>0</v>
      </c>
      <c r="UXE46" s="420">
        <f t="shared" si="274"/>
        <v>0</v>
      </c>
      <c r="UXF46" s="420">
        <f t="shared" si="274"/>
        <v>0</v>
      </c>
      <c r="UXG46" s="420">
        <f t="shared" si="274"/>
        <v>0</v>
      </c>
      <c r="UXH46" s="420">
        <f t="shared" si="274"/>
        <v>0</v>
      </c>
      <c r="UXI46" s="420">
        <f t="shared" si="274"/>
        <v>0</v>
      </c>
      <c r="UXJ46" s="420">
        <f t="shared" si="274"/>
        <v>0</v>
      </c>
      <c r="UXK46" s="420">
        <f t="shared" si="274"/>
        <v>0</v>
      </c>
      <c r="UXL46" s="420">
        <f t="shared" si="274"/>
        <v>0</v>
      </c>
      <c r="UXM46" s="420">
        <f t="shared" si="274"/>
        <v>0</v>
      </c>
      <c r="UXN46" s="420">
        <f t="shared" si="274"/>
        <v>0</v>
      </c>
      <c r="UXO46" s="420">
        <f t="shared" si="274"/>
        <v>0</v>
      </c>
      <c r="UXP46" s="420">
        <f t="shared" si="274"/>
        <v>0</v>
      </c>
      <c r="UXQ46" s="420">
        <f t="shared" si="274"/>
        <v>0</v>
      </c>
      <c r="UXR46" s="420">
        <f t="shared" si="274"/>
        <v>0</v>
      </c>
      <c r="UXS46" s="420">
        <f t="shared" si="274"/>
        <v>0</v>
      </c>
      <c r="UXT46" s="420">
        <f t="shared" si="274"/>
        <v>0</v>
      </c>
      <c r="UXU46" s="420">
        <f t="shared" si="274"/>
        <v>0</v>
      </c>
      <c r="UXV46" s="420">
        <f t="shared" si="274"/>
        <v>0</v>
      </c>
      <c r="UXW46" s="420">
        <f t="shared" si="274"/>
        <v>0</v>
      </c>
      <c r="UXX46" s="420">
        <f t="shared" si="274"/>
        <v>0</v>
      </c>
      <c r="UXY46" s="420">
        <f t="shared" si="274"/>
        <v>0</v>
      </c>
      <c r="UXZ46" s="420">
        <f t="shared" si="274"/>
        <v>0</v>
      </c>
      <c r="UYA46" s="420">
        <f t="shared" si="274"/>
        <v>0</v>
      </c>
      <c r="UYB46" s="420">
        <f t="shared" si="274"/>
        <v>0</v>
      </c>
      <c r="UYC46" s="420">
        <f t="shared" si="274"/>
        <v>0</v>
      </c>
      <c r="UYD46" s="420">
        <f t="shared" si="274"/>
        <v>0</v>
      </c>
      <c r="UYE46" s="420">
        <f t="shared" si="274"/>
        <v>0</v>
      </c>
      <c r="UYF46" s="420">
        <f t="shared" si="274"/>
        <v>0</v>
      </c>
      <c r="UYG46" s="420">
        <f t="shared" ref="UYG46:VAR46" si="275">UYG45*0.8</f>
        <v>0</v>
      </c>
      <c r="UYH46" s="420">
        <f t="shared" si="275"/>
        <v>0</v>
      </c>
      <c r="UYI46" s="420">
        <f t="shared" si="275"/>
        <v>0</v>
      </c>
      <c r="UYJ46" s="420">
        <f t="shared" si="275"/>
        <v>0</v>
      </c>
      <c r="UYK46" s="420">
        <f t="shared" si="275"/>
        <v>0</v>
      </c>
      <c r="UYL46" s="420">
        <f t="shared" si="275"/>
        <v>0</v>
      </c>
      <c r="UYM46" s="420">
        <f t="shared" si="275"/>
        <v>0</v>
      </c>
      <c r="UYN46" s="420">
        <f t="shared" si="275"/>
        <v>0</v>
      </c>
      <c r="UYO46" s="420">
        <f t="shared" si="275"/>
        <v>0</v>
      </c>
      <c r="UYP46" s="420">
        <f t="shared" si="275"/>
        <v>0</v>
      </c>
      <c r="UYQ46" s="420">
        <f t="shared" si="275"/>
        <v>0</v>
      </c>
      <c r="UYR46" s="420">
        <f t="shared" si="275"/>
        <v>0</v>
      </c>
      <c r="UYS46" s="420">
        <f t="shared" si="275"/>
        <v>0</v>
      </c>
      <c r="UYT46" s="420">
        <f t="shared" si="275"/>
        <v>0</v>
      </c>
      <c r="UYU46" s="420">
        <f t="shared" si="275"/>
        <v>0</v>
      </c>
      <c r="UYV46" s="420">
        <f t="shared" si="275"/>
        <v>0</v>
      </c>
      <c r="UYW46" s="420">
        <f t="shared" si="275"/>
        <v>0</v>
      </c>
      <c r="UYX46" s="420">
        <f t="shared" si="275"/>
        <v>0</v>
      </c>
      <c r="UYY46" s="420">
        <f t="shared" si="275"/>
        <v>0</v>
      </c>
      <c r="UYZ46" s="420">
        <f t="shared" si="275"/>
        <v>0</v>
      </c>
      <c r="UZA46" s="420">
        <f t="shared" si="275"/>
        <v>0</v>
      </c>
      <c r="UZB46" s="420">
        <f t="shared" si="275"/>
        <v>0</v>
      </c>
      <c r="UZC46" s="420">
        <f t="shared" si="275"/>
        <v>0</v>
      </c>
      <c r="UZD46" s="420">
        <f t="shared" si="275"/>
        <v>0</v>
      </c>
      <c r="UZE46" s="420">
        <f t="shared" si="275"/>
        <v>0</v>
      </c>
      <c r="UZF46" s="420">
        <f t="shared" si="275"/>
        <v>0</v>
      </c>
      <c r="UZG46" s="420">
        <f t="shared" si="275"/>
        <v>0</v>
      </c>
      <c r="UZH46" s="420">
        <f t="shared" si="275"/>
        <v>0</v>
      </c>
      <c r="UZI46" s="420">
        <f t="shared" si="275"/>
        <v>0</v>
      </c>
      <c r="UZJ46" s="420">
        <f t="shared" si="275"/>
        <v>0</v>
      </c>
      <c r="UZK46" s="420">
        <f t="shared" si="275"/>
        <v>0</v>
      </c>
      <c r="UZL46" s="420">
        <f t="shared" si="275"/>
        <v>0</v>
      </c>
      <c r="UZM46" s="420">
        <f t="shared" si="275"/>
        <v>0</v>
      </c>
      <c r="UZN46" s="420">
        <f t="shared" si="275"/>
        <v>0</v>
      </c>
      <c r="UZO46" s="420">
        <f t="shared" si="275"/>
        <v>0</v>
      </c>
      <c r="UZP46" s="420">
        <f t="shared" si="275"/>
        <v>0</v>
      </c>
      <c r="UZQ46" s="420">
        <f t="shared" si="275"/>
        <v>0</v>
      </c>
      <c r="UZR46" s="420">
        <f t="shared" si="275"/>
        <v>0</v>
      </c>
      <c r="UZS46" s="420">
        <f t="shared" si="275"/>
        <v>0</v>
      </c>
      <c r="UZT46" s="420">
        <f t="shared" si="275"/>
        <v>0</v>
      </c>
      <c r="UZU46" s="420">
        <f t="shared" si="275"/>
        <v>0</v>
      </c>
      <c r="UZV46" s="420">
        <f t="shared" si="275"/>
        <v>0</v>
      </c>
      <c r="UZW46" s="420">
        <f t="shared" si="275"/>
        <v>0</v>
      </c>
      <c r="UZX46" s="420">
        <f t="shared" si="275"/>
        <v>0</v>
      </c>
      <c r="UZY46" s="420">
        <f t="shared" si="275"/>
        <v>0</v>
      </c>
      <c r="UZZ46" s="420">
        <f t="shared" si="275"/>
        <v>0</v>
      </c>
      <c r="VAA46" s="420">
        <f t="shared" si="275"/>
        <v>0</v>
      </c>
      <c r="VAB46" s="420">
        <f t="shared" si="275"/>
        <v>0</v>
      </c>
      <c r="VAC46" s="420">
        <f t="shared" si="275"/>
        <v>0</v>
      </c>
      <c r="VAD46" s="420">
        <f t="shared" si="275"/>
        <v>0</v>
      </c>
      <c r="VAE46" s="420">
        <f t="shared" si="275"/>
        <v>0</v>
      </c>
      <c r="VAF46" s="420">
        <f t="shared" si="275"/>
        <v>0</v>
      </c>
      <c r="VAG46" s="420">
        <f t="shared" si="275"/>
        <v>0</v>
      </c>
      <c r="VAH46" s="420">
        <f t="shared" si="275"/>
        <v>0</v>
      </c>
      <c r="VAI46" s="420">
        <f t="shared" si="275"/>
        <v>0</v>
      </c>
      <c r="VAJ46" s="420">
        <f t="shared" si="275"/>
        <v>0</v>
      </c>
      <c r="VAK46" s="420">
        <f t="shared" si="275"/>
        <v>0</v>
      </c>
      <c r="VAL46" s="420">
        <f t="shared" si="275"/>
        <v>0</v>
      </c>
      <c r="VAM46" s="420">
        <f t="shared" si="275"/>
        <v>0</v>
      </c>
      <c r="VAN46" s="420">
        <f t="shared" si="275"/>
        <v>0</v>
      </c>
      <c r="VAO46" s="420">
        <f t="shared" si="275"/>
        <v>0</v>
      </c>
      <c r="VAP46" s="420">
        <f t="shared" si="275"/>
        <v>0</v>
      </c>
      <c r="VAQ46" s="420">
        <f t="shared" si="275"/>
        <v>0</v>
      </c>
      <c r="VAR46" s="420">
        <f t="shared" si="275"/>
        <v>0</v>
      </c>
      <c r="VAS46" s="420">
        <f t="shared" ref="VAS46:VDD46" si="276">VAS45*0.8</f>
        <v>0</v>
      </c>
      <c r="VAT46" s="420">
        <f t="shared" si="276"/>
        <v>0</v>
      </c>
      <c r="VAU46" s="420">
        <f t="shared" si="276"/>
        <v>0</v>
      </c>
      <c r="VAV46" s="420">
        <f t="shared" si="276"/>
        <v>0</v>
      </c>
      <c r="VAW46" s="420">
        <f t="shared" si="276"/>
        <v>0</v>
      </c>
      <c r="VAX46" s="420">
        <f t="shared" si="276"/>
        <v>0</v>
      </c>
      <c r="VAY46" s="420">
        <f t="shared" si="276"/>
        <v>0</v>
      </c>
      <c r="VAZ46" s="420">
        <f t="shared" si="276"/>
        <v>0</v>
      </c>
      <c r="VBA46" s="420">
        <f t="shared" si="276"/>
        <v>0</v>
      </c>
      <c r="VBB46" s="420">
        <f t="shared" si="276"/>
        <v>0</v>
      </c>
      <c r="VBC46" s="420">
        <f t="shared" si="276"/>
        <v>0</v>
      </c>
      <c r="VBD46" s="420">
        <f t="shared" si="276"/>
        <v>0</v>
      </c>
      <c r="VBE46" s="420">
        <f t="shared" si="276"/>
        <v>0</v>
      </c>
      <c r="VBF46" s="420">
        <f t="shared" si="276"/>
        <v>0</v>
      </c>
      <c r="VBG46" s="420">
        <f t="shared" si="276"/>
        <v>0</v>
      </c>
      <c r="VBH46" s="420">
        <f t="shared" si="276"/>
        <v>0</v>
      </c>
      <c r="VBI46" s="420">
        <f t="shared" si="276"/>
        <v>0</v>
      </c>
      <c r="VBJ46" s="420">
        <f t="shared" si="276"/>
        <v>0</v>
      </c>
      <c r="VBK46" s="420">
        <f t="shared" si="276"/>
        <v>0</v>
      </c>
      <c r="VBL46" s="420">
        <f t="shared" si="276"/>
        <v>0</v>
      </c>
      <c r="VBM46" s="420">
        <f t="shared" si="276"/>
        <v>0</v>
      </c>
      <c r="VBN46" s="420">
        <f t="shared" si="276"/>
        <v>0</v>
      </c>
      <c r="VBO46" s="420">
        <f t="shared" si="276"/>
        <v>0</v>
      </c>
      <c r="VBP46" s="420">
        <f t="shared" si="276"/>
        <v>0</v>
      </c>
      <c r="VBQ46" s="420">
        <f t="shared" si="276"/>
        <v>0</v>
      </c>
      <c r="VBR46" s="420">
        <f t="shared" si="276"/>
        <v>0</v>
      </c>
      <c r="VBS46" s="420">
        <f t="shared" si="276"/>
        <v>0</v>
      </c>
      <c r="VBT46" s="420">
        <f t="shared" si="276"/>
        <v>0</v>
      </c>
      <c r="VBU46" s="420">
        <f t="shared" si="276"/>
        <v>0</v>
      </c>
      <c r="VBV46" s="420">
        <f t="shared" si="276"/>
        <v>0</v>
      </c>
      <c r="VBW46" s="420">
        <f t="shared" si="276"/>
        <v>0</v>
      </c>
      <c r="VBX46" s="420">
        <f t="shared" si="276"/>
        <v>0</v>
      </c>
      <c r="VBY46" s="420">
        <f t="shared" si="276"/>
        <v>0</v>
      </c>
      <c r="VBZ46" s="420">
        <f t="shared" si="276"/>
        <v>0</v>
      </c>
      <c r="VCA46" s="420">
        <f t="shared" si="276"/>
        <v>0</v>
      </c>
      <c r="VCB46" s="420">
        <f t="shared" si="276"/>
        <v>0</v>
      </c>
      <c r="VCC46" s="420">
        <f t="shared" si="276"/>
        <v>0</v>
      </c>
      <c r="VCD46" s="420">
        <f t="shared" si="276"/>
        <v>0</v>
      </c>
      <c r="VCE46" s="420">
        <f t="shared" si="276"/>
        <v>0</v>
      </c>
      <c r="VCF46" s="420">
        <f t="shared" si="276"/>
        <v>0</v>
      </c>
      <c r="VCG46" s="420">
        <f t="shared" si="276"/>
        <v>0</v>
      </c>
      <c r="VCH46" s="420">
        <f t="shared" si="276"/>
        <v>0</v>
      </c>
      <c r="VCI46" s="420">
        <f t="shared" si="276"/>
        <v>0</v>
      </c>
      <c r="VCJ46" s="420">
        <f t="shared" si="276"/>
        <v>0</v>
      </c>
      <c r="VCK46" s="420">
        <f t="shared" si="276"/>
        <v>0</v>
      </c>
      <c r="VCL46" s="420">
        <f t="shared" si="276"/>
        <v>0</v>
      </c>
      <c r="VCM46" s="420">
        <f t="shared" si="276"/>
        <v>0</v>
      </c>
      <c r="VCN46" s="420">
        <f t="shared" si="276"/>
        <v>0</v>
      </c>
      <c r="VCO46" s="420">
        <f t="shared" si="276"/>
        <v>0</v>
      </c>
      <c r="VCP46" s="420">
        <f t="shared" si="276"/>
        <v>0</v>
      </c>
      <c r="VCQ46" s="420">
        <f t="shared" si="276"/>
        <v>0</v>
      </c>
      <c r="VCR46" s="420">
        <f t="shared" si="276"/>
        <v>0</v>
      </c>
      <c r="VCS46" s="420">
        <f t="shared" si="276"/>
        <v>0</v>
      </c>
      <c r="VCT46" s="420">
        <f t="shared" si="276"/>
        <v>0</v>
      </c>
      <c r="VCU46" s="420">
        <f t="shared" si="276"/>
        <v>0</v>
      </c>
      <c r="VCV46" s="420">
        <f t="shared" si="276"/>
        <v>0</v>
      </c>
      <c r="VCW46" s="420">
        <f t="shared" si="276"/>
        <v>0</v>
      </c>
      <c r="VCX46" s="420">
        <f t="shared" si="276"/>
        <v>0</v>
      </c>
      <c r="VCY46" s="420">
        <f t="shared" si="276"/>
        <v>0</v>
      </c>
      <c r="VCZ46" s="420">
        <f t="shared" si="276"/>
        <v>0</v>
      </c>
      <c r="VDA46" s="420">
        <f t="shared" si="276"/>
        <v>0</v>
      </c>
      <c r="VDB46" s="420">
        <f t="shared" si="276"/>
        <v>0</v>
      </c>
      <c r="VDC46" s="420">
        <f t="shared" si="276"/>
        <v>0</v>
      </c>
      <c r="VDD46" s="420">
        <f t="shared" si="276"/>
        <v>0</v>
      </c>
      <c r="VDE46" s="420">
        <f t="shared" ref="VDE46:VFP46" si="277">VDE45*0.8</f>
        <v>0</v>
      </c>
      <c r="VDF46" s="420">
        <f t="shared" si="277"/>
        <v>0</v>
      </c>
      <c r="VDG46" s="420">
        <f t="shared" si="277"/>
        <v>0</v>
      </c>
      <c r="VDH46" s="420">
        <f t="shared" si="277"/>
        <v>0</v>
      </c>
      <c r="VDI46" s="420">
        <f t="shared" si="277"/>
        <v>0</v>
      </c>
      <c r="VDJ46" s="420">
        <f t="shared" si="277"/>
        <v>0</v>
      </c>
      <c r="VDK46" s="420">
        <f t="shared" si="277"/>
        <v>0</v>
      </c>
      <c r="VDL46" s="420">
        <f t="shared" si="277"/>
        <v>0</v>
      </c>
      <c r="VDM46" s="420">
        <f t="shared" si="277"/>
        <v>0</v>
      </c>
      <c r="VDN46" s="420">
        <f t="shared" si="277"/>
        <v>0</v>
      </c>
      <c r="VDO46" s="420">
        <f t="shared" si="277"/>
        <v>0</v>
      </c>
      <c r="VDP46" s="420">
        <f t="shared" si="277"/>
        <v>0</v>
      </c>
      <c r="VDQ46" s="420">
        <f t="shared" si="277"/>
        <v>0</v>
      </c>
      <c r="VDR46" s="420">
        <f t="shared" si="277"/>
        <v>0</v>
      </c>
      <c r="VDS46" s="420">
        <f t="shared" si="277"/>
        <v>0</v>
      </c>
      <c r="VDT46" s="420">
        <f t="shared" si="277"/>
        <v>0</v>
      </c>
      <c r="VDU46" s="420">
        <f t="shared" si="277"/>
        <v>0</v>
      </c>
      <c r="VDV46" s="420">
        <f t="shared" si="277"/>
        <v>0</v>
      </c>
      <c r="VDW46" s="420">
        <f t="shared" si="277"/>
        <v>0</v>
      </c>
      <c r="VDX46" s="420">
        <f t="shared" si="277"/>
        <v>0</v>
      </c>
      <c r="VDY46" s="420">
        <f t="shared" si="277"/>
        <v>0</v>
      </c>
      <c r="VDZ46" s="420">
        <f t="shared" si="277"/>
        <v>0</v>
      </c>
      <c r="VEA46" s="420">
        <f t="shared" si="277"/>
        <v>0</v>
      </c>
      <c r="VEB46" s="420">
        <f t="shared" si="277"/>
        <v>0</v>
      </c>
      <c r="VEC46" s="420">
        <f t="shared" si="277"/>
        <v>0</v>
      </c>
      <c r="VED46" s="420">
        <f t="shared" si="277"/>
        <v>0</v>
      </c>
      <c r="VEE46" s="420">
        <f t="shared" si="277"/>
        <v>0</v>
      </c>
      <c r="VEF46" s="420">
        <f t="shared" si="277"/>
        <v>0</v>
      </c>
      <c r="VEG46" s="420">
        <f t="shared" si="277"/>
        <v>0</v>
      </c>
      <c r="VEH46" s="420">
        <f t="shared" si="277"/>
        <v>0</v>
      </c>
      <c r="VEI46" s="420">
        <f t="shared" si="277"/>
        <v>0</v>
      </c>
      <c r="VEJ46" s="420">
        <f t="shared" si="277"/>
        <v>0</v>
      </c>
      <c r="VEK46" s="420">
        <f t="shared" si="277"/>
        <v>0</v>
      </c>
      <c r="VEL46" s="420">
        <f t="shared" si="277"/>
        <v>0</v>
      </c>
      <c r="VEM46" s="420">
        <f t="shared" si="277"/>
        <v>0</v>
      </c>
      <c r="VEN46" s="420">
        <f t="shared" si="277"/>
        <v>0</v>
      </c>
      <c r="VEO46" s="420">
        <f t="shared" si="277"/>
        <v>0</v>
      </c>
      <c r="VEP46" s="420">
        <f t="shared" si="277"/>
        <v>0</v>
      </c>
      <c r="VEQ46" s="420">
        <f t="shared" si="277"/>
        <v>0</v>
      </c>
      <c r="VER46" s="420">
        <f t="shared" si="277"/>
        <v>0</v>
      </c>
      <c r="VES46" s="420">
        <f t="shared" si="277"/>
        <v>0</v>
      </c>
      <c r="VET46" s="420">
        <f t="shared" si="277"/>
        <v>0</v>
      </c>
      <c r="VEU46" s="420">
        <f t="shared" si="277"/>
        <v>0</v>
      </c>
      <c r="VEV46" s="420">
        <f t="shared" si="277"/>
        <v>0</v>
      </c>
      <c r="VEW46" s="420">
        <f t="shared" si="277"/>
        <v>0</v>
      </c>
      <c r="VEX46" s="420">
        <f t="shared" si="277"/>
        <v>0</v>
      </c>
      <c r="VEY46" s="420">
        <f t="shared" si="277"/>
        <v>0</v>
      </c>
      <c r="VEZ46" s="420">
        <f t="shared" si="277"/>
        <v>0</v>
      </c>
      <c r="VFA46" s="420">
        <f t="shared" si="277"/>
        <v>0</v>
      </c>
      <c r="VFB46" s="420">
        <f t="shared" si="277"/>
        <v>0</v>
      </c>
      <c r="VFC46" s="420">
        <f t="shared" si="277"/>
        <v>0</v>
      </c>
      <c r="VFD46" s="420">
        <f t="shared" si="277"/>
        <v>0</v>
      </c>
      <c r="VFE46" s="420">
        <f t="shared" si="277"/>
        <v>0</v>
      </c>
      <c r="VFF46" s="420">
        <f t="shared" si="277"/>
        <v>0</v>
      </c>
      <c r="VFG46" s="420">
        <f t="shared" si="277"/>
        <v>0</v>
      </c>
      <c r="VFH46" s="420">
        <f t="shared" si="277"/>
        <v>0</v>
      </c>
      <c r="VFI46" s="420">
        <f t="shared" si="277"/>
        <v>0</v>
      </c>
      <c r="VFJ46" s="420">
        <f t="shared" si="277"/>
        <v>0</v>
      </c>
      <c r="VFK46" s="420">
        <f t="shared" si="277"/>
        <v>0</v>
      </c>
      <c r="VFL46" s="420">
        <f t="shared" si="277"/>
        <v>0</v>
      </c>
      <c r="VFM46" s="420">
        <f t="shared" si="277"/>
        <v>0</v>
      </c>
      <c r="VFN46" s="420">
        <f t="shared" si="277"/>
        <v>0</v>
      </c>
      <c r="VFO46" s="420">
        <f t="shared" si="277"/>
        <v>0</v>
      </c>
      <c r="VFP46" s="420">
        <f t="shared" si="277"/>
        <v>0</v>
      </c>
      <c r="VFQ46" s="420">
        <f t="shared" ref="VFQ46:VIB46" si="278">VFQ45*0.8</f>
        <v>0</v>
      </c>
      <c r="VFR46" s="420">
        <f t="shared" si="278"/>
        <v>0</v>
      </c>
      <c r="VFS46" s="420">
        <f t="shared" si="278"/>
        <v>0</v>
      </c>
      <c r="VFT46" s="420">
        <f t="shared" si="278"/>
        <v>0</v>
      </c>
      <c r="VFU46" s="420">
        <f t="shared" si="278"/>
        <v>0</v>
      </c>
      <c r="VFV46" s="420">
        <f t="shared" si="278"/>
        <v>0</v>
      </c>
      <c r="VFW46" s="420">
        <f t="shared" si="278"/>
        <v>0</v>
      </c>
      <c r="VFX46" s="420">
        <f t="shared" si="278"/>
        <v>0</v>
      </c>
      <c r="VFY46" s="420">
        <f t="shared" si="278"/>
        <v>0</v>
      </c>
      <c r="VFZ46" s="420">
        <f t="shared" si="278"/>
        <v>0</v>
      </c>
      <c r="VGA46" s="420">
        <f t="shared" si="278"/>
        <v>0</v>
      </c>
      <c r="VGB46" s="420">
        <f t="shared" si="278"/>
        <v>0</v>
      </c>
      <c r="VGC46" s="420">
        <f t="shared" si="278"/>
        <v>0</v>
      </c>
      <c r="VGD46" s="420">
        <f t="shared" si="278"/>
        <v>0</v>
      </c>
      <c r="VGE46" s="420">
        <f t="shared" si="278"/>
        <v>0</v>
      </c>
      <c r="VGF46" s="420">
        <f t="shared" si="278"/>
        <v>0</v>
      </c>
      <c r="VGG46" s="420">
        <f t="shared" si="278"/>
        <v>0</v>
      </c>
      <c r="VGH46" s="420">
        <f t="shared" si="278"/>
        <v>0</v>
      </c>
      <c r="VGI46" s="420">
        <f t="shared" si="278"/>
        <v>0</v>
      </c>
      <c r="VGJ46" s="420">
        <f t="shared" si="278"/>
        <v>0</v>
      </c>
      <c r="VGK46" s="420">
        <f t="shared" si="278"/>
        <v>0</v>
      </c>
      <c r="VGL46" s="420">
        <f t="shared" si="278"/>
        <v>0</v>
      </c>
      <c r="VGM46" s="420">
        <f t="shared" si="278"/>
        <v>0</v>
      </c>
      <c r="VGN46" s="420">
        <f t="shared" si="278"/>
        <v>0</v>
      </c>
      <c r="VGO46" s="420">
        <f t="shared" si="278"/>
        <v>0</v>
      </c>
      <c r="VGP46" s="420">
        <f t="shared" si="278"/>
        <v>0</v>
      </c>
      <c r="VGQ46" s="420">
        <f t="shared" si="278"/>
        <v>0</v>
      </c>
      <c r="VGR46" s="420">
        <f t="shared" si="278"/>
        <v>0</v>
      </c>
      <c r="VGS46" s="420">
        <f t="shared" si="278"/>
        <v>0</v>
      </c>
      <c r="VGT46" s="420">
        <f t="shared" si="278"/>
        <v>0</v>
      </c>
      <c r="VGU46" s="420">
        <f t="shared" si="278"/>
        <v>0</v>
      </c>
      <c r="VGV46" s="420">
        <f t="shared" si="278"/>
        <v>0</v>
      </c>
      <c r="VGW46" s="420">
        <f t="shared" si="278"/>
        <v>0</v>
      </c>
      <c r="VGX46" s="420">
        <f t="shared" si="278"/>
        <v>0</v>
      </c>
      <c r="VGY46" s="420">
        <f t="shared" si="278"/>
        <v>0</v>
      </c>
      <c r="VGZ46" s="420">
        <f t="shared" si="278"/>
        <v>0</v>
      </c>
      <c r="VHA46" s="420">
        <f t="shared" si="278"/>
        <v>0</v>
      </c>
      <c r="VHB46" s="420">
        <f t="shared" si="278"/>
        <v>0</v>
      </c>
      <c r="VHC46" s="420">
        <f t="shared" si="278"/>
        <v>0</v>
      </c>
      <c r="VHD46" s="420">
        <f t="shared" si="278"/>
        <v>0</v>
      </c>
      <c r="VHE46" s="420">
        <f t="shared" si="278"/>
        <v>0</v>
      </c>
      <c r="VHF46" s="420">
        <f t="shared" si="278"/>
        <v>0</v>
      </c>
      <c r="VHG46" s="420">
        <f t="shared" si="278"/>
        <v>0</v>
      </c>
      <c r="VHH46" s="420">
        <f t="shared" si="278"/>
        <v>0</v>
      </c>
      <c r="VHI46" s="420">
        <f t="shared" si="278"/>
        <v>0</v>
      </c>
      <c r="VHJ46" s="420">
        <f t="shared" si="278"/>
        <v>0</v>
      </c>
      <c r="VHK46" s="420">
        <f t="shared" si="278"/>
        <v>0</v>
      </c>
      <c r="VHL46" s="420">
        <f t="shared" si="278"/>
        <v>0</v>
      </c>
      <c r="VHM46" s="420">
        <f t="shared" si="278"/>
        <v>0</v>
      </c>
      <c r="VHN46" s="420">
        <f t="shared" si="278"/>
        <v>0</v>
      </c>
      <c r="VHO46" s="420">
        <f t="shared" si="278"/>
        <v>0</v>
      </c>
      <c r="VHP46" s="420">
        <f t="shared" si="278"/>
        <v>0</v>
      </c>
      <c r="VHQ46" s="420">
        <f t="shared" si="278"/>
        <v>0</v>
      </c>
      <c r="VHR46" s="420">
        <f t="shared" si="278"/>
        <v>0</v>
      </c>
      <c r="VHS46" s="420">
        <f t="shared" si="278"/>
        <v>0</v>
      </c>
      <c r="VHT46" s="420">
        <f t="shared" si="278"/>
        <v>0</v>
      </c>
      <c r="VHU46" s="420">
        <f t="shared" si="278"/>
        <v>0</v>
      </c>
      <c r="VHV46" s="420">
        <f t="shared" si="278"/>
        <v>0</v>
      </c>
      <c r="VHW46" s="420">
        <f t="shared" si="278"/>
        <v>0</v>
      </c>
      <c r="VHX46" s="420">
        <f t="shared" si="278"/>
        <v>0</v>
      </c>
      <c r="VHY46" s="420">
        <f t="shared" si="278"/>
        <v>0</v>
      </c>
      <c r="VHZ46" s="420">
        <f t="shared" si="278"/>
        <v>0</v>
      </c>
      <c r="VIA46" s="420">
        <f t="shared" si="278"/>
        <v>0</v>
      </c>
      <c r="VIB46" s="420">
        <f t="shared" si="278"/>
        <v>0</v>
      </c>
      <c r="VIC46" s="420">
        <f t="shared" ref="VIC46:VKN46" si="279">VIC45*0.8</f>
        <v>0</v>
      </c>
      <c r="VID46" s="420">
        <f t="shared" si="279"/>
        <v>0</v>
      </c>
      <c r="VIE46" s="420">
        <f t="shared" si="279"/>
        <v>0</v>
      </c>
      <c r="VIF46" s="420">
        <f t="shared" si="279"/>
        <v>0</v>
      </c>
      <c r="VIG46" s="420">
        <f t="shared" si="279"/>
        <v>0</v>
      </c>
      <c r="VIH46" s="420">
        <f t="shared" si="279"/>
        <v>0</v>
      </c>
      <c r="VII46" s="420">
        <f t="shared" si="279"/>
        <v>0</v>
      </c>
      <c r="VIJ46" s="420">
        <f t="shared" si="279"/>
        <v>0</v>
      </c>
      <c r="VIK46" s="420">
        <f t="shared" si="279"/>
        <v>0</v>
      </c>
      <c r="VIL46" s="420">
        <f t="shared" si="279"/>
        <v>0</v>
      </c>
      <c r="VIM46" s="420">
        <f t="shared" si="279"/>
        <v>0</v>
      </c>
      <c r="VIN46" s="420">
        <f t="shared" si="279"/>
        <v>0</v>
      </c>
      <c r="VIO46" s="420">
        <f t="shared" si="279"/>
        <v>0</v>
      </c>
      <c r="VIP46" s="420">
        <f t="shared" si="279"/>
        <v>0</v>
      </c>
      <c r="VIQ46" s="420">
        <f t="shared" si="279"/>
        <v>0</v>
      </c>
      <c r="VIR46" s="420">
        <f t="shared" si="279"/>
        <v>0</v>
      </c>
      <c r="VIS46" s="420">
        <f t="shared" si="279"/>
        <v>0</v>
      </c>
      <c r="VIT46" s="420">
        <f t="shared" si="279"/>
        <v>0</v>
      </c>
      <c r="VIU46" s="420">
        <f t="shared" si="279"/>
        <v>0</v>
      </c>
      <c r="VIV46" s="420">
        <f t="shared" si="279"/>
        <v>0</v>
      </c>
      <c r="VIW46" s="420">
        <f t="shared" si="279"/>
        <v>0</v>
      </c>
      <c r="VIX46" s="420">
        <f t="shared" si="279"/>
        <v>0</v>
      </c>
      <c r="VIY46" s="420">
        <f t="shared" si="279"/>
        <v>0</v>
      </c>
      <c r="VIZ46" s="420">
        <f t="shared" si="279"/>
        <v>0</v>
      </c>
      <c r="VJA46" s="420">
        <f t="shared" si="279"/>
        <v>0</v>
      </c>
      <c r="VJB46" s="420">
        <f t="shared" si="279"/>
        <v>0</v>
      </c>
      <c r="VJC46" s="420">
        <f t="shared" si="279"/>
        <v>0</v>
      </c>
      <c r="VJD46" s="420">
        <f t="shared" si="279"/>
        <v>0</v>
      </c>
      <c r="VJE46" s="420">
        <f t="shared" si="279"/>
        <v>0</v>
      </c>
      <c r="VJF46" s="420">
        <f t="shared" si="279"/>
        <v>0</v>
      </c>
      <c r="VJG46" s="420">
        <f t="shared" si="279"/>
        <v>0</v>
      </c>
      <c r="VJH46" s="420">
        <f t="shared" si="279"/>
        <v>0</v>
      </c>
      <c r="VJI46" s="420">
        <f t="shared" si="279"/>
        <v>0</v>
      </c>
      <c r="VJJ46" s="420">
        <f t="shared" si="279"/>
        <v>0</v>
      </c>
      <c r="VJK46" s="420">
        <f t="shared" si="279"/>
        <v>0</v>
      </c>
      <c r="VJL46" s="420">
        <f t="shared" si="279"/>
        <v>0</v>
      </c>
      <c r="VJM46" s="420">
        <f t="shared" si="279"/>
        <v>0</v>
      </c>
      <c r="VJN46" s="420">
        <f t="shared" si="279"/>
        <v>0</v>
      </c>
      <c r="VJO46" s="420">
        <f t="shared" si="279"/>
        <v>0</v>
      </c>
      <c r="VJP46" s="420">
        <f t="shared" si="279"/>
        <v>0</v>
      </c>
      <c r="VJQ46" s="420">
        <f t="shared" si="279"/>
        <v>0</v>
      </c>
      <c r="VJR46" s="420">
        <f t="shared" si="279"/>
        <v>0</v>
      </c>
      <c r="VJS46" s="420">
        <f t="shared" si="279"/>
        <v>0</v>
      </c>
      <c r="VJT46" s="420">
        <f t="shared" si="279"/>
        <v>0</v>
      </c>
      <c r="VJU46" s="420">
        <f t="shared" si="279"/>
        <v>0</v>
      </c>
      <c r="VJV46" s="420">
        <f t="shared" si="279"/>
        <v>0</v>
      </c>
      <c r="VJW46" s="420">
        <f t="shared" si="279"/>
        <v>0</v>
      </c>
      <c r="VJX46" s="420">
        <f t="shared" si="279"/>
        <v>0</v>
      </c>
      <c r="VJY46" s="420">
        <f t="shared" si="279"/>
        <v>0</v>
      </c>
      <c r="VJZ46" s="420">
        <f t="shared" si="279"/>
        <v>0</v>
      </c>
      <c r="VKA46" s="420">
        <f t="shared" si="279"/>
        <v>0</v>
      </c>
      <c r="VKB46" s="420">
        <f t="shared" si="279"/>
        <v>0</v>
      </c>
      <c r="VKC46" s="420">
        <f t="shared" si="279"/>
        <v>0</v>
      </c>
      <c r="VKD46" s="420">
        <f t="shared" si="279"/>
        <v>0</v>
      </c>
      <c r="VKE46" s="420">
        <f t="shared" si="279"/>
        <v>0</v>
      </c>
      <c r="VKF46" s="420">
        <f t="shared" si="279"/>
        <v>0</v>
      </c>
      <c r="VKG46" s="420">
        <f t="shared" si="279"/>
        <v>0</v>
      </c>
      <c r="VKH46" s="420">
        <f t="shared" si="279"/>
        <v>0</v>
      </c>
      <c r="VKI46" s="420">
        <f t="shared" si="279"/>
        <v>0</v>
      </c>
      <c r="VKJ46" s="420">
        <f t="shared" si="279"/>
        <v>0</v>
      </c>
      <c r="VKK46" s="420">
        <f t="shared" si="279"/>
        <v>0</v>
      </c>
      <c r="VKL46" s="420">
        <f t="shared" si="279"/>
        <v>0</v>
      </c>
      <c r="VKM46" s="420">
        <f t="shared" si="279"/>
        <v>0</v>
      </c>
      <c r="VKN46" s="420">
        <f t="shared" si="279"/>
        <v>0</v>
      </c>
      <c r="VKO46" s="420">
        <f t="shared" ref="VKO46:VMZ46" si="280">VKO45*0.8</f>
        <v>0</v>
      </c>
      <c r="VKP46" s="420">
        <f t="shared" si="280"/>
        <v>0</v>
      </c>
      <c r="VKQ46" s="420">
        <f t="shared" si="280"/>
        <v>0</v>
      </c>
      <c r="VKR46" s="420">
        <f t="shared" si="280"/>
        <v>0</v>
      </c>
      <c r="VKS46" s="420">
        <f t="shared" si="280"/>
        <v>0</v>
      </c>
      <c r="VKT46" s="420">
        <f t="shared" si="280"/>
        <v>0</v>
      </c>
      <c r="VKU46" s="420">
        <f t="shared" si="280"/>
        <v>0</v>
      </c>
      <c r="VKV46" s="420">
        <f t="shared" si="280"/>
        <v>0</v>
      </c>
      <c r="VKW46" s="420">
        <f t="shared" si="280"/>
        <v>0</v>
      </c>
      <c r="VKX46" s="420">
        <f t="shared" si="280"/>
        <v>0</v>
      </c>
      <c r="VKY46" s="420">
        <f t="shared" si="280"/>
        <v>0</v>
      </c>
      <c r="VKZ46" s="420">
        <f t="shared" si="280"/>
        <v>0</v>
      </c>
      <c r="VLA46" s="420">
        <f t="shared" si="280"/>
        <v>0</v>
      </c>
      <c r="VLB46" s="420">
        <f t="shared" si="280"/>
        <v>0</v>
      </c>
      <c r="VLC46" s="420">
        <f t="shared" si="280"/>
        <v>0</v>
      </c>
      <c r="VLD46" s="420">
        <f t="shared" si="280"/>
        <v>0</v>
      </c>
      <c r="VLE46" s="420">
        <f t="shared" si="280"/>
        <v>0</v>
      </c>
      <c r="VLF46" s="420">
        <f t="shared" si="280"/>
        <v>0</v>
      </c>
      <c r="VLG46" s="420">
        <f t="shared" si="280"/>
        <v>0</v>
      </c>
      <c r="VLH46" s="420">
        <f t="shared" si="280"/>
        <v>0</v>
      </c>
      <c r="VLI46" s="420">
        <f t="shared" si="280"/>
        <v>0</v>
      </c>
      <c r="VLJ46" s="420">
        <f t="shared" si="280"/>
        <v>0</v>
      </c>
      <c r="VLK46" s="420">
        <f t="shared" si="280"/>
        <v>0</v>
      </c>
      <c r="VLL46" s="420">
        <f t="shared" si="280"/>
        <v>0</v>
      </c>
      <c r="VLM46" s="420">
        <f t="shared" si="280"/>
        <v>0</v>
      </c>
      <c r="VLN46" s="420">
        <f t="shared" si="280"/>
        <v>0</v>
      </c>
      <c r="VLO46" s="420">
        <f t="shared" si="280"/>
        <v>0</v>
      </c>
      <c r="VLP46" s="420">
        <f t="shared" si="280"/>
        <v>0</v>
      </c>
      <c r="VLQ46" s="420">
        <f t="shared" si="280"/>
        <v>0</v>
      </c>
      <c r="VLR46" s="420">
        <f t="shared" si="280"/>
        <v>0</v>
      </c>
      <c r="VLS46" s="420">
        <f t="shared" si="280"/>
        <v>0</v>
      </c>
      <c r="VLT46" s="420">
        <f t="shared" si="280"/>
        <v>0</v>
      </c>
      <c r="VLU46" s="420">
        <f t="shared" si="280"/>
        <v>0</v>
      </c>
      <c r="VLV46" s="420">
        <f t="shared" si="280"/>
        <v>0</v>
      </c>
      <c r="VLW46" s="420">
        <f t="shared" si="280"/>
        <v>0</v>
      </c>
      <c r="VLX46" s="420">
        <f t="shared" si="280"/>
        <v>0</v>
      </c>
      <c r="VLY46" s="420">
        <f t="shared" si="280"/>
        <v>0</v>
      </c>
      <c r="VLZ46" s="420">
        <f t="shared" si="280"/>
        <v>0</v>
      </c>
      <c r="VMA46" s="420">
        <f t="shared" si="280"/>
        <v>0</v>
      </c>
      <c r="VMB46" s="420">
        <f t="shared" si="280"/>
        <v>0</v>
      </c>
      <c r="VMC46" s="420">
        <f t="shared" si="280"/>
        <v>0</v>
      </c>
      <c r="VMD46" s="420">
        <f t="shared" si="280"/>
        <v>0</v>
      </c>
      <c r="VME46" s="420">
        <f t="shared" si="280"/>
        <v>0</v>
      </c>
      <c r="VMF46" s="420">
        <f t="shared" si="280"/>
        <v>0</v>
      </c>
      <c r="VMG46" s="420">
        <f t="shared" si="280"/>
        <v>0</v>
      </c>
      <c r="VMH46" s="420">
        <f t="shared" si="280"/>
        <v>0</v>
      </c>
      <c r="VMI46" s="420">
        <f t="shared" si="280"/>
        <v>0</v>
      </c>
      <c r="VMJ46" s="420">
        <f t="shared" si="280"/>
        <v>0</v>
      </c>
      <c r="VMK46" s="420">
        <f t="shared" si="280"/>
        <v>0</v>
      </c>
      <c r="VML46" s="420">
        <f t="shared" si="280"/>
        <v>0</v>
      </c>
      <c r="VMM46" s="420">
        <f t="shared" si="280"/>
        <v>0</v>
      </c>
      <c r="VMN46" s="420">
        <f t="shared" si="280"/>
        <v>0</v>
      </c>
      <c r="VMO46" s="420">
        <f t="shared" si="280"/>
        <v>0</v>
      </c>
      <c r="VMP46" s="420">
        <f t="shared" si="280"/>
        <v>0</v>
      </c>
      <c r="VMQ46" s="420">
        <f t="shared" si="280"/>
        <v>0</v>
      </c>
      <c r="VMR46" s="420">
        <f t="shared" si="280"/>
        <v>0</v>
      </c>
      <c r="VMS46" s="420">
        <f t="shared" si="280"/>
        <v>0</v>
      </c>
      <c r="VMT46" s="420">
        <f t="shared" si="280"/>
        <v>0</v>
      </c>
      <c r="VMU46" s="420">
        <f t="shared" si="280"/>
        <v>0</v>
      </c>
      <c r="VMV46" s="420">
        <f t="shared" si="280"/>
        <v>0</v>
      </c>
      <c r="VMW46" s="420">
        <f t="shared" si="280"/>
        <v>0</v>
      </c>
      <c r="VMX46" s="420">
        <f t="shared" si="280"/>
        <v>0</v>
      </c>
      <c r="VMY46" s="420">
        <f t="shared" si="280"/>
        <v>0</v>
      </c>
      <c r="VMZ46" s="420">
        <f t="shared" si="280"/>
        <v>0</v>
      </c>
      <c r="VNA46" s="420">
        <f t="shared" ref="VNA46:VPL46" si="281">VNA45*0.8</f>
        <v>0</v>
      </c>
      <c r="VNB46" s="420">
        <f t="shared" si="281"/>
        <v>0</v>
      </c>
      <c r="VNC46" s="420">
        <f t="shared" si="281"/>
        <v>0</v>
      </c>
      <c r="VND46" s="420">
        <f t="shared" si="281"/>
        <v>0</v>
      </c>
      <c r="VNE46" s="420">
        <f t="shared" si="281"/>
        <v>0</v>
      </c>
      <c r="VNF46" s="420">
        <f t="shared" si="281"/>
        <v>0</v>
      </c>
      <c r="VNG46" s="420">
        <f t="shared" si="281"/>
        <v>0</v>
      </c>
      <c r="VNH46" s="420">
        <f t="shared" si="281"/>
        <v>0</v>
      </c>
      <c r="VNI46" s="420">
        <f t="shared" si="281"/>
        <v>0</v>
      </c>
      <c r="VNJ46" s="420">
        <f t="shared" si="281"/>
        <v>0</v>
      </c>
      <c r="VNK46" s="420">
        <f t="shared" si="281"/>
        <v>0</v>
      </c>
      <c r="VNL46" s="420">
        <f t="shared" si="281"/>
        <v>0</v>
      </c>
      <c r="VNM46" s="420">
        <f t="shared" si="281"/>
        <v>0</v>
      </c>
      <c r="VNN46" s="420">
        <f t="shared" si="281"/>
        <v>0</v>
      </c>
      <c r="VNO46" s="420">
        <f t="shared" si="281"/>
        <v>0</v>
      </c>
      <c r="VNP46" s="420">
        <f t="shared" si="281"/>
        <v>0</v>
      </c>
      <c r="VNQ46" s="420">
        <f t="shared" si="281"/>
        <v>0</v>
      </c>
      <c r="VNR46" s="420">
        <f t="shared" si="281"/>
        <v>0</v>
      </c>
      <c r="VNS46" s="420">
        <f t="shared" si="281"/>
        <v>0</v>
      </c>
      <c r="VNT46" s="420">
        <f t="shared" si="281"/>
        <v>0</v>
      </c>
      <c r="VNU46" s="420">
        <f t="shared" si="281"/>
        <v>0</v>
      </c>
      <c r="VNV46" s="420">
        <f t="shared" si="281"/>
        <v>0</v>
      </c>
      <c r="VNW46" s="420">
        <f t="shared" si="281"/>
        <v>0</v>
      </c>
      <c r="VNX46" s="420">
        <f t="shared" si="281"/>
        <v>0</v>
      </c>
      <c r="VNY46" s="420">
        <f t="shared" si="281"/>
        <v>0</v>
      </c>
      <c r="VNZ46" s="420">
        <f t="shared" si="281"/>
        <v>0</v>
      </c>
      <c r="VOA46" s="420">
        <f t="shared" si="281"/>
        <v>0</v>
      </c>
      <c r="VOB46" s="420">
        <f t="shared" si="281"/>
        <v>0</v>
      </c>
      <c r="VOC46" s="420">
        <f t="shared" si="281"/>
        <v>0</v>
      </c>
      <c r="VOD46" s="420">
        <f t="shared" si="281"/>
        <v>0</v>
      </c>
      <c r="VOE46" s="420">
        <f t="shared" si="281"/>
        <v>0</v>
      </c>
      <c r="VOF46" s="420">
        <f t="shared" si="281"/>
        <v>0</v>
      </c>
      <c r="VOG46" s="420">
        <f t="shared" si="281"/>
        <v>0</v>
      </c>
      <c r="VOH46" s="420">
        <f t="shared" si="281"/>
        <v>0</v>
      </c>
      <c r="VOI46" s="420">
        <f t="shared" si="281"/>
        <v>0</v>
      </c>
      <c r="VOJ46" s="420">
        <f t="shared" si="281"/>
        <v>0</v>
      </c>
      <c r="VOK46" s="420">
        <f t="shared" si="281"/>
        <v>0</v>
      </c>
      <c r="VOL46" s="420">
        <f t="shared" si="281"/>
        <v>0</v>
      </c>
      <c r="VOM46" s="420">
        <f t="shared" si="281"/>
        <v>0</v>
      </c>
      <c r="VON46" s="420">
        <f t="shared" si="281"/>
        <v>0</v>
      </c>
      <c r="VOO46" s="420">
        <f t="shared" si="281"/>
        <v>0</v>
      </c>
      <c r="VOP46" s="420">
        <f t="shared" si="281"/>
        <v>0</v>
      </c>
      <c r="VOQ46" s="420">
        <f t="shared" si="281"/>
        <v>0</v>
      </c>
      <c r="VOR46" s="420">
        <f t="shared" si="281"/>
        <v>0</v>
      </c>
      <c r="VOS46" s="420">
        <f t="shared" si="281"/>
        <v>0</v>
      </c>
      <c r="VOT46" s="420">
        <f t="shared" si="281"/>
        <v>0</v>
      </c>
      <c r="VOU46" s="420">
        <f t="shared" si="281"/>
        <v>0</v>
      </c>
      <c r="VOV46" s="420">
        <f t="shared" si="281"/>
        <v>0</v>
      </c>
      <c r="VOW46" s="420">
        <f t="shared" si="281"/>
        <v>0</v>
      </c>
      <c r="VOX46" s="420">
        <f t="shared" si="281"/>
        <v>0</v>
      </c>
      <c r="VOY46" s="420">
        <f t="shared" si="281"/>
        <v>0</v>
      </c>
      <c r="VOZ46" s="420">
        <f t="shared" si="281"/>
        <v>0</v>
      </c>
      <c r="VPA46" s="420">
        <f t="shared" si="281"/>
        <v>0</v>
      </c>
      <c r="VPB46" s="420">
        <f t="shared" si="281"/>
        <v>0</v>
      </c>
      <c r="VPC46" s="420">
        <f t="shared" si="281"/>
        <v>0</v>
      </c>
      <c r="VPD46" s="420">
        <f t="shared" si="281"/>
        <v>0</v>
      </c>
      <c r="VPE46" s="420">
        <f t="shared" si="281"/>
        <v>0</v>
      </c>
      <c r="VPF46" s="420">
        <f t="shared" si="281"/>
        <v>0</v>
      </c>
      <c r="VPG46" s="420">
        <f t="shared" si="281"/>
        <v>0</v>
      </c>
      <c r="VPH46" s="420">
        <f t="shared" si="281"/>
        <v>0</v>
      </c>
      <c r="VPI46" s="420">
        <f t="shared" si="281"/>
        <v>0</v>
      </c>
      <c r="VPJ46" s="420">
        <f t="shared" si="281"/>
        <v>0</v>
      </c>
      <c r="VPK46" s="420">
        <f t="shared" si="281"/>
        <v>0</v>
      </c>
      <c r="VPL46" s="420">
        <f t="shared" si="281"/>
        <v>0</v>
      </c>
      <c r="VPM46" s="420">
        <f t="shared" ref="VPM46:VRX46" si="282">VPM45*0.8</f>
        <v>0</v>
      </c>
      <c r="VPN46" s="420">
        <f t="shared" si="282"/>
        <v>0</v>
      </c>
      <c r="VPO46" s="420">
        <f t="shared" si="282"/>
        <v>0</v>
      </c>
      <c r="VPP46" s="420">
        <f t="shared" si="282"/>
        <v>0</v>
      </c>
      <c r="VPQ46" s="420">
        <f t="shared" si="282"/>
        <v>0</v>
      </c>
      <c r="VPR46" s="420">
        <f t="shared" si="282"/>
        <v>0</v>
      </c>
      <c r="VPS46" s="420">
        <f t="shared" si="282"/>
        <v>0</v>
      </c>
      <c r="VPT46" s="420">
        <f t="shared" si="282"/>
        <v>0</v>
      </c>
      <c r="VPU46" s="420">
        <f t="shared" si="282"/>
        <v>0</v>
      </c>
      <c r="VPV46" s="420">
        <f t="shared" si="282"/>
        <v>0</v>
      </c>
      <c r="VPW46" s="420">
        <f t="shared" si="282"/>
        <v>0</v>
      </c>
      <c r="VPX46" s="420">
        <f t="shared" si="282"/>
        <v>0</v>
      </c>
      <c r="VPY46" s="420">
        <f t="shared" si="282"/>
        <v>0</v>
      </c>
      <c r="VPZ46" s="420">
        <f t="shared" si="282"/>
        <v>0</v>
      </c>
      <c r="VQA46" s="420">
        <f t="shared" si="282"/>
        <v>0</v>
      </c>
      <c r="VQB46" s="420">
        <f t="shared" si="282"/>
        <v>0</v>
      </c>
      <c r="VQC46" s="420">
        <f t="shared" si="282"/>
        <v>0</v>
      </c>
      <c r="VQD46" s="420">
        <f t="shared" si="282"/>
        <v>0</v>
      </c>
      <c r="VQE46" s="420">
        <f t="shared" si="282"/>
        <v>0</v>
      </c>
      <c r="VQF46" s="420">
        <f t="shared" si="282"/>
        <v>0</v>
      </c>
      <c r="VQG46" s="420">
        <f t="shared" si="282"/>
        <v>0</v>
      </c>
      <c r="VQH46" s="420">
        <f t="shared" si="282"/>
        <v>0</v>
      </c>
      <c r="VQI46" s="420">
        <f t="shared" si="282"/>
        <v>0</v>
      </c>
      <c r="VQJ46" s="420">
        <f t="shared" si="282"/>
        <v>0</v>
      </c>
      <c r="VQK46" s="420">
        <f t="shared" si="282"/>
        <v>0</v>
      </c>
      <c r="VQL46" s="420">
        <f t="shared" si="282"/>
        <v>0</v>
      </c>
      <c r="VQM46" s="420">
        <f t="shared" si="282"/>
        <v>0</v>
      </c>
      <c r="VQN46" s="420">
        <f t="shared" si="282"/>
        <v>0</v>
      </c>
      <c r="VQO46" s="420">
        <f t="shared" si="282"/>
        <v>0</v>
      </c>
      <c r="VQP46" s="420">
        <f t="shared" si="282"/>
        <v>0</v>
      </c>
      <c r="VQQ46" s="420">
        <f t="shared" si="282"/>
        <v>0</v>
      </c>
      <c r="VQR46" s="420">
        <f t="shared" si="282"/>
        <v>0</v>
      </c>
      <c r="VQS46" s="420">
        <f t="shared" si="282"/>
        <v>0</v>
      </c>
      <c r="VQT46" s="420">
        <f t="shared" si="282"/>
        <v>0</v>
      </c>
      <c r="VQU46" s="420">
        <f t="shared" si="282"/>
        <v>0</v>
      </c>
      <c r="VQV46" s="420">
        <f t="shared" si="282"/>
        <v>0</v>
      </c>
      <c r="VQW46" s="420">
        <f t="shared" si="282"/>
        <v>0</v>
      </c>
      <c r="VQX46" s="420">
        <f t="shared" si="282"/>
        <v>0</v>
      </c>
      <c r="VQY46" s="420">
        <f t="shared" si="282"/>
        <v>0</v>
      </c>
      <c r="VQZ46" s="420">
        <f t="shared" si="282"/>
        <v>0</v>
      </c>
      <c r="VRA46" s="420">
        <f t="shared" si="282"/>
        <v>0</v>
      </c>
      <c r="VRB46" s="420">
        <f t="shared" si="282"/>
        <v>0</v>
      </c>
      <c r="VRC46" s="420">
        <f t="shared" si="282"/>
        <v>0</v>
      </c>
      <c r="VRD46" s="420">
        <f t="shared" si="282"/>
        <v>0</v>
      </c>
      <c r="VRE46" s="420">
        <f t="shared" si="282"/>
        <v>0</v>
      </c>
      <c r="VRF46" s="420">
        <f t="shared" si="282"/>
        <v>0</v>
      </c>
      <c r="VRG46" s="420">
        <f t="shared" si="282"/>
        <v>0</v>
      </c>
      <c r="VRH46" s="420">
        <f t="shared" si="282"/>
        <v>0</v>
      </c>
      <c r="VRI46" s="420">
        <f t="shared" si="282"/>
        <v>0</v>
      </c>
      <c r="VRJ46" s="420">
        <f t="shared" si="282"/>
        <v>0</v>
      </c>
      <c r="VRK46" s="420">
        <f t="shared" si="282"/>
        <v>0</v>
      </c>
      <c r="VRL46" s="420">
        <f t="shared" si="282"/>
        <v>0</v>
      </c>
      <c r="VRM46" s="420">
        <f t="shared" si="282"/>
        <v>0</v>
      </c>
      <c r="VRN46" s="420">
        <f t="shared" si="282"/>
        <v>0</v>
      </c>
      <c r="VRO46" s="420">
        <f t="shared" si="282"/>
        <v>0</v>
      </c>
      <c r="VRP46" s="420">
        <f t="shared" si="282"/>
        <v>0</v>
      </c>
      <c r="VRQ46" s="420">
        <f t="shared" si="282"/>
        <v>0</v>
      </c>
      <c r="VRR46" s="420">
        <f t="shared" si="282"/>
        <v>0</v>
      </c>
      <c r="VRS46" s="420">
        <f t="shared" si="282"/>
        <v>0</v>
      </c>
      <c r="VRT46" s="420">
        <f t="shared" si="282"/>
        <v>0</v>
      </c>
      <c r="VRU46" s="420">
        <f t="shared" si="282"/>
        <v>0</v>
      </c>
      <c r="VRV46" s="420">
        <f t="shared" si="282"/>
        <v>0</v>
      </c>
      <c r="VRW46" s="420">
        <f t="shared" si="282"/>
        <v>0</v>
      </c>
      <c r="VRX46" s="420">
        <f t="shared" si="282"/>
        <v>0</v>
      </c>
      <c r="VRY46" s="420">
        <f t="shared" ref="VRY46:VUJ46" si="283">VRY45*0.8</f>
        <v>0</v>
      </c>
      <c r="VRZ46" s="420">
        <f t="shared" si="283"/>
        <v>0</v>
      </c>
      <c r="VSA46" s="420">
        <f t="shared" si="283"/>
        <v>0</v>
      </c>
      <c r="VSB46" s="420">
        <f t="shared" si="283"/>
        <v>0</v>
      </c>
      <c r="VSC46" s="420">
        <f t="shared" si="283"/>
        <v>0</v>
      </c>
      <c r="VSD46" s="420">
        <f t="shared" si="283"/>
        <v>0</v>
      </c>
      <c r="VSE46" s="420">
        <f t="shared" si="283"/>
        <v>0</v>
      </c>
      <c r="VSF46" s="420">
        <f t="shared" si="283"/>
        <v>0</v>
      </c>
      <c r="VSG46" s="420">
        <f t="shared" si="283"/>
        <v>0</v>
      </c>
      <c r="VSH46" s="420">
        <f t="shared" si="283"/>
        <v>0</v>
      </c>
      <c r="VSI46" s="420">
        <f t="shared" si="283"/>
        <v>0</v>
      </c>
      <c r="VSJ46" s="420">
        <f t="shared" si="283"/>
        <v>0</v>
      </c>
      <c r="VSK46" s="420">
        <f t="shared" si="283"/>
        <v>0</v>
      </c>
      <c r="VSL46" s="420">
        <f t="shared" si="283"/>
        <v>0</v>
      </c>
      <c r="VSM46" s="420">
        <f t="shared" si="283"/>
        <v>0</v>
      </c>
      <c r="VSN46" s="420">
        <f t="shared" si="283"/>
        <v>0</v>
      </c>
      <c r="VSO46" s="420">
        <f t="shared" si="283"/>
        <v>0</v>
      </c>
      <c r="VSP46" s="420">
        <f t="shared" si="283"/>
        <v>0</v>
      </c>
      <c r="VSQ46" s="420">
        <f t="shared" si="283"/>
        <v>0</v>
      </c>
      <c r="VSR46" s="420">
        <f t="shared" si="283"/>
        <v>0</v>
      </c>
      <c r="VSS46" s="420">
        <f t="shared" si="283"/>
        <v>0</v>
      </c>
      <c r="VST46" s="420">
        <f t="shared" si="283"/>
        <v>0</v>
      </c>
      <c r="VSU46" s="420">
        <f t="shared" si="283"/>
        <v>0</v>
      </c>
      <c r="VSV46" s="420">
        <f t="shared" si="283"/>
        <v>0</v>
      </c>
      <c r="VSW46" s="420">
        <f t="shared" si="283"/>
        <v>0</v>
      </c>
      <c r="VSX46" s="420">
        <f t="shared" si="283"/>
        <v>0</v>
      </c>
      <c r="VSY46" s="420">
        <f t="shared" si="283"/>
        <v>0</v>
      </c>
      <c r="VSZ46" s="420">
        <f t="shared" si="283"/>
        <v>0</v>
      </c>
      <c r="VTA46" s="420">
        <f t="shared" si="283"/>
        <v>0</v>
      </c>
      <c r="VTB46" s="420">
        <f t="shared" si="283"/>
        <v>0</v>
      </c>
      <c r="VTC46" s="420">
        <f t="shared" si="283"/>
        <v>0</v>
      </c>
      <c r="VTD46" s="420">
        <f t="shared" si="283"/>
        <v>0</v>
      </c>
      <c r="VTE46" s="420">
        <f t="shared" si="283"/>
        <v>0</v>
      </c>
      <c r="VTF46" s="420">
        <f t="shared" si="283"/>
        <v>0</v>
      </c>
      <c r="VTG46" s="420">
        <f t="shared" si="283"/>
        <v>0</v>
      </c>
      <c r="VTH46" s="420">
        <f t="shared" si="283"/>
        <v>0</v>
      </c>
      <c r="VTI46" s="420">
        <f t="shared" si="283"/>
        <v>0</v>
      </c>
      <c r="VTJ46" s="420">
        <f t="shared" si="283"/>
        <v>0</v>
      </c>
      <c r="VTK46" s="420">
        <f t="shared" si="283"/>
        <v>0</v>
      </c>
      <c r="VTL46" s="420">
        <f t="shared" si="283"/>
        <v>0</v>
      </c>
      <c r="VTM46" s="420">
        <f t="shared" si="283"/>
        <v>0</v>
      </c>
      <c r="VTN46" s="420">
        <f t="shared" si="283"/>
        <v>0</v>
      </c>
      <c r="VTO46" s="420">
        <f t="shared" si="283"/>
        <v>0</v>
      </c>
      <c r="VTP46" s="420">
        <f t="shared" si="283"/>
        <v>0</v>
      </c>
      <c r="VTQ46" s="420">
        <f t="shared" si="283"/>
        <v>0</v>
      </c>
      <c r="VTR46" s="420">
        <f t="shared" si="283"/>
        <v>0</v>
      </c>
      <c r="VTS46" s="420">
        <f t="shared" si="283"/>
        <v>0</v>
      </c>
      <c r="VTT46" s="420">
        <f t="shared" si="283"/>
        <v>0</v>
      </c>
      <c r="VTU46" s="420">
        <f t="shared" si="283"/>
        <v>0</v>
      </c>
      <c r="VTV46" s="420">
        <f t="shared" si="283"/>
        <v>0</v>
      </c>
      <c r="VTW46" s="420">
        <f t="shared" si="283"/>
        <v>0</v>
      </c>
      <c r="VTX46" s="420">
        <f t="shared" si="283"/>
        <v>0</v>
      </c>
      <c r="VTY46" s="420">
        <f t="shared" si="283"/>
        <v>0</v>
      </c>
      <c r="VTZ46" s="420">
        <f t="shared" si="283"/>
        <v>0</v>
      </c>
      <c r="VUA46" s="420">
        <f t="shared" si="283"/>
        <v>0</v>
      </c>
      <c r="VUB46" s="420">
        <f t="shared" si="283"/>
        <v>0</v>
      </c>
      <c r="VUC46" s="420">
        <f t="shared" si="283"/>
        <v>0</v>
      </c>
      <c r="VUD46" s="420">
        <f t="shared" si="283"/>
        <v>0</v>
      </c>
      <c r="VUE46" s="420">
        <f t="shared" si="283"/>
        <v>0</v>
      </c>
      <c r="VUF46" s="420">
        <f t="shared" si="283"/>
        <v>0</v>
      </c>
      <c r="VUG46" s="420">
        <f t="shared" si="283"/>
        <v>0</v>
      </c>
      <c r="VUH46" s="420">
        <f t="shared" si="283"/>
        <v>0</v>
      </c>
      <c r="VUI46" s="420">
        <f t="shared" si="283"/>
        <v>0</v>
      </c>
      <c r="VUJ46" s="420">
        <f t="shared" si="283"/>
        <v>0</v>
      </c>
      <c r="VUK46" s="420">
        <f t="shared" ref="VUK46:VWV46" si="284">VUK45*0.8</f>
        <v>0</v>
      </c>
      <c r="VUL46" s="420">
        <f t="shared" si="284"/>
        <v>0</v>
      </c>
      <c r="VUM46" s="420">
        <f t="shared" si="284"/>
        <v>0</v>
      </c>
      <c r="VUN46" s="420">
        <f t="shared" si="284"/>
        <v>0</v>
      </c>
      <c r="VUO46" s="420">
        <f t="shared" si="284"/>
        <v>0</v>
      </c>
      <c r="VUP46" s="420">
        <f t="shared" si="284"/>
        <v>0</v>
      </c>
      <c r="VUQ46" s="420">
        <f t="shared" si="284"/>
        <v>0</v>
      </c>
      <c r="VUR46" s="420">
        <f t="shared" si="284"/>
        <v>0</v>
      </c>
      <c r="VUS46" s="420">
        <f t="shared" si="284"/>
        <v>0</v>
      </c>
      <c r="VUT46" s="420">
        <f t="shared" si="284"/>
        <v>0</v>
      </c>
      <c r="VUU46" s="420">
        <f t="shared" si="284"/>
        <v>0</v>
      </c>
      <c r="VUV46" s="420">
        <f t="shared" si="284"/>
        <v>0</v>
      </c>
      <c r="VUW46" s="420">
        <f t="shared" si="284"/>
        <v>0</v>
      </c>
      <c r="VUX46" s="420">
        <f t="shared" si="284"/>
        <v>0</v>
      </c>
      <c r="VUY46" s="420">
        <f t="shared" si="284"/>
        <v>0</v>
      </c>
      <c r="VUZ46" s="420">
        <f t="shared" si="284"/>
        <v>0</v>
      </c>
      <c r="VVA46" s="420">
        <f t="shared" si="284"/>
        <v>0</v>
      </c>
      <c r="VVB46" s="420">
        <f t="shared" si="284"/>
        <v>0</v>
      </c>
      <c r="VVC46" s="420">
        <f t="shared" si="284"/>
        <v>0</v>
      </c>
      <c r="VVD46" s="420">
        <f t="shared" si="284"/>
        <v>0</v>
      </c>
      <c r="VVE46" s="420">
        <f t="shared" si="284"/>
        <v>0</v>
      </c>
      <c r="VVF46" s="420">
        <f t="shared" si="284"/>
        <v>0</v>
      </c>
      <c r="VVG46" s="420">
        <f t="shared" si="284"/>
        <v>0</v>
      </c>
      <c r="VVH46" s="420">
        <f t="shared" si="284"/>
        <v>0</v>
      </c>
      <c r="VVI46" s="420">
        <f t="shared" si="284"/>
        <v>0</v>
      </c>
      <c r="VVJ46" s="420">
        <f t="shared" si="284"/>
        <v>0</v>
      </c>
      <c r="VVK46" s="420">
        <f t="shared" si="284"/>
        <v>0</v>
      </c>
      <c r="VVL46" s="420">
        <f t="shared" si="284"/>
        <v>0</v>
      </c>
      <c r="VVM46" s="420">
        <f t="shared" si="284"/>
        <v>0</v>
      </c>
      <c r="VVN46" s="420">
        <f t="shared" si="284"/>
        <v>0</v>
      </c>
      <c r="VVO46" s="420">
        <f t="shared" si="284"/>
        <v>0</v>
      </c>
      <c r="VVP46" s="420">
        <f t="shared" si="284"/>
        <v>0</v>
      </c>
      <c r="VVQ46" s="420">
        <f t="shared" si="284"/>
        <v>0</v>
      </c>
      <c r="VVR46" s="420">
        <f t="shared" si="284"/>
        <v>0</v>
      </c>
      <c r="VVS46" s="420">
        <f t="shared" si="284"/>
        <v>0</v>
      </c>
      <c r="VVT46" s="420">
        <f t="shared" si="284"/>
        <v>0</v>
      </c>
      <c r="VVU46" s="420">
        <f t="shared" si="284"/>
        <v>0</v>
      </c>
      <c r="VVV46" s="420">
        <f t="shared" si="284"/>
        <v>0</v>
      </c>
      <c r="VVW46" s="420">
        <f t="shared" si="284"/>
        <v>0</v>
      </c>
      <c r="VVX46" s="420">
        <f t="shared" si="284"/>
        <v>0</v>
      </c>
      <c r="VVY46" s="420">
        <f t="shared" si="284"/>
        <v>0</v>
      </c>
      <c r="VVZ46" s="420">
        <f t="shared" si="284"/>
        <v>0</v>
      </c>
      <c r="VWA46" s="420">
        <f t="shared" si="284"/>
        <v>0</v>
      </c>
      <c r="VWB46" s="420">
        <f t="shared" si="284"/>
        <v>0</v>
      </c>
      <c r="VWC46" s="420">
        <f t="shared" si="284"/>
        <v>0</v>
      </c>
      <c r="VWD46" s="420">
        <f t="shared" si="284"/>
        <v>0</v>
      </c>
      <c r="VWE46" s="420">
        <f t="shared" si="284"/>
        <v>0</v>
      </c>
      <c r="VWF46" s="420">
        <f t="shared" si="284"/>
        <v>0</v>
      </c>
      <c r="VWG46" s="420">
        <f t="shared" si="284"/>
        <v>0</v>
      </c>
      <c r="VWH46" s="420">
        <f t="shared" si="284"/>
        <v>0</v>
      </c>
      <c r="VWI46" s="420">
        <f t="shared" si="284"/>
        <v>0</v>
      </c>
      <c r="VWJ46" s="420">
        <f t="shared" si="284"/>
        <v>0</v>
      </c>
      <c r="VWK46" s="420">
        <f t="shared" si="284"/>
        <v>0</v>
      </c>
      <c r="VWL46" s="420">
        <f t="shared" si="284"/>
        <v>0</v>
      </c>
      <c r="VWM46" s="420">
        <f t="shared" si="284"/>
        <v>0</v>
      </c>
      <c r="VWN46" s="420">
        <f t="shared" si="284"/>
        <v>0</v>
      </c>
      <c r="VWO46" s="420">
        <f t="shared" si="284"/>
        <v>0</v>
      </c>
      <c r="VWP46" s="420">
        <f t="shared" si="284"/>
        <v>0</v>
      </c>
      <c r="VWQ46" s="420">
        <f t="shared" si="284"/>
        <v>0</v>
      </c>
      <c r="VWR46" s="420">
        <f t="shared" si="284"/>
        <v>0</v>
      </c>
      <c r="VWS46" s="420">
        <f t="shared" si="284"/>
        <v>0</v>
      </c>
      <c r="VWT46" s="420">
        <f t="shared" si="284"/>
        <v>0</v>
      </c>
      <c r="VWU46" s="420">
        <f t="shared" si="284"/>
        <v>0</v>
      </c>
      <c r="VWV46" s="420">
        <f t="shared" si="284"/>
        <v>0</v>
      </c>
      <c r="VWW46" s="420">
        <f t="shared" ref="VWW46:VZH46" si="285">VWW45*0.8</f>
        <v>0</v>
      </c>
      <c r="VWX46" s="420">
        <f t="shared" si="285"/>
        <v>0</v>
      </c>
      <c r="VWY46" s="420">
        <f t="shared" si="285"/>
        <v>0</v>
      </c>
      <c r="VWZ46" s="420">
        <f t="shared" si="285"/>
        <v>0</v>
      </c>
      <c r="VXA46" s="420">
        <f t="shared" si="285"/>
        <v>0</v>
      </c>
      <c r="VXB46" s="420">
        <f t="shared" si="285"/>
        <v>0</v>
      </c>
      <c r="VXC46" s="420">
        <f t="shared" si="285"/>
        <v>0</v>
      </c>
      <c r="VXD46" s="420">
        <f t="shared" si="285"/>
        <v>0</v>
      </c>
      <c r="VXE46" s="420">
        <f t="shared" si="285"/>
        <v>0</v>
      </c>
      <c r="VXF46" s="420">
        <f t="shared" si="285"/>
        <v>0</v>
      </c>
      <c r="VXG46" s="420">
        <f t="shared" si="285"/>
        <v>0</v>
      </c>
      <c r="VXH46" s="420">
        <f t="shared" si="285"/>
        <v>0</v>
      </c>
      <c r="VXI46" s="420">
        <f t="shared" si="285"/>
        <v>0</v>
      </c>
      <c r="VXJ46" s="420">
        <f t="shared" si="285"/>
        <v>0</v>
      </c>
      <c r="VXK46" s="420">
        <f t="shared" si="285"/>
        <v>0</v>
      </c>
      <c r="VXL46" s="420">
        <f t="shared" si="285"/>
        <v>0</v>
      </c>
      <c r="VXM46" s="420">
        <f t="shared" si="285"/>
        <v>0</v>
      </c>
      <c r="VXN46" s="420">
        <f t="shared" si="285"/>
        <v>0</v>
      </c>
      <c r="VXO46" s="420">
        <f t="shared" si="285"/>
        <v>0</v>
      </c>
      <c r="VXP46" s="420">
        <f t="shared" si="285"/>
        <v>0</v>
      </c>
      <c r="VXQ46" s="420">
        <f t="shared" si="285"/>
        <v>0</v>
      </c>
      <c r="VXR46" s="420">
        <f t="shared" si="285"/>
        <v>0</v>
      </c>
      <c r="VXS46" s="420">
        <f t="shared" si="285"/>
        <v>0</v>
      </c>
      <c r="VXT46" s="420">
        <f t="shared" si="285"/>
        <v>0</v>
      </c>
      <c r="VXU46" s="420">
        <f t="shared" si="285"/>
        <v>0</v>
      </c>
      <c r="VXV46" s="420">
        <f t="shared" si="285"/>
        <v>0</v>
      </c>
      <c r="VXW46" s="420">
        <f t="shared" si="285"/>
        <v>0</v>
      </c>
      <c r="VXX46" s="420">
        <f t="shared" si="285"/>
        <v>0</v>
      </c>
      <c r="VXY46" s="420">
        <f t="shared" si="285"/>
        <v>0</v>
      </c>
      <c r="VXZ46" s="420">
        <f t="shared" si="285"/>
        <v>0</v>
      </c>
      <c r="VYA46" s="420">
        <f t="shared" si="285"/>
        <v>0</v>
      </c>
      <c r="VYB46" s="420">
        <f t="shared" si="285"/>
        <v>0</v>
      </c>
      <c r="VYC46" s="420">
        <f t="shared" si="285"/>
        <v>0</v>
      </c>
      <c r="VYD46" s="420">
        <f t="shared" si="285"/>
        <v>0</v>
      </c>
      <c r="VYE46" s="420">
        <f t="shared" si="285"/>
        <v>0</v>
      </c>
      <c r="VYF46" s="420">
        <f t="shared" si="285"/>
        <v>0</v>
      </c>
      <c r="VYG46" s="420">
        <f t="shared" si="285"/>
        <v>0</v>
      </c>
      <c r="VYH46" s="420">
        <f t="shared" si="285"/>
        <v>0</v>
      </c>
      <c r="VYI46" s="420">
        <f t="shared" si="285"/>
        <v>0</v>
      </c>
      <c r="VYJ46" s="420">
        <f t="shared" si="285"/>
        <v>0</v>
      </c>
      <c r="VYK46" s="420">
        <f t="shared" si="285"/>
        <v>0</v>
      </c>
      <c r="VYL46" s="420">
        <f t="shared" si="285"/>
        <v>0</v>
      </c>
      <c r="VYM46" s="420">
        <f t="shared" si="285"/>
        <v>0</v>
      </c>
      <c r="VYN46" s="420">
        <f t="shared" si="285"/>
        <v>0</v>
      </c>
      <c r="VYO46" s="420">
        <f t="shared" si="285"/>
        <v>0</v>
      </c>
      <c r="VYP46" s="420">
        <f t="shared" si="285"/>
        <v>0</v>
      </c>
      <c r="VYQ46" s="420">
        <f t="shared" si="285"/>
        <v>0</v>
      </c>
      <c r="VYR46" s="420">
        <f t="shared" si="285"/>
        <v>0</v>
      </c>
      <c r="VYS46" s="420">
        <f t="shared" si="285"/>
        <v>0</v>
      </c>
      <c r="VYT46" s="420">
        <f t="shared" si="285"/>
        <v>0</v>
      </c>
      <c r="VYU46" s="420">
        <f t="shared" si="285"/>
        <v>0</v>
      </c>
      <c r="VYV46" s="420">
        <f t="shared" si="285"/>
        <v>0</v>
      </c>
      <c r="VYW46" s="420">
        <f t="shared" si="285"/>
        <v>0</v>
      </c>
      <c r="VYX46" s="420">
        <f t="shared" si="285"/>
        <v>0</v>
      </c>
      <c r="VYY46" s="420">
        <f t="shared" si="285"/>
        <v>0</v>
      </c>
      <c r="VYZ46" s="420">
        <f t="shared" si="285"/>
        <v>0</v>
      </c>
      <c r="VZA46" s="420">
        <f t="shared" si="285"/>
        <v>0</v>
      </c>
      <c r="VZB46" s="420">
        <f t="shared" si="285"/>
        <v>0</v>
      </c>
      <c r="VZC46" s="420">
        <f t="shared" si="285"/>
        <v>0</v>
      </c>
      <c r="VZD46" s="420">
        <f t="shared" si="285"/>
        <v>0</v>
      </c>
      <c r="VZE46" s="420">
        <f t="shared" si="285"/>
        <v>0</v>
      </c>
      <c r="VZF46" s="420">
        <f t="shared" si="285"/>
        <v>0</v>
      </c>
      <c r="VZG46" s="420">
        <f t="shared" si="285"/>
        <v>0</v>
      </c>
      <c r="VZH46" s="420">
        <f t="shared" si="285"/>
        <v>0</v>
      </c>
      <c r="VZI46" s="420">
        <f t="shared" ref="VZI46:WBT46" si="286">VZI45*0.8</f>
        <v>0</v>
      </c>
      <c r="VZJ46" s="420">
        <f t="shared" si="286"/>
        <v>0</v>
      </c>
      <c r="VZK46" s="420">
        <f t="shared" si="286"/>
        <v>0</v>
      </c>
      <c r="VZL46" s="420">
        <f t="shared" si="286"/>
        <v>0</v>
      </c>
      <c r="VZM46" s="420">
        <f t="shared" si="286"/>
        <v>0</v>
      </c>
      <c r="VZN46" s="420">
        <f t="shared" si="286"/>
        <v>0</v>
      </c>
      <c r="VZO46" s="420">
        <f t="shared" si="286"/>
        <v>0</v>
      </c>
      <c r="VZP46" s="420">
        <f t="shared" si="286"/>
        <v>0</v>
      </c>
      <c r="VZQ46" s="420">
        <f t="shared" si="286"/>
        <v>0</v>
      </c>
      <c r="VZR46" s="420">
        <f t="shared" si="286"/>
        <v>0</v>
      </c>
      <c r="VZS46" s="420">
        <f t="shared" si="286"/>
        <v>0</v>
      </c>
      <c r="VZT46" s="420">
        <f t="shared" si="286"/>
        <v>0</v>
      </c>
      <c r="VZU46" s="420">
        <f t="shared" si="286"/>
        <v>0</v>
      </c>
      <c r="VZV46" s="420">
        <f t="shared" si="286"/>
        <v>0</v>
      </c>
      <c r="VZW46" s="420">
        <f t="shared" si="286"/>
        <v>0</v>
      </c>
      <c r="VZX46" s="420">
        <f t="shared" si="286"/>
        <v>0</v>
      </c>
      <c r="VZY46" s="420">
        <f t="shared" si="286"/>
        <v>0</v>
      </c>
      <c r="VZZ46" s="420">
        <f t="shared" si="286"/>
        <v>0</v>
      </c>
      <c r="WAA46" s="420">
        <f t="shared" si="286"/>
        <v>0</v>
      </c>
      <c r="WAB46" s="420">
        <f t="shared" si="286"/>
        <v>0</v>
      </c>
      <c r="WAC46" s="420">
        <f t="shared" si="286"/>
        <v>0</v>
      </c>
      <c r="WAD46" s="420">
        <f t="shared" si="286"/>
        <v>0</v>
      </c>
      <c r="WAE46" s="420">
        <f t="shared" si="286"/>
        <v>0</v>
      </c>
      <c r="WAF46" s="420">
        <f t="shared" si="286"/>
        <v>0</v>
      </c>
      <c r="WAG46" s="420">
        <f t="shared" si="286"/>
        <v>0</v>
      </c>
      <c r="WAH46" s="420">
        <f t="shared" si="286"/>
        <v>0</v>
      </c>
      <c r="WAI46" s="420">
        <f t="shared" si="286"/>
        <v>0</v>
      </c>
      <c r="WAJ46" s="420">
        <f t="shared" si="286"/>
        <v>0</v>
      </c>
      <c r="WAK46" s="420">
        <f t="shared" si="286"/>
        <v>0</v>
      </c>
      <c r="WAL46" s="420">
        <f t="shared" si="286"/>
        <v>0</v>
      </c>
      <c r="WAM46" s="420">
        <f t="shared" si="286"/>
        <v>0</v>
      </c>
      <c r="WAN46" s="420">
        <f t="shared" si="286"/>
        <v>0</v>
      </c>
      <c r="WAO46" s="420">
        <f t="shared" si="286"/>
        <v>0</v>
      </c>
      <c r="WAP46" s="420">
        <f t="shared" si="286"/>
        <v>0</v>
      </c>
      <c r="WAQ46" s="420">
        <f t="shared" si="286"/>
        <v>0</v>
      </c>
      <c r="WAR46" s="420">
        <f t="shared" si="286"/>
        <v>0</v>
      </c>
      <c r="WAS46" s="420">
        <f t="shared" si="286"/>
        <v>0</v>
      </c>
      <c r="WAT46" s="420">
        <f t="shared" si="286"/>
        <v>0</v>
      </c>
      <c r="WAU46" s="420">
        <f t="shared" si="286"/>
        <v>0</v>
      </c>
      <c r="WAV46" s="420">
        <f t="shared" si="286"/>
        <v>0</v>
      </c>
      <c r="WAW46" s="420">
        <f t="shared" si="286"/>
        <v>0</v>
      </c>
      <c r="WAX46" s="420">
        <f t="shared" si="286"/>
        <v>0</v>
      </c>
      <c r="WAY46" s="420">
        <f t="shared" si="286"/>
        <v>0</v>
      </c>
      <c r="WAZ46" s="420">
        <f t="shared" si="286"/>
        <v>0</v>
      </c>
      <c r="WBA46" s="420">
        <f t="shared" si="286"/>
        <v>0</v>
      </c>
      <c r="WBB46" s="420">
        <f t="shared" si="286"/>
        <v>0</v>
      </c>
      <c r="WBC46" s="420">
        <f t="shared" si="286"/>
        <v>0</v>
      </c>
      <c r="WBD46" s="420">
        <f t="shared" si="286"/>
        <v>0</v>
      </c>
      <c r="WBE46" s="420">
        <f t="shared" si="286"/>
        <v>0</v>
      </c>
      <c r="WBF46" s="420">
        <f t="shared" si="286"/>
        <v>0</v>
      </c>
      <c r="WBG46" s="420">
        <f t="shared" si="286"/>
        <v>0</v>
      </c>
      <c r="WBH46" s="420">
        <f t="shared" si="286"/>
        <v>0</v>
      </c>
      <c r="WBI46" s="420">
        <f t="shared" si="286"/>
        <v>0</v>
      </c>
      <c r="WBJ46" s="420">
        <f t="shared" si="286"/>
        <v>0</v>
      </c>
      <c r="WBK46" s="420">
        <f t="shared" si="286"/>
        <v>0</v>
      </c>
      <c r="WBL46" s="420">
        <f t="shared" si="286"/>
        <v>0</v>
      </c>
      <c r="WBM46" s="420">
        <f t="shared" si="286"/>
        <v>0</v>
      </c>
      <c r="WBN46" s="420">
        <f t="shared" si="286"/>
        <v>0</v>
      </c>
      <c r="WBO46" s="420">
        <f t="shared" si="286"/>
        <v>0</v>
      </c>
      <c r="WBP46" s="420">
        <f t="shared" si="286"/>
        <v>0</v>
      </c>
      <c r="WBQ46" s="420">
        <f t="shared" si="286"/>
        <v>0</v>
      </c>
      <c r="WBR46" s="420">
        <f t="shared" si="286"/>
        <v>0</v>
      </c>
      <c r="WBS46" s="420">
        <f t="shared" si="286"/>
        <v>0</v>
      </c>
      <c r="WBT46" s="420">
        <f t="shared" si="286"/>
        <v>0</v>
      </c>
      <c r="WBU46" s="420">
        <f t="shared" ref="WBU46:WEF46" si="287">WBU45*0.8</f>
        <v>0</v>
      </c>
      <c r="WBV46" s="420">
        <f t="shared" si="287"/>
        <v>0</v>
      </c>
      <c r="WBW46" s="420">
        <f t="shared" si="287"/>
        <v>0</v>
      </c>
      <c r="WBX46" s="420">
        <f t="shared" si="287"/>
        <v>0</v>
      </c>
      <c r="WBY46" s="420">
        <f t="shared" si="287"/>
        <v>0</v>
      </c>
      <c r="WBZ46" s="420">
        <f t="shared" si="287"/>
        <v>0</v>
      </c>
      <c r="WCA46" s="420">
        <f t="shared" si="287"/>
        <v>0</v>
      </c>
      <c r="WCB46" s="420">
        <f t="shared" si="287"/>
        <v>0</v>
      </c>
      <c r="WCC46" s="420">
        <f t="shared" si="287"/>
        <v>0</v>
      </c>
      <c r="WCD46" s="420">
        <f t="shared" si="287"/>
        <v>0</v>
      </c>
      <c r="WCE46" s="420">
        <f t="shared" si="287"/>
        <v>0</v>
      </c>
      <c r="WCF46" s="420">
        <f t="shared" si="287"/>
        <v>0</v>
      </c>
      <c r="WCG46" s="420">
        <f t="shared" si="287"/>
        <v>0</v>
      </c>
      <c r="WCH46" s="420">
        <f t="shared" si="287"/>
        <v>0</v>
      </c>
      <c r="WCI46" s="420">
        <f t="shared" si="287"/>
        <v>0</v>
      </c>
      <c r="WCJ46" s="420">
        <f t="shared" si="287"/>
        <v>0</v>
      </c>
      <c r="WCK46" s="420">
        <f t="shared" si="287"/>
        <v>0</v>
      </c>
      <c r="WCL46" s="420">
        <f t="shared" si="287"/>
        <v>0</v>
      </c>
      <c r="WCM46" s="420">
        <f t="shared" si="287"/>
        <v>0</v>
      </c>
      <c r="WCN46" s="420">
        <f t="shared" si="287"/>
        <v>0</v>
      </c>
      <c r="WCO46" s="420">
        <f t="shared" si="287"/>
        <v>0</v>
      </c>
      <c r="WCP46" s="420">
        <f t="shared" si="287"/>
        <v>0</v>
      </c>
      <c r="WCQ46" s="420">
        <f t="shared" si="287"/>
        <v>0</v>
      </c>
      <c r="WCR46" s="420">
        <f t="shared" si="287"/>
        <v>0</v>
      </c>
      <c r="WCS46" s="420">
        <f t="shared" si="287"/>
        <v>0</v>
      </c>
      <c r="WCT46" s="420">
        <f t="shared" si="287"/>
        <v>0</v>
      </c>
      <c r="WCU46" s="420">
        <f t="shared" si="287"/>
        <v>0</v>
      </c>
      <c r="WCV46" s="420">
        <f t="shared" si="287"/>
        <v>0</v>
      </c>
      <c r="WCW46" s="420">
        <f t="shared" si="287"/>
        <v>0</v>
      </c>
      <c r="WCX46" s="420">
        <f t="shared" si="287"/>
        <v>0</v>
      </c>
      <c r="WCY46" s="420">
        <f t="shared" si="287"/>
        <v>0</v>
      </c>
      <c r="WCZ46" s="420">
        <f t="shared" si="287"/>
        <v>0</v>
      </c>
      <c r="WDA46" s="420">
        <f t="shared" si="287"/>
        <v>0</v>
      </c>
      <c r="WDB46" s="420">
        <f t="shared" si="287"/>
        <v>0</v>
      </c>
      <c r="WDC46" s="420">
        <f t="shared" si="287"/>
        <v>0</v>
      </c>
      <c r="WDD46" s="420">
        <f t="shared" si="287"/>
        <v>0</v>
      </c>
      <c r="WDE46" s="420">
        <f t="shared" si="287"/>
        <v>0</v>
      </c>
      <c r="WDF46" s="420">
        <f t="shared" si="287"/>
        <v>0</v>
      </c>
      <c r="WDG46" s="420">
        <f t="shared" si="287"/>
        <v>0</v>
      </c>
      <c r="WDH46" s="420">
        <f t="shared" si="287"/>
        <v>0</v>
      </c>
      <c r="WDI46" s="420">
        <f t="shared" si="287"/>
        <v>0</v>
      </c>
      <c r="WDJ46" s="420">
        <f t="shared" si="287"/>
        <v>0</v>
      </c>
      <c r="WDK46" s="420">
        <f t="shared" si="287"/>
        <v>0</v>
      </c>
      <c r="WDL46" s="420">
        <f t="shared" si="287"/>
        <v>0</v>
      </c>
      <c r="WDM46" s="420">
        <f t="shared" si="287"/>
        <v>0</v>
      </c>
      <c r="WDN46" s="420">
        <f t="shared" si="287"/>
        <v>0</v>
      </c>
      <c r="WDO46" s="420">
        <f t="shared" si="287"/>
        <v>0</v>
      </c>
      <c r="WDP46" s="420">
        <f t="shared" si="287"/>
        <v>0</v>
      </c>
      <c r="WDQ46" s="420">
        <f t="shared" si="287"/>
        <v>0</v>
      </c>
      <c r="WDR46" s="420">
        <f t="shared" si="287"/>
        <v>0</v>
      </c>
      <c r="WDS46" s="420">
        <f t="shared" si="287"/>
        <v>0</v>
      </c>
      <c r="WDT46" s="420">
        <f t="shared" si="287"/>
        <v>0</v>
      </c>
      <c r="WDU46" s="420">
        <f t="shared" si="287"/>
        <v>0</v>
      </c>
      <c r="WDV46" s="420">
        <f t="shared" si="287"/>
        <v>0</v>
      </c>
      <c r="WDW46" s="420">
        <f t="shared" si="287"/>
        <v>0</v>
      </c>
      <c r="WDX46" s="420">
        <f t="shared" si="287"/>
        <v>0</v>
      </c>
      <c r="WDY46" s="420">
        <f t="shared" si="287"/>
        <v>0</v>
      </c>
      <c r="WDZ46" s="420">
        <f t="shared" si="287"/>
        <v>0</v>
      </c>
      <c r="WEA46" s="420">
        <f t="shared" si="287"/>
        <v>0</v>
      </c>
      <c r="WEB46" s="420">
        <f t="shared" si="287"/>
        <v>0</v>
      </c>
      <c r="WEC46" s="420">
        <f t="shared" si="287"/>
        <v>0</v>
      </c>
      <c r="WED46" s="420">
        <f t="shared" si="287"/>
        <v>0</v>
      </c>
      <c r="WEE46" s="420">
        <f t="shared" si="287"/>
        <v>0</v>
      </c>
      <c r="WEF46" s="420">
        <f t="shared" si="287"/>
        <v>0</v>
      </c>
      <c r="WEG46" s="420">
        <f t="shared" ref="WEG46:WGR46" si="288">WEG45*0.8</f>
        <v>0</v>
      </c>
      <c r="WEH46" s="420">
        <f t="shared" si="288"/>
        <v>0</v>
      </c>
      <c r="WEI46" s="420">
        <f t="shared" si="288"/>
        <v>0</v>
      </c>
      <c r="WEJ46" s="420">
        <f t="shared" si="288"/>
        <v>0</v>
      </c>
      <c r="WEK46" s="420">
        <f t="shared" si="288"/>
        <v>0</v>
      </c>
      <c r="WEL46" s="420">
        <f t="shared" si="288"/>
        <v>0</v>
      </c>
      <c r="WEM46" s="420">
        <f t="shared" si="288"/>
        <v>0</v>
      </c>
      <c r="WEN46" s="420">
        <f t="shared" si="288"/>
        <v>0</v>
      </c>
      <c r="WEO46" s="420">
        <f t="shared" si="288"/>
        <v>0</v>
      </c>
      <c r="WEP46" s="420">
        <f t="shared" si="288"/>
        <v>0</v>
      </c>
      <c r="WEQ46" s="420">
        <f t="shared" si="288"/>
        <v>0</v>
      </c>
      <c r="WER46" s="420">
        <f t="shared" si="288"/>
        <v>0</v>
      </c>
      <c r="WES46" s="420">
        <f t="shared" si="288"/>
        <v>0</v>
      </c>
      <c r="WET46" s="420">
        <f t="shared" si="288"/>
        <v>0</v>
      </c>
      <c r="WEU46" s="420">
        <f t="shared" si="288"/>
        <v>0</v>
      </c>
      <c r="WEV46" s="420">
        <f t="shared" si="288"/>
        <v>0</v>
      </c>
      <c r="WEW46" s="420">
        <f t="shared" si="288"/>
        <v>0</v>
      </c>
      <c r="WEX46" s="420">
        <f t="shared" si="288"/>
        <v>0</v>
      </c>
      <c r="WEY46" s="420">
        <f t="shared" si="288"/>
        <v>0</v>
      </c>
      <c r="WEZ46" s="420">
        <f t="shared" si="288"/>
        <v>0</v>
      </c>
      <c r="WFA46" s="420">
        <f t="shared" si="288"/>
        <v>0</v>
      </c>
      <c r="WFB46" s="420">
        <f t="shared" si="288"/>
        <v>0</v>
      </c>
      <c r="WFC46" s="420">
        <f t="shared" si="288"/>
        <v>0</v>
      </c>
      <c r="WFD46" s="420">
        <f t="shared" si="288"/>
        <v>0</v>
      </c>
      <c r="WFE46" s="420">
        <f t="shared" si="288"/>
        <v>0</v>
      </c>
      <c r="WFF46" s="420">
        <f t="shared" si="288"/>
        <v>0</v>
      </c>
      <c r="WFG46" s="420">
        <f t="shared" si="288"/>
        <v>0</v>
      </c>
      <c r="WFH46" s="420">
        <f t="shared" si="288"/>
        <v>0</v>
      </c>
      <c r="WFI46" s="420">
        <f t="shared" si="288"/>
        <v>0</v>
      </c>
      <c r="WFJ46" s="420">
        <f t="shared" si="288"/>
        <v>0</v>
      </c>
      <c r="WFK46" s="420">
        <f t="shared" si="288"/>
        <v>0</v>
      </c>
      <c r="WFL46" s="420">
        <f t="shared" si="288"/>
        <v>0</v>
      </c>
      <c r="WFM46" s="420">
        <f t="shared" si="288"/>
        <v>0</v>
      </c>
      <c r="WFN46" s="420">
        <f t="shared" si="288"/>
        <v>0</v>
      </c>
      <c r="WFO46" s="420">
        <f t="shared" si="288"/>
        <v>0</v>
      </c>
      <c r="WFP46" s="420">
        <f t="shared" si="288"/>
        <v>0</v>
      </c>
      <c r="WFQ46" s="420">
        <f t="shared" si="288"/>
        <v>0</v>
      </c>
      <c r="WFR46" s="420">
        <f t="shared" si="288"/>
        <v>0</v>
      </c>
      <c r="WFS46" s="420">
        <f t="shared" si="288"/>
        <v>0</v>
      </c>
      <c r="WFT46" s="420">
        <f t="shared" si="288"/>
        <v>0</v>
      </c>
      <c r="WFU46" s="420">
        <f t="shared" si="288"/>
        <v>0</v>
      </c>
      <c r="WFV46" s="420">
        <f t="shared" si="288"/>
        <v>0</v>
      </c>
      <c r="WFW46" s="420">
        <f t="shared" si="288"/>
        <v>0</v>
      </c>
      <c r="WFX46" s="420">
        <f t="shared" si="288"/>
        <v>0</v>
      </c>
      <c r="WFY46" s="420">
        <f t="shared" si="288"/>
        <v>0</v>
      </c>
      <c r="WFZ46" s="420">
        <f t="shared" si="288"/>
        <v>0</v>
      </c>
      <c r="WGA46" s="420">
        <f t="shared" si="288"/>
        <v>0</v>
      </c>
      <c r="WGB46" s="420">
        <f t="shared" si="288"/>
        <v>0</v>
      </c>
      <c r="WGC46" s="420">
        <f t="shared" si="288"/>
        <v>0</v>
      </c>
      <c r="WGD46" s="420">
        <f t="shared" si="288"/>
        <v>0</v>
      </c>
      <c r="WGE46" s="420">
        <f t="shared" si="288"/>
        <v>0</v>
      </c>
      <c r="WGF46" s="420">
        <f t="shared" si="288"/>
        <v>0</v>
      </c>
      <c r="WGG46" s="420">
        <f t="shared" si="288"/>
        <v>0</v>
      </c>
      <c r="WGH46" s="420">
        <f t="shared" si="288"/>
        <v>0</v>
      </c>
      <c r="WGI46" s="420">
        <f t="shared" si="288"/>
        <v>0</v>
      </c>
      <c r="WGJ46" s="420">
        <f t="shared" si="288"/>
        <v>0</v>
      </c>
      <c r="WGK46" s="420">
        <f t="shared" si="288"/>
        <v>0</v>
      </c>
      <c r="WGL46" s="420">
        <f t="shared" si="288"/>
        <v>0</v>
      </c>
      <c r="WGM46" s="420">
        <f t="shared" si="288"/>
        <v>0</v>
      </c>
      <c r="WGN46" s="420">
        <f t="shared" si="288"/>
        <v>0</v>
      </c>
      <c r="WGO46" s="420">
        <f t="shared" si="288"/>
        <v>0</v>
      </c>
      <c r="WGP46" s="420">
        <f t="shared" si="288"/>
        <v>0</v>
      </c>
      <c r="WGQ46" s="420">
        <f t="shared" si="288"/>
        <v>0</v>
      </c>
      <c r="WGR46" s="420">
        <f t="shared" si="288"/>
        <v>0</v>
      </c>
      <c r="WGS46" s="420">
        <f t="shared" ref="WGS46:WJD46" si="289">WGS45*0.8</f>
        <v>0</v>
      </c>
      <c r="WGT46" s="420">
        <f t="shared" si="289"/>
        <v>0</v>
      </c>
      <c r="WGU46" s="420">
        <f t="shared" si="289"/>
        <v>0</v>
      </c>
      <c r="WGV46" s="420">
        <f t="shared" si="289"/>
        <v>0</v>
      </c>
      <c r="WGW46" s="420">
        <f t="shared" si="289"/>
        <v>0</v>
      </c>
      <c r="WGX46" s="420">
        <f t="shared" si="289"/>
        <v>0</v>
      </c>
      <c r="WGY46" s="420">
        <f t="shared" si="289"/>
        <v>0</v>
      </c>
      <c r="WGZ46" s="420">
        <f t="shared" si="289"/>
        <v>0</v>
      </c>
      <c r="WHA46" s="420">
        <f t="shared" si="289"/>
        <v>0</v>
      </c>
      <c r="WHB46" s="420">
        <f t="shared" si="289"/>
        <v>0</v>
      </c>
      <c r="WHC46" s="420">
        <f t="shared" si="289"/>
        <v>0</v>
      </c>
      <c r="WHD46" s="420">
        <f t="shared" si="289"/>
        <v>0</v>
      </c>
      <c r="WHE46" s="420">
        <f t="shared" si="289"/>
        <v>0</v>
      </c>
      <c r="WHF46" s="420">
        <f t="shared" si="289"/>
        <v>0</v>
      </c>
      <c r="WHG46" s="420">
        <f t="shared" si="289"/>
        <v>0</v>
      </c>
      <c r="WHH46" s="420">
        <f t="shared" si="289"/>
        <v>0</v>
      </c>
      <c r="WHI46" s="420">
        <f t="shared" si="289"/>
        <v>0</v>
      </c>
      <c r="WHJ46" s="420">
        <f t="shared" si="289"/>
        <v>0</v>
      </c>
      <c r="WHK46" s="420">
        <f t="shared" si="289"/>
        <v>0</v>
      </c>
      <c r="WHL46" s="420">
        <f t="shared" si="289"/>
        <v>0</v>
      </c>
      <c r="WHM46" s="420">
        <f t="shared" si="289"/>
        <v>0</v>
      </c>
      <c r="WHN46" s="420">
        <f t="shared" si="289"/>
        <v>0</v>
      </c>
      <c r="WHO46" s="420">
        <f t="shared" si="289"/>
        <v>0</v>
      </c>
      <c r="WHP46" s="420">
        <f t="shared" si="289"/>
        <v>0</v>
      </c>
      <c r="WHQ46" s="420">
        <f t="shared" si="289"/>
        <v>0</v>
      </c>
      <c r="WHR46" s="420">
        <f t="shared" si="289"/>
        <v>0</v>
      </c>
      <c r="WHS46" s="420">
        <f t="shared" si="289"/>
        <v>0</v>
      </c>
      <c r="WHT46" s="420">
        <f t="shared" si="289"/>
        <v>0</v>
      </c>
      <c r="WHU46" s="420">
        <f t="shared" si="289"/>
        <v>0</v>
      </c>
      <c r="WHV46" s="420">
        <f t="shared" si="289"/>
        <v>0</v>
      </c>
      <c r="WHW46" s="420">
        <f t="shared" si="289"/>
        <v>0</v>
      </c>
      <c r="WHX46" s="420">
        <f t="shared" si="289"/>
        <v>0</v>
      </c>
      <c r="WHY46" s="420">
        <f t="shared" si="289"/>
        <v>0</v>
      </c>
      <c r="WHZ46" s="420">
        <f t="shared" si="289"/>
        <v>0</v>
      </c>
      <c r="WIA46" s="420">
        <f t="shared" si="289"/>
        <v>0</v>
      </c>
      <c r="WIB46" s="420">
        <f t="shared" si="289"/>
        <v>0</v>
      </c>
      <c r="WIC46" s="420">
        <f t="shared" si="289"/>
        <v>0</v>
      </c>
      <c r="WID46" s="420">
        <f t="shared" si="289"/>
        <v>0</v>
      </c>
      <c r="WIE46" s="420">
        <f t="shared" si="289"/>
        <v>0</v>
      </c>
      <c r="WIF46" s="420">
        <f t="shared" si="289"/>
        <v>0</v>
      </c>
      <c r="WIG46" s="420">
        <f t="shared" si="289"/>
        <v>0</v>
      </c>
      <c r="WIH46" s="420">
        <f t="shared" si="289"/>
        <v>0</v>
      </c>
      <c r="WII46" s="420">
        <f t="shared" si="289"/>
        <v>0</v>
      </c>
      <c r="WIJ46" s="420">
        <f t="shared" si="289"/>
        <v>0</v>
      </c>
      <c r="WIK46" s="420">
        <f t="shared" si="289"/>
        <v>0</v>
      </c>
      <c r="WIL46" s="420">
        <f t="shared" si="289"/>
        <v>0</v>
      </c>
      <c r="WIM46" s="420">
        <f t="shared" si="289"/>
        <v>0</v>
      </c>
      <c r="WIN46" s="420">
        <f t="shared" si="289"/>
        <v>0</v>
      </c>
      <c r="WIO46" s="420">
        <f t="shared" si="289"/>
        <v>0</v>
      </c>
      <c r="WIP46" s="420">
        <f t="shared" si="289"/>
        <v>0</v>
      </c>
      <c r="WIQ46" s="420">
        <f t="shared" si="289"/>
        <v>0</v>
      </c>
      <c r="WIR46" s="420">
        <f t="shared" si="289"/>
        <v>0</v>
      </c>
      <c r="WIS46" s="420">
        <f t="shared" si="289"/>
        <v>0</v>
      </c>
      <c r="WIT46" s="420">
        <f t="shared" si="289"/>
        <v>0</v>
      </c>
      <c r="WIU46" s="420">
        <f t="shared" si="289"/>
        <v>0</v>
      </c>
      <c r="WIV46" s="420">
        <f t="shared" si="289"/>
        <v>0</v>
      </c>
      <c r="WIW46" s="420">
        <f t="shared" si="289"/>
        <v>0</v>
      </c>
      <c r="WIX46" s="420">
        <f t="shared" si="289"/>
        <v>0</v>
      </c>
      <c r="WIY46" s="420">
        <f t="shared" si="289"/>
        <v>0</v>
      </c>
      <c r="WIZ46" s="420">
        <f t="shared" si="289"/>
        <v>0</v>
      </c>
      <c r="WJA46" s="420">
        <f t="shared" si="289"/>
        <v>0</v>
      </c>
      <c r="WJB46" s="420">
        <f t="shared" si="289"/>
        <v>0</v>
      </c>
      <c r="WJC46" s="420">
        <f t="shared" si="289"/>
        <v>0</v>
      </c>
      <c r="WJD46" s="420">
        <f t="shared" si="289"/>
        <v>0</v>
      </c>
      <c r="WJE46" s="420">
        <f t="shared" ref="WJE46:WLP46" si="290">WJE45*0.8</f>
        <v>0</v>
      </c>
      <c r="WJF46" s="420">
        <f t="shared" si="290"/>
        <v>0</v>
      </c>
      <c r="WJG46" s="420">
        <f t="shared" si="290"/>
        <v>0</v>
      </c>
      <c r="WJH46" s="420">
        <f t="shared" si="290"/>
        <v>0</v>
      </c>
      <c r="WJI46" s="420">
        <f t="shared" si="290"/>
        <v>0</v>
      </c>
      <c r="WJJ46" s="420">
        <f t="shared" si="290"/>
        <v>0</v>
      </c>
      <c r="WJK46" s="420">
        <f t="shared" si="290"/>
        <v>0</v>
      </c>
      <c r="WJL46" s="420">
        <f t="shared" si="290"/>
        <v>0</v>
      </c>
      <c r="WJM46" s="420">
        <f t="shared" si="290"/>
        <v>0</v>
      </c>
      <c r="WJN46" s="420">
        <f t="shared" si="290"/>
        <v>0</v>
      </c>
      <c r="WJO46" s="420">
        <f t="shared" si="290"/>
        <v>0</v>
      </c>
      <c r="WJP46" s="420">
        <f t="shared" si="290"/>
        <v>0</v>
      </c>
      <c r="WJQ46" s="420">
        <f t="shared" si="290"/>
        <v>0</v>
      </c>
      <c r="WJR46" s="420">
        <f t="shared" si="290"/>
        <v>0</v>
      </c>
      <c r="WJS46" s="420">
        <f t="shared" si="290"/>
        <v>0</v>
      </c>
      <c r="WJT46" s="420">
        <f t="shared" si="290"/>
        <v>0</v>
      </c>
      <c r="WJU46" s="420">
        <f t="shared" si="290"/>
        <v>0</v>
      </c>
      <c r="WJV46" s="420">
        <f t="shared" si="290"/>
        <v>0</v>
      </c>
      <c r="WJW46" s="420">
        <f t="shared" si="290"/>
        <v>0</v>
      </c>
      <c r="WJX46" s="420">
        <f t="shared" si="290"/>
        <v>0</v>
      </c>
      <c r="WJY46" s="420">
        <f t="shared" si="290"/>
        <v>0</v>
      </c>
      <c r="WJZ46" s="420">
        <f t="shared" si="290"/>
        <v>0</v>
      </c>
      <c r="WKA46" s="420">
        <f t="shared" si="290"/>
        <v>0</v>
      </c>
      <c r="WKB46" s="420">
        <f t="shared" si="290"/>
        <v>0</v>
      </c>
      <c r="WKC46" s="420">
        <f t="shared" si="290"/>
        <v>0</v>
      </c>
      <c r="WKD46" s="420">
        <f t="shared" si="290"/>
        <v>0</v>
      </c>
      <c r="WKE46" s="420">
        <f t="shared" si="290"/>
        <v>0</v>
      </c>
      <c r="WKF46" s="420">
        <f t="shared" si="290"/>
        <v>0</v>
      </c>
      <c r="WKG46" s="420">
        <f t="shared" si="290"/>
        <v>0</v>
      </c>
      <c r="WKH46" s="420">
        <f t="shared" si="290"/>
        <v>0</v>
      </c>
      <c r="WKI46" s="420">
        <f t="shared" si="290"/>
        <v>0</v>
      </c>
      <c r="WKJ46" s="420">
        <f t="shared" si="290"/>
        <v>0</v>
      </c>
      <c r="WKK46" s="420">
        <f t="shared" si="290"/>
        <v>0</v>
      </c>
      <c r="WKL46" s="420">
        <f t="shared" si="290"/>
        <v>0</v>
      </c>
      <c r="WKM46" s="420">
        <f t="shared" si="290"/>
        <v>0</v>
      </c>
      <c r="WKN46" s="420">
        <f t="shared" si="290"/>
        <v>0</v>
      </c>
      <c r="WKO46" s="420">
        <f t="shared" si="290"/>
        <v>0</v>
      </c>
      <c r="WKP46" s="420">
        <f t="shared" si="290"/>
        <v>0</v>
      </c>
      <c r="WKQ46" s="420">
        <f t="shared" si="290"/>
        <v>0</v>
      </c>
      <c r="WKR46" s="420">
        <f t="shared" si="290"/>
        <v>0</v>
      </c>
      <c r="WKS46" s="420">
        <f t="shared" si="290"/>
        <v>0</v>
      </c>
      <c r="WKT46" s="420">
        <f t="shared" si="290"/>
        <v>0</v>
      </c>
      <c r="WKU46" s="420">
        <f t="shared" si="290"/>
        <v>0</v>
      </c>
      <c r="WKV46" s="420">
        <f t="shared" si="290"/>
        <v>0</v>
      </c>
      <c r="WKW46" s="420">
        <f t="shared" si="290"/>
        <v>0</v>
      </c>
      <c r="WKX46" s="420">
        <f t="shared" si="290"/>
        <v>0</v>
      </c>
      <c r="WKY46" s="420">
        <f t="shared" si="290"/>
        <v>0</v>
      </c>
      <c r="WKZ46" s="420">
        <f t="shared" si="290"/>
        <v>0</v>
      </c>
      <c r="WLA46" s="420">
        <f t="shared" si="290"/>
        <v>0</v>
      </c>
      <c r="WLB46" s="420">
        <f t="shared" si="290"/>
        <v>0</v>
      </c>
      <c r="WLC46" s="420">
        <f t="shared" si="290"/>
        <v>0</v>
      </c>
      <c r="WLD46" s="420">
        <f t="shared" si="290"/>
        <v>0</v>
      </c>
      <c r="WLE46" s="420">
        <f t="shared" si="290"/>
        <v>0</v>
      </c>
      <c r="WLF46" s="420">
        <f t="shared" si="290"/>
        <v>0</v>
      </c>
      <c r="WLG46" s="420">
        <f t="shared" si="290"/>
        <v>0</v>
      </c>
      <c r="WLH46" s="420">
        <f t="shared" si="290"/>
        <v>0</v>
      </c>
      <c r="WLI46" s="420">
        <f t="shared" si="290"/>
        <v>0</v>
      </c>
      <c r="WLJ46" s="420">
        <f t="shared" si="290"/>
        <v>0</v>
      </c>
      <c r="WLK46" s="420">
        <f t="shared" si="290"/>
        <v>0</v>
      </c>
      <c r="WLL46" s="420">
        <f t="shared" si="290"/>
        <v>0</v>
      </c>
      <c r="WLM46" s="420">
        <f t="shared" si="290"/>
        <v>0</v>
      </c>
      <c r="WLN46" s="420">
        <f t="shared" si="290"/>
        <v>0</v>
      </c>
      <c r="WLO46" s="420">
        <f t="shared" si="290"/>
        <v>0</v>
      </c>
      <c r="WLP46" s="420">
        <f t="shared" si="290"/>
        <v>0</v>
      </c>
      <c r="WLQ46" s="420">
        <f t="shared" ref="WLQ46:WOB46" si="291">WLQ45*0.8</f>
        <v>0</v>
      </c>
      <c r="WLR46" s="420">
        <f t="shared" si="291"/>
        <v>0</v>
      </c>
      <c r="WLS46" s="420">
        <f t="shared" si="291"/>
        <v>0</v>
      </c>
      <c r="WLT46" s="420">
        <f t="shared" si="291"/>
        <v>0</v>
      </c>
      <c r="WLU46" s="420">
        <f t="shared" si="291"/>
        <v>0</v>
      </c>
      <c r="WLV46" s="420">
        <f t="shared" si="291"/>
        <v>0</v>
      </c>
      <c r="WLW46" s="420">
        <f t="shared" si="291"/>
        <v>0</v>
      </c>
      <c r="WLX46" s="420">
        <f t="shared" si="291"/>
        <v>0</v>
      </c>
      <c r="WLY46" s="420">
        <f t="shared" si="291"/>
        <v>0</v>
      </c>
      <c r="WLZ46" s="420">
        <f t="shared" si="291"/>
        <v>0</v>
      </c>
      <c r="WMA46" s="420">
        <f t="shared" si="291"/>
        <v>0</v>
      </c>
      <c r="WMB46" s="420">
        <f t="shared" si="291"/>
        <v>0</v>
      </c>
      <c r="WMC46" s="420">
        <f t="shared" si="291"/>
        <v>0</v>
      </c>
      <c r="WMD46" s="420">
        <f t="shared" si="291"/>
        <v>0</v>
      </c>
      <c r="WME46" s="420">
        <f t="shared" si="291"/>
        <v>0</v>
      </c>
      <c r="WMF46" s="420">
        <f t="shared" si="291"/>
        <v>0</v>
      </c>
      <c r="WMG46" s="420">
        <f t="shared" si="291"/>
        <v>0</v>
      </c>
      <c r="WMH46" s="420">
        <f t="shared" si="291"/>
        <v>0</v>
      </c>
      <c r="WMI46" s="420">
        <f t="shared" si="291"/>
        <v>0</v>
      </c>
      <c r="WMJ46" s="420">
        <f t="shared" si="291"/>
        <v>0</v>
      </c>
      <c r="WMK46" s="420">
        <f t="shared" si="291"/>
        <v>0</v>
      </c>
      <c r="WML46" s="420">
        <f t="shared" si="291"/>
        <v>0</v>
      </c>
      <c r="WMM46" s="420">
        <f t="shared" si="291"/>
        <v>0</v>
      </c>
      <c r="WMN46" s="420">
        <f t="shared" si="291"/>
        <v>0</v>
      </c>
      <c r="WMO46" s="420">
        <f t="shared" si="291"/>
        <v>0</v>
      </c>
      <c r="WMP46" s="420">
        <f t="shared" si="291"/>
        <v>0</v>
      </c>
      <c r="WMQ46" s="420">
        <f t="shared" si="291"/>
        <v>0</v>
      </c>
      <c r="WMR46" s="420">
        <f t="shared" si="291"/>
        <v>0</v>
      </c>
      <c r="WMS46" s="420">
        <f t="shared" si="291"/>
        <v>0</v>
      </c>
      <c r="WMT46" s="420">
        <f t="shared" si="291"/>
        <v>0</v>
      </c>
      <c r="WMU46" s="420">
        <f t="shared" si="291"/>
        <v>0</v>
      </c>
      <c r="WMV46" s="420">
        <f t="shared" si="291"/>
        <v>0</v>
      </c>
      <c r="WMW46" s="420">
        <f t="shared" si="291"/>
        <v>0</v>
      </c>
      <c r="WMX46" s="420">
        <f t="shared" si="291"/>
        <v>0</v>
      </c>
      <c r="WMY46" s="420">
        <f t="shared" si="291"/>
        <v>0</v>
      </c>
      <c r="WMZ46" s="420">
        <f t="shared" si="291"/>
        <v>0</v>
      </c>
      <c r="WNA46" s="420">
        <f t="shared" si="291"/>
        <v>0</v>
      </c>
      <c r="WNB46" s="420">
        <f t="shared" si="291"/>
        <v>0</v>
      </c>
      <c r="WNC46" s="420">
        <f t="shared" si="291"/>
        <v>0</v>
      </c>
      <c r="WND46" s="420">
        <f t="shared" si="291"/>
        <v>0</v>
      </c>
      <c r="WNE46" s="420">
        <f t="shared" si="291"/>
        <v>0</v>
      </c>
      <c r="WNF46" s="420">
        <f t="shared" si="291"/>
        <v>0</v>
      </c>
      <c r="WNG46" s="420">
        <f t="shared" si="291"/>
        <v>0</v>
      </c>
      <c r="WNH46" s="420">
        <f t="shared" si="291"/>
        <v>0</v>
      </c>
      <c r="WNI46" s="420">
        <f t="shared" si="291"/>
        <v>0</v>
      </c>
      <c r="WNJ46" s="420">
        <f t="shared" si="291"/>
        <v>0</v>
      </c>
      <c r="WNK46" s="420">
        <f t="shared" si="291"/>
        <v>0</v>
      </c>
      <c r="WNL46" s="420">
        <f t="shared" si="291"/>
        <v>0</v>
      </c>
      <c r="WNM46" s="420">
        <f t="shared" si="291"/>
        <v>0</v>
      </c>
      <c r="WNN46" s="420">
        <f t="shared" si="291"/>
        <v>0</v>
      </c>
      <c r="WNO46" s="420">
        <f t="shared" si="291"/>
        <v>0</v>
      </c>
      <c r="WNP46" s="420">
        <f t="shared" si="291"/>
        <v>0</v>
      </c>
      <c r="WNQ46" s="420">
        <f t="shared" si="291"/>
        <v>0</v>
      </c>
      <c r="WNR46" s="420">
        <f t="shared" si="291"/>
        <v>0</v>
      </c>
      <c r="WNS46" s="420">
        <f t="shared" si="291"/>
        <v>0</v>
      </c>
      <c r="WNT46" s="420">
        <f t="shared" si="291"/>
        <v>0</v>
      </c>
      <c r="WNU46" s="420">
        <f t="shared" si="291"/>
        <v>0</v>
      </c>
      <c r="WNV46" s="420">
        <f t="shared" si="291"/>
        <v>0</v>
      </c>
      <c r="WNW46" s="420">
        <f t="shared" si="291"/>
        <v>0</v>
      </c>
      <c r="WNX46" s="420">
        <f t="shared" si="291"/>
        <v>0</v>
      </c>
      <c r="WNY46" s="420">
        <f t="shared" si="291"/>
        <v>0</v>
      </c>
      <c r="WNZ46" s="420">
        <f t="shared" si="291"/>
        <v>0</v>
      </c>
      <c r="WOA46" s="420">
        <f t="shared" si="291"/>
        <v>0</v>
      </c>
      <c r="WOB46" s="420">
        <f t="shared" si="291"/>
        <v>0</v>
      </c>
      <c r="WOC46" s="420">
        <f t="shared" ref="WOC46:WQN46" si="292">WOC45*0.8</f>
        <v>0</v>
      </c>
      <c r="WOD46" s="420">
        <f t="shared" si="292"/>
        <v>0</v>
      </c>
      <c r="WOE46" s="420">
        <f t="shared" si="292"/>
        <v>0</v>
      </c>
      <c r="WOF46" s="420">
        <f t="shared" si="292"/>
        <v>0</v>
      </c>
      <c r="WOG46" s="420">
        <f t="shared" si="292"/>
        <v>0</v>
      </c>
      <c r="WOH46" s="420">
        <f t="shared" si="292"/>
        <v>0</v>
      </c>
      <c r="WOI46" s="420">
        <f t="shared" si="292"/>
        <v>0</v>
      </c>
      <c r="WOJ46" s="420">
        <f t="shared" si="292"/>
        <v>0</v>
      </c>
      <c r="WOK46" s="420">
        <f t="shared" si="292"/>
        <v>0</v>
      </c>
      <c r="WOL46" s="420">
        <f t="shared" si="292"/>
        <v>0</v>
      </c>
      <c r="WOM46" s="420">
        <f t="shared" si="292"/>
        <v>0</v>
      </c>
      <c r="WON46" s="420">
        <f t="shared" si="292"/>
        <v>0</v>
      </c>
      <c r="WOO46" s="420">
        <f t="shared" si="292"/>
        <v>0</v>
      </c>
      <c r="WOP46" s="420">
        <f t="shared" si="292"/>
        <v>0</v>
      </c>
      <c r="WOQ46" s="420">
        <f t="shared" si="292"/>
        <v>0</v>
      </c>
      <c r="WOR46" s="420">
        <f t="shared" si="292"/>
        <v>0</v>
      </c>
      <c r="WOS46" s="420">
        <f t="shared" si="292"/>
        <v>0</v>
      </c>
      <c r="WOT46" s="420">
        <f t="shared" si="292"/>
        <v>0</v>
      </c>
      <c r="WOU46" s="420">
        <f t="shared" si="292"/>
        <v>0</v>
      </c>
      <c r="WOV46" s="420">
        <f t="shared" si="292"/>
        <v>0</v>
      </c>
      <c r="WOW46" s="420">
        <f t="shared" si="292"/>
        <v>0</v>
      </c>
      <c r="WOX46" s="420">
        <f t="shared" si="292"/>
        <v>0</v>
      </c>
      <c r="WOY46" s="420">
        <f t="shared" si="292"/>
        <v>0</v>
      </c>
      <c r="WOZ46" s="420">
        <f t="shared" si="292"/>
        <v>0</v>
      </c>
      <c r="WPA46" s="420">
        <f t="shared" si="292"/>
        <v>0</v>
      </c>
      <c r="WPB46" s="420">
        <f t="shared" si="292"/>
        <v>0</v>
      </c>
      <c r="WPC46" s="420">
        <f t="shared" si="292"/>
        <v>0</v>
      </c>
      <c r="WPD46" s="420">
        <f t="shared" si="292"/>
        <v>0</v>
      </c>
      <c r="WPE46" s="420">
        <f t="shared" si="292"/>
        <v>0</v>
      </c>
      <c r="WPF46" s="420">
        <f t="shared" si="292"/>
        <v>0</v>
      </c>
      <c r="WPG46" s="420">
        <f t="shared" si="292"/>
        <v>0</v>
      </c>
      <c r="WPH46" s="420">
        <f t="shared" si="292"/>
        <v>0</v>
      </c>
      <c r="WPI46" s="420">
        <f t="shared" si="292"/>
        <v>0</v>
      </c>
      <c r="WPJ46" s="420">
        <f t="shared" si="292"/>
        <v>0</v>
      </c>
      <c r="WPK46" s="420">
        <f t="shared" si="292"/>
        <v>0</v>
      </c>
      <c r="WPL46" s="420">
        <f t="shared" si="292"/>
        <v>0</v>
      </c>
      <c r="WPM46" s="420">
        <f t="shared" si="292"/>
        <v>0</v>
      </c>
      <c r="WPN46" s="420">
        <f t="shared" si="292"/>
        <v>0</v>
      </c>
      <c r="WPO46" s="420">
        <f t="shared" si="292"/>
        <v>0</v>
      </c>
      <c r="WPP46" s="420">
        <f t="shared" si="292"/>
        <v>0</v>
      </c>
      <c r="WPQ46" s="420">
        <f t="shared" si="292"/>
        <v>0</v>
      </c>
      <c r="WPR46" s="420">
        <f t="shared" si="292"/>
        <v>0</v>
      </c>
      <c r="WPS46" s="420">
        <f t="shared" si="292"/>
        <v>0</v>
      </c>
      <c r="WPT46" s="420">
        <f t="shared" si="292"/>
        <v>0</v>
      </c>
      <c r="WPU46" s="420">
        <f t="shared" si="292"/>
        <v>0</v>
      </c>
      <c r="WPV46" s="420">
        <f t="shared" si="292"/>
        <v>0</v>
      </c>
      <c r="WPW46" s="420">
        <f t="shared" si="292"/>
        <v>0</v>
      </c>
      <c r="WPX46" s="420">
        <f t="shared" si="292"/>
        <v>0</v>
      </c>
      <c r="WPY46" s="420">
        <f t="shared" si="292"/>
        <v>0</v>
      </c>
      <c r="WPZ46" s="420">
        <f t="shared" si="292"/>
        <v>0</v>
      </c>
      <c r="WQA46" s="420">
        <f t="shared" si="292"/>
        <v>0</v>
      </c>
      <c r="WQB46" s="420">
        <f t="shared" si="292"/>
        <v>0</v>
      </c>
      <c r="WQC46" s="420">
        <f t="shared" si="292"/>
        <v>0</v>
      </c>
      <c r="WQD46" s="420">
        <f t="shared" si="292"/>
        <v>0</v>
      </c>
      <c r="WQE46" s="420">
        <f t="shared" si="292"/>
        <v>0</v>
      </c>
      <c r="WQF46" s="420">
        <f t="shared" si="292"/>
        <v>0</v>
      </c>
      <c r="WQG46" s="420">
        <f t="shared" si="292"/>
        <v>0</v>
      </c>
      <c r="WQH46" s="420">
        <f t="shared" si="292"/>
        <v>0</v>
      </c>
      <c r="WQI46" s="420">
        <f t="shared" si="292"/>
        <v>0</v>
      </c>
      <c r="WQJ46" s="420">
        <f t="shared" si="292"/>
        <v>0</v>
      </c>
      <c r="WQK46" s="420">
        <f t="shared" si="292"/>
        <v>0</v>
      </c>
      <c r="WQL46" s="420">
        <f t="shared" si="292"/>
        <v>0</v>
      </c>
      <c r="WQM46" s="420">
        <f t="shared" si="292"/>
        <v>0</v>
      </c>
      <c r="WQN46" s="420">
        <f t="shared" si="292"/>
        <v>0</v>
      </c>
      <c r="WQO46" s="420">
        <f t="shared" ref="WQO46:WSZ46" si="293">WQO45*0.8</f>
        <v>0</v>
      </c>
      <c r="WQP46" s="420">
        <f t="shared" si="293"/>
        <v>0</v>
      </c>
      <c r="WQQ46" s="420">
        <f t="shared" si="293"/>
        <v>0</v>
      </c>
      <c r="WQR46" s="420">
        <f t="shared" si="293"/>
        <v>0</v>
      </c>
      <c r="WQS46" s="420">
        <f t="shared" si="293"/>
        <v>0</v>
      </c>
      <c r="WQT46" s="420">
        <f t="shared" si="293"/>
        <v>0</v>
      </c>
      <c r="WQU46" s="420">
        <f t="shared" si="293"/>
        <v>0</v>
      </c>
      <c r="WQV46" s="420">
        <f t="shared" si="293"/>
        <v>0</v>
      </c>
      <c r="WQW46" s="420">
        <f t="shared" si="293"/>
        <v>0</v>
      </c>
      <c r="WQX46" s="420">
        <f t="shared" si="293"/>
        <v>0</v>
      </c>
      <c r="WQY46" s="420">
        <f t="shared" si="293"/>
        <v>0</v>
      </c>
      <c r="WQZ46" s="420">
        <f t="shared" si="293"/>
        <v>0</v>
      </c>
      <c r="WRA46" s="420">
        <f t="shared" si="293"/>
        <v>0</v>
      </c>
      <c r="WRB46" s="420">
        <f t="shared" si="293"/>
        <v>0</v>
      </c>
      <c r="WRC46" s="420">
        <f t="shared" si="293"/>
        <v>0</v>
      </c>
      <c r="WRD46" s="420">
        <f t="shared" si="293"/>
        <v>0</v>
      </c>
      <c r="WRE46" s="420">
        <f t="shared" si="293"/>
        <v>0</v>
      </c>
      <c r="WRF46" s="420">
        <f t="shared" si="293"/>
        <v>0</v>
      </c>
      <c r="WRG46" s="420">
        <f t="shared" si="293"/>
        <v>0</v>
      </c>
      <c r="WRH46" s="420">
        <f t="shared" si="293"/>
        <v>0</v>
      </c>
      <c r="WRI46" s="420">
        <f t="shared" si="293"/>
        <v>0</v>
      </c>
      <c r="WRJ46" s="420">
        <f t="shared" si="293"/>
        <v>0</v>
      </c>
      <c r="WRK46" s="420">
        <f t="shared" si="293"/>
        <v>0</v>
      </c>
      <c r="WRL46" s="420">
        <f t="shared" si="293"/>
        <v>0</v>
      </c>
      <c r="WRM46" s="420">
        <f t="shared" si="293"/>
        <v>0</v>
      </c>
      <c r="WRN46" s="420">
        <f t="shared" si="293"/>
        <v>0</v>
      </c>
      <c r="WRO46" s="420">
        <f t="shared" si="293"/>
        <v>0</v>
      </c>
      <c r="WRP46" s="420">
        <f t="shared" si="293"/>
        <v>0</v>
      </c>
      <c r="WRQ46" s="420">
        <f t="shared" si="293"/>
        <v>0</v>
      </c>
      <c r="WRR46" s="420">
        <f t="shared" si="293"/>
        <v>0</v>
      </c>
      <c r="WRS46" s="420">
        <f t="shared" si="293"/>
        <v>0</v>
      </c>
      <c r="WRT46" s="420">
        <f t="shared" si="293"/>
        <v>0</v>
      </c>
      <c r="WRU46" s="420">
        <f t="shared" si="293"/>
        <v>0</v>
      </c>
      <c r="WRV46" s="420">
        <f t="shared" si="293"/>
        <v>0</v>
      </c>
      <c r="WRW46" s="420">
        <f t="shared" si="293"/>
        <v>0</v>
      </c>
      <c r="WRX46" s="420">
        <f t="shared" si="293"/>
        <v>0</v>
      </c>
      <c r="WRY46" s="420">
        <f t="shared" si="293"/>
        <v>0</v>
      </c>
      <c r="WRZ46" s="420">
        <f t="shared" si="293"/>
        <v>0</v>
      </c>
      <c r="WSA46" s="420">
        <f t="shared" si="293"/>
        <v>0</v>
      </c>
      <c r="WSB46" s="420">
        <f t="shared" si="293"/>
        <v>0</v>
      </c>
      <c r="WSC46" s="420">
        <f t="shared" si="293"/>
        <v>0</v>
      </c>
      <c r="WSD46" s="420">
        <f t="shared" si="293"/>
        <v>0</v>
      </c>
      <c r="WSE46" s="420">
        <f t="shared" si="293"/>
        <v>0</v>
      </c>
      <c r="WSF46" s="420">
        <f t="shared" si="293"/>
        <v>0</v>
      </c>
      <c r="WSG46" s="420">
        <f t="shared" si="293"/>
        <v>0</v>
      </c>
      <c r="WSH46" s="420">
        <f t="shared" si="293"/>
        <v>0</v>
      </c>
      <c r="WSI46" s="420">
        <f t="shared" si="293"/>
        <v>0</v>
      </c>
      <c r="WSJ46" s="420">
        <f t="shared" si="293"/>
        <v>0</v>
      </c>
      <c r="WSK46" s="420">
        <f t="shared" si="293"/>
        <v>0</v>
      </c>
      <c r="WSL46" s="420">
        <f t="shared" si="293"/>
        <v>0</v>
      </c>
      <c r="WSM46" s="420">
        <f t="shared" si="293"/>
        <v>0</v>
      </c>
      <c r="WSN46" s="420">
        <f t="shared" si="293"/>
        <v>0</v>
      </c>
      <c r="WSO46" s="420">
        <f t="shared" si="293"/>
        <v>0</v>
      </c>
      <c r="WSP46" s="420">
        <f t="shared" si="293"/>
        <v>0</v>
      </c>
      <c r="WSQ46" s="420">
        <f t="shared" si="293"/>
        <v>0</v>
      </c>
      <c r="WSR46" s="420">
        <f t="shared" si="293"/>
        <v>0</v>
      </c>
      <c r="WSS46" s="420">
        <f t="shared" si="293"/>
        <v>0</v>
      </c>
      <c r="WST46" s="420">
        <f t="shared" si="293"/>
        <v>0</v>
      </c>
      <c r="WSU46" s="420">
        <f t="shared" si="293"/>
        <v>0</v>
      </c>
      <c r="WSV46" s="420">
        <f t="shared" si="293"/>
        <v>0</v>
      </c>
      <c r="WSW46" s="420">
        <f t="shared" si="293"/>
        <v>0</v>
      </c>
      <c r="WSX46" s="420">
        <f t="shared" si="293"/>
        <v>0</v>
      </c>
      <c r="WSY46" s="420">
        <f t="shared" si="293"/>
        <v>0</v>
      </c>
      <c r="WSZ46" s="420">
        <f t="shared" si="293"/>
        <v>0</v>
      </c>
      <c r="WTA46" s="420">
        <f t="shared" ref="WTA46:WVL46" si="294">WTA45*0.8</f>
        <v>0</v>
      </c>
      <c r="WTB46" s="420">
        <f t="shared" si="294"/>
        <v>0</v>
      </c>
      <c r="WTC46" s="420">
        <f t="shared" si="294"/>
        <v>0</v>
      </c>
      <c r="WTD46" s="420">
        <f t="shared" si="294"/>
        <v>0</v>
      </c>
      <c r="WTE46" s="420">
        <f t="shared" si="294"/>
        <v>0</v>
      </c>
      <c r="WTF46" s="420">
        <f t="shared" si="294"/>
        <v>0</v>
      </c>
      <c r="WTG46" s="420">
        <f t="shared" si="294"/>
        <v>0</v>
      </c>
      <c r="WTH46" s="420">
        <f t="shared" si="294"/>
        <v>0</v>
      </c>
      <c r="WTI46" s="420">
        <f t="shared" si="294"/>
        <v>0</v>
      </c>
      <c r="WTJ46" s="420">
        <f t="shared" si="294"/>
        <v>0</v>
      </c>
      <c r="WTK46" s="420">
        <f t="shared" si="294"/>
        <v>0</v>
      </c>
      <c r="WTL46" s="420">
        <f t="shared" si="294"/>
        <v>0</v>
      </c>
      <c r="WTM46" s="420">
        <f t="shared" si="294"/>
        <v>0</v>
      </c>
      <c r="WTN46" s="420">
        <f t="shared" si="294"/>
        <v>0</v>
      </c>
      <c r="WTO46" s="420">
        <f t="shared" si="294"/>
        <v>0</v>
      </c>
      <c r="WTP46" s="420">
        <f t="shared" si="294"/>
        <v>0</v>
      </c>
      <c r="WTQ46" s="420">
        <f t="shared" si="294"/>
        <v>0</v>
      </c>
      <c r="WTR46" s="420">
        <f t="shared" si="294"/>
        <v>0</v>
      </c>
      <c r="WTS46" s="420">
        <f t="shared" si="294"/>
        <v>0</v>
      </c>
      <c r="WTT46" s="420">
        <f t="shared" si="294"/>
        <v>0</v>
      </c>
      <c r="WTU46" s="420">
        <f t="shared" si="294"/>
        <v>0</v>
      </c>
      <c r="WTV46" s="420">
        <f t="shared" si="294"/>
        <v>0</v>
      </c>
      <c r="WTW46" s="420">
        <f t="shared" si="294"/>
        <v>0</v>
      </c>
      <c r="WTX46" s="420">
        <f t="shared" si="294"/>
        <v>0</v>
      </c>
      <c r="WTY46" s="420">
        <f t="shared" si="294"/>
        <v>0</v>
      </c>
      <c r="WTZ46" s="420">
        <f t="shared" si="294"/>
        <v>0</v>
      </c>
      <c r="WUA46" s="420">
        <f t="shared" si="294"/>
        <v>0</v>
      </c>
      <c r="WUB46" s="420">
        <f t="shared" si="294"/>
        <v>0</v>
      </c>
      <c r="WUC46" s="420">
        <f t="shared" si="294"/>
        <v>0</v>
      </c>
      <c r="WUD46" s="420">
        <f t="shared" si="294"/>
        <v>0</v>
      </c>
      <c r="WUE46" s="420">
        <f t="shared" si="294"/>
        <v>0</v>
      </c>
      <c r="WUF46" s="420">
        <f t="shared" si="294"/>
        <v>0</v>
      </c>
      <c r="WUG46" s="420">
        <f t="shared" si="294"/>
        <v>0</v>
      </c>
      <c r="WUH46" s="420">
        <f t="shared" si="294"/>
        <v>0</v>
      </c>
      <c r="WUI46" s="420">
        <f t="shared" si="294"/>
        <v>0</v>
      </c>
      <c r="WUJ46" s="420">
        <f t="shared" si="294"/>
        <v>0</v>
      </c>
      <c r="WUK46" s="420">
        <f t="shared" si="294"/>
        <v>0</v>
      </c>
      <c r="WUL46" s="420">
        <f t="shared" si="294"/>
        <v>0</v>
      </c>
      <c r="WUM46" s="420">
        <f t="shared" si="294"/>
        <v>0</v>
      </c>
      <c r="WUN46" s="420">
        <f t="shared" si="294"/>
        <v>0</v>
      </c>
      <c r="WUO46" s="420">
        <f t="shared" si="294"/>
        <v>0</v>
      </c>
      <c r="WUP46" s="420">
        <f t="shared" si="294"/>
        <v>0</v>
      </c>
      <c r="WUQ46" s="420">
        <f t="shared" si="294"/>
        <v>0</v>
      </c>
      <c r="WUR46" s="420">
        <f t="shared" si="294"/>
        <v>0</v>
      </c>
      <c r="WUS46" s="420">
        <f t="shared" si="294"/>
        <v>0</v>
      </c>
      <c r="WUT46" s="420">
        <f t="shared" si="294"/>
        <v>0</v>
      </c>
      <c r="WUU46" s="420">
        <f t="shared" si="294"/>
        <v>0</v>
      </c>
      <c r="WUV46" s="420">
        <f t="shared" si="294"/>
        <v>0</v>
      </c>
      <c r="WUW46" s="420">
        <f t="shared" si="294"/>
        <v>0</v>
      </c>
      <c r="WUX46" s="420">
        <f t="shared" si="294"/>
        <v>0</v>
      </c>
      <c r="WUY46" s="420">
        <f t="shared" si="294"/>
        <v>0</v>
      </c>
      <c r="WUZ46" s="420">
        <f t="shared" si="294"/>
        <v>0</v>
      </c>
      <c r="WVA46" s="420">
        <f t="shared" si="294"/>
        <v>0</v>
      </c>
      <c r="WVB46" s="420">
        <f t="shared" si="294"/>
        <v>0</v>
      </c>
      <c r="WVC46" s="420">
        <f t="shared" si="294"/>
        <v>0</v>
      </c>
      <c r="WVD46" s="420">
        <f t="shared" si="294"/>
        <v>0</v>
      </c>
      <c r="WVE46" s="420">
        <f t="shared" si="294"/>
        <v>0</v>
      </c>
      <c r="WVF46" s="420">
        <f t="shared" si="294"/>
        <v>0</v>
      </c>
      <c r="WVG46" s="420">
        <f t="shared" si="294"/>
        <v>0</v>
      </c>
      <c r="WVH46" s="420">
        <f t="shared" si="294"/>
        <v>0</v>
      </c>
      <c r="WVI46" s="420">
        <f t="shared" si="294"/>
        <v>0</v>
      </c>
      <c r="WVJ46" s="420">
        <f t="shared" si="294"/>
        <v>0</v>
      </c>
      <c r="WVK46" s="420">
        <f t="shared" si="294"/>
        <v>0</v>
      </c>
      <c r="WVL46" s="420">
        <f t="shared" si="294"/>
        <v>0</v>
      </c>
      <c r="WVM46" s="420">
        <f t="shared" ref="WVM46:WXX46" si="295">WVM45*0.8</f>
        <v>0</v>
      </c>
      <c r="WVN46" s="420">
        <f t="shared" si="295"/>
        <v>0</v>
      </c>
      <c r="WVO46" s="420">
        <f t="shared" si="295"/>
        <v>0</v>
      </c>
      <c r="WVP46" s="420">
        <f t="shared" si="295"/>
        <v>0</v>
      </c>
      <c r="WVQ46" s="420">
        <f t="shared" si="295"/>
        <v>0</v>
      </c>
      <c r="WVR46" s="420">
        <f t="shared" si="295"/>
        <v>0</v>
      </c>
      <c r="WVS46" s="420">
        <f t="shared" si="295"/>
        <v>0</v>
      </c>
      <c r="WVT46" s="420">
        <f t="shared" si="295"/>
        <v>0</v>
      </c>
      <c r="WVU46" s="420">
        <f t="shared" si="295"/>
        <v>0</v>
      </c>
      <c r="WVV46" s="420">
        <f t="shared" si="295"/>
        <v>0</v>
      </c>
      <c r="WVW46" s="420">
        <f t="shared" si="295"/>
        <v>0</v>
      </c>
      <c r="WVX46" s="420">
        <f t="shared" si="295"/>
        <v>0</v>
      </c>
      <c r="WVY46" s="420">
        <f t="shared" si="295"/>
        <v>0</v>
      </c>
      <c r="WVZ46" s="420">
        <f t="shared" si="295"/>
        <v>0</v>
      </c>
      <c r="WWA46" s="420">
        <f t="shared" si="295"/>
        <v>0</v>
      </c>
      <c r="WWB46" s="420">
        <f t="shared" si="295"/>
        <v>0</v>
      </c>
      <c r="WWC46" s="420">
        <f t="shared" si="295"/>
        <v>0</v>
      </c>
      <c r="WWD46" s="420">
        <f t="shared" si="295"/>
        <v>0</v>
      </c>
      <c r="WWE46" s="420">
        <f t="shared" si="295"/>
        <v>0</v>
      </c>
      <c r="WWF46" s="420">
        <f t="shared" si="295"/>
        <v>0</v>
      </c>
      <c r="WWG46" s="420">
        <f t="shared" si="295"/>
        <v>0</v>
      </c>
      <c r="WWH46" s="420">
        <f t="shared" si="295"/>
        <v>0</v>
      </c>
      <c r="WWI46" s="420">
        <f t="shared" si="295"/>
        <v>0</v>
      </c>
      <c r="WWJ46" s="420">
        <f t="shared" si="295"/>
        <v>0</v>
      </c>
      <c r="WWK46" s="420">
        <f t="shared" si="295"/>
        <v>0</v>
      </c>
      <c r="WWL46" s="420">
        <f t="shared" si="295"/>
        <v>0</v>
      </c>
      <c r="WWM46" s="420">
        <f t="shared" si="295"/>
        <v>0</v>
      </c>
      <c r="WWN46" s="420">
        <f t="shared" si="295"/>
        <v>0</v>
      </c>
      <c r="WWO46" s="420">
        <f t="shared" si="295"/>
        <v>0</v>
      </c>
      <c r="WWP46" s="420">
        <f t="shared" si="295"/>
        <v>0</v>
      </c>
      <c r="WWQ46" s="420">
        <f t="shared" si="295"/>
        <v>0</v>
      </c>
      <c r="WWR46" s="420">
        <f t="shared" si="295"/>
        <v>0</v>
      </c>
      <c r="WWS46" s="420">
        <f t="shared" si="295"/>
        <v>0</v>
      </c>
      <c r="WWT46" s="420">
        <f t="shared" si="295"/>
        <v>0</v>
      </c>
      <c r="WWU46" s="420">
        <f t="shared" si="295"/>
        <v>0</v>
      </c>
      <c r="WWV46" s="420">
        <f t="shared" si="295"/>
        <v>0</v>
      </c>
      <c r="WWW46" s="420">
        <f t="shared" si="295"/>
        <v>0</v>
      </c>
      <c r="WWX46" s="420">
        <f t="shared" si="295"/>
        <v>0</v>
      </c>
      <c r="WWY46" s="420">
        <f t="shared" si="295"/>
        <v>0</v>
      </c>
      <c r="WWZ46" s="420">
        <f t="shared" si="295"/>
        <v>0</v>
      </c>
      <c r="WXA46" s="420">
        <f t="shared" si="295"/>
        <v>0</v>
      </c>
      <c r="WXB46" s="420">
        <f t="shared" si="295"/>
        <v>0</v>
      </c>
      <c r="WXC46" s="420">
        <f t="shared" si="295"/>
        <v>0</v>
      </c>
      <c r="WXD46" s="420">
        <f t="shared" si="295"/>
        <v>0</v>
      </c>
      <c r="WXE46" s="420">
        <f t="shared" si="295"/>
        <v>0</v>
      </c>
      <c r="WXF46" s="420">
        <f t="shared" si="295"/>
        <v>0</v>
      </c>
      <c r="WXG46" s="420">
        <f t="shared" si="295"/>
        <v>0</v>
      </c>
      <c r="WXH46" s="420">
        <f t="shared" si="295"/>
        <v>0</v>
      </c>
      <c r="WXI46" s="420">
        <f t="shared" si="295"/>
        <v>0</v>
      </c>
      <c r="WXJ46" s="420">
        <f t="shared" si="295"/>
        <v>0</v>
      </c>
      <c r="WXK46" s="420">
        <f t="shared" si="295"/>
        <v>0</v>
      </c>
      <c r="WXL46" s="420">
        <f t="shared" si="295"/>
        <v>0</v>
      </c>
      <c r="WXM46" s="420">
        <f t="shared" si="295"/>
        <v>0</v>
      </c>
      <c r="WXN46" s="420">
        <f t="shared" si="295"/>
        <v>0</v>
      </c>
      <c r="WXO46" s="420">
        <f t="shared" si="295"/>
        <v>0</v>
      </c>
      <c r="WXP46" s="420">
        <f t="shared" si="295"/>
        <v>0</v>
      </c>
      <c r="WXQ46" s="420">
        <f t="shared" si="295"/>
        <v>0</v>
      </c>
      <c r="WXR46" s="420">
        <f t="shared" si="295"/>
        <v>0</v>
      </c>
      <c r="WXS46" s="420">
        <f t="shared" si="295"/>
        <v>0</v>
      </c>
      <c r="WXT46" s="420">
        <f t="shared" si="295"/>
        <v>0</v>
      </c>
      <c r="WXU46" s="420">
        <f t="shared" si="295"/>
        <v>0</v>
      </c>
      <c r="WXV46" s="420">
        <f t="shared" si="295"/>
        <v>0</v>
      </c>
      <c r="WXW46" s="420">
        <f t="shared" si="295"/>
        <v>0</v>
      </c>
      <c r="WXX46" s="420">
        <f t="shared" si="295"/>
        <v>0</v>
      </c>
      <c r="WXY46" s="420">
        <f t="shared" ref="WXY46:XAJ46" si="296">WXY45*0.8</f>
        <v>0</v>
      </c>
      <c r="WXZ46" s="420">
        <f t="shared" si="296"/>
        <v>0</v>
      </c>
      <c r="WYA46" s="420">
        <f t="shared" si="296"/>
        <v>0</v>
      </c>
      <c r="WYB46" s="420">
        <f t="shared" si="296"/>
        <v>0</v>
      </c>
      <c r="WYC46" s="420">
        <f t="shared" si="296"/>
        <v>0</v>
      </c>
      <c r="WYD46" s="420">
        <f t="shared" si="296"/>
        <v>0</v>
      </c>
      <c r="WYE46" s="420">
        <f t="shared" si="296"/>
        <v>0</v>
      </c>
      <c r="WYF46" s="420">
        <f t="shared" si="296"/>
        <v>0</v>
      </c>
      <c r="WYG46" s="420">
        <f t="shared" si="296"/>
        <v>0</v>
      </c>
      <c r="WYH46" s="420">
        <f t="shared" si="296"/>
        <v>0</v>
      </c>
      <c r="WYI46" s="420">
        <f t="shared" si="296"/>
        <v>0</v>
      </c>
      <c r="WYJ46" s="420">
        <f t="shared" si="296"/>
        <v>0</v>
      </c>
      <c r="WYK46" s="420">
        <f t="shared" si="296"/>
        <v>0</v>
      </c>
      <c r="WYL46" s="420">
        <f t="shared" si="296"/>
        <v>0</v>
      </c>
      <c r="WYM46" s="420">
        <f t="shared" si="296"/>
        <v>0</v>
      </c>
      <c r="WYN46" s="420">
        <f t="shared" si="296"/>
        <v>0</v>
      </c>
      <c r="WYO46" s="420">
        <f t="shared" si="296"/>
        <v>0</v>
      </c>
      <c r="WYP46" s="420">
        <f t="shared" si="296"/>
        <v>0</v>
      </c>
      <c r="WYQ46" s="420">
        <f t="shared" si="296"/>
        <v>0</v>
      </c>
      <c r="WYR46" s="420">
        <f t="shared" si="296"/>
        <v>0</v>
      </c>
      <c r="WYS46" s="420">
        <f t="shared" si="296"/>
        <v>0</v>
      </c>
      <c r="WYT46" s="420">
        <f t="shared" si="296"/>
        <v>0</v>
      </c>
      <c r="WYU46" s="420">
        <f t="shared" si="296"/>
        <v>0</v>
      </c>
      <c r="WYV46" s="420">
        <f t="shared" si="296"/>
        <v>0</v>
      </c>
      <c r="WYW46" s="420">
        <f t="shared" si="296"/>
        <v>0</v>
      </c>
      <c r="WYX46" s="420">
        <f t="shared" si="296"/>
        <v>0</v>
      </c>
      <c r="WYY46" s="420">
        <f t="shared" si="296"/>
        <v>0</v>
      </c>
      <c r="WYZ46" s="420">
        <f t="shared" si="296"/>
        <v>0</v>
      </c>
      <c r="WZA46" s="420">
        <f t="shared" si="296"/>
        <v>0</v>
      </c>
      <c r="WZB46" s="420">
        <f t="shared" si="296"/>
        <v>0</v>
      </c>
      <c r="WZC46" s="420">
        <f t="shared" si="296"/>
        <v>0</v>
      </c>
      <c r="WZD46" s="420">
        <f t="shared" si="296"/>
        <v>0</v>
      </c>
      <c r="WZE46" s="420">
        <f t="shared" si="296"/>
        <v>0</v>
      </c>
      <c r="WZF46" s="420">
        <f t="shared" si="296"/>
        <v>0</v>
      </c>
      <c r="WZG46" s="420">
        <f t="shared" si="296"/>
        <v>0</v>
      </c>
      <c r="WZH46" s="420">
        <f t="shared" si="296"/>
        <v>0</v>
      </c>
      <c r="WZI46" s="420">
        <f t="shared" si="296"/>
        <v>0</v>
      </c>
      <c r="WZJ46" s="420">
        <f t="shared" si="296"/>
        <v>0</v>
      </c>
      <c r="WZK46" s="420">
        <f t="shared" si="296"/>
        <v>0</v>
      </c>
      <c r="WZL46" s="420">
        <f t="shared" si="296"/>
        <v>0</v>
      </c>
      <c r="WZM46" s="420">
        <f t="shared" si="296"/>
        <v>0</v>
      </c>
      <c r="WZN46" s="420">
        <f t="shared" si="296"/>
        <v>0</v>
      </c>
      <c r="WZO46" s="420">
        <f t="shared" si="296"/>
        <v>0</v>
      </c>
      <c r="WZP46" s="420">
        <f t="shared" si="296"/>
        <v>0</v>
      </c>
      <c r="WZQ46" s="420">
        <f t="shared" si="296"/>
        <v>0</v>
      </c>
      <c r="WZR46" s="420">
        <f t="shared" si="296"/>
        <v>0</v>
      </c>
      <c r="WZS46" s="420">
        <f t="shared" si="296"/>
        <v>0</v>
      </c>
      <c r="WZT46" s="420">
        <f t="shared" si="296"/>
        <v>0</v>
      </c>
      <c r="WZU46" s="420">
        <f t="shared" si="296"/>
        <v>0</v>
      </c>
      <c r="WZV46" s="420">
        <f t="shared" si="296"/>
        <v>0</v>
      </c>
      <c r="WZW46" s="420">
        <f t="shared" si="296"/>
        <v>0</v>
      </c>
      <c r="WZX46" s="420">
        <f t="shared" si="296"/>
        <v>0</v>
      </c>
      <c r="WZY46" s="420">
        <f t="shared" si="296"/>
        <v>0</v>
      </c>
      <c r="WZZ46" s="420">
        <f t="shared" si="296"/>
        <v>0</v>
      </c>
      <c r="XAA46" s="420">
        <f t="shared" si="296"/>
        <v>0</v>
      </c>
      <c r="XAB46" s="420">
        <f t="shared" si="296"/>
        <v>0</v>
      </c>
      <c r="XAC46" s="420">
        <f t="shared" si="296"/>
        <v>0</v>
      </c>
      <c r="XAD46" s="420">
        <f t="shared" si="296"/>
        <v>0</v>
      </c>
      <c r="XAE46" s="420">
        <f t="shared" si="296"/>
        <v>0</v>
      </c>
      <c r="XAF46" s="420">
        <f t="shared" si="296"/>
        <v>0</v>
      </c>
      <c r="XAG46" s="420">
        <f t="shared" si="296"/>
        <v>0</v>
      </c>
      <c r="XAH46" s="420">
        <f t="shared" si="296"/>
        <v>0</v>
      </c>
      <c r="XAI46" s="420">
        <f t="shared" si="296"/>
        <v>0</v>
      </c>
      <c r="XAJ46" s="420">
        <f t="shared" si="296"/>
        <v>0</v>
      </c>
      <c r="XAK46" s="420">
        <f t="shared" ref="XAK46:XCV46" si="297">XAK45*0.8</f>
        <v>0</v>
      </c>
      <c r="XAL46" s="420">
        <f t="shared" si="297"/>
        <v>0</v>
      </c>
      <c r="XAM46" s="420">
        <f t="shared" si="297"/>
        <v>0</v>
      </c>
      <c r="XAN46" s="420">
        <f t="shared" si="297"/>
        <v>0</v>
      </c>
      <c r="XAO46" s="420">
        <f t="shared" si="297"/>
        <v>0</v>
      </c>
      <c r="XAP46" s="420">
        <f t="shared" si="297"/>
        <v>0</v>
      </c>
      <c r="XAQ46" s="420">
        <f t="shared" si="297"/>
        <v>0</v>
      </c>
      <c r="XAR46" s="420">
        <f t="shared" si="297"/>
        <v>0</v>
      </c>
      <c r="XAS46" s="420">
        <f t="shared" si="297"/>
        <v>0</v>
      </c>
      <c r="XAT46" s="420">
        <f t="shared" si="297"/>
        <v>0</v>
      </c>
      <c r="XAU46" s="420">
        <f t="shared" si="297"/>
        <v>0</v>
      </c>
      <c r="XAV46" s="420">
        <f t="shared" si="297"/>
        <v>0</v>
      </c>
      <c r="XAW46" s="420">
        <f t="shared" si="297"/>
        <v>0</v>
      </c>
      <c r="XAX46" s="420">
        <f t="shared" si="297"/>
        <v>0</v>
      </c>
      <c r="XAY46" s="420">
        <f t="shared" si="297"/>
        <v>0</v>
      </c>
      <c r="XAZ46" s="420">
        <f t="shared" si="297"/>
        <v>0</v>
      </c>
      <c r="XBA46" s="420">
        <f t="shared" si="297"/>
        <v>0</v>
      </c>
      <c r="XBB46" s="420">
        <f t="shared" si="297"/>
        <v>0</v>
      </c>
      <c r="XBC46" s="420">
        <f t="shared" si="297"/>
        <v>0</v>
      </c>
      <c r="XBD46" s="420">
        <f t="shared" si="297"/>
        <v>0</v>
      </c>
      <c r="XBE46" s="420">
        <f t="shared" si="297"/>
        <v>0</v>
      </c>
      <c r="XBF46" s="420">
        <f t="shared" si="297"/>
        <v>0</v>
      </c>
      <c r="XBG46" s="420">
        <f t="shared" si="297"/>
        <v>0</v>
      </c>
      <c r="XBH46" s="420">
        <f t="shared" si="297"/>
        <v>0</v>
      </c>
      <c r="XBI46" s="420">
        <f t="shared" si="297"/>
        <v>0</v>
      </c>
      <c r="XBJ46" s="420">
        <f t="shared" si="297"/>
        <v>0</v>
      </c>
      <c r="XBK46" s="420">
        <f t="shared" si="297"/>
        <v>0</v>
      </c>
      <c r="XBL46" s="420">
        <f t="shared" si="297"/>
        <v>0</v>
      </c>
      <c r="XBM46" s="420">
        <f t="shared" si="297"/>
        <v>0</v>
      </c>
      <c r="XBN46" s="420">
        <f t="shared" si="297"/>
        <v>0</v>
      </c>
      <c r="XBO46" s="420">
        <f t="shared" si="297"/>
        <v>0</v>
      </c>
      <c r="XBP46" s="420">
        <f t="shared" si="297"/>
        <v>0</v>
      </c>
      <c r="XBQ46" s="420">
        <f t="shared" si="297"/>
        <v>0</v>
      </c>
      <c r="XBR46" s="420">
        <f t="shared" si="297"/>
        <v>0</v>
      </c>
      <c r="XBS46" s="420">
        <f t="shared" si="297"/>
        <v>0</v>
      </c>
      <c r="XBT46" s="420">
        <f t="shared" si="297"/>
        <v>0</v>
      </c>
      <c r="XBU46" s="420">
        <f t="shared" si="297"/>
        <v>0</v>
      </c>
      <c r="XBV46" s="420">
        <f t="shared" si="297"/>
        <v>0</v>
      </c>
      <c r="XBW46" s="420">
        <f t="shared" si="297"/>
        <v>0</v>
      </c>
      <c r="XBX46" s="420">
        <f t="shared" si="297"/>
        <v>0</v>
      </c>
      <c r="XBY46" s="420">
        <f t="shared" si="297"/>
        <v>0</v>
      </c>
      <c r="XBZ46" s="420">
        <f t="shared" si="297"/>
        <v>0</v>
      </c>
      <c r="XCA46" s="420">
        <f t="shared" si="297"/>
        <v>0</v>
      </c>
      <c r="XCB46" s="420">
        <f t="shared" si="297"/>
        <v>0</v>
      </c>
      <c r="XCC46" s="420">
        <f t="shared" si="297"/>
        <v>0</v>
      </c>
      <c r="XCD46" s="420">
        <f t="shared" si="297"/>
        <v>0</v>
      </c>
      <c r="XCE46" s="420">
        <f t="shared" si="297"/>
        <v>0</v>
      </c>
      <c r="XCF46" s="420">
        <f t="shared" si="297"/>
        <v>0</v>
      </c>
      <c r="XCG46" s="420">
        <f t="shared" si="297"/>
        <v>0</v>
      </c>
      <c r="XCH46" s="420">
        <f t="shared" si="297"/>
        <v>0</v>
      </c>
      <c r="XCI46" s="420">
        <f t="shared" si="297"/>
        <v>0</v>
      </c>
      <c r="XCJ46" s="420">
        <f t="shared" si="297"/>
        <v>0</v>
      </c>
      <c r="XCK46" s="420">
        <f t="shared" si="297"/>
        <v>0</v>
      </c>
      <c r="XCL46" s="420">
        <f t="shared" si="297"/>
        <v>0</v>
      </c>
      <c r="XCM46" s="420">
        <f t="shared" si="297"/>
        <v>0</v>
      </c>
      <c r="XCN46" s="420">
        <f t="shared" si="297"/>
        <v>0</v>
      </c>
      <c r="XCO46" s="420">
        <f t="shared" si="297"/>
        <v>0</v>
      </c>
      <c r="XCP46" s="420">
        <f t="shared" si="297"/>
        <v>0</v>
      </c>
      <c r="XCQ46" s="420">
        <f t="shared" si="297"/>
        <v>0</v>
      </c>
      <c r="XCR46" s="420">
        <f t="shared" si="297"/>
        <v>0</v>
      </c>
      <c r="XCS46" s="420">
        <f t="shared" si="297"/>
        <v>0</v>
      </c>
      <c r="XCT46" s="420">
        <f t="shared" si="297"/>
        <v>0</v>
      </c>
      <c r="XCU46" s="420">
        <f t="shared" si="297"/>
        <v>0</v>
      </c>
      <c r="XCV46" s="420">
        <f t="shared" si="297"/>
        <v>0</v>
      </c>
      <c r="XCW46" s="420">
        <f t="shared" ref="XCW46:XFD46" si="298">XCW45*0.8</f>
        <v>0</v>
      </c>
      <c r="XCX46" s="420">
        <f t="shared" si="298"/>
        <v>0</v>
      </c>
      <c r="XCY46" s="420">
        <f t="shared" si="298"/>
        <v>0</v>
      </c>
      <c r="XCZ46" s="420">
        <f t="shared" si="298"/>
        <v>0</v>
      </c>
      <c r="XDA46" s="420">
        <f t="shared" si="298"/>
        <v>0</v>
      </c>
      <c r="XDB46" s="420">
        <f t="shared" si="298"/>
        <v>0</v>
      </c>
      <c r="XDC46" s="420">
        <f t="shared" si="298"/>
        <v>0</v>
      </c>
      <c r="XDD46" s="420">
        <f t="shared" si="298"/>
        <v>0</v>
      </c>
      <c r="XDE46" s="420">
        <f t="shared" si="298"/>
        <v>0</v>
      </c>
      <c r="XDF46" s="420">
        <f t="shared" si="298"/>
        <v>0</v>
      </c>
      <c r="XDG46" s="420">
        <f t="shared" si="298"/>
        <v>0</v>
      </c>
      <c r="XDH46" s="420">
        <f t="shared" si="298"/>
        <v>0</v>
      </c>
      <c r="XDI46" s="420">
        <f t="shared" si="298"/>
        <v>0</v>
      </c>
      <c r="XDJ46" s="420">
        <f t="shared" si="298"/>
        <v>0</v>
      </c>
      <c r="XDK46" s="420">
        <f t="shared" si="298"/>
        <v>0</v>
      </c>
      <c r="XDL46" s="420">
        <f t="shared" si="298"/>
        <v>0</v>
      </c>
      <c r="XDM46" s="420">
        <f t="shared" si="298"/>
        <v>0</v>
      </c>
      <c r="XDN46" s="420">
        <f t="shared" si="298"/>
        <v>0</v>
      </c>
      <c r="XDO46" s="420">
        <f t="shared" si="298"/>
        <v>0</v>
      </c>
      <c r="XDP46" s="420">
        <f t="shared" si="298"/>
        <v>0</v>
      </c>
      <c r="XDQ46" s="420">
        <f t="shared" si="298"/>
        <v>0</v>
      </c>
      <c r="XDR46" s="420">
        <f t="shared" si="298"/>
        <v>0</v>
      </c>
      <c r="XDS46" s="420">
        <f t="shared" si="298"/>
        <v>0</v>
      </c>
      <c r="XDT46" s="420">
        <f t="shared" si="298"/>
        <v>0</v>
      </c>
      <c r="XDU46" s="420">
        <f t="shared" si="298"/>
        <v>0</v>
      </c>
      <c r="XDV46" s="420">
        <f t="shared" si="298"/>
        <v>0</v>
      </c>
      <c r="XDW46" s="420">
        <f t="shared" si="298"/>
        <v>0</v>
      </c>
      <c r="XDX46" s="420">
        <f t="shared" si="298"/>
        <v>0</v>
      </c>
      <c r="XDY46" s="420">
        <f t="shared" si="298"/>
        <v>0</v>
      </c>
      <c r="XDZ46" s="420">
        <f t="shared" si="298"/>
        <v>0</v>
      </c>
      <c r="XEA46" s="420">
        <f t="shared" si="298"/>
        <v>0</v>
      </c>
      <c r="XEB46" s="420">
        <f t="shared" si="298"/>
        <v>0</v>
      </c>
      <c r="XEC46" s="420">
        <f t="shared" si="298"/>
        <v>0</v>
      </c>
      <c r="XED46" s="420">
        <f t="shared" si="298"/>
        <v>0</v>
      </c>
      <c r="XEE46" s="420">
        <f t="shared" si="298"/>
        <v>0</v>
      </c>
      <c r="XEF46" s="420">
        <f t="shared" si="298"/>
        <v>0</v>
      </c>
      <c r="XEG46" s="420">
        <f t="shared" si="298"/>
        <v>0</v>
      </c>
      <c r="XEH46" s="420">
        <f t="shared" si="298"/>
        <v>0</v>
      </c>
      <c r="XEI46" s="420">
        <f t="shared" si="298"/>
        <v>0</v>
      </c>
      <c r="XEJ46" s="420">
        <f t="shared" si="298"/>
        <v>0</v>
      </c>
      <c r="XEK46" s="420">
        <f t="shared" si="298"/>
        <v>0</v>
      </c>
      <c r="XEL46" s="420">
        <f t="shared" si="298"/>
        <v>0</v>
      </c>
      <c r="XEM46" s="420">
        <f t="shared" si="298"/>
        <v>0</v>
      </c>
      <c r="XEN46" s="420">
        <f t="shared" si="298"/>
        <v>0</v>
      </c>
      <c r="XEO46" s="420">
        <f t="shared" si="298"/>
        <v>0</v>
      </c>
      <c r="XEP46" s="420">
        <f t="shared" si="298"/>
        <v>0</v>
      </c>
      <c r="XEQ46" s="420">
        <f t="shared" si="298"/>
        <v>0</v>
      </c>
      <c r="XER46" s="420">
        <f t="shared" si="298"/>
        <v>0</v>
      </c>
      <c r="XES46" s="420">
        <f t="shared" si="298"/>
        <v>0</v>
      </c>
      <c r="XET46" s="420">
        <f t="shared" si="298"/>
        <v>0</v>
      </c>
      <c r="XEU46" s="420">
        <f t="shared" si="298"/>
        <v>0</v>
      </c>
      <c r="XEV46" s="420">
        <f t="shared" si="298"/>
        <v>0</v>
      </c>
      <c r="XEW46" s="420">
        <f t="shared" si="298"/>
        <v>0</v>
      </c>
      <c r="XEX46" s="420">
        <f t="shared" si="298"/>
        <v>0</v>
      </c>
      <c r="XEY46" s="420">
        <f t="shared" si="298"/>
        <v>0</v>
      </c>
      <c r="XEZ46" s="420">
        <f t="shared" si="298"/>
        <v>0</v>
      </c>
      <c r="XFA46" s="420">
        <f t="shared" si="298"/>
        <v>0</v>
      </c>
      <c r="XFB46" s="420">
        <f t="shared" si="298"/>
        <v>0</v>
      </c>
      <c r="XFC46" s="420">
        <f t="shared" si="298"/>
        <v>0</v>
      </c>
      <c r="XFD46" s="420">
        <f t="shared" si="298"/>
        <v>0</v>
      </c>
    </row>
    <row r="47" spans="1:16384" s="97" customFormat="1" x14ac:dyDescent="0.25">
      <c r="B47" s="338"/>
      <c r="C47" s="413"/>
      <c r="D47" s="420">
        <f>D25*1000000/VAC_Optim_Scenario!$E$33</f>
        <v>105428005.54155464</v>
      </c>
      <c r="E47" s="338"/>
      <c r="F47" s="413"/>
      <c r="G47" s="338"/>
      <c r="H47" s="420">
        <f>H25*1000000/VAC_Optim_Scenario!$E$33</f>
        <v>107188404.413086</v>
      </c>
      <c r="I47" s="338"/>
      <c r="J47" s="413"/>
      <c r="K47" s="338"/>
      <c r="L47" s="420">
        <f>L25*1000000/VAC_Optim_Scenario!$E$33</f>
        <v>147079455.11243168</v>
      </c>
      <c r="M47" s="338"/>
      <c r="N47" s="413"/>
      <c r="O47" s="338"/>
      <c r="P47" s="420">
        <f>P25*1000000/VAC_Optim_Scenario!$E$33</f>
        <v>189646800.16851315</v>
      </c>
      <c r="Q47" s="338"/>
      <c r="R47" s="413"/>
      <c r="S47" s="338"/>
      <c r="T47" s="420">
        <f>T25*1000000/VAC_Optim_Scenario!$E$33</f>
        <v>52465.66435551957</v>
      </c>
      <c r="U47" s="338"/>
      <c r="V47" s="413"/>
      <c r="W47" s="338"/>
      <c r="X47" s="420">
        <f>X25*1000000/VAC_Optim_Scenario!$E$33</f>
        <v>48793.079257920523</v>
      </c>
      <c r="Y47" s="338"/>
      <c r="Z47" s="413"/>
      <c r="AA47" s="338"/>
      <c r="AB47" s="420">
        <f>AB25*1000000/VAC_Optim_Scenario!$E$33</f>
        <v>63595.70616989884</v>
      </c>
    </row>
    <row r="48" spans="1:16384" s="97" customFormat="1" x14ac:dyDescent="0.25">
      <c r="B48" s="338"/>
      <c r="C48" s="413"/>
      <c r="D48" s="420">
        <f>D26*1000000/VAC_Optim_Scenario!$E$33</f>
        <v>95805238.778505459</v>
      </c>
      <c r="E48" s="338"/>
      <c r="F48" s="413"/>
      <c r="G48" s="338"/>
      <c r="H48" s="420">
        <f>H26*1000000/VAC_Optim_Scenario!$E$33</f>
        <v>95097627.56915915</v>
      </c>
      <c r="I48" s="338"/>
      <c r="J48" s="413"/>
      <c r="K48" s="338"/>
      <c r="L48" s="420">
        <f>L26*1000000/VAC_Optim_Scenario!$E$33</f>
        <v>145407098.2497665</v>
      </c>
      <c r="M48" s="338"/>
      <c r="N48" s="413"/>
      <c r="O48" s="338"/>
      <c r="P48" s="420">
        <f>P26*1000000/VAC_Optim_Scenario!$E$33</f>
        <v>152622900.2045022</v>
      </c>
      <c r="Q48" s="338"/>
      <c r="R48" s="413"/>
      <c r="S48" s="338"/>
      <c r="T48" s="420">
        <f>T26*1000000/VAC_Optim_Scenario!$E$33</f>
        <v>35597.771442961879</v>
      </c>
      <c r="U48" s="338"/>
      <c r="V48" s="413"/>
      <c r="W48" s="338"/>
      <c r="X48" s="420">
        <f>X26*1000000/VAC_Optim_Scenario!$E$33</f>
        <v>35215.688851919025</v>
      </c>
      <c r="Y48" s="338"/>
      <c r="Z48" s="413"/>
      <c r="AA48" s="338"/>
      <c r="AB48" s="420">
        <f>AB26*1000000/VAC_Optim_Scenario!$E$33</f>
        <v>36525.35705642122</v>
      </c>
    </row>
    <row r="49" spans="2:28" x14ac:dyDescent="0.25">
      <c r="B49" s="338"/>
      <c r="C49" s="413"/>
      <c r="D49" s="420">
        <f>D27*1000000/VAC_Optim_Scenario!$E$33</f>
        <v>446172991.18482512</v>
      </c>
      <c r="E49" s="338"/>
      <c r="F49" s="413"/>
      <c r="G49" s="338"/>
      <c r="H49" s="420">
        <f>H27*1000000/VAC_Optim_Scenario!$E$33</f>
        <v>318945221.65057033</v>
      </c>
      <c r="I49" s="338"/>
      <c r="J49" s="413"/>
      <c r="K49" s="338"/>
      <c r="L49" s="420">
        <f>L27*1000000/VAC_Optim_Scenario!$E$33</f>
        <v>318945221.65057033</v>
      </c>
      <c r="M49" s="338"/>
      <c r="N49" s="413"/>
      <c r="O49" s="338"/>
      <c r="P49" s="420">
        <f>P27*1000000/VAC_Optim_Scenario!$E$33</f>
        <v>398711727.5928039</v>
      </c>
      <c r="Q49" s="338"/>
      <c r="R49" s="413"/>
      <c r="S49" s="338"/>
      <c r="T49" s="420">
        <f>T27*1000000/VAC_Optim_Scenario!$E$33</f>
        <v>123436.20157494035</v>
      </c>
      <c r="U49" s="338"/>
      <c r="V49" s="413"/>
      <c r="W49" s="338"/>
      <c r="X49" s="420">
        <f>X27*1000000/VAC_Optim_Scenario!$E$33</f>
        <v>110259.53870050788</v>
      </c>
      <c r="Y49" s="338"/>
      <c r="Z49" s="413"/>
      <c r="AA49" s="338"/>
      <c r="AB49" s="420">
        <f>AB27*1000000/VAC_Optim_Scenario!$E$33</f>
        <v>166499.64154993894</v>
      </c>
    </row>
    <row r="50" spans="2:28" x14ac:dyDescent="0.25">
      <c r="B50" s="338"/>
      <c r="C50" s="413"/>
      <c r="D50" s="420">
        <f>D28*1000000/VAC_Optim_Scenario!$E$33</f>
        <v>336660230.18055886</v>
      </c>
      <c r="E50" s="338"/>
      <c r="F50" s="413"/>
      <c r="G50" s="338"/>
      <c r="H50" s="420">
        <f>H28*1000000/VAC_Optim_Scenario!$E$33</f>
        <v>406543653.99000186</v>
      </c>
      <c r="I50" s="338"/>
      <c r="J50" s="413"/>
      <c r="K50" s="338"/>
      <c r="L50" s="420">
        <f>L28*1000000/VAC_Optim_Scenario!$E$33</f>
        <v>470767449.77212584</v>
      </c>
      <c r="M50" s="338"/>
      <c r="N50" s="413"/>
      <c r="O50" s="338"/>
      <c r="P50" s="420">
        <f>P28*1000000/VAC_Optim_Scenario!$E$33</f>
        <v>470767449.77212584</v>
      </c>
      <c r="Q50" s="338"/>
      <c r="R50" s="413"/>
      <c r="S50" s="338"/>
      <c r="T50" s="420">
        <f>T28*1000000/VAC_Optim_Scenario!$E$33</f>
        <v>106365.19760151411</v>
      </c>
      <c r="U50" s="338"/>
      <c r="V50" s="413"/>
      <c r="W50" s="338"/>
      <c r="X50" s="420">
        <f>X28*1000000/VAC_Optim_Scenario!$E$33</f>
        <v>161219.49210476698</v>
      </c>
      <c r="Y50" s="338"/>
      <c r="Z50" s="413"/>
      <c r="AA50" s="338"/>
      <c r="AB50" s="420">
        <f>AB28*1000000/VAC_Optim_Scenario!$E$33</f>
        <v>161219.49210476698</v>
      </c>
    </row>
    <row r="51" spans="2:28" x14ac:dyDescent="0.25">
      <c r="B51" s="338"/>
      <c r="C51" s="413"/>
      <c r="D51" s="420">
        <f>D29*1000000/VAC_Optim_Scenario!$E$33</f>
        <v>133384053.0157312</v>
      </c>
      <c r="E51" s="338"/>
      <c r="F51" s="413"/>
      <c r="G51" s="338"/>
      <c r="H51" s="420">
        <f>H29*1000000/VAC_Optim_Scenario!$E$33</f>
        <v>352002626.25041676</v>
      </c>
      <c r="I51" s="338"/>
      <c r="J51" s="413"/>
      <c r="K51" s="338"/>
      <c r="L51" s="420">
        <f>L29*1000000/VAC_Optim_Scenario!$E$33</f>
        <v>352002626.25041676</v>
      </c>
      <c r="M51" s="338"/>
      <c r="N51" s="413"/>
      <c r="O51" s="338"/>
      <c r="P51" s="420">
        <f>P29*1000000/VAC_Optim_Scenario!$E$33</f>
        <v>352002626.25041676</v>
      </c>
      <c r="Q51" s="338"/>
      <c r="R51" s="413"/>
      <c r="S51" s="338"/>
      <c r="T51" s="420">
        <f>T29*1000000/VAC_Optim_Scenario!$E$33</f>
        <v>79531.473375019166</v>
      </c>
      <c r="U51" s="338"/>
      <c r="V51" s="413"/>
      <c r="W51" s="338"/>
      <c r="X51" s="420">
        <f>X29*1000000/VAC_Optim_Scenario!$E$33</f>
        <v>90357.852437734444</v>
      </c>
      <c r="Y51" s="338"/>
      <c r="Z51" s="413"/>
      <c r="AA51" s="338"/>
      <c r="AB51" s="420">
        <f>AB29*1000000/VAC_Optim_Scenario!$E$33</f>
        <v>90357.852437734444</v>
      </c>
    </row>
    <row r="52" spans="2:28" x14ac:dyDescent="0.25">
      <c r="B52" s="338"/>
      <c r="C52" s="413"/>
      <c r="D52" s="420">
        <f>D30*1000000/VAC_Optim_Scenario!$E$33</f>
        <v>117648753.04736342</v>
      </c>
      <c r="E52" s="338"/>
      <c r="F52" s="413"/>
      <c r="G52" s="338"/>
      <c r="H52" s="420">
        <f>H30*1000000/VAC_Optim_Scenario!$E$33</f>
        <v>102867030.53049192</v>
      </c>
      <c r="I52" s="338"/>
      <c r="J52" s="413"/>
      <c r="K52" s="338"/>
      <c r="L52" s="420">
        <f>L30*1000000/VAC_Optim_Scenario!$E$33</f>
        <v>166453262.78535321</v>
      </c>
      <c r="M52" s="338"/>
      <c r="N52" s="413"/>
      <c r="O52" s="338"/>
      <c r="P52" s="420">
        <f>P30*1000000/VAC_Optim_Scenario!$E$33</f>
        <v>166453262.78535321</v>
      </c>
      <c r="Q52" s="338"/>
      <c r="R52" s="413"/>
      <c r="S52" s="338"/>
      <c r="T52" s="420">
        <f>T30*1000000/VAC_Optim_Scenario!$E$33</f>
        <v>37608.450193722703</v>
      </c>
      <c r="U52" s="338"/>
      <c r="V52" s="413"/>
      <c r="W52" s="338"/>
      <c r="X52" s="420">
        <f>X30*1000000/VAC_Optim_Scenario!$E$33</f>
        <v>45965.130638499773</v>
      </c>
      <c r="Y52" s="338"/>
      <c r="Z52" s="413"/>
      <c r="AA52" s="338"/>
      <c r="AB52" s="420">
        <f>AB30*1000000/VAC_Optim_Scenario!$E$33</f>
        <v>51382.219441902518</v>
      </c>
    </row>
    <row r="53" spans="2:28" x14ac:dyDescent="0.25">
      <c r="B53" s="338"/>
      <c r="C53" s="413"/>
      <c r="D53" s="420">
        <f>D31*1000000/VAC_Optim_Scenario!$E$33</f>
        <v>745808630.73406172</v>
      </c>
      <c r="E53" s="338"/>
      <c r="F53" s="413"/>
      <c r="G53" s="338"/>
      <c r="H53" s="420">
        <f>H31*1000000/VAC_Optim_Scenario!$E$33</f>
        <v>629815778.56504297</v>
      </c>
      <c r="I53" s="338"/>
      <c r="J53" s="413"/>
      <c r="K53" s="338"/>
      <c r="L53" s="420">
        <f>L31*1000000/VAC_Optim_Scenario!$E$33</f>
        <v>629815778.56504297</v>
      </c>
      <c r="M53" s="338"/>
      <c r="N53" s="413"/>
      <c r="O53" s="338"/>
      <c r="P53" s="420">
        <f>P31*1000000/VAC_Optim_Scenario!$E$33</f>
        <v>629815778.56504297</v>
      </c>
      <c r="Q53" s="338"/>
      <c r="R53" s="413"/>
      <c r="S53" s="338"/>
      <c r="T53" s="420">
        <f>T31*1000000/VAC_Optim_Scenario!$E$33</f>
        <v>148694.91180075315</v>
      </c>
      <c r="U53" s="338"/>
      <c r="V53" s="413"/>
      <c r="W53" s="338"/>
      <c r="X53" s="420">
        <f>X31*1000000/VAC_Optim_Scenario!$E$33</f>
        <v>142300.5770089858</v>
      </c>
      <c r="Y53" s="338"/>
      <c r="Z53" s="413"/>
      <c r="AA53" s="338"/>
      <c r="AB53" s="420">
        <f>AB31*1000000/VAC_Optim_Scenario!$E$33</f>
        <v>200570.41424976612</v>
      </c>
    </row>
    <row r="54" spans="2:28" x14ac:dyDescent="0.25">
      <c r="B54" s="338"/>
      <c r="C54" s="413"/>
      <c r="D54" s="420">
        <f>D32*1000000/VAC_Optim_Scenario!$E$33</f>
        <v>80578604.149470165</v>
      </c>
      <c r="E54" s="338"/>
      <c r="F54" s="413"/>
      <c r="G54" s="338"/>
      <c r="H54" s="420">
        <f>H32*1000000/VAC_Optim_Scenario!$E$33</f>
        <v>99195845.989680916</v>
      </c>
      <c r="I54" s="338"/>
      <c r="J54" s="413"/>
      <c r="K54" s="338"/>
      <c r="L54" s="420">
        <f>L32*1000000/VAC_Optim_Scenario!$E$33</f>
        <v>99195845.989680916</v>
      </c>
      <c r="M54" s="338"/>
      <c r="N54" s="413"/>
      <c r="O54" s="338"/>
      <c r="P54" s="420">
        <f>P32*1000000/VAC_Optim_Scenario!$E$33</f>
        <v>99195845.989680916</v>
      </c>
      <c r="Q54" s="338"/>
      <c r="R54" s="413"/>
      <c r="S54" s="338"/>
      <c r="T54" s="420">
        <f>T32*1000000/VAC_Optim_Scenario!$E$33</f>
        <v>22412.309442908503</v>
      </c>
      <c r="U54" s="338"/>
      <c r="V54" s="413"/>
      <c r="W54" s="338"/>
      <c r="X54" s="420">
        <f>X32*1000000/VAC_Optim_Scenario!$E$33</f>
        <v>22412.309442908503</v>
      </c>
      <c r="Y54" s="338"/>
      <c r="Z54" s="413"/>
      <c r="AA54" s="338"/>
      <c r="AB54" s="420">
        <f>AB32*1000000/VAC_Optim_Scenario!$E$33</f>
        <v>22412.309442908503</v>
      </c>
    </row>
    <row r="55" spans="2:28" x14ac:dyDescent="0.25">
      <c r="B55" s="338"/>
      <c r="C55" s="413"/>
      <c r="D55" s="420">
        <f>D33*1000000/VAC_Optim_Scenario!$E$33</f>
        <v>3370271866.6115537</v>
      </c>
      <c r="E55" s="338"/>
      <c r="F55" s="413"/>
      <c r="G55" s="338"/>
      <c r="H55" s="420">
        <f>H33*1000000/VAC_Optim_Scenario!$E$33</f>
        <v>4127188392.0762405</v>
      </c>
      <c r="I55" s="338"/>
      <c r="J55" s="413"/>
      <c r="K55" s="338"/>
      <c r="L55" s="420">
        <f>L33*1000000/VAC_Optim_Scenario!$E$33</f>
        <v>4428345708.6287985</v>
      </c>
      <c r="M55" s="338"/>
      <c r="N55" s="413"/>
      <c r="O55" s="338"/>
      <c r="P55" s="420">
        <f>P33*1000000/VAC_Optim_Scenario!$E$33</f>
        <v>4557895361.5818491</v>
      </c>
      <c r="Q55" s="338"/>
      <c r="R55" s="413"/>
      <c r="S55" s="338"/>
      <c r="T55" s="420">
        <f>T33*1000000/VAC_Optim_Scenario!$E$33</f>
        <v>1080821.2043479634</v>
      </c>
      <c r="U55" s="338"/>
      <c r="V55" s="413"/>
      <c r="W55" s="338"/>
      <c r="X55" s="420">
        <f>X33*1000000/VAC_Optim_Scenario!$E$33</f>
        <v>1208570.6596520925</v>
      </c>
      <c r="Y55" s="338"/>
      <c r="Z55" s="413"/>
      <c r="AA55" s="338"/>
      <c r="AB55" s="420">
        <f>AB33*1000000/VAC_Optim_Scenario!$E$33</f>
        <v>1345911.5802916456</v>
      </c>
    </row>
    <row r="56" spans="2:28" x14ac:dyDescent="0.25">
      <c r="B56" s="338"/>
      <c r="C56" s="413"/>
      <c r="D56" s="338"/>
      <c r="E56" s="338"/>
      <c r="F56" s="413"/>
      <c r="G56" s="338"/>
      <c r="H56" s="419"/>
      <c r="I56" s="338"/>
      <c r="J56" s="413"/>
      <c r="K56" s="338"/>
      <c r="L56" s="419"/>
      <c r="M56" s="338"/>
      <c r="N56" s="413"/>
      <c r="O56" s="338"/>
      <c r="P56" s="419"/>
      <c r="Q56" s="338"/>
      <c r="R56" s="413"/>
      <c r="S56" s="338"/>
      <c r="T56" s="419"/>
      <c r="U56" s="338"/>
      <c r="V56" s="413"/>
      <c r="W56" s="338"/>
      <c r="X56" s="419"/>
      <c r="Y56" s="338"/>
      <c r="Z56" s="413"/>
      <c r="AA56" s="338"/>
      <c r="AB56" s="419"/>
    </row>
    <row r="57" spans="2:28" x14ac:dyDescent="0.25">
      <c r="B57" s="338"/>
      <c r="C57" s="413"/>
      <c r="D57" s="338"/>
      <c r="E57" s="338"/>
      <c r="F57" s="413"/>
      <c r="G57" s="338"/>
      <c r="H57" s="419"/>
      <c r="I57" s="338"/>
      <c r="J57" s="413"/>
      <c r="K57" s="338"/>
      <c r="L57" s="419"/>
      <c r="M57" s="338"/>
      <c r="N57" s="413"/>
      <c r="O57" s="338"/>
      <c r="P57" s="419"/>
      <c r="Q57" s="338"/>
      <c r="R57" s="413"/>
      <c r="S57" s="338"/>
      <c r="T57" s="419"/>
      <c r="U57" s="338"/>
      <c r="V57" s="413"/>
      <c r="W57" s="338"/>
      <c r="X57" s="419"/>
      <c r="Y57" s="338"/>
      <c r="Z57" s="413"/>
      <c r="AA57" s="338"/>
      <c r="AB57" s="419"/>
    </row>
    <row r="58" spans="2:28" x14ac:dyDescent="0.25">
      <c r="B58" s="338"/>
      <c r="C58" s="413"/>
      <c r="D58" s="338"/>
      <c r="E58" s="338"/>
      <c r="F58" s="413"/>
      <c r="G58" s="338"/>
      <c r="H58" s="419"/>
      <c r="I58" s="338"/>
      <c r="J58" s="413"/>
      <c r="K58" s="338"/>
      <c r="L58" s="419"/>
      <c r="M58" s="338"/>
      <c r="N58" s="413"/>
      <c r="O58" s="338"/>
      <c r="P58" s="419"/>
      <c r="Q58" s="338"/>
      <c r="R58" s="413"/>
      <c r="S58" s="338"/>
      <c r="T58" s="419"/>
      <c r="U58" s="338"/>
      <c r="V58" s="413"/>
      <c r="W58" s="338"/>
      <c r="X58" s="419"/>
      <c r="Y58" s="338"/>
      <c r="Z58" s="413"/>
      <c r="AA58" s="338"/>
      <c r="AB58" s="419"/>
    </row>
    <row r="59" spans="2:28" x14ac:dyDescent="0.25">
      <c r="B59" s="338"/>
      <c r="C59" s="413"/>
      <c r="D59" s="338"/>
      <c r="E59" s="338"/>
      <c r="F59" s="413"/>
      <c r="G59" s="338"/>
      <c r="H59" s="419"/>
      <c r="I59" s="338"/>
      <c r="J59" s="413"/>
      <c r="K59" s="338"/>
      <c r="L59" s="419"/>
      <c r="M59" s="338"/>
      <c r="N59" s="413"/>
      <c r="O59" s="338"/>
      <c r="P59" s="419"/>
      <c r="Q59" s="338"/>
      <c r="R59" s="413"/>
      <c r="S59" s="338"/>
      <c r="T59" s="419"/>
      <c r="U59" s="338"/>
      <c r="V59" s="413"/>
      <c r="W59" s="338"/>
      <c r="X59" s="419"/>
      <c r="Y59" s="338"/>
      <c r="Z59" s="413"/>
      <c r="AA59" s="338"/>
      <c r="AB59" s="419"/>
    </row>
    <row r="60" spans="2:28" x14ac:dyDescent="0.25">
      <c r="B60" s="338"/>
      <c r="C60" s="413">
        <f>ROUND(D33*0.8/C33,1)</f>
        <v>10157.1</v>
      </c>
      <c r="D60" s="338"/>
      <c r="E60" s="338"/>
      <c r="F60" s="413">
        <f>ROUND(H33*0.8/F33,1)</f>
        <v>12438.2</v>
      </c>
      <c r="G60" s="338"/>
      <c r="H60" s="398">
        <f>H41/(D33*0.8)</f>
        <v>0.22458619227821663</v>
      </c>
      <c r="I60" s="338"/>
      <c r="J60" s="413">
        <f>ROUND(L33*0.8/J33,1)</f>
        <v>12053.3</v>
      </c>
      <c r="K60" s="338"/>
      <c r="L60" s="398">
        <f>L41/($D$33*0.8)</f>
        <v>0.31394317250763043</v>
      </c>
      <c r="M60" s="338"/>
      <c r="N60" s="413">
        <f>ROUND(P33*0.8/N33,1)</f>
        <v>11537.3</v>
      </c>
      <c r="O60" s="338"/>
      <c r="P60" s="398">
        <f>P41/($D$33*0.8)</f>
        <v>0.35238210505680162</v>
      </c>
      <c r="Q60" s="338"/>
      <c r="R60" s="413">
        <f>ROUND(T33*0.8/R33,1)</f>
        <v>2.4</v>
      </c>
      <c r="S60" s="338"/>
      <c r="T60" s="398">
        <f>T41/($D$33*0.8)</f>
        <v>-0.99967930741283639</v>
      </c>
      <c r="U60" s="338"/>
      <c r="V60" s="413">
        <f>ROUND(X33*0.8/V33,1)</f>
        <v>2.4</v>
      </c>
      <c r="W60" s="338"/>
      <c r="X60" s="398">
        <f>X41/($D$33*0.8)</f>
        <v>-0.99964140262047552</v>
      </c>
      <c r="Y60" s="338"/>
      <c r="Z60" s="413">
        <f>ROUND(AB33*0.8/Z33,1)</f>
        <v>2</v>
      </c>
      <c r="AA60" s="338"/>
      <c r="AB60" s="398">
        <f>AB41/($D$33*0.8)</f>
        <v>-0.9996006519255537</v>
      </c>
    </row>
    <row r="61" spans="2:28" x14ac:dyDescent="0.25">
      <c r="B61" s="338"/>
      <c r="C61" s="338"/>
      <c r="D61" s="338"/>
      <c r="E61" s="338"/>
      <c r="F61" s="338"/>
      <c r="G61" s="338"/>
      <c r="H61" s="398"/>
      <c r="I61" s="338"/>
      <c r="J61" s="338"/>
      <c r="K61" s="338"/>
      <c r="L61" s="398"/>
      <c r="M61" s="338"/>
      <c r="N61" s="338"/>
      <c r="O61" s="338"/>
      <c r="P61" s="398"/>
      <c r="Q61" s="338"/>
      <c r="R61" s="338"/>
      <c r="S61" s="338"/>
      <c r="T61" s="398"/>
      <c r="U61" s="338"/>
      <c r="V61" s="338"/>
      <c r="W61" s="338"/>
      <c r="X61" s="398"/>
      <c r="Y61" s="338"/>
      <c r="Z61" s="338"/>
      <c r="AA61" s="338"/>
      <c r="AB61" s="398"/>
    </row>
    <row r="63" spans="2:28" ht="15" hidden="1" customHeight="1" x14ac:dyDescent="0.25">
      <c r="B63" s="444" t="s">
        <v>240</v>
      </c>
      <c r="C63" s="444"/>
      <c r="D63" s="444"/>
      <c r="E63" s="444"/>
      <c r="F63" s="444"/>
      <c r="G63" s="444"/>
      <c r="H63" s="444"/>
      <c r="I63" s="444"/>
      <c r="J63" s="444"/>
      <c r="K63" s="444"/>
      <c r="L63" s="444"/>
    </row>
    <row r="64" spans="2:28" ht="15" hidden="1" customHeight="1" x14ac:dyDescent="0.25">
      <c r="B64" s="444"/>
      <c r="C64" s="444"/>
      <c r="D64" s="444"/>
      <c r="E64" s="444"/>
      <c r="F64" s="444"/>
      <c r="G64" s="444"/>
      <c r="H64" s="444"/>
      <c r="I64" s="444"/>
      <c r="J64" s="444"/>
      <c r="K64" s="444"/>
      <c r="L64" s="444"/>
    </row>
    <row r="65" spans="2:30" ht="15" hidden="1" customHeight="1" x14ac:dyDescent="0.25"/>
    <row r="66" spans="2:30" ht="15" hidden="1" customHeight="1" x14ac:dyDescent="0.25">
      <c r="F66" s="433" t="s">
        <v>222</v>
      </c>
      <c r="G66" s="434"/>
      <c r="H66" s="435"/>
      <c r="I66" s="171"/>
      <c r="J66" s="433" t="s">
        <v>241</v>
      </c>
      <c r="K66" s="434"/>
      <c r="L66" s="435"/>
    </row>
    <row r="67" spans="2:30" ht="30" hidden="1" customHeight="1" x14ac:dyDescent="0.25">
      <c r="B67" s="172" t="s">
        <v>194</v>
      </c>
      <c r="C67" s="97" t="s">
        <v>195</v>
      </c>
      <c r="D67" s="173" t="s">
        <v>196</v>
      </c>
      <c r="E67" s="173"/>
      <c r="F67" s="97" t="s">
        <v>195</v>
      </c>
      <c r="G67" s="173" t="s">
        <v>197</v>
      </c>
      <c r="H67" s="173" t="s">
        <v>198</v>
      </c>
      <c r="I67" s="173"/>
      <c r="J67" s="97" t="s">
        <v>195</v>
      </c>
      <c r="K67" s="173" t="s">
        <v>197</v>
      </c>
      <c r="L67" s="173" t="s">
        <v>198</v>
      </c>
    </row>
    <row r="68" spans="2:30" ht="15" hidden="1" customHeight="1" x14ac:dyDescent="0.25">
      <c r="B68" s="174" t="str">
        <f t="shared" ref="B68:D77" si="299">B7</f>
        <v>HCC InOffice</v>
      </c>
      <c r="C68" s="175">
        <f t="shared" si="299"/>
        <v>1134710</v>
      </c>
      <c r="D68" s="175">
        <f t="shared" si="299"/>
        <v>7367.8666140222922</v>
      </c>
      <c r="E68" s="175"/>
      <c r="F68" s="175"/>
      <c r="G68" s="167"/>
      <c r="H68" s="175"/>
      <c r="I68" s="175"/>
      <c r="J68" s="175">
        <v>1726886.6554235087</v>
      </c>
      <c r="K68" s="167">
        <v>0.15125777028233914</v>
      </c>
      <c r="L68" s="175">
        <v>3789941.2960206438</v>
      </c>
      <c r="P68" s="175">
        <f>VAC_Optim_Scenario!$H36</f>
        <v>900000</v>
      </c>
      <c r="T68" s="175"/>
      <c r="X68" s="175"/>
      <c r="AB68" s="175"/>
      <c r="AC68" s="167">
        <f>(P68-$C68)/$C68</f>
        <v>-0.20684580201108654</v>
      </c>
      <c r="AD68" s="175">
        <f>VAC_Optim_Scenario!$J36</f>
        <v>1410431.7445188572</v>
      </c>
    </row>
    <row r="69" spans="2:30" ht="15" hidden="1" customHeight="1" x14ac:dyDescent="0.25">
      <c r="B69" s="174" t="str">
        <f t="shared" si="299"/>
        <v>HCP MCM</v>
      </c>
      <c r="C69" s="175">
        <f t="shared" si="299"/>
        <v>10503728.719999999</v>
      </c>
      <c r="D69" s="175">
        <f t="shared" si="299"/>
        <v>288339.09761974216</v>
      </c>
      <c r="E69" s="175"/>
      <c r="F69" s="175"/>
      <c r="G69" s="167"/>
      <c r="H69" s="175"/>
      <c r="I69" s="175"/>
      <c r="J69" s="175">
        <v>10277647.167225027</v>
      </c>
      <c r="K69" s="167">
        <v>0.1999999961732519</v>
      </c>
      <c r="L69" s="175">
        <v>63621602.136797041</v>
      </c>
      <c r="P69" s="175">
        <f>VAC_Optim_Scenario!$H37</f>
        <v>21000000</v>
      </c>
      <c r="T69" s="175"/>
      <c r="X69" s="175"/>
      <c r="AB69" s="175"/>
      <c r="AC69" s="167">
        <f t="shared" ref="AC69:AC77" si="300">(P69-$C69)/$C69</f>
        <v>0.99929001974453147</v>
      </c>
      <c r="AD69" s="175">
        <f>VAC_Optim_Scenario!$J37</f>
        <v>105724786.72171538</v>
      </c>
    </row>
    <row r="70" spans="2:30" ht="15" hidden="1" customHeight="1" x14ac:dyDescent="0.25">
      <c r="B70" s="174" t="str">
        <f t="shared" si="299"/>
        <v>HCC Social</v>
      </c>
      <c r="C70" s="175">
        <f t="shared" si="299"/>
        <v>1751000</v>
      </c>
      <c r="D70" s="175">
        <f t="shared" si="299"/>
        <v>23820.403572058858</v>
      </c>
      <c r="E70" s="175"/>
      <c r="F70" s="175"/>
      <c r="G70" s="167"/>
      <c r="H70" s="175"/>
      <c r="I70" s="175"/>
      <c r="J70" s="175">
        <v>2368380.1898589036</v>
      </c>
      <c r="K70" s="167">
        <v>0.29112634317672054</v>
      </c>
      <c r="L70" s="175">
        <v>5730365.3346687928</v>
      </c>
      <c r="P70" s="175">
        <f>VAC_Optim_Scenario!$H38</f>
        <v>3049857.2699284316</v>
      </c>
      <c r="T70" s="175"/>
      <c r="X70" s="175"/>
      <c r="AB70" s="175"/>
      <c r="AC70" s="167">
        <f t="shared" si="300"/>
        <v>0.74178027979921846</v>
      </c>
      <c r="AD70" s="175">
        <f>VAC_Optim_Scenario!$J38</f>
        <v>7508241.9839859502</v>
      </c>
    </row>
    <row r="71" spans="2:30" ht="15" hidden="1" customHeight="1" x14ac:dyDescent="0.25">
      <c r="B71" s="174" t="str">
        <f t="shared" si="299"/>
        <v>HCC Online Video</v>
      </c>
      <c r="C71" s="175">
        <f t="shared" si="299"/>
        <v>1111779.04</v>
      </c>
      <c r="D71" s="175">
        <f t="shared" si="299"/>
        <v>21646.235649615526</v>
      </c>
      <c r="E71" s="175"/>
      <c r="F71" s="175"/>
      <c r="G71" s="167"/>
      <c r="H71" s="175"/>
      <c r="I71" s="175"/>
      <c r="J71" s="175">
        <v>1200000</v>
      </c>
      <c r="K71" s="167">
        <v>-0.65337954939341425</v>
      </c>
      <c r="L71" s="175">
        <v>1551024.0419922816</v>
      </c>
      <c r="P71" s="175">
        <f>VAC_Optim_Scenario!$H39</f>
        <v>2277500.7120514014</v>
      </c>
      <c r="T71" s="175"/>
      <c r="X71" s="175"/>
      <c r="AB71" s="175"/>
      <c r="AC71" s="167">
        <f t="shared" si="300"/>
        <v>1.0485192022071232</v>
      </c>
      <c r="AD71" s="175">
        <f>VAC_Optim_Scenario!$J39</f>
        <v>7422870.0331660938</v>
      </c>
    </row>
    <row r="72" spans="2:30" ht="15" hidden="1" customHeight="1" x14ac:dyDescent="0.25">
      <c r="B72" s="174" t="str">
        <f t="shared" si="299"/>
        <v>HCC Streaming Video</v>
      </c>
      <c r="C72" s="175">
        <f t="shared" si="299"/>
        <v>13418576</v>
      </c>
      <c r="D72" s="175">
        <f t="shared" si="299"/>
        <v>100808.3256282994</v>
      </c>
      <c r="E72" s="175"/>
      <c r="F72" s="175"/>
      <c r="G72" s="167"/>
      <c r="H72" s="175"/>
      <c r="I72" s="175"/>
      <c r="J72" s="175">
        <v>7932686.9382044151</v>
      </c>
      <c r="K72" s="167">
        <v>-0.49321739045244606</v>
      </c>
      <c r="L72" s="175">
        <v>4575561.4853431694</v>
      </c>
      <c r="P72" s="175">
        <f>VAC_Optim_Scenario!$H40</f>
        <v>8306901</v>
      </c>
      <c r="T72" s="175"/>
      <c r="X72" s="175"/>
      <c r="AB72" s="175"/>
      <c r="AC72" s="167">
        <f t="shared" si="300"/>
        <v>-0.38094019812534502</v>
      </c>
      <c r="AD72" s="175">
        <f>VAC_Optim_Scenario!$J40</f>
        <v>16281797.494816165</v>
      </c>
    </row>
    <row r="73" spans="2:30" ht="15" hidden="1" customHeight="1" x14ac:dyDescent="0.25">
      <c r="B73" s="174" t="str">
        <f t="shared" si="299"/>
        <v>HCC Display</v>
      </c>
      <c r="C73" s="175">
        <f t="shared" si="299"/>
        <v>2859426.82</v>
      </c>
      <c r="D73" s="175">
        <f t="shared" si="299"/>
        <v>76065.012406995462</v>
      </c>
      <c r="E73" s="175"/>
      <c r="F73" s="175"/>
      <c r="G73" s="167"/>
      <c r="H73" s="175"/>
      <c r="I73" s="175"/>
      <c r="J73" s="175">
        <v>3440655.137442824</v>
      </c>
      <c r="K73" s="167">
        <v>0.45170911999417063</v>
      </c>
      <c r="L73" s="175">
        <v>13611226.904425433</v>
      </c>
      <c r="P73" s="175">
        <f>VAC_Optim_Scenario!$H41</f>
        <v>5000000</v>
      </c>
      <c r="T73" s="175"/>
      <c r="X73" s="175"/>
      <c r="AB73" s="175"/>
      <c r="AC73" s="167">
        <f t="shared" si="300"/>
        <v>0.7486021901410298</v>
      </c>
      <c r="AD73" s="175">
        <f>VAC_Optim_Scenario!$J41</f>
        <v>24032152.746086098</v>
      </c>
    </row>
    <row r="74" spans="2:30" ht="15" hidden="1" customHeight="1" x14ac:dyDescent="0.25">
      <c r="B74" s="174" t="str">
        <f t="shared" si="299"/>
        <v>HCC Paid Search</v>
      </c>
      <c r="C74" s="175">
        <f t="shared" si="299"/>
        <v>50000</v>
      </c>
      <c r="D74" s="175">
        <f t="shared" si="299"/>
        <v>30136.792938374307</v>
      </c>
      <c r="E74" s="175"/>
      <c r="F74" s="175"/>
      <c r="G74" s="167"/>
      <c r="H74" s="175"/>
      <c r="I74" s="175"/>
      <c r="J74" s="175">
        <v>600000.00004973984</v>
      </c>
      <c r="K74" s="167">
        <v>-0.49999999995855016</v>
      </c>
      <c r="L74" s="175">
        <v>434151.34268040024</v>
      </c>
      <c r="P74" s="175">
        <f>VAC_Optim_Scenario!$H42</f>
        <v>200000</v>
      </c>
      <c r="T74" s="175"/>
      <c r="X74" s="175"/>
      <c r="AB74" s="175"/>
      <c r="AC74" s="167">
        <f t="shared" si="300"/>
        <v>3</v>
      </c>
      <c r="AD74" s="175">
        <f>VAC_Optim_Scenario!$J42</f>
        <v>17969341.094351832</v>
      </c>
    </row>
    <row r="75" spans="2:30" ht="15" hidden="1" customHeight="1" x14ac:dyDescent="0.25">
      <c r="B75" s="174" t="str">
        <f t="shared" si="299"/>
        <v>HCC Radio</v>
      </c>
      <c r="C75" s="175">
        <f t="shared" si="299"/>
        <v>923975</v>
      </c>
      <c r="D75" s="175">
        <f t="shared" si="299"/>
        <v>26581.559263521289</v>
      </c>
      <c r="E75" s="175"/>
      <c r="F75" s="175"/>
      <c r="G75" s="167"/>
      <c r="H75" s="175"/>
      <c r="I75" s="175"/>
      <c r="J75" s="175">
        <v>900000</v>
      </c>
      <c r="K75" s="167" t="s">
        <v>242</v>
      </c>
      <c r="L75" s="175">
        <v>6550890.6021728441</v>
      </c>
      <c r="P75" s="175">
        <f>VAC_Optim_Scenario!$H43</f>
        <v>2200000</v>
      </c>
      <c r="T75" s="175"/>
      <c r="X75" s="175"/>
      <c r="AB75" s="175"/>
      <c r="AC75" s="167">
        <f>IFERROR((P75-$C75)/$C75,"")</f>
        <v>1.3810168024026623</v>
      </c>
      <c r="AD75" s="175">
        <f>VAC_Optim_Scenario!$J43</f>
        <v>8497253.2367697079</v>
      </c>
    </row>
    <row r="76" spans="2:30" ht="15" hidden="1" customHeight="1" x14ac:dyDescent="0.25">
      <c r="B76" s="174" t="str">
        <f t="shared" si="299"/>
        <v>HCC Linear TV</v>
      </c>
      <c r="C76" s="175">
        <f t="shared" si="299"/>
        <v>25810928.600000001</v>
      </c>
      <c r="D76" s="175">
        <f t="shared" si="299"/>
        <v>168508.00202805389</v>
      </c>
      <c r="E76" s="175"/>
      <c r="F76" s="175"/>
      <c r="G76" s="167"/>
      <c r="H76" s="175"/>
      <c r="I76" s="175"/>
      <c r="J76" s="175">
        <v>18647619.061795581</v>
      </c>
      <c r="K76" s="167">
        <v>-0.33479099668610202</v>
      </c>
      <c r="L76" s="175">
        <v>19945328.658740945</v>
      </c>
      <c r="P76" s="175">
        <f>VAC_Optim_Scenario!$H44</f>
        <v>20273404</v>
      </c>
      <c r="T76" s="175"/>
      <c r="X76" s="175"/>
      <c r="AB76" s="175"/>
      <c r="AC76" s="167">
        <f t="shared" si="300"/>
        <v>-0.21454185883106899</v>
      </c>
      <c r="AD76" s="175">
        <f>VAC_Optim_Scenario!$J44</f>
        <v>32151392.36941025</v>
      </c>
    </row>
    <row r="77" spans="2:30" ht="15" hidden="1" customHeight="1" x14ac:dyDescent="0.25">
      <c r="B77" s="174" t="str">
        <f t="shared" si="299"/>
        <v>HCC Pharmacy</v>
      </c>
      <c r="C77" s="175">
        <f t="shared" si="299"/>
        <v>2411968</v>
      </c>
      <c r="D77" s="175">
        <f t="shared" si="299"/>
        <v>18205.929821531288</v>
      </c>
      <c r="E77" s="175"/>
      <c r="F77" s="175"/>
      <c r="G77" s="167"/>
      <c r="H77" s="175"/>
      <c r="I77" s="175"/>
      <c r="J77" s="175">
        <v>1836917.5999999999</v>
      </c>
      <c r="K77" s="167">
        <v>-0.30000000000000004</v>
      </c>
      <c r="L77" s="175">
        <v>3685062.7427258734</v>
      </c>
      <c r="P77" s="175">
        <f>VAC_Optim_Scenario!$H45</f>
        <v>3200000</v>
      </c>
      <c r="T77" s="175"/>
      <c r="X77" s="175"/>
      <c r="AB77" s="175"/>
      <c r="AC77" s="167">
        <f t="shared" si="300"/>
        <v>0.32671743572054024</v>
      </c>
      <c r="AD77" s="175">
        <f>VAC_Optim_Scenario!$J45</f>
        <v>5063837.1955307471</v>
      </c>
    </row>
    <row r="78" spans="2:30" s="179" customFormat="1" ht="15" hidden="1" customHeight="1" x14ac:dyDescent="0.25">
      <c r="B78" s="302" t="s">
        <v>199</v>
      </c>
      <c r="C78" s="303">
        <f>SUM(C68:C77)</f>
        <v>59976092.18</v>
      </c>
      <c r="D78" s="303">
        <f>SUM(D68:D77)</f>
        <v>761479.22554221447</v>
      </c>
      <c r="E78" s="198"/>
      <c r="F78" s="303">
        <f>SUM(F68:F77)</f>
        <v>0</v>
      </c>
      <c r="G78" s="304">
        <f>(F78-$C$17)/$C$17</f>
        <v>-1</v>
      </c>
      <c r="H78" s="303">
        <f>SUM(H68:H77)</f>
        <v>0</v>
      </c>
      <c r="I78" s="198"/>
      <c r="J78" s="303">
        <f>SUM(J68:J77)</f>
        <v>48930792.75</v>
      </c>
      <c r="K78" s="304">
        <f>(J78-$C$78)/$C$78</f>
        <v>-0.18416170558179903</v>
      </c>
      <c r="L78" s="303">
        <f>SUM(L68:L77)</f>
        <v>123495154.54556742</v>
      </c>
    </row>
    <row r="79" spans="2:30" ht="15" hidden="1" customHeight="1" x14ac:dyDescent="0.25">
      <c r="D79" s="97">
        <f>D78/C78</f>
        <v>1.2696379471621229E-2</v>
      </c>
    </row>
    <row r="80" spans="2:30" ht="15" hidden="1" customHeight="1" x14ac:dyDescent="0.25"/>
    <row r="81" spans="2:12" ht="27.6" hidden="1" customHeight="1" x14ac:dyDescent="0.25">
      <c r="F81" s="438" t="str">
        <f>B63</f>
        <v>Optimal channel spend allowed to vary between constraints defined by marketing team &amp; INI of the 2021 channel spend - LINEAR TV and Streaming TV constraints modified</v>
      </c>
      <c r="G81" s="438"/>
      <c r="H81" s="438"/>
      <c r="I81" s="438"/>
    </row>
    <row r="82" spans="2:12" ht="15" hidden="1" customHeight="1" x14ac:dyDescent="0.25">
      <c r="C82" s="436" t="s">
        <v>223</v>
      </c>
      <c r="D82" s="437"/>
      <c r="E82" s="179"/>
      <c r="F82" s="433" t="str">
        <f>F66</f>
        <v>Current Optimal ($MM)</v>
      </c>
      <c r="G82" s="434"/>
      <c r="H82" s="435"/>
      <c r="I82" s="180"/>
      <c r="J82" s="433" t="str">
        <f>J66</f>
        <v>25% reduction optimal ()</v>
      </c>
      <c r="K82" s="434"/>
      <c r="L82" s="435"/>
    </row>
    <row r="83" spans="2:12" ht="30" hidden="1" customHeight="1" x14ac:dyDescent="0.25">
      <c r="B83" s="172" t="s">
        <v>194</v>
      </c>
      <c r="C83" s="182" t="s">
        <v>203</v>
      </c>
      <c r="D83" s="182" t="s">
        <v>201</v>
      </c>
      <c r="E83" s="183"/>
      <c r="F83" s="204" t="s">
        <v>203</v>
      </c>
      <c r="G83" s="182" t="s">
        <v>197</v>
      </c>
      <c r="H83" s="184" t="s">
        <v>198</v>
      </c>
      <c r="I83" s="183"/>
      <c r="J83" s="204" t="s">
        <v>203</v>
      </c>
      <c r="K83" s="182" t="s">
        <v>197</v>
      </c>
      <c r="L83" s="184" t="s">
        <v>198</v>
      </c>
    </row>
    <row r="84" spans="2:12" ht="15" hidden="1" customHeight="1" x14ac:dyDescent="0.25">
      <c r="B84" s="174" t="str">
        <f>B68</f>
        <v>HCC InOffice</v>
      </c>
      <c r="C84" s="185">
        <f t="shared" ref="C84:D84" si="301">C68/1000000</f>
        <v>1.1347100000000001</v>
      </c>
      <c r="D84" s="186">
        <f t="shared" si="301"/>
        <v>7.367866614022292E-3</v>
      </c>
      <c r="E84" s="187"/>
      <c r="F84" s="188">
        <f t="shared" ref="F84:F93" si="302">F68/1000000</f>
        <v>0</v>
      </c>
      <c r="G84" s="189">
        <f t="shared" ref="G84:G93" si="303">G68</f>
        <v>0</v>
      </c>
      <c r="H84" s="190">
        <f t="shared" ref="H84:H93" si="304">H68/1000000</f>
        <v>0</v>
      </c>
      <c r="I84" s="187"/>
      <c r="J84" s="188">
        <f t="shared" ref="J84:J93" si="305">J68/1000000</f>
        <v>1.7268866554235087</v>
      </c>
      <c r="K84" s="189">
        <f t="shared" ref="K84:K93" si="306">K68</f>
        <v>0.15125777028233914</v>
      </c>
      <c r="L84" s="190">
        <f t="shared" ref="L84:L93" si="307">L68/1000000</f>
        <v>3.7899412960206438</v>
      </c>
    </row>
    <row r="85" spans="2:12" ht="15" hidden="1" customHeight="1" x14ac:dyDescent="0.25">
      <c r="B85" s="174" t="str">
        <f t="shared" ref="B85:B93" si="308">B69</f>
        <v>HCP MCM</v>
      </c>
      <c r="C85" s="185">
        <f t="shared" ref="C85:D85" si="309">C69/1000000</f>
        <v>10.503728719999998</v>
      </c>
      <c r="D85" s="186">
        <f t="shared" si="309"/>
        <v>0.28833909761974214</v>
      </c>
      <c r="E85" s="187"/>
      <c r="F85" s="192">
        <f t="shared" si="302"/>
        <v>0</v>
      </c>
      <c r="G85" s="193">
        <f t="shared" si="303"/>
        <v>0</v>
      </c>
      <c r="H85" s="194">
        <f t="shared" si="304"/>
        <v>0</v>
      </c>
      <c r="I85" s="187"/>
      <c r="J85" s="192">
        <f t="shared" si="305"/>
        <v>10.277647167225027</v>
      </c>
      <c r="K85" s="193">
        <f t="shared" si="306"/>
        <v>0.1999999961732519</v>
      </c>
      <c r="L85" s="194">
        <f t="shared" si="307"/>
        <v>63.621602136797044</v>
      </c>
    </row>
    <row r="86" spans="2:12" ht="15" hidden="1" customHeight="1" x14ac:dyDescent="0.25">
      <c r="B86" s="174" t="str">
        <f t="shared" si="308"/>
        <v>HCC Social</v>
      </c>
      <c r="C86" s="185">
        <f t="shared" ref="C86:D86" si="310">C70/1000000</f>
        <v>1.7509999999999999</v>
      </c>
      <c r="D86" s="186">
        <f t="shared" si="310"/>
        <v>2.3820403572058859E-2</v>
      </c>
      <c r="E86" s="187"/>
      <c r="F86" s="192">
        <f t="shared" si="302"/>
        <v>0</v>
      </c>
      <c r="G86" s="193">
        <f t="shared" si="303"/>
        <v>0</v>
      </c>
      <c r="H86" s="194">
        <f t="shared" si="304"/>
        <v>0</v>
      </c>
      <c r="I86" s="187"/>
      <c r="J86" s="192">
        <f t="shared" si="305"/>
        <v>2.3683801898589039</v>
      </c>
      <c r="K86" s="193">
        <f t="shared" si="306"/>
        <v>0.29112634317672054</v>
      </c>
      <c r="L86" s="194">
        <f t="shared" si="307"/>
        <v>5.7303653346687931</v>
      </c>
    </row>
    <row r="87" spans="2:12" ht="15" hidden="1" customHeight="1" x14ac:dyDescent="0.25">
      <c r="B87" s="174" t="str">
        <f t="shared" si="308"/>
        <v>HCC Online Video</v>
      </c>
      <c r="C87" s="185">
        <f t="shared" ref="C87:D87" si="311">C71/1000000</f>
        <v>1.1117790400000001</v>
      </c>
      <c r="D87" s="186">
        <f t="shared" si="311"/>
        <v>2.1646235649615528E-2</v>
      </c>
      <c r="E87" s="187"/>
      <c r="F87" s="192">
        <f t="shared" si="302"/>
        <v>0</v>
      </c>
      <c r="G87" s="193">
        <f t="shared" si="303"/>
        <v>0</v>
      </c>
      <c r="H87" s="194">
        <f t="shared" si="304"/>
        <v>0</v>
      </c>
      <c r="I87" s="187"/>
      <c r="J87" s="192">
        <f t="shared" si="305"/>
        <v>1.2</v>
      </c>
      <c r="K87" s="193">
        <f t="shared" si="306"/>
        <v>-0.65337954939341425</v>
      </c>
      <c r="L87" s="194">
        <f t="shared" si="307"/>
        <v>1.5510240419922816</v>
      </c>
    </row>
    <row r="88" spans="2:12" ht="15" hidden="1" customHeight="1" x14ac:dyDescent="0.25">
      <c r="B88" s="174" t="str">
        <f t="shared" si="308"/>
        <v>HCC Streaming Video</v>
      </c>
      <c r="C88" s="185">
        <f t="shared" ref="C88:D88" si="312">C72/1000000</f>
        <v>13.418576</v>
      </c>
      <c r="D88" s="186">
        <f t="shared" si="312"/>
        <v>0.1008083256282994</v>
      </c>
      <c r="E88" s="187"/>
      <c r="F88" s="192">
        <f t="shared" si="302"/>
        <v>0</v>
      </c>
      <c r="G88" s="193">
        <f t="shared" si="303"/>
        <v>0</v>
      </c>
      <c r="H88" s="194">
        <f t="shared" si="304"/>
        <v>0</v>
      </c>
      <c r="I88" s="187"/>
      <c r="J88" s="192">
        <f t="shared" si="305"/>
        <v>7.932686938204415</v>
      </c>
      <c r="K88" s="193">
        <f t="shared" si="306"/>
        <v>-0.49321739045244606</v>
      </c>
      <c r="L88" s="194">
        <f t="shared" si="307"/>
        <v>4.5755614853431696</v>
      </c>
    </row>
    <row r="89" spans="2:12" ht="15" hidden="1" customHeight="1" x14ac:dyDescent="0.25">
      <c r="B89" s="174" t="str">
        <f t="shared" si="308"/>
        <v>HCC Display</v>
      </c>
      <c r="C89" s="185">
        <f t="shared" ref="C89:D89" si="313">C73/1000000</f>
        <v>2.8594268199999999</v>
      </c>
      <c r="D89" s="186">
        <f t="shared" si="313"/>
        <v>7.6065012406995466E-2</v>
      </c>
      <c r="E89" s="187"/>
      <c r="F89" s="192">
        <f t="shared" si="302"/>
        <v>0</v>
      </c>
      <c r="G89" s="193">
        <f t="shared" si="303"/>
        <v>0</v>
      </c>
      <c r="H89" s="194">
        <f t="shared" si="304"/>
        <v>0</v>
      </c>
      <c r="I89" s="187"/>
      <c r="J89" s="192">
        <f t="shared" si="305"/>
        <v>3.4406551374428238</v>
      </c>
      <c r="K89" s="193">
        <f t="shared" si="306"/>
        <v>0.45170911999417063</v>
      </c>
      <c r="L89" s="194">
        <f t="shared" si="307"/>
        <v>13.611226904425433</v>
      </c>
    </row>
    <row r="90" spans="2:12" ht="15" hidden="1" customHeight="1" x14ac:dyDescent="0.25">
      <c r="B90" s="174" t="str">
        <f t="shared" si="308"/>
        <v>HCC Paid Search</v>
      </c>
      <c r="C90" s="185">
        <f t="shared" ref="C90:D90" si="314">C74/1000000</f>
        <v>0.05</v>
      </c>
      <c r="D90" s="186">
        <f t="shared" si="314"/>
        <v>3.0136792938374308E-2</v>
      </c>
      <c r="E90" s="187"/>
      <c r="F90" s="192">
        <f t="shared" si="302"/>
        <v>0</v>
      </c>
      <c r="G90" s="193">
        <f t="shared" si="303"/>
        <v>0</v>
      </c>
      <c r="H90" s="194">
        <f t="shared" si="304"/>
        <v>0</v>
      </c>
      <c r="I90" s="187"/>
      <c r="J90" s="192">
        <f t="shared" si="305"/>
        <v>0.60000000004973986</v>
      </c>
      <c r="K90" s="193">
        <f t="shared" si="306"/>
        <v>-0.49999999995855016</v>
      </c>
      <c r="L90" s="194">
        <f t="shared" si="307"/>
        <v>0.43415134268040023</v>
      </c>
    </row>
    <row r="91" spans="2:12" ht="15" hidden="1" customHeight="1" x14ac:dyDescent="0.25">
      <c r="B91" s="174" t="str">
        <f t="shared" si="308"/>
        <v>HCC Radio</v>
      </c>
      <c r="C91" s="185">
        <f t="shared" ref="C91:D91" si="315">C75/1000000</f>
        <v>0.92397499999999999</v>
      </c>
      <c r="D91" s="186">
        <f t="shared" si="315"/>
        <v>2.6581559263521289E-2</v>
      </c>
      <c r="E91" s="187"/>
      <c r="F91" s="192">
        <f t="shared" si="302"/>
        <v>0</v>
      </c>
      <c r="G91" s="193">
        <f t="shared" si="303"/>
        <v>0</v>
      </c>
      <c r="H91" s="194">
        <f t="shared" si="304"/>
        <v>0</v>
      </c>
      <c r="I91" s="187"/>
      <c r="J91" s="192">
        <f t="shared" si="305"/>
        <v>0.9</v>
      </c>
      <c r="K91" s="193"/>
      <c r="L91" s="194">
        <f t="shared" si="307"/>
        <v>6.5508906021728439</v>
      </c>
    </row>
    <row r="92" spans="2:12" ht="15" hidden="1" customHeight="1" x14ac:dyDescent="0.25">
      <c r="B92" s="174" t="str">
        <f t="shared" si="308"/>
        <v>HCC Linear TV</v>
      </c>
      <c r="C92" s="185">
        <f t="shared" ref="C92:D92" si="316">C76/1000000</f>
        <v>25.8109286</v>
      </c>
      <c r="D92" s="186">
        <f t="shared" si="316"/>
        <v>0.16850800202805388</v>
      </c>
      <c r="E92" s="187"/>
      <c r="F92" s="305">
        <f t="shared" si="302"/>
        <v>0</v>
      </c>
      <c r="G92" s="306">
        <f t="shared" si="303"/>
        <v>0</v>
      </c>
      <c r="H92" s="307">
        <f t="shared" si="304"/>
        <v>0</v>
      </c>
      <c r="I92" s="187"/>
      <c r="J92" s="305">
        <f t="shared" si="305"/>
        <v>18.647619061795581</v>
      </c>
      <c r="K92" s="306">
        <f t="shared" si="306"/>
        <v>-0.33479099668610202</v>
      </c>
      <c r="L92" s="307">
        <f t="shared" si="307"/>
        <v>19.945328658740944</v>
      </c>
    </row>
    <row r="93" spans="2:12" ht="15" hidden="1" customHeight="1" x14ac:dyDescent="0.25">
      <c r="B93" s="174" t="str">
        <f t="shared" si="308"/>
        <v>HCC Pharmacy</v>
      </c>
      <c r="C93" s="185">
        <f t="shared" ref="C93:D93" si="317">C77/1000000</f>
        <v>2.4119679999999999</v>
      </c>
      <c r="D93" s="186">
        <f t="shared" si="317"/>
        <v>1.8205929821531287E-2</v>
      </c>
      <c r="E93" s="187"/>
      <c r="F93" s="305">
        <f t="shared" si="302"/>
        <v>0</v>
      </c>
      <c r="G93" s="306">
        <f t="shared" si="303"/>
        <v>0</v>
      </c>
      <c r="H93" s="307">
        <f t="shared" si="304"/>
        <v>0</v>
      </c>
      <c r="I93" s="187"/>
      <c r="J93" s="305">
        <f t="shared" si="305"/>
        <v>1.8369175999999998</v>
      </c>
      <c r="K93" s="306">
        <f t="shared" si="306"/>
        <v>-0.30000000000000004</v>
      </c>
      <c r="L93" s="307">
        <f t="shared" si="307"/>
        <v>3.6850627427258735</v>
      </c>
    </row>
    <row r="94" spans="2:12" ht="15" hidden="1" customHeight="1" x14ac:dyDescent="0.25">
      <c r="B94" s="195" t="s">
        <v>199</v>
      </c>
      <c r="C94" s="196">
        <f>C78/1000000</f>
        <v>59.976092180000002</v>
      </c>
      <c r="D94" s="197">
        <f t="shared" ref="D94" si="318">D78/1000000</f>
        <v>0.76147922554221448</v>
      </c>
      <c r="E94" s="198"/>
      <c r="F94" s="199">
        <f t="shared" ref="F94" si="319">F78/1000000</f>
        <v>0</v>
      </c>
      <c r="G94" s="200">
        <f>G78</f>
        <v>-1</v>
      </c>
      <c r="H94" s="201">
        <f t="shared" ref="H94" si="320">H78/1000000</f>
        <v>0</v>
      </c>
      <c r="I94" s="198"/>
      <c r="J94" s="199">
        <f t="shared" ref="J94" si="321">J78/1000000</f>
        <v>48.930792750000002</v>
      </c>
      <c r="K94" s="200">
        <f>K78</f>
        <v>-0.18416170558179903</v>
      </c>
      <c r="L94" s="201">
        <f t="shared" ref="L94" si="322">L78/1000000</f>
        <v>123.49515454556742</v>
      </c>
    </row>
    <row r="95" spans="2:12" ht="15" hidden="1" customHeight="1" x14ac:dyDescent="0.25">
      <c r="B95" s="195" t="s">
        <v>202</v>
      </c>
      <c r="C95" s="196"/>
      <c r="D95" s="197"/>
      <c r="E95" s="198"/>
      <c r="F95" s="199"/>
      <c r="G95" s="200"/>
      <c r="H95" s="202"/>
      <c r="I95" s="198"/>
      <c r="J95" s="199"/>
      <c r="K95" s="200"/>
      <c r="L95" s="269" t="s">
        <v>243</v>
      </c>
    </row>
    <row r="96" spans="2:12" ht="15" hidden="1" customHeight="1" x14ac:dyDescent="0.25">
      <c r="H96" s="205">
        <f>H94-$D$94</f>
        <v>-0.76147922554221448</v>
      </c>
      <c r="L96" s="205">
        <f>L94-$D$94</f>
        <v>122.7336753200252</v>
      </c>
    </row>
    <row r="97" spans="2:12" ht="15" hidden="1" customHeight="1" x14ac:dyDescent="0.25">
      <c r="H97" s="167">
        <f>H96/$D$94</f>
        <v>-1</v>
      </c>
      <c r="I97" s="165"/>
      <c r="J97" s="165"/>
      <c r="K97" s="165"/>
      <c r="L97" s="97">
        <f>L96/D94</f>
        <v>161.177969408991</v>
      </c>
    </row>
    <row r="103" spans="2:12" ht="15" customHeight="1" x14ac:dyDescent="0.25">
      <c r="C103" s="431" t="s">
        <v>264</v>
      </c>
      <c r="D103" s="432"/>
      <c r="E103" s="179"/>
      <c r="F103" s="433">
        <f>F87</f>
        <v>0</v>
      </c>
      <c r="G103" s="434"/>
      <c r="H103" s="435"/>
    </row>
    <row r="104" spans="2:12" ht="30" x14ac:dyDescent="0.25">
      <c r="B104" s="172" t="s">
        <v>194</v>
      </c>
      <c r="C104" s="181" t="s">
        <v>200</v>
      </c>
      <c r="D104" s="182" t="s">
        <v>201</v>
      </c>
      <c r="E104" s="183"/>
      <c r="F104" s="204" t="s">
        <v>203</v>
      </c>
      <c r="G104" s="182" t="s">
        <v>197</v>
      </c>
      <c r="H104" s="184" t="s">
        <v>198</v>
      </c>
    </row>
    <row r="105" spans="2:12" x14ac:dyDescent="0.25">
      <c r="B105" s="174" t="str">
        <f t="shared" ref="B105:B114" si="323">B89</f>
        <v>HCC Display</v>
      </c>
      <c r="C105" s="185">
        <f>C89/1000000</f>
        <v>2.85942682E-6</v>
      </c>
      <c r="D105" s="270">
        <f>D89/1000000</f>
        <v>7.606501240699547E-8</v>
      </c>
      <c r="E105" s="187"/>
      <c r="F105" s="188">
        <f t="shared" ref="F105:F115" si="324">F89/1000000</f>
        <v>0</v>
      </c>
      <c r="G105" s="189">
        <f>IFERROR(G89,"")</f>
        <v>0</v>
      </c>
      <c r="H105" s="266">
        <f t="shared" ref="H105:H114" si="325">H89/1000000</f>
        <v>0</v>
      </c>
    </row>
    <row r="106" spans="2:12" x14ac:dyDescent="0.25">
      <c r="B106" s="174" t="str">
        <f t="shared" si="323"/>
        <v>HCC Paid Search</v>
      </c>
      <c r="C106" s="191">
        <f t="shared" ref="C106:D106" si="326">C90/1000000</f>
        <v>5.0000000000000004E-8</v>
      </c>
      <c r="D106" s="271">
        <f t="shared" si="326"/>
        <v>3.0136792938374307E-8</v>
      </c>
      <c r="E106" s="187"/>
      <c r="F106" s="192">
        <f t="shared" si="324"/>
        <v>0</v>
      </c>
      <c r="G106" s="193">
        <f t="shared" ref="G106:G114" si="327">IFERROR(G90,"")</f>
        <v>0</v>
      </c>
      <c r="H106" s="267">
        <f t="shared" si="325"/>
        <v>0</v>
      </c>
    </row>
    <row r="107" spans="2:12" x14ac:dyDescent="0.25">
      <c r="B107" s="174" t="str">
        <f t="shared" si="323"/>
        <v>HCC Radio</v>
      </c>
      <c r="C107" s="191">
        <f t="shared" ref="C107:D107" si="328">C91/1000000</f>
        <v>9.2397500000000001E-7</v>
      </c>
      <c r="D107" s="271">
        <f t="shared" si="328"/>
        <v>2.6581559263521288E-8</v>
      </c>
      <c r="E107" s="187"/>
      <c r="F107" s="192">
        <f t="shared" si="324"/>
        <v>0</v>
      </c>
      <c r="G107" s="193">
        <f t="shared" si="327"/>
        <v>0</v>
      </c>
      <c r="H107" s="267">
        <f t="shared" si="325"/>
        <v>0</v>
      </c>
    </row>
    <row r="108" spans="2:12" x14ac:dyDescent="0.25">
      <c r="B108" s="174" t="str">
        <f t="shared" si="323"/>
        <v>HCC Linear TV</v>
      </c>
      <c r="C108" s="191">
        <f t="shared" ref="C108:D108" si="329">C92/1000000</f>
        <v>2.58109286E-5</v>
      </c>
      <c r="D108" s="271">
        <f t="shared" si="329"/>
        <v>1.6850800202805389E-7</v>
      </c>
      <c r="E108" s="187"/>
      <c r="F108" s="192">
        <f t="shared" si="324"/>
        <v>0</v>
      </c>
      <c r="G108" s="193">
        <f t="shared" si="327"/>
        <v>0</v>
      </c>
      <c r="H108" s="267">
        <f t="shared" si="325"/>
        <v>0</v>
      </c>
    </row>
    <row r="109" spans="2:12" x14ac:dyDescent="0.25">
      <c r="B109" s="174" t="str">
        <f t="shared" si="323"/>
        <v>HCC Pharmacy</v>
      </c>
      <c r="C109" s="191">
        <f t="shared" ref="C109:D109" si="330">C93/1000000</f>
        <v>2.4119679999999999E-6</v>
      </c>
      <c r="D109" s="271">
        <f t="shared" si="330"/>
        <v>1.8205929821531288E-8</v>
      </c>
      <c r="E109" s="187"/>
      <c r="F109" s="192">
        <f t="shared" si="324"/>
        <v>0</v>
      </c>
      <c r="G109" s="325">
        <f t="shared" si="327"/>
        <v>0</v>
      </c>
      <c r="H109" s="267">
        <f t="shared" si="325"/>
        <v>0</v>
      </c>
    </row>
    <row r="110" spans="2:12" x14ac:dyDescent="0.25">
      <c r="B110" s="174" t="str">
        <f t="shared" si="323"/>
        <v>Total InScope Budget</v>
      </c>
      <c r="C110" s="191">
        <f t="shared" ref="C110:D110" si="331">C94/1000000</f>
        <v>5.9976092180000005E-5</v>
      </c>
      <c r="D110" s="271">
        <f t="shared" si="331"/>
        <v>7.6147922554221444E-7</v>
      </c>
      <c r="E110" s="187"/>
      <c r="F110" s="192">
        <f t="shared" si="324"/>
        <v>0</v>
      </c>
      <c r="G110" s="325">
        <f t="shared" si="327"/>
        <v>-1</v>
      </c>
      <c r="H110" s="267">
        <f t="shared" si="325"/>
        <v>0</v>
      </c>
    </row>
    <row r="111" spans="2:12" x14ac:dyDescent="0.25">
      <c r="B111" s="174" t="str">
        <f t="shared" si="323"/>
        <v>Δ Pre-tax Revenue</v>
      </c>
      <c r="C111" s="191">
        <f t="shared" ref="C111:D111" si="332">C95/1000000</f>
        <v>0</v>
      </c>
      <c r="D111" s="271">
        <f t="shared" si="332"/>
        <v>0</v>
      </c>
      <c r="E111" s="187"/>
      <c r="F111" s="192">
        <f t="shared" si="324"/>
        <v>0</v>
      </c>
      <c r="G111" s="193">
        <f t="shared" si="327"/>
        <v>0</v>
      </c>
      <c r="H111" s="267">
        <f t="shared" si="325"/>
        <v>0</v>
      </c>
    </row>
    <row r="112" spans="2:12" x14ac:dyDescent="0.25">
      <c r="B112" s="174">
        <f t="shared" si="323"/>
        <v>0</v>
      </c>
      <c r="C112" s="191">
        <f t="shared" ref="C112:D112" si="333">C96/1000000</f>
        <v>0</v>
      </c>
      <c r="D112" s="271">
        <f t="shared" si="333"/>
        <v>0</v>
      </c>
      <c r="E112" s="187"/>
      <c r="F112" s="192">
        <f t="shared" si="324"/>
        <v>0</v>
      </c>
      <c r="G112" s="193">
        <f t="shared" si="327"/>
        <v>0</v>
      </c>
      <c r="H112" s="267">
        <f t="shared" si="325"/>
        <v>-7.6147922554221444E-7</v>
      </c>
    </row>
    <row r="113" spans="2:8" x14ac:dyDescent="0.25">
      <c r="B113" s="174">
        <f t="shared" si="323"/>
        <v>0</v>
      </c>
      <c r="C113" s="191">
        <f t="shared" ref="C113:D113" si="334">C97/1000000</f>
        <v>0</v>
      </c>
      <c r="D113" s="271">
        <f t="shared" si="334"/>
        <v>0</v>
      </c>
      <c r="E113" s="187"/>
      <c r="F113" s="192">
        <f t="shared" si="324"/>
        <v>0</v>
      </c>
      <c r="G113" s="193">
        <f t="shared" si="327"/>
        <v>0</v>
      </c>
      <c r="H113" s="267">
        <f t="shared" si="325"/>
        <v>-9.9999999999999995E-7</v>
      </c>
    </row>
    <row r="114" spans="2:8" x14ac:dyDescent="0.25">
      <c r="B114" s="174">
        <f t="shared" si="323"/>
        <v>0</v>
      </c>
      <c r="C114" s="191">
        <f t="shared" ref="C114:D114" si="335">C98/1000000</f>
        <v>0</v>
      </c>
      <c r="D114" s="271">
        <f t="shared" si="335"/>
        <v>0</v>
      </c>
      <c r="E114" s="187"/>
      <c r="F114" s="192">
        <f t="shared" si="324"/>
        <v>0</v>
      </c>
      <c r="G114" s="193">
        <f t="shared" si="327"/>
        <v>0</v>
      </c>
      <c r="H114" s="267">
        <f t="shared" si="325"/>
        <v>0</v>
      </c>
    </row>
    <row r="115" spans="2:8" x14ac:dyDescent="0.25">
      <c r="B115" s="195" t="s">
        <v>199</v>
      </c>
      <c r="C115" s="196">
        <f>C99/1000000</f>
        <v>0</v>
      </c>
      <c r="D115" s="272">
        <f>D99/1000000</f>
        <v>0</v>
      </c>
      <c r="E115" s="198"/>
      <c r="F115" s="199">
        <f t="shared" si="324"/>
        <v>0</v>
      </c>
      <c r="G115" s="200">
        <f>G99</f>
        <v>0</v>
      </c>
      <c r="H115" s="203">
        <f>H99/1000000</f>
        <v>0</v>
      </c>
    </row>
    <row r="116" spans="2:8" ht="30" x14ac:dyDescent="0.25">
      <c r="B116" s="268" t="s">
        <v>262</v>
      </c>
      <c r="C116" s="196"/>
      <c r="D116" s="197"/>
      <c r="E116" s="198"/>
      <c r="F116" s="199"/>
      <c r="G116" s="200"/>
      <c r="H116" s="269" t="s">
        <v>282</v>
      </c>
    </row>
  </sheetData>
  <mergeCells count="24">
    <mergeCell ref="F4:P4"/>
    <mergeCell ref="R5:T5"/>
    <mergeCell ref="R21:T21"/>
    <mergeCell ref="V5:X5"/>
    <mergeCell ref="V21:X21"/>
    <mergeCell ref="J5:L5"/>
    <mergeCell ref="F21:H21"/>
    <mergeCell ref="J21:L21"/>
    <mergeCell ref="F20:P20"/>
    <mergeCell ref="F81:I81"/>
    <mergeCell ref="F5:H5"/>
    <mergeCell ref="C21:D21"/>
    <mergeCell ref="Z5:AB5"/>
    <mergeCell ref="Z21:AB21"/>
    <mergeCell ref="B63:L64"/>
    <mergeCell ref="F66:H66"/>
    <mergeCell ref="J66:L66"/>
    <mergeCell ref="N5:P5"/>
    <mergeCell ref="N21:P21"/>
    <mergeCell ref="C103:D103"/>
    <mergeCell ref="F103:H103"/>
    <mergeCell ref="C82:D82"/>
    <mergeCell ref="F82:H82"/>
    <mergeCell ref="J82:L82"/>
  </mergeCells>
  <conditionalFormatting sqref="G23:G31">
    <cfRule type="cellIs" dxfId="42" priority="63" operator="lessThan">
      <formula>0</formula>
    </cfRule>
    <cfRule type="cellIs" dxfId="41" priority="64" operator="greaterThan">
      <formula>0</formula>
    </cfRule>
  </conditionalFormatting>
  <conditionalFormatting sqref="K23:K29 K31">
    <cfRule type="cellIs" dxfId="40" priority="57" operator="lessThan">
      <formula>0</formula>
    </cfRule>
    <cfRule type="cellIs" dxfId="39" priority="58" operator="greaterThan">
      <formula>0</formula>
    </cfRule>
  </conditionalFormatting>
  <conditionalFormatting sqref="G84:G93">
    <cfRule type="cellIs" dxfId="38" priority="55" operator="lessThan">
      <formula>0</formula>
    </cfRule>
    <cfRule type="cellIs" dxfId="37" priority="56" operator="greaterThan">
      <formula>0</formula>
    </cfRule>
  </conditionalFormatting>
  <conditionalFormatting sqref="O23:O29 O31">
    <cfRule type="cellIs" dxfId="36" priority="47" operator="lessThan">
      <formula>0</formula>
    </cfRule>
    <cfRule type="cellIs" dxfId="35" priority="48" operator="greaterThan">
      <formula>0</formula>
    </cfRule>
  </conditionalFormatting>
  <conditionalFormatting sqref="K84:K93">
    <cfRule type="cellIs" dxfId="34" priority="41" operator="lessThan">
      <formula>0</formula>
    </cfRule>
    <cfRule type="cellIs" dxfId="33" priority="42" operator="greaterThan">
      <formula>0</formula>
    </cfRule>
  </conditionalFormatting>
  <conditionalFormatting sqref="G32">
    <cfRule type="cellIs" dxfId="32" priority="39" operator="lessThan">
      <formula>0</formula>
    </cfRule>
    <cfRule type="cellIs" dxfId="31" priority="40" operator="greaterThan">
      <formula>0</formula>
    </cfRule>
  </conditionalFormatting>
  <conditionalFormatting sqref="K32">
    <cfRule type="cellIs" dxfId="30" priority="33" operator="lessThan">
      <formula>0</formula>
    </cfRule>
    <cfRule type="cellIs" dxfId="29" priority="34" operator="greaterThan">
      <formula>0</formula>
    </cfRule>
  </conditionalFormatting>
  <conditionalFormatting sqref="K30">
    <cfRule type="cellIs" dxfId="28" priority="31" operator="lessThan">
      <formula>0</formula>
    </cfRule>
    <cfRule type="cellIs" dxfId="27" priority="32" operator="greaterThan">
      <formula>0</formula>
    </cfRule>
  </conditionalFormatting>
  <conditionalFormatting sqref="O30">
    <cfRule type="cellIs" dxfId="26" priority="29" operator="lessThan">
      <formula>0</formula>
    </cfRule>
    <cfRule type="cellIs" dxfId="25" priority="30" operator="greaterThan">
      <formula>0</formula>
    </cfRule>
  </conditionalFormatting>
  <conditionalFormatting sqref="O32">
    <cfRule type="cellIs" dxfId="24" priority="27" operator="lessThan">
      <formula>0</formula>
    </cfRule>
    <cfRule type="cellIs" dxfId="23" priority="28" operator="greaterThan">
      <formula>0</formula>
    </cfRule>
  </conditionalFormatting>
  <conditionalFormatting sqref="G105:G113">
    <cfRule type="cellIs" dxfId="22" priority="21" operator="lessThan">
      <formula>0</formula>
    </cfRule>
    <cfRule type="cellIs" dxfId="21" priority="22" operator="greaterThan">
      <formula>0</formula>
    </cfRule>
  </conditionalFormatting>
  <conditionalFormatting sqref="G114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S23:S29 S31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S30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S32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W23:W29 W31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W30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W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AA23:AA29 AA31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AA30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AA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0533-17C9-4FC6-94E4-46A76AAAA0C5}">
  <sheetPr>
    <tabColor theme="3" tint="0.79998168889431442"/>
  </sheetPr>
  <dimension ref="A2:Q6"/>
  <sheetViews>
    <sheetView zoomScale="75" zoomScaleNormal="75" workbookViewId="0">
      <selection activeCell="G21" sqref="G21"/>
    </sheetView>
  </sheetViews>
  <sheetFormatPr defaultColWidth="15.42578125" defaultRowHeight="15" x14ac:dyDescent="0.25"/>
  <cols>
    <col min="1" max="3" width="15.42578125" style="169"/>
    <col min="4" max="4" width="14.42578125" style="169" customWidth="1"/>
    <col min="5" max="5" width="15.140625" style="169" customWidth="1"/>
    <col min="6" max="6" width="14.42578125" style="169" customWidth="1"/>
    <col min="7" max="7" width="15.140625" style="169" customWidth="1"/>
    <col min="8" max="8" width="14.42578125" style="169" customWidth="1"/>
    <col min="9" max="9" width="15.140625" style="169" customWidth="1"/>
    <col min="10" max="10" width="14.42578125" style="169" customWidth="1"/>
    <col min="11" max="11" width="15.140625" style="169" customWidth="1"/>
    <col min="12" max="12" width="14.42578125" style="169" customWidth="1"/>
    <col min="13" max="13" width="15.140625" style="169" customWidth="1"/>
    <col min="14" max="14" width="14.42578125" style="169" customWidth="1"/>
    <col min="15" max="15" width="15.140625" style="169" customWidth="1"/>
    <col min="16" max="16" width="14.42578125" style="169" customWidth="1"/>
    <col min="17" max="17" width="15.140625" style="169" customWidth="1"/>
    <col min="18" max="16384" width="15.42578125" style="169"/>
  </cols>
  <sheetData>
    <row r="2" spans="1:17" x14ac:dyDescent="0.25">
      <c r="A2" s="414" t="s">
        <v>315</v>
      </c>
      <c r="C2"/>
      <c r="D2" s="448" t="s">
        <v>264</v>
      </c>
      <c r="E2" s="448"/>
      <c r="F2" s="448" t="s">
        <v>298</v>
      </c>
      <c r="G2" s="448"/>
      <c r="H2" s="448" t="s">
        <v>290</v>
      </c>
      <c r="I2" s="448"/>
      <c r="J2" s="448" t="s">
        <v>291</v>
      </c>
      <c r="K2" s="448"/>
      <c r="L2" s="448" t="s">
        <v>292</v>
      </c>
      <c r="M2" s="448"/>
      <c r="N2" s="448" t="s">
        <v>293</v>
      </c>
      <c r="O2" s="448"/>
      <c r="P2" s="448" t="s">
        <v>294</v>
      </c>
      <c r="Q2" s="448"/>
    </row>
    <row r="3" spans="1:17" x14ac:dyDescent="0.25">
      <c r="A3" s="415">
        <v>1530000</v>
      </c>
      <c r="C3"/>
      <c r="D3" s="417" t="s">
        <v>313</v>
      </c>
      <c r="E3" s="417" t="s">
        <v>314</v>
      </c>
      <c r="F3" s="417" t="s">
        <v>313</v>
      </c>
      <c r="G3" s="417" t="s">
        <v>314</v>
      </c>
      <c r="H3" s="417" t="s">
        <v>313</v>
      </c>
      <c r="I3" s="417" t="s">
        <v>314</v>
      </c>
      <c r="J3" s="417" t="s">
        <v>313</v>
      </c>
      <c r="K3" s="417" t="s">
        <v>314</v>
      </c>
      <c r="L3" s="417" t="s">
        <v>313</v>
      </c>
      <c r="M3" s="417" t="s">
        <v>314</v>
      </c>
      <c r="N3" s="417" t="s">
        <v>313</v>
      </c>
      <c r="O3" s="417" t="s">
        <v>314</v>
      </c>
      <c r="P3" s="417" t="s">
        <v>313</v>
      </c>
      <c r="Q3" s="417" t="s">
        <v>314</v>
      </c>
    </row>
    <row r="4" spans="1:17" x14ac:dyDescent="0.25">
      <c r="C4" s="414" t="s">
        <v>103</v>
      </c>
      <c r="D4" s="418">
        <f>SUM('Scenario deep dive'!D23,'Scenario deep dive'!D25:D31)*1000000*0.8/VAC_Optim_Scenario!$E$33</f>
        <v>1610814191.7356505</v>
      </c>
      <c r="E4" s="416">
        <f>D4/$A$3</f>
        <v>1052.8197331605559</v>
      </c>
      <c r="F4" s="418">
        <f>SUM('Scenario deep dive'!H23,'Scenario deep dive'!H25:H31)*1000000*0.8/VAC_Optim_Scenario!$E$33</f>
        <v>1632071507.9042025</v>
      </c>
      <c r="G4" s="416">
        <f>F4/$A$3</f>
        <v>1066.7134038589559</v>
      </c>
      <c r="H4" s="418">
        <f>SUM('Scenario deep dive'!L23,'Scenario deep dive'!L25:L31)*1000000*0.8/VAC_Optim_Scenario!$E$33</f>
        <v>1806479947.437753</v>
      </c>
      <c r="I4" s="416">
        <f>H4/$A$3</f>
        <v>1180.7058479985315</v>
      </c>
      <c r="J4" s="418">
        <f>SUM('Scenario deep dive'!P23,'Scenario deep dive'!P25:P31)*1000000*0.8/VAC_Optim_Scenario!$E$33</f>
        <v>1910119669.8001938</v>
      </c>
      <c r="K4" s="416">
        <f>J4/$A$3</f>
        <v>1248.4442286275776</v>
      </c>
      <c r="L4" s="418">
        <f>SUM('Scenario deep dive'!T23,'Scenario deep dive'!T25:T31)*1000000*0.8/VAC_Optim_Scenario!$E$33</f>
        <v>472380.69927638397</v>
      </c>
      <c r="M4" s="416">
        <f>L4/$A$3</f>
        <v>0.30874555508260387</v>
      </c>
      <c r="N4" s="418">
        <f>SUM('Scenario deep dive'!X23,'Scenario deep dive'!X25:X31)*1000000*0.8/VAC_Optim_Scenario!$E$33</f>
        <v>512406.26416198164</v>
      </c>
      <c r="O4" s="416">
        <f>N4/$A$3</f>
        <v>0.33490605500783116</v>
      </c>
      <c r="P4" s="418">
        <f>SUM('Scenario deep dive'!AB23,'Scenario deep dive'!AB25:AB31)*1000000*0.8/VAC_Optim_Scenario!$E$33</f>
        <v>622279.0006736241</v>
      </c>
      <c r="Q4" s="416">
        <f>P4/$A$3</f>
        <v>0.40671830109387197</v>
      </c>
    </row>
    <row r="5" spans="1:17" x14ac:dyDescent="0.25">
      <c r="C5" s="414" t="s">
        <v>312</v>
      </c>
      <c r="D5" s="418">
        <f>SUM('Scenario deep dive'!D24)*1000000*0.8/VAC_Optim_Scenario!$E$33</f>
        <v>1020940418.2340165</v>
      </c>
      <c r="E5" s="416">
        <f t="shared" ref="E5:G6" si="0">D5/$A$3</f>
        <v>667.28131910720037</v>
      </c>
      <c r="F5" s="418">
        <f>SUM('Scenario deep dive'!H24)*1000000*0.8/VAC_Optim_Scenario!$E$33</f>
        <v>1590322528.9650459</v>
      </c>
      <c r="G5" s="416">
        <f t="shared" si="0"/>
        <v>1039.4264895196379</v>
      </c>
      <c r="H5" s="418">
        <f>SUM('Scenario deep dive'!L24)*1000000*0.8/VAC_Optim_Scenario!$E$33</f>
        <v>1656839942.6735418</v>
      </c>
      <c r="I5" s="416">
        <f t="shared" ref="I5" si="1">H5/$A$3</f>
        <v>1082.9019233160404</v>
      </c>
      <c r="J5" s="418">
        <f>SUM('Scenario deep dive'!P24)*1000000*0.8/VAC_Optim_Scenario!$E$33</f>
        <v>1656839942.6735418</v>
      </c>
      <c r="K5" s="416">
        <f t="shared" ref="K5" si="2">J5/$A$3</f>
        <v>1082.9019233160404</v>
      </c>
      <c r="L5" s="418">
        <f>SUM('Scenario deep dive'!T24)*1000000*0.8/VAC_Optim_Scenario!$E$33</f>
        <v>374346.41664766002</v>
      </c>
      <c r="M5" s="416">
        <f t="shared" ref="M5" si="3">L5/$A$3</f>
        <v>0.24467086055402615</v>
      </c>
      <c r="N5" s="418">
        <f>SUM('Scenario deep dive'!X24)*1000000*0.8/VAC_Optim_Scenario!$E$33</f>
        <v>436520.41600536561</v>
      </c>
      <c r="O5" s="416">
        <f t="shared" ref="O5" si="4">N5/$A$3</f>
        <v>0.28530746144141544</v>
      </c>
      <c r="P5" s="418">
        <f>SUM('Scenario deep dive'!AB24)*1000000*0.8/VAC_Optim_Scenario!$E$33</f>
        <v>436520.41600536561</v>
      </c>
      <c r="Q5" s="416">
        <f t="shared" ref="Q5" si="5">P5/$A$3</f>
        <v>0.28530746144141544</v>
      </c>
    </row>
    <row r="6" spans="1:17" x14ac:dyDescent="0.25">
      <c r="C6" s="414" t="s">
        <v>235</v>
      </c>
      <c r="D6" s="418">
        <f>SUM('Scenario deep dive'!D32)*1000000*0.8/VAC_Optim_Scenario!$E$33</f>
        <v>64462883.319576129</v>
      </c>
      <c r="E6" s="416">
        <f t="shared" si="0"/>
        <v>42.132603476847144</v>
      </c>
      <c r="F6" s="418">
        <f>SUM('Scenario deep dive'!H32)*1000000*0.8/VAC_Optim_Scenario!$E$33</f>
        <v>79356676.791744739</v>
      </c>
      <c r="G6" s="416">
        <f t="shared" si="0"/>
        <v>51.867109014212247</v>
      </c>
      <c r="H6" s="418">
        <f>SUM('Scenario deep dive'!L32)*1000000*0.8/VAC_Optim_Scenario!$E$33</f>
        <v>79356676.791744739</v>
      </c>
      <c r="I6" s="416">
        <f t="shared" ref="I6" si="6">H6/$A$3</f>
        <v>51.867109014212247</v>
      </c>
      <c r="J6" s="418">
        <f>SUM('Scenario deep dive'!P32)*1000000*0.8/VAC_Optim_Scenario!$E$33</f>
        <v>79356676.791744739</v>
      </c>
      <c r="K6" s="416">
        <f t="shared" ref="K6" si="7">J6/$A$3</f>
        <v>51.867109014212247</v>
      </c>
      <c r="L6" s="418">
        <f>SUM('Scenario deep dive'!T32)*1000000*0.8/VAC_Optim_Scenario!$E$33</f>
        <v>17929.847554326803</v>
      </c>
      <c r="M6" s="416">
        <f t="shared" ref="M6" si="8">L6/$A$3</f>
        <v>1.1718854610671113E-2</v>
      </c>
      <c r="N6" s="418">
        <f>SUM('Scenario deep dive'!X32)*1000000*0.8/VAC_Optim_Scenario!$E$33</f>
        <v>17929.847554326803</v>
      </c>
      <c r="O6" s="416">
        <f t="shared" ref="O6" si="9">N6/$A$3</f>
        <v>1.1718854610671113E-2</v>
      </c>
      <c r="P6" s="418">
        <f>SUM('Scenario deep dive'!AB32)*1000000*0.8/VAC_Optim_Scenario!$E$33</f>
        <v>17929.847554326803</v>
      </c>
      <c r="Q6" s="416">
        <f t="shared" ref="Q6" si="10">P6/$A$3</f>
        <v>1.1718854610671113E-2</v>
      </c>
    </row>
  </sheetData>
  <mergeCells count="7">
    <mergeCell ref="N2:O2"/>
    <mergeCell ref="P2:Q2"/>
    <mergeCell ref="D2:E2"/>
    <mergeCell ref="F2:G2"/>
    <mergeCell ref="H2:I2"/>
    <mergeCell ref="J2:K2"/>
    <mergeCell ref="L2:M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28" zoomScale="90" zoomScaleNormal="90" workbookViewId="0">
      <selection activeCell="B10" sqref="B10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239</v>
      </c>
    </row>
    <row r="3" spans="1:15" x14ac:dyDescent="0.2">
      <c r="A3" s="48" t="s">
        <v>77</v>
      </c>
      <c r="B3" s="1" t="s">
        <v>238</v>
      </c>
    </row>
    <row r="4" spans="1:15" ht="29.1" customHeight="1" x14ac:dyDescent="0.2">
      <c r="A4" s="49" t="s">
        <v>78</v>
      </c>
      <c r="B4" s="451" t="s">
        <v>263</v>
      </c>
      <c r="C4" s="452"/>
      <c r="D4" s="452"/>
      <c r="E4" s="452"/>
      <c r="F4" s="452"/>
      <c r="G4" s="452"/>
      <c r="H4" s="452"/>
      <c r="I4" s="452"/>
    </row>
    <row r="5" spans="1:15" x14ac:dyDescent="0.2">
      <c r="A5" s="48" t="s">
        <v>79</v>
      </c>
      <c r="B5" s="1" t="s">
        <v>127</v>
      </c>
      <c r="E5" s="453" t="s">
        <v>50</v>
      </c>
      <c r="F5" s="454"/>
      <c r="G5" s="454"/>
      <c r="H5" s="454"/>
      <c r="I5" s="455"/>
    </row>
    <row r="6" spans="1:15" x14ac:dyDescent="0.2">
      <c r="A6" s="48" t="s">
        <v>80</v>
      </c>
      <c r="B6" s="1" t="s">
        <v>180</v>
      </c>
      <c r="E6" s="456" t="s">
        <v>51</v>
      </c>
      <c r="F6" s="457"/>
      <c r="G6" s="457"/>
      <c r="H6" s="457"/>
      <c r="I6" s="458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1000540.4294075909</v>
      </c>
      <c r="I9" s="140">
        <v>120000000</v>
      </c>
      <c r="J9" s="1">
        <f>I9/E27</f>
        <v>2.0007972450065017</v>
      </c>
      <c r="K9" s="117"/>
      <c r="O9" s="295"/>
    </row>
    <row r="10" spans="1:15" ht="13.5" thickBot="1" x14ac:dyDescent="0.25">
      <c r="A10" s="50"/>
      <c r="B10" s="1">
        <v>1.1072355764810018</v>
      </c>
      <c r="E10" s="1" t="s">
        <v>94</v>
      </c>
    </row>
    <row r="11" spans="1:15" ht="26.25" thickBot="1" x14ac:dyDescent="0.25">
      <c r="A11" s="250" t="s">
        <v>82</v>
      </c>
      <c r="B11" s="247" t="s">
        <v>84</v>
      </c>
      <c r="C11" s="246" t="s">
        <v>97</v>
      </c>
      <c r="D11" s="143" t="s">
        <v>98</v>
      </c>
      <c r="E11" s="246" t="s">
        <v>158</v>
      </c>
      <c r="F11" s="143" t="s">
        <v>159</v>
      </c>
      <c r="M11" s="140"/>
    </row>
    <row r="12" spans="1:15" s="234" customFormat="1" ht="13.5" thickBot="1" x14ac:dyDescent="0.25">
      <c r="A12" s="144" t="s">
        <v>157</v>
      </c>
      <c r="B12" s="145">
        <f>SUM(E17:E26)*B10</f>
        <v>66407663</v>
      </c>
      <c r="C12" s="146">
        <f>B12*E12</f>
        <v>0</v>
      </c>
      <c r="D12" s="146">
        <f>B12*F12</f>
        <v>66407663</v>
      </c>
      <c r="E12" s="147">
        <v>0</v>
      </c>
      <c r="F12" s="148">
        <v>1</v>
      </c>
      <c r="I12" s="248"/>
      <c r="K12" s="249"/>
      <c r="L12" s="249"/>
    </row>
    <row r="13" spans="1:15" ht="13.5" thickBot="1" x14ac:dyDescent="0.25">
      <c r="L13" s="140">
        <f>G46</f>
        <v>172048616.21900794</v>
      </c>
      <c r="M13" s="113">
        <f>J46</f>
        <v>226062104.62035105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55"/>
      <c r="H14" s="255"/>
      <c r="I14" s="56" t="s">
        <v>95</v>
      </c>
      <c r="J14" s="56" t="s">
        <v>96</v>
      </c>
    </row>
    <row r="15" spans="1:15" ht="27.75" customHeight="1" x14ac:dyDescent="0.2">
      <c r="A15" s="425" t="s">
        <v>2</v>
      </c>
      <c r="B15" s="423" t="s">
        <v>3</v>
      </c>
      <c r="C15" s="423" t="s">
        <v>38</v>
      </c>
      <c r="D15" s="423" t="s">
        <v>128</v>
      </c>
      <c r="E15" s="459" t="s">
        <v>86</v>
      </c>
      <c r="F15" s="461"/>
      <c r="G15" s="421" t="s">
        <v>131</v>
      </c>
      <c r="H15" s="422"/>
      <c r="I15" s="421" t="s">
        <v>89</v>
      </c>
      <c r="J15" s="422"/>
      <c r="K15" s="459" t="s">
        <v>90</v>
      </c>
      <c r="L15" s="460"/>
      <c r="M15" s="460"/>
      <c r="N15" s="461"/>
    </row>
    <row r="16" spans="1:15" ht="25.5" x14ac:dyDescent="0.2">
      <c r="A16" s="424"/>
      <c r="B16" s="424"/>
      <c r="C16" s="424"/>
      <c r="D16" s="424"/>
      <c r="E16" s="78" t="s">
        <v>149</v>
      </c>
      <c r="F16" s="78" t="s">
        <v>178</v>
      </c>
      <c r="G16" s="78" t="s">
        <v>87</v>
      </c>
      <c r="H16" s="326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51" t="s">
        <v>228</v>
      </c>
      <c r="B17" s="273" t="s">
        <v>233</v>
      </c>
      <c r="C17" s="54" t="s">
        <v>129</v>
      </c>
      <c r="D17" s="297">
        <v>1</v>
      </c>
      <c r="E17" s="284">
        <v>1134710</v>
      </c>
      <c r="F17" s="280">
        <f>GINOFF!I9</f>
        <v>7367.8666140222922</v>
      </c>
      <c r="G17" s="327">
        <v>900000</v>
      </c>
      <c r="H17" s="284">
        <v>6500000</v>
      </c>
      <c r="I17" s="328">
        <v>900000</v>
      </c>
      <c r="J17" s="282">
        <f>GINOFF!F9</f>
        <v>6242.5057294806466</v>
      </c>
      <c r="K17" s="291">
        <f>I17-E17</f>
        <v>-234710</v>
      </c>
      <c r="L17" s="287">
        <f>J17-F17</f>
        <v>-1125.3608845416456</v>
      </c>
      <c r="M17" s="288">
        <f>K17/E17</f>
        <v>-0.20684580201108654</v>
      </c>
      <c r="N17" s="288">
        <f>L17/F17</f>
        <v>-0.15273904150217571</v>
      </c>
      <c r="O17" s="299"/>
      <c r="R17" s="98"/>
      <c r="S17" s="98"/>
      <c r="T17" s="98"/>
      <c r="U17" s="275"/>
      <c r="V17" s="275"/>
    </row>
    <row r="18" spans="1:24" x14ac:dyDescent="0.2">
      <c r="A18" s="252" t="s">
        <v>228</v>
      </c>
      <c r="B18" s="274" t="s">
        <v>207</v>
      </c>
      <c r="C18" s="54" t="s">
        <v>129</v>
      </c>
      <c r="D18" s="297">
        <v>1</v>
      </c>
      <c r="E18" s="285">
        <v>10503728.719999999</v>
      </c>
      <c r="F18" s="281">
        <f>GMCM!I9</f>
        <v>288339.09761974216</v>
      </c>
      <c r="G18" s="327">
        <v>10500000</v>
      </c>
      <c r="H18" s="285">
        <v>21000000</v>
      </c>
      <c r="I18" s="328">
        <v>21000000</v>
      </c>
      <c r="J18" s="283">
        <f>GMCM!F9</f>
        <v>467933.02080957498</v>
      </c>
      <c r="K18" s="292">
        <f t="shared" ref="K18:K26" si="0">I18-E18</f>
        <v>10496271.280000001</v>
      </c>
      <c r="L18" s="289">
        <f t="shared" ref="L18:L26" si="1">J18-F18</f>
        <v>179593.92318983283</v>
      </c>
      <c r="M18" s="290">
        <f t="shared" ref="M18:M26" si="2">K18/E18</f>
        <v>0.99929001974453147</v>
      </c>
      <c r="N18" s="290">
        <f t="shared" ref="N18:N26" si="3">L18/F18</f>
        <v>0.62285664577711541</v>
      </c>
      <c r="O18" s="299"/>
      <c r="R18" s="98"/>
      <c r="S18" s="98"/>
      <c r="T18" s="98"/>
      <c r="U18" s="275"/>
      <c r="V18" s="275"/>
      <c r="X18" s="87"/>
    </row>
    <row r="19" spans="1:24" s="98" customFormat="1" x14ac:dyDescent="0.2">
      <c r="A19" s="252" t="s">
        <v>228</v>
      </c>
      <c r="B19" s="274" t="s">
        <v>208</v>
      </c>
      <c r="C19" s="54" t="s">
        <v>244</v>
      </c>
      <c r="D19" s="297">
        <v>1</v>
      </c>
      <c r="E19" s="285">
        <v>1751000</v>
      </c>
      <c r="F19" s="281">
        <f>GSOCIAL!I9</f>
        <v>23820.403572058858</v>
      </c>
      <c r="G19" s="327">
        <v>1800000</v>
      </c>
      <c r="H19" s="285">
        <v>7000000</v>
      </c>
      <c r="I19" s="328">
        <v>3049857.2699284316</v>
      </c>
      <c r="J19" s="283">
        <f>GSOCIAL!F9</f>
        <v>33231.132088102815</v>
      </c>
      <c r="K19" s="292">
        <f t="shared" si="0"/>
        <v>1298857.2699284316</v>
      </c>
      <c r="L19" s="289">
        <f t="shared" si="1"/>
        <v>9410.7285160439569</v>
      </c>
      <c r="M19" s="290">
        <f t="shared" si="2"/>
        <v>0.74178027979921846</v>
      </c>
      <c r="N19" s="290">
        <f>L19/F19</f>
        <v>0.39507007039472103</v>
      </c>
      <c r="O19" s="299"/>
      <c r="U19" s="275"/>
      <c r="V19" s="275"/>
    </row>
    <row r="20" spans="1:24" s="98" customFormat="1" x14ac:dyDescent="0.2">
      <c r="A20" s="252" t="s">
        <v>228</v>
      </c>
      <c r="B20" s="274" t="s">
        <v>224</v>
      </c>
      <c r="C20" s="54" t="s">
        <v>129</v>
      </c>
      <c r="D20" s="297">
        <v>1</v>
      </c>
      <c r="E20" s="285">
        <v>1111779.04</v>
      </c>
      <c r="F20" s="281">
        <f>GOLV!I9</f>
        <v>21646.235649615526</v>
      </c>
      <c r="G20" s="327">
        <v>1100000</v>
      </c>
      <c r="H20" s="285">
        <v>3500000</v>
      </c>
      <c r="I20" s="328">
        <v>2277500.7120514014</v>
      </c>
      <c r="J20" s="283">
        <f>GOLV!F9</f>
        <v>32853.279778552242</v>
      </c>
      <c r="K20" s="292">
        <f t="shared" si="0"/>
        <v>1165721.6720514013</v>
      </c>
      <c r="L20" s="289">
        <f t="shared" si="1"/>
        <v>11207.044128936715</v>
      </c>
      <c r="M20" s="290">
        <f t="shared" si="2"/>
        <v>1.0485192022071232</v>
      </c>
      <c r="N20" s="290">
        <f t="shared" si="3"/>
        <v>0.51773640046904745</v>
      </c>
      <c r="O20" s="299"/>
      <c r="U20" s="275"/>
      <c r="V20" s="275"/>
    </row>
    <row r="21" spans="1:24" s="98" customFormat="1" x14ac:dyDescent="0.2">
      <c r="A21" s="252" t="s">
        <v>228</v>
      </c>
      <c r="B21" s="274" t="s">
        <v>226</v>
      </c>
      <c r="C21" s="54" t="s">
        <v>244</v>
      </c>
      <c r="D21" s="297">
        <v>1</v>
      </c>
      <c r="E21" s="285">
        <v>13418576</v>
      </c>
      <c r="F21" s="281">
        <f>GSTRTV!I9</f>
        <v>100808.3256282994</v>
      </c>
      <c r="G21" s="327">
        <v>8306901</v>
      </c>
      <c r="H21" s="285">
        <v>27304858</v>
      </c>
      <c r="I21" s="328">
        <v>8306901</v>
      </c>
      <c r="J21" s="283">
        <f>GSTRTV!F9</f>
        <v>72062.483379729863</v>
      </c>
      <c r="K21" s="292">
        <f t="shared" si="0"/>
        <v>-5111675</v>
      </c>
      <c r="L21" s="289">
        <f t="shared" si="1"/>
        <v>-28745.842248569534</v>
      </c>
      <c r="M21" s="290">
        <f>K21/E21</f>
        <v>-0.38094019812534502</v>
      </c>
      <c r="N21" s="290">
        <f t="shared" si="3"/>
        <v>-0.28515345403673548</v>
      </c>
      <c r="O21" s="299"/>
      <c r="U21" s="275"/>
      <c r="V21" s="275"/>
    </row>
    <row r="22" spans="1:24" s="98" customFormat="1" x14ac:dyDescent="0.2">
      <c r="A22" s="252" t="s">
        <v>228</v>
      </c>
      <c r="B22" s="274" t="s">
        <v>209</v>
      </c>
      <c r="C22" s="54" t="s">
        <v>244</v>
      </c>
      <c r="D22" s="297">
        <v>1</v>
      </c>
      <c r="E22" s="285">
        <v>2859426.82</v>
      </c>
      <c r="F22" s="281">
        <f>GDISP!I9</f>
        <v>76065.012406995462</v>
      </c>
      <c r="G22" s="327">
        <v>2900000</v>
      </c>
      <c r="H22" s="285">
        <v>5000000</v>
      </c>
      <c r="I22" s="328">
        <v>5000000</v>
      </c>
      <c r="J22" s="283">
        <f>GDISP!F9</f>
        <v>106365.19760151411</v>
      </c>
      <c r="K22" s="292">
        <f t="shared" si="0"/>
        <v>2140573.1800000002</v>
      </c>
      <c r="L22" s="289">
        <f t="shared" si="1"/>
        <v>30300.18519451865</v>
      </c>
      <c r="M22" s="290">
        <f t="shared" si="2"/>
        <v>0.7486021901410298</v>
      </c>
      <c r="N22" s="290">
        <f t="shared" si="3"/>
        <v>0.39834589170108431</v>
      </c>
      <c r="O22" s="299"/>
      <c r="U22" s="275"/>
      <c r="V22" s="275"/>
    </row>
    <row r="23" spans="1:24" s="98" customFormat="1" x14ac:dyDescent="0.2">
      <c r="A23" s="252" t="s">
        <v>228</v>
      </c>
      <c r="B23" s="274" t="s">
        <v>210</v>
      </c>
      <c r="C23" s="54" t="s">
        <v>244</v>
      </c>
      <c r="D23" s="297">
        <v>1</v>
      </c>
      <c r="E23" s="285">
        <v>50000</v>
      </c>
      <c r="F23" s="281">
        <f>GPDSRCH!I9</f>
        <v>30136.792938374307</v>
      </c>
      <c r="G23" s="327">
        <v>100000</v>
      </c>
      <c r="H23" s="285">
        <v>200000</v>
      </c>
      <c r="I23" s="328">
        <v>200000</v>
      </c>
      <c r="J23" s="283">
        <f>GPDSRCH!F9</f>
        <v>79531.473375019181</v>
      </c>
      <c r="K23" s="292">
        <f t="shared" si="0"/>
        <v>150000</v>
      </c>
      <c r="L23" s="289">
        <f t="shared" si="1"/>
        <v>49394.680436644878</v>
      </c>
      <c r="M23" s="290">
        <f t="shared" si="2"/>
        <v>3</v>
      </c>
      <c r="N23" s="290">
        <f t="shared" si="3"/>
        <v>1.6390158215457884</v>
      </c>
      <c r="O23" s="299"/>
      <c r="U23" s="275"/>
      <c r="V23" s="275"/>
    </row>
    <row r="24" spans="1:24" x14ac:dyDescent="0.2">
      <c r="A24" s="252" t="s">
        <v>228</v>
      </c>
      <c r="B24" s="274" t="s">
        <v>177</v>
      </c>
      <c r="C24" s="54" t="s">
        <v>244</v>
      </c>
      <c r="D24" s="297">
        <v>1</v>
      </c>
      <c r="E24" s="285">
        <v>923975</v>
      </c>
      <c r="F24" s="281">
        <f>GAUDIO!I9</f>
        <v>26581.559263521289</v>
      </c>
      <c r="G24" s="327">
        <v>500000</v>
      </c>
      <c r="H24" s="285">
        <v>2200000</v>
      </c>
      <c r="I24" s="328">
        <v>2200000</v>
      </c>
      <c r="J24" s="283">
        <f>GAUDIO!F9</f>
        <v>37608.450193722703</v>
      </c>
      <c r="K24" s="292">
        <f t="shared" si="0"/>
        <v>1276025</v>
      </c>
      <c r="L24" s="289">
        <f t="shared" si="1"/>
        <v>11026.890930201414</v>
      </c>
      <c r="M24" s="290">
        <f t="shared" si="2"/>
        <v>1.3810168024026623</v>
      </c>
      <c r="N24" s="290">
        <f t="shared" si="3"/>
        <v>0.41483235881252323</v>
      </c>
      <c r="O24" s="299"/>
      <c r="R24" s="98"/>
      <c r="S24" s="98"/>
      <c r="T24" s="98"/>
      <c r="U24" s="275"/>
      <c r="V24" s="275"/>
    </row>
    <row r="25" spans="1:24" s="98" customFormat="1" x14ac:dyDescent="0.2">
      <c r="A25" s="252" t="s">
        <v>228</v>
      </c>
      <c r="B25" s="274" t="s">
        <v>234</v>
      </c>
      <c r="C25" s="54" t="s">
        <v>244</v>
      </c>
      <c r="D25" s="297">
        <v>1</v>
      </c>
      <c r="E25" s="285">
        <v>25810928.600000001</v>
      </c>
      <c r="F25" s="281">
        <f>GLINEARTV!I9</f>
        <v>168508.00202805389</v>
      </c>
      <c r="G25" s="327">
        <v>20273404</v>
      </c>
      <c r="H25" s="285">
        <v>53783542</v>
      </c>
      <c r="I25" s="328">
        <v>20273404</v>
      </c>
      <c r="J25" s="283">
        <f>GLINEARTV!F9</f>
        <v>142300.5770089858</v>
      </c>
      <c r="K25" s="292">
        <f t="shared" si="0"/>
        <v>-5537524.6000000015</v>
      </c>
      <c r="L25" s="289">
        <f t="shared" si="1"/>
        <v>-26207.42501906809</v>
      </c>
      <c r="M25" s="290">
        <f t="shared" si="2"/>
        <v>-0.21454185883106899</v>
      </c>
      <c r="N25" s="290">
        <f t="shared" si="3"/>
        <v>-0.15552629372879856</v>
      </c>
      <c r="O25" s="299"/>
      <c r="U25" s="275"/>
      <c r="V25" s="275"/>
    </row>
    <row r="26" spans="1:24" s="98" customFormat="1" x14ac:dyDescent="0.2">
      <c r="A26" s="252" t="s">
        <v>228</v>
      </c>
      <c r="B26" s="274" t="s">
        <v>235</v>
      </c>
      <c r="C26" s="54" t="s">
        <v>129</v>
      </c>
      <c r="D26" s="297">
        <v>1</v>
      </c>
      <c r="E26" s="285">
        <v>2411968</v>
      </c>
      <c r="F26" s="281">
        <f>GPHRMCY!I9</f>
        <v>18205.929821531288</v>
      </c>
      <c r="G26" s="327">
        <v>3200000</v>
      </c>
      <c r="H26" s="329">
        <v>3200000</v>
      </c>
      <c r="I26" s="328">
        <v>3200000</v>
      </c>
      <c r="J26" s="283">
        <f>GPHRMCY!F9</f>
        <v>22412.309442908503</v>
      </c>
      <c r="K26" s="292">
        <f t="shared" si="0"/>
        <v>788032</v>
      </c>
      <c r="L26" s="289">
        <f t="shared" si="1"/>
        <v>4206.3796213772148</v>
      </c>
      <c r="M26" s="290">
        <f t="shared" si="2"/>
        <v>0.32671743572054024</v>
      </c>
      <c r="N26" s="290">
        <f t="shared" si="3"/>
        <v>0.23104448180408393</v>
      </c>
      <c r="O26" s="299"/>
      <c r="P26" s="275"/>
      <c r="U26" s="275"/>
      <c r="V26" s="275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86">
        <f>SUM(E17:E26)</f>
        <v>59976092.18</v>
      </c>
      <c r="F27" s="296">
        <f>SUM(F17:F26)</f>
        <v>761479.22554221447</v>
      </c>
      <c r="G27" s="286">
        <f>SUM(G17:G26)</f>
        <v>49580305</v>
      </c>
      <c r="H27" s="286">
        <f>SUM(H17:H26)</f>
        <v>129688400</v>
      </c>
      <c r="I27" s="286">
        <f t="shared" ref="I27:J27" si="4">SUM(I17:I26)</f>
        <v>66407662.981979832</v>
      </c>
      <c r="J27" s="296">
        <f t="shared" si="4"/>
        <v>1000540.4294075909</v>
      </c>
      <c r="K27" s="286">
        <f t="shared" ref="K27" si="5">SUM(K17:K26)</f>
        <v>6431570.8019798324</v>
      </c>
      <c r="L27" s="152">
        <f>SUM(L17:L26)</f>
        <v>239061.20386537639</v>
      </c>
      <c r="M27" s="153">
        <f>K27/E27</f>
        <v>0.10723557618054588</v>
      </c>
      <c r="N27" s="153">
        <f>L27/F27</f>
        <v>0.3139431725076306</v>
      </c>
      <c r="O27" s="300"/>
    </row>
    <row r="28" spans="1:24" x14ac:dyDescent="0.2">
      <c r="E28" s="295">
        <f>SUM(E17:E24,E26)</f>
        <v>34165163.579999998</v>
      </c>
      <c r="F28" s="295">
        <f t="shared" ref="F28:L28" si="6">SUM(F17:F24,F26)</f>
        <v>592971.22351416061</v>
      </c>
      <c r="G28" s="295">
        <f t="shared" si="6"/>
        <v>29306901</v>
      </c>
      <c r="H28" s="295">
        <f t="shared" si="6"/>
        <v>75904858</v>
      </c>
      <c r="I28" s="295">
        <f>SUM(I17:I24,I25:I26)</f>
        <v>66407662.981979832</v>
      </c>
      <c r="J28" s="295">
        <f t="shared" si="6"/>
        <v>858239.85239860509</v>
      </c>
      <c r="K28" s="295">
        <f t="shared" si="6"/>
        <v>11969095.401979834</v>
      </c>
      <c r="L28" s="295">
        <f t="shared" si="6"/>
        <v>265268.62888444448</v>
      </c>
      <c r="M28" s="299">
        <f>K28/E28</f>
        <v>0.35033039938337784</v>
      </c>
      <c r="N28" s="299">
        <f>L28/F28</f>
        <v>0.44735497839569216</v>
      </c>
    </row>
    <row r="29" spans="1:24" x14ac:dyDescent="0.2">
      <c r="C29" s="87"/>
      <c r="D29" s="140">
        <f>G25-E25</f>
        <v>-5537524.6000000015</v>
      </c>
      <c r="E29" s="295"/>
      <c r="F29" s="295"/>
      <c r="G29" s="140"/>
      <c r="H29" s="140"/>
      <c r="I29" s="298"/>
      <c r="J29" s="295"/>
      <c r="K29" s="140"/>
    </row>
    <row r="30" spans="1:24" x14ac:dyDescent="0.2">
      <c r="C30" s="140"/>
      <c r="K30" s="140"/>
    </row>
    <row r="31" spans="1:24" s="98" customFormat="1" x14ac:dyDescent="0.2">
      <c r="D31" s="466" t="s">
        <v>154</v>
      </c>
      <c r="E31" s="466"/>
      <c r="F31" s="466"/>
      <c r="G31" s="466"/>
      <c r="H31" s="466"/>
      <c r="I31" s="466"/>
      <c r="J31" s="465"/>
      <c r="K31" s="465"/>
      <c r="L31" s="465"/>
      <c r="M31" s="465"/>
      <c r="N31" s="465"/>
      <c r="O31" s="465"/>
      <c r="P31" s="134"/>
    </row>
    <row r="32" spans="1:24" ht="51" x14ac:dyDescent="0.2">
      <c r="A32" s="468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68"/>
      <c r="D33" s="155">
        <v>1</v>
      </c>
      <c r="E33" s="126">
        <v>225.94</v>
      </c>
      <c r="F33" s="322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67" t="s">
        <v>2</v>
      </c>
      <c r="B34" s="423" t="s">
        <v>3</v>
      </c>
      <c r="C34" s="423" t="str">
        <f t="shared" ref="C34:C45" si="7">D15</f>
        <v>Response Scaling Factor for Sensitivity Analysis</v>
      </c>
      <c r="D34" s="462" t="s">
        <v>86</v>
      </c>
      <c r="E34" s="463"/>
      <c r="F34" s="463"/>
      <c r="G34" s="464"/>
      <c r="H34" s="449" t="s">
        <v>89</v>
      </c>
      <c r="I34" s="450"/>
      <c r="J34" s="450"/>
      <c r="K34" s="462" t="s">
        <v>136</v>
      </c>
      <c r="L34" s="463"/>
      <c r="M34" s="463"/>
      <c r="N34" s="464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24"/>
      <c r="B35" s="424"/>
      <c r="C35" s="424">
        <f t="shared" si="7"/>
        <v>0</v>
      </c>
      <c r="D35" s="93" t="s">
        <v>231</v>
      </c>
      <c r="E35" s="93" t="s">
        <v>133</v>
      </c>
      <c r="F35" s="93" t="s">
        <v>134</v>
      </c>
      <c r="G35" s="93" t="s">
        <v>146</v>
      </c>
      <c r="H35" s="55" t="s">
        <v>232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14" t="str">
        <f t="shared" ref="A36:B39" si="8">A17</f>
        <v>Gardasil Adults</v>
      </c>
      <c r="B36" s="214" t="str">
        <f t="shared" si="8"/>
        <v>HCC InOffice</v>
      </c>
      <c r="C36" s="330">
        <f t="shared" si="7"/>
        <v>1</v>
      </c>
      <c r="D36" s="99">
        <f t="shared" ref="D36:D45" si="9">E17</f>
        <v>1134710</v>
      </c>
      <c r="E36" s="236" t="s">
        <v>161</v>
      </c>
      <c r="F36" s="101">
        <f t="shared" ref="F36:F45" si="10">F17/$D$33</f>
        <v>7367.8666140222922</v>
      </c>
      <c r="G36" s="103">
        <f>F36*$F$33</f>
        <v>1664695.7827721967</v>
      </c>
      <c r="H36" s="105">
        <f t="shared" ref="H36:H45" si="11">I17</f>
        <v>900000</v>
      </c>
      <c r="I36" s="101">
        <f t="shared" ref="I36:I45" si="12">J17/$D$33</f>
        <v>6242.5057294806466</v>
      </c>
      <c r="J36" s="107">
        <f>I36*$F$33</f>
        <v>1410431.7445188572</v>
      </c>
      <c r="K36" s="99">
        <f>H36-D36</f>
        <v>-234710</v>
      </c>
      <c r="L36" s="99">
        <f>J36-G36</f>
        <v>-254264.03825333947</v>
      </c>
      <c r="M36" s="109">
        <f>K36/D36</f>
        <v>-0.20684580201108654</v>
      </c>
      <c r="N36" s="110">
        <f>L36/G36</f>
        <v>-0.15273904150217574</v>
      </c>
      <c r="O36" s="301">
        <f>(J36-G36)/1000000</f>
        <v>-0.25426403825333949</v>
      </c>
    </row>
    <row r="37" spans="1:22" x14ac:dyDescent="0.2">
      <c r="A37" s="220" t="str">
        <f t="shared" si="8"/>
        <v>Gardasil Adults</v>
      </c>
      <c r="B37" s="220" t="str">
        <f t="shared" si="8"/>
        <v>HCP MCM</v>
      </c>
      <c r="C37" s="297">
        <f t="shared" si="7"/>
        <v>1</v>
      </c>
      <c r="D37" s="100">
        <f t="shared" si="9"/>
        <v>10503728.719999999</v>
      </c>
      <c r="E37" s="237" t="s">
        <v>161</v>
      </c>
      <c r="F37" s="102">
        <f t="shared" si="10"/>
        <v>288339.09761974216</v>
      </c>
      <c r="G37" s="104">
        <f t="shared" ref="G37:G44" si="13">F37*$F$33</f>
        <v>65147335.716204539</v>
      </c>
      <c r="H37" s="106">
        <f t="shared" si="11"/>
        <v>21000000</v>
      </c>
      <c r="I37" s="102">
        <f t="shared" si="12"/>
        <v>467933.02080957498</v>
      </c>
      <c r="J37" s="108">
        <f t="shared" ref="J37" si="14">I37*$F$33</f>
        <v>105724786.72171538</v>
      </c>
      <c r="K37" s="100">
        <f t="shared" ref="K37" si="15">H37-D37</f>
        <v>10496271.280000001</v>
      </c>
      <c r="L37" s="100">
        <f t="shared" ref="L37" si="16">J37-G37</f>
        <v>40577451.005510837</v>
      </c>
      <c r="M37" s="111">
        <f t="shared" ref="M37" si="17">K37/D37</f>
        <v>0.99929001974453147</v>
      </c>
      <c r="N37" s="112">
        <f t="shared" ref="N37" si="18">L37/G37</f>
        <v>0.62285664577711553</v>
      </c>
      <c r="O37" s="301">
        <f t="shared" ref="O37:O45" si="19">(J37-G37)/1000000</f>
        <v>40.577451005510838</v>
      </c>
    </row>
    <row r="38" spans="1:22" s="98" customFormat="1" x14ac:dyDescent="0.2">
      <c r="A38" s="220" t="str">
        <f t="shared" si="8"/>
        <v>Gardasil Adults</v>
      </c>
      <c r="B38" s="220" t="str">
        <f t="shared" si="8"/>
        <v>HCC Social</v>
      </c>
      <c r="C38" s="297">
        <f t="shared" si="7"/>
        <v>1</v>
      </c>
      <c r="D38" s="100">
        <f t="shared" si="9"/>
        <v>1751000</v>
      </c>
      <c r="E38" s="237" t="s">
        <v>161</v>
      </c>
      <c r="F38" s="102">
        <f t="shared" si="10"/>
        <v>23820.403572058858</v>
      </c>
      <c r="G38" s="104">
        <f t="shared" si="13"/>
        <v>5381981.983070978</v>
      </c>
      <c r="H38" s="106">
        <f t="shared" si="11"/>
        <v>3049857.2699284316</v>
      </c>
      <c r="I38" s="102">
        <f t="shared" si="12"/>
        <v>33231.132088102815</v>
      </c>
      <c r="J38" s="108">
        <f t="shared" ref="J38:J44" si="20">I38*$F$33</f>
        <v>7508241.9839859502</v>
      </c>
      <c r="K38" s="100">
        <f t="shared" ref="K38:K44" si="21">H38-D38</f>
        <v>1298857.2699284316</v>
      </c>
      <c r="L38" s="100">
        <f t="shared" ref="L38:L44" si="22">J38-G38</f>
        <v>2126260.0009149723</v>
      </c>
      <c r="M38" s="111">
        <f t="shared" ref="M38:M44" si="23">K38/D38</f>
        <v>0.74178027979921846</v>
      </c>
      <c r="N38" s="112">
        <f t="shared" ref="N38:N44" si="24">L38/G38</f>
        <v>0.39507007039472114</v>
      </c>
      <c r="O38" s="301">
        <f t="shared" si="19"/>
        <v>2.1262600009149724</v>
      </c>
      <c r="P38" s="113"/>
    </row>
    <row r="39" spans="1:22" s="98" customFormat="1" x14ac:dyDescent="0.2">
      <c r="A39" s="220" t="str">
        <f t="shared" si="8"/>
        <v>Gardasil Adults</v>
      </c>
      <c r="B39" s="220" t="str">
        <f t="shared" si="8"/>
        <v>HCC Online Video</v>
      </c>
      <c r="C39" s="297">
        <f t="shared" si="7"/>
        <v>1</v>
      </c>
      <c r="D39" s="100">
        <f t="shared" si="9"/>
        <v>1111779.04</v>
      </c>
      <c r="E39" s="237" t="s">
        <v>161</v>
      </c>
      <c r="F39" s="102">
        <f t="shared" si="10"/>
        <v>21646.235649615526</v>
      </c>
      <c r="G39" s="104">
        <f t="shared" si="13"/>
        <v>4890750.4826741321</v>
      </c>
      <c r="H39" s="106">
        <f t="shared" si="11"/>
        <v>2277500.7120514014</v>
      </c>
      <c r="I39" s="102">
        <f t="shared" si="12"/>
        <v>32853.279778552242</v>
      </c>
      <c r="J39" s="108">
        <f t="shared" si="20"/>
        <v>7422870.0331660938</v>
      </c>
      <c r="K39" s="100">
        <f t="shared" si="21"/>
        <v>1165721.6720514013</v>
      </c>
      <c r="L39" s="100">
        <f t="shared" si="22"/>
        <v>2532119.5504919617</v>
      </c>
      <c r="M39" s="111">
        <f t="shared" si="23"/>
        <v>1.0485192022071232</v>
      </c>
      <c r="N39" s="112">
        <f t="shared" si="24"/>
        <v>0.51773640046904745</v>
      </c>
      <c r="O39" s="301">
        <f t="shared" si="19"/>
        <v>2.5321195504919616</v>
      </c>
    </row>
    <row r="40" spans="1:22" s="98" customFormat="1" x14ac:dyDescent="0.2">
      <c r="A40" s="220" t="str">
        <f t="shared" ref="A40:A45" si="25">A21</f>
        <v>Gardasil Adults</v>
      </c>
      <c r="B40" s="220" t="str">
        <f t="shared" ref="B40:B45" si="26">B21</f>
        <v>HCC Streaming Video</v>
      </c>
      <c r="C40" s="297">
        <f t="shared" si="7"/>
        <v>1</v>
      </c>
      <c r="D40" s="100">
        <f t="shared" si="9"/>
        <v>13418576</v>
      </c>
      <c r="E40" s="237" t="s">
        <v>161</v>
      </c>
      <c r="F40" s="102">
        <f t="shared" si="10"/>
        <v>100808.3256282994</v>
      </c>
      <c r="G40" s="104">
        <f t="shared" si="13"/>
        <v>22776633.092457965</v>
      </c>
      <c r="H40" s="106">
        <f t="shared" si="11"/>
        <v>8306901</v>
      </c>
      <c r="I40" s="102">
        <f t="shared" si="12"/>
        <v>72062.483379729863</v>
      </c>
      <c r="J40" s="108">
        <f t="shared" si="20"/>
        <v>16281797.494816165</v>
      </c>
      <c r="K40" s="100">
        <f t="shared" si="21"/>
        <v>-5111675</v>
      </c>
      <c r="L40" s="100">
        <f t="shared" si="22"/>
        <v>-6494835.5976417996</v>
      </c>
      <c r="M40" s="111">
        <f t="shared" si="23"/>
        <v>-0.38094019812534502</v>
      </c>
      <c r="N40" s="112">
        <f t="shared" si="24"/>
        <v>-0.28515345403673542</v>
      </c>
      <c r="O40" s="301">
        <f t="shared" si="19"/>
        <v>-6.4948355976417993</v>
      </c>
    </row>
    <row r="41" spans="1:22" s="98" customFormat="1" x14ac:dyDescent="0.2">
      <c r="A41" s="220" t="str">
        <f t="shared" si="25"/>
        <v>Gardasil Adults</v>
      </c>
      <c r="B41" s="220" t="str">
        <f t="shared" si="26"/>
        <v>HCC Display</v>
      </c>
      <c r="C41" s="297">
        <f t="shared" si="7"/>
        <v>1</v>
      </c>
      <c r="D41" s="100">
        <f t="shared" si="9"/>
        <v>2859426.82</v>
      </c>
      <c r="E41" s="237" t="s">
        <v>161</v>
      </c>
      <c r="F41" s="102">
        <f t="shared" si="10"/>
        <v>76065.012406995462</v>
      </c>
      <c r="G41" s="104">
        <f t="shared" si="13"/>
        <v>17186128.903236553</v>
      </c>
      <c r="H41" s="106">
        <f t="shared" si="11"/>
        <v>5000000</v>
      </c>
      <c r="I41" s="102">
        <f t="shared" si="12"/>
        <v>106365.19760151411</v>
      </c>
      <c r="J41" s="108">
        <f t="shared" si="20"/>
        <v>24032152.746086098</v>
      </c>
      <c r="K41" s="100">
        <f t="shared" si="21"/>
        <v>2140573.1800000002</v>
      </c>
      <c r="L41" s="100">
        <f t="shared" si="22"/>
        <v>6846023.8428495452</v>
      </c>
      <c r="M41" s="111">
        <f t="shared" si="23"/>
        <v>0.7486021901410298</v>
      </c>
      <c r="N41" s="112">
        <f t="shared" si="24"/>
        <v>0.39834589170108442</v>
      </c>
      <c r="O41" s="301">
        <f t="shared" si="19"/>
        <v>6.8460238428495455</v>
      </c>
    </row>
    <row r="42" spans="1:22" x14ac:dyDescent="0.2">
      <c r="A42" s="220" t="str">
        <f t="shared" si="25"/>
        <v>Gardasil Adults</v>
      </c>
      <c r="B42" s="220" t="str">
        <f t="shared" si="26"/>
        <v>HCC Paid Search</v>
      </c>
      <c r="C42" s="297">
        <f t="shared" si="7"/>
        <v>1</v>
      </c>
      <c r="D42" s="100">
        <f t="shared" si="9"/>
        <v>50000</v>
      </c>
      <c r="E42" s="237" t="s">
        <v>161</v>
      </c>
      <c r="F42" s="102">
        <f t="shared" si="10"/>
        <v>30136.792938374307</v>
      </c>
      <c r="G42" s="104">
        <f t="shared" si="13"/>
        <v>6809106.9964962909</v>
      </c>
      <c r="H42" s="106">
        <f t="shared" si="11"/>
        <v>200000</v>
      </c>
      <c r="I42" s="102">
        <f t="shared" si="12"/>
        <v>79531.473375019181</v>
      </c>
      <c r="J42" s="108">
        <f t="shared" si="20"/>
        <v>17969341.094351832</v>
      </c>
      <c r="K42" s="100">
        <f t="shared" si="21"/>
        <v>150000</v>
      </c>
      <c r="L42" s="100">
        <f t="shared" si="22"/>
        <v>11160234.097855542</v>
      </c>
      <c r="M42" s="111">
        <f t="shared" si="23"/>
        <v>3</v>
      </c>
      <c r="N42" s="112">
        <f t="shared" si="24"/>
        <v>1.6390158215457882</v>
      </c>
      <c r="O42" s="301">
        <f t="shared" si="19"/>
        <v>11.160234097855541</v>
      </c>
    </row>
    <row r="43" spans="1:22" s="98" customFormat="1" x14ac:dyDescent="0.2">
      <c r="A43" s="220" t="str">
        <f t="shared" si="25"/>
        <v>Gardasil Adults</v>
      </c>
      <c r="B43" s="220" t="str">
        <f t="shared" si="26"/>
        <v>HCC Radio</v>
      </c>
      <c r="C43" s="297">
        <f t="shared" si="7"/>
        <v>1</v>
      </c>
      <c r="D43" s="100">
        <f t="shared" si="9"/>
        <v>923975</v>
      </c>
      <c r="E43" s="237" t="s">
        <v>161</v>
      </c>
      <c r="F43" s="102">
        <f t="shared" si="10"/>
        <v>26581.559263521289</v>
      </c>
      <c r="G43" s="104">
        <f t="shared" si="13"/>
        <v>6005837.5</v>
      </c>
      <c r="H43" s="106">
        <f t="shared" si="11"/>
        <v>2200000</v>
      </c>
      <c r="I43" s="102">
        <f t="shared" si="12"/>
        <v>37608.450193722703</v>
      </c>
      <c r="J43" s="108">
        <f t="shared" si="20"/>
        <v>8497253.2367697079</v>
      </c>
      <c r="K43" s="100">
        <f t="shared" si="21"/>
        <v>1276025</v>
      </c>
      <c r="L43" s="100">
        <f t="shared" si="22"/>
        <v>2491415.7367697079</v>
      </c>
      <c r="M43" s="111">
        <f t="shared" si="23"/>
        <v>1.3810168024026623</v>
      </c>
      <c r="N43" s="112">
        <f t="shared" si="24"/>
        <v>0.41483235881252328</v>
      </c>
      <c r="O43" s="301">
        <f t="shared" si="19"/>
        <v>2.4914157367697078</v>
      </c>
    </row>
    <row r="44" spans="1:22" s="98" customFormat="1" x14ac:dyDescent="0.2">
      <c r="A44" s="220" t="str">
        <f t="shared" si="25"/>
        <v>Gardasil Adults</v>
      </c>
      <c r="B44" s="220" t="str">
        <f t="shared" si="26"/>
        <v>HCC Linear TV</v>
      </c>
      <c r="C44" s="297">
        <f t="shared" si="7"/>
        <v>1</v>
      </c>
      <c r="D44" s="100">
        <f t="shared" si="9"/>
        <v>25810928.600000001</v>
      </c>
      <c r="E44" s="237" t="s">
        <v>161</v>
      </c>
      <c r="F44" s="102">
        <f t="shared" si="10"/>
        <v>168508.00202805389</v>
      </c>
      <c r="G44" s="104">
        <f t="shared" si="13"/>
        <v>38072697.978218496</v>
      </c>
      <c r="H44" s="106">
        <f t="shared" si="11"/>
        <v>20273404</v>
      </c>
      <c r="I44" s="102">
        <f t="shared" si="12"/>
        <v>142300.5770089858</v>
      </c>
      <c r="J44" s="108">
        <f t="shared" si="20"/>
        <v>32151392.36941025</v>
      </c>
      <c r="K44" s="100">
        <f t="shared" si="21"/>
        <v>-5537524.6000000015</v>
      </c>
      <c r="L44" s="100">
        <f t="shared" si="22"/>
        <v>-5921305.6088082455</v>
      </c>
      <c r="M44" s="111">
        <f t="shared" si="23"/>
        <v>-0.21454185883106899</v>
      </c>
      <c r="N44" s="112">
        <f t="shared" si="24"/>
        <v>-0.15552629372879859</v>
      </c>
      <c r="O44" s="301">
        <f t="shared" si="19"/>
        <v>-5.9213056088082459</v>
      </c>
    </row>
    <row r="45" spans="1:22" s="98" customFormat="1" x14ac:dyDescent="0.2">
      <c r="A45" s="220" t="str">
        <f t="shared" si="25"/>
        <v>Gardasil Adults</v>
      </c>
      <c r="B45" s="220" t="str">
        <f t="shared" si="26"/>
        <v>HCC Pharmacy</v>
      </c>
      <c r="C45" s="297">
        <f t="shared" si="7"/>
        <v>1</v>
      </c>
      <c r="D45" s="100">
        <f t="shared" si="9"/>
        <v>2411968</v>
      </c>
      <c r="E45" s="237" t="s">
        <v>161</v>
      </c>
      <c r="F45" s="102">
        <f t="shared" si="10"/>
        <v>18205.929821531288</v>
      </c>
      <c r="G45" s="104">
        <f t="shared" ref="G45" si="27">F45*$F$33</f>
        <v>4113447.783876779</v>
      </c>
      <c r="H45" s="106">
        <f t="shared" si="11"/>
        <v>3200000</v>
      </c>
      <c r="I45" s="102">
        <f t="shared" si="12"/>
        <v>22412.309442908503</v>
      </c>
      <c r="J45" s="108">
        <f t="shared" ref="J45" si="28">I45*$F$33</f>
        <v>5063837.1955307471</v>
      </c>
      <c r="K45" s="100">
        <f t="shared" ref="K45" si="29">H45-D45</f>
        <v>788032</v>
      </c>
      <c r="L45" s="100">
        <f t="shared" ref="L45" si="30">J45-G45</f>
        <v>950389.41165396804</v>
      </c>
      <c r="M45" s="111">
        <f t="shared" ref="M45" si="31">K45/D45</f>
        <v>0.32671743572054024</v>
      </c>
      <c r="N45" s="112">
        <f t="shared" ref="N45" si="32">L45/G45</f>
        <v>0.23104448180408399</v>
      </c>
      <c r="O45" s="301">
        <f t="shared" si="19"/>
        <v>0.95038941165396806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38"/>
      <c r="F46" s="130">
        <f t="shared" ref="F46:I46" si="33">SUM(F36:F45)</f>
        <v>761479.22554221447</v>
      </c>
      <c r="G46" s="131">
        <f t="shared" si="33"/>
        <v>172048616.21900794</v>
      </c>
      <c r="H46" s="131">
        <f t="shared" si="33"/>
        <v>66407662.981979832</v>
      </c>
      <c r="I46" s="130">
        <f t="shared" si="33"/>
        <v>1000540.4294075909</v>
      </c>
      <c r="J46" s="131">
        <f>SUM(J36:J45)</f>
        <v>226062104.62035105</v>
      </c>
      <c r="K46" s="131">
        <f>SUM(K36:K45)</f>
        <v>6431570.8019798324</v>
      </c>
      <c r="L46" s="131">
        <f>SUM(L36:L45)</f>
        <v>54013488.401343152</v>
      </c>
      <c r="M46" s="129">
        <f>K46/D46</f>
        <v>0.10723557618054588</v>
      </c>
      <c r="N46" s="132">
        <f>L46/G46</f>
        <v>0.31394317250763065</v>
      </c>
    </row>
    <row r="47" spans="1:22" x14ac:dyDescent="0.2">
      <c r="D47" s="149"/>
      <c r="E47" s="239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39"/>
      <c r="F48" s="150"/>
      <c r="G48" s="301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39"/>
      <c r="F49" s="150"/>
      <c r="G49" s="324">
        <f>G46/D46</f>
        <v>2.8686199778181005</v>
      </c>
      <c r="H49" s="98"/>
      <c r="I49" s="94"/>
      <c r="J49" s="324">
        <f>J46/D46</f>
        <v>3.769203634373083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40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40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40"/>
      <c r="F52" s="134"/>
    </row>
    <row r="53" spans="4:14" x14ac:dyDescent="0.2">
      <c r="E53" s="241"/>
    </row>
    <row r="54" spans="4:14" x14ac:dyDescent="0.2">
      <c r="E54" s="241"/>
    </row>
    <row r="55" spans="4:14" x14ac:dyDescent="0.2">
      <c r="E55" s="241"/>
    </row>
    <row r="56" spans="4:14" x14ac:dyDescent="0.2">
      <c r="E56" s="241"/>
    </row>
    <row r="57" spans="4:14" x14ac:dyDescent="0.2">
      <c r="E57" s="241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1:U16"/>
  <sheetViews>
    <sheetView showGridLines="0" workbookViewId="0">
      <selection activeCell="K2" sqref="K2:L2"/>
    </sheetView>
  </sheetViews>
  <sheetFormatPr defaultRowHeight="15" x14ac:dyDescent="0.25"/>
  <cols>
    <col min="3" max="3" width="27.140625" customWidth="1"/>
    <col min="4" max="4" width="11.7109375" bestFit="1" customWidth="1"/>
    <col min="5" max="5" width="11.28515625" customWidth="1"/>
    <col min="6" max="6" width="12.7109375" customWidth="1"/>
    <col min="7" max="7" width="0.7109375" style="97" customWidth="1"/>
    <col min="8" max="8" width="13" customWidth="1"/>
    <col min="9" max="9" width="14.5703125" customWidth="1"/>
    <col min="10" max="10" width="0.7109375" style="97" customWidth="1"/>
    <col min="11" max="11" width="13.5703125" style="97" customWidth="1"/>
    <col min="12" max="12" width="14.5703125" style="97" customWidth="1"/>
    <col min="13" max="13" width="0.7109375" style="97" customWidth="1"/>
    <col min="14" max="14" width="13" style="97" customWidth="1"/>
    <col min="15" max="15" width="16.28515625" style="97" customWidth="1"/>
    <col min="16" max="16" width="0.7109375" style="97" customWidth="1"/>
    <col min="17" max="17" width="13" style="97" customWidth="1"/>
    <col min="18" max="18" width="16.28515625" style="97" customWidth="1"/>
    <col min="19" max="19" width="0.7109375" style="97" customWidth="1"/>
    <col min="20" max="20" width="13" style="97" customWidth="1"/>
    <col min="21" max="21" width="16.28515625" style="97" customWidth="1"/>
  </cols>
  <sheetData>
    <row r="1" spans="3:21" x14ac:dyDescent="0.25">
      <c r="E1" s="515" t="s">
        <v>316</v>
      </c>
      <c r="F1" s="515"/>
      <c r="H1" t="s">
        <v>317</v>
      </c>
      <c r="K1" s="97" t="s">
        <v>318</v>
      </c>
    </row>
    <row r="2" spans="3:21" ht="15" customHeight="1" x14ac:dyDescent="0.25">
      <c r="C2" s="406"/>
      <c r="E2" s="441" t="s">
        <v>284</v>
      </c>
      <c r="F2" s="442"/>
      <c r="G2" s="339"/>
      <c r="H2" s="441" t="s">
        <v>290</v>
      </c>
      <c r="I2" s="442"/>
      <c r="J2" s="339"/>
      <c r="K2" s="441" t="s">
        <v>291</v>
      </c>
      <c r="L2" s="442"/>
      <c r="M2" s="339"/>
      <c r="N2" s="441" t="s">
        <v>292</v>
      </c>
      <c r="O2" s="442"/>
      <c r="P2" s="339"/>
      <c r="Q2" s="441" t="s">
        <v>293</v>
      </c>
      <c r="R2" s="442"/>
      <c r="S2" s="339"/>
      <c r="T2" s="441" t="s">
        <v>295</v>
      </c>
      <c r="U2" s="442"/>
    </row>
    <row r="3" spans="3:21" ht="28.5" x14ac:dyDescent="0.25">
      <c r="C3" s="407" t="s">
        <v>288</v>
      </c>
      <c r="D3" s="407" t="s">
        <v>200</v>
      </c>
      <c r="E3" s="408" t="s">
        <v>289</v>
      </c>
      <c r="F3" s="408" t="s">
        <v>283</v>
      </c>
      <c r="G3" s="342"/>
      <c r="H3" s="408" t="s">
        <v>289</v>
      </c>
      <c r="I3" s="408" t="s">
        <v>283</v>
      </c>
      <c r="J3" s="342"/>
      <c r="K3" s="408" t="s">
        <v>289</v>
      </c>
      <c r="L3" s="408" t="s">
        <v>283</v>
      </c>
      <c r="M3" s="342"/>
      <c r="N3" s="408" t="s">
        <v>289</v>
      </c>
      <c r="O3" s="408" t="s">
        <v>283</v>
      </c>
      <c r="P3" s="342"/>
      <c r="Q3" s="408" t="s">
        <v>289</v>
      </c>
      <c r="R3" s="408" t="s">
        <v>283</v>
      </c>
      <c r="S3" s="342"/>
      <c r="T3" s="408" t="s">
        <v>289</v>
      </c>
      <c r="U3" s="408" t="s">
        <v>283</v>
      </c>
    </row>
    <row r="4" spans="3:21" x14ac:dyDescent="0.25">
      <c r="C4" s="344" t="str">
        <f>VAC_Optim_Scenario!B17</f>
        <v>HCC InOffice</v>
      </c>
      <c r="D4" s="345">
        <f>'Scenario deep dive'!C23</f>
        <v>1.1347100000000001</v>
      </c>
      <c r="E4" s="345">
        <v>0.9</v>
      </c>
      <c r="F4" s="345">
        <v>1.1000000000000001</v>
      </c>
      <c r="G4" s="346"/>
      <c r="H4" s="347">
        <v>0.9</v>
      </c>
      <c r="I4" s="347">
        <v>1.1000000000000001</v>
      </c>
      <c r="J4" s="346"/>
      <c r="K4" s="347">
        <f>VAC_Optim_Scenario!G17/1000000</f>
        <v>0.9</v>
      </c>
      <c r="L4" s="347">
        <f>VAC_Optim_Scenario!H17/1000000</f>
        <v>6.5</v>
      </c>
      <c r="M4" s="346"/>
      <c r="N4" s="347">
        <v>0.9</v>
      </c>
      <c r="O4" s="347">
        <v>6.5</v>
      </c>
      <c r="P4" s="346"/>
      <c r="Q4" s="347">
        <v>0.9</v>
      </c>
      <c r="R4" s="347">
        <v>11.7</v>
      </c>
      <c r="S4" s="346"/>
      <c r="T4" s="347">
        <v>0.9</v>
      </c>
      <c r="U4" s="347">
        <v>11.7</v>
      </c>
    </row>
    <row r="5" spans="3:21" x14ac:dyDescent="0.25">
      <c r="C5" s="348" t="str">
        <f>VAC_Optim_Scenario!B18</f>
        <v>HCP MCM</v>
      </c>
      <c r="D5" s="345">
        <f>'Scenario deep dive'!C24</f>
        <v>10.503728719999998</v>
      </c>
      <c r="E5" s="345">
        <v>10.5</v>
      </c>
      <c r="F5" s="345">
        <v>16.664999999999999</v>
      </c>
      <c r="G5" s="349"/>
      <c r="H5" s="347">
        <v>10.5</v>
      </c>
      <c r="I5" s="347">
        <v>16.664999999999999</v>
      </c>
      <c r="J5" s="349"/>
      <c r="K5" s="347">
        <f>VAC_Optim_Scenario!G18/1000000</f>
        <v>10.5</v>
      </c>
      <c r="L5" s="347">
        <f>VAC_Optim_Scenario!H18/1000000</f>
        <v>21</v>
      </c>
      <c r="M5" s="349"/>
      <c r="N5" s="347">
        <v>10.5</v>
      </c>
      <c r="O5" s="347">
        <v>21</v>
      </c>
      <c r="P5" s="349"/>
      <c r="Q5" s="347">
        <v>10.5</v>
      </c>
      <c r="R5" s="347">
        <v>28</v>
      </c>
      <c r="S5" s="349"/>
      <c r="T5" s="347">
        <v>10.5</v>
      </c>
      <c r="U5" s="347">
        <v>28</v>
      </c>
    </row>
    <row r="6" spans="3:21" x14ac:dyDescent="0.25">
      <c r="C6" s="348" t="str">
        <f>VAC_Optim_Scenario!B19</f>
        <v>HCC Social</v>
      </c>
      <c r="D6" s="345">
        <f>'Scenario deep dive'!C25</f>
        <v>1.7509999999999999</v>
      </c>
      <c r="E6" s="345">
        <v>1.8</v>
      </c>
      <c r="F6" s="345">
        <v>2.2000000000000002</v>
      </c>
      <c r="G6" s="349"/>
      <c r="H6" s="347">
        <v>1.8</v>
      </c>
      <c r="I6" s="347">
        <v>2.2000000000000002</v>
      </c>
      <c r="J6" s="349"/>
      <c r="K6" s="347">
        <f>VAC_Optim_Scenario!G19/1000000</f>
        <v>1.8</v>
      </c>
      <c r="L6" s="347">
        <f>VAC_Optim_Scenario!H19/1000000</f>
        <v>7</v>
      </c>
      <c r="M6" s="349"/>
      <c r="N6" s="347">
        <v>1.8</v>
      </c>
      <c r="O6" s="347">
        <v>7</v>
      </c>
      <c r="P6" s="349"/>
      <c r="Q6" s="347">
        <v>1.8</v>
      </c>
      <c r="R6" s="347">
        <v>13.5</v>
      </c>
      <c r="S6" s="349"/>
      <c r="T6" s="347">
        <v>1.8</v>
      </c>
      <c r="U6" s="347">
        <v>13.5</v>
      </c>
    </row>
    <row r="7" spans="3:21" x14ac:dyDescent="0.25">
      <c r="C7" s="348" t="str">
        <f>VAC_Optim_Scenario!B20</f>
        <v>HCC Online Video</v>
      </c>
      <c r="D7" s="345">
        <f>'Scenario deep dive'!C26</f>
        <v>1.1117790400000001</v>
      </c>
      <c r="E7" s="345">
        <v>1.1000000000000001</v>
      </c>
      <c r="F7" s="345">
        <v>1.5</v>
      </c>
      <c r="G7" s="349"/>
      <c r="H7" s="347">
        <v>1.1000000000000001</v>
      </c>
      <c r="I7" s="347">
        <v>1.5</v>
      </c>
      <c r="J7" s="349"/>
      <c r="K7" s="347">
        <f>VAC_Optim_Scenario!G20/1000000</f>
        <v>1.1000000000000001</v>
      </c>
      <c r="L7" s="347">
        <f>VAC_Optim_Scenario!H20/1000000</f>
        <v>3.5</v>
      </c>
      <c r="M7" s="349"/>
      <c r="N7" s="347">
        <v>1.1000000000000001</v>
      </c>
      <c r="O7" s="347">
        <v>3.5</v>
      </c>
      <c r="P7" s="349"/>
      <c r="Q7" s="347">
        <v>1.1000000000000001</v>
      </c>
      <c r="R7" s="347">
        <v>6</v>
      </c>
      <c r="S7" s="349"/>
      <c r="T7" s="347">
        <v>1.1000000000000001</v>
      </c>
      <c r="U7" s="347">
        <v>6</v>
      </c>
    </row>
    <row r="8" spans="3:21" x14ac:dyDescent="0.25">
      <c r="C8" s="348" t="str">
        <f>VAC_Optim_Scenario!B21</f>
        <v>HCC Streaming Video</v>
      </c>
      <c r="D8" s="345">
        <f>'Scenario deep dive'!C27</f>
        <v>13.418576</v>
      </c>
      <c r="E8" s="345">
        <v>8.3069009999999999</v>
      </c>
      <c r="F8" s="345">
        <v>13.21845216</v>
      </c>
      <c r="G8" s="349"/>
      <c r="H8" s="347">
        <v>8.3069009999999999</v>
      </c>
      <c r="I8" s="347">
        <v>13.21845216</v>
      </c>
      <c r="J8" s="349"/>
      <c r="K8" s="347">
        <f>VAC_Optim_Scenario!G21/1000000</f>
        <v>8.3069009999999999</v>
      </c>
      <c r="L8" s="347">
        <f>VAC_Optim_Scenario!H21/1000000</f>
        <v>27.304857999999999</v>
      </c>
      <c r="M8" s="349"/>
      <c r="N8" s="347">
        <v>8.3069009999999999</v>
      </c>
      <c r="O8" s="347">
        <v>27.304857999999999</v>
      </c>
      <c r="P8" s="349"/>
      <c r="Q8" s="347">
        <v>8.3069009999999999</v>
      </c>
      <c r="R8" s="347">
        <v>41.359920000000002</v>
      </c>
      <c r="S8" s="349"/>
      <c r="T8" s="347">
        <v>8.3069009999999999</v>
      </c>
      <c r="U8" s="347">
        <v>41.359920000000002</v>
      </c>
    </row>
    <row r="9" spans="3:21" x14ac:dyDescent="0.25">
      <c r="C9" s="348" t="str">
        <f>VAC_Optim_Scenario!B22</f>
        <v>HCC Display</v>
      </c>
      <c r="D9" s="345">
        <f>'Scenario deep dive'!C28</f>
        <v>2.8594268199999999</v>
      </c>
      <c r="E9" s="345">
        <v>2.9</v>
      </c>
      <c r="F9" s="345">
        <v>4</v>
      </c>
      <c r="G9" s="349"/>
      <c r="H9" s="347">
        <v>2.9</v>
      </c>
      <c r="I9" s="347">
        <v>4</v>
      </c>
      <c r="J9" s="349"/>
      <c r="K9" s="347">
        <f>VAC_Optim_Scenario!G22/1000000</f>
        <v>2.9</v>
      </c>
      <c r="L9" s="347">
        <f>VAC_Optim_Scenario!H22/1000000</f>
        <v>5</v>
      </c>
      <c r="M9" s="349"/>
      <c r="N9" s="347">
        <v>2.9</v>
      </c>
      <c r="O9" s="347">
        <v>5</v>
      </c>
      <c r="P9" s="349"/>
      <c r="Q9" s="347">
        <v>2.9</v>
      </c>
      <c r="R9" s="347">
        <v>10</v>
      </c>
      <c r="S9" s="349"/>
      <c r="T9" s="347">
        <v>2.9</v>
      </c>
      <c r="U9" s="347">
        <v>10</v>
      </c>
    </row>
    <row r="10" spans="3:21" x14ac:dyDescent="0.25">
      <c r="C10" s="348" t="str">
        <f>VAC_Optim_Scenario!B23</f>
        <v>HCC Paid Search</v>
      </c>
      <c r="D10" s="345">
        <f>'Scenario deep dive'!C29</f>
        <v>0.05</v>
      </c>
      <c r="E10" s="345">
        <v>0.1</v>
      </c>
      <c r="F10" s="345">
        <v>0.15</v>
      </c>
      <c r="G10" s="349"/>
      <c r="H10" s="347">
        <v>0.1</v>
      </c>
      <c r="I10" s="347">
        <v>0.15</v>
      </c>
      <c r="J10" s="349"/>
      <c r="K10" s="347">
        <f>VAC_Optim_Scenario!G23/1000000</f>
        <v>0.1</v>
      </c>
      <c r="L10" s="347">
        <f>VAC_Optim_Scenario!H23/1000000</f>
        <v>0.2</v>
      </c>
      <c r="M10" s="349"/>
      <c r="N10" s="347">
        <v>0.1</v>
      </c>
      <c r="O10" s="347">
        <v>0.2</v>
      </c>
      <c r="P10" s="349"/>
      <c r="Q10" s="347">
        <v>0.1</v>
      </c>
      <c r="R10" s="347">
        <v>0.24</v>
      </c>
      <c r="S10" s="349"/>
      <c r="T10" s="347">
        <v>0.1</v>
      </c>
      <c r="U10" s="347">
        <v>0.24</v>
      </c>
    </row>
    <row r="11" spans="3:21" x14ac:dyDescent="0.25">
      <c r="C11" s="348" t="str">
        <f>VAC_Optim_Scenario!B24</f>
        <v>HCC Radio</v>
      </c>
      <c r="D11" s="345">
        <f>'Scenario deep dive'!C30</f>
        <v>0.92397499999999999</v>
      </c>
      <c r="E11" s="345">
        <v>0.5</v>
      </c>
      <c r="F11" s="345">
        <v>1.5</v>
      </c>
      <c r="G11" s="349"/>
      <c r="H11" s="347">
        <v>0.5</v>
      </c>
      <c r="I11" s="347">
        <v>1.5</v>
      </c>
      <c r="J11" s="349"/>
      <c r="K11" s="347">
        <f>VAC_Optim_Scenario!G24/1000000</f>
        <v>0.5</v>
      </c>
      <c r="L11" s="347">
        <f>VAC_Optim_Scenario!H24/1000000</f>
        <v>2.2000000000000002</v>
      </c>
      <c r="M11" s="349"/>
      <c r="N11" s="347">
        <v>0.5</v>
      </c>
      <c r="O11" s="347">
        <v>2.2000000000000002</v>
      </c>
      <c r="P11" s="349"/>
      <c r="Q11" s="347">
        <v>0.5</v>
      </c>
      <c r="R11" s="347">
        <v>4.8</v>
      </c>
      <c r="S11" s="349"/>
      <c r="T11" s="347">
        <v>0.5</v>
      </c>
      <c r="U11" s="347">
        <v>4.8</v>
      </c>
    </row>
    <row r="12" spans="3:21" x14ac:dyDescent="0.25">
      <c r="C12" s="348" t="str">
        <f>VAC_Optim_Scenario!B25</f>
        <v>HCC Linear TV</v>
      </c>
      <c r="D12" s="345">
        <f>'Scenario deep dive'!C31</f>
        <v>25.8109286</v>
      </c>
      <c r="E12" s="345">
        <v>20.273403999999999</v>
      </c>
      <c r="F12" s="345">
        <v>28.089210840000003</v>
      </c>
      <c r="G12" s="349"/>
      <c r="H12" s="347">
        <v>20.273403999999999</v>
      </c>
      <c r="I12" s="347">
        <v>28.089210840000003</v>
      </c>
      <c r="J12" s="349"/>
      <c r="K12" s="347">
        <f>VAC_Optim_Scenario!G25/1000000</f>
        <v>20.273403999999999</v>
      </c>
      <c r="L12" s="347">
        <f>VAC_Optim_Scenario!H25/1000000</f>
        <v>53.783541999999997</v>
      </c>
      <c r="M12" s="349"/>
      <c r="N12" s="347">
        <v>20.273403999999999</v>
      </c>
      <c r="O12" s="347">
        <v>53.783541999999997</v>
      </c>
      <c r="P12" s="349"/>
      <c r="Q12" s="347">
        <v>20.273403999999999</v>
      </c>
      <c r="R12" s="347">
        <v>81.623530000000002</v>
      </c>
      <c r="S12" s="349"/>
      <c r="T12" s="347">
        <v>20.273403999999999</v>
      </c>
      <c r="U12" s="347">
        <v>81.623530000000002</v>
      </c>
    </row>
    <row r="13" spans="3:21" x14ac:dyDescent="0.25">
      <c r="C13" s="348" t="str">
        <f>VAC_Optim_Scenario!B26</f>
        <v>HCC Pharmacy</v>
      </c>
      <c r="D13" s="345">
        <f>'Scenario deep dive'!C32</f>
        <v>2.4119679999999999</v>
      </c>
      <c r="E13" s="345">
        <v>3.2</v>
      </c>
      <c r="F13" s="345">
        <v>3.2</v>
      </c>
      <c r="G13" s="349"/>
      <c r="H13" s="347">
        <v>3.2</v>
      </c>
      <c r="I13" s="347">
        <v>3.2</v>
      </c>
      <c r="J13" s="349"/>
      <c r="K13" s="347">
        <f>VAC_Optim_Scenario!G26/1000000</f>
        <v>3.2</v>
      </c>
      <c r="L13" s="347">
        <f>VAC_Optim_Scenario!H26/1000000</f>
        <v>3.2</v>
      </c>
      <c r="M13" s="349"/>
      <c r="N13" s="347">
        <v>3.2</v>
      </c>
      <c r="O13" s="347">
        <v>3.2</v>
      </c>
      <c r="P13" s="349"/>
      <c r="Q13" s="347">
        <v>3.2</v>
      </c>
      <c r="R13" s="347">
        <v>3.2</v>
      </c>
      <c r="S13" s="349"/>
      <c r="T13" s="347">
        <v>3.2</v>
      </c>
      <c r="U13" s="347">
        <v>3.2</v>
      </c>
    </row>
    <row r="14" spans="3:21" x14ac:dyDescent="0.25">
      <c r="C14" s="350" t="s">
        <v>287</v>
      </c>
      <c r="D14" s="351">
        <f>'Scenario deep dive'!C33</f>
        <v>59.976092180000002</v>
      </c>
      <c r="E14" s="379">
        <v>49.580305000000003</v>
      </c>
      <c r="F14" s="379">
        <v>71.622663000000003</v>
      </c>
      <c r="G14" s="349"/>
      <c r="H14" s="352">
        <v>49.580305000000003</v>
      </c>
      <c r="I14" s="352">
        <v>71.622663000000003</v>
      </c>
      <c r="J14" s="349"/>
      <c r="K14" s="352">
        <f>VAC_Optim_Scenario!G27/1000000</f>
        <v>49.580305000000003</v>
      </c>
      <c r="L14" s="352">
        <f>VAC_Optim_Scenario!H27/1000000</f>
        <v>129.6884</v>
      </c>
      <c r="M14" s="349"/>
      <c r="N14" s="352">
        <v>49.580305000000003</v>
      </c>
      <c r="O14" s="352">
        <v>129.6884</v>
      </c>
      <c r="P14" s="349"/>
      <c r="Q14" s="352">
        <v>49.580305000000003</v>
      </c>
      <c r="R14" s="352">
        <v>200.42345</v>
      </c>
      <c r="S14" s="349"/>
      <c r="T14" s="352">
        <v>49.580305000000003</v>
      </c>
      <c r="U14" s="352">
        <v>200.42345</v>
      </c>
    </row>
    <row r="15" spans="3:21" x14ac:dyDescent="0.25">
      <c r="G15"/>
    </row>
    <row r="16" spans="3:21" x14ac:dyDescent="0.25">
      <c r="G16"/>
    </row>
  </sheetData>
  <mergeCells count="7">
    <mergeCell ref="E1:F1"/>
    <mergeCell ref="Q2:R2"/>
    <mergeCell ref="T2:U2"/>
    <mergeCell ref="E2:F2"/>
    <mergeCell ref="H2:I2"/>
    <mergeCell ref="K2:L2"/>
    <mergeCell ref="N2:O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9" t="s">
        <v>106</v>
      </c>
      <c r="C4" s="469"/>
      <c r="D4" s="469"/>
      <c r="E4" s="469"/>
      <c r="F4" s="47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1" t="s">
        <v>8</v>
      </c>
      <c r="B7" s="474" t="s">
        <v>9</v>
      </c>
      <c r="C7" s="475"/>
      <c r="D7" s="476" t="s">
        <v>12</v>
      </c>
      <c r="E7" s="477"/>
      <c r="F7" s="478"/>
      <c r="G7" s="474" t="s">
        <v>124</v>
      </c>
      <c r="H7" s="474"/>
      <c r="I7" s="479"/>
      <c r="J7" s="98" t="s">
        <v>125</v>
      </c>
    </row>
    <row r="8" spans="1:18" ht="28.35" customHeight="1" x14ac:dyDescent="0.2">
      <c r="A8" s="47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3"/>
      <c r="B9" s="95">
        <f>VAC_Optim_Scenario!G17</f>
        <v>900000</v>
      </c>
      <c r="C9" s="95">
        <f>VAC_Optim_Scenario!H17</f>
        <v>6500000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71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8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3"/>
      <c r="B12" s="293">
        <f>'[1]HCC Inoffice Curve'!$B$12</f>
        <v>1100000</v>
      </c>
      <c r="C12" s="293">
        <f>'[1]HCC Inoffice Curve'!$C$12</f>
        <v>7211.735697901333</v>
      </c>
      <c r="D12" s="293">
        <f>'[1]HCC Inoffice Curve'!$D$12</f>
        <v>0</v>
      </c>
      <c r="E12" s="293">
        <f>'[1]HCC Inoffice Curve'!$E$12</f>
        <v>14423.471395802664</v>
      </c>
      <c r="F12" s="293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4">
        <f>VAC_Optim_Scenario!D17</f>
        <v>1</v>
      </c>
      <c r="K12" s="481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82" t="s">
        <v>169</v>
      </c>
      <c r="B13" s="483"/>
      <c r="C13" s="483"/>
      <c r="D13" s="483"/>
      <c r="E13" s="483"/>
      <c r="F13" s="484"/>
      <c r="G13" s="119" t="s">
        <v>150</v>
      </c>
      <c r="H13" s="119" t="s">
        <v>151</v>
      </c>
      <c r="K13" s="482" t="s">
        <v>115</v>
      </c>
      <c r="L13" s="483"/>
      <c r="M13" s="483"/>
      <c r="N13" s="483"/>
      <c r="O13" s="483"/>
      <c r="P13" s="483"/>
      <c r="Q13" s="483"/>
      <c r="R13" s="484"/>
    </row>
    <row r="14" spans="1:18" ht="33.6" customHeight="1" thickBot="1" x14ac:dyDescent="0.25">
      <c r="A14" s="485"/>
      <c r="B14" s="486"/>
      <c r="C14" s="486"/>
      <c r="D14" s="486"/>
      <c r="E14" s="486"/>
      <c r="F14" s="487"/>
      <c r="G14" s="95">
        <f>VAC_Optim_Scenario!$I$33</f>
        <v>225.94</v>
      </c>
      <c r="H14" s="95">
        <f>VAC_Optim_Scenario!$F$33</f>
        <v>225.94</v>
      </c>
      <c r="K14" s="485"/>
      <c r="L14" s="486"/>
      <c r="M14" s="486"/>
      <c r="N14" s="486"/>
      <c r="O14" s="486"/>
      <c r="P14" s="486"/>
      <c r="Q14" s="486"/>
      <c r="R14" s="487"/>
    </row>
    <row r="16" spans="1:18" ht="13.5" thickBot="1" x14ac:dyDescent="0.25"/>
    <row r="17" spans="1:8" ht="42.6" customHeight="1" x14ac:dyDescent="0.2">
      <c r="A17" s="48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81"/>
      <c r="B18" s="75">
        <v>0</v>
      </c>
      <c r="C18" s="76">
        <v>4000000</v>
      </c>
      <c r="D18" s="26">
        <v>20</v>
      </c>
    </row>
    <row r="20" spans="1:8" x14ac:dyDescent="0.2">
      <c r="A20" s="468" t="s">
        <v>37</v>
      </c>
      <c r="B20" s="468"/>
      <c r="C20" s="468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7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9" t="s">
        <v>106</v>
      </c>
      <c r="C4" s="469"/>
      <c r="D4" s="469"/>
      <c r="E4" s="469"/>
      <c r="F4" s="470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1" t="s">
        <v>8</v>
      </c>
      <c r="B7" s="474" t="s">
        <v>9</v>
      </c>
      <c r="C7" s="475"/>
      <c r="D7" s="476" t="s">
        <v>12</v>
      </c>
      <c r="E7" s="477"/>
      <c r="F7" s="478"/>
      <c r="G7" s="474" t="s">
        <v>124</v>
      </c>
      <c r="H7" s="474"/>
      <c r="I7" s="479"/>
      <c r="J7" s="98" t="s">
        <v>125</v>
      </c>
    </row>
    <row r="8" spans="1:18" ht="28.35" customHeight="1" x14ac:dyDescent="0.2">
      <c r="A8" s="47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3"/>
      <c r="B9" s="95">
        <f>VAC_Optim_Scenario!G18</f>
        <v>10500000</v>
      </c>
      <c r="C9" s="95">
        <f>VAC_Optim_Scenario!H18</f>
        <v>21000000</v>
      </c>
      <c r="D9" s="68">
        <f>VAC_Optim_Scenario!I18</f>
        <v>21000000</v>
      </c>
      <c r="E9" s="84">
        <f>((($R$12/(1+EXP($P$12+$Q$12*D9)))-1) - ($F$12-$C$12))*$I$12</f>
        <v>467933.02080957498</v>
      </c>
      <c r="F9" s="89">
        <f>E9*$G$12</f>
        <v>467933.02080957498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71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8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3"/>
      <c r="B12" s="293">
        <f>'[2]HCP MCM SCurve'!$B$12</f>
        <v>10503728.719999999</v>
      </c>
      <c r="C12" s="293">
        <f>'[2]HCP MCM SCurve'!$C$12</f>
        <v>288339.09761974245</v>
      </c>
      <c r="D12" s="293">
        <f>'[2]HCP MCM SCurve'!$D$12</f>
        <v>0</v>
      </c>
      <c r="E12" s="293">
        <f>'[2]HCP MCM SCurve'!$E$12</f>
        <v>720847.7440493562</v>
      </c>
      <c r="F12" s="293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4">
        <f>VAC_Optim_Scenario!D18</f>
        <v>1</v>
      </c>
      <c r="K12" s="481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82" t="s">
        <v>174</v>
      </c>
      <c r="B13" s="483"/>
      <c r="C13" s="483"/>
      <c r="D13" s="483"/>
      <c r="E13" s="483"/>
      <c r="F13" s="484"/>
      <c r="G13" s="119" t="s">
        <v>150</v>
      </c>
      <c r="H13" s="119" t="s">
        <v>151</v>
      </c>
      <c r="K13" s="482" t="s">
        <v>115</v>
      </c>
      <c r="L13" s="483"/>
      <c r="M13" s="483"/>
      <c r="N13" s="483"/>
      <c r="O13" s="483"/>
      <c r="P13" s="483"/>
      <c r="Q13" s="483"/>
      <c r="R13" s="484"/>
    </row>
    <row r="14" spans="1:18" ht="33.6" customHeight="1" thickBot="1" x14ac:dyDescent="0.25">
      <c r="A14" s="485"/>
      <c r="B14" s="486"/>
      <c r="C14" s="486"/>
      <c r="D14" s="486"/>
      <c r="E14" s="486"/>
      <c r="F14" s="487"/>
      <c r="G14" s="95">
        <f>VAC_Optim_Scenario!$I$33</f>
        <v>225.94</v>
      </c>
      <c r="H14" s="95">
        <f>VAC_Optim_Scenario!$F$33</f>
        <v>225.94</v>
      </c>
      <c r="K14" s="485"/>
      <c r="L14" s="486"/>
      <c r="M14" s="486"/>
      <c r="N14" s="486"/>
      <c r="O14" s="486"/>
      <c r="P14" s="486"/>
      <c r="Q14" s="486"/>
      <c r="R14" s="487"/>
    </row>
    <row r="16" spans="1:18" ht="13.5" thickBot="1" x14ac:dyDescent="0.25"/>
    <row r="17" spans="1:8" ht="42.6" customHeight="1" x14ac:dyDescent="0.2">
      <c r="A17" s="48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81"/>
      <c r="B18" s="75">
        <v>0</v>
      </c>
      <c r="C18" s="76">
        <v>12500000</v>
      </c>
      <c r="D18" s="26">
        <v>20</v>
      </c>
    </row>
    <row r="20" spans="1:8" x14ac:dyDescent="0.2">
      <c r="A20" s="468" t="s">
        <v>37</v>
      </c>
      <c r="B20" s="468"/>
      <c r="C20" s="468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8"/>
      <c r="C4" s="489"/>
      <c r="D4" s="489"/>
      <c r="E4" s="489"/>
      <c r="F4" s="4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1" t="s">
        <v>8</v>
      </c>
      <c r="B7" s="474" t="s">
        <v>9</v>
      </c>
      <c r="C7" s="474"/>
      <c r="D7" s="474" t="s">
        <v>12</v>
      </c>
      <c r="E7" s="474"/>
      <c r="F7" s="474"/>
      <c r="G7" s="474" t="s">
        <v>124</v>
      </c>
      <c r="H7" s="474"/>
      <c r="I7" s="479"/>
    </row>
    <row r="8" spans="1:9" x14ac:dyDescent="0.25">
      <c r="A8" s="472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3"/>
      <c r="B9" s="311">
        <f>VAC_Optim_Scenario!G19</f>
        <v>1800000</v>
      </c>
      <c r="C9" s="311">
        <f>VAC_Optim_Scenario!H19</f>
        <v>7000000</v>
      </c>
      <c r="D9" s="312">
        <f>VAC_Optim_Scenario!I19</f>
        <v>3049857.2699284316</v>
      </c>
      <c r="E9" s="84">
        <f>((GSOCIAL!D9/$B$12)^$D$12)*$C$12*$F$12</f>
        <v>33231.132088102815</v>
      </c>
      <c r="F9" s="84">
        <f>E9*F11</f>
        <v>33231.132088102815</v>
      </c>
      <c r="G9" s="76">
        <f>VAC_Optim_Scenario!E19</f>
        <v>1751000</v>
      </c>
      <c r="H9" s="313">
        <f>((GSOCIAL!G9/$B$12)^$D$12)*$C$12*$F$12</f>
        <v>23820.403572058858</v>
      </c>
      <c r="I9" s="314">
        <f>H9*F11</f>
        <v>23820.403572058858</v>
      </c>
    </row>
    <row r="10" spans="1:9" ht="15.75" thickBot="1" x14ac:dyDescent="0.3"/>
    <row r="11" spans="1:9" ht="48.95" customHeight="1" x14ac:dyDescent="0.25">
      <c r="A11" s="468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8"/>
      <c r="B12" s="316">
        <f>'[3]HCC Social - Power'!$B$12</f>
        <v>1751000</v>
      </c>
      <c r="C12" s="316">
        <f>'[3]HCC Social - Power'!$C$12</f>
        <v>23820.403572058858</v>
      </c>
      <c r="D12" s="321">
        <f>'[3]HCC Social - Power'!$D$12</f>
        <v>0.6</v>
      </c>
      <c r="E12" s="308" t="s">
        <v>122</v>
      </c>
      <c r="F12" s="317">
        <f>VAC_Optim_Scenario!D19</f>
        <v>1</v>
      </c>
      <c r="G12" s="318">
        <f>B12*2</f>
        <v>3502000</v>
      </c>
    </row>
    <row r="13" spans="1:9" ht="18.75" customHeight="1" x14ac:dyDescent="0.25">
      <c r="A13" s="482" t="s">
        <v>245</v>
      </c>
      <c r="B13" s="483"/>
      <c r="C13" s="483"/>
      <c r="D13" s="483"/>
      <c r="E13" s="308" t="s">
        <v>246</v>
      </c>
      <c r="F13" s="308" t="s">
        <v>247</v>
      </c>
    </row>
    <row r="14" spans="1:9" ht="15.75" thickBot="1" x14ac:dyDescent="0.3">
      <c r="A14" s="485"/>
      <c r="B14" s="486"/>
      <c r="C14" s="486"/>
      <c r="D14" s="48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80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8" t="s">
        <v>37</v>
      </c>
      <c r="B19" s="468"/>
      <c r="C19" s="468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250000</v>
      </c>
      <c r="B22" s="313">
        <f t="shared" ref="B22:B41" si="0">((A22/$B$12)^$D$12)*$C$12</f>
        <v>7408.6901640745618</v>
      </c>
      <c r="C22" s="320">
        <f t="shared" ref="C22:C41" si="1">B22*$F$14</f>
        <v>1673919.4556710066</v>
      </c>
    </row>
    <row r="23" spans="1:4" x14ac:dyDescent="0.25">
      <c r="A23" s="319">
        <f t="shared" ref="A23:A41" si="2">A22+(($C$17-$B$17)/$D$17)</f>
        <v>500000</v>
      </c>
      <c r="B23" s="313">
        <f t="shared" si="0"/>
        <v>11229.474417830452</v>
      </c>
      <c r="C23" s="320">
        <f t="shared" si="1"/>
        <v>2537187.4499646123</v>
      </c>
    </row>
    <row r="24" spans="1:4" x14ac:dyDescent="0.25">
      <c r="A24" s="319">
        <f t="shared" si="2"/>
        <v>750000</v>
      </c>
      <c r="B24" s="313">
        <f t="shared" si="0"/>
        <v>14322.346801651498</v>
      </c>
      <c r="C24" s="320">
        <f t="shared" si="1"/>
        <v>3235991.0363651393</v>
      </c>
    </row>
    <row r="25" spans="1:4" x14ac:dyDescent="0.25">
      <c r="A25" s="319">
        <f t="shared" si="2"/>
        <v>1000000</v>
      </c>
      <c r="B25" s="313">
        <f t="shared" si="0"/>
        <v>17020.700408310324</v>
      </c>
      <c r="C25" s="320">
        <f t="shared" si="1"/>
        <v>3845657.0502536343</v>
      </c>
    </row>
    <row r="26" spans="1:4" x14ac:dyDescent="0.25">
      <c r="A26" s="319">
        <f t="shared" si="2"/>
        <v>1250000</v>
      </c>
      <c r="B26" s="313">
        <f t="shared" si="0"/>
        <v>19459.130710154546</v>
      </c>
      <c r="C26" s="320">
        <f t="shared" si="1"/>
        <v>4396595.9926523184</v>
      </c>
    </row>
    <row r="27" spans="1:4" x14ac:dyDescent="0.25">
      <c r="A27" s="319">
        <f t="shared" si="2"/>
        <v>1500000</v>
      </c>
      <c r="B27" s="313">
        <f t="shared" si="0"/>
        <v>21708.618318570392</v>
      </c>
      <c r="C27" s="320">
        <f t="shared" si="1"/>
        <v>4904845.2228977941</v>
      </c>
    </row>
    <row r="28" spans="1:4" x14ac:dyDescent="0.25">
      <c r="A28" s="319">
        <f t="shared" si="2"/>
        <v>1750000</v>
      </c>
      <c r="B28" s="313">
        <f t="shared" si="0"/>
        <v>23812.240308184086</v>
      </c>
      <c r="C28" s="320">
        <f t="shared" si="1"/>
        <v>5380137.5752311125</v>
      </c>
    </row>
    <row r="29" spans="1:4" x14ac:dyDescent="0.25">
      <c r="A29" s="319">
        <f t="shared" si="2"/>
        <v>2000000</v>
      </c>
      <c r="B29" s="313">
        <f t="shared" si="0"/>
        <v>25798.557582486257</v>
      </c>
      <c r="C29" s="320">
        <f t="shared" si="1"/>
        <v>5828926.1001869449</v>
      </c>
    </row>
    <row r="30" spans="1:4" x14ac:dyDescent="0.25">
      <c r="A30" s="319">
        <f t="shared" si="2"/>
        <v>2250000</v>
      </c>
      <c r="B30" s="313">
        <f t="shared" si="0"/>
        <v>27687.703678238533</v>
      </c>
      <c r="C30" s="320">
        <f t="shared" si="1"/>
        <v>6255759.7690612143</v>
      </c>
    </row>
    <row r="31" spans="1:4" x14ac:dyDescent="0.25">
      <c r="A31" s="319">
        <f t="shared" si="2"/>
        <v>2500000</v>
      </c>
      <c r="B31" s="313">
        <f t="shared" si="0"/>
        <v>29494.526787272491</v>
      </c>
      <c r="C31" s="320">
        <f t="shared" si="1"/>
        <v>6663993.3823163463</v>
      </c>
    </row>
    <row r="32" spans="1:4" x14ac:dyDescent="0.25">
      <c r="A32" s="319">
        <f t="shared" si="2"/>
        <v>2750000</v>
      </c>
      <c r="B32" s="313">
        <f t="shared" si="0"/>
        <v>31230.363834281474</v>
      </c>
      <c r="C32" s="320">
        <f t="shared" si="1"/>
        <v>7056188.4047175562</v>
      </c>
    </row>
    <row r="33" spans="1:3" x14ac:dyDescent="0.25">
      <c r="A33" s="319">
        <f t="shared" si="2"/>
        <v>3000000</v>
      </c>
      <c r="B33" s="313">
        <f t="shared" si="0"/>
        <v>32904.112421508238</v>
      </c>
      <c r="C33" s="320">
        <f t="shared" si="1"/>
        <v>7434355.160515571</v>
      </c>
    </row>
    <row r="34" spans="1:3" x14ac:dyDescent="0.25">
      <c r="A34" s="319">
        <f t="shared" si="2"/>
        <v>3250000</v>
      </c>
      <c r="B34" s="313">
        <f t="shared" si="0"/>
        <v>34522.913816809414</v>
      </c>
      <c r="C34" s="320">
        <f t="shared" si="1"/>
        <v>7800107.1477699187</v>
      </c>
    </row>
    <row r="35" spans="1:3" x14ac:dyDescent="0.25">
      <c r="A35" s="319">
        <f t="shared" si="2"/>
        <v>3500000</v>
      </c>
      <c r="B35" s="313">
        <f t="shared" si="0"/>
        <v>36092.607120841283</v>
      </c>
      <c r="C35" s="320">
        <f t="shared" si="1"/>
        <v>8154763.6528828796</v>
      </c>
    </row>
    <row r="36" spans="1:3" x14ac:dyDescent="0.25">
      <c r="A36" s="319">
        <f t="shared" si="2"/>
        <v>3750000</v>
      </c>
      <c r="B36" s="313">
        <f t="shared" si="0"/>
        <v>37618.042098851023</v>
      </c>
      <c r="C36" s="320">
        <f t="shared" si="1"/>
        <v>8499420.4318144005</v>
      </c>
    </row>
    <row r="37" spans="1:3" x14ac:dyDescent="0.25">
      <c r="A37" s="319">
        <f t="shared" si="2"/>
        <v>4000000</v>
      </c>
      <c r="B37" s="313">
        <f t="shared" si="0"/>
        <v>39103.301119846867</v>
      </c>
      <c r="C37" s="320">
        <f t="shared" si="1"/>
        <v>8834999.8550182004</v>
      </c>
    </row>
    <row r="38" spans="1:3" x14ac:dyDescent="0.25">
      <c r="A38" s="319">
        <f t="shared" si="2"/>
        <v>4250000</v>
      </c>
      <c r="B38" s="313">
        <f t="shared" si="0"/>
        <v>40551.860621591703</v>
      </c>
      <c r="C38" s="320">
        <f t="shared" si="1"/>
        <v>9162287.38884243</v>
      </c>
    </row>
    <row r="39" spans="1:3" x14ac:dyDescent="0.25">
      <c r="A39" s="319">
        <f t="shared" si="2"/>
        <v>4500000</v>
      </c>
      <c r="B39" s="313">
        <f t="shared" si="0"/>
        <v>41966.711153737037</v>
      </c>
      <c r="C39" s="320">
        <f t="shared" si="1"/>
        <v>9481958.7180753462</v>
      </c>
    </row>
    <row r="40" spans="1:3" x14ac:dyDescent="0.25">
      <c r="A40" s="319">
        <f t="shared" si="2"/>
        <v>4750000</v>
      </c>
      <c r="B40" s="313">
        <f t="shared" si="0"/>
        <v>43350.448326913778</v>
      </c>
      <c r="C40" s="320">
        <f t="shared" si="1"/>
        <v>9794600.294982899</v>
      </c>
    </row>
    <row r="41" spans="1:3" x14ac:dyDescent="0.25">
      <c r="A41" s="319">
        <f t="shared" si="2"/>
        <v>5000000</v>
      </c>
      <c r="B41" s="313">
        <f t="shared" si="0"/>
        <v>44705.342872853616</v>
      </c>
      <c r="C41" s="320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230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57" t="s">
        <v>102</v>
      </c>
      <c r="I2" s="258"/>
      <c r="J2" s="258"/>
      <c r="K2" s="258"/>
      <c r="L2" s="259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9" t="s">
        <v>106</v>
      </c>
      <c r="C4" s="469"/>
      <c r="D4" s="469"/>
      <c r="E4" s="469"/>
      <c r="F4" s="47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1" t="s">
        <v>8</v>
      </c>
      <c r="B7" s="474" t="s">
        <v>9</v>
      </c>
      <c r="C7" s="475"/>
      <c r="D7" s="476" t="s">
        <v>12</v>
      </c>
      <c r="E7" s="477"/>
      <c r="F7" s="478"/>
      <c r="G7" s="474" t="s">
        <v>124</v>
      </c>
      <c r="H7" s="474"/>
      <c r="I7" s="479"/>
      <c r="J7" s="98" t="s">
        <v>125</v>
      </c>
    </row>
    <row r="8" spans="1:18" ht="28.35" customHeight="1" x14ac:dyDescent="0.2">
      <c r="A8" s="472"/>
      <c r="B8" s="256" t="s">
        <v>10</v>
      </c>
      <c r="C8" s="17" t="s">
        <v>11</v>
      </c>
      <c r="D8" s="19" t="s">
        <v>20</v>
      </c>
      <c r="E8" s="256" t="s">
        <v>21</v>
      </c>
      <c r="F8" s="81" t="s">
        <v>117</v>
      </c>
      <c r="G8" s="260" t="s">
        <v>22</v>
      </c>
      <c r="H8" s="256" t="s">
        <v>23</v>
      </c>
      <c r="I8" s="88" t="s">
        <v>123</v>
      </c>
    </row>
    <row r="9" spans="1:18" ht="14.45" customHeight="1" thickBot="1" x14ac:dyDescent="0.25">
      <c r="A9" s="473"/>
      <c r="B9" s="95">
        <f>VAC_Optim_Scenario!G20</f>
        <v>1100000</v>
      </c>
      <c r="C9" s="95">
        <f>VAC_Optim_Scenario!H20</f>
        <v>3500000</v>
      </c>
      <c r="D9" s="68">
        <f>VAC_Optim_Scenario!I20</f>
        <v>2277500.7120514014</v>
      </c>
      <c r="E9" s="84">
        <f>((($R$12/(1+EXP($P$12+$Q$12*D9)))-1) - ($F$12-$C$12))*$I$12</f>
        <v>32853.279778552242</v>
      </c>
      <c r="F9" s="89">
        <f>E9*$G$12</f>
        <v>32853.279778552242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71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80" t="s">
        <v>25</v>
      </c>
      <c r="L11" s="262" t="s">
        <v>110</v>
      </c>
      <c r="M11" s="262" t="s">
        <v>111</v>
      </c>
      <c r="N11" s="262" t="s">
        <v>112</v>
      </c>
      <c r="O11" s="262" t="s">
        <v>113</v>
      </c>
      <c r="P11" s="262" t="s">
        <v>26</v>
      </c>
      <c r="Q11" s="262" t="s">
        <v>27</v>
      </c>
      <c r="R11" s="263" t="s">
        <v>28</v>
      </c>
    </row>
    <row r="12" spans="1:18" ht="15" customHeight="1" thickBot="1" x14ac:dyDescent="0.25">
      <c r="A12" s="473"/>
      <c r="B12" s="293">
        <f>'[4]HCC Online Video Curve'!$B$12</f>
        <v>1111779.04</v>
      </c>
      <c r="C12" s="293">
        <f>'[4]HCC Online Video Curve'!$C$12</f>
        <v>21646.235649615326</v>
      </c>
      <c r="D12" s="293">
        <f>'[4]HCC Online Video Curve'!$D$12</f>
        <v>0</v>
      </c>
      <c r="E12" s="293">
        <f>'[4]HCC Online Video Curve'!$E$12</f>
        <v>43292.471299230652</v>
      </c>
      <c r="F12" s="293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4">
        <f>VAC_Optim_Scenario!D20</f>
        <v>1</v>
      </c>
      <c r="K12" s="481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82" t="s">
        <v>169</v>
      </c>
      <c r="B13" s="483"/>
      <c r="C13" s="483"/>
      <c r="D13" s="483"/>
      <c r="E13" s="483"/>
      <c r="F13" s="484"/>
      <c r="G13" s="256" t="s">
        <v>150</v>
      </c>
      <c r="H13" s="256" t="s">
        <v>151</v>
      </c>
      <c r="K13" s="482" t="s">
        <v>115</v>
      </c>
      <c r="L13" s="483"/>
      <c r="M13" s="483"/>
      <c r="N13" s="483"/>
      <c r="O13" s="483"/>
      <c r="P13" s="483"/>
      <c r="Q13" s="483"/>
      <c r="R13" s="484"/>
    </row>
    <row r="14" spans="1:18" ht="33.6" customHeight="1" thickBot="1" x14ac:dyDescent="0.25">
      <c r="A14" s="485"/>
      <c r="B14" s="486"/>
      <c r="C14" s="486"/>
      <c r="D14" s="486"/>
      <c r="E14" s="486"/>
      <c r="F14" s="487"/>
      <c r="G14" s="95">
        <f>VAC_Optim_Scenario!$I$33</f>
        <v>225.94</v>
      </c>
      <c r="H14" s="95">
        <f>VAC_Optim_Scenario!$F$33</f>
        <v>225.94</v>
      </c>
      <c r="K14" s="485"/>
      <c r="L14" s="486"/>
      <c r="M14" s="486"/>
      <c r="N14" s="486"/>
      <c r="O14" s="486"/>
      <c r="P14" s="486"/>
      <c r="Q14" s="486"/>
      <c r="R14" s="487"/>
    </row>
    <row r="16" spans="1:18" ht="13.5" thickBot="1" x14ac:dyDescent="0.25"/>
    <row r="17" spans="1:8" ht="42.6" customHeight="1" x14ac:dyDescent="0.2">
      <c r="A17" s="480" t="s">
        <v>34</v>
      </c>
      <c r="B17" s="262" t="s">
        <v>32</v>
      </c>
      <c r="C17" s="262" t="s">
        <v>31</v>
      </c>
      <c r="D17" s="263" t="s">
        <v>33</v>
      </c>
      <c r="F17" s="82"/>
      <c r="G17" s="82"/>
      <c r="H17" s="83"/>
    </row>
    <row r="18" spans="1:8" ht="23.45" customHeight="1" thickBot="1" x14ac:dyDescent="0.25">
      <c r="A18" s="481"/>
      <c r="B18" s="75">
        <v>0</v>
      </c>
      <c r="C18" s="76">
        <v>4000000</v>
      </c>
      <c r="D18" s="26">
        <v>20</v>
      </c>
    </row>
    <row r="20" spans="1:8" x14ac:dyDescent="0.2">
      <c r="A20" s="468" t="s">
        <v>37</v>
      </c>
      <c r="B20" s="468"/>
      <c r="C20" s="468"/>
    </row>
    <row r="21" spans="1:8" ht="25.5" x14ac:dyDescent="0.2">
      <c r="A21" s="256" t="s">
        <v>35</v>
      </c>
      <c r="B21" s="256" t="s">
        <v>170</v>
      </c>
      <c r="C21" s="256" t="s">
        <v>171</v>
      </c>
      <c r="D21" s="98" t="s">
        <v>172</v>
      </c>
      <c r="E21" s="25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402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8"/>
      <c r="C4" s="489"/>
      <c r="D4" s="489"/>
      <c r="E4" s="489"/>
      <c r="F4" s="4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1" t="s">
        <v>8</v>
      </c>
      <c r="B7" s="474" t="s">
        <v>9</v>
      </c>
      <c r="C7" s="474"/>
      <c r="D7" s="474" t="s">
        <v>12</v>
      </c>
      <c r="E7" s="474"/>
      <c r="F7" s="474"/>
      <c r="G7" s="474" t="s">
        <v>124</v>
      </c>
      <c r="H7" s="474"/>
      <c r="I7" s="479"/>
    </row>
    <row r="8" spans="1:9" x14ac:dyDescent="0.25">
      <c r="A8" s="472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3"/>
      <c r="B9" s="311">
        <f>VAC_Optim_Scenario!G21</f>
        <v>8306901</v>
      </c>
      <c r="C9" s="311">
        <f>VAC_Optim_Scenario!H21</f>
        <v>27304858</v>
      </c>
      <c r="D9" s="312">
        <f>VAC_Optim_Scenario!I21</f>
        <v>8306901</v>
      </c>
      <c r="E9" s="84">
        <f>((GSTRTV!D9/$B$12)^$D$12)*$C$12*$F$12</f>
        <v>72062.483379729863</v>
      </c>
      <c r="F9" s="84">
        <f>E9*F11</f>
        <v>72062.483379729863</v>
      </c>
      <c r="G9" s="76">
        <f>VAC_Optim_Scenario!E21</f>
        <v>13418576</v>
      </c>
      <c r="H9" s="313">
        <f>((GSTRTV!G9/$B$12)^$D$12)*$C$12*$F$12</f>
        <v>100808.3256282994</v>
      </c>
      <c r="I9" s="314">
        <f>H9*F11</f>
        <v>100808.3256282994</v>
      </c>
    </row>
    <row r="10" spans="1:9" ht="15.75" thickBot="1" x14ac:dyDescent="0.3"/>
    <row r="11" spans="1:9" ht="48.95" customHeight="1" x14ac:dyDescent="0.25">
      <c r="A11" s="468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8"/>
      <c r="B12" s="316">
        <f>'[5]Streaming Video - Power'!$B$12</f>
        <v>13418576</v>
      </c>
      <c r="C12" s="316">
        <f>'[5]Streaming Video - Power'!$C$12</f>
        <v>100808.3256282994</v>
      </c>
      <c r="D12" s="321">
        <f>'[5]Streaming Video - Power'!$D$12</f>
        <v>0.7</v>
      </c>
      <c r="E12" s="308" t="s">
        <v>122</v>
      </c>
      <c r="F12" s="317">
        <f>VAC_Optim_Scenario!D21</f>
        <v>1</v>
      </c>
      <c r="G12" s="318">
        <f>B12*2</f>
        <v>26837152</v>
      </c>
    </row>
    <row r="13" spans="1:9" ht="18.75" customHeight="1" x14ac:dyDescent="0.25">
      <c r="A13" s="482" t="s">
        <v>245</v>
      </c>
      <c r="B13" s="483"/>
      <c r="C13" s="483"/>
      <c r="D13" s="483"/>
      <c r="E13" s="308" t="s">
        <v>246</v>
      </c>
      <c r="F13" s="308" t="s">
        <v>247</v>
      </c>
    </row>
    <row r="14" spans="1:9" ht="15.75" thickBot="1" x14ac:dyDescent="0.3">
      <c r="A14" s="485"/>
      <c r="B14" s="486"/>
      <c r="C14" s="486"/>
      <c r="D14" s="48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80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1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8" t="s">
        <v>37</v>
      </c>
      <c r="B19" s="468"/>
      <c r="C19" s="468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750000</v>
      </c>
      <c r="B22" s="313">
        <f t="shared" ref="B22:B41" si="0">((A22/$B$12)^$D$12)*$C$12</f>
        <v>13385.813954759049</v>
      </c>
      <c r="C22" s="320">
        <f t="shared" ref="C22:C41" si="1">B22*$F$14</f>
        <v>3024390.8049382595</v>
      </c>
    </row>
    <row r="23" spans="1:4" x14ac:dyDescent="0.25">
      <c r="A23" s="319">
        <f t="shared" ref="A23:A45" si="2">A22+(($C$17-$B$17)/$D$17)</f>
        <v>1500000</v>
      </c>
      <c r="B23" s="313">
        <f t="shared" si="0"/>
        <v>21745.318923863546</v>
      </c>
      <c r="C23" s="320">
        <f t="shared" si="1"/>
        <v>4913137.3576577296</v>
      </c>
    </row>
    <row r="24" spans="1:4" x14ac:dyDescent="0.25">
      <c r="A24" s="319">
        <f t="shared" si="2"/>
        <v>2250000</v>
      </c>
      <c r="B24" s="313">
        <f t="shared" si="0"/>
        <v>28882.159557638814</v>
      </c>
      <c r="C24" s="320">
        <f t="shared" si="1"/>
        <v>6525635.1304529132</v>
      </c>
    </row>
    <row r="25" spans="1:4" x14ac:dyDescent="0.25">
      <c r="A25" s="319">
        <f t="shared" si="2"/>
        <v>3000000</v>
      </c>
      <c r="B25" s="313">
        <f t="shared" si="0"/>
        <v>35325.374810877525</v>
      </c>
      <c r="C25" s="320">
        <f t="shared" si="1"/>
        <v>7981415.1847696677</v>
      </c>
    </row>
    <row r="26" spans="1:4" x14ac:dyDescent="0.25">
      <c r="A26" s="319">
        <f t="shared" si="2"/>
        <v>3750000</v>
      </c>
      <c r="B26" s="313">
        <f t="shared" si="0"/>
        <v>41297.502450781918</v>
      </c>
      <c r="C26" s="320">
        <f t="shared" si="1"/>
        <v>9330757.7037296668</v>
      </c>
    </row>
    <row r="27" spans="1:4" x14ac:dyDescent="0.25">
      <c r="A27" s="319">
        <f t="shared" si="2"/>
        <v>4500000</v>
      </c>
      <c r="B27" s="313">
        <f t="shared" si="0"/>
        <v>46919.206625270555</v>
      </c>
      <c r="C27" s="320">
        <f t="shared" si="1"/>
        <v>10600925.544913629</v>
      </c>
    </row>
    <row r="28" spans="1:4" x14ac:dyDescent="0.25">
      <c r="A28" s="319">
        <f t="shared" si="2"/>
        <v>5250000</v>
      </c>
      <c r="B28" s="313">
        <f t="shared" si="0"/>
        <v>52265.295791567616</v>
      </c>
      <c r="C28" s="320">
        <f t="shared" si="1"/>
        <v>11808820.931146787</v>
      </c>
    </row>
    <row r="29" spans="1:4" x14ac:dyDescent="0.25">
      <c r="A29" s="319">
        <f t="shared" si="2"/>
        <v>6000000</v>
      </c>
      <c r="B29" s="313">
        <f t="shared" si="0"/>
        <v>57386.24068463494</v>
      </c>
      <c r="C29" s="320">
        <f t="shared" si="1"/>
        <v>12965847.220286418</v>
      </c>
    </row>
    <row r="30" spans="1:4" x14ac:dyDescent="0.25">
      <c r="A30" s="319">
        <f t="shared" si="2"/>
        <v>6750000</v>
      </c>
      <c r="B30" s="313">
        <f t="shared" si="0"/>
        <v>62318.148416841854</v>
      </c>
      <c r="C30" s="320">
        <f t="shared" si="1"/>
        <v>14080162.453301249</v>
      </c>
    </row>
    <row r="31" spans="1:4" x14ac:dyDescent="0.25">
      <c r="A31" s="319">
        <f t="shared" si="2"/>
        <v>7500000</v>
      </c>
      <c r="B31" s="313">
        <f t="shared" si="0"/>
        <v>67087.990658350245</v>
      </c>
      <c r="C31" s="320">
        <f t="shared" si="1"/>
        <v>15157860.609347655</v>
      </c>
    </row>
    <row r="32" spans="1:4" x14ac:dyDescent="0.25">
      <c r="A32" s="319">
        <f t="shared" si="2"/>
        <v>8250000</v>
      </c>
      <c r="B32" s="313">
        <f t="shared" si="0"/>
        <v>71716.595411188333</v>
      </c>
      <c r="C32" s="320">
        <f t="shared" si="1"/>
        <v>16203647.567203892</v>
      </c>
    </row>
    <row r="33" spans="1:3" x14ac:dyDescent="0.25">
      <c r="A33" s="319">
        <f t="shared" si="2"/>
        <v>9000000</v>
      </c>
      <c r="B33" s="313">
        <f t="shared" si="0"/>
        <v>76220.476033018742</v>
      </c>
      <c r="C33" s="320">
        <f t="shared" si="1"/>
        <v>17221254.354900256</v>
      </c>
    </row>
    <row r="34" spans="1:3" x14ac:dyDescent="0.25">
      <c r="A34" s="319">
        <f t="shared" si="2"/>
        <v>9750000</v>
      </c>
      <c r="B34" s="313">
        <f t="shared" si="0"/>
        <v>80613.00882564421</v>
      </c>
      <c r="C34" s="320">
        <f t="shared" si="1"/>
        <v>18213703.214066051</v>
      </c>
    </row>
    <row r="35" spans="1:3" x14ac:dyDescent="0.25">
      <c r="A35" s="319">
        <f t="shared" si="2"/>
        <v>10500000</v>
      </c>
      <c r="B35" s="313">
        <f t="shared" si="0"/>
        <v>84905.223505936534</v>
      </c>
      <c r="C35" s="320">
        <f t="shared" si="1"/>
        <v>19183486.198931299</v>
      </c>
    </row>
    <row r="36" spans="1:3" x14ac:dyDescent="0.25">
      <c r="A36" s="319">
        <f t="shared" si="2"/>
        <v>11250000</v>
      </c>
      <c r="B36" s="313">
        <f t="shared" si="0"/>
        <v>89106.352377727613</v>
      </c>
      <c r="C36" s="320">
        <f t="shared" si="1"/>
        <v>20132689.256223775</v>
      </c>
    </row>
    <row r="37" spans="1:3" x14ac:dyDescent="0.25">
      <c r="A37" s="319">
        <f t="shared" si="2"/>
        <v>12000000</v>
      </c>
      <c r="B37" s="313">
        <f t="shared" si="0"/>
        <v>93224.223027940854</v>
      </c>
      <c r="C37" s="320">
        <f t="shared" si="1"/>
        <v>21063080.950932957</v>
      </c>
    </row>
    <row r="38" spans="1:3" x14ac:dyDescent="0.25">
      <c r="A38" s="319">
        <f t="shared" si="2"/>
        <v>12750000</v>
      </c>
      <c r="B38" s="313">
        <f t="shared" si="0"/>
        <v>97265.546113132033</v>
      </c>
      <c r="C38" s="320">
        <f t="shared" si="1"/>
        <v>21976177.488801051</v>
      </c>
    </row>
    <row r="39" spans="1:3" x14ac:dyDescent="0.25">
      <c r="A39" s="319">
        <f t="shared" si="2"/>
        <v>13500000</v>
      </c>
      <c r="B39" s="313">
        <f t="shared" si="0"/>
        <v>101236.13077612668</v>
      </c>
      <c r="C39" s="320">
        <f t="shared" si="1"/>
        <v>22873291.387558062</v>
      </c>
    </row>
    <row r="40" spans="1:3" x14ac:dyDescent="0.25">
      <c r="A40" s="319">
        <f t="shared" si="2"/>
        <v>14250000</v>
      </c>
      <c r="B40" s="313">
        <f t="shared" si="0"/>
        <v>105141.04889375818</v>
      </c>
      <c r="C40" s="320">
        <f t="shared" si="1"/>
        <v>23755568.587055724</v>
      </c>
    </row>
    <row r="41" spans="1:3" x14ac:dyDescent="0.25">
      <c r="A41" s="319">
        <f t="shared" si="2"/>
        <v>15000000</v>
      </c>
      <c r="B41" s="313">
        <f t="shared" si="0"/>
        <v>108984.76235793946</v>
      </c>
      <c r="C41" s="320">
        <f t="shared" si="1"/>
        <v>24624017.20715284</v>
      </c>
    </row>
    <row r="42" spans="1:3" x14ac:dyDescent="0.25">
      <c r="A42" s="319">
        <f t="shared" si="2"/>
        <v>15750000</v>
      </c>
      <c r="B42" s="313">
        <f t="shared" ref="B42:B45" si="3">((A42/$B$12)^$D$12)*$C$12</f>
        <v>112771.22313825082</v>
      </c>
      <c r="C42" s="320">
        <f t="shared" ref="C42:C45" si="4">B42*$F$14</f>
        <v>25479530.15585639</v>
      </c>
    </row>
    <row r="43" spans="1:3" x14ac:dyDescent="0.25">
      <c r="A43" s="319">
        <f t="shared" si="2"/>
        <v>16500000</v>
      </c>
      <c r="B43" s="313">
        <f t="shared" si="3"/>
        <v>116503.95296249664</v>
      </c>
      <c r="C43" s="320">
        <f t="shared" si="4"/>
        <v>26322903.132346489</v>
      </c>
    </row>
    <row r="44" spans="1:3" x14ac:dyDescent="0.25">
      <c r="A44" s="319">
        <f t="shared" si="2"/>
        <v>17250000</v>
      </c>
      <c r="B44" s="313">
        <f t="shared" si="3"/>
        <v>120186.10750238127</v>
      </c>
      <c r="C44" s="320">
        <f t="shared" si="4"/>
        <v>27154849.129088026</v>
      </c>
    </row>
    <row r="45" spans="1:3" x14ac:dyDescent="0.25">
      <c r="A45" s="319">
        <f t="shared" si="2"/>
        <v>18000000</v>
      </c>
      <c r="B45" s="313">
        <f t="shared" si="3"/>
        <v>123820.52861846496</v>
      </c>
      <c r="C45" s="320">
        <f t="shared" si="4"/>
        <v>27976010.236055974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8"/>
      <c r="C4" s="489"/>
      <c r="D4" s="489"/>
      <c r="E4" s="489"/>
      <c r="F4" s="4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1" t="s">
        <v>8</v>
      </c>
      <c r="B7" s="474" t="s">
        <v>9</v>
      </c>
      <c r="C7" s="474"/>
      <c r="D7" s="474" t="s">
        <v>12</v>
      </c>
      <c r="E7" s="474"/>
      <c r="F7" s="474"/>
      <c r="G7" s="474" t="s">
        <v>124</v>
      </c>
      <c r="H7" s="474"/>
      <c r="I7" s="479"/>
    </row>
    <row r="8" spans="1:9" x14ac:dyDescent="0.25">
      <c r="A8" s="472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3"/>
      <c r="B9" s="311">
        <f>VAC_Optim_Scenario!G22</f>
        <v>2900000</v>
      </c>
      <c r="C9" s="311">
        <f>VAC_Optim_Scenario!H22</f>
        <v>5000000</v>
      </c>
      <c r="D9" s="312">
        <f>VAC_Optim_Scenario!I22</f>
        <v>5000000</v>
      </c>
      <c r="E9" s="84">
        <f>((GDISP!D9/$B$12)^$D$12)*$C$12*$F$12</f>
        <v>106365.19760151411</v>
      </c>
      <c r="F9" s="84">
        <f>E9*F11</f>
        <v>106365.19760151411</v>
      </c>
      <c r="G9" s="76">
        <f>VAC_Optim_Scenario!E22</f>
        <v>2859426.82</v>
      </c>
      <c r="H9" s="313">
        <f>((GDISP!G9/$B$12)^$D$12)*$C$12*$F$12</f>
        <v>76065.012406995462</v>
      </c>
      <c r="I9" s="314">
        <f>H9*F11</f>
        <v>76065.012406995462</v>
      </c>
    </row>
    <row r="10" spans="1:9" ht="15.75" thickBot="1" x14ac:dyDescent="0.3"/>
    <row r="11" spans="1:9" ht="48.95" customHeight="1" x14ac:dyDescent="0.25">
      <c r="A11" s="468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8"/>
      <c r="B12" s="316">
        <f>'[6]HCC Display - Power'!$B$12</f>
        <v>2859426.82</v>
      </c>
      <c r="C12" s="316">
        <f>'[6]HCC Display - Power'!$C$12</f>
        <v>76065.012406995462</v>
      </c>
      <c r="D12" s="321">
        <f>'[6]HCC Display - Power'!$D$12</f>
        <v>0.6</v>
      </c>
      <c r="E12" s="308" t="s">
        <v>122</v>
      </c>
      <c r="F12" s="317">
        <f>VAC_Optim_Scenario!D22</f>
        <v>1</v>
      </c>
      <c r="G12" s="318">
        <f>B12*2</f>
        <v>5718853.6399999997</v>
      </c>
    </row>
    <row r="13" spans="1:9" ht="18.75" customHeight="1" x14ac:dyDescent="0.25">
      <c r="A13" s="482" t="s">
        <v>245</v>
      </c>
      <c r="B13" s="483"/>
      <c r="C13" s="483"/>
      <c r="D13" s="483"/>
      <c r="E13" s="308" t="s">
        <v>246</v>
      </c>
      <c r="F13" s="308" t="s">
        <v>247</v>
      </c>
    </row>
    <row r="14" spans="1:9" ht="15.75" thickBot="1" x14ac:dyDescent="0.3">
      <c r="A14" s="485"/>
      <c r="B14" s="486"/>
      <c r="C14" s="486"/>
      <c r="D14" s="48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80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8" t="s">
        <v>37</v>
      </c>
      <c r="B19" s="468"/>
      <c r="C19" s="468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250000</v>
      </c>
      <c r="B22" s="313">
        <f t="shared" ref="B22:B41" si="0">((A22/$B$12)^$D$12)*$C$12</f>
        <v>17627.127824775001</v>
      </c>
      <c r="C22" s="320">
        <f t="shared" ref="C22:C41" si="1">B22*$F$14</f>
        <v>3982673.260729664</v>
      </c>
    </row>
    <row r="23" spans="1:4" x14ac:dyDescent="0.25">
      <c r="A23" s="319">
        <f t="shared" ref="A23:A41" si="2">A22+(($C$17-$B$17)/$D$17)</f>
        <v>500000</v>
      </c>
      <c r="B23" s="313">
        <f t="shared" si="0"/>
        <v>26717.729664007864</v>
      </c>
      <c r="C23" s="320">
        <f t="shared" si="1"/>
        <v>6036603.8402859364</v>
      </c>
    </row>
    <row r="24" spans="1:4" x14ac:dyDescent="0.25">
      <c r="A24" s="319">
        <f t="shared" si="2"/>
        <v>750000</v>
      </c>
      <c r="B24" s="313">
        <f t="shared" si="0"/>
        <v>34076.447014572113</v>
      </c>
      <c r="C24" s="320">
        <f t="shared" si="1"/>
        <v>7699232.4384724228</v>
      </c>
    </row>
    <row r="25" spans="1:4" x14ac:dyDescent="0.25">
      <c r="A25" s="319">
        <f t="shared" si="2"/>
        <v>1000000</v>
      </c>
      <c r="B25" s="313">
        <f t="shared" si="0"/>
        <v>40496.50547128301</v>
      </c>
      <c r="C25" s="320">
        <f t="shared" si="1"/>
        <v>9149780.4461816829</v>
      </c>
    </row>
    <row r="26" spans="1:4" x14ac:dyDescent="0.25">
      <c r="A26" s="319">
        <f t="shared" si="2"/>
        <v>1250000</v>
      </c>
      <c r="B26" s="313">
        <f t="shared" si="0"/>
        <v>46298.141343550837</v>
      </c>
      <c r="C26" s="320">
        <f t="shared" si="1"/>
        <v>10460602.055161877</v>
      </c>
    </row>
    <row r="27" spans="1:4" x14ac:dyDescent="0.25">
      <c r="A27" s="319">
        <f t="shared" si="2"/>
        <v>1500000</v>
      </c>
      <c r="B27" s="313">
        <f t="shared" si="0"/>
        <v>51650.235267800737</v>
      </c>
      <c r="C27" s="320">
        <f t="shared" si="1"/>
        <v>11669854.156406898</v>
      </c>
    </row>
    <row r="28" spans="1:4" x14ac:dyDescent="0.25">
      <c r="A28" s="319">
        <f t="shared" si="2"/>
        <v>1750000</v>
      </c>
      <c r="B28" s="313">
        <f t="shared" si="0"/>
        <v>56655.278384023426</v>
      </c>
      <c r="C28" s="320">
        <f t="shared" si="1"/>
        <v>12800693.598086253</v>
      </c>
    </row>
    <row r="29" spans="1:4" x14ac:dyDescent="0.25">
      <c r="A29" s="319">
        <f t="shared" si="2"/>
        <v>2000000</v>
      </c>
      <c r="B29" s="313">
        <f t="shared" si="0"/>
        <v>61381.22422860263</v>
      </c>
      <c r="C29" s="320">
        <f t="shared" si="1"/>
        <v>13868473.802210478</v>
      </c>
    </row>
    <row r="30" spans="1:4" x14ac:dyDescent="0.25">
      <c r="A30" s="319">
        <f t="shared" si="2"/>
        <v>2250000</v>
      </c>
      <c r="B30" s="313">
        <f t="shared" si="0"/>
        <v>65875.975523639368</v>
      </c>
      <c r="C30" s="320">
        <f t="shared" si="1"/>
        <v>14884017.90981108</v>
      </c>
    </row>
    <row r="31" spans="1:4" x14ac:dyDescent="0.25">
      <c r="A31" s="319">
        <f t="shared" si="2"/>
        <v>2500000</v>
      </c>
      <c r="B31" s="313">
        <f t="shared" si="0"/>
        <v>70174.859833059978</v>
      </c>
      <c r="C31" s="320">
        <f t="shared" si="1"/>
        <v>15855307.830681572</v>
      </c>
    </row>
    <row r="32" spans="1:4" x14ac:dyDescent="0.25">
      <c r="A32" s="319">
        <f t="shared" si="2"/>
        <v>2750000</v>
      </c>
      <c r="B32" s="313">
        <f t="shared" si="0"/>
        <v>74304.850537621896</v>
      </c>
      <c r="C32" s="320">
        <f t="shared" si="1"/>
        <v>16788437.930470292</v>
      </c>
    </row>
    <row r="33" spans="1:3" x14ac:dyDescent="0.25">
      <c r="A33" s="319">
        <f t="shared" si="2"/>
        <v>3000000</v>
      </c>
      <c r="B33" s="313">
        <f t="shared" si="0"/>
        <v>78287.117259565202</v>
      </c>
      <c r="C33" s="320">
        <f t="shared" si="1"/>
        <v>17688191.27362616</v>
      </c>
    </row>
    <row r="34" spans="1:3" x14ac:dyDescent="0.25">
      <c r="A34" s="319">
        <f t="shared" si="2"/>
        <v>3250000</v>
      </c>
      <c r="B34" s="313">
        <f t="shared" si="0"/>
        <v>82138.650862126422</v>
      </c>
      <c r="C34" s="320">
        <f t="shared" si="1"/>
        <v>18558406.775788844</v>
      </c>
    </row>
    <row r="35" spans="1:3" x14ac:dyDescent="0.25">
      <c r="A35" s="319">
        <f t="shared" si="2"/>
        <v>3500000</v>
      </c>
      <c r="B35" s="313">
        <f t="shared" si="0"/>
        <v>85873.344026922772</v>
      </c>
      <c r="C35" s="320">
        <f t="shared" si="1"/>
        <v>19402223.349442933</v>
      </c>
    </row>
    <row r="36" spans="1:3" x14ac:dyDescent="0.25">
      <c r="A36" s="319">
        <f t="shared" si="2"/>
        <v>3750000</v>
      </c>
      <c r="B36" s="313">
        <f t="shared" si="0"/>
        <v>89502.735559065375</v>
      </c>
      <c r="C36" s="320">
        <f t="shared" si="1"/>
        <v>20222248.072215229</v>
      </c>
    </row>
    <row r="37" spans="1:3" x14ac:dyDescent="0.25">
      <c r="A37" s="319">
        <f t="shared" si="2"/>
        <v>4000000</v>
      </c>
      <c r="B37" s="313">
        <f t="shared" si="0"/>
        <v>93036.538435982438</v>
      </c>
      <c r="C37" s="320">
        <f t="shared" si="1"/>
        <v>21020675.494225871</v>
      </c>
    </row>
    <row r="38" spans="1:3" x14ac:dyDescent="0.25">
      <c r="A38" s="319">
        <f t="shared" si="2"/>
        <v>4250000</v>
      </c>
      <c r="B38" s="313">
        <f t="shared" si="0"/>
        <v>96483.023973043382</v>
      </c>
      <c r="C38" s="320">
        <f t="shared" si="1"/>
        <v>21799374.436469421</v>
      </c>
    </row>
    <row r="39" spans="1:3" x14ac:dyDescent="0.25">
      <c r="A39" s="319">
        <f t="shared" si="2"/>
        <v>4500000</v>
      </c>
      <c r="B39" s="313">
        <f t="shared" si="0"/>
        <v>99849.307436213683</v>
      </c>
      <c r="C39" s="320">
        <f t="shared" si="1"/>
        <v>22559952.522138119</v>
      </c>
    </row>
    <row r="40" spans="1:3" x14ac:dyDescent="0.25">
      <c r="A40" s="319">
        <f t="shared" si="2"/>
        <v>4750000</v>
      </c>
      <c r="B40" s="313">
        <f t="shared" si="0"/>
        <v>103141.56443270072</v>
      </c>
      <c r="C40" s="320">
        <f t="shared" si="1"/>
        <v>23303805.067924399</v>
      </c>
    </row>
    <row r="41" spans="1:3" x14ac:dyDescent="0.25">
      <c r="A41" s="319">
        <f t="shared" si="2"/>
        <v>5000000</v>
      </c>
      <c r="B41" s="313">
        <f t="shared" si="0"/>
        <v>106365.19760151411</v>
      </c>
      <c r="C41" s="320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8"/>
      <c r="C4" s="489"/>
      <c r="D4" s="489"/>
      <c r="E4" s="489"/>
      <c r="F4" s="4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1" t="s">
        <v>8</v>
      </c>
      <c r="B7" s="474" t="s">
        <v>9</v>
      </c>
      <c r="C7" s="474"/>
      <c r="D7" s="474" t="s">
        <v>12</v>
      </c>
      <c r="E7" s="474"/>
      <c r="F7" s="474"/>
      <c r="G7" s="474" t="s">
        <v>124</v>
      </c>
      <c r="H7" s="474"/>
      <c r="I7" s="479"/>
    </row>
    <row r="8" spans="1:9" x14ac:dyDescent="0.25">
      <c r="A8" s="472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3"/>
      <c r="B9" s="311">
        <f>VAC_Optim_Scenario!G23</f>
        <v>100000</v>
      </c>
      <c r="C9" s="311">
        <f>VAC_Optim_Scenario!H23</f>
        <v>200000</v>
      </c>
      <c r="D9" s="312">
        <f>VAC_Optim_Scenario!I23</f>
        <v>200000</v>
      </c>
      <c r="E9" s="84">
        <f>((GPDSRCH!D9/$B$12)^$D$12)*$C$12*$F$12</f>
        <v>79531.473375019181</v>
      </c>
      <c r="F9" s="84">
        <f>E9*F11</f>
        <v>79531.473375019181</v>
      </c>
      <c r="G9" s="76">
        <f>VAC_Optim_Scenario!E23</f>
        <v>50000</v>
      </c>
      <c r="H9" s="313">
        <f>((GPDSRCH!G9/$B$12)^$D$12)*$C$12*$F$12</f>
        <v>30136.792938374307</v>
      </c>
      <c r="I9" s="314">
        <f>H9*F11</f>
        <v>30136.792938374307</v>
      </c>
    </row>
    <row r="10" spans="1:9" ht="15.75" thickBot="1" x14ac:dyDescent="0.3"/>
    <row r="11" spans="1:9" ht="48.95" customHeight="1" x14ac:dyDescent="0.25">
      <c r="A11" s="468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8"/>
      <c r="B12" s="316">
        <f>'[7]HCC Paid Search - Power'!$B$12</f>
        <v>50000</v>
      </c>
      <c r="C12" s="316">
        <f>'[7]HCC Paid Search - Power'!$C$12</f>
        <v>30136.792938374307</v>
      </c>
      <c r="D12" s="321">
        <f>'[7]HCC Paid Search - Power'!$D$12</f>
        <v>0.7</v>
      </c>
      <c r="E12" s="308" t="s">
        <v>122</v>
      </c>
      <c r="F12" s="317">
        <f>VAC_Optim_Scenario!D23</f>
        <v>1</v>
      </c>
      <c r="G12" s="318">
        <f>B12*2</f>
        <v>100000</v>
      </c>
    </row>
    <row r="13" spans="1:9" ht="18.75" customHeight="1" x14ac:dyDescent="0.25">
      <c r="A13" s="482" t="s">
        <v>245</v>
      </c>
      <c r="B13" s="483"/>
      <c r="C13" s="483"/>
      <c r="D13" s="483"/>
      <c r="E13" s="308" t="s">
        <v>246</v>
      </c>
      <c r="F13" s="308" t="s">
        <v>247</v>
      </c>
    </row>
    <row r="14" spans="1:9" ht="15.75" thickBot="1" x14ac:dyDescent="0.3">
      <c r="A14" s="485"/>
      <c r="B14" s="486"/>
      <c r="C14" s="486"/>
      <c r="D14" s="48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80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8" t="s">
        <v>37</v>
      </c>
      <c r="B19" s="468"/>
      <c r="C19" s="468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250000</v>
      </c>
      <c r="B22" s="313">
        <f t="shared" ref="B22:B41" si="0">((A22/$B$12)^$D$12)*$C$12</f>
        <v>92977.108783791031</v>
      </c>
      <c r="C22" s="320">
        <f t="shared" ref="C22:C41" si="1">B22*$F$14</f>
        <v>21007247.958609745</v>
      </c>
    </row>
    <row r="23" spans="1:4" x14ac:dyDescent="0.25">
      <c r="A23" s="319">
        <f t="shared" ref="A23:A41" si="2">A22+(($C$17-$B$17)/$D$17)</f>
        <v>500000</v>
      </c>
      <c r="B23" s="313">
        <f t="shared" si="0"/>
        <v>151041.75883181734</v>
      </c>
      <c r="C23" s="320">
        <f t="shared" si="1"/>
        <v>34126374.990460806</v>
      </c>
    </row>
    <row r="24" spans="1:4" x14ac:dyDescent="0.25">
      <c r="A24" s="319">
        <f t="shared" si="2"/>
        <v>750000</v>
      </c>
      <c r="B24" s="313">
        <f t="shared" si="0"/>
        <v>200613.85136364179</v>
      </c>
      <c r="C24" s="320">
        <f t="shared" si="1"/>
        <v>45326693.577101223</v>
      </c>
    </row>
    <row r="25" spans="1:4" x14ac:dyDescent="0.25">
      <c r="A25" s="319">
        <f t="shared" si="2"/>
        <v>1000000</v>
      </c>
      <c r="B25" s="313">
        <f t="shared" si="0"/>
        <v>245368.06112200834</v>
      </c>
      <c r="C25" s="320">
        <f t="shared" si="1"/>
        <v>55438459.729906566</v>
      </c>
    </row>
    <row r="26" spans="1:4" x14ac:dyDescent="0.25">
      <c r="A26" s="319">
        <f t="shared" si="2"/>
        <v>1250000</v>
      </c>
      <c r="B26" s="313">
        <f t="shared" si="0"/>
        <v>286850.12288700556</v>
      </c>
      <c r="C26" s="320">
        <f t="shared" si="1"/>
        <v>64810916.765090033</v>
      </c>
    </row>
    <row r="27" spans="1:4" x14ac:dyDescent="0.25">
      <c r="A27" s="319">
        <f t="shared" si="2"/>
        <v>1500000</v>
      </c>
      <c r="B27" s="313">
        <f t="shared" si="0"/>
        <v>325898.16302474338</v>
      </c>
      <c r="C27" s="320">
        <f t="shared" si="1"/>
        <v>73633430.953810513</v>
      </c>
    </row>
    <row r="28" spans="1:4" x14ac:dyDescent="0.25">
      <c r="A28" s="319">
        <f t="shared" si="2"/>
        <v>1750000</v>
      </c>
      <c r="B28" s="313">
        <f t="shared" si="0"/>
        <v>363031.79685998178</v>
      </c>
      <c r="C28" s="320">
        <f t="shared" si="1"/>
        <v>82023404.182544276</v>
      </c>
    </row>
    <row r="29" spans="1:4" x14ac:dyDescent="0.25">
      <c r="A29" s="319">
        <f t="shared" si="2"/>
        <v>2000000</v>
      </c>
      <c r="B29" s="313">
        <f t="shared" si="0"/>
        <v>398601.59127126914</v>
      </c>
      <c r="C29" s="320">
        <f t="shared" si="1"/>
        <v>90060043.531830549</v>
      </c>
    </row>
    <row r="30" spans="1:4" x14ac:dyDescent="0.25">
      <c r="A30" s="319">
        <f t="shared" si="2"/>
        <v>2250000</v>
      </c>
      <c r="B30" s="313">
        <f t="shared" si="0"/>
        <v>432858.34422471898</v>
      </c>
      <c r="C30" s="320">
        <f t="shared" si="1"/>
        <v>97800014.294133008</v>
      </c>
    </row>
    <row r="31" spans="1:4" x14ac:dyDescent="0.25">
      <c r="A31" s="319">
        <f t="shared" si="2"/>
        <v>2500000</v>
      </c>
      <c r="B31" s="313">
        <f t="shared" si="0"/>
        <v>465989.39942010184</v>
      </c>
      <c r="C31" s="320">
        <f t="shared" si="1"/>
        <v>105285644.90497781</v>
      </c>
    </row>
    <row r="32" spans="1:4" x14ac:dyDescent="0.25">
      <c r="A32" s="319">
        <f t="shared" si="2"/>
        <v>2750000</v>
      </c>
      <c r="B32" s="313">
        <f t="shared" si="0"/>
        <v>498139.42698482808</v>
      </c>
      <c r="C32" s="320">
        <f t="shared" si="1"/>
        <v>112549622.13295205</v>
      </c>
    </row>
    <row r="33" spans="1:3" x14ac:dyDescent="0.25">
      <c r="A33" s="319">
        <f t="shared" si="2"/>
        <v>3000000</v>
      </c>
      <c r="B33" s="313">
        <f t="shared" si="0"/>
        <v>529423.1277698857</v>
      </c>
      <c r="C33" s="320">
        <f t="shared" si="1"/>
        <v>119617861.48832798</v>
      </c>
    </row>
    <row r="34" spans="1:3" x14ac:dyDescent="0.25">
      <c r="A34" s="319">
        <f t="shared" si="2"/>
        <v>3250000</v>
      </c>
      <c r="B34" s="313">
        <f t="shared" si="0"/>
        <v>559933.41281318781</v>
      </c>
      <c r="C34" s="320">
        <f t="shared" si="1"/>
        <v>126511355.29101165</v>
      </c>
    </row>
    <row r="35" spans="1:3" x14ac:dyDescent="0.25">
      <c r="A35" s="319">
        <f t="shared" si="2"/>
        <v>3500000</v>
      </c>
      <c r="B35" s="313">
        <f t="shared" si="0"/>
        <v>589746.89390606096</v>
      </c>
      <c r="C35" s="320">
        <f t="shared" si="1"/>
        <v>133247413.20913541</v>
      </c>
    </row>
    <row r="36" spans="1:3" x14ac:dyDescent="0.25">
      <c r="A36" s="319">
        <f t="shared" si="2"/>
        <v>3750000</v>
      </c>
      <c r="B36" s="313">
        <f t="shared" si="0"/>
        <v>618927.69811022875</v>
      </c>
      <c r="C36" s="320">
        <f t="shared" si="1"/>
        <v>139840524.11102509</v>
      </c>
    </row>
    <row r="37" spans="1:3" x14ac:dyDescent="0.25">
      <c r="A37" s="319">
        <f t="shared" si="2"/>
        <v>4000000</v>
      </c>
      <c r="B37" s="313">
        <f t="shared" si="0"/>
        <v>647530.19540299417</v>
      </c>
      <c r="C37" s="320">
        <f t="shared" si="1"/>
        <v>146302972.34935251</v>
      </c>
    </row>
    <row r="38" spans="1:3" x14ac:dyDescent="0.25">
      <c r="A38" s="319">
        <f t="shared" si="2"/>
        <v>4250000</v>
      </c>
      <c r="B38" s="313">
        <f t="shared" si="0"/>
        <v>675600.99762631929</v>
      </c>
      <c r="C38" s="320">
        <f t="shared" si="1"/>
        <v>152645289.40369058</v>
      </c>
    </row>
    <row r="39" spans="1:3" x14ac:dyDescent="0.25">
      <c r="A39" s="319">
        <f t="shared" si="2"/>
        <v>4500000</v>
      </c>
      <c r="B39" s="313">
        <f t="shared" si="0"/>
        <v>703180.45475864061</v>
      </c>
      <c r="C39" s="320">
        <f t="shared" si="1"/>
        <v>158876591.94816726</v>
      </c>
    </row>
    <row r="40" spans="1:3" x14ac:dyDescent="0.25">
      <c r="A40" s="319">
        <f t="shared" si="2"/>
        <v>4750000</v>
      </c>
      <c r="B40" s="313">
        <f t="shared" si="0"/>
        <v>730303.79577039415</v>
      </c>
      <c r="C40" s="320">
        <f t="shared" si="1"/>
        <v>165004839.61636284</v>
      </c>
    </row>
    <row r="41" spans="1:3" x14ac:dyDescent="0.25">
      <c r="A41" s="319">
        <f t="shared" si="2"/>
        <v>5000000</v>
      </c>
      <c r="B41" s="313">
        <f t="shared" si="0"/>
        <v>757002.0127111614</v>
      </c>
      <c r="C41" s="320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8"/>
      <c r="C4" s="489"/>
      <c r="D4" s="489"/>
      <c r="E4" s="489"/>
      <c r="F4" s="4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1" t="s">
        <v>8</v>
      </c>
      <c r="B7" s="474" t="s">
        <v>9</v>
      </c>
      <c r="C7" s="474"/>
      <c r="D7" s="474" t="s">
        <v>12</v>
      </c>
      <c r="E7" s="474"/>
      <c r="F7" s="474"/>
      <c r="G7" s="474" t="s">
        <v>124</v>
      </c>
      <c r="H7" s="474"/>
      <c r="I7" s="479"/>
    </row>
    <row r="8" spans="1:9" x14ac:dyDescent="0.25">
      <c r="A8" s="472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3"/>
      <c r="B9" s="311">
        <f>VAC_Optim_Scenario!G24</f>
        <v>500000</v>
      </c>
      <c r="C9" s="311">
        <f>VAC_Optim_Scenario!H24</f>
        <v>2200000</v>
      </c>
      <c r="D9" s="312">
        <f>VAC_Optim_Scenario!I24</f>
        <v>2200000</v>
      </c>
      <c r="E9" s="84">
        <f>((GAUDIO!D9/$B$12)^$D$12)*$C$12*$F$12</f>
        <v>37608.450193722703</v>
      </c>
      <c r="F9" s="84">
        <f>E9*F11</f>
        <v>37608.450193722703</v>
      </c>
      <c r="G9" s="76">
        <f>VAC_Optim_Scenario!E24</f>
        <v>923975</v>
      </c>
      <c r="H9" s="313">
        <f>((GAUDIO!G9/$B$12)^$D$12)*$C$12*$F$12</f>
        <v>26581.559263521289</v>
      </c>
      <c r="I9" s="314">
        <f>H9*F11</f>
        <v>26581.559263521289</v>
      </c>
    </row>
    <row r="10" spans="1:9" ht="15.75" thickBot="1" x14ac:dyDescent="0.3"/>
    <row r="11" spans="1:9" ht="48.95" customHeight="1" x14ac:dyDescent="0.25">
      <c r="A11" s="468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8"/>
      <c r="B12" s="316">
        <f>'[8]Radio - Power'!$B$12</f>
        <v>923975</v>
      </c>
      <c r="C12" s="316">
        <f>'[8]Radio - Power'!$C$12</f>
        <v>26581.559263521289</v>
      </c>
      <c r="D12" s="321">
        <f>'[8]Radio - Power'!$D$12</f>
        <v>0.4</v>
      </c>
      <c r="E12" s="308" t="s">
        <v>122</v>
      </c>
      <c r="F12" s="317">
        <f>VAC_Optim_Scenario!D24</f>
        <v>1</v>
      </c>
      <c r="G12" s="318">
        <f>B12*2</f>
        <v>1847950</v>
      </c>
    </row>
    <row r="13" spans="1:9" ht="18.75" customHeight="1" x14ac:dyDescent="0.25">
      <c r="A13" s="482" t="s">
        <v>245</v>
      </c>
      <c r="B13" s="483"/>
      <c r="C13" s="483"/>
      <c r="D13" s="483"/>
      <c r="E13" s="308" t="s">
        <v>246</v>
      </c>
      <c r="F13" s="308" t="s">
        <v>247</v>
      </c>
    </row>
    <row r="14" spans="1:9" ht="15.75" thickBot="1" x14ac:dyDescent="0.3">
      <c r="A14" s="485"/>
      <c r="B14" s="486"/>
      <c r="C14" s="486"/>
      <c r="D14" s="48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80" t="s">
        <v>34</v>
      </c>
      <c r="B16" s="309" t="s">
        <v>32</v>
      </c>
      <c r="C16" s="309" t="s">
        <v>31</v>
      </c>
      <c r="D16" s="310" t="s">
        <v>33</v>
      </c>
    </row>
    <row r="17" spans="1:5" ht="15.75" thickBot="1" x14ac:dyDescent="0.3">
      <c r="A17" s="481"/>
      <c r="B17" s="76">
        <v>0</v>
      </c>
      <c r="C17" s="76">
        <v>5000000</v>
      </c>
      <c r="D17" s="26">
        <v>20</v>
      </c>
    </row>
    <row r="18" spans="1:5" x14ac:dyDescent="0.25">
      <c r="A18" s="98"/>
      <c r="B18" s="98"/>
      <c r="C18" s="98"/>
      <c r="D18" s="98"/>
    </row>
    <row r="19" spans="1:5" x14ac:dyDescent="0.25">
      <c r="A19" s="468" t="s">
        <v>37</v>
      </c>
      <c r="B19" s="468"/>
      <c r="C19" s="468"/>
      <c r="D19" s="98"/>
    </row>
    <row r="20" spans="1:5" ht="25.5" x14ac:dyDescent="0.25">
      <c r="A20" s="308" t="s">
        <v>35</v>
      </c>
      <c r="B20" s="308" t="s">
        <v>164</v>
      </c>
      <c r="C20" s="308" t="s">
        <v>248</v>
      </c>
    </row>
    <row r="21" spans="1:5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5" x14ac:dyDescent="0.25">
      <c r="A22" s="319">
        <f>A21+(($C$17-$B$17)/$D$17)</f>
        <v>250000</v>
      </c>
      <c r="B22" s="313">
        <f t="shared" ref="B22:B41" si="0">((A22/$B$12)^$D$12)*$C$12</f>
        <v>15757.683313448728</v>
      </c>
      <c r="C22" s="320">
        <f t="shared" ref="C22:C41" si="1">B22*$F$14</f>
        <v>3560290.9678406054</v>
      </c>
    </row>
    <row r="23" spans="1:5" x14ac:dyDescent="0.25">
      <c r="A23" s="319">
        <f t="shared" ref="A23:A41" si="2">A22+(($C$17-$B$17)/$D$17)</f>
        <v>500000</v>
      </c>
      <c r="B23" s="313">
        <f t="shared" si="0"/>
        <v>20792.387787549629</v>
      </c>
      <c r="C23" s="320">
        <f t="shared" si="1"/>
        <v>4697832.0967189632</v>
      </c>
    </row>
    <row r="24" spans="1:5" x14ac:dyDescent="0.25">
      <c r="A24" s="319">
        <f t="shared" si="2"/>
        <v>750000</v>
      </c>
      <c r="B24" s="313">
        <f t="shared" si="0"/>
        <v>24453.49110513533</v>
      </c>
      <c r="C24" s="320">
        <f t="shared" si="1"/>
        <v>5525021.7802942768</v>
      </c>
    </row>
    <row r="25" spans="1:5" x14ac:dyDescent="0.25">
      <c r="A25" s="319">
        <f t="shared" si="2"/>
        <v>1000000</v>
      </c>
      <c r="B25" s="313">
        <f t="shared" si="0"/>
        <v>27435.720169529453</v>
      </c>
      <c r="C25" s="320">
        <f t="shared" si="1"/>
        <v>6198826.6151034851</v>
      </c>
      <c r="E25" s="97">
        <f>(C25-C24)/(A25-A24)</f>
        <v>2.6952193392368331</v>
      </c>
    </row>
    <row r="26" spans="1:5" x14ac:dyDescent="0.25">
      <c r="A26" s="319">
        <f t="shared" si="2"/>
        <v>1250000</v>
      </c>
      <c r="B26" s="313">
        <f t="shared" si="0"/>
        <v>29997.175904684151</v>
      </c>
      <c r="C26" s="320">
        <f t="shared" si="1"/>
        <v>6777561.923904337</v>
      </c>
    </row>
    <row r="27" spans="1:5" x14ac:dyDescent="0.25">
      <c r="A27" s="319">
        <f t="shared" si="2"/>
        <v>1500000</v>
      </c>
      <c r="B27" s="313">
        <f t="shared" si="0"/>
        <v>32266.574959240672</v>
      </c>
      <c r="C27" s="320">
        <f t="shared" si="1"/>
        <v>7290309.9462908376</v>
      </c>
      <c r="E27" s="97">
        <f>(C27-C26)/(A27-A26)</f>
        <v>2.0509920895460025</v>
      </c>
    </row>
    <row r="28" spans="1:5" x14ac:dyDescent="0.25">
      <c r="A28" s="319">
        <f t="shared" si="2"/>
        <v>1750000</v>
      </c>
      <c r="B28" s="313">
        <f t="shared" si="0"/>
        <v>34318.759723325085</v>
      </c>
      <c r="C28" s="320">
        <f t="shared" si="1"/>
        <v>7753980.5718880696</v>
      </c>
    </row>
    <row r="29" spans="1:5" x14ac:dyDescent="0.25">
      <c r="A29" s="319">
        <f t="shared" si="2"/>
        <v>2000000</v>
      </c>
      <c r="B29" s="313">
        <f t="shared" si="0"/>
        <v>36201.649801445565</v>
      </c>
      <c r="C29" s="320">
        <f t="shared" si="1"/>
        <v>8179400.7561386107</v>
      </c>
    </row>
    <row r="30" spans="1:5" x14ac:dyDescent="0.25">
      <c r="A30" s="319">
        <f t="shared" si="2"/>
        <v>2250000</v>
      </c>
      <c r="B30" s="313">
        <f t="shared" si="0"/>
        <v>37948.041938282877</v>
      </c>
      <c r="C30" s="320">
        <f t="shared" si="1"/>
        <v>8573980.5955356322</v>
      </c>
    </row>
    <row r="31" spans="1:5" x14ac:dyDescent="0.25">
      <c r="A31" s="319">
        <f t="shared" si="2"/>
        <v>2500000</v>
      </c>
      <c r="B31" s="313">
        <f t="shared" si="0"/>
        <v>39581.510907076787</v>
      </c>
      <c r="C31" s="320">
        <f t="shared" si="1"/>
        <v>8943046.5743449293</v>
      </c>
    </row>
    <row r="32" spans="1:5" x14ac:dyDescent="0.25">
      <c r="A32" s="319">
        <f t="shared" si="2"/>
        <v>2750000</v>
      </c>
      <c r="B32" s="313">
        <f t="shared" si="0"/>
        <v>41119.653101601129</v>
      </c>
      <c r="C32" s="320">
        <f t="shared" si="1"/>
        <v>9290574.4217757583</v>
      </c>
    </row>
    <row r="33" spans="1:3" x14ac:dyDescent="0.25">
      <c r="A33" s="319">
        <f t="shared" si="2"/>
        <v>3000000</v>
      </c>
      <c r="B33" s="313">
        <f t="shared" si="0"/>
        <v>42576.000912264644</v>
      </c>
      <c r="C33" s="320">
        <f t="shared" si="1"/>
        <v>9619621.6461170744</v>
      </c>
    </row>
    <row r="34" spans="1:3" x14ac:dyDescent="0.25">
      <c r="A34" s="319">
        <f t="shared" si="2"/>
        <v>3250000</v>
      </c>
      <c r="B34" s="313">
        <f t="shared" si="0"/>
        <v>43961.217233910902</v>
      </c>
      <c r="C34" s="320">
        <f t="shared" si="1"/>
        <v>9932597.421829829</v>
      </c>
    </row>
    <row r="35" spans="1:3" x14ac:dyDescent="0.25">
      <c r="A35" s="319">
        <f t="shared" si="2"/>
        <v>3500000</v>
      </c>
      <c r="B35" s="313">
        <f t="shared" si="0"/>
        <v>45283.874942841634</v>
      </c>
      <c r="C35" s="320">
        <f t="shared" si="1"/>
        <v>10231438.704585638</v>
      </c>
    </row>
    <row r="36" spans="1:3" x14ac:dyDescent="0.25">
      <c r="A36" s="319">
        <f t="shared" si="2"/>
        <v>3750000</v>
      </c>
      <c r="B36" s="313">
        <f t="shared" si="0"/>
        <v>46550.984657644571</v>
      </c>
      <c r="C36" s="320">
        <f t="shared" si="1"/>
        <v>10517729.473548215</v>
      </c>
    </row>
    <row r="37" spans="1:3" x14ac:dyDescent="0.25">
      <c r="A37" s="319">
        <f t="shared" si="2"/>
        <v>4000000</v>
      </c>
      <c r="B37" s="313">
        <f t="shared" si="0"/>
        <v>47768.363296037402</v>
      </c>
      <c r="C37" s="320">
        <f t="shared" si="1"/>
        <v>10792784.003106691</v>
      </c>
    </row>
    <row r="38" spans="1:3" x14ac:dyDescent="0.25">
      <c r="A38" s="319">
        <f t="shared" si="2"/>
        <v>4250000</v>
      </c>
      <c r="B38" s="313">
        <f t="shared" si="0"/>
        <v>48940.898319309759</v>
      </c>
      <c r="C38" s="320">
        <f t="shared" si="1"/>
        <v>11057706.566264847</v>
      </c>
    </row>
    <row r="39" spans="1:3" x14ac:dyDescent="0.25">
      <c r="A39" s="319">
        <f t="shared" si="2"/>
        <v>4500000</v>
      </c>
      <c r="B39" s="313">
        <f t="shared" si="0"/>
        <v>50072.741535905814</v>
      </c>
      <c r="C39" s="320">
        <f t="shared" si="1"/>
        <v>11313435.22262256</v>
      </c>
    </row>
    <row r="40" spans="1:3" x14ac:dyDescent="0.25">
      <c r="A40" s="319">
        <f t="shared" si="2"/>
        <v>4750000</v>
      </c>
      <c r="B40" s="313">
        <f t="shared" si="0"/>
        <v>51167.454079337178</v>
      </c>
      <c r="C40" s="320">
        <f t="shared" si="1"/>
        <v>11560774.574685441</v>
      </c>
    </row>
    <row r="41" spans="1:3" x14ac:dyDescent="0.25">
      <c r="A41" s="319">
        <f t="shared" si="2"/>
        <v>5000000</v>
      </c>
      <c r="B41" s="313">
        <f t="shared" si="0"/>
        <v>52228.116762231417</v>
      </c>
      <c r="C41" s="320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258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8"/>
      <c r="C4" s="489"/>
      <c r="D4" s="489"/>
      <c r="E4" s="489"/>
      <c r="F4" s="49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1" t="s">
        <v>8</v>
      </c>
      <c r="B7" s="474" t="s">
        <v>9</v>
      </c>
      <c r="C7" s="474"/>
      <c r="D7" s="474" t="s">
        <v>12</v>
      </c>
      <c r="E7" s="474"/>
      <c r="F7" s="474"/>
      <c r="G7" s="474" t="s">
        <v>124</v>
      </c>
      <c r="H7" s="474"/>
      <c r="I7" s="479"/>
    </row>
    <row r="8" spans="1:9" x14ac:dyDescent="0.25">
      <c r="A8" s="472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3"/>
      <c r="B9" s="311">
        <f>VAC_Optim_Scenario!G25</f>
        <v>20273404</v>
      </c>
      <c r="C9" s="311">
        <f>VAC_Optim_Scenario!H25</f>
        <v>53783542</v>
      </c>
      <c r="D9" s="312">
        <f>VAC_Optim_Scenario!I25</f>
        <v>20273404</v>
      </c>
      <c r="E9" s="84">
        <f>((GLINEARTV!D9/$B$12)^$D$12)*$C$12*$F$12</f>
        <v>142300.5770089858</v>
      </c>
      <c r="F9" s="84">
        <f>E9*F11</f>
        <v>142300.5770089858</v>
      </c>
      <c r="G9" s="76">
        <f>VAC_Optim_Scenario!E25</f>
        <v>25810928.600000001</v>
      </c>
      <c r="H9" s="313">
        <f>((GLINEARTV!G9/$B$12)^$D$12)*$C$12*$F$12</f>
        <v>168508.00202805389</v>
      </c>
      <c r="I9" s="314">
        <f>H9*F11</f>
        <v>168508.00202805389</v>
      </c>
    </row>
    <row r="10" spans="1:9" ht="15.75" thickBot="1" x14ac:dyDescent="0.3"/>
    <row r="11" spans="1:9" ht="48.95" customHeight="1" x14ac:dyDescent="0.25">
      <c r="A11" s="468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8"/>
      <c r="B12" s="316">
        <f>'[9]TV - Power'!$B$12</f>
        <v>25810928.600000001</v>
      </c>
      <c r="C12" s="316">
        <f>'[9]TV - Power'!$C$12</f>
        <v>168508.00202805389</v>
      </c>
      <c r="D12" s="321">
        <f>'[9]TV - Power'!$D$12</f>
        <v>0.7</v>
      </c>
      <c r="E12" s="308" t="s">
        <v>122</v>
      </c>
      <c r="F12" s="317">
        <f>VAC_Optim_Scenario!D25</f>
        <v>1</v>
      </c>
      <c r="G12" s="318">
        <f>B12*2</f>
        <v>51621857.200000003</v>
      </c>
    </row>
    <row r="13" spans="1:9" ht="18.75" customHeight="1" x14ac:dyDescent="0.25">
      <c r="A13" s="482" t="s">
        <v>245</v>
      </c>
      <c r="B13" s="483"/>
      <c r="C13" s="483"/>
      <c r="D13" s="483"/>
      <c r="E13" s="308" t="s">
        <v>246</v>
      </c>
      <c r="F13" s="308" t="s">
        <v>247</v>
      </c>
    </row>
    <row r="14" spans="1:9" ht="15.75" thickBot="1" x14ac:dyDescent="0.3">
      <c r="A14" s="485"/>
      <c r="B14" s="486"/>
      <c r="C14" s="486"/>
      <c r="D14" s="48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80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1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8" t="s">
        <v>37</v>
      </c>
      <c r="B19" s="468"/>
      <c r="C19" s="468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((A21/$B$12)^$D$12)*$C$12*F$12</f>
        <v>0</v>
      </c>
      <c r="C21" s="320">
        <f>B21*$F$14</f>
        <v>0</v>
      </c>
    </row>
    <row r="22" spans="1:4" x14ac:dyDescent="0.25">
      <c r="A22" s="319">
        <f>A21+(($C$17-$B$17)/$D$17)</f>
        <v>1500000</v>
      </c>
      <c r="B22" s="313">
        <f t="shared" ref="B22:B50" si="0">((A22/$B$12)^$D$12)*$C$12*F$12</f>
        <v>22994.388781683774</v>
      </c>
      <c r="C22" s="320">
        <f t="shared" ref="C22:C41" si="1">B22*$F$14</f>
        <v>5195352.2013336318</v>
      </c>
    </row>
    <row r="23" spans="1:4" x14ac:dyDescent="0.25">
      <c r="A23" s="319">
        <f t="shared" ref="A23:A50" si="2">A22+(($C$17-$B$17)/$D$17)</f>
        <v>3000000</v>
      </c>
      <c r="B23" s="313">
        <f t="shared" si="0"/>
        <v>37354.494781339148</v>
      </c>
      <c r="C23" s="320">
        <f t="shared" si="1"/>
        <v>8439874.5508957673</v>
      </c>
    </row>
    <row r="24" spans="1:4" x14ac:dyDescent="0.25">
      <c r="A24" s="319">
        <f t="shared" si="2"/>
        <v>4500000</v>
      </c>
      <c r="B24" s="313">
        <f t="shared" si="0"/>
        <v>49614.286286031464</v>
      </c>
      <c r="C24" s="320">
        <f t="shared" si="1"/>
        <v>11209851.843465948</v>
      </c>
    </row>
    <row r="25" spans="1:4" x14ac:dyDescent="0.25">
      <c r="A25" s="319">
        <f t="shared" si="2"/>
        <v>6000000</v>
      </c>
      <c r="B25" s="313">
        <f t="shared" si="0"/>
        <v>60682.555801638446</v>
      </c>
      <c r="C25" s="320">
        <f t="shared" si="1"/>
        <v>13710616.65782219</v>
      </c>
    </row>
    <row r="26" spans="1:4" x14ac:dyDescent="0.25">
      <c r="A26" s="319">
        <f t="shared" si="2"/>
        <v>7500000</v>
      </c>
      <c r="B26" s="313">
        <f t="shared" si="0"/>
        <v>70941.582654239959</v>
      </c>
      <c r="C26" s="320">
        <f t="shared" si="1"/>
        <v>16028541.184898976</v>
      </c>
    </row>
    <row r="27" spans="1:4" x14ac:dyDescent="0.25">
      <c r="A27" s="319">
        <f t="shared" si="2"/>
        <v>9000000</v>
      </c>
      <c r="B27" s="313">
        <f t="shared" si="0"/>
        <v>80598.645858666729</v>
      </c>
      <c r="C27" s="320">
        <f t="shared" si="1"/>
        <v>18210458.045307159</v>
      </c>
    </row>
    <row r="28" spans="1:4" x14ac:dyDescent="0.25">
      <c r="A28" s="319">
        <f t="shared" si="2"/>
        <v>10500000</v>
      </c>
      <c r="B28" s="313">
        <f t="shared" si="0"/>
        <v>89782.252710432149</v>
      </c>
      <c r="C28" s="320">
        <f t="shared" si="1"/>
        <v>20285402.177395038</v>
      </c>
    </row>
    <row r="29" spans="1:4" x14ac:dyDescent="0.25">
      <c r="A29" s="319">
        <f t="shared" si="2"/>
        <v>12000000</v>
      </c>
      <c r="B29" s="313">
        <f t="shared" si="0"/>
        <v>98579.102733803622</v>
      </c>
      <c r="C29" s="320">
        <f t="shared" si="1"/>
        <v>22272962.47167559</v>
      </c>
    </row>
    <row r="30" spans="1:4" x14ac:dyDescent="0.25">
      <c r="A30" s="319">
        <f t="shared" si="2"/>
        <v>13500000</v>
      </c>
      <c r="B30" s="313">
        <f t="shared" si="0"/>
        <v>107051.22136723484</v>
      </c>
      <c r="C30" s="320">
        <f t="shared" si="1"/>
        <v>24187152.955713041</v>
      </c>
    </row>
    <row r="31" spans="1:4" x14ac:dyDescent="0.25">
      <c r="A31" s="319">
        <f t="shared" si="2"/>
        <v>15000000</v>
      </c>
      <c r="B31" s="313">
        <f t="shared" si="0"/>
        <v>115244.9410244207</v>
      </c>
      <c r="C31" s="320">
        <f t="shared" si="1"/>
        <v>26038441.975057613</v>
      </c>
    </row>
    <row r="32" spans="1:4" x14ac:dyDescent="0.25">
      <c r="A32" s="319">
        <f t="shared" si="2"/>
        <v>16500000</v>
      </c>
      <c r="B32" s="313">
        <f t="shared" si="0"/>
        <v>123196.0404168987</v>
      </c>
      <c r="C32" s="320">
        <f t="shared" si="1"/>
        <v>27834913.371794093</v>
      </c>
    </row>
    <row r="33" spans="1:3" x14ac:dyDescent="0.25">
      <c r="A33" s="319">
        <f t="shared" si="2"/>
        <v>18000000</v>
      </c>
      <c r="B33" s="313">
        <f t="shared" si="0"/>
        <v>130932.88648353927</v>
      </c>
      <c r="C33" s="320">
        <f t="shared" si="1"/>
        <v>29582976.372090865</v>
      </c>
    </row>
    <row r="34" spans="1:3" x14ac:dyDescent="0.25">
      <c r="A34" s="319">
        <f t="shared" si="2"/>
        <v>19500000</v>
      </c>
      <c r="B34" s="313">
        <f t="shared" si="0"/>
        <v>138478.45727298054</v>
      </c>
      <c r="C34" s="320">
        <f t="shared" si="1"/>
        <v>31287822.636257224</v>
      </c>
    </row>
    <row r="35" spans="1:3" x14ac:dyDescent="0.25">
      <c r="A35" s="319">
        <f t="shared" si="2"/>
        <v>21000000</v>
      </c>
      <c r="B35" s="313">
        <f t="shared" si="0"/>
        <v>145851.69982861925</v>
      </c>
      <c r="C35" s="320">
        <f t="shared" si="1"/>
        <v>32953733.059278235</v>
      </c>
    </row>
    <row r="36" spans="1:3" x14ac:dyDescent="0.25">
      <c r="A36" s="319">
        <f t="shared" si="2"/>
        <v>22500000</v>
      </c>
      <c r="B36" s="313">
        <f t="shared" si="0"/>
        <v>153068.47356583198</v>
      </c>
      <c r="C36" s="320">
        <f t="shared" si="1"/>
        <v>34584290.917464077</v>
      </c>
    </row>
    <row r="37" spans="1:3" x14ac:dyDescent="0.25">
      <c r="A37" s="319">
        <f t="shared" si="2"/>
        <v>24000000</v>
      </c>
      <c r="B37" s="313">
        <f t="shared" si="0"/>
        <v>160142.22485235901</v>
      </c>
      <c r="C37" s="320">
        <f t="shared" si="1"/>
        <v>36182534.283141993</v>
      </c>
    </row>
    <row r="38" spans="1:3" x14ac:dyDescent="0.25">
      <c r="A38" s="319">
        <f t="shared" si="2"/>
        <v>25500000</v>
      </c>
      <c r="B38" s="313">
        <f t="shared" si="0"/>
        <v>167084.48137313194</v>
      </c>
      <c r="C38" s="320">
        <f t="shared" si="1"/>
        <v>37751067.721445434</v>
      </c>
    </row>
    <row r="39" spans="1:3" x14ac:dyDescent="0.25">
      <c r="A39" s="319">
        <f t="shared" si="2"/>
        <v>27000000</v>
      </c>
      <c r="B39" s="313">
        <f t="shared" si="0"/>
        <v>173905.2221767967</v>
      </c>
      <c r="C39" s="320">
        <f t="shared" si="1"/>
        <v>39292145.898625448</v>
      </c>
    </row>
    <row r="40" spans="1:3" x14ac:dyDescent="0.25">
      <c r="A40" s="319">
        <f t="shared" si="2"/>
        <v>28500000</v>
      </c>
      <c r="B40" s="313">
        <f t="shared" si="0"/>
        <v>180613.15982339281</v>
      </c>
      <c r="C40" s="320">
        <f t="shared" si="1"/>
        <v>40807737.330497369</v>
      </c>
    </row>
    <row r="41" spans="1:3" x14ac:dyDescent="0.25">
      <c r="A41" s="319">
        <f t="shared" si="2"/>
        <v>30000000</v>
      </c>
      <c r="B41" s="313">
        <f t="shared" si="0"/>
        <v>187215.95903003748</v>
      </c>
      <c r="C41" s="320">
        <f t="shared" si="1"/>
        <v>42299573.783246666</v>
      </c>
    </row>
    <row r="42" spans="1:3" x14ac:dyDescent="0.25">
      <c r="A42" s="319">
        <f t="shared" si="2"/>
        <v>31500000</v>
      </c>
      <c r="B42" s="313">
        <f t="shared" si="0"/>
        <v>193720.40856021506</v>
      </c>
    </row>
    <row r="43" spans="1:3" x14ac:dyDescent="0.25">
      <c r="A43" s="319">
        <f t="shared" si="2"/>
        <v>33000000</v>
      </c>
      <c r="B43" s="313">
        <f t="shared" si="0"/>
        <v>200132.55810045125</v>
      </c>
    </row>
    <row r="44" spans="1:3" x14ac:dyDescent="0.25">
      <c r="A44" s="319">
        <f t="shared" si="2"/>
        <v>34500000</v>
      </c>
      <c r="B44" s="313">
        <f t="shared" si="0"/>
        <v>206457.82851960618</v>
      </c>
    </row>
    <row r="45" spans="1:3" x14ac:dyDescent="0.25">
      <c r="A45" s="319">
        <f t="shared" si="2"/>
        <v>36000000</v>
      </c>
      <c r="B45" s="313">
        <f t="shared" si="0"/>
        <v>212701.10161618746</v>
      </c>
    </row>
    <row r="46" spans="1:3" x14ac:dyDescent="0.25">
      <c r="A46" s="319">
        <f t="shared" si="2"/>
        <v>37500000</v>
      </c>
      <c r="B46" s="313">
        <f t="shared" si="0"/>
        <v>218866.79386308251</v>
      </c>
    </row>
    <row r="47" spans="1:3" x14ac:dyDescent="0.25">
      <c r="A47" s="319">
        <f t="shared" si="2"/>
        <v>39000000</v>
      </c>
      <c r="B47" s="313">
        <f t="shared" si="0"/>
        <v>224958.91752738602</v>
      </c>
    </row>
    <row r="48" spans="1:3" x14ac:dyDescent="0.25">
      <c r="A48" s="319">
        <f t="shared" si="2"/>
        <v>40500000</v>
      </c>
      <c r="B48" s="313">
        <f t="shared" si="0"/>
        <v>230981.13172784238</v>
      </c>
    </row>
    <row r="49" spans="1:2" x14ac:dyDescent="0.25">
      <c r="A49" s="319">
        <f t="shared" si="2"/>
        <v>42000000</v>
      </c>
      <c r="B49" s="313">
        <f t="shared" si="0"/>
        <v>236936.78539685268</v>
      </c>
    </row>
    <row r="50" spans="1:2" x14ac:dyDescent="0.25">
      <c r="A50" s="319">
        <f t="shared" si="2"/>
        <v>43500000</v>
      </c>
      <c r="B50" s="313">
        <f t="shared" si="0"/>
        <v>242828.95367313846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69" t="s">
        <v>106</v>
      </c>
      <c r="C4" s="469"/>
      <c r="D4" s="469"/>
      <c r="E4" s="469"/>
      <c r="F4" s="47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1" t="s">
        <v>8</v>
      </c>
      <c r="B7" s="474" t="s">
        <v>9</v>
      </c>
      <c r="C7" s="475"/>
      <c r="D7" s="476" t="s">
        <v>12</v>
      </c>
      <c r="E7" s="477"/>
      <c r="F7" s="478"/>
      <c r="G7" s="474" t="s">
        <v>124</v>
      </c>
      <c r="H7" s="474"/>
      <c r="I7" s="479"/>
      <c r="J7" s="98" t="s">
        <v>125</v>
      </c>
    </row>
    <row r="8" spans="1:18" ht="28.35" customHeight="1" x14ac:dyDescent="0.2">
      <c r="A8" s="47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7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8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81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82" t="s">
        <v>114</v>
      </c>
      <c r="B13" s="483"/>
      <c r="C13" s="483"/>
      <c r="D13" s="483"/>
      <c r="E13" s="483"/>
      <c r="F13" s="484"/>
      <c r="G13" s="119" t="s">
        <v>150</v>
      </c>
      <c r="H13" s="119" t="s">
        <v>151</v>
      </c>
      <c r="K13" s="482" t="s">
        <v>115</v>
      </c>
      <c r="L13" s="483"/>
      <c r="M13" s="483"/>
      <c r="N13" s="483"/>
      <c r="O13" s="483"/>
      <c r="P13" s="483"/>
      <c r="Q13" s="483"/>
      <c r="R13" s="484"/>
    </row>
    <row r="14" spans="1:18" ht="33.6" customHeight="1" thickBot="1" x14ac:dyDescent="0.25">
      <c r="A14" s="485"/>
      <c r="B14" s="486"/>
      <c r="C14" s="486"/>
      <c r="D14" s="486"/>
      <c r="E14" s="486"/>
      <c r="F14" s="487"/>
      <c r="G14" s="95">
        <f>VAC_Optim_Scenario!I33</f>
        <v>225.94</v>
      </c>
      <c r="H14" s="95">
        <f>VAC_Optim_Scenario!G33</f>
        <v>225.94</v>
      </c>
      <c r="K14" s="485"/>
      <c r="L14" s="486"/>
      <c r="M14" s="486"/>
      <c r="N14" s="486"/>
      <c r="O14" s="486"/>
      <c r="P14" s="486"/>
      <c r="Q14" s="486"/>
      <c r="R14" s="487"/>
    </row>
    <row r="16" spans="1:18" ht="13.5" thickBot="1" x14ac:dyDescent="0.25"/>
    <row r="17" spans="1:8" ht="42.6" customHeight="1" x14ac:dyDescent="0.2">
      <c r="A17" s="48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81"/>
      <c r="B18" s="75">
        <v>0</v>
      </c>
      <c r="C18" s="76">
        <v>4000000</v>
      </c>
      <c r="D18" s="26">
        <v>20</v>
      </c>
    </row>
    <row r="20" spans="1:8" x14ac:dyDescent="0.2">
      <c r="A20" s="468" t="s">
        <v>37</v>
      </c>
      <c r="B20" s="468"/>
      <c r="C20" s="468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237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57" t="s">
        <v>102</v>
      </c>
      <c r="I2" s="258"/>
      <c r="J2" s="258"/>
      <c r="K2" s="258"/>
      <c r="L2" s="259"/>
    </row>
    <row r="3" spans="1:18" ht="13.5" thickBot="1" x14ac:dyDescent="0.25">
      <c r="A3" s="11" t="s">
        <v>3</v>
      </c>
      <c r="B3" s="12" t="s">
        <v>236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9" t="s">
        <v>106</v>
      </c>
      <c r="C4" s="469"/>
      <c r="D4" s="469"/>
      <c r="E4" s="469"/>
      <c r="F4" s="47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1" t="s">
        <v>8</v>
      </c>
      <c r="B7" s="474" t="s">
        <v>9</v>
      </c>
      <c r="C7" s="475"/>
      <c r="D7" s="476" t="s">
        <v>12</v>
      </c>
      <c r="E7" s="477"/>
      <c r="F7" s="478"/>
      <c r="G7" s="474" t="s">
        <v>124</v>
      </c>
      <c r="H7" s="474"/>
      <c r="I7" s="479"/>
      <c r="J7" s="98" t="s">
        <v>125</v>
      </c>
    </row>
    <row r="8" spans="1:18" ht="28.35" customHeight="1" x14ac:dyDescent="0.2">
      <c r="A8" s="472"/>
      <c r="B8" s="256" t="s">
        <v>10</v>
      </c>
      <c r="C8" s="17" t="s">
        <v>11</v>
      </c>
      <c r="D8" s="19" t="s">
        <v>20</v>
      </c>
      <c r="E8" s="256" t="s">
        <v>21</v>
      </c>
      <c r="F8" s="81" t="s">
        <v>117</v>
      </c>
      <c r="G8" s="260" t="s">
        <v>22</v>
      </c>
      <c r="H8" s="256" t="s">
        <v>23</v>
      </c>
      <c r="I8" s="88" t="s">
        <v>123</v>
      </c>
    </row>
    <row r="9" spans="1:18" ht="14.45" customHeight="1" thickBot="1" x14ac:dyDescent="0.25">
      <c r="A9" s="473"/>
      <c r="B9" s="95">
        <f>VAC_Optim_Scenario!G26</f>
        <v>3200000</v>
      </c>
      <c r="C9" s="95">
        <f>VAC_Optim_Scenario!H26</f>
        <v>3200000</v>
      </c>
      <c r="D9" s="68">
        <f>VAC_Optim_Scenario!I26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71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80" t="s">
        <v>25</v>
      </c>
      <c r="L11" s="262" t="s">
        <v>110</v>
      </c>
      <c r="M11" s="262" t="s">
        <v>111</v>
      </c>
      <c r="N11" s="262" t="s">
        <v>112</v>
      </c>
      <c r="O11" s="262" t="s">
        <v>113</v>
      </c>
      <c r="P11" s="262" t="s">
        <v>26</v>
      </c>
      <c r="Q11" s="262" t="s">
        <v>27</v>
      </c>
      <c r="R11" s="263" t="s">
        <v>28</v>
      </c>
    </row>
    <row r="12" spans="1:18" ht="15" customHeight="1" thickBot="1" x14ac:dyDescent="0.25">
      <c r="A12" s="473"/>
      <c r="B12" s="293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4">
        <f>VAC_Optim_Scenario!D26</f>
        <v>1</v>
      </c>
      <c r="K12" s="481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82" t="s">
        <v>169</v>
      </c>
      <c r="B13" s="483"/>
      <c r="C13" s="483"/>
      <c r="D13" s="483"/>
      <c r="E13" s="483"/>
      <c r="F13" s="484"/>
      <c r="G13" s="256" t="s">
        <v>150</v>
      </c>
      <c r="H13" s="256" t="s">
        <v>151</v>
      </c>
      <c r="K13" s="482" t="s">
        <v>115</v>
      </c>
      <c r="L13" s="483"/>
      <c r="M13" s="483"/>
      <c r="N13" s="483"/>
      <c r="O13" s="483"/>
      <c r="P13" s="483"/>
      <c r="Q13" s="483"/>
      <c r="R13" s="484"/>
    </row>
    <row r="14" spans="1:18" ht="33.6" customHeight="1" thickBot="1" x14ac:dyDescent="0.25">
      <c r="A14" s="485"/>
      <c r="B14" s="486"/>
      <c r="C14" s="486"/>
      <c r="D14" s="486"/>
      <c r="E14" s="486"/>
      <c r="F14" s="487"/>
      <c r="G14" s="95">
        <f>VAC_Optim_Scenario!$I$33</f>
        <v>225.94</v>
      </c>
      <c r="H14" s="95">
        <f>VAC_Optim_Scenario!$F$33</f>
        <v>225.94</v>
      </c>
      <c r="K14" s="485"/>
      <c r="L14" s="486"/>
      <c r="M14" s="486"/>
      <c r="N14" s="486"/>
      <c r="O14" s="486"/>
      <c r="P14" s="486"/>
      <c r="Q14" s="486"/>
      <c r="R14" s="487"/>
    </row>
    <row r="16" spans="1:18" ht="13.5" thickBot="1" x14ac:dyDescent="0.25"/>
    <row r="17" spans="1:8" ht="42.6" customHeight="1" x14ac:dyDescent="0.2">
      <c r="A17" s="480" t="s">
        <v>34</v>
      </c>
      <c r="B17" s="262" t="s">
        <v>32</v>
      </c>
      <c r="C17" s="262" t="s">
        <v>31</v>
      </c>
      <c r="D17" s="263" t="s">
        <v>33</v>
      </c>
      <c r="F17" s="82"/>
      <c r="G17" s="82"/>
      <c r="H17" s="83"/>
    </row>
    <row r="18" spans="1:8" ht="23.45" customHeight="1" thickBot="1" x14ac:dyDescent="0.25">
      <c r="A18" s="481"/>
      <c r="B18" s="75">
        <v>0</v>
      </c>
      <c r="C18" s="76">
        <v>4000000</v>
      </c>
      <c r="D18" s="26">
        <v>20</v>
      </c>
    </row>
    <row r="20" spans="1:8" x14ac:dyDescent="0.2">
      <c r="A20" s="468" t="s">
        <v>37</v>
      </c>
      <c r="B20" s="468"/>
      <c r="C20" s="468"/>
    </row>
    <row r="21" spans="1:8" ht="25.5" x14ac:dyDescent="0.2">
      <c r="A21" s="256" t="s">
        <v>35</v>
      </c>
      <c r="B21" s="256" t="s">
        <v>170</v>
      </c>
      <c r="C21" s="256" t="s">
        <v>171</v>
      </c>
      <c r="D21" s="98" t="s">
        <v>172</v>
      </c>
      <c r="E21" s="25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3" t="s">
        <v>100</v>
      </c>
      <c r="G2" s="454"/>
      <c r="H2" s="454"/>
      <c r="I2" s="454"/>
      <c r="J2" s="454"/>
      <c r="K2" s="454"/>
      <c r="L2" s="455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56" t="s">
        <v>72</v>
      </c>
      <c r="G3" s="457"/>
      <c r="H3" s="457"/>
      <c r="I3" s="457"/>
      <c r="J3" s="457"/>
      <c r="K3" s="457"/>
      <c r="L3" s="458"/>
    </row>
    <row r="4" spans="1:12" ht="13.5" thickBot="1" x14ac:dyDescent="0.25">
      <c r="A4" s="29" t="s">
        <v>38</v>
      </c>
      <c r="B4" s="491" t="s">
        <v>39</v>
      </c>
      <c r="C4" s="491"/>
      <c r="D4" s="492"/>
    </row>
    <row r="6" spans="1:12" ht="13.5" thickBot="1" x14ac:dyDescent="0.25"/>
    <row r="7" spans="1:12" ht="27.75" customHeight="1" x14ac:dyDescent="0.2">
      <c r="A7" s="471" t="s">
        <v>8</v>
      </c>
      <c r="B7" s="474" t="s">
        <v>9</v>
      </c>
      <c r="C7" s="475"/>
      <c r="D7" s="476" t="s">
        <v>12</v>
      </c>
      <c r="E7" s="478"/>
      <c r="F7" s="477" t="s">
        <v>24</v>
      </c>
      <c r="G7" s="499"/>
    </row>
    <row r="8" spans="1:12" ht="25.5" x14ac:dyDescent="0.2">
      <c r="A8" s="47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7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71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73"/>
      <c r="B12" s="12">
        <v>20</v>
      </c>
      <c r="C12" s="12">
        <v>30</v>
      </c>
      <c r="D12" s="12">
        <v>0</v>
      </c>
      <c r="E12" s="14">
        <v>70</v>
      </c>
      <c r="G12" s="47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82" t="s">
        <v>30</v>
      </c>
      <c r="B13" s="483"/>
      <c r="C13" s="483"/>
      <c r="D13" s="483"/>
      <c r="E13" s="484"/>
      <c r="G13" s="493" t="s">
        <v>29</v>
      </c>
      <c r="H13" s="494"/>
      <c r="I13" s="494"/>
      <c r="J13" s="495"/>
    </row>
    <row r="14" spans="1:12" ht="33.6" customHeight="1" x14ac:dyDescent="0.2">
      <c r="A14" s="485"/>
      <c r="B14" s="486"/>
      <c r="C14" s="486"/>
      <c r="D14" s="486"/>
      <c r="E14" s="487"/>
      <c r="G14" s="496"/>
      <c r="H14" s="497"/>
      <c r="I14" s="497"/>
      <c r="J14" s="498"/>
    </row>
    <row r="16" spans="1:12" ht="13.5" thickBot="1" x14ac:dyDescent="0.25"/>
    <row r="17" spans="1:4" ht="17.100000000000001" customHeight="1" x14ac:dyDescent="0.2">
      <c r="A17" s="480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81"/>
      <c r="B18" s="12">
        <v>0</v>
      </c>
      <c r="C18" s="12">
        <v>100</v>
      </c>
      <c r="D18" s="26">
        <v>20</v>
      </c>
    </row>
    <row r="20" spans="1:4" x14ac:dyDescent="0.2">
      <c r="A20" s="468" t="s">
        <v>37</v>
      </c>
      <c r="B20" s="468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3" t="s">
        <v>100</v>
      </c>
      <c r="G2" s="454"/>
      <c r="H2" s="454"/>
      <c r="I2" s="454"/>
      <c r="J2" s="454"/>
      <c r="K2" s="454"/>
      <c r="L2" s="455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56" t="s">
        <v>72</v>
      </c>
      <c r="G3" s="457"/>
      <c r="H3" s="457"/>
      <c r="I3" s="457"/>
      <c r="J3" s="457"/>
      <c r="K3" s="457"/>
      <c r="L3" s="458"/>
    </row>
    <row r="4" spans="1:12" ht="31.7" customHeight="1" thickBot="1" x14ac:dyDescent="0.25">
      <c r="A4" s="29" t="s">
        <v>38</v>
      </c>
      <c r="B4" s="504" t="s">
        <v>41</v>
      </c>
      <c r="C4" s="505"/>
      <c r="D4" s="506"/>
    </row>
    <row r="6" spans="1:12" ht="13.5" thickBot="1" x14ac:dyDescent="0.25"/>
    <row r="7" spans="1:12" ht="27.75" customHeight="1" x14ac:dyDescent="0.2">
      <c r="A7" s="471" t="s">
        <v>8</v>
      </c>
      <c r="B7" s="474" t="s">
        <v>9</v>
      </c>
      <c r="C7" s="475"/>
      <c r="D7" s="476" t="s">
        <v>12</v>
      </c>
      <c r="E7" s="478"/>
      <c r="F7" s="477" t="s">
        <v>24</v>
      </c>
      <c r="G7" s="499"/>
      <c r="H7" s="1" t="s">
        <v>54</v>
      </c>
    </row>
    <row r="8" spans="1:12" ht="25.5" x14ac:dyDescent="0.2">
      <c r="A8" s="47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71" t="s">
        <v>42</v>
      </c>
      <c r="B11" s="425" t="s">
        <v>47</v>
      </c>
      <c r="C11" s="501" t="s">
        <v>46</v>
      </c>
      <c r="D11" s="477"/>
      <c r="E11" s="477"/>
      <c r="F11" s="3" t="s">
        <v>48</v>
      </c>
      <c r="G11" s="33"/>
      <c r="H11" s="32"/>
      <c r="I11" s="32"/>
      <c r="J11" s="32"/>
    </row>
    <row r="12" spans="1:12" x14ac:dyDescent="0.2">
      <c r="A12" s="502"/>
      <c r="B12" s="42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0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500" t="s">
        <v>52</v>
      </c>
      <c r="B14" s="500"/>
      <c r="C14" s="500"/>
      <c r="D14" s="500"/>
      <c r="E14" s="500"/>
      <c r="F14" s="500"/>
      <c r="G14" s="38"/>
      <c r="H14" s="39"/>
      <c r="I14" s="39"/>
      <c r="J14" s="39"/>
    </row>
    <row r="15" spans="1:12" ht="30.6" customHeight="1" x14ac:dyDescent="0.2">
      <c r="A15" s="500"/>
      <c r="B15" s="500"/>
      <c r="C15" s="500"/>
      <c r="D15" s="500"/>
      <c r="E15" s="500"/>
      <c r="F15" s="500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80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81"/>
      <c r="B19" s="12">
        <v>0</v>
      </c>
      <c r="C19" s="12">
        <v>20000000</v>
      </c>
      <c r="D19" s="26">
        <v>20</v>
      </c>
    </row>
    <row r="21" spans="1:4" x14ac:dyDescent="0.2">
      <c r="A21" s="468" t="s">
        <v>37</v>
      </c>
      <c r="B21" s="468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53" t="s">
        <v>100</v>
      </c>
      <c r="G2" s="454"/>
      <c r="H2" s="454"/>
      <c r="I2" s="454"/>
      <c r="J2" s="454"/>
      <c r="K2" s="454"/>
      <c r="L2" s="455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56" t="s">
        <v>72</v>
      </c>
      <c r="G3" s="457"/>
      <c r="H3" s="457"/>
      <c r="I3" s="457"/>
      <c r="J3" s="457"/>
      <c r="K3" s="457"/>
      <c r="L3" s="458"/>
    </row>
    <row r="4" spans="1:14" ht="13.5" thickBot="1" x14ac:dyDescent="0.25">
      <c r="A4" s="29" t="s">
        <v>38</v>
      </c>
      <c r="B4" s="491" t="s">
        <v>57</v>
      </c>
      <c r="C4" s="491"/>
      <c r="D4" s="492"/>
    </row>
    <row r="6" spans="1:14" ht="13.5" thickBot="1" x14ac:dyDescent="0.25"/>
    <row r="7" spans="1:14" ht="27.75" customHeight="1" x14ac:dyDescent="0.2">
      <c r="A7" s="471" t="s">
        <v>8</v>
      </c>
      <c r="B7" s="474" t="s">
        <v>9</v>
      </c>
      <c r="C7" s="475"/>
      <c r="D7" s="476" t="s">
        <v>12</v>
      </c>
      <c r="E7" s="478"/>
      <c r="F7" s="477" t="s">
        <v>24</v>
      </c>
      <c r="G7" s="499"/>
      <c r="I7" s="512" t="s">
        <v>73</v>
      </c>
      <c r="J7" s="512"/>
      <c r="K7" s="512"/>
      <c r="L7" s="512"/>
      <c r="N7" s="47" t="s">
        <v>58</v>
      </c>
    </row>
    <row r="8" spans="1:14" ht="25.5" x14ac:dyDescent="0.2">
      <c r="A8" s="47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12"/>
      <c r="J8" s="512"/>
      <c r="K8" s="512"/>
      <c r="L8" s="512"/>
      <c r="N8" s="47" t="s">
        <v>59</v>
      </c>
    </row>
    <row r="9" spans="1:14" ht="13.5" thickBot="1" x14ac:dyDescent="0.25">
      <c r="A9" s="47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68" t="s">
        <v>60</v>
      </c>
      <c r="B11" s="3" t="s">
        <v>61</v>
      </c>
      <c r="C11" s="3" t="s">
        <v>62</v>
      </c>
      <c r="D11" s="32"/>
      <c r="E11" s="510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68"/>
      <c r="B12" s="41">
        <v>0</v>
      </c>
      <c r="C12" s="41">
        <v>0</v>
      </c>
      <c r="D12" s="32"/>
      <c r="E12" s="511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68"/>
      <c r="B13" s="41">
        <v>1</v>
      </c>
      <c r="C13" s="41">
        <v>0.75</v>
      </c>
      <c r="D13" s="32"/>
      <c r="E13" s="511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68"/>
      <c r="B14" s="41">
        <v>2</v>
      </c>
      <c r="C14" s="41">
        <v>0</v>
      </c>
      <c r="D14" s="32"/>
      <c r="E14" s="511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68"/>
      <c r="B15" s="41">
        <v>3</v>
      </c>
      <c r="C15" s="41">
        <v>-1</v>
      </c>
      <c r="D15" s="32"/>
      <c r="E15" s="511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68"/>
      <c r="B16" s="41">
        <v>4</v>
      </c>
      <c r="C16" s="41">
        <v>3</v>
      </c>
      <c r="D16" s="32"/>
      <c r="E16" s="511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68"/>
      <c r="B17" s="42">
        <v>5</v>
      </c>
      <c r="C17" s="42">
        <v>3</v>
      </c>
      <c r="D17" s="40"/>
      <c r="E17" s="511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07" t="s">
        <v>74</v>
      </c>
      <c r="B18" s="508"/>
      <c r="C18" s="509"/>
      <c r="D18" s="33"/>
      <c r="E18" s="500" t="s">
        <v>75</v>
      </c>
      <c r="F18" s="500"/>
      <c r="G18" s="500"/>
      <c r="H18" s="500"/>
      <c r="I18" s="500"/>
      <c r="J18" s="500"/>
      <c r="K18" s="500"/>
      <c r="L18" s="500"/>
      <c r="M18" s="500"/>
    </row>
    <row r="19" spans="1:13" ht="35.450000000000003" customHeight="1" x14ac:dyDescent="0.2">
      <c r="A19" s="485"/>
      <c r="B19" s="486"/>
      <c r="C19" s="487"/>
      <c r="D19" s="33"/>
      <c r="E19" s="500"/>
      <c r="F19" s="500"/>
      <c r="G19" s="500"/>
      <c r="H19" s="500"/>
      <c r="I19" s="500"/>
      <c r="J19" s="500"/>
      <c r="K19" s="500"/>
      <c r="L19" s="500"/>
      <c r="M19" s="500"/>
    </row>
    <row r="21" spans="1:13" ht="13.5" thickBot="1" x14ac:dyDescent="0.25"/>
    <row r="22" spans="1:13" ht="17.100000000000001" customHeight="1" x14ac:dyDescent="0.2">
      <c r="A22" s="480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81"/>
      <c r="B23" s="12">
        <v>0</v>
      </c>
      <c r="C23" s="12">
        <v>5</v>
      </c>
      <c r="D23" s="26">
        <v>20</v>
      </c>
    </row>
    <row r="25" spans="1:13" x14ac:dyDescent="0.2">
      <c r="A25" s="468" t="s">
        <v>37</v>
      </c>
      <c r="B25" s="468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13" t="s">
        <v>106</v>
      </c>
      <c r="C4" s="513"/>
      <c r="D4" s="513"/>
      <c r="E4" s="513"/>
      <c r="F4" s="514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71" t="s">
        <v>8</v>
      </c>
      <c r="B7" s="474" t="s">
        <v>9</v>
      </c>
      <c r="C7" s="475"/>
      <c r="D7" s="476" t="s">
        <v>12</v>
      </c>
      <c r="E7" s="478"/>
      <c r="F7" s="477" t="s">
        <v>24</v>
      </c>
      <c r="G7" s="499"/>
    </row>
    <row r="8" spans="1:15" ht="25.5" x14ac:dyDescent="0.2">
      <c r="A8" s="472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7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71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80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7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81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82" t="s">
        <v>114</v>
      </c>
      <c r="B13" s="483"/>
      <c r="C13" s="483"/>
      <c r="D13" s="483"/>
      <c r="E13" s="483"/>
      <c r="F13" s="484"/>
      <c r="H13" s="482" t="s">
        <v>115</v>
      </c>
      <c r="I13" s="483"/>
      <c r="J13" s="483"/>
      <c r="K13" s="483"/>
      <c r="L13" s="483"/>
      <c r="M13" s="483"/>
      <c r="N13" s="483"/>
      <c r="O13" s="484"/>
    </row>
    <row r="14" spans="1:15" ht="33.6" customHeight="1" x14ac:dyDescent="0.2">
      <c r="A14" s="485"/>
      <c r="B14" s="486"/>
      <c r="C14" s="486"/>
      <c r="D14" s="486"/>
      <c r="E14" s="486"/>
      <c r="F14" s="487"/>
      <c r="H14" s="485"/>
      <c r="I14" s="486"/>
      <c r="J14" s="486"/>
      <c r="K14" s="486"/>
      <c r="L14" s="486"/>
      <c r="M14" s="486"/>
      <c r="N14" s="486"/>
      <c r="O14" s="487"/>
    </row>
    <row r="16" spans="1:15" ht="13.5" thickBot="1" x14ac:dyDescent="0.25"/>
    <row r="17" spans="1:4" ht="17.100000000000001" customHeight="1" x14ac:dyDescent="0.2">
      <c r="A17" s="480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81"/>
      <c r="B18" s="75">
        <v>0</v>
      </c>
      <c r="C18" s="76">
        <v>200000000</v>
      </c>
      <c r="D18" s="26">
        <v>20</v>
      </c>
    </row>
    <row r="20" spans="1:4" x14ac:dyDescent="0.2">
      <c r="A20" s="468" t="s">
        <v>37</v>
      </c>
      <c r="B20" s="468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doses_contrib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2023-09-14T07:06:42Z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