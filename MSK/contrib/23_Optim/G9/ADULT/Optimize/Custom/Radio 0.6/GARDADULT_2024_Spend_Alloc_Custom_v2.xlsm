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Optimize\Custom\Radio 0.6\"/>
    </mc:Choice>
  </mc:AlternateContent>
  <xr:revisionPtr revIDLastSave="0" documentId="13_ncr:1_{AA45CF76-453F-4643-BFAA-5BA727B4BA07}" xr6:coauthVersionLast="47" xr6:coauthVersionMax="47" xr10:uidLastSave="{00000000-0000-0000-0000-000000000000}"/>
  <bookViews>
    <workbookView xWindow="-120" yWindow="-120" windowWidth="20730" windowHeight="11160" tabRatio="906" firstSheet="1" activeTab="1" xr2:uid="{00000000-000D-0000-FFFF-FFFF00000000}"/>
  </bookViews>
  <sheets>
    <sheet name="Sensitivity - Template" sheetId="86" state="hidden" r:id="rId1"/>
    <sheet name="Scenario summary" sheetId="78" r:id="rId2"/>
    <sheet name="Chart - Combined" sheetId="36" r:id="rId3"/>
    <sheet name="Sensitivity" sheetId="81" state="hidden" r:id="rId4"/>
    <sheet name="Contribution, promo eff, ROI" sheetId="80" r:id="rId5"/>
    <sheet name="Scenario deep dive" sheetId="79" r:id="rId6"/>
    <sheet name="VAC_Optim_Scenario" sheetId="23" r:id="rId7"/>
    <sheet name="Current Constraints" sheetId="95" r:id="rId8"/>
    <sheet name="GINOFF" sheetId="51" r:id="rId9"/>
    <sheet name="GMCM" sheetId="50" r:id="rId10"/>
    <sheet name="GSOCIAL" sheetId="89" r:id="rId11"/>
    <sheet name="GOLV" sheetId="92" r:id="rId12"/>
    <sheet name="GSTRTV" sheetId="91" r:id="rId13"/>
    <sheet name="GDISP" sheetId="87" r:id="rId14"/>
    <sheet name="GPDSRCH" sheetId="93" r:id="rId15"/>
    <sheet name="GAUDIO" sheetId="88" r:id="rId16"/>
    <sheet name="GLINEARTV" sheetId="90" r:id="rId17"/>
    <sheet name="GPRNT" sheetId="48" state="hidden" r:id="rId18"/>
    <sheet name="GPHRMCY" sheetId="94" r:id="rId19"/>
    <sheet name="Fn.Templates ==&gt;" sheetId="3" r:id="rId20"/>
    <sheet name="FT_SCurveEst" sheetId="2" r:id="rId21"/>
    <sheet name="FT_Equation" sheetId="4" r:id="rId22"/>
    <sheet name="FT_Interpolate" sheetId="5" r:id="rId23"/>
    <sheet name="FT_SCurve3Est" sheetId="13" r:id="rId24"/>
  </sheets>
  <functionGroups builtInGroupCount="19"/>
  <externalReferences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4" hidden="1">'Contribution, promo eff, ROI'!$E$17:$F$25</definedName>
    <definedName name="solver_adj" localSheetId="6" hidden="1">VAC_Optim_Scenario!$I$17:$I$26</definedName>
    <definedName name="solver_cvg" localSheetId="3" hidden="1">0.0001</definedName>
    <definedName name="solver_cvg" localSheetId="0" hidden="1">0.0001</definedName>
    <definedName name="solver_cvg" localSheetId="6" hidden="1">0.0001</definedName>
    <definedName name="solver_drv" localSheetId="3" hidden="1">1</definedName>
    <definedName name="solver_drv" localSheetId="0" hidden="1">1</definedName>
    <definedName name="solver_drv" localSheetId="6" hidden="1">1</definedName>
    <definedName name="solver_eng" localSheetId="18" hidden="1">1</definedName>
    <definedName name="solver_eng" localSheetId="3" hidden="1">1</definedName>
    <definedName name="solver_eng" localSheetId="0" hidden="1">1</definedName>
    <definedName name="solver_eng" localSheetId="6" hidden="1">1</definedName>
    <definedName name="solver_est" localSheetId="3" hidden="1">1</definedName>
    <definedName name="solver_est" localSheetId="0" hidden="1">1</definedName>
    <definedName name="solver_est" localSheetId="6" hidden="1">1</definedName>
    <definedName name="solver_itr" localSheetId="3" hidden="1">2147483647</definedName>
    <definedName name="solver_itr" localSheetId="0" hidden="1">2147483647</definedName>
    <definedName name="solver_itr" localSheetId="6" hidden="1">2147483647</definedName>
    <definedName name="solver_lhs0" localSheetId="6" hidden="1">VAC_Optim_Scenario!$I$27</definedName>
    <definedName name="solver_lhs1" localSheetId="6" hidden="1">VAC_Optim_Scenario!$B$12</definedName>
    <definedName name="solver_lhs2" localSheetId="6" hidden="1">VAC_Optim_Scenario!$I$17:$I$26</definedName>
    <definedName name="solver_lhs3" localSheetId="6" hidden="1">VAC_Optim_Scenario!$I$17:$I$26</definedName>
    <definedName name="solver_lhs4" localSheetId="6" hidden="1">VAC_Optim_Scenario!$I$27</definedName>
    <definedName name="solver_lhs5" localSheetId="6" hidden="1">VAC_Optim_Scenario!#REF!</definedName>
    <definedName name="solver_mip" localSheetId="3" hidden="1">2147483647</definedName>
    <definedName name="solver_mip" localSheetId="0" hidden="1">2147483647</definedName>
    <definedName name="solver_mip" localSheetId="6" hidden="1">2147483647</definedName>
    <definedName name="solver_mni" localSheetId="3" hidden="1">30</definedName>
    <definedName name="solver_mni" localSheetId="0" hidden="1">30</definedName>
    <definedName name="solver_mni" localSheetId="6" hidden="1">30</definedName>
    <definedName name="solver_mrt" localSheetId="3" hidden="1">0.075</definedName>
    <definedName name="solver_mrt" localSheetId="0" hidden="1">0.075</definedName>
    <definedName name="solver_mrt" localSheetId="6" hidden="1">0.075</definedName>
    <definedName name="solver_msl" localSheetId="3" hidden="1">2</definedName>
    <definedName name="solver_msl" localSheetId="0" hidden="1">2</definedName>
    <definedName name="solver_msl" localSheetId="6" hidden="1">2</definedName>
    <definedName name="solver_neg" localSheetId="18" hidden="1">1</definedName>
    <definedName name="solver_neg" localSheetId="3" hidden="1">1</definedName>
    <definedName name="solver_neg" localSheetId="0" hidden="1">1</definedName>
    <definedName name="solver_neg" localSheetId="6" hidden="1">1</definedName>
    <definedName name="solver_nod" localSheetId="3" hidden="1">2147483647</definedName>
    <definedName name="solver_nod" localSheetId="0" hidden="1">2147483647</definedName>
    <definedName name="solver_nod" localSheetId="6" hidden="1">2147483647</definedName>
    <definedName name="solver_num" localSheetId="18" hidden="1">0</definedName>
    <definedName name="solver_num" localSheetId="3" hidden="1">0</definedName>
    <definedName name="solver_num" localSheetId="0" hidden="1">0</definedName>
    <definedName name="solver_num" localSheetId="6" hidden="1">3</definedName>
    <definedName name="solver_nwt" localSheetId="3" hidden="1">1</definedName>
    <definedName name="solver_nwt" localSheetId="0" hidden="1">1</definedName>
    <definedName name="solver_nwt" localSheetId="6" hidden="1">1</definedName>
    <definedName name="solver_opt" localSheetId="18" hidden="1">GPHRMCY!$I$12</definedName>
    <definedName name="solver_opt" localSheetId="3" hidden="1">Sensitivity!$F$6</definedName>
    <definedName name="solver_opt" localSheetId="0" hidden="1">'Sensitivity - Template'!$F$6</definedName>
    <definedName name="solver_opt" localSheetId="6" hidden="1">VAC_Optim_Scenario!$B$9</definedName>
    <definedName name="solver_pre" localSheetId="3" hidden="1">0.000001</definedName>
    <definedName name="solver_pre" localSheetId="0" hidden="1">0.000001</definedName>
    <definedName name="solver_pre" localSheetId="6" hidden="1">0.00000001</definedName>
    <definedName name="solver_rbv" localSheetId="3" hidden="1">1</definedName>
    <definedName name="solver_rbv" localSheetId="0" hidden="1">1</definedName>
    <definedName name="solver_rbv" localSheetId="6" hidden="1">1</definedName>
    <definedName name="solver_rel0" localSheetId="6" hidden="1">3</definedName>
    <definedName name="solver_rel1" localSheetId="6" hidden="1">2</definedName>
    <definedName name="solver_rel2" localSheetId="6" hidden="1">1</definedName>
    <definedName name="solver_rel3" localSheetId="6" hidden="1">3</definedName>
    <definedName name="solver_rel4" localSheetId="6" hidden="1">3</definedName>
    <definedName name="solver_rel5" localSheetId="6" hidden="1">2</definedName>
    <definedName name="solver_rhs0" localSheetId="6" hidden="1">VAC_Optim_Scenario!$C$12</definedName>
    <definedName name="solver_rhs1" localSheetId="6" hidden="1">VAC_Optim_Scenario!$I$28</definedName>
    <definedName name="solver_rhs2" localSheetId="6" hidden="1">VAC_Optim_Scenario!$H$17:$H$26</definedName>
    <definedName name="solver_rhs3" localSheetId="6" hidden="1">VAC_Optim_Scenario!$G$17:$G$26</definedName>
    <definedName name="solver_rhs4" localSheetId="6" hidden="1">VAC_Optim_Scenario!$C$12</definedName>
    <definedName name="solver_rhs5" localSheetId="6" hidden="1">VAC_Optim_Scenario!#REF!</definedName>
    <definedName name="solver_rlx" localSheetId="3" hidden="1">2</definedName>
    <definedName name="solver_rlx" localSheetId="0" hidden="1">2</definedName>
    <definedName name="solver_rlx" localSheetId="6" hidden="1">2</definedName>
    <definedName name="solver_rsd" localSheetId="3" hidden="1">0</definedName>
    <definedName name="solver_rsd" localSheetId="0" hidden="1">0</definedName>
    <definedName name="solver_rsd" localSheetId="6" hidden="1">0</definedName>
    <definedName name="solver_scl" localSheetId="3" hidden="1">1</definedName>
    <definedName name="solver_scl" localSheetId="0" hidden="1">1</definedName>
    <definedName name="solver_scl" localSheetId="6" hidden="1">1</definedName>
    <definedName name="solver_sho" localSheetId="3" hidden="1">2</definedName>
    <definedName name="solver_sho" localSheetId="0" hidden="1">2</definedName>
    <definedName name="solver_sho" localSheetId="6" hidden="1">2</definedName>
    <definedName name="solver_ssz" localSheetId="3" hidden="1">100</definedName>
    <definedName name="solver_ssz" localSheetId="0" hidden="1">100</definedName>
    <definedName name="solver_ssz" localSheetId="6" hidden="1">100</definedName>
    <definedName name="solver_tim" localSheetId="3" hidden="1">2147483647</definedName>
    <definedName name="solver_tim" localSheetId="0" hidden="1">2147483647</definedName>
    <definedName name="solver_tim" localSheetId="6" hidden="1">2147483647</definedName>
    <definedName name="solver_tol" localSheetId="3" hidden="1">0.01</definedName>
    <definedName name="solver_tol" localSheetId="0" hidden="1">0.01</definedName>
    <definedName name="solver_tol" localSheetId="6" hidden="1">0.01</definedName>
    <definedName name="solver_typ" localSheetId="18" hidden="1">1</definedName>
    <definedName name="solver_typ" localSheetId="3" hidden="1">1</definedName>
    <definedName name="solver_typ" localSheetId="0" hidden="1">1</definedName>
    <definedName name="solver_typ" localSheetId="6" hidden="1">1</definedName>
    <definedName name="solver_val" localSheetId="18" hidden="1">0</definedName>
    <definedName name="solver_val" localSheetId="3" hidden="1">0</definedName>
    <definedName name="solver_val" localSheetId="0" hidden="1">0</definedName>
    <definedName name="solver_val" localSheetId="6" hidden="1">0</definedName>
    <definedName name="solver_ver" localSheetId="18" hidden="1">3</definedName>
    <definedName name="solver_ver" localSheetId="3" hidden="1">3</definedName>
    <definedName name="solver_ver" localSheetId="0" hidden="1">3</definedName>
    <definedName name="solver_ver" localSheetId="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4" i="79" l="1"/>
  <c r="S25" i="79"/>
  <c r="S26" i="79"/>
  <c r="S27" i="79"/>
  <c r="S28" i="79"/>
  <c r="S29" i="79"/>
  <c r="S30" i="79"/>
  <c r="S31" i="79"/>
  <c r="S32" i="79"/>
  <c r="S23" i="79"/>
  <c r="I28" i="23" l="1"/>
  <c r="B12" i="23" l="1"/>
  <c r="G27" i="23"/>
  <c r="D29" i="23"/>
  <c r="G28" i="92" l="1"/>
  <c r="D13" i="80" l="1"/>
  <c r="D12" i="80"/>
  <c r="D11" i="80"/>
  <c r="D10" i="80"/>
  <c r="D9" i="80"/>
  <c r="D8" i="80"/>
  <c r="D7" i="80"/>
  <c r="D6" i="80"/>
  <c r="D5" i="80"/>
  <c r="D4" i="80"/>
  <c r="Q4" i="80" a="1"/>
  <c r="Q4" i="80" l="1"/>
  <c r="F5" i="95" l="1"/>
  <c r="F6" i="95"/>
  <c r="F7" i="95"/>
  <c r="F8" i="95"/>
  <c r="F9" i="95"/>
  <c r="F10" i="95"/>
  <c r="F11" i="95"/>
  <c r="F12" i="95"/>
  <c r="F13" i="95"/>
  <c r="F4" i="95"/>
  <c r="E5" i="95"/>
  <c r="E6" i="95"/>
  <c r="E7" i="95"/>
  <c r="E8" i="95"/>
  <c r="E9" i="95"/>
  <c r="E10" i="95"/>
  <c r="E11" i="95"/>
  <c r="E12" i="95"/>
  <c r="E13" i="95"/>
  <c r="E4" i="95"/>
  <c r="C5" i="95"/>
  <c r="C6" i="95"/>
  <c r="C7" i="95"/>
  <c r="C8" i="95"/>
  <c r="C9" i="95"/>
  <c r="C10" i="95"/>
  <c r="C11" i="95"/>
  <c r="C12" i="95"/>
  <c r="C13" i="95"/>
  <c r="C4" i="95"/>
  <c r="G86" i="79"/>
  <c r="G87" i="79"/>
  <c r="G88" i="79"/>
  <c r="G89" i="79"/>
  <c r="G90" i="79"/>
  <c r="H90" i="79"/>
  <c r="F90" i="79"/>
  <c r="D90" i="79"/>
  <c r="C90" i="79"/>
  <c r="H89" i="79"/>
  <c r="F89" i="79"/>
  <c r="D89" i="79"/>
  <c r="C89" i="79"/>
  <c r="B89" i="79"/>
  <c r="F88" i="79"/>
  <c r="D88" i="79"/>
  <c r="C88" i="79"/>
  <c r="B88" i="79"/>
  <c r="F87" i="79"/>
  <c r="D87" i="79"/>
  <c r="C87" i="79"/>
  <c r="B87" i="79"/>
  <c r="H86" i="79"/>
  <c r="F86" i="79"/>
  <c r="D86" i="79"/>
  <c r="C86" i="79"/>
  <c r="B86" i="79"/>
  <c r="B85" i="79"/>
  <c r="G28" i="23" l="1"/>
  <c r="H28" i="23"/>
  <c r="E28" i="23"/>
  <c r="G29" i="51"/>
  <c r="R10" i="80" a="1"/>
  <c r="Q13" i="80" a="1"/>
  <c r="R7" i="80" a="1"/>
  <c r="Q8" i="80" a="1"/>
  <c r="Q5" i="80" a="1"/>
  <c r="R8" i="80" a="1"/>
  <c r="R13" i="80" a="1"/>
  <c r="Q12" i="80" a="1"/>
  <c r="R11" i="80" a="1"/>
  <c r="R4" i="80" a="1"/>
  <c r="Q7" i="80" a="1"/>
  <c r="R12" i="80" a="1"/>
  <c r="Q10" i="80" a="1"/>
  <c r="R9" i="80" a="1"/>
  <c r="R5" i="80" a="1"/>
  <c r="R6" i="80" a="1"/>
  <c r="Q11" i="80" a="1"/>
  <c r="Q6" i="80" a="1"/>
  <c r="Q9" i="80" a="1"/>
  <c r="R13" i="80" l="1"/>
  <c r="Q13" i="80"/>
  <c r="Q11" i="80"/>
  <c r="Q10" i="80"/>
  <c r="Q8" i="80"/>
  <c r="Q7" i="80"/>
  <c r="Q6" i="80"/>
  <c r="R11" i="80"/>
  <c r="R6" i="80"/>
  <c r="R12" i="80"/>
  <c r="R10" i="80"/>
  <c r="R9" i="80"/>
  <c r="R8" i="80"/>
  <c r="R7" i="80"/>
  <c r="R5" i="80"/>
  <c r="Q12" i="80"/>
  <c r="Q9" i="80"/>
  <c r="Q5" i="80"/>
  <c r="R4" i="80"/>
  <c r="A45" i="91" l="1"/>
  <c r="A44" i="91"/>
  <c r="A43" i="91"/>
  <c r="A42" i="91"/>
  <c r="F12" i="94" l="1"/>
  <c r="E12" i="94"/>
  <c r="D12" i="94"/>
  <c r="C12" i="94"/>
  <c r="B12" i="94"/>
  <c r="D12" i="90" l="1"/>
  <c r="C12" i="90"/>
  <c r="B12" i="90"/>
  <c r="D12" i="88" l="1"/>
  <c r="C12" i="88"/>
  <c r="B12" i="88"/>
  <c r="D12" i="93" l="1"/>
  <c r="C12" i="93"/>
  <c r="B12" i="93"/>
  <c r="D12" i="87" l="1"/>
  <c r="C12" i="87"/>
  <c r="B12" i="87"/>
  <c r="D12" i="91" l="1"/>
  <c r="C12" i="91"/>
  <c r="B12" i="91"/>
  <c r="B42" i="91" l="1"/>
  <c r="C42" i="91" s="1"/>
  <c r="B43" i="91"/>
  <c r="C43" i="91" s="1"/>
  <c r="B44" i="91"/>
  <c r="C44" i="91" s="1"/>
  <c r="B45" i="91"/>
  <c r="C45" i="91" s="1"/>
  <c r="F12" i="92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A45" i="23" l="1"/>
  <c r="A40" i="23"/>
  <c r="H27" i="23"/>
  <c r="F14" i="95" s="1"/>
  <c r="E14" i="95"/>
  <c r="A47" i="90" l="1"/>
  <c r="A48" i="90" s="1"/>
  <c r="A49" i="90" s="1"/>
  <c r="A50" i="90" s="1"/>
  <c r="A43" i="90"/>
  <c r="A44" i="90" s="1"/>
  <c r="A45" i="90" s="1"/>
  <c r="A46" i="90" s="1"/>
  <c r="A42" i="90"/>
  <c r="A43" i="50"/>
  <c r="A44" i="50" s="1"/>
  <c r="A45" i="50" s="1"/>
  <c r="A46" i="50" s="1"/>
  <c r="A47" i="50" s="1"/>
  <c r="F12" i="90" l="1"/>
  <c r="G9" i="90"/>
  <c r="D9" i="90"/>
  <c r="B9" i="90"/>
  <c r="A21" i="90"/>
  <c r="A22" i="90" s="1"/>
  <c r="F14" i="90"/>
  <c r="B29" i="90" l="1"/>
  <c r="B37" i="90"/>
  <c r="B22" i="90"/>
  <c r="C22" i="90" s="1"/>
  <c r="B30" i="90"/>
  <c r="B38" i="90"/>
  <c r="B46" i="90"/>
  <c r="B23" i="90"/>
  <c r="B31" i="90"/>
  <c r="B39" i="90"/>
  <c r="B21" i="90"/>
  <c r="C21" i="90" s="1"/>
  <c r="B24" i="90"/>
  <c r="B32" i="90"/>
  <c r="B40" i="90"/>
  <c r="B47" i="90"/>
  <c r="B25" i="90"/>
  <c r="B33" i="90"/>
  <c r="B41" i="90"/>
  <c r="B48" i="90"/>
  <c r="B26" i="90"/>
  <c r="B34" i="90"/>
  <c r="B42" i="90"/>
  <c r="B49" i="90"/>
  <c r="B27" i="90"/>
  <c r="B35" i="90"/>
  <c r="B43" i="90"/>
  <c r="B50" i="90"/>
  <c r="B28" i="90"/>
  <c r="B36" i="90"/>
  <c r="B44" i="90"/>
  <c r="B45" i="90"/>
  <c r="H9" i="90"/>
  <c r="I9" i="90" s="1"/>
  <c r="G12" i="90"/>
  <c r="E9" i="90"/>
  <c r="F9" i="90" s="1"/>
  <c r="A23" i="90"/>
  <c r="A24" i="90" l="1"/>
  <c r="C23" i="90"/>
  <c r="C24" i="90" l="1"/>
  <c r="A25" i="90"/>
  <c r="C25" i="90" l="1"/>
  <c r="A26" i="90"/>
  <c r="A27" i="90" l="1"/>
  <c r="C26" i="90"/>
  <c r="C27" i="90" l="1"/>
  <c r="A28" i="90"/>
  <c r="C28" i="90" l="1"/>
  <c r="A29" i="90"/>
  <c r="A30" i="90" l="1"/>
  <c r="C29" i="90"/>
  <c r="C30" i="90" l="1"/>
  <c r="A31" i="90"/>
  <c r="A32" i="90" l="1"/>
  <c r="C31" i="90"/>
  <c r="C32" i="90" l="1"/>
  <c r="A33" i="90"/>
  <c r="A34" i="90" l="1"/>
  <c r="C33" i="90"/>
  <c r="A35" i="90" l="1"/>
  <c r="C34" i="90"/>
  <c r="C35" i="90" l="1"/>
  <c r="A36" i="90"/>
  <c r="C36" i="90" l="1"/>
  <c r="A37" i="90"/>
  <c r="A38" i="90" l="1"/>
  <c r="C37" i="90"/>
  <c r="A39" i="90" l="1"/>
  <c r="C38" i="90"/>
  <c r="A40" i="90" l="1"/>
  <c r="C39" i="90"/>
  <c r="L12" i="80"/>
  <c r="C40" i="90" l="1"/>
  <c r="A41" i="90"/>
  <c r="C41" i="90" s="1"/>
  <c r="F12" i="88" l="1"/>
  <c r="G9" i="88"/>
  <c r="D9" i="88"/>
  <c r="E9" i="88" s="1"/>
  <c r="B9" i="88"/>
  <c r="A21" i="88"/>
  <c r="A22" i="88" s="1"/>
  <c r="F14" i="88"/>
  <c r="H9" i="88" l="1"/>
  <c r="I9" i="88" s="1"/>
  <c r="F9" i="88"/>
  <c r="G12" i="88"/>
  <c r="B22" i="88"/>
  <c r="C22" i="88" s="1"/>
  <c r="D22" i="88" s="1"/>
  <c r="A23" i="88"/>
  <c r="B21" i="88"/>
  <c r="C21" i="88" s="1"/>
  <c r="A24" i="88" l="1"/>
  <c r="B23" i="88"/>
  <c r="C23" i="88" s="1"/>
  <c r="D23" i="88" s="1"/>
  <c r="A25" i="88" l="1"/>
  <c r="B24" i="88"/>
  <c r="C24" i="88" s="1"/>
  <c r="D24" i="88" s="1"/>
  <c r="B25" i="88" l="1"/>
  <c r="C25" i="88" s="1"/>
  <c r="D25" i="88" s="1"/>
  <c r="A26" i="88"/>
  <c r="L11" i="80"/>
  <c r="A27" i="88" l="1"/>
  <c r="B26" i="88"/>
  <c r="C26" i="88" s="1"/>
  <c r="D26" i="88" s="1"/>
  <c r="B27" i="88" l="1"/>
  <c r="C27" i="88" s="1"/>
  <c r="D27" i="88" s="1"/>
  <c r="A28" i="88"/>
  <c r="A29" i="88" l="1"/>
  <c r="B28" i="88"/>
  <c r="C28" i="88" s="1"/>
  <c r="D28" i="88" s="1"/>
  <c r="A30" i="88" l="1"/>
  <c r="B29" i="88"/>
  <c r="C29" i="88" s="1"/>
  <c r="D29" i="88" s="1"/>
  <c r="B30" i="88" l="1"/>
  <c r="C30" i="88" s="1"/>
  <c r="D30" i="88" s="1"/>
  <c r="A31" i="88"/>
  <c r="A32" i="88" l="1"/>
  <c r="B31" i="88"/>
  <c r="C31" i="88" s="1"/>
  <c r="D31" i="88" s="1"/>
  <c r="A33" i="88" l="1"/>
  <c r="B32" i="88"/>
  <c r="C32" i="88" s="1"/>
  <c r="D32" i="88" s="1"/>
  <c r="A34" i="88" l="1"/>
  <c r="B33" i="88"/>
  <c r="C33" i="88" s="1"/>
  <c r="D33" i="88" s="1"/>
  <c r="A35" i="88" l="1"/>
  <c r="B34" i="88"/>
  <c r="C34" i="88" s="1"/>
  <c r="D34" i="88" s="1"/>
  <c r="B35" i="88" l="1"/>
  <c r="C35" i="88" s="1"/>
  <c r="D35" i="88" s="1"/>
  <c r="A36" i="88"/>
  <c r="A37" i="88" l="1"/>
  <c r="B36" i="88"/>
  <c r="C36" i="88" s="1"/>
  <c r="D36" i="88" s="1"/>
  <c r="A38" i="88" l="1"/>
  <c r="B37" i="88"/>
  <c r="C37" i="88" s="1"/>
  <c r="D37" i="88" s="1"/>
  <c r="B38" i="88" l="1"/>
  <c r="C38" i="88" s="1"/>
  <c r="D38" i="88" s="1"/>
  <c r="A39" i="88"/>
  <c r="A40" i="88" l="1"/>
  <c r="B39" i="88"/>
  <c r="C39" i="88" s="1"/>
  <c r="D39" i="88" s="1"/>
  <c r="A41" i="88" l="1"/>
  <c r="B41" i="88" s="1"/>
  <c r="C41" i="88" s="1"/>
  <c r="D41" i="88" s="1"/>
  <c r="B40" i="88"/>
  <c r="C40" i="88" s="1"/>
  <c r="D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L9" i="80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88"/>
  <c r="C9" i="90"/>
  <c r="C9" i="51"/>
  <c r="C13" i="80" l="1"/>
  <c r="H53" i="79" l="1"/>
  <c r="F53" i="79"/>
  <c r="J57" i="79"/>
  <c r="H68" i="79"/>
  <c r="H84" i="79" s="1"/>
  <c r="G68" i="79"/>
  <c r="G84" i="79" s="1"/>
  <c r="F68" i="79"/>
  <c r="F84" i="79" s="1"/>
  <c r="H67" i="79"/>
  <c r="H83" i="79" s="1"/>
  <c r="G67" i="79"/>
  <c r="G83" i="79" s="1"/>
  <c r="F67" i="79"/>
  <c r="F83" i="79" s="1"/>
  <c r="H66" i="79"/>
  <c r="H82" i="79" s="1"/>
  <c r="G66" i="79"/>
  <c r="G82" i="79" s="1"/>
  <c r="F66" i="79"/>
  <c r="F82" i="79" s="1"/>
  <c r="H65" i="79"/>
  <c r="H81" i="79" s="1"/>
  <c r="G65" i="79"/>
  <c r="G81" i="79" s="1"/>
  <c r="F65" i="79"/>
  <c r="F81" i="79" s="1"/>
  <c r="H64" i="79"/>
  <c r="H80" i="79" s="1"/>
  <c r="G64" i="79"/>
  <c r="G80" i="79" s="1"/>
  <c r="F64" i="79"/>
  <c r="F80" i="79" s="1"/>
  <c r="H63" i="79"/>
  <c r="G63" i="79"/>
  <c r="F63" i="79"/>
  <c r="H62" i="79"/>
  <c r="G62" i="79"/>
  <c r="F62" i="79"/>
  <c r="F78" i="79" s="1"/>
  <c r="H61" i="79"/>
  <c r="G61" i="79"/>
  <c r="F61" i="79"/>
  <c r="H60" i="79"/>
  <c r="G60" i="79"/>
  <c r="F60" i="79"/>
  <c r="C8" i="79" l="1"/>
  <c r="C44" i="79" s="1"/>
  <c r="C60" i="79" s="1"/>
  <c r="C9" i="79"/>
  <c r="C45" i="79" s="1"/>
  <c r="C61" i="79" s="1"/>
  <c r="C10" i="79"/>
  <c r="C46" i="79" s="1"/>
  <c r="C62" i="79" s="1"/>
  <c r="C11" i="79"/>
  <c r="C47" i="79" s="1"/>
  <c r="C63" i="79" s="1"/>
  <c r="C12" i="79"/>
  <c r="C48" i="79" s="1"/>
  <c r="C64" i="79" s="1"/>
  <c r="C80" i="79" s="1"/>
  <c r="C13" i="79"/>
  <c r="C49" i="79" s="1"/>
  <c r="C65" i="79" s="1"/>
  <c r="C81" i="79" s="1"/>
  <c r="C14" i="79"/>
  <c r="C50" i="79" s="1"/>
  <c r="C66" i="79" s="1"/>
  <c r="C82" i="79" s="1"/>
  <c r="C15" i="79"/>
  <c r="C51" i="79" s="1"/>
  <c r="C67" i="79" s="1"/>
  <c r="C83" i="79" s="1"/>
  <c r="C16" i="79"/>
  <c r="B8" i="79"/>
  <c r="B44" i="79" s="1"/>
  <c r="B60" i="79" s="1"/>
  <c r="B9" i="79"/>
  <c r="B45" i="79" s="1"/>
  <c r="B61" i="79" s="1"/>
  <c r="B10" i="79"/>
  <c r="B46" i="79" s="1"/>
  <c r="B62" i="79" s="1"/>
  <c r="B11" i="79"/>
  <c r="B47" i="79" s="1"/>
  <c r="B63" i="79" s="1"/>
  <c r="B12" i="79"/>
  <c r="B48" i="79" s="1"/>
  <c r="B64" i="79" s="1"/>
  <c r="B80" i="79" s="1"/>
  <c r="B13" i="79"/>
  <c r="B49" i="79" s="1"/>
  <c r="B65" i="79" s="1"/>
  <c r="B81" i="79" s="1"/>
  <c r="B14" i="79"/>
  <c r="B50" i="79" s="1"/>
  <c r="B66" i="79" s="1"/>
  <c r="B82" i="79" s="1"/>
  <c r="B15" i="79"/>
  <c r="B51" i="79" s="1"/>
  <c r="B67" i="79" s="1"/>
  <c r="B83" i="79" s="1"/>
  <c r="B16" i="79"/>
  <c r="B52" i="79" l="1"/>
  <c r="B68" i="79" s="1"/>
  <c r="B84" i="79" s="1"/>
  <c r="B32" i="79"/>
  <c r="C52" i="79"/>
  <c r="C68" i="79" s="1"/>
  <c r="C84" i="79" s="1"/>
  <c r="C32" i="79"/>
  <c r="D13" i="95" s="1"/>
  <c r="E27" i="23"/>
  <c r="I27" i="23" l="1"/>
  <c r="H45" i="23" l="1"/>
  <c r="D45" i="23"/>
  <c r="C45" i="23"/>
  <c r="B45" i="23"/>
  <c r="I12" i="94"/>
  <c r="I12" i="92"/>
  <c r="G9" i="94"/>
  <c r="D9" i="94"/>
  <c r="G9" i="92"/>
  <c r="D9" i="92"/>
  <c r="C9" i="94"/>
  <c r="B9" i="94"/>
  <c r="K26" i="23"/>
  <c r="M26" i="23" s="1"/>
  <c r="K25" i="23"/>
  <c r="M25" i="23" s="1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8" i="23" l="1"/>
  <c r="M28" i="23" s="1"/>
  <c r="K68" i="79"/>
  <c r="P52" i="79"/>
  <c r="Q52" i="79" s="1"/>
  <c r="K45" i="23"/>
  <c r="M45" i="23" s="1"/>
  <c r="R16" i="79"/>
  <c r="S16" i="79" s="1"/>
  <c r="M17" i="23"/>
  <c r="K27" i="23"/>
  <c r="M27" i="23" s="1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2" i="80"/>
  <c r="C11" i="80"/>
  <c r="C10" i="80"/>
  <c r="C9" i="80"/>
  <c r="C8" i="80"/>
  <c r="C7" i="80"/>
  <c r="C6" i="80"/>
  <c r="C5" i="80"/>
  <c r="C4" i="80"/>
  <c r="D14" i="80" l="1"/>
  <c r="J68" i="79"/>
  <c r="G32" i="79"/>
  <c r="F32" i="79"/>
  <c r="K32" i="79"/>
  <c r="J32" i="79"/>
  <c r="O32" i="79"/>
  <c r="N32" i="79"/>
  <c r="R12" i="94"/>
  <c r="B33" i="94" s="1"/>
  <c r="P12" i="92"/>
  <c r="Q12" i="92" s="1"/>
  <c r="R12" i="92"/>
  <c r="H13" i="95" l="1"/>
  <c r="I13" i="95" s="1"/>
  <c r="T32" i="79"/>
  <c r="B25" i="94"/>
  <c r="E25" i="94" s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C23" i="94" s="1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C25" i="94"/>
  <c r="E27" i="94"/>
  <c r="E33" i="94"/>
  <c r="C33" i="94"/>
  <c r="J23" i="23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B24" i="92"/>
  <c r="B34" i="92"/>
  <c r="B41" i="92"/>
  <c r="B29" i="92"/>
  <c r="J21" i="23"/>
  <c r="J25" i="23"/>
  <c r="J24" i="23"/>
  <c r="J22" i="23"/>
  <c r="N21" i="79"/>
  <c r="J21" i="79"/>
  <c r="B24" i="79"/>
  <c r="B25" i="79"/>
  <c r="B26" i="79"/>
  <c r="B27" i="79"/>
  <c r="B28" i="79"/>
  <c r="B29" i="79"/>
  <c r="B30" i="79"/>
  <c r="B31" i="79"/>
  <c r="B7" i="79"/>
  <c r="B43" i="79" s="1"/>
  <c r="B59" i="79" s="1"/>
  <c r="C7" i="79"/>
  <c r="C24" i="94" l="1"/>
  <c r="D25" i="94"/>
  <c r="C22" i="94"/>
  <c r="C31" i="94"/>
  <c r="D31" i="94"/>
  <c r="C37" i="94"/>
  <c r="C39" i="94"/>
  <c r="C42" i="94"/>
  <c r="E28" i="94"/>
  <c r="D23" i="94"/>
  <c r="E23" i="94"/>
  <c r="D38" i="94"/>
  <c r="C38" i="94"/>
  <c r="L68" i="79"/>
  <c r="H32" i="79"/>
  <c r="L32" i="79"/>
  <c r="P32" i="79"/>
  <c r="D33" i="94"/>
  <c r="D28" i="94"/>
  <c r="R52" i="79"/>
  <c r="C17" i="79"/>
  <c r="C33" i="79" s="1"/>
  <c r="D14" i="95" s="1"/>
  <c r="C43" i="79"/>
  <c r="C53" i="79" s="1"/>
  <c r="C69" i="79" s="1"/>
  <c r="C85" i="79" s="1"/>
  <c r="D39" i="94"/>
  <c r="D24" i="94"/>
  <c r="D26" i="94"/>
  <c r="C34" i="94"/>
  <c r="C29" i="94"/>
  <c r="F26" i="23"/>
  <c r="E26" i="94"/>
  <c r="D34" i="94"/>
  <c r="D29" i="94"/>
  <c r="C30" i="94"/>
  <c r="D27" i="94"/>
  <c r="D30" i="94"/>
  <c r="D40" i="94"/>
  <c r="T16" i="79"/>
  <c r="C25" i="79"/>
  <c r="D6" i="95" s="1"/>
  <c r="C27" i="79"/>
  <c r="D8" i="95" s="1"/>
  <c r="C26" i="79"/>
  <c r="D7" i="95" s="1"/>
  <c r="C28" i="79"/>
  <c r="D9" i="95" s="1"/>
  <c r="C29" i="79"/>
  <c r="D10" i="95" s="1"/>
  <c r="C30" i="79"/>
  <c r="D11" i="95" s="1"/>
  <c r="C31" i="79"/>
  <c r="D12" i="95" s="1"/>
  <c r="C24" i="79"/>
  <c r="D5" i="95" s="1"/>
  <c r="D35" i="94"/>
  <c r="C32" i="94"/>
  <c r="D37" i="94"/>
  <c r="E41" i="94"/>
  <c r="E36" i="94"/>
  <c r="D41" i="94"/>
  <c r="D32" i="94"/>
  <c r="D36" i="94"/>
  <c r="D42" i="94"/>
  <c r="E35" i="94"/>
  <c r="C40" i="94"/>
  <c r="J9" i="92"/>
  <c r="F20" i="23"/>
  <c r="L20" i="23" s="1"/>
  <c r="N20" i="23" s="1"/>
  <c r="F23" i="23"/>
  <c r="L23" i="23" s="1"/>
  <c r="N23" i="23" s="1"/>
  <c r="F21" i="23"/>
  <c r="F24" i="23"/>
  <c r="F25" i="23"/>
  <c r="L25" i="23" s="1"/>
  <c r="N25" i="23" s="1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F28" i="92" s="1"/>
  <c r="G29" i="92" s="1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7" i="80"/>
  <c r="L13" i="80"/>
  <c r="L24" i="23" l="1"/>
  <c r="N24" i="23" s="1"/>
  <c r="E11" i="80"/>
  <c r="I11" i="80" s="1"/>
  <c r="F19" i="80" s="1"/>
  <c r="F45" i="23"/>
  <c r="G45" i="23" s="1"/>
  <c r="F13" i="80" s="1"/>
  <c r="E13" i="80"/>
  <c r="L26" i="23"/>
  <c r="N26" i="23" s="1"/>
  <c r="L21" i="23"/>
  <c r="N21" i="23" s="1"/>
  <c r="J11" i="80" l="1"/>
  <c r="K11" i="80" s="1"/>
  <c r="J13" i="80"/>
  <c r="K13" i="80" s="1"/>
  <c r="I13" i="80"/>
  <c r="F24" i="80" s="1"/>
  <c r="G13" i="80"/>
  <c r="O45" i="23"/>
  <c r="D16" i="79"/>
  <c r="D52" i="79" s="1"/>
  <c r="D68" i="79" s="1"/>
  <c r="D84" i="79" s="1"/>
  <c r="L45" i="23"/>
  <c r="N45" i="23" s="1"/>
  <c r="H13" i="80"/>
  <c r="E8" i="80"/>
  <c r="J8" i="80" l="1"/>
  <c r="K8" i="80" s="1"/>
  <c r="I8" i="80"/>
  <c r="D32" i="79"/>
  <c r="A32" i="79" s="1"/>
  <c r="F25" i="80"/>
  <c r="H8" i="80"/>
  <c r="I40" i="23"/>
  <c r="J40" i="23" s="1"/>
  <c r="H40" i="23"/>
  <c r="F40" i="23"/>
  <c r="D40" i="23"/>
  <c r="C40" i="23"/>
  <c r="B40" i="23"/>
  <c r="B41" i="23"/>
  <c r="B42" i="23"/>
  <c r="B43" i="23"/>
  <c r="B44" i="23"/>
  <c r="K63" i="79" l="1"/>
  <c r="H27" i="79"/>
  <c r="L27" i="79"/>
  <c r="P27" i="79"/>
  <c r="L63" i="79"/>
  <c r="G27" i="79"/>
  <c r="P47" i="79"/>
  <c r="Q47" i="79" s="1"/>
  <c r="R47" i="79"/>
  <c r="G40" i="23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T11" i="79"/>
  <c r="G23" i="81"/>
  <c r="P23" i="81" s="1"/>
  <c r="I23" i="81"/>
  <c r="R23" i="81" s="1"/>
  <c r="E23" i="81"/>
  <c r="N23" i="81" s="1"/>
  <c r="R9" i="81"/>
  <c r="P9" i="81"/>
  <c r="E9" i="81"/>
  <c r="N9" i="81" s="1"/>
  <c r="R11" i="79"/>
  <c r="S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L40" i="23" l="1"/>
  <c r="N40" i="23" s="1"/>
  <c r="F8" i="80"/>
  <c r="O40" i="23"/>
  <c r="J63" i="79"/>
  <c r="D11" i="79"/>
  <c r="D47" i="79" s="1"/>
  <c r="D63" i="79" s="1"/>
  <c r="O27" i="79"/>
  <c r="N27" i="79"/>
  <c r="K27" i="79"/>
  <c r="J27" i="79"/>
  <c r="F27" i="79"/>
  <c r="H14" i="48"/>
  <c r="G14" i="48"/>
  <c r="H8" i="95" l="1"/>
  <c r="I8" i="95" s="1"/>
  <c r="T27" i="79"/>
  <c r="D27" i="79"/>
  <c r="A27" i="79" s="1"/>
  <c r="G8" i="80"/>
  <c r="E9" i="80"/>
  <c r="I9" i="80" s="1"/>
  <c r="F21" i="80" s="1"/>
  <c r="J9" i="80" l="1"/>
  <c r="K9" i="80" s="1"/>
  <c r="H9" i="80"/>
  <c r="F38" i="23" l="1"/>
  <c r="E6" i="80"/>
  <c r="J6" i="80" l="1"/>
  <c r="K6" i="80" s="1"/>
  <c r="I6" i="80"/>
  <c r="F23" i="80" s="1"/>
  <c r="H6" i="80"/>
  <c r="O35" i="81" l="1"/>
  <c r="O34" i="81"/>
  <c r="O33" i="81"/>
  <c r="O32" i="81"/>
  <c r="O31" i="81"/>
  <c r="F20" i="79"/>
  <c r="F56" i="79"/>
  <c r="F57" i="79"/>
  <c r="F21" i="79"/>
  <c r="B23" i="79"/>
  <c r="C59" i="79" l="1"/>
  <c r="C23" i="79"/>
  <c r="D4" i="95" s="1"/>
  <c r="B3" i="79"/>
  <c r="D14" i="78"/>
  <c r="G13" i="78"/>
  <c r="D13" i="78"/>
  <c r="G12" i="78"/>
  <c r="D12" i="78"/>
  <c r="C8" i="78" l="1"/>
  <c r="E6" i="78" l="1"/>
  <c r="L8" i="78"/>
  <c r="E8" i="78"/>
  <c r="C14" i="78"/>
  <c r="E7" i="78"/>
  <c r="E10" i="80" l="1"/>
  <c r="J10" i="80" l="1"/>
  <c r="K10" i="80" s="1"/>
  <c r="I10" i="80"/>
  <c r="F18" i="80" s="1"/>
  <c r="H10" i="80"/>
  <c r="E12" i="80" l="1"/>
  <c r="J12" i="80" l="1"/>
  <c r="K12" i="80" s="1"/>
  <c r="I12" i="80"/>
  <c r="H12" i="80"/>
  <c r="H11" i="80"/>
  <c r="D12" i="23" l="1"/>
  <c r="C6" i="48" l="1"/>
  <c r="B6" i="48"/>
  <c r="C6" i="50"/>
  <c r="B6" i="50"/>
  <c r="C6" i="51"/>
  <c r="B6" i="51"/>
  <c r="C44" i="23" l="1"/>
  <c r="D44" i="23"/>
  <c r="H44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C43" i="23"/>
  <c r="D43" i="23"/>
  <c r="H43" i="23"/>
  <c r="K61" i="79" l="1"/>
  <c r="G25" i="79"/>
  <c r="K65" i="79"/>
  <c r="G29" i="79"/>
  <c r="K30" i="79"/>
  <c r="O30" i="79"/>
  <c r="K64" i="79"/>
  <c r="G28" i="79"/>
  <c r="K67" i="79"/>
  <c r="G31" i="79"/>
  <c r="G26" i="79"/>
  <c r="G30" i="79"/>
  <c r="K62" i="79"/>
  <c r="P49" i="79"/>
  <c r="Q49" i="79" s="1"/>
  <c r="P45" i="79"/>
  <c r="Q45" i="79" s="1"/>
  <c r="P50" i="79"/>
  <c r="Q50" i="79" s="1"/>
  <c r="P48" i="79"/>
  <c r="Q48" i="79" s="1"/>
  <c r="P51" i="79"/>
  <c r="Q51" i="79" s="1"/>
  <c r="P46" i="79"/>
  <c r="Q46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R12" i="79"/>
  <c r="S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R13" i="79"/>
  <c r="S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R15" i="79"/>
  <c r="S15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R14" i="79"/>
  <c r="S14" i="79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R9" i="79"/>
  <c r="S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R10" i="79"/>
  <c r="S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4" i="23"/>
  <c r="M44" i="23" s="1"/>
  <c r="K43" i="23"/>
  <c r="M43" i="23" s="1"/>
  <c r="K39" i="23"/>
  <c r="M39" i="23" s="1"/>
  <c r="K42" i="23"/>
  <c r="M42" i="23" s="1"/>
  <c r="K38" i="23"/>
  <c r="M38" i="23" s="1"/>
  <c r="J65" i="79" l="1"/>
  <c r="J64" i="79"/>
  <c r="J66" i="79"/>
  <c r="J67" i="79"/>
  <c r="J61" i="79"/>
  <c r="J62" i="79"/>
  <c r="N30" i="79"/>
  <c r="K31" i="79"/>
  <c r="J31" i="79"/>
  <c r="K28" i="79"/>
  <c r="J28" i="79"/>
  <c r="J30" i="79"/>
  <c r="F30" i="79"/>
  <c r="O31" i="79"/>
  <c r="N31" i="79"/>
  <c r="F26" i="79"/>
  <c r="F25" i="79"/>
  <c r="F29" i="79"/>
  <c r="O26" i="79"/>
  <c r="N26" i="79"/>
  <c r="O25" i="79"/>
  <c r="N25" i="79"/>
  <c r="F31" i="79"/>
  <c r="K26" i="79"/>
  <c r="J26" i="79"/>
  <c r="K25" i="79"/>
  <c r="J25" i="79"/>
  <c r="F28" i="79"/>
  <c r="O29" i="79"/>
  <c r="N29" i="79"/>
  <c r="O28" i="79"/>
  <c r="N28" i="79"/>
  <c r="K29" i="79"/>
  <c r="J29" i="79"/>
  <c r="G9" i="50"/>
  <c r="G9" i="51"/>
  <c r="H9" i="95" l="1"/>
  <c r="I9" i="95" s="1"/>
  <c r="T28" i="79"/>
  <c r="H7" i="95"/>
  <c r="I7" i="95" s="1"/>
  <c r="T26" i="79"/>
  <c r="H12" i="95"/>
  <c r="I12" i="95" s="1"/>
  <c r="T31" i="79"/>
  <c r="H10" i="95"/>
  <c r="I10" i="95" s="1"/>
  <c r="T29" i="79"/>
  <c r="H6" i="95"/>
  <c r="I6" i="95" s="1"/>
  <c r="T25" i="79"/>
  <c r="H11" i="95"/>
  <c r="I11" i="95" s="1"/>
  <c r="T30" i="79"/>
  <c r="C9" i="92"/>
  <c r="B9" i="92"/>
  <c r="I43" i="23" l="1"/>
  <c r="I42" i="23"/>
  <c r="I41" i="23" l="1"/>
  <c r="I39" i="23"/>
  <c r="J39" i="23" s="1"/>
  <c r="E7" i="80"/>
  <c r="F42" i="23"/>
  <c r="F43" i="23"/>
  <c r="J7" i="80" l="1"/>
  <c r="K7" i="80" s="1"/>
  <c r="I7" i="80"/>
  <c r="F22" i="80" s="1"/>
  <c r="L26" i="79"/>
  <c r="L62" i="79"/>
  <c r="H26" i="79"/>
  <c r="P26" i="79"/>
  <c r="R46" i="79"/>
  <c r="H7" i="80"/>
  <c r="F26" i="80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T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4" i="23"/>
  <c r="A42" i="23"/>
  <c r="A43" i="23"/>
  <c r="A38" i="23"/>
  <c r="B38" i="23"/>
  <c r="A39" i="23"/>
  <c r="B39" i="23"/>
  <c r="A41" i="23"/>
  <c r="H37" i="23" l="1"/>
  <c r="H36" i="23"/>
  <c r="C37" i="23"/>
  <c r="D37" i="23"/>
  <c r="B37" i="23"/>
  <c r="B36" i="23"/>
  <c r="A37" i="23"/>
  <c r="A36" i="23"/>
  <c r="K60" i="79" l="1"/>
  <c r="G24" i="79"/>
  <c r="G23" i="79"/>
  <c r="P44" i="79"/>
  <c r="Q44" i="79" s="1"/>
  <c r="P43" i="79"/>
  <c r="Q43" i="79" s="1"/>
  <c r="H46" i="23"/>
  <c r="R7" i="79"/>
  <c r="S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R8" i="79"/>
  <c r="S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J59" i="79" l="1"/>
  <c r="J60" i="79"/>
  <c r="K59" i="79"/>
  <c r="J53" i="79"/>
  <c r="K53" i="79" s="1"/>
  <c r="K69" i="79" s="1"/>
  <c r="R17" i="79"/>
  <c r="S17" i="79" s="1"/>
  <c r="G59" i="79"/>
  <c r="F59" i="79"/>
  <c r="F24" i="79"/>
  <c r="J17" i="79"/>
  <c r="J23" i="79"/>
  <c r="O24" i="79"/>
  <c r="N24" i="79"/>
  <c r="F17" i="79"/>
  <c r="K24" i="79"/>
  <c r="J24" i="79"/>
  <c r="O23" i="79"/>
  <c r="N17" i="79"/>
  <c r="N23" i="79"/>
  <c r="F23" i="79"/>
  <c r="K23" i="79"/>
  <c r="J42" i="23"/>
  <c r="J43" i="23"/>
  <c r="J41" i="23"/>
  <c r="G41" i="23"/>
  <c r="F9" i="80" s="1"/>
  <c r="G42" i="23"/>
  <c r="G39" i="23"/>
  <c r="F7" i="80" s="1"/>
  <c r="G43" i="23"/>
  <c r="F11" i="80" s="1"/>
  <c r="H5" i="95" l="1"/>
  <c r="I5" i="95" s="1"/>
  <c r="T24" i="79"/>
  <c r="H4" i="95"/>
  <c r="I4" i="95" s="1"/>
  <c r="T23" i="79"/>
  <c r="K17" i="79"/>
  <c r="K33" i="79" s="1"/>
  <c r="C7" i="78"/>
  <c r="O17" i="79"/>
  <c r="O33" i="79" s="1"/>
  <c r="C6" i="78"/>
  <c r="D13" i="79"/>
  <c r="D49" i="79" s="1"/>
  <c r="D65" i="79" s="1"/>
  <c r="D81" i="79" s="1"/>
  <c r="F10" i="80"/>
  <c r="G10" i="80" s="1"/>
  <c r="O43" i="23"/>
  <c r="D14" i="79"/>
  <c r="D50" i="79" s="1"/>
  <c r="D66" i="79" s="1"/>
  <c r="D82" i="79" s="1"/>
  <c r="D50" i="23"/>
  <c r="O42" i="23"/>
  <c r="O41" i="23"/>
  <c r="D10" i="79"/>
  <c r="D46" i="79" s="1"/>
  <c r="D62" i="79" s="1"/>
  <c r="O39" i="23"/>
  <c r="L30" i="79"/>
  <c r="P30" i="79"/>
  <c r="L66" i="79"/>
  <c r="H29" i="79"/>
  <c r="L29" i="79"/>
  <c r="P29" i="79"/>
  <c r="L65" i="79"/>
  <c r="P28" i="79"/>
  <c r="L64" i="79"/>
  <c r="H28" i="79"/>
  <c r="L28" i="79"/>
  <c r="J69" i="79"/>
  <c r="G17" i="79"/>
  <c r="G33" i="79" s="1"/>
  <c r="F33" i="79"/>
  <c r="G11" i="80"/>
  <c r="R50" i="79"/>
  <c r="R48" i="79"/>
  <c r="R49" i="79"/>
  <c r="F69" i="79"/>
  <c r="F85" i="79" s="1"/>
  <c r="G53" i="79"/>
  <c r="G69" i="79" s="1"/>
  <c r="G85" i="79" s="1"/>
  <c r="D12" i="79"/>
  <c r="D48" i="79" s="1"/>
  <c r="D64" i="79" s="1"/>
  <c r="D80" i="79" s="1"/>
  <c r="J33" i="79"/>
  <c r="H30" i="79"/>
  <c r="N33" i="79"/>
  <c r="D30" i="79"/>
  <c r="A30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T12" i="79"/>
  <c r="I24" i="81"/>
  <c r="R24" i="81" s="1"/>
  <c r="E24" i="81"/>
  <c r="N24" i="81" s="1"/>
  <c r="R10" i="81"/>
  <c r="P10" i="81"/>
  <c r="E10" i="81"/>
  <c r="N10" i="81" s="1"/>
  <c r="G24" i="81"/>
  <c r="P24" i="81" s="1"/>
  <c r="T14" i="79"/>
  <c r="I26" i="81"/>
  <c r="R26" i="81" s="1"/>
  <c r="E26" i="81"/>
  <c r="N26" i="81" s="1"/>
  <c r="R12" i="81"/>
  <c r="G26" i="81"/>
  <c r="P26" i="81" s="1"/>
  <c r="P12" i="81"/>
  <c r="E12" i="81"/>
  <c r="N12" i="81" s="1"/>
  <c r="T13" i="79"/>
  <c r="G25" i="81"/>
  <c r="P25" i="81" s="1"/>
  <c r="P11" i="81"/>
  <c r="E11" i="81"/>
  <c r="N11" i="81" s="1"/>
  <c r="I25" i="81"/>
  <c r="R25" i="81" s="1"/>
  <c r="E25" i="81"/>
  <c r="N25" i="81" s="1"/>
  <c r="R11" i="81"/>
  <c r="L39" i="23"/>
  <c r="N39" i="23" s="1"/>
  <c r="L43" i="23"/>
  <c r="N43" i="23" s="1"/>
  <c r="L41" i="23"/>
  <c r="N41" i="23" s="1"/>
  <c r="L42" i="23"/>
  <c r="N42" i="23" s="1"/>
  <c r="I44" i="23"/>
  <c r="J44" i="23" s="1"/>
  <c r="F44" i="23"/>
  <c r="H14" i="95" l="1"/>
  <c r="I14" i="95" s="1"/>
  <c r="D29" i="79"/>
  <c r="A29" i="79" s="1"/>
  <c r="C13" i="78"/>
  <c r="E13" i="78" s="1"/>
  <c r="I13" i="78" s="1"/>
  <c r="L7" i="78"/>
  <c r="C12" i="78"/>
  <c r="L6" i="78"/>
  <c r="D26" i="79"/>
  <c r="A26" i="79" s="1"/>
  <c r="G9" i="80"/>
  <c r="L31" i="79"/>
  <c r="L67" i="79"/>
  <c r="P31" i="79"/>
  <c r="H31" i="79"/>
  <c r="D28" i="79"/>
  <c r="A28" i="79" s="1"/>
  <c r="R51" i="79"/>
  <c r="G44" i="23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T15" i="79"/>
  <c r="G27" i="81"/>
  <c r="P27" i="81" s="1"/>
  <c r="I27" i="81"/>
  <c r="R27" i="81" s="1"/>
  <c r="E27" i="81"/>
  <c r="N27" i="81" s="1"/>
  <c r="R13" i="81"/>
  <c r="P13" i="81"/>
  <c r="E13" i="81"/>
  <c r="N13" i="81" s="1"/>
  <c r="E12" i="78" l="1"/>
  <c r="I12" i="78" s="1"/>
  <c r="D15" i="79"/>
  <c r="D51" i="79" s="1"/>
  <c r="D67" i="79" s="1"/>
  <c r="D83" i="79" s="1"/>
  <c r="F12" i="80"/>
  <c r="G12" i="80"/>
  <c r="L44" i="23"/>
  <c r="N44" i="23" s="1"/>
  <c r="D31" i="79"/>
  <c r="A31" i="79" s="1"/>
  <c r="O44" i="23"/>
  <c r="C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G38" i="23"/>
  <c r="F6" i="80" s="1"/>
  <c r="I36" i="23"/>
  <c r="J9" i="48"/>
  <c r="J9" i="51"/>
  <c r="E4" i="80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J4" i="80" l="1"/>
  <c r="K4" i="80" s="1"/>
  <c r="I4" i="80"/>
  <c r="G28" i="51"/>
  <c r="G30" i="51" s="1"/>
  <c r="G6" i="80"/>
  <c r="D9" i="79"/>
  <c r="D45" i="79" s="1"/>
  <c r="D61" i="79" s="1"/>
  <c r="N17" i="23"/>
  <c r="H4" i="80"/>
  <c r="F36" i="23"/>
  <c r="J36" i="23"/>
  <c r="L59" i="79" l="1"/>
  <c r="L61" i="79"/>
  <c r="H25" i="79"/>
  <c r="L25" i="79"/>
  <c r="P25" i="79"/>
  <c r="R43" i="79"/>
  <c r="G36" i="23"/>
  <c r="F4" i="80" s="1"/>
  <c r="T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D25" i="79"/>
  <c r="A25" i="79" s="1"/>
  <c r="C3" i="79"/>
  <c r="I19" i="81"/>
  <c r="R19" i="81" s="1"/>
  <c r="E19" i="81"/>
  <c r="N19" i="81" s="1"/>
  <c r="R5" i="81"/>
  <c r="E5" i="81"/>
  <c r="N5" i="81" s="1"/>
  <c r="G19" i="81"/>
  <c r="P19" i="81" s="1"/>
  <c r="D7" i="79" l="1"/>
  <c r="D43" i="79" s="1"/>
  <c r="D59" i="79" s="1"/>
  <c r="O36" i="23"/>
  <c r="G4" i="80"/>
  <c r="H59" i="79"/>
  <c r="D23" i="79"/>
  <c r="A23" i="79" s="1"/>
  <c r="P23" i="79"/>
  <c r="L23" i="79"/>
  <c r="H23" i="79"/>
  <c r="B9" i="50" l="1"/>
  <c r="B9" i="48"/>
  <c r="C9" i="50"/>
  <c r="C9" i="48"/>
  <c r="G14" i="51" l="1"/>
  <c r="D36" i="23"/>
  <c r="D46" i="23" s="1"/>
  <c r="C34" i="23"/>
  <c r="C35" i="23"/>
  <c r="C36" i="23"/>
  <c r="G14" i="50" l="1"/>
  <c r="K36" i="23"/>
  <c r="M36" i="23" l="1"/>
  <c r="K46" i="23"/>
  <c r="M46" i="23" s="1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E9" i="5"/>
  <c r="B45" i="5"/>
  <c r="B44" i="5"/>
  <c r="B27" i="5"/>
  <c r="B40" i="5"/>
  <c r="B47" i="5"/>
  <c r="B46" i="5"/>
  <c r="B30" i="5"/>
  <c r="B29" i="5"/>
  <c r="B43" i="5"/>
  <c r="B35" i="5"/>
  <c r="B34" i="5"/>
  <c r="B33" i="5"/>
  <c r="B36" i="5"/>
  <c r="B31" i="5"/>
  <c r="B42" i="5"/>
  <c r="B28" i="5"/>
  <c r="B32" i="5"/>
  <c r="B37" i="5"/>
  <c r="B38" i="5"/>
  <c r="B39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7" i="23" l="1"/>
  <c r="F28" i="23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N18" i="23" l="1"/>
  <c r="E5" i="80"/>
  <c r="I5" i="80" s="1"/>
  <c r="F20" i="80" s="1"/>
  <c r="F37" i="23"/>
  <c r="F46" i="23" s="1"/>
  <c r="J37" i="23"/>
  <c r="J5" i="80" l="1"/>
  <c r="K5" i="80" s="1"/>
  <c r="K14" i="80" s="1"/>
  <c r="E14" i="80"/>
  <c r="I14" i="80" s="1"/>
  <c r="J14" i="80"/>
  <c r="L53" i="79"/>
  <c r="R44" i="79"/>
  <c r="L60" i="79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T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l="1"/>
  <c r="F5" i="80"/>
  <c r="O37" i="23"/>
  <c r="F27" i="80"/>
  <c r="L69" i="79"/>
  <c r="D44" i="79"/>
  <c r="D17" i="79"/>
  <c r="F8" i="78" s="1"/>
  <c r="H69" i="79"/>
  <c r="H85" i="79" s="1"/>
  <c r="H24" i="79"/>
  <c r="H17" i="79"/>
  <c r="P24" i="79"/>
  <c r="P17" i="79"/>
  <c r="L24" i="79"/>
  <c r="L17" i="79"/>
  <c r="F14" i="80"/>
  <c r="G46" i="23"/>
  <c r="G49" i="23" s="1"/>
  <c r="L37" i="23"/>
  <c r="G5" i="80" l="1"/>
  <c r="G14" i="80"/>
  <c r="D60" i="79"/>
  <c r="D53" i="79"/>
  <c r="N37" i="23"/>
  <c r="D24" i="79"/>
  <c r="A24" i="79" s="1"/>
  <c r="L13" i="23"/>
  <c r="L33" i="79"/>
  <c r="G7" i="78"/>
  <c r="G6" i="78"/>
  <c r="P33" i="79"/>
  <c r="H33" i="79"/>
  <c r="G8" i="78"/>
  <c r="D54" i="79" l="1"/>
  <c r="D69" i="79"/>
  <c r="D18" i="79"/>
  <c r="D33" i="79"/>
  <c r="H35" i="79" s="1"/>
  <c r="K6" i="78"/>
  <c r="F13" i="78"/>
  <c r="H13" i="78" s="1"/>
  <c r="K8" i="78"/>
  <c r="K7" i="78"/>
  <c r="F12" i="78"/>
  <c r="H12" i="78" s="1"/>
  <c r="L71" i="79" l="1"/>
  <c r="L72" i="79" s="1"/>
  <c r="D85" i="79"/>
  <c r="H71" i="79"/>
  <c r="I7" i="78"/>
  <c r="L35" i="79"/>
  <c r="L36" i="79" s="1"/>
  <c r="P35" i="79"/>
  <c r="P36" i="79" s="1"/>
  <c r="H36" i="79"/>
  <c r="J6" i="78"/>
  <c r="J7" i="78"/>
  <c r="J8" i="78"/>
  <c r="I6" i="78"/>
  <c r="I8" i="78"/>
  <c r="F9" i="89"/>
  <c r="J19" i="23" s="1"/>
  <c r="H72" i="79" l="1"/>
  <c r="H88" i="79" s="1"/>
  <c r="H87" i="79"/>
  <c r="I38" i="23"/>
  <c r="I46" i="23" s="1"/>
  <c r="J28" i="23"/>
  <c r="J27" i="23"/>
  <c r="B9" i="23" s="1"/>
  <c r="L19" i="23"/>
  <c r="L28" i="23" s="1"/>
  <c r="N28" i="23" s="1"/>
  <c r="J38" i="23" l="1"/>
  <c r="O38" i="23" s="1"/>
  <c r="L27" i="23"/>
  <c r="N27" i="23" s="1"/>
  <c r="N19" i="23"/>
  <c r="E21" i="81" l="1"/>
  <c r="N21" i="81" s="1"/>
  <c r="I21" i="81"/>
  <c r="R21" i="81" s="1"/>
  <c r="E7" i="86"/>
  <c r="N7" i="86" s="1"/>
  <c r="J46" i="23"/>
  <c r="M13" i="23" s="1"/>
  <c r="T9" i="79"/>
  <c r="T17" i="79" s="1"/>
  <c r="I21" i="86"/>
  <c r="R21" i="86" s="1"/>
  <c r="R45" i="79"/>
  <c r="E21" i="86"/>
  <c r="N21" i="86" s="1"/>
  <c r="I7" i="86"/>
  <c r="R7" i="86" s="1"/>
  <c r="E7" i="81"/>
  <c r="N7" i="81" s="1"/>
  <c r="L38" i="23"/>
  <c r="N38" i="23" s="1"/>
  <c r="G21" i="86"/>
  <c r="P21" i="86" s="1"/>
  <c r="G21" i="81"/>
  <c r="P21" i="81" s="1"/>
  <c r="G7" i="86"/>
  <c r="P7" i="86" s="1"/>
  <c r="J49" i="23" l="1"/>
  <c r="L46" i="23"/>
  <c r="N46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<sst xmlns="http://schemas.openxmlformats.org/spreadsheetml/2006/main" count="1233" uniqueCount="298">
  <si>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</si>
  <si>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</si>
  <si>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</si>
  <si>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</si>
  <si>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</si>
  <si>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</si>
  <si>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</si>
  <si>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</si>
  <si>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</si>
  <si>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</si>
  <si>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</si>
  <si>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</si>
  <si>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</si>
  <si>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</si>
  <si>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</si>
  <si>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</si>
  <si>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</si>
  <si>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</si>
  <si>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</si>
  <si>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</si>
  <si>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</si>
  <si>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</si>
  <si>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</si>
  <si>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</si>
  <si>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</si>
  <si>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</si>
  <si>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</si>
  <si>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</si>
  <si>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</si>
  <si>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</si>
  <si>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</si>
  <si>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</si>
  <si>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</si>
  <si>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</si>
  <si>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</si>
  <si>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</si>
  <si>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</si>
  <si>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</si>
  <si>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</si>
  <si>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</si>
  <si>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</si>
  <si>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</si>
  <si>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</si>
  <si>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</si>
  <si>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</si>
  <si>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</si>
  <si>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</si>
  <si>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</si>
  <si>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</si>
  <si>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</si>
  <si>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</si>
  <si>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</si>
  <si>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</si>
  <si>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</si>
  <si>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</si>
  <si>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</si>
  <si>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</si>
  <si>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</si>
  <si>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</si>
  <si>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</si>
  <si>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</si>
  <si>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</si>
  <si>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</si>
  <si>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</si>
  <si>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</si>
  <si>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</si>
  <si>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</si>
  <si>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</si>
  <si>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</si>
  <si>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</si>
  <si>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</si>
  <si>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</si>
  <si>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</si>
  <si>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</si>
  <si>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</si>
  <si>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</si>
  <si>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</si>
  <si>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</si>
  <si>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</si>
  <si>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</si>
  <si>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</si>
  <si>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</si>
  <si>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</si>
  <si>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</si>
  <si>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</si>
  <si>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</si>
  <si>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</si>
  <si>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</si>
  <si>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</si>
  <si>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</si>
  <si>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</si>
  <si>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</si>
  <si>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</si>
  <si>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</si>
  <si>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</si>
  <si>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</si>
  <si>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</si>
  <si>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</si>
  <si>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</si>
  <si>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</si>
  <si>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</si>
  <si>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</si>
  <si>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</si>
  <si>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</si>
  <si>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</si>
  <si>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</si>
  <si>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</si>
  <si>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</si>
  <si>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</si>
  <si>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</si>
  <si>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</si>
  <si>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</si>
  <si>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</si>
  <si>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</si>
  <si>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</si>
  <si>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</si>
  <si>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</si>
  <si>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</si>
  <si>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</si>
  <si>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</si>
  <si>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</si>
  <si>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</si>
  <si>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</si>
  <si>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</si>
  <si>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</si>
  <si>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</si>
  <si>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</si>
  <si>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</si>
  <si>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</si>
  <si>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</si>
  <si>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</si>
  <si>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</si>
  <si>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</si>
  <si>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</si>
  <si>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</si>
  <si>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</si>
  <si>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</si>
  <si>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</si>
  <si>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</si>
  <si>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</si>
  <si>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</si>
  <si>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</si>
  <si>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</si>
  <si>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</si>
  <si>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</si>
  <si>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</si>
  <si>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</si>
  <si>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</si>
  <si>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</si>
  <si>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</si>
  <si>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</si>
  <si>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</si>
  <si>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</si>
  <si>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</si>
  <si>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</si>
  <si>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</si>
  <si>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</si>
  <si>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</si>
  <si>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</si>
  <si>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</si>
  <si>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</si>
  <si>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</si>
  <si>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</si>
  <si>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</si>
  <si>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</si>
  <si>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</si>
  <si>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</si>
  <si>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</si>
  <si>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</si>
  <si>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</si>
  <si>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</si>
  <si>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</si>
  <si>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</si>
  <si>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</si>
  <si>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</si>
  <si>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</si>
  <si>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</si>
  <si>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</si>
  <si>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</si>
  <si>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</si>
  <si>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</si>
  <si>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</si>
  <si>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</si>
  <si>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</si>
  <si>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</si>
  <si>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</si>
  <si>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</si>
  <si>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</si>
  <si>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</si>
  <si>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</si>
  <si>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</si>
  <si>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</si>
  <si>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</si>
  <si>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</si>
  <si>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</si>
  <si>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</si>
  <si>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</si>
  <si>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</si>
  <si>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</si>
  <si>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</si>
  <si>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</si>
  <si>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</si>
  <si>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</si>
  <si>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</si>
  <si>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</si>
  <si>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</si>
  <si>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</si>
  <si>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</si>
  <si>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</si>
  <si>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</si>
  <si>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</si>
  <si>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</si>
  <si>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</si>
  <si>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</si>
  <si>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</si>
  <si>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</si>
  <si>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</si>
  <si>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</si>
  <si>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</si>
  <si>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</si>
  <si>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</si>
  <si>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</si>
  <si>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</si>
  <si>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</si>
  <si>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</si>
  <si>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</si>
  <si>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</si>
  <si>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</si>
  <si>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</si>
  <si>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</si>
  <si>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</si>
  <si>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</si>
  <si>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2021 Planned Spend ($)</t>
  </si>
  <si>
    <t>2021 Optimal Spend ($)</t>
  </si>
  <si>
    <t>HCC InOffice</t>
  </si>
  <si>
    <t>HCC Linear TV</t>
  </si>
  <si>
    <t>HCC Pharmacy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</si>
  <si>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</si>
  <si>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</si>
  <si>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Adults: HCC InOffice, HCC Pharmacy, HCC Streaming TV, HCP MCM, HCC Digital, HCC Linear TV</t>
  </si>
  <si>
    <t>All Vaccines: Gardasil Adult</t>
  </si>
  <si>
    <t>Optimal channel spend allowed to vary between constraints defined by marketing team &amp; INI of the 2021 channel spend - LINEAR TV and Streaming TV constraints modified</t>
  </si>
  <si>
    <t>25% reduction optimal ()</t>
  </si>
  <si>
    <t/>
  </si>
  <si>
    <t>$1.5(+1%)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</si>
  <si>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</si>
  <si>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</si>
  <si>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</si>
  <si>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</si>
  <si>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</si>
  <si>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</si>
  <si>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</si>
  <si>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</si>
  <si>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</si>
  <si>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</si>
  <si>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</si>
  <si>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</si>
  <si>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</si>
  <si>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</si>
  <si>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</si>
  <si>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</si>
  <si>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</si>
  <si>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</si>
  <si>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Δ Pre-tax Revenue w.r.t 2022 Current baseline</t>
  </si>
  <si>
    <t>BASE Case: Vary promotion type spend by + or - 30%. Keep global spend constant.</t>
  </si>
  <si>
    <t>Current Optimal ($60.0MM)</t>
  </si>
  <si>
    <t>2023 Current Baseline ($MM)</t>
  </si>
  <si>
    <t>2023 Spend ($MM)</t>
  </si>
  <si>
    <t>2023 Estimated Incr. Doses ('000)</t>
  </si>
  <si>
    <t>2023 Estimated Pre-Tax NPV</t>
  </si>
  <si>
    <t>2023 Estimated Pre-tax ROI</t>
  </si>
  <si>
    <t>2023 Projected Promotion Efficiency</t>
  </si>
  <si>
    <t>2023 projected</t>
  </si>
  <si>
    <t>Current 2023 Baseline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</si>
  <si>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</si>
  <si>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</si>
  <si>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</si>
  <si>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</si>
  <si>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</si>
  <si>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</si>
  <si>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</si>
  <si>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</si>
  <si>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</si>
  <si>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</si>
  <si>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+$15  (8.5%)</t>
  </si>
  <si>
    <t>Maximum Spend</t>
  </si>
  <si>
    <t>Minimum spend</t>
  </si>
  <si>
    <t>Current optimal ($60MM)</t>
  </si>
  <si>
    <t>Δ Pre-tax Revenue w.r.t 2023 Current baseline</t>
  </si>
  <si>
    <t>Optimal channel spend allowed to vary based on custom limits  for 2023 channel spend</t>
  </si>
  <si>
    <t xml:space="preserve"> 4M Increase in Spend ($64M)</t>
  </si>
  <si>
    <t xml:space="preserve"> 9M Increase in Spend ($69M)</t>
  </si>
  <si>
    <t>2023 Current Custom Constrains ($MM)</t>
  </si>
  <si>
    <t>Total In Scope Budget</t>
  </si>
  <si>
    <t>In Scope Promotion</t>
  </si>
  <si>
    <t>+$42 (24.2%)</t>
  </si>
  <si>
    <t>+$30   (17.5%)</t>
  </si>
  <si>
    <t>+$14  (8.0%)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</si>
</sst>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</numFmts>
  <fonts count="5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0"/>
      <name val="Arial"/>
      <family val="2"/>
    </font>
    <font>
      <sz val="9.5"/>
      <color theme="1"/>
      <name val="Arial"/>
      <family val="2"/>
    </font>
    <font>
      <b/>
      <sz val="10"/>
      <color rgb="FF00B050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9.5"/>
      <color rgb="FFFF000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0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14996795556505021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12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76" xfId="4" applyNumberFormat="1" applyFont="1" applyBorder="1" applyAlignment="1">
      <alignment horizontal="center" vertical="center"/>
    </xf>
    <xf numFmtId="170" fontId="0" fillId="0" borderId="77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9" fontId="0" fillId="0" borderId="76" xfId="3" applyFont="1" applyBorder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0" fontId="28" fillId="48" borderId="84" xfId="0" applyFont="1" applyFill="1" applyBorder="1" applyAlignment="1">
      <alignment horizontal="left" wrapText="1" indent="1"/>
    </xf>
    <xf numFmtId="170" fontId="28" fillId="48" borderId="85" xfId="0" applyNumberFormat="1" applyFont="1" applyFill="1" applyBorder="1" applyAlignment="1">
      <alignment horizontal="center" vertical="center"/>
    </xf>
    <xf numFmtId="170" fontId="28" fillId="48" borderId="86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87" xfId="4" applyNumberFormat="1" applyFont="1" applyFill="1" applyBorder="1" applyAlignment="1">
      <alignment horizontal="center" vertical="center" wrapText="1"/>
    </xf>
    <xf numFmtId="9" fontId="28" fillId="48" borderId="88" xfId="3" applyFont="1" applyFill="1" applyBorder="1" applyAlignment="1">
      <alignment horizontal="center" vertical="center"/>
    </xf>
    <xf numFmtId="170" fontId="28" fillId="48" borderId="89" xfId="4" applyNumberFormat="1" applyFont="1" applyFill="1" applyBorder="1" applyAlignment="1">
      <alignment horizontal="center" vertical="center" wrapText="1"/>
    </xf>
    <xf numFmtId="166" fontId="38" fillId="48" borderId="89" xfId="4" applyNumberFormat="1" applyFont="1" applyFill="1" applyBorder="1" applyAlignment="1">
      <alignment horizontal="center" vertical="center" wrapText="1"/>
    </xf>
    <xf numFmtId="166" fontId="28" fillId="48" borderId="89" xfId="4" applyNumberFormat="1" applyFont="1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0" xfId="0" applyFont="1" applyFill="1" applyBorder="1" applyAlignment="1">
      <alignment horizontal="center" vertical="center" wrapText="1"/>
    </xf>
    <xf numFmtId="0" fontId="2" fillId="8" borderId="91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2" xfId="4" applyNumberFormat="1" applyFont="1" applyBorder="1"/>
    <xf numFmtId="164" fontId="0" fillId="0" borderId="93" xfId="4" applyNumberFormat="1" applyFont="1" applyBorder="1"/>
    <xf numFmtId="0" fontId="36" fillId="0" borderId="0" xfId="0" applyFont="1"/>
    <xf numFmtId="170" fontId="0" fillId="0" borderId="92" xfId="4" applyNumberFormat="1" applyFont="1" applyBorder="1" applyAlignment="1">
      <alignment horizontal="center"/>
    </xf>
    <xf numFmtId="170" fontId="0" fillId="0" borderId="93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4" xfId="4" applyNumberFormat="1" applyFont="1" applyBorder="1"/>
    <xf numFmtId="164" fontId="0" fillId="0" borderId="95" xfId="4" applyNumberFormat="1" applyFont="1" applyBorder="1"/>
    <xf numFmtId="170" fontId="0" fillId="0" borderId="94" xfId="4" applyNumberFormat="1" applyFont="1" applyBorder="1" applyAlignment="1">
      <alignment horizontal="center"/>
    </xf>
    <xf numFmtId="170" fontId="0" fillId="0" borderId="95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79" xfId="4" applyNumberFormat="1" applyFont="1" applyBorder="1" applyAlignment="1">
      <alignment horizontal="center" vertical="center"/>
    </xf>
    <xf numFmtId="166" fontId="0" fillId="0" borderId="83" xfId="4" applyNumberFormat="1" applyFont="1" applyBorder="1" applyAlignment="1">
      <alignment horizontal="center" vertical="center"/>
    </xf>
    <xf numFmtId="0" fontId="0" fillId="48" borderId="84" xfId="0" applyFont="1" applyFill="1" applyBorder="1" applyAlignment="1">
      <alignment horizontal="left" wrapText="1" indent="1"/>
    </xf>
    <xf numFmtId="166" fontId="38" fillId="48" borderId="89" xfId="4" quotePrefix="1" applyNumberFormat="1" applyFont="1" applyFill="1" applyBorder="1" applyAlignment="1">
      <alignment horizontal="center" vertical="center" wrapText="1"/>
    </xf>
    <xf numFmtId="166" fontId="0" fillId="0" borderId="77" xfId="4" applyNumberFormat="1" applyFont="1" applyBorder="1" applyAlignment="1">
      <alignment horizontal="center" vertical="center"/>
    </xf>
    <xf numFmtId="166" fontId="0" fillId="0" borderId="81" xfId="4" applyNumberFormat="1" applyFont="1" applyBorder="1" applyAlignment="1">
      <alignment horizontal="center" vertical="center"/>
    </xf>
    <xf numFmtId="166" fontId="28" fillId="48" borderId="86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7" xfId="4" applyNumberFormat="1" applyFont="1" applyBorder="1" applyAlignment="1">
      <alignment horizontal="center" vertical="center"/>
    </xf>
    <xf numFmtId="9" fontId="0" fillId="0" borderId="96" xfId="3" applyFont="1" applyBorder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8" borderId="0" xfId="0" applyFont="1" applyFill="1" applyAlignment="1">
      <alignment horizontal="center"/>
    </xf>
    <xf numFmtId="44" fontId="1" fillId="0" borderId="0" xfId="0" applyNumberFormat="1" applyFont="1"/>
    <xf numFmtId="9" fontId="0" fillId="0" borderId="80" xfId="3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166" fontId="1" fillId="2" borderId="40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9" fontId="1" fillId="0" borderId="12" xfId="0" applyNumberFormat="1" applyFont="1" applyBorder="1" applyAlignment="1">
      <alignment horizontal="center"/>
    </xf>
    <xf numFmtId="0" fontId="0" fillId="0" borderId="0" xfId="0" applyAlignment="1"/>
    <xf numFmtId="3" fontId="0" fillId="43" borderId="0" xfId="0" applyNumberFormat="1" applyFill="1"/>
    <xf numFmtId="9" fontId="0" fillId="0" borderId="0" xfId="3" applyFont="1"/>
    <xf numFmtId="0" fontId="1" fillId="0" borderId="48" xfId="0" applyFont="1" applyBorder="1" applyAlignment="1"/>
    <xf numFmtId="0" fontId="1" fillId="0" borderId="0" xfId="0" applyFont="1" applyBorder="1" applyAlignment="1"/>
    <xf numFmtId="2" fontId="0" fillId="0" borderId="0" xfId="0" applyNumberFormat="1"/>
    <xf numFmtId="3" fontId="1" fillId="0" borderId="0" xfId="0" applyNumberFormat="1" applyFont="1"/>
    <xf numFmtId="166" fontId="1" fillId="49" borderId="40" xfId="4" applyNumberFormat="1" applyFont="1" applyFill="1" applyBorder="1" applyAlignment="1">
      <alignment horizontal="center"/>
    </xf>
    <xf numFmtId="166" fontId="1" fillId="49" borderId="37" xfId="4" applyNumberFormat="1" applyFont="1" applyFill="1" applyBorder="1" applyAlignment="1">
      <alignment horizontal="center"/>
    </xf>
    <xf numFmtId="0" fontId="41" fillId="0" borderId="0" xfId="0" applyFont="1"/>
    <xf numFmtId="0" fontId="42" fillId="0" borderId="0" xfId="0" applyFont="1"/>
    <xf numFmtId="0" fontId="41" fillId="0" borderId="70" xfId="0" applyFont="1" applyBorder="1" applyAlignment="1">
      <alignment horizontal="center" vertical="center"/>
    </xf>
    <xf numFmtId="0" fontId="41" fillId="0" borderId="70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74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70" xfId="0" applyNumberFormat="1" applyFont="1" applyBorder="1" applyAlignment="1">
      <alignment horizontal="center" vertical="center"/>
    </xf>
    <xf numFmtId="170" fontId="41" fillId="0" borderId="99" xfId="0" applyNumberFormat="1" applyFont="1" applyBorder="1" applyAlignment="1">
      <alignment horizontal="center" vertical="center"/>
    </xf>
    <xf numFmtId="170" fontId="41" fillId="0" borderId="78" xfId="4" applyNumberFormat="1" applyFont="1" applyBorder="1" applyAlignment="1">
      <alignment horizontal="center" vertical="center"/>
    </xf>
    <xf numFmtId="9" fontId="41" fillId="0" borderId="76" xfId="3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0" xfId="0" applyNumberFormat="1" applyFont="1" applyBorder="1" applyAlignment="1">
      <alignment horizontal="center" vertical="center"/>
    </xf>
    <xf numFmtId="0" fontId="42" fillId="48" borderId="84" xfId="0" applyFont="1" applyFill="1" applyBorder="1" applyAlignment="1">
      <alignment horizontal="left" vertical="center" wrapText="1" indent="1"/>
    </xf>
    <xf numFmtId="170" fontId="42" fillId="48" borderId="85" xfId="0" applyNumberFormat="1" applyFont="1" applyFill="1" applyBorder="1" applyAlignment="1">
      <alignment horizontal="center" vertical="center"/>
    </xf>
    <xf numFmtId="170" fontId="42" fillId="48" borderId="87" xfId="4" applyNumberFormat="1" applyFont="1" applyFill="1" applyBorder="1" applyAlignment="1">
      <alignment horizontal="center" vertical="center" wrapText="1"/>
    </xf>
    <xf numFmtId="9" fontId="42" fillId="48" borderId="88" xfId="3" applyFont="1" applyFill="1" applyBorder="1" applyAlignment="1">
      <alignment horizontal="center" vertical="center"/>
    </xf>
    <xf numFmtId="0" fontId="46" fillId="47" borderId="47" xfId="0" applyFont="1" applyFill="1" applyBorder="1" applyAlignment="1">
      <alignment horizontal="center" vertical="center" wrapText="1"/>
    </xf>
    <xf numFmtId="0" fontId="46" fillId="47" borderId="48" xfId="0" applyFont="1" applyFill="1" applyBorder="1" applyAlignment="1">
      <alignment horizontal="center" vertical="center" wrapText="1"/>
    </xf>
    <xf numFmtId="0" fontId="46" fillId="47" borderId="49" xfId="0" applyFont="1" applyFill="1" applyBorder="1" applyAlignment="1">
      <alignment horizontal="center" vertical="center" wrapText="1"/>
    </xf>
    <xf numFmtId="3" fontId="45" fillId="0" borderId="42" xfId="0" applyNumberFormat="1" applyFont="1" applyBorder="1" applyAlignment="1">
      <alignment horizontal="center" vertical="center"/>
    </xf>
    <xf numFmtId="169" fontId="45" fillId="0" borderId="42" xfId="0" applyNumberFormat="1" applyFont="1" applyBorder="1" applyAlignment="1">
      <alignment horizontal="center" vertical="center"/>
    </xf>
    <xf numFmtId="171" fontId="45" fillId="0" borderId="42" xfId="0" applyNumberFormat="1" applyFont="1" applyBorder="1" applyAlignment="1">
      <alignment horizontal="center" vertical="center"/>
    </xf>
    <xf numFmtId="166" fontId="45" fillId="0" borderId="42" xfId="4" applyNumberFormat="1" applyFont="1" applyBorder="1" applyAlignment="1">
      <alignment horizontal="center" vertical="center"/>
    </xf>
    <xf numFmtId="171" fontId="45" fillId="0" borderId="42" xfId="3" applyNumberFormat="1" applyFont="1" applyBorder="1" applyAlignment="1">
      <alignment horizontal="center" vertical="center"/>
    </xf>
    <xf numFmtId="172" fontId="45" fillId="0" borderId="13" xfId="0" applyNumberFormat="1" applyFont="1" applyBorder="1" applyAlignment="1">
      <alignment horizontal="center" vertical="center"/>
    </xf>
    <xf numFmtId="0" fontId="42" fillId="0" borderId="41" xfId="0" applyFont="1" applyBorder="1" applyAlignment="1">
      <alignment vertical="center"/>
    </xf>
    <xf numFmtId="0" fontId="42" fillId="0" borderId="42" xfId="0" applyFont="1" applyFill="1" applyBorder="1" applyAlignment="1">
      <alignment vertical="center"/>
    </xf>
    <xf numFmtId="0" fontId="41" fillId="0" borderId="47" xfId="0" applyFont="1" applyBorder="1" applyAlignment="1">
      <alignment horizontal="left" vertical="center"/>
    </xf>
    <xf numFmtId="0" fontId="41" fillId="0" borderId="48" xfId="0" applyFont="1" applyBorder="1" applyAlignment="1">
      <alignment horizontal="left" vertical="center"/>
    </xf>
    <xf numFmtId="3" fontId="44" fillId="0" borderId="48" xfId="0" applyNumberFormat="1" applyFont="1" applyBorder="1" applyAlignment="1">
      <alignment horizontal="center" vertical="center"/>
    </xf>
    <xf numFmtId="166" fontId="44" fillId="0" borderId="48" xfId="0" applyNumberFormat="1" applyFont="1" applyBorder="1" applyAlignment="1">
      <alignment horizontal="center" vertical="center"/>
    </xf>
    <xf numFmtId="169" fontId="44" fillId="0" borderId="48" xfId="0" applyNumberFormat="1" applyFont="1" applyBorder="1" applyAlignment="1">
      <alignment horizontal="center" vertical="center"/>
    </xf>
    <xf numFmtId="171" fontId="44" fillId="0" borderId="48" xfId="3" applyNumberFormat="1" applyFont="1" applyBorder="1" applyAlignment="1">
      <alignment horizontal="center" vertical="center"/>
    </xf>
    <xf numFmtId="10" fontId="44" fillId="0" borderId="0" xfId="3" applyNumberFormat="1" applyFont="1" applyBorder="1" applyAlignment="1">
      <alignment horizontal="center" vertical="center"/>
    </xf>
    <xf numFmtId="2" fontId="44" fillId="0" borderId="100" xfId="3" applyNumberFormat="1" applyFont="1" applyBorder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Border="1" applyAlignment="1">
      <alignment horizontal="left" vertical="center"/>
    </xf>
    <xf numFmtId="3" fontId="44" fillId="0" borderId="0" xfId="0" applyNumberFormat="1" applyFont="1" applyBorder="1" applyAlignment="1">
      <alignment horizontal="center" vertical="center"/>
    </xf>
    <xf numFmtId="169" fontId="44" fillId="0" borderId="0" xfId="0" applyNumberFormat="1" applyFont="1" applyBorder="1" applyAlignment="1">
      <alignment horizontal="center" vertical="center"/>
    </xf>
    <xf numFmtId="171" fontId="44" fillId="0" borderId="0" xfId="3" applyNumberFormat="1" applyFont="1" applyBorder="1" applyAlignment="1">
      <alignment horizontal="center" vertical="center"/>
    </xf>
    <xf numFmtId="0" fontId="42" fillId="48" borderId="84" xfId="0" applyFont="1" applyFill="1" applyBorder="1" applyAlignment="1">
      <alignment horizontal="left" vertical="center" wrapText="1"/>
    </xf>
    <xf numFmtId="170" fontId="42" fillId="48" borderId="86" xfId="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70" fontId="42" fillId="48" borderId="89" xfId="4" applyNumberFormat="1" applyFont="1" applyFill="1" applyBorder="1" applyAlignment="1">
      <alignment horizontal="center" vertical="center" wrapText="1"/>
    </xf>
    <xf numFmtId="0" fontId="41" fillId="0" borderId="0" xfId="0" applyFont="1" applyAlignment="1">
      <alignment vertical="center"/>
    </xf>
    <xf numFmtId="0" fontId="47" fillId="0" borderId="71" xfId="0" applyFont="1" applyBorder="1" applyAlignment="1">
      <alignment horizontal="left" vertical="center" indent="1"/>
    </xf>
    <xf numFmtId="170" fontId="47" fillId="0" borderId="76" xfId="4" applyNumberFormat="1" applyFont="1" applyBorder="1" applyAlignment="1">
      <alignment horizontal="center" vertical="center"/>
    </xf>
    <xf numFmtId="170" fontId="47" fillId="0" borderId="77" xfId="4" applyNumberFormat="1" applyFont="1" applyBorder="1" applyAlignment="1">
      <alignment horizontal="center" vertical="center"/>
    </xf>
    <xf numFmtId="166" fontId="47" fillId="0" borderId="0" xfId="4" applyNumberFormat="1" applyFont="1" applyAlignment="1">
      <alignment horizontal="center" vertical="center"/>
    </xf>
    <xf numFmtId="170" fontId="47" fillId="0" borderId="78" xfId="4" applyNumberFormat="1" applyFont="1" applyBorder="1" applyAlignment="1">
      <alignment horizontal="center" vertical="center"/>
    </xf>
    <xf numFmtId="9" fontId="47" fillId="0" borderId="76" xfId="3" applyFont="1" applyBorder="1" applyAlignment="1">
      <alignment horizontal="center" vertical="center"/>
    </xf>
    <xf numFmtId="170" fontId="47" fillId="0" borderId="79" xfId="4" applyNumberFormat="1" applyFont="1" applyBorder="1" applyAlignment="1">
      <alignment horizontal="center" vertical="center"/>
    </xf>
    <xf numFmtId="0" fontId="47" fillId="0" borderId="0" xfId="0" applyFont="1"/>
    <xf numFmtId="170" fontId="47" fillId="0" borderId="80" xfId="4" applyNumberFormat="1" applyFont="1" applyBorder="1" applyAlignment="1">
      <alignment horizontal="center" vertical="center"/>
    </xf>
    <xf numFmtId="170" fontId="47" fillId="0" borderId="81" xfId="4" applyNumberFormat="1" applyFont="1" applyBorder="1" applyAlignment="1">
      <alignment horizontal="center" vertical="center"/>
    </xf>
    <xf numFmtId="170" fontId="47" fillId="0" borderId="82" xfId="4" applyNumberFormat="1" applyFont="1" applyBorder="1" applyAlignment="1">
      <alignment horizontal="center" vertical="center"/>
    </xf>
    <xf numFmtId="9" fontId="47" fillId="0" borderId="80" xfId="3" applyFont="1" applyBorder="1" applyAlignment="1">
      <alignment horizontal="center" vertical="center"/>
    </xf>
    <xf numFmtId="170" fontId="47" fillId="0" borderId="83" xfId="4" applyNumberFormat="1" applyFont="1" applyBorder="1" applyAlignment="1">
      <alignment horizontal="center" vertical="center"/>
    </xf>
    <xf numFmtId="9" fontId="47" fillId="0" borderId="80" xfId="3" applyFont="1" applyFill="1" applyBorder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75" xfId="0" applyFont="1" applyBorder="1" applyAlignment="1">
      <alignment horizontal="center" vertical="center" wrapText="1"/>
    </xf>
    <xf numFmtId="166" fontId="48" fillId="48" borderId="89" xfId="4" quotePrefix="1" applyNumberFormat="1" applyFont="1" applyFill="1" applyBorder="1" applyAlignment="1">
      <alignment horizontal="center" vertical="center" wrapText="1"/>
    </xf>
    <xf numFmtId="166" fontId="42" fillId="48" borderId="89" xfId="4" applyNumberFormat="1" applyFont="1" applyFill="1" applyBorder="1" applyAlignment="1">
      <alignment horizontal="center" vertical="center" wrapText="1"/>
    </xf>
    <xf numFmtId="171" fontId="41" fillId="0" borderId="0" xfId="3" applyNumberFormat="1" applyFont="1" applyAlignment="1">
      <alignment horizontal="center"/>
    </xf>
    <xf numFmtId="0" fontId="49" fillId="0" borderId="0" xfId="0" applyFont="1"/>
    <xf numFmtId="173" fontId="44" fillId="0" borderId="0" xfId="0" applyNumberFormat="1" applyFont="1" applyBorder="1" applyAlignment="1">
      <alignment horizontal="center" vertical="center"/>
    </xf>
    <xf numFmtId="173" fontId="45" fillId="0" borderId="42" xfId="0" applyNumberFormat="1" applyFont="1" applyBorder="1" applyAlignment="1">
      <alignment horizontal="center" vertical="center"/>
    </xf>
    <xf numFmtId="5" fontId="1" fillId="0" borderId="0" xfId="0" applyNumberFormat="1" applyFont="1"/>
    <xf numFmtId="168" fontId="47" fillId="0" borderId="80" xfId="4" applyNumberFormat="1" applyFont="1" applyBorder="1" applyAlignment="1">
      <alignment horizontal="center" vertical="center"/>
    </xf>
    <xf numFmtId="168" fontId="47" fillId="0" borderId="82" xfId="4" applyNumberFormat="1" applyFont="1" applyBorder="1" applyAlignment="1">
      <alignment horizontal="center" vertical="center"/>
    </xf>
    <xf numFmtId="10" fontId="45" fillId="0" borderId="42" xfId="3" applyNumberFormat="1" applyFont="1" applyBorder="1" applyAlignment="1">
      <alignment horizontal="center" vertical="center"/>
    </xf>
    <xf numFmtId="0" fontId="44" fillId="0" borderId="0" xfId="0" applyFont="1"/>
    <xf numFmtId="0" fontId="44" fillId="0" borderId="70" xfId="0" applyFont="1" applyBorder="1" applyAlignment="1">
      <alignment horizontal="center" vertical="center"/>
    </xf>
    <xf numFmtId="0" fontId="44" fillId="0" borderId="70" xfId="0" applyFont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69" fontId="0" fillId="0" borderId="0" xfId="0" applyNumberFormat="1"/>
    <xf numFmtId="168" fontId="0" fillId="0" borderId="0" xfId="0" applyNumberFormat="1"/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48" borderId="0" xfId="0" applyFont="1" applyFill="1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43" fillId="47" borderId="67" xfId="0" applyFont="1" applyFill="1" applyBorder="1" applyAlignment="1">
      <alignment horizontal="center" vertical="center"/>
    </xf>
    <xf numFmtId="0" fontId="43" fillId="47" borderId="68" xfId="0" applyFont="1" applyFill="1" applyBorder="1" applyAlignment="1">
      <alignment horizontal="center" vertical="center"/>
    </xf>
    <xf numFmtId="0" fontId="43" fillId="47" borderId="69" xfId="0" applyFont="1" applyFill="1" applyBorder="1" applyAlignment="1">
      <alignment horizontal="center" vertical="center"/>
    </xf>
    <xf numFmtId="0" fontId="50" fillId="0" borderId="101" xfId="0" applyFont="1" applyBorder="1" applyAlignment="1">
      <alignment horizontal="center" vertical="center"/>
    </xf>
    <xf numFmtId="0" fontId="50" fillId="0" borderId="99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2" fillId="0" borderId="72" xfId="0" applyFont="1" applyBorder="1" applyAlignment="1">
      <alignment horizontal="center" vertical="center" wrapText="1"/>
    </xf>
    <xf numFmtId="0" fontId="42" fillId="0" borderId="73" xfId="0" applyFont="1" applyBorder="1" applyAlignment="1">
      <alignment horizontal="center" vertical="center" wrapText="1"/>
    </xf>
    <xf numFmtId="0" fontId="28" fillId="0" borderId="72" xfId="0" applyFont="1" applyBorder="1" applyAlignment="1">
      <alignment horizontal="center" vertical="center" wrapText="1"/>
    </xf>
    <xf numFmtId="0" fontId="28" fillId="0" borderId="73" xfId="0" applyFont="1" applyBorder="1" applyAlignment="1">
      <alignment horizontal="center" vertical="center" wrapText="1"/>
    </xf>
    <xf numFmtId="0" fontId="28" fillId="0" borderId="72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2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8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externalLink" Target="externalLinks/externalLink9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12.57246452241138</c:v>
                </c:pt>
                <c:pt idx="1">
                  <c:v>12.57246452241138</c:v>
                </c:pt>
                <c:pt idx="2">
                  <c:v>12.57246452241138</c:v>
                </c:pt>
                <c:pt idx="3">
                  <c:v>12.57246452241138</c:v>
                </c:pt>
                <c:pt idx="4">
                  <c:v>12.57246452241138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9.4</c:v>
                </c:pt>
                <c:pt idx="1">
                  <c:v>9.4</c:v>
                </c:pt>
                <c:pt idx="2">
                  <c:v>9.4</c:v>
                </c:pt>
                <c:pt idx="3">
                  <c:v>9.4</c:v>
                </c:pt>
                <c:pt idx="4">
                  <c:v>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2.9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0.15</c:v>
                </c:pt>
                <c:pt idx="1">
                  <c:v>0.15</c:v>
                </c:pt>
                <c:pt idx="2">
                  <c:v>0.15</c:v>
                </c:pt>
                <c:pt idx="3">
                  <c:v>0.15</c:v>
                </c:pt>
                <c:pt idx="4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0.66441683994363554</c:v>
                </c:pt>
                <c:pt idx="1">
                  <c:v>0.66441683994363554</c:v>
                </c:pt>
                <c:pt idx="2">
                  <c:v>0.66441683994363554</c:v>
                </c:pt>
                <c:pt idx="3">
                  <c:v>0.66441683994363554</c:v>
                </c:pt>
                <c:pt idx="4">
                  <c:v>0.66441683994363554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0.16091768654140956"/>
                  <c:y val="-1.18774123822758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5094714777083473"/>
                  <c:y val="-2.82352941176471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4312034030916118"/>
                  <c:y val="-4.200375688333075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summary'!$C$6:$C$8</c:f>
              <c:numCache>
                <c:formatCode>_("$"* #,##0_);_("$"* \(#,##0\);_("$"* "-"??_);_(@_)</c:formatCode>
                <c:ptCount val="3"/>
                <c:pt idx="0">
                  <c:v>69000000.048221424</c:v>
                </c:pt>
                <c:pt idx="1">
                  <c:v>63999999.97926195</c:v>
                </c:pt>
                <c:pt idx="2">
                  <c:v>59976092.18</c:v>
                </c:pt>
              </c:numCache>
            </c:numRef>
          </c:xVal>
          <c:yVal>
            <c:numRef>
              <c:f>'Scenario summary'!$G$6:$G$8</c:f>
              <c:numCache>
                <c:formatCode>_("$"* #,##0_);_("$"* \(#,##0\);_("$"* "-"??_);_(@_)</c:formatCode>
                <c:ptCount val="3"/>
                <c:pt idx="0">
                  <c:v>213713382.59345773</c:v>
                </c:pt>
                <c:pt idx="1">
                  <c:v>202184446.67432207</c:v>
                </c:pt>
                <c:pt idx="2">
                  <c:v>185740408.95107156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172048616.21900794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'Scenario summary'!$H$5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dLbls>
                  <c:dLbl>
                    <c:idx val="0"/>
                    <c:layout>
                      <c:manualLayout>
                        <c:x val="6.0895243997533023E-2"/>
                        <c:y val="-1.697707192964810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EFEE84AC-5C07-4654-ACCD-916E0D41363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2-CD5D-42B4-BEFA-75A103BB9930}"/>
                      </c:ext>
                    </c:extLst>
                  </c:dLbl>
                  <c:dLbl>
                    <c:idx val="2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CD5D-42B4-BEFA-75A103BB9930}"/>
                      </c:ext>
                    </c:extLst>
                  </c:dLbl>
                  <c:dLbl>
                    <c:idx val="4"/>
                    <c:layout>
                      <c:manualLayout>
                        <c:x val="-7.6130039349874029E-2"/>
                        <c:y val="-4.72972972972973E-2"/>
                      </c:manualLayout>
                    </c:layout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9770-4032-861D-70D3A5842C23}"/>
                      </c:ext>
                    </c:extLst>
                  </c:dLbl>
                  <c:dLbl>
                    <c:idx val="5"/>
                    <c:layout>
                      <c:manualLayout>
                        <c:x val="-7.8475350177491993E-2"/>
                        <c:y val="6.0810810810810814E-2"/>
                      </c:manualLayout>
                    </c:layout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2-9770-4032-861D-70D3A5842C2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1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'Scenario summary'!$C$6:$C$8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3"/>
                      <c:pt idx="0">
                        <c:v>69000000.048221424</c:v>
                      </c:pt>
                      <c:pt idx="1">
                        <c:v>63999999.97926195</c:v>
                      </c:pt>
                      <c:pt idx="2">
                        <c:v>59976092.18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'Scenario summary'!$H$6:$H$8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D5D-42B4-BEFA-75A103BB9930}"/>
                  </c:ext>
                </c:extLst>
              </c15:ser>
            </c15:filteredScatterSeries>
          </c:ext>
        </c:extLst>
      </c:scatterChart>
      <c:valAx>
        <c:axId val="831722088"/>
        <c:scaling>
          <c:orientation val="minMax"/>
          <c:max val="80000000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5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  <c:extLst xmlns:c15="http://schemas.microsoft.com/office/drawing/2012/chart"/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  <c:extLst xmlns:c15="http://schemas.microsoft.com/office/drawing/2012/chart"/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6"/>
              <c:tx>
                <c:rich>
                  <a:bodyPr/>
                  <a:lstStyle/>
                  <a:p>
                    <a:fld id="{2E0208B3-1175-4AC1-9BD5-D18DED4B7310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  <c:extLst xmlns:c15="http://schemas.microsoft.com/office/drawing/2012/chart"/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2439742270360528E-2"/>
                  <c:y val="-7.4945516647271393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12132.444846051676</c:v>
                </c:pt>
                <c:pt idx="2">
                  <c:v>18389.347645434224</c:v>
                </c:pt>
                <c:pt idx="3">
                  <c:v>23454.224537512007</c:v>
                </c:pt>
                <c:pt idx="4">
                  <c:v>27873.038873503632</c:v>
                </c:pt>
                <c:pt idx="5">
                  <c:v>31866.203723549908</c:v>
                </c:pt>
                <c:pt idx="6">
                  <c:v>35549.956686161626</c:v>
                </c:pt>
                <c:pt idx="7">
                  <c:v>38994.840626603436</c:v>
                </c:pt>
                <c:pt idx="8">
                  <c:v>42247.626779557781</c:v>
                </c:pt>
                <c:pt idx="9">
                  <c:v>45341.285753716184</c:v>
                </c:pt>
                <c:pt idx="10">
                  <c:v>48300.132895579933</c:v>
                </c:pt>
                <c:pt idx="11">
                  <c:v>51142.733512986146</c:v>
                </c:pt>
                <c:pt idx="12">
                  <c:v>53883.658287942271</c:v>
                </c:pt>
                <c:pt idx="13">
                  <c:v>56534.601735468168</c:v>
                </c:pt>
                <c:pt idx="14">
                  <c:v>59105.125946175547</c:v>
                </c:pt>
                <c:pt idx="15">
                  <c:v>61603.172878504367</c:v>
                </c:pt>
                <c:pt idx="16">
                  <c:v>64035.427805524065</c:v>
                </c:pt>
                <c:pt idx="17">
                  <c:v>66407.583729436781</c:v>
                </c:pt>
                <c:pt idx="18">
                  <c:v>68724.537963789524</c:v>
                </c:pt>
                <c:pt idx="19">
                  <c:v>70990.541071384083</c:v>
                </c:pt>
                <c:pt idx="20">
                  <c:v>73209.311594484345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8116094637361378E-2"/>
                  <c:y val="5.8685850449115189E-3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5.1600042584225729E-2"/>
                  <c:y val="-4.69340708611039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07101505560213"/>
                      <c:h val="4.911814046276844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2.3458027065746751E-2"/>
                  <c:y val="-7.655256144805315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900000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6242.5057294806466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12572464.52241138</c:v>
                </c:pt>
              </c:numCache>
              <c:extLst xmlns:c15="http://schemas.microsoft.com/office/drawing/2012/chart"/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331086.14762437437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28089210.840000004</c:v>
                </c:pt>
              </c:numCache>
              <c:extLst xmlns:c15="http://schemas.microsoft.com/office/drawing/2012/chart"/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178786.88808485147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150000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65025.232320085495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923975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26581.559263521289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664416.83994363551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21809.650159386772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1100000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21486.35797297582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2900000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76710.770935870692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1800000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24218.148093092648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9400000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78576.267944646228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GSTRTV!$A$22:$A$45</c:f>
              <c:numCache>
                <c:formatCode>"$"#,##0</c:formatCode>
                <c:ptCount val="24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  <c:pt idx="20">
                  <c:v>15750000</c:v>
                </c:pt>
                <c:pt idx="21">
                  <c:v>16500000</c:v>
                </c:pt>
                <c:pt idx="22">
                  <c:v>17250000</c:v>
                </c:pt>
                <c:pt idx="23">
                  <c:v>18000000</c:v>
                </c:pt>
              </c:numCache>
            </c:numRef>
          </c:xVal>
          <c:yVal>
            <c:numRef>
              <c:f>GSTRTV!$B$22:$B$45</c:f>
              <c:numCache>
                <c:formatCode>#,##0</c:formatCode>
                <c:ptCount val="24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  <c:pt idx="20">
                  <c:v>112771.22313825082</c:v>
                </c:pt>
                <c:pt idx="21">
                  <c:v>116503.95296249664</c:v>
                </c:pt>
                <c:pt idx="22">
                  <c:v>120186.10750238127</c:v>
                </c:pt>
                <c:pt idx="23">
                  <c:v>123820.52861846496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dLbls>
            <c:dLbl>
              <c:idx val="20"/>
              <c:layout>
                <c:manualLayout>
                  <c:x val="0.10951177052541435"/>
                  <c:y val="9.3835554945867131E-17"/>
                </c:manualLayout>
              </c:layout>
              <c:tx>
                <c:rich>
                  <a:bodyPr/>
                  <a:lstStyle/>
                  <a:p>
                    <a:fld id="{23334CD9-ECF6-4541-91D1-DBD5DDFDEDBD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GPHRMCY!$A$22:$A$42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GPHRMCY!$B$22:$B$42</c:f>
              <c:numCache>
                <c:formatCode>#,##0</c:formatCode>
                <c:ptCount val="21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  <c:pt idx="20">
                  <c:v>26023.114970291033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VAC_Optim_Scenario!$I$26</c:f>
              <c:numCache>
                <c:formatCode>"$"#,##0</c:formatCode>
                <c:ptCount val="1"/>
                <c:pt idx="0">
                  <c:v>2400000</c:v>
                </c:pt>
              </c:numCache>
            </c:numRef>
          </c:xVal>
          <c:yVal>
            <c:numRef>
              <c:f>VAC_Optim_Scenario!$J$26</c:f>
              <c:numCache>
                <c:formatCode>#,##0</c:formatCode>
                <c:ptCount val="1"/>
                <c:pt idx="0">
                  <c:v>18136.499281739816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VAC_Optim_Scenario!$E$26</c:f>
              <c:numCache>
                <c:formatCode>"$"#,##0</c:formatCode>
                <c:ptCount val="1"/>
                <c:pt idx="0">
                  <c:v>2411968</c:v>
                </c:pt>
              </c:numCache>
            </c:numRef>
          </c:xVal>
          <c:yVal>
            <c:numRef>
              <c:f>VAC_Optim_Scenario!$F$26</c:f>
              <c:numCache>
                <c:formatCode>#,##0</c:formatCode>
                <c:ptCount val="1"/>
                <c:pt idx="0">
                  <c:v>18205.929821531288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AB9-4CEC-969C-111DFC7AEA4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AB9-4CEC-969C-111DFC7AEA4C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7-4C44-8735-1C17283D2F5E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7-4C44-8735-1C17283D2F5E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97-4C44-8735-1C17283D2F5E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3611797623983451E-2"/>
                  <c:y val="0.20845085693939958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97-4C44-8735-1C17283D2F5E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97-4C44-8735-1C17283D2F5E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12572464.52241138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331086.14762437437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97-4C44-8735-1C17283D2F5E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897-4C44-8735-1C17283D2F5E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897-4C44-8735-1C17283D2F5E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28089210.840000004</c:v>
                </c:pt>
              </c:numCache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178786.88808485147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897-4C44-8735-1C17283D2F5E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897-4C44-8735-1C17283D2F5E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150000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65025.232320085495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897-4C44-8735-1C17283D2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HCC InOffice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1.1402319998944855E-2"/>
                        <c:y val="2.074809034520909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F094F515-7299-4E1E-ADDB-95653710ADE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GINOFF!$A$22:$A$42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GINOFF!$B$22:$B$42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1706.7793306829408</c:v>
                      </c:pt>
                      <c:pt idx="2">
                        <c:v>3212.0774911278859</c:v>
                      </c:pt>
                      <c:pt idx="3">
                        <c:v>4539.5701164426282</c:v>
                      </c:pt>
                      <c:pt idx="4">
                        <c:v>5710.1750087123364</c:v>
                      </c:pt>
                      <c:pt idx="5">
                        <c:v>6742.3679651152343</c:v>
                      </c:pt>
                      <c:pt idx="6">
                        <c:v>7652.4636531248689</c:v>
                      </c:pt>
                      <c:pt idx="7">
                        <c:v>8454.8651248225942</c:v>
                      </c:pt>
                      <c:pt idx="8">
                        <c:v>9162.2852577054873</c:v>
                      </c:pt>
                      <c:pt idx="9">
                        <c:v>9785.9431144567207</c:v>
                      </c:pt>
                      <c:pt idx="10">
                        <c:v>10335.737933591008</c:v>
                      </c:pt>
                      <c:pt idx="11">
                        <c:v>10820.403199190274</c:v>
                      </c:pt>
                      <c:pt idx="12">
                        <c:v>11247.64299300313</c:v>
                      </c:pt>
                      <c:pt idx="13">
                        <c:v>11624.252606132999</c:v>
                      </c:pt>
                      <c:pt idx="14">
                        <c:v>11956.225180637091</c:v>
                      </c:pt>
                      <c:pt idx="15">
                        <c:v>12248.845962864347</c:v>
                      </c:pt>
                      <c:pt idx="16">
                        <c:v>12506.775579451583</c:v>
                      </c:pt>
                      <c:pt idx="17">
                        <c:v>12734.123592615128</c:v>
                      </c:pt>
                      <c:pt idx="18">
                        <c:v>12934.513452414423</c:v>
                      </c:pt>
                      <c:pt idx="19">
                        <c:v>13111.139839037322</c:v>
                      </c:pt>
                      <c:pt idx="20">
                        <c:v>13266.819276439957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897-4C44-8735-1C17283D2F5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HCC Radio</c:v>
                </c:tx>
                <c:spPr>
                  <a:ln w="1905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-4.3499650483388108E-2"/>
                        <c:y val="-4.935371867754198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CF4A86DC-D7B7-4F1B-B689-942091BC637A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12132.444846051676</c:v>
                      </c:pt>
                      <c:pt idx="2">
                        <c:v>18389.347645434224</c:v>
                      </c:pt>
                      <c:pt idx="3">
                        <c:v>23454.224537512007</c:v>
                      </c:pt>
                      <c:pt idx="4">
                        <c:v>27873.038873503632</c:v>
                      </c:pt>
                      <c:pt idx="5">
                        <c:v>31866.203723549908</c:v>
                      </c:pt>
                      <c:pt idx="6">
                        <c:v>35549.956686161626</c:v>
                      </c:pt>
                      <c:pt idx="7">
                        <c:v>38994.840626603436</c:v>
                      </c:pt>
                      <c:pt idx="8">
                        <c:v>42247.626779557781</c:v>
                      </c:pt>
                      <c:pt idx="9">
                        <c:v>45341.285753716184</c:v>
                      </c:pt>
                      <c:pt idx="10">
                        <c:v>48300.132895579933</c:v>
                      </c:pt>
                      <c:pt idx="11">
                        <c:v>51142.733512986146</c:v>
                      </c:pt>
                      <c:pt idx="12">
                        <c:v>53883.658287942271</c:v>
                      </c:pt>
                      <c:pt idx="13">
                        <c:v>56534.601735468168</c:v>
                      </c:pt>
                      <c:pt idx="14">
                        <c:v>59105.125946175547</c:v>
                      </c:pt>
                      <c:pt idx="15">
                        <c:v>61603.172878504367</c:v>
                      </c:pt>
                      <c:pt idx="16">
                        <c:v>64035.427805524065</c:v>
                      </c:pt>
                      <c:pt idx="17">
                        <c:v>66407.583729436781</c:v>
                      </c:pt>
                      <c:pt idx="18">
                        <c:v>68724.537963789524</c:v>
                      </c:pt>
                      <c:pt idx="19">
                        <c:v>70990.541071384083</c:v>
                      </c:pt>
                      <c:pt idx="20">
                        <c:v>73209.311594484345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97-4C44-8735-1C17283D2F5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HCC Social</c:v>
                </c:tx>
                <c:spPr>
                  <a:ln w="19050" cap="rnd">
                    <a:solidFill>
                      <a:srgbClr val="00B0F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3.356002453210933E-2"/>
                        <c:y val="1.35461318456269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C0CC0C-A75D-4BD0-8D73-B22B731B5F9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B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7408.6901640745618</c:v>
                      </c:pt>
                      <c:pt idx="2">
                        <c:v>11229.474417830452</c:v>
                      </c:pt>
                      <c:pt idx="3">
                        <c:v>14322.346801651498</c:v>
                      </c:pt>
                      <c:pt idx="4">
                        <c:v>17020.700408310324</c:v>
                      </c:pt>
                      <c:pt idx="5">
                        <c:v>19459.130710154546</c:v>
                      </c:pt>
                      <c:pt idx="6">
                        <c:v>21708.618318570392</c:v>
                      </c:pt>
                      <c:pt idx="7">
                        <c:v>23812.240308184086</c:v>
                      </c:pt>
                      <c:pt idx="8">
                        <c:v>25798.557582486257</c:v>
                      </c:pt>
                      <c:pt idx="9">
                        <c:v>27687.703678238533</c:v>
                      </c:pt>
                      <c:pt idx="10">
                        <c:v>29494.526787272491</c:v>
                      </c:pt>
                      <c:pt idx="11">
                        <c:v>31230.363834281474</c:v>
                      </c:pt>
                      <c:pt idx="12">
                        <c:v>32904.112421508238</c:v>
                      </c:pt>
                      <c:pt idx="13">
                        <c:v>34522.913816809414</c:v>
                      </c:pt>
                      <c:pt idx="14">
                        <c:v>36092.607120841283</c:v>
                      </c:pt>
                      <c:pt idx="15">
                        <c:v>37618.042098851023</c:v>
                      </c:pt>
                      <c:pt idx="16">
                        <c:v>39103.301119846867</c:v>
                      </c:pt>
                      <c:pt idx="17">
                        <c:v>40551.860621591703</c:v>
                      </c:pt>
                      <c:pt idx="18">
                        <c:v>41966.711153737037</c:v>
                      </c:pt>
                      <c:pt idx="19">
                        <c:v>43350.448326913778</c:v>
                      </c:pt>
                      <c:pt idx="20">
                        <c:v>44705.342872853616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897-4C44-8735-1C17283D2F5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HCC Online Video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9"/>
                    <c:layout>
                      <c:manualLayout>
                        <c:x val="1.0562161199699283E-3"/>
                        <c:y val="-0.12626861104245377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noAutofit/>
                        </a:bodyPr>
                        <a:lstStyle/>
                        <a:p>
                          <a:pPr>
                            <a:defRPr sz="11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114BDEBA-9B06-45A1-AB3C-42050E7978A3}" type="SERIESNAME">
                            <a:rPr lang="en-US"/>
                            <a:pPr>
                              <a:defRPr/>
                            </a:pPr>
                            <a:t>[SERIES NAME]</a:t>
                          </a:fld>
                          <a:endParaRPr lang="en-US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11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2350284889011984"/>
                            <c:h val="4.9118086696562036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D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GOLV!$C$22:$C$42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5065.481471193023</c:v>
                      </c:pt>
                      <c:pt idx="2">
                        <c:v>9542.5948201725259</c:v>
                      </c:pt>
                      <c:pt idx="3">
                        <c:v>13498.725633110851</c:v>
                      </c:pt>
                      <c:pt idx="4">
                        <c:v>16993.753048531711</c:v>
                      </c:pt>
                      <c:pt idx="5">
                        <c:v>20080.838937839493</c:v>
                      </c:pt>
                      <c:pt idx="6">
                        <c:v>22807.144754493609</c:v>
                      </c:pt>
                      <c:pt idx="7">
                        <c:v>25214.480166974477</c:v>
                      </c:pt>
                      <c:pt idx="8">
                        <c:v>27339.888026596978</c:v>
                      </c:pt>
                      <c:pt idx="9">
                        <c:v>29216.170419393107</c:v>
                      </c:pt>
                      <c:pt idx="10">
                        <c:v>30872.360575452447</c:v>
                      </c:pt>
                      <c:pt idx="11">
                        <c:v>32334.145309553482</c:v>
                      </c:pt>
                      <c:pt idx="12">
                        <c:v>33624.242482229136</c:v>
                      </c:pt>
                      <c:pt idx="13">
                        <c:v>34762.737730371766</c:v>
                      </c:pt>
                      <c:pt idx="14">
                        <c:v>35767.38444339484</c:v>
                      </c:pt>
                      <c:pt idx="15">
                        <c:v>36653.870671447366</c:v>
                      </c:pt>
                      <c:pt idx="16">
                        <c:v>37436.056358373724</c:v>
                      </c:pt>
                      <c:pt idx="17">
                        <c:v>38126.18400260713</c:v>
                      </c:pt>
                      <c:pt idx="18">
                        <c:v>38735.06556990277</c:v>
                      </c:pt>
                      <c:pt idx="19">
                        <c:v>39272.248216656968</c:v>
                      </c:pt>
                      <c:pt idx="20">
                        <c:v>39746.161133962683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897-4C44-8735-1C17283D2F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HCC Display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8.3245754976059821E-2"/>
                        <c:y val="-0.11494027737895526"/>
                      </c:manualLayout>
                    </c:layout>
                    <c:tx>
                      <c:rich>
                        <a:bodyPr/>
                        <a:lstStyle/>
                        <a:p>
                          <a:fld id="{7CC4D443-51A2-4020-9932-C4F44931BB75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F-3897-4C44-8735-1C17283D2F5E}"/>
                      </c:ext>
                    </c:extLst>
                  </c:dLbl>
                  <c:dLbl>
                    <c:idx val="22"/>
                    <c:layout>
                      <c:manualLayout>
                        <c:x val="1.4886758487880437E-2"/>
                        <c:y val="-9.888565470219577E-3"/>
                      </c:manualLayout>
                    </c:layout>
                    <c:tx>
                      <c:rich>
                        <a:bodyPr/>
                        <a:lstStyle/>
                        <a:p>
                          <a:fld id="{699C7380-DAE2-4DF1-A917-6B52F8ECC1E7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17627.127824775001</c:v>
                      </c:pt>
                      <c:pt idx="2">
                        <c:v>26717.729664007864</c:v>
                      </c:pt>
                      <c:pt idx="3">
                        <c:v>34076.447014572113</c:v>
                      </c:pt>
                      <c:pt idx="4">
                        <c:v>40496.50547128301</c:v>
                      </c:pt>
                      <c:pt idx="5">
                        <c:v>46298.141343550837</c:v>
                      </c:pt>
                      <c:pt idx="6">
                        <c:v>51650.235267800737</c:v>
                      </c:pt>
                      <c:pt idx="7">
                        <c:v>56655.278384023426</c:v>
                      </c:pt>
                      <c:pt idx="8">
                        <c:v>61381.22422860263</c:v>
                      </c:pt>
                      <c:pt idx="9">
                        <c:v>65875.975523639368</c:v>
                      </c:pt>
                      <c:pt idx="10">
                        <c:v>70174.859833059978</c:v>
                      </c:pt>
                      <c:pt idx="11">
                        <c:v>74304.850537621896</c:v>
                      </c:pt>
                      <c:pt idx="12">
                        <c:v>78287.117259565202</c:v>
                      </c:pt>
                      <c:pt idx="13">
                        <c:v>82138.650862126422</c:v>
                      </c:pt>
                      <c:pt idx="14">
                        <c:v>85873.344026922772</c:v>
                      </c:pt>
                      <c:pt idx="15">
                        <c:v>89502.735559065375</c:v>
                      </c:pt>
                      <c:pt idx="16">
                        <c:v>93036.538435982438</c:v>
                      </c:pt>
                      <c:pt idx="17">
                        <c:v>96483.023973043382</c:v>
                      </c:pt>
                      <c:pt idx="18">
                        <c:v>99849.307436213683</c:v>
                      </c:pt>
                      <c:pt idx="19">
                        <c:v>103141.56443270072</c:v>
                      </c:pt>
                      <c:pt idx="2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897-4C44-8735-1C17283D2F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HCC Print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897-4C44-8735-1C17283D2F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HCC InOffice C:</c:v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1134710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7367.8666140222922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897-4C44-8735-1C17283D2F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HCC InOffice O:</c:v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6242.5057294806466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897-4C44-8735-1C17283D2F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HCC Radio C:</c:v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923975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26581.559263521289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897-4C44-8735-1C17283D2F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HCC Radio O:</c:v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664416.83994363551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21809.650159386772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897-4C44-8735-1C17283D2F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HCC Online Video C:</c:v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1111779.04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21646.235649615526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897-4C44-8735-1C17283D2F5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v>HCC Online Video O:</c:v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21486.35797297582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897-4C44-8735-1C17283D2F5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v>HCC Display C:</c:v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2859426.82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76065.012406995462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897-4C44-8735-1C17283D2F5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v>HCC Display O:</c:v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dLbls>
                  <c:dLbl>
                    <c:idx val="0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1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2900000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76710.770935870692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897-4C44-8735-1C17283D2F5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3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897-4C44-8735-1C17283D2F5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Social C:</c:v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1751000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23820.403572058858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897-4C44-8735-1C17283D2F5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v>Social O:</c:v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24218.148093092648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897-4C44-8735-1C17283D2F5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v>Streaming C:</c:v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13418576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100808.3256282994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897-4C44-8735-1C17283D2F5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v>Streaming O:</c:v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9400000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78576.267944646228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897-4C44-8735-1C17283D2F5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v>HCC Streaming TV</c:v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8"/>
                    <c:layout>
                      <c:manualLayout>
                        <c:x val="6.2814070351758797E-3"/>
                        <c:y val="3.902451655426479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B47073-4184-4455-9B05-4CD7BD825AD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GSTRTV!$A$22:$A$45</c15:sqref>
                        </c15:formulaRef>
                      </c:ext>
                    </c:extLst>
                    <c:numCache>
                      <c:formatCode>"$"#,##0</c:formatCode>
                      <c:ptCount val="24"/>
                      <c:pt idx="0">
                        <c:v>750000</c:v>
                      </c:pt>
                      <c:pt idx="1">
                        <c:v>1500000</c:v>
                      </c:pt>
                      <c:pt idx="2">
                        <c:v>2250000</c:v>
                      </c:pt>
                      <c:pt idx="3">
                        <c:v>3000000</c:v>
                      </c:pt>
                      <c:pt idx="4">
                        <c:v>3750000</c:v>
                      </c:pt>
                      <c:pt idx="5">
                        <c:v>4500000</c:v>
                      </c:pt>
                      <c:pt idx="6">
                        <c:v>5250000</c:v>
                      </c:pt>
                      <c:pt idx="7">
                        <c:v>6000000</c:v>
                      </c:pt>
                      <c:pt idx="8">
                        <c:v>6750000</c:v>
                      </c:pt>
                      <c:pt idx="9">
                        <c:v>7500000</c:v>
                      </c:pt>
                      <c:pt idx="10">
                        <c:v>8250000</c:v>
                      </c:pt>
                      <c:pt idx="11">
                        <c:v>9000000</c:v>
                      </c:pt>
                      <c:pt idx="12">
                        <c:v>9750000</c:v>
                      </c:pt>
                      <c:pt idx="13">
                        <c:v>10500000</c:v>
                      </c:pt>
                      <c:pt idx="14">
                        <c:v>11250000</c:v>
                      </c:pt>
                      <c:pt idx="15">
                        <c:v>12000000</c:v>
                      </c:pt>
                      <c:pt idx="16">
                        <c:v>12750000</c:v>
                      </c:pt>
                      <c:pt idx="17">
                        <c:v>13500000</c:v>
                      </c:pt>
                      <c:pt idx="18">
                        <c:v>14250000</c:v>
                      </c:pt>
                      <c:pt idx="19">
                        <c:v>15000000</c:v>
                      </c:pt>
                      <c:pt idx="20">
                        <c:v>15750000</c:v>
                      </c:pt>
                      <c:pt idx="21">
                        <c:v>16500000</c:v>
                      </c:pt>
                      <c:pt idx="22">
                        <c:v>17250000</c:v>
                      </c:pt>
                      <c:pt idx="23">
                        <c:v>18000000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GSTRTV!$B$22:$B$45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13385.813954759049</c:v>
                      </c:pt>
                      <c:pt idx="1">
                        <c:v>21745.318923863546</c:v>
                      </c:pt>
                      <c:pt idx="2">
                        <c:v>28882.159557638814</c:v>
                      </c:pt>
                      <c:pt idx="3">
                        <c:v>35325.374810877525</c:v>
                      </c:pt>
                      <c:pt idx="4">
                        <c:v>41297.502450781918</c:v>
                      </c:pt>
                      <c:pt idx="5">
                        <c:v>46919.206625270555</c:v>
                      </c:pt>
                      <c:pt idx="6">
                        <c:v>52265.295791567616</c:v>
                      </c:pt>
                      <c:pt idx="7">
                        <c:v>57386.24068463494</c:v>
                      </c:pt>
                      <c:pt idx="8">
                        <c:v>62318.148416841854</c:v>
                      </c:pt>
                      <c:pt idx="9">
                        <c:v>67087.990658350245</c:v>
                      </c:pt>
                      <c:pt idx="10">
                        <c:v>71716.595411188333</c:v>
                      </c:pt>
                      <c:pt idx="11">
                        <c:v>76220.476033018742</c:v>
                      </c:pt>
                      <c:pt idx="12">
                        <c:v>80613.00882564421</c:v>
                      </c:pt>
                      <c:pt idx="13">
                        <c:v>84905.223505936534</c:v>
                      </c:pt>
                      <c:pt idx="14">
                        <c:v>89106.352377727613</c:v>
                      </c:pt>
                      <c:pt idx="15">
                        <c:v>93224.223027940854</c:v>
                      </c:pt>
                      <c:pt idx="16">
                        <c:v>97265.546113132033</c:v>
                      </c:pt>
                      <c:pt idx="17">
                        <c:v>101236.13077612668</c:v>
                      </c:pt>
                      <c:pt idx="18">
                        <c:v>105141.04889375818</c:v>
                      </c:pt>
                      <c:pt idx="19">
                        <c:v>108984.76235793946</c:v>
                      </c:pt>
                      <c:pt idx="20">
                        <c:v>112771.22313825082</c:v>
                      </c:pt>
                      <c:pt idx="21">
                        <c:v>116503.95296249664</c:v>
                      </c:pt>
                      <c:pt idx="22">
                        <c:v>120186.10750238127</c:v>
                      </c:pt>
                      <c:pt idx="23">
                        <c:v>123820.52861846496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897-4C44-8735-1C17283D2F5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v>HCC Pharmacy</c:v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6"/>
                  <c:marker>
                    <c:symbol val="circle"/>
                    <c:size val="5"/>
                    <c:spPr>
                      <a:solidFill>
                        <a:srgbClr val="00B050"/>
                      </a:solidFill>
                      <a:ln w="9525">
                        <a:solidFill>
                          <a:srgbClr val="00B05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GPHRMCY!$A$22:$A$41</c15:sqref>
                        </c15:formulaRef>
                      </c:ext>
                    </c:extLst>
                    <c:numCache>
                      <c:formatCode>"$"#,##0</c:formatCode>
                      <c:ptCount val="20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GPHRMCY!$B$22:$B$41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1884.0989294061437</c:v>
                      </c:pt>
                      <c:pt idx="2">
                        <c:v>3690.9075000444427</c:v>
                      </c:pt>
                      <c:pt idx="3">
                        <c:v>5423.5391706861556</c:v>
                      </c:pt>
                      <c:pt idx="4">
                        <c:v>7084.9866262534633</c:v>
                      </c:pt>
                      <c:pt idx="5">
                        <c:v>8678.126083179377</c:v>
                      </c:pt>
                      <c:pt idx="6">
                        <c:v>10205.721472941339</c:v>
                      </c:pt>
                      <c:pt idx="7">
                        <c:v>11670.428504428826</c:v>
                      </c:pt>
                      <c:pt idx="8">
                        <c:v>13074.798606074415</c:v>
                      </c:pt>
                      <c:pt idx="9">
                        <c:v>14421.282748956233</c:v>
                      </c:pt>
                      <c:pt idx="10">
                        <c:v>15712.235152327456</c:v>
                      </c:pt>
                      <c:pt idx="11">
                        <c:v>16949.916873184033</c:v>
                      </c:pt>
                      <c:pt idx="12">
                        <c:v>18136.499281739816</c:v>
                      </c:pt>
                      <c:pt idx="13">
                        <c:v>19274.06742475275</c:v>
                      </c:pt>
                      <c:pt idx="14">
                        <c:v>20364.623278812505</c:v>
                      </c:pt>
                      <c:pt idx="15">
                        <c:v>21410.088895815425</c:v>
                      </c:pt>
                      <c:pt idx="16">
                        <c:v>22412.309442908503</c:v>
                      </c:pt>
                      <c:pt idx="17">
                        <c:v>23373.056139308028</c:v>
                      </c:pt>
                      <c:pt idx="18">
                        <c:v>24294.029092384502</c:v>
                      </c:pt>
                      <c:pt idx="19">
                        <c:v>25176.860035532154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897-4C44-8735-1C17283D2F5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tx>
                  <c:v>pharmacy o</c:v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GPHRMCY!$D$9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2400000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GPHRMCY!$E$9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18136.499281739816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897-4C44-8735-1C17283D2F5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pharmacy c</c:v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dPt>
                  <c:idx val="0"/>
                  <c:marker>
                    <c:symbol val="diamond"/>
                    <c:size val="7"/>
                    <c:spPr>
                      <a:solidFill>
                        <a:srgbClr val="FF0000"/>
                      </a:solidFill>
                      <a:ln w="66675">
                        <a:noFill/>
                      </a:ln>
                      <a:effectLst/>
                    </c:spPr>
                  </c:marker>
                  <c:bubble3D val="0"/>
                  <c:spPr>
                    <a:ln w="34925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VAC_Optim_Scenario!$E$26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2411968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18205.929821531288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897-4C44-8735-1C17283D2F5E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8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12.57246452241138</c:v>
                </c:pt>
                <c:pt idx="2">
                  <c:v>12.57246452241138</c:v>
                </c:pt>
                <c:pt idx="3">
                  <c:v>12.57246452241138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9.4</c:v>
                </c:pt>
                <c:pt idx="2">
                  <c:v>9.4</c:v>
                </c:pt>
                <c:pt idx="3">
                  <c:v>9.4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0.15</c:v>
                </c:pt>
                <c:pt idx="2">
                  <c:v>0.15</c:v>
                </c:pt>
                <c:pt idx="3">
                  <c:v>0.15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0.66441683994363554</c:v>
                </c:pt>
                <c:pt idx="2">
                  <c:v>0.66441683994363554</c:v>
                </c:pt>
                <c:pt idx="3">
                  <c:v>0.66441683994363554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28.089210840000003</c:v>
                </c:pt>
                <c:pt idx="2">
                  <c:v>28.089210840000003</c:v>
                </c:pt>
                <c:pt idx="3">
                  <c:v>28.089210840000003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ROI'!$E$18:$E$27</c:f>
              <c:strCache>
                <c:ptCount val="10"/>
                <c:pt idx="0">
                  <c:v>HCC Paid Search</c:v>
                </c:pt>
                <c:pt idx="1">
                  <c:v>HCC Radio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Pharmacy</c:v>
                </c:pt>
                <c:pt idx="7">
                  <c:v>HCC Streaming Video</c:v>
                </c:pt>
                <c:pt idx="8">
                  <c:v>HCC Linear TV</c:v>
                </c:pt>
                <c:pt idx="9">
                  <c:v>HCC InOffice</c:v>
                </c:pt>
              </c:strCache>
            </c:strRef>
          </c:cat>
          <c:val>
            <c:numRef>
              <c:f>'Contribution, promo eff, ROI'!$F$18:$F$27</c:f>
              <c:numCache>
                <c:formatCode>"$"#,##0</c:formatCode>
                <c:ptCount val="10"/>
                <c:pt idx="0">
                  <c:v>1.6591015541117227</c:v>
                </c:pt>
                <c:pt idx="1">
                  <c:v>34.76</c:v>
                </c:pt>
                <c:pt idx="2">
                  <c:v>36.428388680927966</c:v>
                </c:pt>
                <c:pt idx="3">
                  <c:v>37.591880018375271</c:v>
                </c:pt>
                <c:pt idx="4">
                  <c:v>51.361310945524473</c:v>
                </c:pt>
                <c:pt idx="5">
                  <c:v>73.508410329953804</c:v>
                </c:pt>
                <c:pt idx="6">
                  <c:v>132.48254956731077</c:v>
                </c:pt>
                <c:pt idx="7">
                  <c:v>133.10979937785092</c:v>
                </c:pt>
                <c:pt idx="8">
                  <c:v>153.17331099625105</c:v>
                </c:pt>
                <c:pt idx="9">
                  <c:v>154.00794550765286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15</xdr:row>
      <xdr:rowOff>149225</xdr:rowOff>
    </xdr:from>
    <xdr:to>
      <xdr:col>9</xdr:col>
      <xdr:colOff>406400</xdr:colOff>
      <xdr:row>36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335280</xdr:colOff>
      <xdr:row>3</xdr:row>
      <xdr:rowOff>136524</xdr:rowOff>
    </xdr:from>
    <xdr:to>
      <xdr:col>18</xdr:col>
      <xdr:colOff>190500</xdr:colOff>
      <xdr:row>29</xdr:row>
      <xdr:rowOff>146049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41</xdr:row>
      <xdr:rowOff>0</xdr:rowOff>
    </xdr:from>
    <xdr:to>
      <xdr:col>14</xdr:col>
      <xdr:colOff>165653</xdr:colOff>
      <xdr:row>58</xdr:row>
      <xdr:rowOff>173935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A098A4-215C-4DF7-B597-C27582E4C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C3E0255-855E-4EED-9519-AA0E88A9BAB2}">
  <we:reference id="f9d83b14-4e6f-42a7-9129-3d6070647a4c" version="2.8.0.0" store="EXCatalog" storeType="EXCatalog"/>
  <we:alternateReferences>
    <we:reference id="WA200000421" version="2.8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12" t="s">
        <v>212</v>
      </c>
    </row>
    <row r="2" spans="2:20" ht="15.75" thickBot="1" x14ac:dyDescent="0.3"/>
    <row r="3" spans="2:20" ht="30.2" customHeight="1" x14ac:dyDescent="0.25">
      <c r="B3" s="419" t="s">
        <v>2</v>
      </c>
      <c r="C3" s="421" t="s">
        <v>3</v>
      </c>
      <c r="D3" s="422" t="s">
        <v>213</v>
      </c>
      <c r="E3" s="423"/>
      <c r="F3" s="422" t="s">
        <v>214</v>
      </c>
      <c r="G3" s="423"/>
      <c r="H3" s="422" t="s">
        <v>215</v>
      </c>
      <c r="I3" s="423"/>
      <c r="K3" s="419" t="s">
        <v>2</v>
      </c>
      <c r="L3" s="421" t="s">
        <v>3</v>
      </c>
      <c r="M3" s="422" t="s">
        <v>213</v>
      </c>
      <c r="N3" s="423"/>
      <c r="O3" s="422" t="s">
        <v>214</v>
      </c>
      <c r="P3" s="423"/>
      <c r="Q3" s="422" t="s">
        <v>215</v>
      </c>
      <c r="R3" s="423"/>
    </row>
    <row r="4" spans="2:20" ht="25.5" x14ac:dyDescent="0.25">
      <c r="B4" s="420"/>
      <c r="C4" s="420"/>
      <c r="D4" s="213" t="s">
        <v>216</v>
      </c>
      <c r="E4" s="214" t="s">
        <v>217</v>
      </c>
      <c r="F4" s="213" t="s">
        <v>216</v>
      </c>
      <c r="G4" s="214" t="s">
        <v>217</v>
      </c>
      <c r="H4" s="213" t="s">
        <v>216</v>
      </c>
      <c r="I4" s="214" t="s">
        <v>217</v>
      </c>
      <c r="K4" s="420"/>
      <c r="L4" s="420"/>
      <c r="M4" s="213" t="s">
        <v>216</v>
      </c>
      <c r="N4" s="214" t="s">
        <v>217</v>
      </c>
      <c r="O4" s="213" t="s">
        <v>216</v>
      </c>
      <c r="P4" s="214" t="s">
        <v>217</v>
      </c>
      <c r="Q4" s="213" t="s">
        <v>216</v>
      </c>
      <c r="R4" s="214" t="s">
        <v>217</v>
      </c>
    </row>
    <row r="5" spans="2:20" x14ac:dyDescent="0.25">
      <c r="B5" s="53" t="s">
        <v>154</v>
      </c>
      <c r="C5" s="215" t="str">
        <f>VAC_Optim_Scenario!B17</f>
        <v>HCC InOffice</v>
      </c>
      <c r="D5" s="216">
        <f>VAC_Optim_Scenario!$H36</f>
        <v>900000</v>
      </c>
      <c r="E5" s="217">
        <f>VAC_Optim_Scenario!$J36</f>
        <v>1410431.7445188572</v>
      </c>
      <c r="F5" s="216">
        <f>VAC_Optim_Scenario!$H36</f>
        <v>900000</v>
      </c>
      <c r="G5" s="217">
        <f>VAC_Optim_Scenario!$J36</f>
        <v>1410431.7445188572</v>
      </c>
      <c r="H5" s="216">
        <f>VAC_Optim_Scenario!$H36</f>
        <v>900000</v>
      </c>
      <c r="I5" s="217">
        <f>VAC_Optim_Scenario!$J36</f>
        <v>1410431.7445188572</v>
      </c>
      <c r="J5" s="218"/>
      <c r="K5" s="53" t="s">
        <v>154</v>
      </c>
      <c r="L5" s="53" t="str">
        <f>VAC_Optim_Scenario!B17</f>
        <v>HCC InOffice</v>
      </c>
      <c r="M5" s="219">
        <f>D5/1000000</f>
        <v>0.9</v>
      </c>
      <c r="N5" s="220">
        <f t="shared" ref="N5:R13" si="0">E5/1000000</f>
        <v>1.4104317445188572</v>
      </c>
      <c r="O5" s="219">
        <f t="shared" si="0"/>
        <v>0.9</v>
      </c>
      <c r="P5" s="220">
        <f t="shared" si="0"/>
        <v>1.4104317445188572</v>
      </c>
      <c r="Q5" s="219">
        <f t="shared" si="0"/>
        <v>0.9</v>
      </c>
      <c r="R5" s="220">
        <f t="shared" si="0"/>
        <v>1.4104317445188572</v>
      </c>
    </row>
    <row r="6" spans="2:20" x14ac:dyDescent="0.25">
      <c r="B6" s="54" t="s">
        <v>154</v>
      </c>
      <c r="C6" s="221" t="str">
        <f>VAC_Optim_Scenario!B18</f>
        <v>HCP MCM</v>
      </c>
      <c r="D6" s="222">
        <f>VAC_Optim_Scenario!$H37</f>
        <v>12572464.52241138</v>
      </c>
      <c r="E6" s="223">
        <f>VAC_Optim_Scenario!$J37</f>
        <v>74805604.19425115</v>
      </c>
      <c r="F6" s="222">
        <f>VAC_Optim_Scenario!$H37</f>
        <v>12572464.52241138</v>
      </c>
      <c r="G6" s="223">
        <f>VAC_Optim_Scenario!$J37</f>
        <v>74805604.19425115</v>
      </c>
      <c r="H6" s="222">
        <f>VAC_Optim_Scenario!$H37</f>
        <v>12572464.52241138</v>
      </c>
      <c r="I6" s="223">
        <f>VAC_Optim_Scenario!$J37</f>
        <v>74805604.19425115</v>
      </c>
      <c r="J6" s="218"/>
      <c r="K6" s="54" t="s">
        <v>154</v>
      </c>
      <c r="L6" s="54" t="str">
        <f>VAC_Optim_Scenario!B18</f>
        <v>HCP MCM</v>
      </c>
      <c r="M6" s="224">
        <f t="shared" ref="M6:M13" si="1">D6/1000000</f>
        <v>12.57246452241138</v>
      </c>
      <c r="N6" s="225">
        <f t="shared" si="0"/>
        <v>74.805604194251146</v>
      </c>
      <c r="O6" s="224">
        <f t="shared" si="0"/>
        <v>12.57246452241138</v>
      </c>
      <c r="P6" s="225">
        <f t="shared" si="0"/>
        <v>74.805604194251146</v>
      </c>
      <c r="Q6" s="224">
        <f t="shared" si="0"/>
        <v>12.57246452241138</v>
      </c>
      <c r="R6" s="225">
        <f t="shared" si="0"/>
        <v>74.805604194251146</v>
      </c>
    </row>
    <row r="7" spans="2:20" x14ac:dyDescent="0.25">
      <c r="B7" s="54" t="s">
        <v>154</v>
      </c>
      <c r="C7" s="221" t="str">
        <f>VAC_Optim_Scenario!B19</f>
        <v>HCC Social</v>
      </c>
      <c r="D7" s="222">
        <f>VAC_Optim_Scenario!$H38</f>
        <v>1800000</v>
      </c>
      <c r="E7" s="223">
        <f>VAC_Optim_Scenario!$J38</f>
        <v>5471848.3801533533</v>
      </c>
      <c r="F7" s="222">
        <f>VAC_Optim_Scenario!$H38</f>
        <v>1800000</v>
      </c>
      <c r="G7" s="223">
        <f>VAC_Optim_Scenario!$J38</f>
        <v>5471848.3801533533</v>
      </c>
      <c r="H7" s="222">
        <f>VAC_Optim_Scenario!$H38</f>
        <v>1800000</v>
      </c>
      <c r="I7" s="223">
        <f>VAC_Optim_Scenario!$J38</f>
        <v>5471848.3801533533</v>
      </c>
      <c r="J7" s="226"/>
      <c r="K7" s="54" t="s">
        <v>154</v>
      </c>
      <c r="L7" s="54" t="str">
        <f>VAC_Optim_Scenario!B19</f>
        <v>HCC Social</v>
      </c>
      <c r="M7" s="224">
        <f t="shared" si="1"/>
        <v>1.8</v>
      </c>
      <c r="N7" s="225">
        <f t="shared" si="0"/>
        <v>5.4718483801533537</v>
      </c>
      <c r="O7" s="224">
        <f t="shared" si="0"/>
        <v>1.8</v>
      </c>
      <c r="P7" s="225">
        <f t="shared" si="0"/>
        <v>5.4718483801533537</v>
      </c>
      <c r="Q7" s="224">
        <f t="shared" si="0"/>
        <v>1.8</v>
      </c>
      <c r="R7" s="225">
        <f t="shared" si="0"/>
        <v>5.4718483801533537</v>
      </c>
    </row>
    <row r="8" spans="2:20" x14ac:dyDescent="0.25">
      <c r="B8" s="54" t="s">
        <v>154</v>
      </c>
      <c r="C8" s="221" t="str">
        <f>VAC_Optim_Scenario!B20</f>
        <v>HCC Online Video</v>
      </c>
      <c r="D8" s="222">
        <f>VAC_Optim_Scenario!$H39</f>
        <v>1100000</v>
      </c>
      <c r="E8" s="223">
        <f>VAC_Optim_Scenario!$J39</f>
        <v>4854627.720414157</v>
      </c>
      <c r="F8" s="222">
        <f>VAC_Optim_Scenario!$H39</f>
        <v>1100000</v>
      </c>
      <c r="G8" s="223">
        <f>VAC_Optim_Scenario!$J39</f>
        <v>4854627.720414157</v>
      </c>
      <c r="H8" s="222">
        <f>VAC_Optim_Scenario!$H39</f>
        <v>1100000</v>
      </c>
      <c r="I8" s="223">
        <f>VAC_Optim_Scenario!$J39</f>
        <v>4854627.720414157</v>
      </c>
      <c r="J8" s="218"/>
      <c r="K8" s="54" t="s">
        <v>154</v>
      </c>
      <c r="L8" s="54" t="str">
        <f>VAC_Optim_Scenario!B20</f>
        <v>HCC Online Video</v>
      </c>
      <c r="M8" s="224">
        <f t="shared" si="1"/>
        <v>1.1000000000000001</v>
      </c>
      <c r="N8" s="225">
        <f t="shared" si="0"/>
        <v>4.8546277204141575</v>
      </c>
      <c r="O8" s="224">
        <f t="shared" si="0"/>
        <v>1.1000000000000001</v>
      </c>
      <c r="P8" s="225">
        <f t="shared" si="0"/>
        <v>4.8546277204141575</v>
      </c>
      <c r="Q8" s="224">
        <f t="shared" si="0"/>
        <v>1.1000000000000001</v>
      </c>
      <c r="R8" s="225">
        <f t="shared" si="0"/>
        <v>4.8546277204141575</v>
      </c>
    </row>
    <row r="9" spans="2:20" x14ac:dyDescent="0.25">
      <c r="B9" s="54" t="s">
        <v>154</v>
      </c>
      <c r="C9" s="221" t="str">
        <f>VAC_Optim_Scenario!B21</f>
        <v>HCC Streaming Video</v>
      </c>
      <c r="D9" s="222">
        <f>VAC_Optim_Scenario!$H40</f>
        <v>9400000</v>
      </c>
      <c r="E9" s="223">
        <f>VAC_Optim_Scenario!$J40</f>
        <v>17753521.979413368</v>
      </c>
      <c r="F9" s="222">
        <f>VAC_Optim_Scenario!$H40</f>
        <v>9400000</v>
      </c>
      <c r="G9" s="223">
        <f>VAC_Optim_Scenario!$J40</f>
        <v>17753521.979413368</v>
      </c>
      <c r="H9" s="222">
        <f>VAC_Optim_Scenario!$H40</f>
        <v>9400000</v>
      </c>
      <c r="I9" s="223">
        <f>VAC_Optim_Scenario!$J40</f>
        <v>17753521.979413368</v>
      </c>
      <c r="J9" s="226"/>
      <c r="K9" s="54" t="s">
        <v>154</v>
      </c>
      <c r="L9" s="54" t="str">
        <f>VAC_Optim_Scenario!B21</f>
        <v>HCC Streaming Video</v>
      </c>
      <c r="M9" s="224">
        <f t="shared" si="1"/>
        <v>9.4</v>
      </c>
      <c r="N9" s="225">
        <f t="shared" si="0"/>
        <v>17.753521979413367</v>
      </c>
      <c r="O9" s="224">
        <f t="shared" si="0"/>
        <v>9.4</v>
      </c>
      <c r="P9" s="225">
        <f t="shared" si="0"/>
        <v>17.753521979413367</v>
      </c>
      <c r="Q9" s="224">
        <f t="shared" si="0"/>
        <v>9.4</v>
      </c>
      <c r="R9" s="225">
        <f t="shared" si="0"/>
        <v>17.753521979413367</v>
      </c>
    </row>
    <row r="10" spans="2:20" x14ac:dyDescent="0.25">
      <c r="B10" s="54" t="s">
        <v>154</v>
      </c>
      <c r="C10" s="221" t="str">
        <f>VAC_Optim_Scenario!B22</f>
        <v>HCC Display</v>
      </c>
      <c r="D10" s="222">
        <f>VAC_Optim_Scenario!$H41</f>
        <v>2900000</v>
      </c>
      <c r="E10" s="223">
        <f>VAC_Optim_Scenario!$J41</f>
        <v>17332031.585250624</v>
      </c>
      <c r="F10" s="222">
        <f>VAC_Optim_Scenario!$H41</f>
        <v>2900000</v>
      </c>
      <c r="G10" s="223">
        <f>VAC_Optim_Scenario!$J41</f>
        <v>17332031.585250624</v>
      </c>
      <c r="H10" s="222">
        <f>VAC_Optim_Scenario!$H41</f>
        <v>2900000</v>
      </c>
      <c r="I10" s="223">
        <f>VAC_Optim_Scenario!$J41</f>
        <v>17332031.585250624</v>
      </c>
      <c r="J10" s="226"/>
      <c r="K10" s="54" t="s">
        <v>154</v>
      </c>
      <c r="L10" s="54" t="str">
        <f>VAC_Optim_Scenario!B22</f>
        <v>HCC Display</v>
      </c>
      <c r="M10" s="224">
        <f t="shared" si="1"/>
        <v>2.9</v>
      </c>
      <c r="N10" s="225">
        <f t="shared" si="0"/>
        <v>17.332031585250622</v>
      </c>
      <c r="O10" s="224">
        <f t="shared" si="0"/>
        <v>2.9</v>
      </c>
      <c r="P10" s="225">
        <f t="shared" si="0"/>
        <v>17.332031585250622</v>
      </c>
      <c r="Q10" s="224">
        <f t="shared" si="0"/>
        <v>2.9</v>
      </c>
      <c r="R10" s="225">
        <f t="shared" si="0"/>
        <v>17.332031585250622</v>
      </c>
    </row>
    <row r="11" spans="2:20" x14ac:dyDescent="0.25">
      <c r="B11" s="54" t="s">
        <v>154</v>
      </c>
      <c r="C11" s="221" t="str">
        <f>VAC_Optim_Scenario!B23</f>
        <v>HCC Paid Search</v>
      </c>
      <c r="D11" s="222">
        <f>VAC_Optim_Scenario!$H42</f>
        <v>150000</v>
      </c>
      <c r="E11" s="223">
        <f>VAC_Optim_Scenario!$J42</f>
        <v>14691800.990400117</v>
      </c>
      <c r="F11" s="222">
        <f>VAC_Optim_Scenario!$H42</f>
        <v>150000</v>
      </c>
      <c r="G11" s="223">
        <f>VAC_Optim_Scenario!$J42</f>
        <v>14691800.990400117</v>
      </c>
      <c r="H11" s="222">
        <f>VAC_Optim_Scenario!$H42</f>
        <v>150000</v>
      </c>
      <c r="I11" s="223">
        <f>VAC_Optim_Scenario!$J42</f>
        <v>14691800.990400117</v>
      </c>
      <c r="J11" s="218"/>
      <c r="K11" s="54" t="s">
        <v>154</v>
      </c>
      <c r="L11" s="54" t="str">
        <f>VAC_Optim_Scenario!B23</f>
        <v>HCC Paid Search</v>
      </c>
      <c r="M11" s="224">
        <f t="shared" si="1"/>
        <v>0.15</v>
      </c>
      <c r="N11" s="225">
        <f t="shared" si="0"/>
        <v>14.691800990400116</v>
      </c>
      <c r="O11" s="224">
        <f t="shared" si="0"/>
        <v>0.15</v>
      </c>
      <c r="P11" s="225">
        <f t="shared" si="0"/>
        <v>14.691800990400116</v>
      </c>
      <c r="Q11" s="224">
        <f t="shared" si="0"/>
        <v>0.15</v>
      </c>
      <c r="R11" s="225">
        <f t="shared" si="0"/>
        <v>14.691800990400116</v>
      </c>
    </row>
    <row r="12" spans="2:20" x14ac:dyDescent="0.25">
      <c r="B12" s="54" t="s">
        <v>154</v>
      </c>
      <c r="C12" s="221" t="str">
        <f>VAC_Optim_Scenario!B24</f>
        <v>HCC Radio</v>
      </c>
      <c r="D12" s="222">
        <f>VAC_Optim_Scenario!$H43</f>
        <v>664416.83994363551</v>
      </c>
      <c r="E12" s="223">
        <f>VAC_Optim_Scenario!$J43</f>
        <v>4927672.3570118472</v>
      </c>
      <c r="F12" s="222">
        <f>VAC_Optim_Scenario!$H43</f>
        <v>664416.83994363551</v>
      </c>
      <c r="G12" s="223">
        <f>VAC_Optim_Scenario!$J43</f>
        <v>4927672.3570118472</v>
      </c>
      <c r="H12" s="222">
        <f>VAC_Optim_Scenario!$H43</f>
        <v>664416.83994363551</v>
      </c>
      <c r="I12" s="223">
        <f>VAC_Optim_Scenario!$J43</f>
        <v>4927672.3570118472</v>
      </c>
      <c r="J12" s="218"/>
      <c r="K12" s="54" t="s">
        <v>154</v>
      </c>
      <c r="L12" s="54" t="str">
        <f>VAC_Optim_Scenario!B24</f>
        <v>HCC Radio</v>
      </c>
      <c r="M12" s="224">
        <f t="shared" si="1"/>
        <v>0.66441683994363554</v>
      </c>
      <c r="N12" s="225">
        <f t="shared" si="0"/>
        <v>4.927672357011847</v>
      </c>
      <c r="O12" s="224">
        <f t="shared" si="0"/>
        <v>0.66441683994363554</v>
      </c>
      <c r="P12" s="225">
        <f t="shared" si="0"/>
        <v>4.927672357011847</v>
      </c>
      <c r="Q12" s="224">
        <f t="shared" si="0"/>
        <v>0.66441683994363554</v>
      </c>
      <c r="R12" s="225">
        <f t="shared" si="0"/>
        <v>4.927672357011847</v>
      </c>
    </row>
    <row r="13" spans="2:20" x14ac:dyDescent="0.25">
      <c r="B13" s="235" t="s">
        <v>154</v>
      </c>
      <c r="C13" s="209" t="str">
        <f>VAC_Optim_Scenario!B25</f>
        <v>HCC Linear TV</v>
      </c>
      <c r="D13" s="236">
        <f>VAC_Optim_Scenario!$H44</f>
        <v>28089210.840000004</v>
      </c>
      <c r="E13" s="236">
        <f>VAC_Optim_Scenario!$J44</f>
        <v>40395109.493891343</v>
      </c>
      <c r="F13" s="236">
        <f>VAC_Optim_Scenario!$H44</f>
        <v>28089210.840000004</v>
      </c>
      <c r="G13" s="236">
        <f>VAC_Optim_Scenario!$J44</f>
        <v>40395109.493891343</v>
      </c>
      <c r="H13" s="236">
        <f>VAC_Optim_Scenario!$H44</f>
        <v>28089210.840000004</v>
      </c>
      <c r="I13" s="236">
        <f>VAC_Optim_Scenario!$J44</f>
        <v>40395109.493891343</v>
      </c>
      <c r="J13" s="218"/>
      <c r="K13" s="235" t="s">
        <v>154</v>
      </c>
      <c r="L13" s="235" t="str">
        <f>VAC_Optim_Scenario!B25</f>
        <v>HCC Linear TV</v>
      </c>
      <c r="M13" s="229">
        <f t="shared" si="1"/>
        <v>28.089210840000003</v>
      </c>
      <c r="N13" s="229">
        <f t="shared" si="0"/>
        <v>40.39510949389134</v>
      </c>
      <c r="O13" s="229">
        <f t="shared" si="0"/>
        <v>28.089210840000003</v>
      </c>
      <c r="P13" s="229">
        <f t="shared" si="0"/>
        <v>40.39510949389134</v>
      </c>
      <c r="Q13" s="229">
        <f t="shared" si="0"/>
        <v>28.089210840000003</v>
      </c>
      <c r="R13" s="229">
        <f t="shared" si="0"/>
        <v>40.39510949389134</v>
      </c>
    </row>
    <row r="14" spans="2:20" x14ac:dyDescent="0.25">
      <c r="T14" s="277"/>
    </row>
    <row r="15" spans="2:20" x14ac:dyDescent="0.25">
      <c r="C15" s="212" t="s">
        <v>218</v>
      </c>
    </row>
    <row r="17" spans="2:19" ht="38.1" customHeight="1" x14ac:dyDescent="0.25">
      <c r="C17" s="421" t="s">
        <v>3</v>
      </c>
      <c r="D17" s="422" t="s">
        <v>213</v>
      </c>
      <c r="E17" s="423"/>
      <c r="F17" s="422" t="s">
        <v>219</v>
      </c>
      <c r="G17" s="423"/>
      <c r="H17" s="422" t="s">
        <v>220</v>
      </c>
      <c r="I17" s="423"/>
      <c r="L17" s="421" t="s">
        <v>3</v>
      </c>
      <c r="M17" s="422" t="s">
        <v>213</v>
      </c>
      <c r="N17" s="423"/>
      <c r="O17" s="422" t="s">
        <v>219</v>
      </c>
      <c r="P17" s="423"/>
      <c r="Q17" s="422" t="s">
        <v>220</v>
      </c>
      <c r="R17" s="423"/>
    </row>
    <row r="18" spans="2:19" ht="25.5" x14ac:dyDescent="0.25">
      <c r="C18" s="420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420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15" t="str">
        <f>VAC_Optim_Scenario!B17</f>
        <v>HCC InOffice</v>
      </c>
      <c r="D19" s="216">
        <f>VAC_Optim_Scenario!$H36</f>
        <v>900000</v>
      </c>
      <c r="E19" s="217">
        <f>VAC_Optim_Scenario!$J36</f>
        <v>1410431.7445188572</v>
      </c>
      <c r="F19" s="216">
        <f>VAC_Optim_Scenario!$H36</f>
        <v>900000</v>
      </c>
      <c r="G19" s="217">
        <f>VAC_Optim_Scenario!$J36</f>
        <v>1410431.7445188572</v>
      </c>
      <c r="H19" s="216">
        <f>VAC_Optim_Scenario!$H36</f>
        <v>900000</v>
      </c>
      <c r="I19" s="217">
        <f>VAC_Optim_Scenario!$J36</f>
        <v>1410431.7445188572</v>
      </c>
      <c r="J19" s="218"/>
      <c r="K19" s="53" t="s">
        <v>154</v>
      </c>
      <c r="L19" s="215" t="str">
        <f>VAC_Optim_Scenario!B17</f>
        <v>HCC InOffice</v>
      </c>
      <c r="M19" s="219">
        <f>D19/1000000</f>
        <v>0.9</v>
      </c>
      <c r="N19" s="220">
        <f t="shared" ref="N19:R27" si="2">E19/1000000</f>
        <v>1.4104317445188572</v>
      </c>
      <c r="O19" s="219">
        <f t="shared" si="2"/>
        <v>0.9</v>
      </c>
      <c r="P19" s="220">
        <f t="shared" si="2"/>
        <v>1.4104317445188572</v>
      </c>
      <c r="Q19" s="219">
        <f t="shared" si="2"/>
        <v>0.9</v>
      </c>
      <c r="R19" s="220">
        <f t="shared" si="2"/>
        <v>1.4104317445188572</v>
      </c>
    </row>
    <row r="20" spans="2:19" x14ac:dyDescent="0.25">
      <c r="B20" s="54" t="s">
        <v>154</v>
      </c>
      <c r="C20" s="221" t="str">
        <f>VAC_Optim_Scenario!B18</f>
        <v>HCP MCM</v>
      </c>
      <c r="D20" s="222">
        <f>VAC_Optim_Scenario!$H37</f>
        <v>12572464.52241138</v>
      </c>
      <c r="E20" s="223">
        <f>VAC_Optim_Scenario!$J37</f>
        <v>74805604.19425115</v>
      </c>
      <c r="F20" s="222">
        <f>VAC_Optim_Scenario!$H37</f>
        <v>12572464.52241138</v>
      </c>
      <c r="G20" s="223">
        <f>VAC_Optim_Scenario!$J37</f>
        <v>74805604.19425115</v>
      </c>
      <c r="H20" s="222">
        <f>VAC_Optim_Scenario!$H37</f>
        <v>12572464.52241138</v>
      </c>
      <c r="I20" s="223">
        <f>VAC_Optim_Scenario!$J37</f>
        <v>74805604.19425115</v>
      </c>
      <c r="J20" s="218"/>
      <c r="K20" s="54" t="s">
        <v>154</v>
      </c>
      <c r="L20" s="221" t="str">
        <f>VAC_Optim_Scenario!B18</f>
        <v>HCP MCM</v>
      </c>
      <c r="M20" s="224">
        <f t="shared" ref="M20:M27" si="3">D20/1000000</f>
        <v>12.57246452241138</v>
      </c>
      <c r="N20" s="225">
        <f t="shared" si="2"/>
        <v>74.805604194251146</v>
      </c>
      <c r="O20" s="224">
        <f t="shared" si="2"/>
        <v>12.57246452241138</v>
      </c>
      <c r="P20" s="225">
        <f t="shared" si="2"/>
        <v>74.805604194251146</v>
      </c>
      <c r="Q20" s="224">
        <f t="shared" si="2"/>
        <v>12.57246452241138</v>
      </c>
      <c r="R20" s="225">
        <f t="shared" si="2"/>
        <v>74.805604194251146</v>
      </c>
    </row>
    <row r="21" spans="2:19" x14ac:dyDescent="0.25">
      <c r="B21" s="54" t="s">
        <v>154</v>
      </c>
      <c r="C21" s="221" t="str">
        <f>VAC_Optim_Scenario!B19</f>
        <v>HCC Social</v>
      </c>
      <c r="D21" s="222">
        <f>VAC_Optim_Scenario!$H38</f>
        <v>1800000</v>
      </c>
      <c r="E21" s="223">
        <f>VAC_Optim_Scenario!$J38</f>
        <v>5471848.3801533533</v>
      </c>
      <c r="F21" s="222">
        <f>VAC_Optim_Scenario!$H38</f>
        <v>1800000</v>
      </c>
      <c r="G21" s="223">
        <f>VAC_Optim_Scenario!$J38</f>
        <v>5471848.3801533533</v>
      </c>
      <c r="H21" s="222">
        <f>VAC_Optim_Scenario!$H38</f>
        <v>1800000</v>
      </c>
      <c r="I21" s="223">
        <f>VAC_Optim_Scenario!$J38</f>
        <v>5471848.3801533533</v>
      </c>
      <c r="J21" s="226"/>
      <c r="K21" s="54" t="s">
        <v>154</v>
      </c>
      <c r="L21" s="221" t="str">
        <f>VAC_Optim_Scenario!B19</f>
        <v>HCC Social</v>
      </c>
      <c r="M21" s="224">
        <f t="shared" si="3"/>
        <v>1.8</v>
      </c>
      <c r="N21" s="225">
        <f t="shared" si="2"/>
        <v>5.4718483801533537</v>
      </c>
      <c r="O21" s="224">
        <f t="shared" si="2"/>
        <v>1.8</v>
      </c>
      <c r="P21" s="225">
        <f t="shared" si="2"/>
        <v>5.4718483801533537</v>
      </c>
      <c r="Q21" s="224">
        <f t="shared" si="2"/>
        <v>1.8</v>
      </c>
      <c r="R21" s="225">
        <f t="shared" si="2"/>
        <v>5.4718483801533537</v>
      </c>
    </row>
    <row r="22" spans="2:19" x14ac:dyDescent="0.25">
      <c r="B22" s="54" t="s">
        <v>154</v>
      </c>
      <c r="C22" s="221" t="str">
        <f>VAC_Optim_Scenario!B20</f>
        <v>HCC Online Video</v>
      </c>
      <c r="D22" s="222">
        <f>VAC_Optim_Scenario!$H39</f>
        <v>1100000</v>
      </c>
      <c r="E22" s="223">
        <f>VAC_Optim_Scenario!$J39</f>
        <v>4854627.720414157</v>
      </c>
      <c r="F22" s="222">
        <f>VAC_Optim_Scenario!$H39</f>
        <v>1100000</v>
      </c>
      <c r="G22" s="223">
        <f>VAC_Optim_Scenario!$J39</f>
        <v>4854627.720414157</v>
      </c>
      <c r="H22" s="222">
        <f>VAC_Optim_Scenario!$H39</f>
        <v>1100000</v>
      </c>
      <c r="I22" s="223">
        <f>VAC_Optim_Scenario!$J39</f>
        <v>4854627.720414157</v>
      </c>
      <c r="J22" s="218"/>
      <c r="K22" s="54" t="s">
        <v>154</v>
      </c>
      <c r="L22" s="221" t="str">
        <f>VAC_Optim_Scenario!B20</f>
        <v>HCC Online Video</v>
      </c>
      <c r="M22" s="224">
        <f t="shared" si="3"/>
        <v>1.1000000000000001</v>
      </c>
      <c r="N22" s="225">
        <f t="shared" si="2"/>
        <v>4.8546277204141575</v>
      </c>
      <c r="O22" s="224">
        <f t="shared" si="2"/>
        <v>1.1000000000000001</v>
      </c>
      <c r="P22" s="225">
        <f t="shared" si="2"/>
        <v>4.8546277204141575</v>
      </c>
      <c r="Q22" s="224">
        <f t="shared" si="2"/>
        <v>1.1000000000000001</v>
      </c>
      <c r="R22" s="225">
        <f t="shared" si="2"/>
        <v>4.8546277204141575</v>
      </c>
    </row>
    <row r="23" spans="2:19" x14ac:dyDescent="0.25">
      <c r="B23" s="54" t="s">
        <v>154</v>
      </c>
      <c r="C23" s="221" t="str">
        <f>VAC_Optim_Scenario!B21</f>
        <v>HCC Streaming Video</v>
      </c>
      <c r="D23" s="222">
        <f>VAC_Optim_Scenario!$H40</f>
        <v>9400000</v>
      </c>
      <c r="E23" s="223">
        <f>VAC_Optim_Scenario!$J40</f>
        <v>17753521.979413368</v>
      </c>
      <c r="F23" s="222">
        <f>VAC_Optim_Scenario!$H40</f>
        <v>9400000</v>
      </c>
      <c r="G23" s="223">
        <f>VAC_Optim_Scenario!$J40</f>
        <v>17753521.979413368</v>
      </c>
      <c r="H23" s="222">
        <f>VAC_Optim_Scenario!$H40</f>
        <v>9400000</v>
      </c>
      <c r="I23" s="223">
        <f>VAC_Optim_Scenario!$J40</f>
        <v>17753521.979413368</v>
      </c>
      <c r="J23" s="226"/>
      <c r="K23" s="54" t="s">
        <v>154</v>
      </c>
      <c r="L23" s="221" t="str">
        <f>VAC_Optim_Scenario!B21</f>
        <v>HCC Streaming Video</v>
      </c>
      <c r="M23" s="224">
        <f t="shared" si="3"/>
        <v>9.4</v>
      </c>
      <c r="N23" s="225">
        <f t="shared" si="2"/>
        <v>17.753521979413367</v>
      </c>
      <c r="O23" s="224">
        <f t="shared" si="2"/>
        <v>9.4</v>
      </c>
      <c r="P23" s="225">
        <f t="shared" si="2"/>
        <v>17.753521979413367</v>
      </c>
      <c r="Q23" s="224">
        <f t="shared" si="2"/>
        <v>9.4</v>
      </c>
      <c r="R23" s="225">
        <f t="shared" si="2"/>
        <v>17.753521979413367</v>
      </c>
    </row>
    <row r="24" spans="2:19" x14ac:dyDescent="0.25">
      <c r="B24" s="54" t="s">
        <v>154</v>
      </c>
      <c r="C24" s="221" t="str">
        <f>VAC_Optim_Scenario!B22</f>
        <v>HCC Display</v>
      </c>
      <c r="D24" s="222">
        <f>VAC_Optim_Scenario!$H41</f>
        <v>2900000</v>
      </c>
      <c r="E24" s="223">
        <f>VAC_Optim_Scenario!$J41</f>
        <v>17332031.585250624</v>
      </c>
      <c r="F24" s="222">
        <f>VAC_Optim_Scenario!$H41</f>
        <v>2900000</v>
      </c>
      <c r="G24" s="223">
        <f>VAC_Optim_Scenario!$J41</f>
        <v>17332031.585250624</v>
      </c>
      <c r="H24" s="222">
        <f>VAC_Optim_Scenario!$H41</f>
        <v>2900000</v>
      </c>
      <c r="I24" s="223">
        <f>VAC_Optim_Scenario!$J41</f>
        <v>17332031.585250624</v>
      </c>
      <c r="J24" s="226"/>
      <c r="K24" s="54" t="s">
        <v>154</v>
      </c>
      <c r="L24" s="221" t="str">
        <f>VAC_Optim_Scenario!B22</f>
        <v>HCC Display</v>
      </c>
      <c r="M24" s="224">
        <f t="shared" si="3"/>
        <v>2.9</v>
      </c>
      <c r="N24" s="225">
        <f t="shared" si="2"/>
        <v>17.332031585250622</v>
      </c>
      <c r="O24" s="224">
        <f t="shared" si="2"/>
        <v>2.9</v>
      </c>
      <c r="P24" s="225">
        <f t="shared" si="2"/>
        <v>17.332031585250622</v>
      </c>
      <c r="Q24" s="224">
        <f t="shared" si="2"/>
        <v>2.9</v>
      </c>
      <c r="R24" s="225">
        <f t="shared" si="2"/>
        <v>17.332031585250622</v>
      </c>
    </row>
    <row r="25" spans="2:19" x14ac:dyDescent="0.25">
      <c r="B25" s="54" t="s">
        <v>154</v>
      </c>
      <c r="C25" s="221" t="str">
        <f>VAC_Optim_Scenario!B23</f>
        <v>HCC Paid Search</v>
      </c>
      <c r="D25" s="222">
        <f>VAC_Optim_Scenario!$H42</f>
        <v>150000</v>
      </c>
      <c r="E25" s="223">
        <f>VAC_Optim_Scenario!$J42</f>
        <v>14691800.990400117</v>
      </c>
      <c r="F25" s="222">
        <f>VAC_Optim_Scenario!$H42</f>
        <v>150000</v>
      </c>
      <c r="G25" s="223">
        <f>VAC_Optim_Scenario!$J42</f>
        <v>14691800.990400117</v>
      </c>
      <c r="H25" s="222">
        <f>VAC_Optim_Scenario!$H42</f>
        <v>150000</v>
      </c>
      <c r="I25" s="223">
        <f>VAC_Optim_Scenario!$J42</f>
        <v>14691800.990400117</v>
      </c>
      <c r="J25" s="226"/>
      <c r="K25" s="54" t="s">
        <v>154</v>
      </c>
      <c r="L25" s="221" t="str">
        <f>VAC_Optim_Scenario!B23</f>
        <v>HCC Paid Search</v>
      </c>
      <c r="M25" s="224">
        <f t="shared" si="3"/>
        <v>0.15</v>
      </c>
      <c r="N25" s="225">
        <f t="shared" si="2"/>
        <v>14.691800990400116</v>
      </c>
      <c r="O25" s="224">
        <f t="shared" si="2"/>
        <v>0.15</v>
      </c>
      <c r="P25" s="225">
        <f t="shared" si="2"/>
        <v>14.691800990400116</v>
      </c>
      <c r="Q25" s="224">
        <f t="shared" si="2"/>
        <v>0.15</v>
      </c>
      <c r="R25" s="225">
        <f t="shared" si="2"/>
        <v>14.691800990400116</v>
      </c>
    </row>
    <row r="26" spans="2:19" x14ac:dyDescent="0.25">
      <c r="B26" s="54" t="s">
        <v>154</v>
      </c>
      <c r="C26" s="221" t="str">
        <f>VAC_Optim_Scenario!B24</f>
        <v>HCC Radio</v>
      </c>
      <c r="D26" s="222">
        <f>VAC_Optim_Scenario!$H43</f>
        <v>664416.83994363551</v>
      </c>
      <c r="E26" s="223">
        <f>VAC_Optim_Scenario!$J43</f>
        <v>4927672.3570118472</v>
      </c>
      <c r="F26" s="222">
        <f>VAC_Optim_Scenario!$H43</f>
        <v>664416.83994363551</v>
      </c>
      <c r="G26" s="223">
        <f>VAC_Optim_Scenario!$J43</f>
        <v>4927672.3570118472</v>
      </c>
      <c r="H26" s="222">
        <f>VAC_Optim_Scenario!$H43</f>
        <v>664416.83994363551</v>
      </c>
      <c r="I26" s="223">
        <f>VAC_Optim_Scenario!$J43</f>
        <v>4927672.3570118472</v>
      </c>
      <c r="J26" s="226"/>
      <c r="K26" s="54" t="s">
        <v>154</v>
      </c>
      <c r="L26" s="221" t="str">
        <f>VAC_Optim_Scenario!B24</f>
        <v>HCC Radio</v>
      </c>
      <c r="M26" s="224">
        <f t="shared" si="3"/>
        <v>0.66441683994363554</v>
      </c>
      <c r="N26" s="225">
        <f t="shared" si="2"/>
        <v>4.927672357011847</v>
      </c>
      <c r="O26" s="224">
        <f t="shared" si="2"/>
        <v>0.66441683994363554</v>
      </c>
      <c r="P26" s="225">
        <f t="shared" si="2"/>
        <v>4.927672357011847</v>
      </c>
      <c r="Q26" s="224">
        <f t="shared" si="2"/>
        <v>0.66441683994363554</v>
      </c>
      <c r="R26" s="225">
        <f t="shared" si="2"/>
        <v>4.927672357011847</v>
      </c>
    </row>
    <row r="27" spans="2:19" x14ac:dyDescent="0.25">
      <c r="B27" s="235" t="s">
        <v>154</v>
      </c>
      <c r="C27" s="209" t="str">
        <f>VAC_Optim_Scenario!B25</f>
        <v>HCC Linear TV</v>
      </c>
      <c r="D27" s="236">
        <f>VAC_Optim_Scenario!$H44</f>
        <v>28089210.840000004</v>
      </c>
      <c r="E27" s="236">
        <f>VAC_Optim_Scenario!$J44</f>
        <v>40395109.493891343</v>
      </c>
      <c r="F27" s="236">
        <f>VAC_Optim_Scenario!$H44</f>
        <v>28089210.840000004</v>
      </c>
      <c r="G27" s="236">
        <f>VAC_Optim_Scenario!$J44</f>
        <v>40395109.493891343</v>
      </c>
      <c r="H27" s="236">
        <f>VAC_Optim_Scenario!$H44</f>
        <v>28089210.840000004</v>
      </c>
      <c r="I27" s="236">
        <f>VAC_Optim_Scenario!$J44</f>
        <v>40395109.493891343</v>
      </c>
      <c r="J27" s="226"/>
      <c r="K27" s="235" t="s">
        <v>154</v>
      </c>
      <c r="L27" s="209" t="str">
        <f>VAC_Optim_Scenario!B25</f>
        <v>HCC Linear TV</v>
      </c>
      <c r="M27" s="229">
        <f t="shared" si="3"/>
        <v>28.089210840000003</v>
      </c>
      <c r="N27" s="229">
        <f t="shared" si="2"/>
        <v>40.39510949389134</v>
      </c>
      <c r="O27" s="229">
        <f t="shared" si="2"/>
        <v>28.089210840000003</v>
      </c>
      <c r="P27" s="229">
        <f t="shared" si="2"/>
        <v>40.39510949389134</v>
      </c>
      <c r="Q27" s="229">
        <f t="shared" si="2"/>
        <v>28.089210840000003</v>
      </c>
      <c r="R27" s="229">
        <f t="shared" si="2"/>
        <v>40.39510949389134</v>
      </c>
    </row>
    <row r="30" spans="2:19" ht="34.35" customHeight="1" x14ac:dyDescent="0.25">
      <c r="C30" s="254" t="s">
        <v>3</v>
      </c>
      <c r="D30" s="255" t="s">
        <v>221</v>
      </c>
      <c r="E30" s="227">
        <v>-0.5</v>
      </c>
      <c r="F30" s="227">
        <v>2</v>
      </c>
      <c r="G30" s="227">
        <v>-0.4</v>
      </c>
      <c r="H30" s="227">
        <v>0.4</v>
      </c>
      <c r="J30" s="97" t="s">
        <v>3</v>
      </c>
      <c r="K30" s="97" t="s">
        <v>206</v>
      </c>
      <c r="L30" s="97" t="s">
        <v>207</v>
      </c>
      <c r="M30" s="97" t="s">
        <v>208</v>
      </c>
      <c r="N30" s="97" t="s">
        <v>224</v>
      </c>
      <c r="O30" s="97" t="s">
        <v>226</v>
      </c>
      <c r="P30" s="97" t="s">
        <v>209</v>
      </c>
      <c r="Q30" s="97" t="s">
        <v>210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78" t="str">
        <f>VAC_Optim_Scenario!B17</f>
        <v>HCC InOffice</v>
      </c>
      <c r="D31" s="219">
        <f>M19</f>
        <v>0.9</v>
      </c>
      <c r="E31" s="219">
        <f>O5</f>
        <v>0.9</v>
      </c>
      <c r="F31" s="219">
        <f>Q5</f>
        <v>0.9</v>
      </c>
      <c r="G31" s="219">
        <f>O19</f>
        <v>0.9</v>
      </c>
      <c r="H31" s="219">
        <f>Q19</f>
        <v>0.9</v>
      </c>
      <c r="J31" s="228">
        <v>-0.5</v>
      </c>
      <c r="K31" s="229">
        <f>E$31</f>
        <v>0.9</v>
      </c>
      <c r="L31" s="229">
        <f>E$32</f>
        <v>12.57246452241138</v>
      </c>
      <c r="M31" s="229">
        <f>E$33</f>
        <v>1.8</v>
      </c>
      <c r="N31" s="229">
        <f>E$34</f>
        <v>1.1000000000000001</v>
      </c>
      <c r="O31" s="229">
        <f>E$35</f>
        <v>9.4</v>
      </c>
      <c r="P31" s="229">
        <f>E$36</f>
        <v>2.9</v>
      </c>
      <c r="Q31" s="229">
        <f>E$37</f>
        <v>0.15</v>
      </c>
      <c r="R31" s="229">
        <f>E$38</f>
        <v>0.66441683994363554</v>
      </c>
      <c r="S31" s="229">
        <f>E$39</f>
        <v>28.089210840000003</v>
      </c>
    </row>
    <row r="32" spans="2:19" x14ac:dyDescent="0.25">
      <c r="B32" s="54" t="s">
        <v>154</v>
      </c>
      <c r="C32" s="279" t="str">
        <f>VAC_Optim_Scenario!B18</f>
        <v>HCP MCM</v>
      </c>
      <c r="D32" s="224">
        <f t="shared" ref="D32:D39" si="4">M20</f>
        <v>12.57246452241138</v>
      </c>
      <c r="E32" s="224">
        <f t="shared" ref="E32:E39" si="5">O6</f>
        <v>12.57246452241138</v>
      </c>
      <c r="F32" s="224">
        <f t="shared" ref="F32:F39" si="6">Q6</f>
        <v>12.57246452241138</v>
      </c>
      <c r="G32" s="224">
        <f t="shared" ref="G32:G39" si="7">O20</f>
        <v>12.57246452241138</v>
      </c>
      <c r="H32" s="224">
        <f t="shared" ref="H32:H39" si="8">Q20</f>
        <v>12.57246452241138</v>
      </c>
      <c r="J32" s="228">
        <v>-0.4</v>
      </c>
      <c r="K32" s="229">
        <f>G$31</f>
        <v>0.9</v>
      </c>
      <c r="L32" s="229">
        <f>G$32</f>
        <v>12.57246452241138</v>
      </c>
      <c r="M32" s="229">
        <f>G$33</f>
        <v>1.8</v>
      </c>
      <c r="N32" s="229">
        <f>G$34</f>
        <v>1.1000000000000001</v>
      </c>
      <c r="O32" s="229">
        <f>G$35</f>
        <v>9.4</v>
      </c>
      <c r="P32" s="229">
        <f>G$36</f>
        <v>2.9</v>
      </c>
      <c r="Q32" s="229">
        <f>G$37</f>
        <v>0.15</v>
      </c>
      <c r="R32" s="229">
        <f>G$38</f>
        <v>0.66441683994363554</v>
      </c>
      <c r="S32" s="229">
        <f>G$39</f>
        <v>28.089210840000003</v>
      </c>
    </row>
    <row r="33" spans="2:22" x14ac:dyDescent="0.25">
      <c r="B33" s="54" t="s">
        <v>154</v>
      </c>
      <c r="C33" s="279" t="str">
        <f>VAC_Optim_Scenario!B19</f>
        <v>HCC Social</v>
      </c>
      <c r="D33" s="224">
        <f t="shared" si="4"/>
        <v>1.8</v>
      </c>
      <c r="E33" s="224">
        <f t="shared" si="5"/>
        <v>1.8</v>
      </c>
      <c r="F33" s="224">
        <f t="shared" si="6"/>
        <v>1.8</v>
      </c>
      <c r="G33" s="224">
        <f t="shared" si="7"/>
        <v>1.8</v>
      </c>
      <c r="H33" s="224">
        <f t="shared" si="8"/>
        <v>1.8</v>
      </c>
      <c r="J33" s="228" t="s">
        <v>221</v>
      </c>
      <c r="K33" s="229">
        <f>D$31</f>
        <v>0.9</v>
      </c>
      <c r="L33" s="229">
        <f>D$32</f>
        <v>12.57246452241138</v>
      </c>
      <c r="M33" s="229">
        <f>D$33</f>
        <v>1.8</v>
      </c>
      <c r="N33" s="229">
        <f>D$34</f>
        <v>1.1000000000000001</v>
      </c>
      <c r="O33" s="229">
        <f>D$35</f>
        <v>9.4</v>
      </c>
      <c r="P33" s="229">
        <f>D$36</f>
        <v>2.9</v>
      </c>
      <c r="Q33" s="229">
        <f>D$37</f>
        <v>0.15</v>
      </c>
      <c r="R33" s="229">
        <f>D$38</f>
        <v>0.66441683994363554</v>
      </c>
      <c r="S33" s="229">
        <f>D$39</f>
        <v>28.089210840000003</v>
      </c>
    </row>
    <row r="34" spans="2:22" x14ac:dyDescent="0.25">
      <c r="B34" s="54" t="s">
        <v>154</v>
      </c>
      <c r="C34" s="279" t="str">
        <f>VAC_Optim_Scenario!B20</f>
        <v>HCC Online Video</v>
      </c>
      <c r="D34" s="224">
        <f t="shared" si="4"/>
        <v>1.1000000000000001</v>
      </c>
      <c r="E34" s="224">
        <f t="shared" si="5"/>
        <v>1.1000000000000001</v>
      </c>
      <c r="F34" s="224">
        <f t="shared" si="6"/>
        <v>1.1000000000000001</v>
      </c>
      <c r="G34" s="224">
        <f t="shared" si="7"/>
        <v>1.1000000000000001</v>
      </c>
      <c r="H34" s="224">
        <f t="shared" si="8"/>
        <v>1.1000000000000001</v>
      </c>
      <c r="J34" s="228">
        <v>0.4</v>
      </c>
      <c r="K34" s="229">
        <f>H$31</f>
        <v>0.9</v>
      </c>
      <c r="L34" s="229">
        <f>H$32</f>
        <v>12.57246452241138</v>
      </c>
      <c r="M34" s="229">
        <f>H$33</f>
        <v>1.8</v>
      </c>
      <c r="N34" s="229">
        <f>H$34</f>
        <v>1.1000000000000001</v>
      </c>
      <c r="O34" s="229">
        <f>H$35</f>
        <v>9.4</v>
      </c>
      <c r="P34" s="229">
        <f>H$36</f>
        <v>2.9</v>
      </c>
      <c r="Q34" s="229">
        <f>H$37</f>
        <v>0.15</v>
      </c>
      <c r="R34" s="229">
        <f>H$38</f>
        <v>0.66441683994363554</v>
      </c>
      <c r="S34" s="229">
        <f>H$39</f>
        <v>28.089210840000003</v>
      </c>
    </row>
    <row r="35" spans="2:22" x14ac:dyDescent="0.25">
      <c r="B35" s="54" t="s">
        <v>154</v>
      </c>
      <c r="C35" s="279" t="str">
        <f>VAC_Optim_Scenario!B21</f>
        <v>HCC Streaming Video</v>
      </c>
      <c r="D35" s="224">
        <f t="shared" si="4"/>
        <v>9.4</v>
      </c>
      <c r="E35" s="224">
        <f t="shared" si="5"/>
        <v>9.4</v>
      </c>
      <c r="F35" s="224">
        <f t="shared" si="6"/>
        <v>9.4</v>
      </c>
      <c r="G35" s="224">
        <f t="shared" si="7"/>
        <v>9.4</v>
      </c>
      <c r="H35" s="224">
        <f t="shared" si="8"/>
        <v>9.4</v>
      </c>
      <c r="J35" s="227">
        <v>2</v>
      </c>
      <c r="K35" s="229">
        <f>F$31</f>
        <v>0.9</v>
      </c>
      <c r="L35" s="229">
        <f>F$32</f>
        <v>12.57246452241138</v>
      </c>
      <c r="M35" s="229">
        <f>F$33</f>
        <v>1.8</v>
      </c>
      <c r="N35" s="229">
        <f>F$34</f>
        <v>1.1000000000000001</v>
      </c>
      <c r="O35" s="229">
        <f>F$35</f>
        <v>9.4</v>
      </c>
      <c r="P35" s="229">
        <f>F$36</f>
        <v>2.9</v>
      </c>
      <c r="Q35" s="229">
        <f>F$37</f>
        <v>0.15</v>
      </c>
      <c r="R35" s="229">
        <f>F$38</f>
        <v>0.66441683994363554</v>
      </c>
      <c r="S35" s="229">
        <f>F$39</f>
        <v>28.089210840000003</v>
      </c>
    </row>
    <row r="36" spans="2:22" x14ac:dyDescent="0.25">
      <c r="B36" s="54" t="s">
        <v>154</v>
      </c>
      <c r="C36" s="279" t="str">
        <f>VAC_Optim_Scenario!B22</f>
        <v>HCC Display</v>
      </c>
      <c r="D36" s="224">
        <f t="shared" si="4"/>
        <v>2.9</v>
      </c>
      <c r="E36" s="224">
        <f t="shared" si="5"/>
        <v>2.9</v>
      </c>
      <c r="F36" s="224">
        <f t="shared" si="6"/>
        <v>2.9</v>
      </c>
      <c r="G36" s="224">
        <f t="shared" si="7"/>
        <v>2.9</v>
      </c>
      <c r="H36" s="224">
        <f t="shared" si="8"/>
        <v>2.9</v>
      </c>
    </row>
    <row r="37" spans="2:22" x14ac:dyDescent="0.25">
      <c r="B37" s="54" t="s">
        <v>154</v>
      </c>
      <c r="C37" s="279" t="str">
        <f>VAC_Optim_Scenario!B23</f>
        <v>HCC Paid Search</v>
      </c>
      <c r="D37" s="224">
        <f t="shared" si="4"/>
        <v>0.15</v>
      </c>
      <c r="E37" s="224">
        <f t="shared" si="5"/>
        <v>0.15</v>
      </c>
      <c r="F37" s="224">
        <f t="shared" si="6"/>
        <v>0.15</v>
      </c>
      <c r="G37" s="224">
        <f t="shared" si="7"/>
        <v>0.15</v>
      </c>
      <c r="H37" s="224">
        <f t="shared" si="8"/>
        <v>0.15</v>
      </c>
      <c r="J37" s="245"/>
      <c r="K37" s="230"/>
      <c r="L37" s="230"/>
      <c r="M37" s="230"/>
      <c r="N37" s="230"/>
      <c r="O37" s="230"/>
      <c r="P37" s="230"/>
      <c r="Q37" s="230"/>
      <c r="R37" s="230"/>
    </row>
    <row r="38" spans="2:22" x14ac:dyDescent="0.25">
      <c r="B38" s="54" t="s">
        <v>154</v>
      </c>
      <c r="C38" s="279" t="str">
        <f>VAC_Optim_Scenario!B24</f>
        <v>HCC Radio</v>
      </c>
      <c r="D38" s="224">
        <f t="shared" si="4"/>
        <v>0.66441683994363554</v>
      </c>
      <c r="E38" s="224">
        <f t="shared" si="5"/>
        <v>0.66441683994363554</v>
      </c>
      <c r="F38" s="224">
        <f t="shared" si="6"/>
        <v>0.66441683994363554</v>
      </c>
      <c r="G38" s="224">
        <f t="shared" si="7"/>
        <v>0.66441683994363554</v>
      </c>
      <c r="H38" s="224">
        <f t="shared" si="8"/>
        <v>0.66441683994363554</v>
      </c>
      <c r="J38" s="246"/>
      <c r="K38" s="231"/>
      <c r="L38" s="231"/>
      <c r="M38" s="231"/>
      <c r="N38" s="231"/>
      <c r="O38" s="231"/>
      <c r="P38" s="231"/>
      <c r="Q38" s="231"/>
      <c r="R38" s="231"/>
    </row>
    <row r="39" spans="2:22" x14ac:dyDescent="0.25">
      <c r="B39" s="97" t="s">
        <v>154</v>
      </c>
      <c r="C39" s="280" t="str">
        <f>VAC_Optim_Scenario!B25</f>
        <v>HCC Linear TV</v>
      </c>
      <c r="D39" s="224">
        <f t="shared" si="4"/>
        <v>28.089210840000003</v>
      </c>
      <c r="E39" s="224">
        <f t="shared" si="5"/>
        <v>28.089210840000003</v>
      </c>
      <c r="F39" s="224">
        <f t="shared" si="6"/>
        <v>28.089210840000003</v>
      </c>
      <c r="G39" s="224">
        <f t="shared" si="7"/>
        <v>28.089210840000003</v>
      </c>
      <c r="H39" s="224">
        <f t="shared" si="8"/>
        <v>28.089210840000003</v>
      </c>
      <c r="J39" s="245"/>
      <c r="K39" s="230"/>
      <c r="L39" s="230"/>
      <c r="M39" s="230"/>
      <c r="N39" s="230"/>
      <c r="O39" s="230"/>
      <c r="P39" s="230"/>
      <c r="Q39" s="230"/>
      <c r="R39" s="230"/>
    </row>
    <row r="40" spans="2:22" x14ac:dyDescent="0.25">
      <c r="L40" s="168"/>
      <c r="M40" s="168"/>
      <c r="O40" s="168"/>
      <c r="P40" s="168"/>
    </row>
    <row r="41" spans="2:22" x14ac:dyDescent="0.25">
      <c r="L41" s="229"/>
      <c r="M41" s="229"/>
      <c r="N41" s="229"/>
      <c r="O41" s="229"/>
      <c r="P41" s="229"/>
    </row>
    <row r="42" spans="2:22" x14ac:dyDescent="0.25">
      <c r="L42" s="229"/>
      <c r="M42" s="229"/>
      <c r="N42" s="229"/>
      <c r="O42" s="229"/>
      <c r="P42" s="229"/>
    </row>
    <row r="43" spans="2:22" x14ac:dyDescent="0.25">
      <c r="L43" s="229"/>
      <c r="M43" s="229"/>
      <c r="N43" s="229"/>
      <c r="O43" s="229"/>
      <c r="P43" s="229"/>
    </row>
    <row r="44" spans="2:22" x14ac:dyDescent="0.25">
      <c r="L44" s="229"/>
      <c r="M44" s="229"/>
      <c r="N44" s="229"/>
      <c r="O44" s="229"/>
      <c r="P44" s="229"/>
      <c r="S44" s="232"/>
      <c r="T44" s="232"/>
      <c r="V44" s="232"/>
    </row>
    <row r="45" spans="2:22" x14ac:dyDescent="0.25">
      <c r="L45" s="229"/>
      <c r="M45" s="229"/>
      <c r="N45" s="229"/>
      <c r="O45" s="229"/>
      <c r="P45" s="233"/>
      <c r="S45" s="234"/>
      <c r="T45" s="234"/>
      <c r="U45" s="234"/>
      <c r="V45" s="234"/>
    </row>
    <row r="46" spans="2:22" x14ac:dyDescent="0.25">
      <c r="L46" s="229"/>
      <c r="M46" s="229"/>
      <c r="N46" s="229"/>
      <c r="O46" s="229"/>
      <c r="P46" s="229"/>
      <c r="S46" s="234"/>
      <c r="T46" s="234"/>
      <c r="U46" s="234"/>
      <c r="V46" s="234"/>
    </row>
    <row r="47" spans="2:22" x14ac:dyDescent="0.25">
      <c r="L47" s="229"/>
      <c r="M47" s="229"/>
      <c r="N47" s="229"/>
      <c r="O47" s="229"/>
      <c r="P47" s="229"/>
    </row>
    <row r="48" spans="2:22" x14ac:dyDescent="0.25">
      <c r="L48" s="229"/>
      <c r="M48" s="229"/>
      <c r="N48" s="229"/>
      <c r="O48" s="229"/>
      <c r="P48" s="229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58"/>
  <sheetViews>
    <sheetView tabSelected="1" topLeftCell="A19" workbookViewId="0">
      <selection activeCell="L28" sqref="L28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1.85546875" style="97" customWidth="1"/>
    <col min="9" max="9" width="13.85546875" style="97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424" t="s">
        <v>185</v>
      </c>
      <c r="H4" s="424"/>
      <c r="I4" s="425" t="s">
        <v>186</v>
      </c>
      <c r="J4" s="425"/>
      <c r="K4" s="426" t="s">
        <v>187</v>
      </c>
      <c r="L4" s="426"/>
    </row>
    <row r="5" spans="2:13" ht="38.85" customHeight="1" x14ac:dyDescent="0.25">
      <c r="B5" s="174"/>
      <c r="C5" s="243" t="s">
        <v>188</v>
      </c>
      <c r="D5" s="243" t="s">
        <v>189</v>
      </c>
      <c r="E5" s="158" t="s">
        <v>190</v>
      </c>
      <c r="F5" s="243" t="s">
        <v>273</v>
      </c>
      <c r="G5" s="265" t="s">
        <v>227</v>
      </c>
      <c r="H5" s="265"/>
      <c r="I5" s="265" t="s">
        <v>227</v>
      </c>
      <c r="J5" s="265"/>
      <c r="K5" s="265" t="s">
        <v>227</v>
      </c>
      <c r="L5" s="265"/>
      <c r="M5" s="266"/>
    </row>
    <row r="6" spans="2:13" x14ac:dyDescent="0.25">
      <c r="C6" s="160">
        <f>'Scenario deep dive'!N17</f>
        <v>69000000.048221424</v>
      </c>
      <c r="D6" s="161">
        <v>0.15045841581913999</v>
      </c>
      <c r="E6" s="162">
        <f t="shared" ref="E6:E8" si="0">D6*$C$8</f>
        <v>9023907.8164255098</v>
      </c>
      <c r="F6" s="160"/>
      <c r="G6" s="160">
        <f>'Scenario deep dive'!P17</f>
        <v>213713382.59345773</v>
      </c>
      <c r="H6" s="160"/>
      <c r="I6" s="160">
        <f t="shared" ref="I6:J8" si="1">G6-$F$8</f>
        <v>41664766.37444979</v>
      </c>
      <c r="J6" s="160">
        <f t="shared" si="1"/>
        <v>-172048616.21900794</v>
      </c>
      <c r="K6" s="163">
        <f t="shared" ref="K6:L8" si="2">G6/$C6</f>
        <v>3.0972953977406048</v>
      </c>
      <c r="L6" s="163">
        <f t="shared" si="2"/>
        <v>0</v>
      </c>
    </row>
    <row r="7" spans="2:13" x14ac:dyDescent="0.25">
      <c r="B7" s="167"/>
      <c r="C7" s="160">
        <f>'Scenario deep dive'!J17</f>
        <v>63999999.97926195</v>
      </c>
      <c r="D7" s="161">
        <v>6.7091864286415628E-2</v>
      </c>
      <c r="E7" s="162">
        <f t="shared" si="0"/>
        <v>4023907.8369701137</v>
      </c>
      <c r="F7" s="160"/>
      <c r="G7" s="160">
        <f>'Scenario deep dive'!L17</f>
        <v>202184446.67432207</v>
      </c>
      <c r="H7" s="164"/>
      <c r="I7" s="160">
        <f t="shared" si="1"/>
        <v>30135830.45531413</v>
      </c>
      <c r="J7" s="160">
        <f t="shared" si="1"/>
        <v>-172048616.21900794</v>
      </c>
      <c r="K7" s="163">
        <f t="shared" si="2"/>
        <v>3.1591319803099425</v>
      </c>
      <c r="L7" s="163">
        <f t="shared" si="2"/>
        <v>0</v>
      </c>
    </row>
    <row r="8" spans="2:13" x14ac:dyDescent="0.25">
      <c r="B8" s="165"/>
      <c r="C8" s="160">
        <f>'Scenario deep dive'!C17</f>
        <v>59976092.18</v>
      </c>
      <c r="D8" s="161">
        <v>0</v>
      </c>
      <c r="E8" s="162">
        <f t="shared" si="0"/>
        <v>0</v>
      </c>
      <c r="F8" s="160">
        <f>'Scenario deep dive'!D17</f>
        <v>172048616.21900794</v>
      </c>
      <c r="G8" s="160">
        <f>'Scenario deep dive'!H17</f>
        <v>185740408.95107156</v>
      </c>
      <c r="H8" s="160"/>
      <c r="I8" s="160">
        <f t="shared" si="1"/>
        <v>13691792.732063621</v>
      </c>
      <c r="J8" s="160">
        <f t="shared" si="1"/>
        <v>-172048616.21900794</v>
      </c>
      <c r="K8" s="163">
        <f t="shared" si="2"/>
        <v>3.0969074876307081</v>
      </c>
      <c r="L8" s="163">
        <f t="shared" si="2"/>
        <v>0</v>
      </c>
    </row>
    <row r="9" spans="2:13" x14ac:dyDescent="0.25">
      <c r="D9" s="166"/>
      <c r="E9" s="166"/>
    </row>
    <row r="10" spans="2:13" x14ac:dyDescent="0.25">
      <c r="F10" s="427" t="s">
        <v>191</v>
      </c>
      <c r="G10" s="427"/>
      <c r="H10" s="427" t="s">
        <v>192</v>
      </c>
      <c r="I10" s="427"/>
    </row>
    <row r="11" spans="2:13" x14ac:dyDescent="0.25">
      <c r="C11" s="157" t="s">
        <v>188</v>
      </c>
      <c r="D11" s="157" t="s">
        <v>189</v>
      </c>
      <c r="E11" s="97" t="s">
        <v>193</v>
      </c>
      <c r="F11" s="265" t="s">
        <v>227</v>
      </c>
      <c r="G11" s="159"/>
      <c r="H11" s="265" t="s">
        <v>227</v>
      </c>
      <c r="I11" s="159"/>
    </row>
    <row r="12" spans="2:13" x14ac:dyDescent="0.25">
      <c r="C12" s="167">
        <f t="shared" ref="C12:D14" si="3">C6</f>
        <v>69000000.048221424</v>
      </c>
      <c r="D12" s="168">
        <f t="shared" si="3"/>
        <v>0.15045841581913999</v>
      </c>
      <c r="E12" s="167">
        <f>C12-C13</f>
        <v>5000000.0689594746</v>
      </c>
      <c r="F12" s="169">
        <f>G6-G7</f>
        <v>11528935.91913566</v>
      </c>
      <c r="G12" s="169">
        <f>H6-H7</f>
        <v>0</v>
      </c>
      <c r="H12" s="163">
        <f t="shared" ref="H12:I13" si="4">F12/$E12</f>
        <v>2.3057871520259581</v>
      </c>
      <c r="I12" s="163">
        <f t="shared" si="4"/>
        <v>0</v>
      </c>
    </row>
    <row r="13" spans="2:13" x14ac:dyDescent="0.25">
      <c r="C13" s="167">
        <f t="shared" si="3"/>
        <v>63999999.97926195</v>
      </c>
      <c r="D13" s="168">
        <f t="shared" si="3"/>
        <v>6.7091864286415628E-2</v>
      </c>
      <c r="E13" s="167">
        <f>C13-C14</f>
        <v>4023907.79926195</v>
      </c>
      <c r="F13" s="169">
        <f>G7-G8</f>
        <v>16444037.723250508</v>
      </c>
      <c r="G13" s="169">
        <f>H7-H8</f>
        <v>0</v>
      </c>
      <c r="H13" s="163">
        <f t="shared" si="4"/>
        <v>4.0865841225951085</v>
      </c>
      <c r="I13" s="163">
        <f t="shared" si="4"/>
        <v>0</v>
      </c>
    </row>
    <row r="14" spans="2:13" x14ac:dyDescent="0.25">
      <c r="C14" s="167">
        <f t="shared" si="3"/>
        <v>59976092.18</v>
      </c>
      <c r="D14" s="168">
        <f t="shared" si="3"/>
        <v>0</v>
      </c>
      <c r="E14" s="167"/>
      <c r="F14" s="169"/>
      <c r="G14" s="169"/>
      <c r="H14" s="163"/>
      <c r="I14" s="163"/>
    </row>
    <row r="15" spans="2:13" x14ac:dyDescent="0.25">
      <c r="H15" s="163"/>
    </row>
    <row r="51" spans="21:22" x14ac:dyDescent="0.25">
      <c r="U51" s="170"/>
      <c r="V51" s="170"/>
    </row>
    <row r="52" spans="21:22" x14ac:dyDescent="0.25">
      <c r="U52" s="170"/>
      <c r="V52" s="170"/>
    </row>
    <row r="53" spans="21:22" x14ac:dyDescent="0.25">
      <c r="U53" s="170"/>
      <c r="V53" s="170"/>
    </row>
    <row r="54" spans="21:22" x14ac:dyDescent="0.25">
      <c r="U54" s="170"/>
      <c r="V54" s="170"/>
    </row>
    <row r="55" spans="21:22" x14ac:dyDescent="0.25">
      <c r="U55" s="170"/>
      <c r="V55" s="170"/>
    </row>
    <row r="56" spans="21:22" x14ac:dyDescent="0.25">
      <c r="U56" s="170"/>
      <c r="V56" s="170"/>
    </row>
    <row r="57" spans="21:22" x14ac:dyDescent="0.25">
      <c r="U57" s="170"/>
      <c r="V57" s="170"/>
    </row>
    <row r="58" spans="21:22" x14ac:dyDescent="0.25">
      <c r="U58" s="170"/>
      <c r="V58" s="170"/>
    </row>
  </sheetData>
  <mergeCells count="5">
    <mergeCell ref="G4:H4"/>
    <mergeCell ref="I4:J4"/>
    <mergeCell ref="K4:L4"/>
    <mergeCell ref="F10:G10"/>
    <mergeCell ref="H10:I10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zoomScale="75" zoomScaleNormal="75" workbookViewId="0">
      <selection activeCell="C12" sqref="C12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3.425781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12" t="s">
        <v>212</v>
      </c>
    </row>
    <row r="2" spans="2:20" ht="15.75" thickBot="1" x14ac:dyDescent="0.3"/>
    <row r="3" spans="2:20" ht="30.2" customHeight="1" x14ac:dyDescent="0.25">
      <c r="B3" s="419" t="s">
        <v>2</v>
      </c>
      <c r="C3" s="421" t="s">
        <v>3</v>
      </c>
      <c r="D3" s="422" t="s">
        <v>213</v>
      </c>
      <c r="E3" s="423"/>
      <c r="F3" s="422" t="s">
        <v>214</v>
      </c>
      <c r="G3" s="423"/>
      <c r="H3" s="422" t="s">
        <v>215</v>
      </c>
      <c r="I3" s="423"/>
      <c r="K3" s="419" t="s">
        <v>2</v>
      </c>
      <c r="L3" s="421" t="s">
        <v>3</v>
      </c>
      <c r="M3" s="422" t="s">
        <v>213</v>
      </c>
      <c r="N3" s="423"/>
      <c r="O3" s="422" t="s">
        <v>214</v>
      </c>
      <c r="P3" s="423"/>
      <c r="Q3" s="422" t="s">
        <v>215</v>
      </c>
      <c r="R3" s="423"/>
    </row>
    <row r="4" spans="2:20" ht="25.5" x14ac:dyDescent="0.25">
      <c r="B4" s="420"/>
      <c r="C4" s="420"/>
      <c r="D4" s="213" t="s">
        <v>216</v>
      </c>
      <c r="E4" s="214" t="s">
        <v>217</v>
      </c>
      <c r="F4" s="213" t="s">
        <v>216</v>
      </c>
      <c r="G4" s="214" t="s">
        <v>217</v>
      </c>
      <c r="H4" s="213" t="s">
        <v>216</v>
      </c>
      <c r="I4" s="214" t="s">
        <v>217</v>
      </c>
      <c r="K4" s="420"/>
      <c r="L4" s="420"/>
      <c r="M4" s="213" t="s">
        <v>216</v>
      </c>
      <c r="N4" s="214" t="s">
        <v>217</v>
      </c>
      <c r="O4" s="213" t="s">
        <v>216</v>
      </c>
      <c r="P4" s="214" t="s">
        <v>217</v>
      </c>
      <c r="Q4" s="213" t="s">
        <v>216</v>
      </c>
      <c r="R4" s="214" t="s">
        <v>217</v>
      </c>
    </row>
    <row r="5" spans="2:20" x14ac:dyDescent="0.25">
      <c r="B5" s="53" t="s">
        <v>154</v>
      </c>
      <c r="C5" s="215" t="str">
        <f>VAC_Optim_Scenario!B17</f>
        <v>HCC InOffice</v>
      </c>
      <c r="D5" s="216">
        <f>VAC_Optim_Scenario!$H36</f>
        <v>900000</v>
      </c>
      <c r="E5" s="217">
        <f>VAC_Optim_Scenario!$J36</f>
        <v>1410431.7445188572</v>
      </c>
      <c r="F5" s="216">
        <v>2304599.9176017214</v>
      </c>
      <c r="G5" s="217">
        <v>5246917.9893056815</v>
      </c>
      <c r="H5" s="216">
        <v>2340000</v>
      </c>
      <c r="I5" s="217">
        <v>21257821.983019568</v>
      </c>
      <c r="J5" s="218"/>
      <c r="K5" s="53" t="s">
        <v>154</v>
      </c>
      <c r="L5" s="53" t="str">
        <f>VAC_Optim_Scenario!B17</f>
        <v>HCC InOffice</v>
      </c>
      <c r="M5" s="219">
        <f>D5/1000000</f>
        <v>0.9</v>
      </c>
      <c r="N5" s="220">
        <f t="shared" ref="N5:R5" si="0">E5/1000000</f>
        <v>1.4104317445188572</v>
      </c>
      <c r="O5" s="219">
        <f t="shared" si="0"/>
        <v>2.3045999176017213</v>
      </c>
      <c r="P5" s="220">
        <f t="shared" si="0"/>
        <v>5.2469179893056817</v>
      </c>
      <c r="Q5" s="219">
        <f t="shared" si="0"/>
        <v>2.34</v>
      </c>
      <c r="R5" s="220">
        <f t="shared" si="0"/>
        <v>21.257821983019568</v>
      </c>
    </row>
    <row r="6" spans="2:20" x14ac:dyDescent="0.25">
      <c r="B6" s="54" t="s">
        <v>154</v>
      </c>
      <c r="C6" s="221" t="str">
        <f>VAC_Optim_Scenario!B18</f>
        <v>HCP MCM</v>
      </c>
      <c r="D6" s="222">
        <f>VAC_Optim_Scenario!$H37</f>
        <v>12572464.52241138</v>
      </c>
      <c r="E6" s="223">
        <f>VAC_Optim_Scenario!$J37</f>
        <v>74805604.19425115</v>
      </c>
      <c r="F6" s="222">
        <v>5980821.2879999997</v>
      </c>
      <c r="G6" s="223">
        <v>43271084.653430037</v>
      </c>
      <c r="H6" s="222">
        <v>5980821.2879999997</v>
      </c>
      <c r="I6" s="223">
        <v>173084338.61372015</v>
      </c>
      <c r="J6" s="218"/>
      <c r="K6" s="54" t="s">
        <v>154</v>
      </c>
      <c r="L6" s="54" t="str">
        <f>VAC_Optim_Scenario!B18</f>
        <v>HCP MCM</v>
      </c>
      <c r="M6" s="224">
        <f t="shared" ref="M6:M13" si="1">D6/1000000</f>
        <v>12.57246452241138</v>
      </c>
      <c r="N6" s="225">
        <f t="shared" ref="N6:N13" si="2">E6/1000000</f>
        <v>74.805604194251146</v>
      </c>
      <c r="O6" s="224">
        <f t="shared" ref="O6:O13" si="3">F6/1000000</f>
        <v>5.9808212879999996</v>
      </c>
      <c r="P6" s="225">
        <f t="shared" ref="P6:P13" si="4">G6/1000000</f>
        <v>43.271084653430037</v>
      </c>
      <c r="Q6" s="224">
        <f t="shared" ref="Q6:Q13" si="5">H6/1000000</f>
        <v>5.9808212879999996</v>
      </c>
      <c r="R6" s="225">
        <f t="shared" ref="R6:R13" si="6">I6/1000000</f>
        <v>173.08433861372015</v>
      </c>
    </row>
    <row r="7" spans="2:20" x14ac:dyDescent="0.25">
      <c r="B7" s="54" t="s">
        <v>154</v>
      </c>
      <c r="C7" s="221" t="str">
        <f>VAC_Optim_Scenario!B19</f>
        <v>HCC Social</v>
      </c>
      <c r="D7" s="222">
        <f>VAC_Optim_Scenario!$H38</f>
        <v>1800000</v>
      </c>
      <c r="E7" s="223">
        <f>VAC_Optim_Scenario!$J38</f>
        <v>5471848.3801533533</v>
      </c>
      <c r="F7" s="222">
        <v>2368423.2000000002</v>
      </c>
      <c r="G7" s="223">
        <v>10014038.796038335</v>
      </c>
      <c r="H7" s="222">
        <v>2368423.2000000002</v>
      </c>
      <c r="I7" s="223">
        <v>40056155.184153341</v>
      </c>
      <c r="J7" s="226"/>
      <c r="K7" s="54" t="s">
        <v>154</v>
      </c>
      <c r="L7" s="54" t="str">
        <f>VAC_Optim_Scenario!B19</f>
        <v>HCC Social</v>
      </c>
      <c r="M7" s="224">
        <f t="shared" si="1"/>
        <v>1.8</v>
      </c>
      <c r="N7" s="225">
        <f t="shared" si="2"/>
        <v>5.4718483801533537</v>
      </c>
      <c r="O7" s="224">
        <f t="shared" si="3"/>
        <v>2.3684232000000001</v>
      </c>
      <c r="P7" s="225">
        <f t="shared" si="4"/>
        <v>10.014038796038335</v>
      </c>
      <c r="Q7" s="224">
        <f t="shared" si="5"/>
        <v>2.3684232000000001</v>
      </c>
      <c r="R7" s="225">
        <f t="shared" si="6"/>
        <v>40.05615518415334</v>
      </c>
    </row>
    <row r="8" spans="2:20" x14ac:dyDescent="0.25">
      <c r="B8" s="54" t="s">
        <v>154</v>
      </c>
      <c r="C8" s="221" t="str">
        <f>VAC_Optim_Scenario!B20</f>
        <v>HCC Online Video</v>
      </c>
      <c r="D8" s="222">
        <f>VAC_Optim_Scenario!$H39</f>
        <v>1100000</v>
      </c>
      <c r="E8" s="223">
        <f>VAC_Optim_Scenario!$J39</f>
        <v>4854627.720414157</v>
      </c>
      <c r="F8" s="222">
        <v>468720.00002084277</v>
      </c>
      <c r="G8" s="223">
        <v>434197.29403638421</v>
      </c>
      <c r="H8" s="222">
        <v>870480</v>
      </c>
      <c r="I8" s="223">
        <v>3181635.2333120089</v>
      </c>
      <c r="J8" s="218"/>
      <c r="K8" s="54" t="s">
        <v>154</v>
      </c>
      <c r="L8" s="54" t="str">
        <f>VAC_Optim_Scenario!B20</f>
        <v>HCC Online Video</v>
      </c>
      <c r="M8" s="224">
        <f t="shared" si="1"/>
        <v>1.1000000000000001</v>
      </c>
      <c r="N8" s="225">
        <f t="shared" si="2"/>
        <v>4.8546277204141575</v>
      </c>
      <c r="O8" s="224">
        <f t="shared" si="3"/>
        <v>0.46872000002084274</v>
      </c>
      <c r="P8" s="225">
        <f t="shared" si="4"/>
        <v>0.43419729403638418</v>
      </c>
      <c r="Q8" s="224">
        <f t="shared" si="5"/>
        <v>0.87048000000000003</v>
      </c>
      <c r="R8" s="225">
        <f t="shared" si="6"/>
        <v>3.1816352333120088</v>
      </c>
    </row>
    <row r="9" spans="2:20" x14ac:dyDescent="0.25">
      <c r="B9" s="54" t="s">
        <v>154</v>
      </c>
      <c r="C9" s="221" t="str">
        <f>VAC_Optim_Scenario!B21</f>
        <v>HCC Streaming Video</v>
      </c>
      <c r="D9" s="222">
        <f>VAC_Optim_Scenario!$H40</f>
        <v>9400000</v>
      </c>
      <c r="E9" s="223">
        <f>VAC_Optim_Scenario!$J40</f>
        <v>17753521.979413368</v>
      </c>
      <c r="F9" s="222">
        <v>5499757.2028695699</v>
      </c>
      <c r="G9" s="223">
        <v>7382876.6944708871</v>
      </c>
      <c r="H9" s="222">
        <v>10213834.800000001</v>
      </c>
      <c r="I9" s="223">
        <v>42814688.994375341</v>
      </c>
      <c r="J9" s="226"/>
      <c r="K9" s="54" t="s">
        <v>154</v>
      </c>
      <c r="L9" s="54" t="str">
        <f>VAC_Optim_Scenario!B21</f>
        <v>HCC Streaming Video</v>
      </c>
      <c r="M9" s="224">
        <f t="shared" si="1"/>
        <v>9.4</v>
      </c>
      <c r="N9" s="225">
        <f t="shared" si="2"/>
        <v>17.753521979413367</v>
      </c>
      <c r="O9" s="224">
        <f t="shared" si="3"/>
        <v>5.4997572028695698</v>
      </c>
      <c r="P9" s="225">
        <f t="shared" si="4"/>
        <v>7.3828766944708875</v>
      </c>
      <c r="Q9" s="224">
        <f t="shared" si="5"/>
        <v>10.213834800000001</v>
      </c>
      <c r="R9" s="225">
        <f t="shared" si="6"/>
        <v>42.814688994375338</v>
      </c>
    </row>
    <row r="10" spans="2:20" x14ac:dyDescent="0.25">
      <c r="B10" s="54" t="s">
        <v>154</v>
      </c>
      <c r="C10" s="221" t="str">
        <f>VAC_Optim_Scenario!B22</f>
        <v>HCC Display</v>
      </c>
      <c r="D10" s="222">
        <f>VAC_Optim_Scenario!$H41</f>
        <v>2900000</v>
      </c>
      <c r="E10" s="223">
        <f>VAC_Optim_Scenario!$J41</f>
        <v>17332031.585250624</v>
      </c>
      <c r="F10" s="222">
        <v>2247758.2947281389</v>
      </c>
      <c r="G10" s="223">
        <v>8494262.302786056</v>
      </c>
      <c r="H10" s="222">
        <v>2714286.9</v>
      </c>
      <c r="I10" s="223">
        <v>37336940.701959558</v>
      </c>
      <c r="J10" s="226"/>
      <c r="K10" s="54" t="s">
        <v>154</v>
      </c>
      <c r="L10" s="54" t="str">
        <f>VAC_Optim_Scenario!B22</f>
        <v>HCC Display</v>
      </c>
      <c r="M10" s="224">
        <f t="shared" si="1"/>
        <v>2.9</v>
      </c>
      <c r="N10" s="225">
        <f t="shared" si="2"/>
        <v>17.332031585250622</v>
      </c>
      <c r="O10" s="224">
        <f t="shared" si="3"/>
        <v>2.2477582947281389</v>
      </c>
      <c r="P10" s="225">
        <f t="shared" si="4"/>
        <v>8.4942623027860567</v>
      </c>
      <c r="Q10" s="224">
        <f t="shared" si="5"/>
        <v>2.7142868999999998</v>
      </c>
      <c r="R10" s="225">
        <f t="shared" si="6"/>
        <v>37.336940701959556</v>
      </c>
    </row>
    <row r="11" spans="2:20" x14ac:dyDescent="0.25">
      <c r="B11" s="54" t="s">
        <v>154</v>
      </c>
      <c r="C11" s="221" t="str">
        <f>VAC_Optim_Scenario!B23</f>
        <v>HCC Paid Search</v>
      </c>
      <c r="D11" s="222">
        <f>VAC_Optim_Scenario!$H42</f>
        <v>150000</v>
      </c>
      <c r="E11" s="223">
        <f>VAC_Optim_Scenario!$J42</f>
        <v>14691800.990400117</v>
      </c>
      <c r="F11" s="222">
        <v>1503022.5591430741</v>
      </c>
      <c r="G11" s="223">
        <v>5708578.4926482635</v>
      </c>
      <c r="H11" s="222">
        <v>1791576.8</v>
      </c>
      <c r="I11" s="223">
        <v>24930037.611909606</v>
      </c>
      <c r="J11" s="218"/>
      <c r="K11" s="54" t="s">
        <v>154</v>
      </c>
      <c r="L11" s="54" t="str">
        <f>VAC_Optim_Scenario!B23</f>
        <v>HCC Paid Search</v>
      </c>
      <c r="M11" s="224">
        <f t="shared" si="1"/>
        <v>0.15</v>
      </c>
      <c r="N11" s="225">
        <f t="shared" si="2"/>
        <v>14.691800990400116</v>
      </c>
      <c r="O11" s="224">
        <f t="shared" si="3"/>
        <v>1.5030225591430741</v>
      </c>
      <c r="P11" s="225">
        <f t="shared" si="4"/>
        <v>5.7085784926482637</v>
      </c>
      <c r="Q11" s="224">
        <f t="shared" si="5"/>
        <v>1.7915768000000001</v>
      </c>
      <c r="R11" s="225">
        <f t="shared" si="6"/>
        <v>24.930037611909604</v>
      </c>
    </row>
    <row r="12" spans="2:20" x14ac:dyDescent="0.25">
      <c r="B12" s="54" t="s">
        <v>154</v>
      </c>
      <c r="C12" s="221" t="str">
        <f>VAC_Optim_Scenario!B24</f>
        <v>HCC Radio</v>
      </c>
      <c r="D12" s="222">
        <f>VAC_Optim_Scenario!$H43</f>
        <v>664416.83994363551</v>
      </c>
      <c r="E12" s="223">
        <f>VAC_Optim_Scenario!$J43</f>
        <v>4927672.3570118472</v>
      </c>
      <c r="F12" s="222">
        <v>855611.9</v>
      </c>
      <c r="G12" s="223">
        <v>4509891.717737359</v>
      </c>
      <c r="H12" s="222">
        <v>855611.9</v>
      </c>
      <c r="I12" s="223">
        <v>18039566.870949436</v>
      </c>
      <c r="J12" s="218"/>
      <c r="K12" s="54" t="s">
        <v>154</v>
      </c>
      <c r="L12" s="54" t="str">
        <f>VAC_Optim_Scenario!B24</f>
        <v>HCC Radio</v>
      </c>
      <c r="M12" s="224">
        <f t="shared" si="1"/>
        <v>0.66441683994363554</v>
      </c>
      <c r="N12" s="225">
        <f t="shared" si="2"/>
        <v>4.927672357011847</v>
      </c>
      <c r="O12" s="224">
        <f t="shared" si="3"/>
        <v>0.85561189999999998</v>
      </c>
      <c r="P12" s="225">
        <f t="shared" si="4"/>
        <v>4.509891717737359</v>
      </c>
      <c r="Q12" s="224">
        <f t="shared" si="5"/>
        <v>0.85561189999999998</v>
      </c>
      <c r="R12" s="225">
        <f t="shared" si="6"/>
        <v>18.039566870949436</v>
      </c>
    </row>
    <row r="13" spans="2:20" x14ac:dyDescent="0.25">
      <c r="B13" s="235" t="s">
        <v>154</v>
      </c>
      <c r="C13" s="209" t="str">
        <f>VAC_Optim_Scenario!B25</f>
        <v>HCC Linear TV</v>
      </c>
      <c r="D13" s="236">
        <f>VAC_Optim_Scenario!$H44</f>
        <v>28089210.840000004</v>
      </c>
      <c r="E13" s="236">
        <f>VAC_Optim_Scenario!$J44</f>
        <v>40395109.493891343</v>
      </c>
      <c r="F13" s="236">
        <v>15717664.872</v>
      </c>
      <c r="G13" s="236">
        <v>44549150.696473777</v>
      </c>
      <c r="H13" s="236">
        <v>21525379.182791278</v>
      </c>
      <c r="I13" s="236">
        <v>202080559.00711048</v>
      </c>
      <c r="J13" s="218"/>
      <c r="K13" s="235" t="s">
        <v>154</v>
      </c>
      <c r="L13" s="235" t="str">
        <f>VAC_Optim_Scenario!B25</f>
        <v>HCC Linear TV</v>
      </c>
      <c r="M13" s="229">
        <f t="shared" si="1"/>
        <v>28.089210840000003</v>
      </c>
      <c r="N13" s="229">
        <f t="shared" si="2"/>
        <v>40.39510949389134</v>
      </c>
      <c r="O13" s="229">
        <f t="shared" si="3"/>
        <v>15.717664872</v>
      </c>
      <c r="P13" s="229">
        <f t="shared" si="4"/>
        <v>44.549150696473774</v>
      </c>
      <c r="Q13" s="229">
        <f t="shared" si="5"/>
        <v>21.525379182791276</v>
      </c>
      <c r="R13" s="229">
        <f t="shared" si="6"/>
        <v>202.08055900711048</v>
      </c>
    </row>
    <row r="14" spans="2:20" x14ac:dyDescent="0.25">
      <c r="T14" s="277"/>
    </row>
    <row r="15" spans="2:20" x14ac:dyDescent="0.25">
      <c r="C15" s="212" t="s">
        <v>218</v>
      </c>
    </row>
    <row r="17" spans="2:19" ht="38.1" customHeight="1" x14ac:dyDescent="0.25">
      <c r="C17" s="421" t="s">
        <v>3</v>
      </c>
      <c r="D17" s="422" t="s">
        <v>213</v>
      </c>
      <c r="E17" s="423"/>
      <c r="F17" s="422" t="s">
        <v>219</v>
      </c>
      <c r="G17" s="423"/>
      <c r="H17" s="422" t="s">
        <v>220</v>
      </c>
      <c r="I17" s="423"/>
      <c r="L17" s="421" t="s">
        <v>3</v>
      </c>
      <c r="M17" s="422" t="s">
        <v>213</v>
      </c>
      <c r="N17" s="423"/>
      <c r="O17" s="422" t="s">
        <v>219</v>
      </c>
      <c r="P17" s="423"/>
      <c r="Q17" s="422" t="s">
        <v>220</v>
      </c>
      <c r="R17" s="423"/>
    </row>
    <row r="18" spans="2:19" ht="25.5" x14ac:dyDescent="0.25">
      <c r="C18" s="420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420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15" t="str">
        <f>VAC_Optim_Scenario!B17</f>
        <v>HCC InOffice</v>
      </c>
      <c r="D19" s="216">
        <f>VAC_Optim_Scenario!$H36</f>
        <v>900000</v>
      </c>
      <c r="E19" s="217">
        <f>VAC_Optim_Scenario!$J36</f>
        <v>1410431.7445188572</v>
      </c>
      <c r="F19" s="216">
        <f>VAC_Optim_Scenario!$H36</f>
        <v>900000</v>
      </c>
      <c r="G19" s="217">
        <f>VAC_Optim_Scenario!$J36</f>
        <v>1410431.7445188572</v>
      </c>
      <c r="H19" s="216">
        <f>VAC_Optim_Scenario!$H36</f>
        <v>900000</v>
      </c>
      <c r="I19" s="217">
        <f>VAC_Optim_Scenario!$J36</f>
        <v>1410431.7445188572</v>
      </c>
      <c r="J19" s="218"/>
      <c r="K19" s="53" t="s">
        <v>154</v>
      </c>
      <c r="L19" s="215" t="str">
        <f>VAC_Optim_Scenario!B17</f>
        <v>HCC InOffice</v>
      </c>
      <c r="M19" s="219">
        <f>D19/1000000</f>
        <v>0.9</v>
      </c>
      <c r="N19" s="220">
        <f t="shared" ref="N19:R19" si="7">E19/1000000</f>
        <v>1.4104317445188572</v>
      </c>
      <c r="O19" s="219">
        <f t="shared" si="7"/>
        <v>0.9</v>
      </c>
      <c r="P19" s="220">
        <f t="shared" si="7"/>
        <v>1.4104317445188572</v>
      </c>
      <c r="Q19" s="219">
        <f t="shared" si="7"/>
        <v>0.9</v>
      </c>
      <c r="R19" s="220">
        <f t="shared" si="7"/>
        <v>1.4104317445188572</v>
      </c>
    </row>
    <row r="20" spans="2:19" x14ac:dyDescent="0.25">
      <c r="B20" s="54" t="s">
        <v>154</v>
      </c>
      <c r="C20" s="221" t="str">
        <f>VAC_Optim_Scenario!B18</f>
        <v>HCP MCM</v>
      </c>
      <c r="D20" s="222">
        <f>VAC_Optim_Scenario!$H37</f>
        <v>12572464.52241138</v>
      </c>
      <c r="E20" s="223">
        <f>VAC_Optim_Scenario!$J37</f>
        <v>74805604.19425115</v>
      </c>
      <c r="F20" s="222">
        <f>VAC_Optim_Scenario!$H37</f>
        <v>12572464.52241138</v>
      </c>
      <c r="G20" s="223">
        <f>VAC_Optim_Scenario!$J37</f>
        <v>74805604.19425115</v>
      </c>
      <c r="H20" s="222">
        <f>VAC_Optim_Scenario!$H37</f>
        <v>12572464.52241138</v>
      </c>
      <c r="I20" s="223">
        <f>VAC_Optim_Scenario!$J37</f>
        <v>74805604.19425115</v>
      </c>
      <c r="J20" s="218"/>
      <c r="K20" s="54" t="s">
        <v>154</v>
      </c>
      <c r="L20" s="221" t="str">
        <f>VAC_Optim_Scenario!B18</f>
        <v>HCP MCM</v>
      </c>
      <c r="M20" s="224">
        <f t="shared" ref="M20:M27" si="8">D20/1000000</f>
        <v>12.57246452241138</v>
      </c>
      <c r="N20" s="225">
        <f t="shared" ref="N20:N27" si="9">E20/1000000</f>
        <v>74.805604194251146</v>
      </c>
      <c r="O20" s="224">
        <f t="shared" ref="O20:O27" si="10">F20/1000000</f>
        <v>12.57246452241138</v>
      </c>
      <c r="P20" s="225">
        <f t="shared" ref="P20:P27" si="11">G20/1000000</f>
        <v>74.805604194251146</v>
      </c>
      <c r="Q20" s="224">
        <f t="shared" ref="Q20:Q27" si="12">H20/1000000</f>
        <v>12.57246452241138</v>
      </c>
      <c r="R20" s="225">
        <f t="shared" ref="R20:R27" si="13">I20/1000000</f>
        <v>74.805604194251146</v>
      </c>
    </row>
    <row r="21" spans="2:19" x14ac:dyDescent="0.25">
      <c r="B21" s="54" t="s">
        <v>154</v>
      </c>
      <c r="C21" s="221" t="str">
        <f>VAC_Optim_Scenario!B19</f>
        <v>HCC Social</v>
      </c>
      <c r="D21" s="222">
        <f>VAC_Optim_Scenario!$H38</f>
        <v>1800000</v>
      </c>
      <c r="E21" s="223">
        <f>VAC_Optim_Scenario!$J38</f>
        <v>5471848.3801533533</v>
      </c>
      <c r="F21" s="222">
        <f>VAC_Optim_Scenario!$H38</f>
        <v>1800000</v>
      </c>
      <c r="G21" s="223">
        <f>VAC_Optim_Scenario!$J38</f>
        <v>5471848.3801533533</v>
      </c>
      <c r="H21" s="222">
        <f>VAC_Optim_Scenario!$H38</f>
        <v>1800000</v>
      </c>
      <c r="I21" s="223">
        <f>VAC_Optim_Scenario!$J38</f>
        <v>5471848.3801533533</v>
      </c>
      <c r="J21" s="226"/>
      <c r="K21" s="54" t="s">
        <v>154</v>
      </c>
      <c r="L21" s="221" t="str">
        <f>VAC_Optim_Scenario!B19</f>
        <v>HCC Social</v>
      </c>
      <c r="M21" s="224">
        <f t="shared" si="8"/>
        <v>1.8</v>
      </c>
      <c r="N21" s="225">
        <f t="shared" si="9"/>
        <v>5.4718483801533537</v>
      </c>
      <c r="O21" s="224">
        <f t="shared" si="10"/>
        <v>1.8</v>
      </c>
      <c r="P21" s="225">
        <f t="shared" si="11"/>
        <v>5.4718483801533537</v>
      </c>
      <c r="Q21" s="224">
        <f t="shared" si="12"/>
        <v>1.8</v>
      </c>
      <c r="R21" s="225">
        <f t="shared" si="13"/>
        <v>5.4718483801533537</v>
      </c>
    </row>
    <row r="22" spans="2:19" x14ac:dyDescent="0.25">
      <c r="B22" s="54" t="s">
        <v>154</v>
      </c>
      <c r="C22" s="221" t="str">
        <f>VAC_Optim_Scenario!B20</f>
        <v>HCC Online Video</v>
      </c>
      <c r="D22" s="222">
        <f>VAC_Optim_Scenario!$H39</f>
        <v>1100000</v>
      </c>
      <c r="E22" s="223">
        <f>VAC_Optim_Scenario!$J39</f>
        <v>4854627.720414157</v>
      </c>
      <c r="F22" s="222">
        <f>VAC_Optim_Scenario!$H39</f>
        <v>1100000</v>
      </c>
      <c r="G22" s="223">
        <f>VAC_Optim_Scenario!$J39</f>
        <v>4854627.720414157</v>
      </c>
      <c r="H22" s="222">
        <f>VAC_Optim_Scenario!$H39</f>
        <v>1100000</v>
      </c>
      <c r="I22" s="223">
        <f>VAC_Optim_Scenario!$J39</f>
        <v>4854627.720414157</v>
      </c>
      <c r="J22" s="218"/>
      <c r="K22" s="54" t="s">
        <v>154</v>
      </c>
      <c r="L22" s="221" t="str">
        <f>VAC_Optim_Scenario!B20</f>
        <v>HCC Online Video</v>
      </c>
      <c r="M22" s="224">
        <f t="shared" si="8"/>
        <v>1.1000000000000001</v>
      </c>
      <c r="N22" s="225">
        <f t="shared" si="9"/>
        <v>4.8546277204141575</v>
      </c>
      <c r="O22" s="224">
        <f t="shared" si="10"/>
        <v>1.1000000000000001</v>
      </c>
      <c r="P22" s="225">
        <f t="shared" si="11"/>
        <v>4.8546277204141575</v>
      </c>
      <c r="Q22" s="224">
        <f t="shared" si="12"/>
        <v>1.1000000000000001</v>
      </c>
      <c r="R22" s="225">
        <f t="shared" si="13"/>
        <v>4.8546277204141575</v>
      </c>
    </row>
    <row r="23" spans="2:19" x14ac:dyDescent="0.25">
      <c r="B23" s="54" t="s">
        <v>154</v>
      </c>
      <c r="C23" s="221" t="str">
        <f>VAC_Optim_Scenario!B21</f>
        <v>HCC Streaming Video</v>
      </c>
      <c r="D23" s="222">
        <f>VAC_Optim_Scenario!$H40</f>
        <v>9400000</v>
      </c>
      <c r="E23" s="223">
        <f>VAC_Optim_Scenario!$J40</f>
        <v>17753521.979413368</v>
      </c>
      <c r="F23" s="222">
        <f>VAC_Optim_Scenario!$H40</f>
        <v>9400000</v>
      </c>
      <c r="G23" s="223">
        <f>VAC_Optim_Scenario!$J40</f>
        <v>17753521.979413368</v>
      </c>
      <c r="H23" s="222">
        <f>VAC_Optim_Scenario!$H40</f>
        <v>9400000</v>
      </c>
      <c r="I23" s="223">
        <f>VAC_Optim_Scenario!$J40</f>
        <v>17753521.979413368</v>
      </c>
      <c r="J23" s="226"/>
      <c r="K23" s="54" t="s">
        <v>154</v>
      </c>
      <c r="L23" s="221" t="str">
        <f>VAC_Optim_Scenario!B21</f>
        <v>HCC Streaming Video</v>
      </c>
      <c r="M23" s="224">
        <f t="shared" si="8"/>
        <v>9.4</v>
      </c>
      <c r="N23" s="225">
        <f t="shared" si="9"/>
        <v>17.753521979413367</v>
      </c>
      <c r="O23" s="224">
        <f t="shared" si="10"/>
        <v>9.4</v>
      </c>
      <c r="P23" s="225">
        <f t="shared" si="11"/>
        <v>17.753521979413367</v>
      </c>
      <c r="Q23" s="224">
        <f t="shared" si="12"/>
        <v>9.4</v>
      </c>
      <c r="R23" s="225">
        <f t="shared" si="13"/>
        <v>17.753521979413367</v>
      </c>
    </row>
    <row r="24" spans="2:19" x14ac:dyDescent="0.25">
      <c r="B24" s="54" t="s">
        <v>154</v>
      </c>
      <c r="C24" s="221" t="str">
        <f>VAC_Optim_Scenario!B22</f>
        <v>HCC Display</v>
      </c>
      <c r="D24" s="222">
        <f>VAC_Optim_Scenario!$H41</f>
        <v>2900000</v>
      </c>
      <c r="E24" s="223">
        <f>VAC_Optim_Scenario!$J41</f>
        <v>17332031.585250624</v>
      </c>
      <c r="F24" s="222">
        <f>VAC_Optim_Scenario!$H41</f>
        <v>2900000</v>
      </c>
      <c r="G24" s="223">
        <f>VAC_Optim_Scenario!$J41</f>
        <v>17332031.585250624</v>
      </c>
      <c r="H24" s="222">
        <f>VAC_Optim_Scenario!$H41</f>
        <v>2900000</v>
      </c>
      <c r="I24" s="223">
        <f>VAC_Optim_Scenario!$J41</f>
        <v>17332031.585250624</v>
      </c>
      <c r="J24" s="226"/>
      <c r="K24" s="54" t="s">
        <v>154</v>
      </c>
      <c r="L24" s="221" t="str">
        <f>VAC_Optim_Scenario!B22</f>
        <v>HCC Display</v>
      </c>
      <c r="M24" s="224">
        <f t="shared" si="8"/>
        <v>2.9</v>
      </c>
      <c r="N24" s="225">
        <f t="shared" si="9"/>
        <v>17.332031585250622</v>
      </c>
      <c r="O24" s="224">
        <f t="shared" si="10"/>
        <v>2.9</v>
      </c>
      <c r="P24" s="225">
        <f t="shared" si="11"/>
        <v>17.332031585250622</v>
      </c>
      <c r="Q24" s="224">
        <f t="shared" si="12"/>
        <v>2.9</v>
      </c>
      <c r="R24" s="225">
        <f t="shared" si="13"/>
        <v>17.332031585250622</v>
      </c>
    </row>
    <row r="25" spans="2:19" x14ac:dyDescent="0.25">
      <c r="B25" s="54" t="s">
        <v>154</v>
      </c>
      <c r="C25" s="221" t="str">
        <f>VAC_Optim_Scenario!B23</f>
        <v>HCC Paid Search</v>
      </c>
      <c r="D25" s="222">
        <f>VAC_Optim_Scenario!$H42</f>
        <v>150000</v>
      </c>
      <c r="E25" s="223">
        <f>VAC_Optim_Scenario!$J42</f>
        <v>14691800.990400117</v>
      </c>
      <c r="F25" s="222">
        <f>VAC_Optim_Scenario!$H42</f>
        <v>150000</v>
      </c>
      <c r="G25" s="223">
        <f>VAC_Optim_Scenario!$J42</f>
        <v>14691800.990400117</v>
      </c>
      <c r="H25" s="222">
        <f>VAC_Optim_Scenario!$H42</f>
        <v>150000</v>
      </c>
      <c r="I25" s="223">
        <f>VAC_Optim_Scenario!$J42</f>
        <v>14691800.990400117</v>
      </c>
      <c r="J25" s="226"/>
      <c r="K25" s="54" t="s">
        <v>154</v>
      </c>
      <c r="L25" s="221" t="str">
        <f>VAC_Optim_Scenario!B23</f>
        <v>HCC Paid Search</v>
      </c>
      <c r="M25" s="224">
        <f t="shared" si="8"/>
        <v>0.15</v>
      </c>
      <c r="N25" s="225">
        <f t="shared" si="9"/>
        <v>14.691800990400116</v>
      </c>
      <c r="O25" s="224">
        <f t="shared" si="10"/>
        <v>0.15</v>
      </c>
      <c r="P25" s="225">
        <f t="shared" si="11"/>
        <v>14.691800990400116</v>
      </c>
      <c r="Q25" s="224">
        <f t="shared" si="12"/>
        <v>0.15</v>
      </c>
      <c r="R25" s="225">
        <f t="shared" si="13"/>
        <v>14.691800990400116</v>
      </c>
    </row>
    <row r="26" spans="2:19" x14ac:dyDescent="0.25">
      <c r="B26" s="54" t="s">
        <v>154</v>
      </c>
      <c r="C26" s="221" t="str">
        <f>VAC_Optim_Scenario!B24</f>
        <v>HCC Radio</v>
      </c>
      <c r="D26" s="222">
        <f>VAC_Optim_Scenario!$H43</f>
        <v>664416.83994363551</v>
      </c>
      <c r="E26" s="223">
        <f>VAC_Optim_Scenario!$J43</f>
        <v>4927672.3570118472</v>
      </c>
      <c r="F26" s="222">
        <f>VAC_Optim_Scenario!$H43</f>
        <v>664416.83994363551</v>
      </c>
      <c r="G26" s="223">
        <f>VAC_Optim_Scenario!$J43</f>
        <v>4927672.3570118472</v>
      </c>
      <c r="H26" s="222">
        <f>VAC_Optim_Scenario!$H43</f>
        <v>664416.83994363551</v>
      </c>
      <c r="I26" s="223">
        <f>VAC_Optim_Scenario!$J43</f>
        <v>4927672.3570118472</v>
      </c>
      <c r="J26" s="226"/>
      <c r="K26" s="54" t="s">
        <v>154</v>
      </c>
      <c r="L26" s="221" t="str">
        <f>VAC_Optim_Scenario!B24</f>
        <v>HCC Radio</v>
      </c>
      <c r="M26" s="224">
        <f t="shared" si="8"/>
        <v>0.66441683994363554</v>
      </c>
      <c r="N26" s="225">
        <f t="shared" si="9"/>
        <v>4.927672357011847</v>
      </c>
      <c r="O26" s="224">
        <f t="shared" si="10"/>
        <v>0.66441683994363554</v>
      </c>
      <c r="P26" s="225">
        <f t="shared" si="11"/>
        <v>4.927672357011847</v>
      </c>
      <c r="Q26" s="224">
        <f t="shared" si="12"/>
        <v>0.66441683994363554</v>
      </c>
      <c r="R26" s="225">
        <f t="shared" si="13"/>
        <v>4.927672357011847</v>
      </c>
    </row>
    <row r="27" spans="2:19" x14ac:dyDescent="0.25">
      <c r="B27" s="235" t="s">
        <v>154</v>
      </c>
      <c r="C27" s="209" t="str">
        <f>VAC_Optim_Scenario!B25</f>
        <v>HCC Linear TV</v>
      </c>
      <c r="D27" s="236">
        <f>VAC_Optim_Scenario!$H44</f>
        <v>28089210.840000004</v>
      </c>
      <c r="E27" s="236">
        <f>VAC_Optim_Scenario!$J44</f>
        <v>40395109.493891343</v>
      </c>
      <c r="F27" s="236">
        <f>VAC_Optim_Scenario!$H44</f>
        <v>28089210.840000004</v>
      </c>
      <c r="G27" s="236">
        <f>VAC_Optim_Scenario!$J44</f>
        <v>40395109.493891343</v>
      </c>
      <c r="H27" s="236">
        <f>VAC_Optim_Scenario!$H44</f>
        <v>28089210.840000004</v>
      </c>
      <c r="I27" s="236">
        <f>VAC_Optim_Scenario!$J44</f>
        <v>40395109.493891343</v>
      </c>
      <c r="J27" s="226"/>
      <c r="K27" s="235" t="s">
        <v>154</v>
      </c>
      <c r="L27" s="209" t="str">
        <f>VAC_Optim_Scenario!B25</f>
        <v>HCC Linear TV</v>
      </c>
      <c r="M27" s="229">
        <f t="shared" si="8"/>
        <v>28.089210840000003</v>
      </c>
      <c r="N27" s="229">
        <f t="shared" si="9"/>
        <v>40.39510949389134</v>
      </c>
      <c r="O27" s="229">
        <f t="shared" si="10"/>
        <v>28.089210840000003</v>
      </c>
      <c r="P27" s="229">
        <f t="shared" si="11"/>
        <v>40.39510949389134</v>
      </c>
      <c r="Q27" s="229">
        <f t="shared" si="12"/>
        <v>28.089210840000003</v>
      </c>
      <c r="R27" s="229">
        <f t="shared" si="13"/>
        <v>40.39510949389134</v>
      </c>
    </row>
    <row r="30" spans="2:19" ht="34.35" customHeight="1" x14ac:dyDescent="0.25">
      <c r="C30" s="141" t="s">
        <v>3</v>
      </c>
      <c r="D30" s="142" t="s">
        <v>221</v>
      </c>
      <c r="E30" s="227">
        <v>-0.5</v>
      </c>
      <c r="F30" s="227">
        <v>2</v>
      </c>
      <c r="G30" s="227">
        <v>-0.4</v>
      </c>
      <c r="H30" s="227">
        <v>0.4</v>
      </c>
      <c r="J30" s="97" t="s">
        <v>3</v>
      </c>
      <c r="K30" s="97" t="s">
        <v>230</v>
      </c>
      <c r="L30" s="97" t="s">
        <v>207</v>
      </c>
      <c r="M30" s="97" t="s">
        <v>208</v>
      </c>
      <c r="N30" s="97" t="s">
        <v>224</v>
      </c>
      <c r="O30" s="97" t="s">
        <v>226</v>
      </c>
      <c r="P30" s="97" t="s">
        <v>209</v>
      </c>
      <c r="Q30" s="97" t="s">
        <v>210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78" t="str">
        <f>VAC_Optim_Scenario!B17</f>
        <v>HCC InOffice</v>
      </c>
      <c r="D31" s="219">
        <f>M19</f>
        <v>0.9</v>
      </c>
      <c r="E31" s="219">
        <f>O5</f>
        <v>2.3045999176017213</v>
      </c>
      <c r="F31" s="219">
        <f>Q5</f>
        <v>2.34</v>
      </c>
      <c r="G31" s="219">
        <f>O19</f>
        <v>0.9</v>
      </c>
      <c r="H31" s="219">
        <f>Q19</f>
        <v>0.9</v>
      </c>
      <c r="J31" s="228">
        <v>-0.5</v>
      </c>
      <c r="K31" s="229">
        <f>E$31</f>
        <v>2.3045999176017213</v>
      </c>
      <c r="L31" s="229">
        <f>E$32</f>
        <v>5.9808212879999996</v>
      </c>
      <c r="M31" s="229">
        <f>E$33</f>
        <v>2.3684232000000001</v>
      </c>
      <c r="N31" s="229">
        <f>E$34</f>
        <v>0.46872000002084274</v>
      </c>
      <c r="O31" s="229">
        <f>E$35</f>
        <v>5.4997572028695698</v>
      </c>
      <c r="P31" s="229">
        <f>E$36</f>
        <v>2.2477582947281389</v>
      </c>
      <c r="Q31" s="229">
        <f>E$37</f>
        <v>1.5030225591430741</v>
      </c>
      <c r="R31" s="229">
        <f>E$38</f>
        <v>0.85561189999999998</v>
      </c>
      <c r="S31" s="229">
        <f>E$39</f>
        <v>15.717664872</v>
      </c>
    </row>
    <row r="32" spans="2:19" x14ac:dyDescent="0.25">
      <c r="B32" s="54" t="s">
        <v>154</v>
      </c>
      <c r="C32" s="279" t="str">
        <f>VAC_Optim_Scenario!B18</f>
        <v>HCP MCM</v>
      </c>
      <c r="D32" s="224">
        <f t="shared" ref="D32:D39" si="14">M20</f>
        <v>12.57246452241138</v>
      </c>
      <c r="E32" s="224">
        <f t="shared" ref="E32:E39" si="15">O6</f>
        <v>5.9808212879999996</v>
      </c>
      <c r="F32" s="224">
        <f t="shared" ref="F32:F39" si="16">Q6</f>
        <v>5.9808212879999996</v>
      </c>
      <c r="G32" s="224">
        <f t="shared" ref="G32:G39" si="17">O20</f>
        <v>12.57246452241138</v>
      </c>
      <c r="H32" s="224">
        <f t="shared" ref="H32:H39" si="18">Q20</f>
        <v>12.57246452241138</v>
      </c>
      <c r="J32" s="228">
        <v>-0.4</v>
      </c>
      <c r="K32" s="229">
        <f>G$31</f>
        <v>0.9</v>
      </c>
      <c r="L32" s="229">
        <f>G$32</f>
        <v>12.57246452241138</v>
      </c>
      <c r="M32" s="229">
        <f>G$33</f>
        <v>1.8</v>
      </c>
      <c r="N32" s="229">
        <f>G$34</f>
        <v>1.1000000000000001</v>
      </c>
      <c r="O32" s="229">
        <f>G$35</f>
        <v>9.4</v>
      </c>
      <c r="P32" s="229">
        <f>G$36</f>
        <v>2.9</v>
      </c>
      <c r="Q32" s="229">
        <f>G$37</f>
        <v>0.15</v>
      </c>
      <c r="R32" s="229">
        <f>G$38</f>
        <v>0.66441683994363554</v>
      </c>
      <c r="S32" s="229">
        <f>G$39</f>
        <v>28.089210840000003</v>
      </c>
    </row>
    <row r="33" spans="2:22" x14ac:dyDescent="0.25">
      <c r="B33" s="54" t="s">
        <v>154</v>
      </c>
      <c r="C33" s="279" t="str">
        <f>VAC_Optim_Scenario!B19</f>
        <v>HCC Social</v>
      </c>
      <c r="D33" s="224">
        <f t="shared" si="14"/>
        <v>1.8</v>
      </c>
      <c r="E33" s="224">
        <f t="shared" si="15"/>
        <v>2.3684232000000001</v>
      </c>
      <c r="F33" s="224">
        <f t="shared" si="16"/>
        <v>2.3684232000000001</v>
      </c>
      <c r="G33" s="224">
        <f t="shared" si="17"/>
        <v>1.8</v>
      </c>
      <c r="H33" s="224">
        <f t="shared" si="18"/>
        <v>1.8</v>
      </c>
      <c r="J33" s="228" t="s">
        <v>221</v>
      </c>
      <c r="K33" s="229">
        <f>D$31</f>
        <v>0.9</v>
      </c>
      <c r="L33" s="229">
        <f>D$32</f>
        <v>12.57246452241138</v>
      </c>
      <c r="M33" s="229">
        <f>D$33</f>
        <v>1.8</v>
      </c>
      <c r="N33" s="229">
        <f>D$34</f>
        <v>1.1000000000000001</v>
      </c>
      <c r="O33" s="229">
        <f>D$35</f>
        <v>9.4</v>
      </c>
      <c r="P33" s="229">
        <f>D$36</f>
        <v>2.9</v>
      </c>
      <c r="Q33" s="229">
        <f>D$37</f>
        <v>0.15</v>
      </c>
      <c r="R33" s="229">
        <f>D$38</f>
        <v>0.66441683994363554</v>
      </c>
      <c r="S33" s="229">
        <f>D$39</f>
        <v>28.089210840000003</v>
      </c>
    </row>
    <row r="34" spans="2:22" x14ac:dyDescent="0.25">
      <c r="B34" s="54" t="s">
        <v>154</v>
      </c>
      <c r="C34" s="279" t="str">
        <f>VAC_Optim_Scenario!B20</f>
        <v>HCC Online Video</v>
      </c>
      <c r="D34" s="224">
        <f t="shared" si="14"/>
        <v>1.1000000000000001</v>
      </c>
      <c r="E34" s="224">
        <f t="shared" si="15"/>
        <v>0.46872000002084274</v>
      </c>
      <c r="F34" s="224">
        <f t="shared" si="16"/>
        <v>0.87048000000000003</v>
      </c>
      <c r="G34" s="224">
        <f t="shared" si="17"/>
        <v>1.1000000000000001</v>
      </c>
      <c r="H34" s="224">
        <f t="shared" si="18"/>
        <v>1.1000000000000001</v>
      </c>
      <c r="J34" s="228">
        <v>0.4</v>
      </c>
      <c r="K34" s="229">
        <f>H$31</f>
        <v>0.9</v>
      </c>
      <c r="L34" s="229">
        <f>H$32</f>
        <v>12.57246452241138</v>
      </c>
      <c r="M34" s="229">
        <f>H$33</f>
        <v>1.8</v>
      </c>
      <c r="N34" s="229">
        <f>H$34</f>
        <v>1.1000000000000001</v>
      </c>
      <c r="O34" s="229">
        <f>H$35</f>
        <v>9.4</v>
      </c>
      <c r="P34" s="229">
        <f>H$36</f>
        <v>2.9</v>
      </c>
      <c r="Q34" s="229">
        <f>H$37</f>
        <v>0.15</v>
      </c>
      <c r="R34" s="229">
        <f>H$38</f>
        <v>0.66441683994363554</v>
      </c>
      <c r="S34" s="229">
        <f>H$39</f>
        <v>28.089210840000003</v>
      </c>
    </row>
    <row r="35" spans="2:22" x14ac:dyDescent="0.25">
      <c r="B35" s="54" t="s">
        <v>154</v>
      </c>
      <c r="C35" s="279" t="str">
        <f>VAC_Optim_Scenario!B21</f>
        <v>HCC Streaming Video</v>
      </c>
      <c r="D35" s="224">
        <f t="shared" si="14"/>
        <v>9.4</v>
      </c>
      <c r="E35" s="224">
        <f t="shared" si="15"/>
        <v>5.4997572028695698</v>
      </c>
      <c r="F35" s="224">
        <f t="shared" si="16"/>
        <v>10.213834800000001</v>
      </c>
      <c r="G35" s="224">
        <f t="shared" si="17"/>
        <v>9.4</v>
      </c>
      <c r="H35" s="224">
        <f t="shared" si="18"/>
        <v>9.4</v>
      </c>
      <c r="J35" s="227">
        <v>2</v>
      </c>
      <c r="K35" s="229">
        <f>F$31</f>
        <v>2.34</v>
      </c>
      <c r="L35" s="229">
        <f>F$32</f>
        <v>5.9808212879999996</v>
      </c>
      <c r="M35" s="229">
        <f>F$33</f>
        <v>2.3684232000000001</v>
      </c>
      <c r="N35" s="229">
        <f>F$34</f>
        <v>0.87048000000000003</v>
      </c>
      <c r="O35" s="229">
        <f>F$35</f>
        <v>10.213834800000001</v>
      </c>
      <c r="P35" s="229">
        <f>F$36</f>
        <v>2.7142868999999998</v>
      </c>
      <c r="Q35" s="229">
        <f>F$37</f>
        <v>1.7915768000000001</v>
      </c>
      <c r="R35" s="229">
        <f>F$38</f>
        <v>0.85561189999999998</v>
      </c>
      <c r="S35" s="229">
        <f>F$39</f>
        <v>21.525379182791276</v>
      </c>
    </row>
    <row r="36" spans="2:22" x14ac:dyDescent="0.25">
      <c r="B36" s="54" t="s">
        <v>154</v>
      </c>
      <c r="C36" s="279" t="str">
        <f>VAC_Optim_Scenario!B22</f>
        <v>HCC Display</v>
      </c>
      <c r="D36" s="224">
        <f t="shared" si="14"/>
        <v>2.9</v>
      </c>
      <c r="E36" s="224">
        <f t="shared" si="15"/>
        <v>2.2477582947281389</v>
      </c>
      <c r="F36" s="224">
        <f t="shared" si="16"/>
        <v>2.7142868999999998</v>
      </c>
      <c r="G36" s="224">
        <f t="shared" si="17"/>
        <v>2.9</v>
      </c>
      <c r="H36" s="224">
        <f t="shared" si="18"/>
        <v>2.9</v>
      </c>
    </row>
    <row r="37" spans="2:22" x14ac:dyDescent="0.25">
      <c r="B37" s="54" t="s">
        <v>154</v>
      </c>
      <c r="C37" s="279" t="str">
        <f>VAC_Optim_Scenario!B23</f>
        <v>HCC Paid Search</v>
      </c>
      <c r="D37" s="224">
        <f t="shared" si="14"/>
        <v>0.15</v>
      </c>
      <c r="E37" s="224">
        <f t="shared" si="15"/>
        <v>1.5030225591430741</v>
      </c>
      <c r="F37" s="224">
        <f t="shared" si="16"/>
        <v>1.7915768000000001</v>
      </c>
      <c r="G37" s="224">
        <f t="shared" si="17"/>
        <v>0.15</v>
      </c>
      <c r="H37" s="224">
        <f t="shared" si="18"/>
        <v>0.15</v>
      </c>
      <c r="J37" s="245"/>
      <c r="K37" s="230"/>
      <c r="L37" s="230"/>
      <c r="M37" s="230"/>
      <c r="N37" s="230"/>
      <c r="O37" s="230"/>
      <c r="P37" s="230"/>
      <c r="Q37" s="230"/>
      <c r="R37" s="230"/>
    </row>
    <row r="38" spans="2:22" x14ac:dyDescent="0.25">
      <c r="B38" s="54" t="s">
        <v>154</v>
      </c>
      <c r="C38" s="279" t="str">
        <f>VAC_Optim_Scenario!B24</f>
        <v>HCC Radio</v>
      </c>
      <c r="D38" s="224">
        <f t="shared" si="14"/>
        <v>0.66441683994363554</v>
      </c>
      <c r="E38" s="224">
        <f t="shared" si="15"/>
        <v>0.85561189999999998</v>
      </c>
      <c r="F38" s="224">
        <f t="shared" si="16"/>
        <v>0.85561189999999998</v>
      </c>
      <c r="G38" s="224">
        <f t="shared" si="17"/>
        <v>0.66441683994363554</v>
      </c>
      <c r="H38" s="224">
        <f t="shared" si="18"/>
        <v>0.66441683994363554</v>
      </c>
      <c r="J38" s="246"/>
      <c r="K38" s="231"/>
      <c r="L38" s="231"/>
      <c r="M38" s="231"/>
      <c r="N38" s="231"/>
      <c r="O38" s="231"/>
      <c r="P38" s="231"/>
      <c r="Q38" s="231"/>
      <c r="R38" s="231"/>
    </row>
    <row r="39" spans="2:22" x14ac:dyDescent="0.25">
      <c r="B39" s="97" t="s">
        <v>154</v>
      </c>
      <c r="C39" s="280" t="str">
        <f>VAC_Optim_Scenario!B25</f>
        <v>HCC Linear TV</v>
      </c>
      <c r="D39" s="224">
        <f t="shared" si="14"/>
        <v>28.089210840000003</v>
      </c>
      <c r="E39" s="224">
        <f t="shared" si="15"/>
        <v>15.717664872</v>
      </c>
      <c r="F39" s="224">
        <f t="shared" si="16"/>
        <v>21.525379182791276</v>
      </c>
      <c r="G39" s="224">
        <f t="shared" si="17"/>
        <v>28.089210840000003</v>
      </c>
      <c r="H39" s="224">
        <f t="shared" si="18"/>
        <v>28.089210840000003</v>
      </c>
      <c r="J39" s="245"/>
      <c r="K39" s="230"/>
      <c r="L39" s="230"/>
      <c r="M39" s="230"/>
      <c r="N39" s="230"/>
      <c r="O39" s="230"/>
      <c r="P39" s="230"/>
      <c r="Q39" s="230"/>
      <c r="R39" s="230"/>
    </row>
    <row r="40" spans="2:22" x14ac:dyDescent="0.25">
      <c r="L40" s="168"/>
      <c r="M40" s="168"/>
      <c r="O40" s="168"/>
      <c r="P40" s="168"/>
    </row>
    <row r="41" spans="2:22" x14ac:dyDescent="0.25">
      <c r="L41" s="229"/>
      <c r="M41" s="229"/>
      <c r="N41" s="229"/>
      <c r="O41" s="229"/>
      <c r="P41" s="229"/>
    </row>
    <row r="42" spans="2:22" x14ac:dyDescent="0.25">
      <c r="L42" s="229"/>
      <c r="M42" s="229"/>
      <c r="N42" s="229"/>
      <c r="O42" s="229"/>
      <c r="P42" s="229"/>
    </row>
    <row r="43" spans="2:22" x14ac:dyDescent="0.25">
      <c r="L43" s="229"/>
      <c r="M43" s="229"/>
      <c r="N43" s="229"/>
      <c r="O43" s="229"/>
      <c r="P43" s="229"/>
    </row>
    <row r="44" spans="2:22" x14ac:dyDescent="0.25">
      <c r="L44" s="229"/>
      <c r="M44" s="229"/>
      <c r="N44" s="229"/>
      <c r="O44" s="229"/>
      <c r="P44" s="229"/>
      <c r="S44" s="232"/>
      <c r="T44" s="232"/>
      <c r="V44" s="232"/>
    </row>
    <row r="45" spans="2:22" x14ac:dyDescent="0.25">
      <c r="L45" s="229"/>
      <c r="M45" s="229"/>
      <c r="N45" s="229"/>
      <c r="O45" s="229"/>
      <c r="P45" s="233"/>
      <c r="S45" s="234"/>
      <c r="T45" s="234"/>
      <c r="U45" s="234"/>
      <c r="V45" s="234"/>
    </row>
    <row r="46" spans="2:22" x14ac:dyDescent="0.25">
      <c r="L46" s="229"/>
      <c r="M46" s="229"/>
      <c r="N46" s="229"/>
      <c r="O46" s="229"/>
      <c r="P46" s="229"/>
      <c r="S46" s="234"/>
      <c r="T46" s="234"/>
      <c r="U46" s="234"/>
      <c r="V46" s="234"/>
    </row>
    <row r="47" spans="2:22" x14ac:dyDescent="0.25">
      <c r="L47" s="229"/>
      <c r="M47" s="229"/>
      <c r="N47" s="229"/>
      <c r="O47" s="229"/>
      <c r="P47" s="229"/>
    </row>
    <row r="48" spans="2:22" x14ac:dyDescent="0.25">
      <c r="L48" s="229"/>
      <c r="M48" s="229"/>
      <c r="N48" s="229"/>
      <c r="O48" s="229"/>
      <c r="P48" s="229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T27"/>
  <sheetViews>
    <sheetView showGridLines="0" zoomScale="80" zoomScaleNormal="80" workbookViewId="0">
      <selection activeCell="L4" sqref="L4:L13"/>
    </sheetView>
  </sheetViews>
  <sheetFormatPr defaultColWidth="8.85546875" defaultRowHeight="15" x14ac:dyDescent="0.25"/>
  <cols>
    <col min="1" max="1" width="8.85546875" style="97"/>
    <col min="2" max="2" width="15.85546875" style="97" bestFit="1" customWidth="1"/>
    <col min="3" max="3" width="21.85546875" style="97" bestFit="1" customWidth="1"/>
    <col min="4" max="4" width="14.28515625" style="97" bestFit="1" customWidth="1"/>
    <col min="5" max="5" width="20.42578125" style="97" bestFit="1" customWidth="1"/>
    <col min="6" max="6" width="18.42578125" style="97" bestFit="1" customWidth="1"/>
    <col min="7" max="7" width="9.42578125" style="97" bestFit="1" customWidth="1"/>
    <col min="8" max="8" width="10.85546875" style="97" hidden="1" customWidth="1"/>
    <col min="9" max="9" width="16" style="97" bestFit="1" customWidth="1"/>
    <col min="10" max="11" width="15.28515625" style="97" bestFit="1" customWidth="1"/>
    <col min="12" max="12" width="11.42578125" style="97" customWidth="1"/>
    <col min="13" max="13" width="8.85546875" style="97"/>
    <col min="14" max="14" width="14.28515625" style="97" bestFit="1" customWidth="1"/>
    <col min="15" max="15" width="9.85546875" style="97" bestFit="1" customWidth="1"/>
    <col min="16" max="16" width="8.85546875" style="97"/>
    <col min="17" max="18" width="10" style="97" bestFit="1" customWidth="1"/>
    <col min="19" max="16384" width="8.85546875" style="97"/>
  </cols>
  <sheetData>
    <row r="2" spans="1:20" x14ac:dyDescent="0.25">
      <c r="D2" s="428">
        <v>2023</v>
      </c>
      <c r="E2" s="428"/>
      <c r="F2" s="428"/>
      <c r="G2" s="428"/>
      <c r="H2" s="428"/>
      <c r="I2" s="428"/>
      <c r="J2" s="324"/>
      <c r="K2" s="324"/>
      <c r="N2" s="97" t="s">
        <v>272</v>
      </c>
    </row>
    <row r="3" spans="1:20" ht="63" x14ac:dyDescent="0.25">
      <c r="B3" s="358" t="s">
        <v>2</v>
      </c>
      <c r="C3" s="359" t="s">
        <v>3</v>
      </c>
      <c r="D3" s="359" t="s">
        <v>267</v>
      </c>
      <c r="E3" s="359" t="s">
        <v>268</v>
      </c>
      <c r="F3" s="359" t="s">
        <v>269</v>
      </c>
      <c r="G3" s="359" t="s">
        <v>270</v>
      </c>
      <c r="H3" s="359" t="s">
        <v>204</v>
      </c>
      <c r="I3" s="359" t="s">
        <v>205</v>
      </c>
      <c r="J3" s="359" t="s">
        <v>261</v>
      </c>
      <c r="K3" s="359" t="s">
        <v>262</v>
      </c>
      <c r="L3" s="360" t="s">
        <v>192</v>
      </c>
      <c r="N3" s="333">
        <v>4647854</v>
      </c>
      <c r="O3"/>
    </row>
    <row r="4" spans="1:20" x14ac:dyDescent="0.25">
      <c r="A4" s="97" t="s">
        <v>274</v>
      </c>
      <c r="B4" s="369" t="s">
        <v>229</v>
      </c>
      <c r="C4" s="370" t="str">
        <f>VAC_Optim_Scenario!B17</f>
        <v>HCC InOffice</v>
      </c>
      <c r="D4" s="407">
        <f>VAC_Optim_Scenario!E17</f>
        <v>1134710</v>
      </c>
      <c r="E4" s="371">
        <f>VAC_Optim_Scenario!F17</f>
        <v>7367.8666140222922</v>
      </c>
      <c r="F4" s="407">
        <f>VAC_Optim_Scenario!G36</f>
        <v>1664695.7827721967</v>
      </c>
      <c r="G4" s="373">
        <f t="shared" ref="G4:G12" si="0">F4/D4</f>
        <v>1.4670671649780092</v>
      </c>
      <c r="H4" s="374" t="e">
        <f>E4/#REF!</f>
        <v>#REF!</v>
      </c>
      <c r="I4" s="372">
        <f>(D4/E4)</f>
        <v>154.00794550765286</v>
      </c>
      <c r="J4" s="375">
        <f>E4/N$3</f>
        <v>1.5852190309812427E-3</v>
      </c>
      <c r="K4" s="375">
        <f>J4*0.54</f>
        <v>8.5601827672987106E-4</v>
      </c>
      <c r="L4" s="376">
        <f ca="1">(VLOOKUP($Q4,INDIRECT("'"&amp;A4&amp;"'!"&amp;"A20:E42"),5,0)-VLOOKUP($R4,INDIRECT("'"&amp;A4&amp;"'!"&amp;"A20:E42"),5,0))/(Q4-R4)</f>
        <v>1.0281350987444842</v>
      </c>
      <c r="M4"/>
      <c r="O4" s="97">
        <v>0</v>
      </c>
      <c r="P4" s="97">
        <v>200000</v>
      </c>
      <c r="Q4" s="406" cm="1">
        <f t="array" aca="1" ref="Q4" ca="1">MAX(_xlfn._xlws.FILTER(INDIRECT("'"&amp;A4&amp;"'!"&amp;"A20:A42"),INDIRECT("'"&amp;A4&amp;"'!"&amp;"A20:A42")&lt;$D4))</f>
        <v>1000000</v>
      </c>
      <c r="R4" s="406" cm="1">
        <f t="array" aca="1" ref="R4" ca="1">MIN(_xlfn._xlws.FILTER(INDIRECT("'"&amp;A4&amp;"'!"&amp;"A20:A42"),INDIRECT("'"&amp;A4&amp;"'!"&amp;"A20:A42")&gt;=$D4))</f>
        <v>1200000</v>
      </c>
      <c r="S4" s="406"/>
      <c r="T4" s="406"/>
    </row>
    <row r="5" spans="1:20" x14ac:dyDescent="0.25">
      <c r="A5" s="97" t="s">
        <v>275</v>
      </c>
      <c r="B5" s="377" t="s">
        <v>229</v>
      </c>
      <c r="C5" s="378" t="str">
        <f>VAC_Optim_Scenario!B18</f>
        <v>HCP MCM</v>
      </c>
      <c r="D5" s="407">
        <f>VAC_Optim_Scenario!E18</f>
        <v>10503728.719999999</v>
      </c>
      <c r="E5" s="379">
        <f>VAC_Optim_Scenario!F18</f>
        <v>288339.09761974216</v>
      </c>
      <c r="F5" s="407">
        <f>VAC_Optim_Scenario!G37</f>
        <v>65147335.716204539</v>
      </c>
      <c r="G5" s="380">
        <f t="shared" si="0"/>
        <v>6.2023056243025803</v>
      </c>
      <c r="H5" s="381" t="e">
        <f>E5/#REF!</f>
        <v>#REF!</v>
      </c>
      <c r="I5" s="372">
        <f t="shared" ref="I5:I13" si="1">(D5/E5)</f>
        <v>36.428388680927966</v>
      </c>
      <c r="J5" s="375">
        <f t="shared" ref="J5:J13" si="2">E5/N$3</f>
        <v>6.2037038517075226E-2</v>
      </c>
      <c r="K5" s="375">
        <f t="shared" ref="K5:K13" si="3">J5*0.54</f>
        <v>3.3500000799220622E-2</v>
      </c>
      <c r="L5" s="376">
        <f ca="1">(VLOOKUP($Q5,INDIRECT("'"&amp;A5&amp;"'!"&amp;"A20:E42"),5,0)-VLOOKUP($R5,INDIRECT("'"&amp;A5&amp;"'!"&amp;"A20:E42"),5,0))/(Q5-R5)</f>
        <v>4.9357259150992991</v>
      </c>
      <c r="M5"/>
      <c r="N5" s="334"/>
      <c r="O5" s="97">
        <v>0</v>
      </c>
      <c r="P5" s="97">
        <v>625000</v>
      </c>
      <c r="Q5" s="406" cm="1">
        <f t="array" aca="1" ref="Q5" ca="1">MAX(_xlfn._xlws.FILTER(INDIRECT("'"&amp;A5&amp;"'!"&amp;"A20:A42"),INDIRECT("'"&amp;A5&amp;"'!"&amp;"A20:A42")&lt;$D5))</f>
        <v>10000000</v>
      </c>
      <c r="R5" s="406" cm="1">
        <f t="array" aca="1" ref="R5" ca="1">MIN(_xlfn._xlws.FILTER(INDIRECT("'"&amp;A5&amp;"'!"&amp;"A20:A42"),INDIRECT("'"&amp;A5&amp;"'!"&amp;"A20:A42")&gt;=$D5))</f>
        <v>10625000</v>
      </c>
      <c r="S5" s="406"/>
      <c r="T5" s="406"/>
    </row>
    <row r="6" spans="1:20" x14ac:dyDescent="0.25">
      <c r="A6" s="97" t="s">
        <v>276</v>
      </c>
      <c r="B6" s="377" t="s">
        <v>229</v>
      </c>
      <c r="C6" s="378" t="str">
        <f>VAC_Optim_Scenario!B19</f>
        <v>HCC Social</v>
      </c>
      <c r="D6" s="407">
        <f>VAC_Optim_Scenario!E19</f>
        <v>1751000</v>
      </c>
      <c r="E6" s="379">
        <f>VAC_Optim_Scenario!F19</f>
        <v>23820.403572058858</v>
      </c>
      <c r="F6" s="407">
        <f>VAC_Optim_Scenario!G38</f>
        <v>5381981.983070978</v>
      </c>
      <c r="G6" s="380">
        <f t="shared" si="0"/>
        <v>3.0736618978132371</v>
      </c>
      <c r="H6" s="381" t="e">
        <f>E6/#REF!</f>
        <v>#REF!</v>
      </c>
      <c r="I6" s="372">
        <f t="shared" si="1"/>
        <v>73.508410329953804</v>
      </c>
      <c r="J6" s="375">
        <f t="shared" si="2"/>
        <v>5.1250326649801949E-3</v>
      </c>
      <c r="K6" s="375">
        <f t="shared" si="3"/>
        <v>2.7675176390893055E-3</v>
      </c>
      <c r="L6" s="376">
        <f t="shared" ref="L6:L12" ca="1" si="4">(VLOOKUP($Q6,INDIRECT("'"&amp;A6&amp;"'!"&amp;"A20:E42"),3,0)-VLOOKUP($R6,INDIRECT("'"&amp;A6&amp;"'!"&amp;"A20:E42"),3,0))/(Q6-R6)</f>
        <v>1.7951540998233295</v>
      </c>
      <c r="M6"/>
      <c r="O6" s="97">
        <v>0</v>
      </c>
      <c r="P6" s="97">
        <v>250000</v>
      </c>
      <c r="Q6" s="406" cm="1">
        <f t="array" aca="1" ref="Q6" ca="1">MAX(_xlfn._xlws.FILTER(INDIRECT("'"&amp;A6&amp;"'!"&amp;"A20:A42"),INDIRECT("'"&amp;A6&amp;"'!"&amp;"A20:A42")&lt;$D6))</f>
        <v>1750000</v>
      </c>
      <c r="R6" s="406" cm="1">
        <f t="array" aca="1" ref="R6" ca="1">MIN(_xlfn._xlws.FILTER(INDIRECT("'"&amp;A6&amp;"'!"&amp;"A20:A42"),INDIRECT("'"&amp;A6&amp;"'!"&amp;"A20:A42")&gt;=$D6))</f>
        <v>2000000</v>
      </c>
      <c r="S6" s="406"/>
      <c r="T6" s="406"/>
    </row>
    <row r="7" spans="1:20" x14ac:dyDescent="0.25">
      <c r="A7" s="245" t="s">
        <v>277</v>
      </c>
      <c r="B7" s="377" t="s">
        <v>229</v>
      </c>
      <c r="C7" s="378" t="str">
        <f>VAC_Optim_Scenario!B20</f>
        <v>HCC Online Video</v>
      </c>
      <c r="D7" s="407">
        <f>VAC_Optim_Scenario!E20</f>
        <v>1111779.04</v>
      </c>
      <c r="E7" s="379">
        <f>VAC_Optim_Scenario!F20</f>
        <v>21646.235649615526</v>
      </c>
      <c r="F7" s="407">
        <f>VAC_Optim_Scenario!G39</f>
        <v>4890750.4826741321</v>
      </c>
      <c r="G7" s="380">
        <f t="shared" si="0"/>
        <v>4.3990310184963839</v>
      </c>
      <c r="H7" s="381" t="e">
        <f>E7/#REF!</f>
        <v>#REF!</v>
      </c>
      <c r="I7" s="372">
        <f t="shared" si="1"/>
        <v>51.361310945524473</v>
      </c>
      <c r="J7" s="375">
        <f t="shared" si="2"/>
        <v>4.6572537884398968E-3</v>
      </c>
      <c r="K7" s="375">
        <f t="shared" si="3"/>
        <v>2.5149170457575446E-3</v>
      </c>
      <c r="L7" s="376">
        <f ca="1">(VLOOKUP($Q7,INDIRECT("'"&amp;A7&amp;"'!"&amp;"A20:E42"),5,0)-VLOOKUP($R7,INDIRECT("'"&amp;A7&amp;"'!"&amp;"A20:E42"),5,0))/(Q7-R7)</f>
        <v>3.0799076810741566</v>
      </c>
      <c r="M7"/>
      <c r="O7" s="97">
        <v>0</v>
      </c>
      <c r="P7" s="97">
        <v>200000</v>
      </c>
      <c r="Q7" s="406" cm="1">
        <f t="array" aca="1" ref="Q7" ca="1">MAX(_xlfn._xlws.FILTER(INDIRECT("'"&amp;A7&amp;"'!"&amp;"A20:A42"),INDIRECT("'"&amp;A7&amp;"'!"&amp;"A20:A42")&lt;$D7))</f>
        <v>1000000</v>
      </c>
      <c r="R7" s="406" cm="1">
        <f t="array" aca="1" ref="R7" ca="1">MIN(_xlfn._xlws.FILTER(INDIRECT("'"&amp;A7&amp;"'!"&amp;"A20:A42"),INDIRECT("'"&amp;A7&amp;"'!"&amp;"A20:A42")&gt;=$D7))</f>
        <v>1200000</v>
      </c>
      <c r="S7" s="406"/>
      <c r="T7" s="406"/>
    </row>
    <row r="8" spans="1:20" x14ac:dyDescent="0.25">
      <c r="A8" s="245" t="s">
        <v>278</v>
      </c>
      <c r="B8" s="377" t="s">
        <v>229</v>
      </c>
      <c r="C8" s="378" t="str">
        <f>VAC_Optim_Scenario!B21</f>
        <v>HCC Streaming Video</v>
      </c>
      <c r="D8" s="407">
        <f>VAC_Optim_Scenario!E21</f>
        <v>13418576</v>
      </c>
      <c r="E8" s="379">
        <f>VAC_Optim_Scenario!F21</f>
        <v>100808.3256282994</v>
      </c>
      <c r="F8" s="407">
        <f>VAC_Optim_Scenario!G40</f>
        <v>22776633.092457965</v>
      </c>
      <c r="G8" s="380">
        <f t="shared" si="0"/>
        <v>1.6973956917975472</v>
      </c>
      <c r="H8" s="381" t="e">
        <f>E8/#REF!</f>
        <v>#REF!</v>
      </c>
      <c r="I8" s="372">
        <f t="shared" si="1"/>
        <v>133.10979937785092</v>
      </c>
      <c r="J8" s="375">
        <f t="shared" si="2"/>
        <v>2.1689219503947282E-2</v>
      </c>
      <c r="K8" s="375">
        <f t="shared" si="3"/>
        <v>1.1712178532131533E-2</v>
      </c>
      <c r="L8" s="376">
        <f t="shared" ca="1" si="4"/>
        <v>1.1961518650093477</v>
      </c>
      <c r="M8"/>
      <c r="O8" s="97">
        <v>0</v>
      </c>
      <c r="P8" s="97">
        <v>750000</v>
      </c>
      <c r="Q8" s="406" cm="1">
        <f t="array" aca="1" ref="Q8" ca="1">MAX(_xlfn._xlws.FILTER(INDIRECT("'"&amp;A8&amp;"'!"&amp;"A20:A42"),INDIRECT("'"&amp;A8&amp;"'!"&amp;"A20:A42")&lt;$D8))</f>
        <v>12750000</v>
      </c>
      <c r="R8" s="406" cm="1">
        <f t="array" aca="1" ref="R8" ca="1">MIN(_xlfn._xlws.FILTER(INDIRECT("'"&amp;A8&amp;"'!"&amp;"A20:A42"),INDIRECT("'"&amp;A8&amp;"'!"&amp;"A20:A42")&gt;=$D8))</f>
        <v>13500000</v>
      </c>
      <c r="S8" s="406"/>
      <c r="T8" s="406"/>
    </row>
    <row r="9" spans="1:20" x14ac:dyDescent="0.25">
      <c r="A9" s="245" t="s">
        <v>279</v>
      </c>
      <c r="B9" s="377" t="s">
        <v>229</v>
      </c>
      <c r="C9" s="378" t="str">
        <f>VAC_Optim_Scenario!B22</f>
        <v>HCC Display</v>
      </c>
      <c r="D9" s="407">
        <f>VAC_Optim_Scenario!E22</f>
        <v>2859426.82</v>
      </c>
      <c r="E9" s="379">
        <f>VAC_Optim_Scenario!F22</f>
        <v>76065.012406995462</v>
      </c>
      <c r="F9" s="407">
        <f>VAC_Optim_Scenario!G41</f>
        <v>17186128.903236553</v>
      </c>
      <c r="G9" s="380">
        <f t="shared" si="0"/>
        <v>6.010340528049098</v>
      </c>
      <c r="H9" s="381" t="e">
        <f>E9/#REF!</f>
        <v>#REF!</v>
      </c>
      <c r="I9" s="372">
        <f t="shared" si="1"/>
        <v>37.591880018375271</v>
      </c>
      <c r="J9" s="375">
        <f t="shared" si="2"/>
        <v>1.6365620005920036E-2</v>
      </c>
      <c r="K9" s="375">
        <f t="shared" si="3"/>
        <v>8.8374348031968197E-3</v>
      </c>
      <c r="L9" s="376">
        <f t="shared" ca="1" si="4"/>
        <v>3.5990133726234732</v>
      </c>
      <c r="M9"/>
      <c r="O9" s="97">
        <v>0</v>
      </c>
      <c r="P9" s="97">
        <v>250000</v>
      </c>
      <c r="Q9" s="406" cm="1">
        <f t="array" aca="1" ref="Q9" ca="1">MAX(_xlfn._xlws.FILTER(INDIRECT("'"&amp;A9&amp;"'!"&amp;"A20:A42"),INDIRECT("'"&amp;A9&amp;"'!"&amp;"A20:A42")&lt;$D9))</f>
        <v>2750000</v>
      </c>
      <c r="R9" s="406" cm="1">
        <f t="array" aca="1" ref="R9" ca="1">MIN(_xlfn._xlws.FILTER(INDIRECT("'"&amp;A9&amp;"'!"&amp;"A20:A42"),INDIRECT("'"&amp;A9&amp;"'!"&amp;"A20:A42")&gt;=$D9))</f>
        <v>3000000</v>
      </c>
      <c r="S9" s="406"/>
      <c r="T9" s="406"/>
    </row>
    <row r="10" spans="1:20" x14ac:dyDescent="0.25">
      <c r="A10" s="97" t="s">
        <v>280</v>
      </c>
      <c r="B10" s="377" t="s">
        <v>229</v>
      </c>
      <c r="C10" s="378" t="str">
        <f>VAC_Optim_Scenario!B23</f>
        <v>HCC Paid Search</v>
      </c>
      <c r="D10" s="407">
        <f>VAC_Optim_Scenario!E23</f>
        <v>50000</v>
      </c>
      <c r="E10" s="379">
        <f>VAC_Optim_Scenario!F23</f>
        <v>30136.792938374307</v>
      </c>
      <c r="F10" s="407">
        <f>VAC_Optim_Scenario!G42</f>
        <v>6809106.9964962909</v>
      </c>
      <c r="G10" s="380">
        <f t="shared" si="0"/>
        <v>136.18213992992582</v>
      </c>
      <c r="H10" s="381" t="e">
        <f>E10/#REF!</f>
        <v>#REF!</v>
      </c>
      <c r="I10" s="372">
        <f t="shared" si="1"/>
        <v>1.6591015541117227</v>
      </c>
      <c r="J10" s="375">
        <f t="shared" si="2"/>
        <v>6.4840231509798512E-3</v>
      </c>
      <c r="K10" s="375">
        <f t="shared" si="3"/>
        <v>3.5013725015291199E-3</v>
      </c>
      <c r="L10" s="376">
        <f t="shared" ca="1" si="4"/>
        <v>84.028991834438983</v>
      </c>
      <c r="M10"/>
      <c r="O10" s="97">
        <v>0</v>
      </c>
      <c r="P10" s="97">
        <v>250000</v>
      </c>
      <c r="Q10" s="406" cm="1">
        <f t="array" aca="1" ref="Q10" ca="1">MAX(_xlfn._xlws.FILTER(INDIRECT("'"&amp;A10&amp;"'!"&amp;"A20:A42"),INDIRECT("'"&amp;A10&amp;"'!"&amp;"A20:A42")&lt;$D10))</f>
        <v>0</v>
      </c>
      <c r="R10" s="406" cm="1">
        <f t="array" aca="1" ref="R10" ca="1">MIN(_xlfn._xlws.FILTER(INDIRECT("'"&amp;A10&amp;"'!"&amp;"A20:A42"),INDIRECT("'"&amp;A10&amp;"'!"&amp;"A20:A42")&gt;=$D10))</f>
        <v>250000</v>
      </c>
      <c r="S10" s="406"/>
      <c r="T10" s="406"/>
    </row>
    <row r="11" spans="1:20" x14ac:dyDescent="0.25">
      <c r="A11" s="97" t="s">
        <v>281</v>
      </c>
      <c r="B11" s="377" t="s">
        <v>229</v>
      </c>
      <c r="C11" s="378" t="str">
        <f>VAC_Optim_Scenario!B24</f>
        <v>HCC Radio</v>
      </c>
      <c r="D11" s="407">
        <f>VAC_Optim_Scenario!E24</f>
        <v>923975</v>
      </c>
      <c r="E11" s="379">
        <f>VAC_Optim_Scenario!F24</f>
        <v>26581.559263521289</v>
      </c>
      <c r="F11" s="407">
        <f>VAC_Optim_Scenario!G43</f>
        <v>6005837.5</v>
      </c>
      <c r="G11" s="380">
        <f t="shared" si="0"/>
        <v>6.5</v>
      </c>
      <c r="H11" s="381" t="e">
        <f>E11/#REF!</f>
        <v>#REF!</v>
      </c>
      <c r="I11" s="372">
        <f t="shared" si="1"/>
        <v>34.76</v>
      </c>
      <c r="J11" s="375">
        <f t="shared" si="2"/>
        <v>5.7191037548772593E-3</v>
      </c>
      <c r="K11" s="375">
        <f t="shared" si="3"/>
        <v>3.0883160276337202E-3</v>
      </c>
      <c r="L11" s="376">
        <f t="shared" ca="1" si="4"/>
        <v>3.9935476442957931</v>
      </c>
      <c r="M11"/>
      <c r="O11" s="97">
        <v>0</v>
      </c>
      <c r="P11" s="97">
        <v>250000</v>
      </c>
      <c r="Q11" s="406" cm="1">
        <f t="array" aca="1" ref="Q11" ca="1">MAX(_xlfn._xlws.FILTER(INDIRECT("'"&amp;A11&amp;"'!"&amp;"A20:A42"),INDIRECT("'"&amp;A11&amp;"'!"&amp;"A20:A42")&lt;$D11))</f>
        <v>750000</v>
      </c>
      <c r="R11" s="406" cm="1">
        <f t="array" aca="1" ref="R11" ca="1">MIN(_xlfn._xlws.FILTER(INDIRECT("'"&amp;A11&amp;"'!"&amp;"A20:A42"),INDIRECT("'"&amp;A11&amp;"'!"&amp;"A20:A42")&gt;=$D11))</f>
        <v>1000000</v>
      </c>
      <c r="S11" s="406"/>
      <c r="T11" s="406"/>
    </row>
    <row r="12" spans="1:20" x14ac:dyDescent="0.25">
      <c r="A12" s="97" t="s">
        <v>282</v>
      </c>
      <c r="B12" s="377" t="s">
        <v>229</v>
      </c>
      <c r="C12" s="378" t="str">
        <f>VAC_Optim_Scenario!B25</f>
        <v>HCC Linear TV</v>
      </c>
      <c r="D12" s="407">
        <f>VAC_Optim_Scenario!E25</f>
        <v>25810928.600000001</v>
      </c>
      <c r="E12" s="379">
        <f>VAC_Optim_Scenario!F25</f>
        <v>168508.00202805389</v>
      </c>
      <c r="F12" s="407">
        <f>VAC_Optim_Scenario!G44</f>
        <v>38072697.978218496</v>
      </c>
      <c r="G12" s="380">
        <f t="shared" si="0"/>
        <v>1.4750611482540188</v>
      </c>
      <c r="H12" s="381" t="e">
        <f>E12/#REF!</f>
        <v>#REF!</v>
      </c>
      <c r="I12" s="372">
        <f t="shared" si="1"/>
        <v>153.17331099625105</v>
      </c>
      <c r="J12" s="375">
        <f t="shared" si="2"/>
        <v>3.6255011888939259E-2</v>
      </c>
      <c r="K12" s="375">
        <f t="shared" si="3"/>
        <v>1.9577706420027201E-2</v>
      </c>
      <c r="L12" s="376">
        <f t="shared" ca="1" si="4"/>
        <v>1.0273854514533429</v>
      </c>
      <c r="M12"/>
      <c r="O12" s="97">
        <v>0</v>
      </c>
      <c r="P12" s="97">
        <v>1500000</v>
      </c>
      <c r="Q12" s="406" cm="1">
        <f t="array" aca="1" ref="Q12" ca="1">MAX(_xlfn._xlws.FILTER(INDIRECT("'"&amp;A12&amp;"'!"&amp;"A20:A42"),INDIRECT("'"&amp;A12&amp;"'!"&amp;"A20:A42")&lt;$D12))</f>
        <v>25500000</v>
      </c>
      <c r="R12" s="406" cm="1">
        <f t="array" aca="1" ref="R12" ca="1">MIN(_xlfn._xlws.FILTER(INDIRECT("'"&amp;A12&amp;"'!"&amp;"A20:A42"),INDIRECT("'"&amp;A12&amp;"'!"&amp;"A20:A42")&gt;=$D12))</f>
        <v>27000000</v>
      </c>
      <c r="S12" s="406"/>
      <c r="T12" s="406"/>
    </row>
    <row r="13" spans="1:20" x14ac:dyDescent="0.25">
      <c r="A13" s="97" t="s">
        <v>283</v>
      </c>
      <c r="B13" s="377" t="s">
        <v>229</v>
      </c>
      <c r="C13" s="378" t="str">
        <f>VAC_Optim_Scenario!B26</f>
        <v>HCC Pharmacy</v>
      </c>
      <c r="D13" s="407">
        <f>VAC_Optim_Scenario!E26</f>
        <v>2411968</v>
      </c>
      <c r="E13" s="379">
        <f>VAC_Optim_Scenario!F26</f>
        <v>18205.929821531288</v>
      </c>
      <c r="F13" s="407">
        <f>VAC_Optim_Scenario!G45</f>
        <v>4113447.783876779</v>
      </c>
      <c r="G13" s="380">
        <f t="shared" ref="G13" si="5">F13/D13</f>
        <v>1.7054321549360436</v>
      </c>
      <c r="H13" s="381" t="e">
        <f>E13/#REF!</f>
        <v>#REF!</v>
      </c>
      <c r="I13" s="372">
        <f t="shared" si="1"/>
        <v>132.48254956731077</v>
      </c>
      <c r="J13" s="375">
        <f t="shared" si="2"/>
        <v>3.9170614699883619E-3</v>
      </c>
      <c r="K13" s="375">
        <f t="shared" si="3"/>
        <v>2.1152131937937158E-3</v>
      </c>
      <c r="L13" s="376">
        <f ca="1">(VLOOKUP($Q13,INDIRECT("'"&amp;A13&amp;"'!"&amp;"A20:E42"),5,0)-VLOOKUP($R13,INDIRECT("'"&amp;A13&amp;"'!"&amp;"A20:E42"),5,0))/(Q13-R13)</f>
        <v>1.2851107311617118</v>
      </c>
      <c r="M13"/>
      <c r="O13" s="97">
        <v>0</v>
      </c>
      <c r="P13" s="97">
        <v>200000</v>
      </c>
      <c r="Q13" s="406" cm="1">
        <f t="array" aca="1" ref="Q13" ca="1">MAX(_xlfn._xlws.FILTER(INDIRECT("'"&amp;A13&amp;"'!"&amp;"A20:A42"),INDIRECT("'"&amp;A13&amp;"'!"&amp;"A20:A42")&lt;$D13))</f>
        <v>2400000</v>
      </c>
      <c r="R13" s="406" cm="1">
        <f t="array" aca="1" ref="R13" ca="1">MIN(_xlfn._xlws.FILTER(INDIRECT("'"&amp;A13&amp;"'!"&amp;"A20:A42"),INDIRECT("'"&amp;A13&amp;"'!"&amp;"A20:A42")&gt;=$D13))</f>
        <v>2600000</v>
      </c>
      <c r="S13" s="406"/>
      <c r="T13" s="406"/>
    </row>
    <row r="14" spans="1:20" x14ac:dyDescent="0.25">
      <c r="B14" s="367" t="s">
        <v>154</v>
      </c>
      <c r="C14" s="368" t="s">
        <v>211</v>
      </c>
      <c r="D14" s="408">
        <f>SUM(D4:D13)</f>
        <v>59976092.18</v>
      </c>
      <c r="E14" s="361">
        <f>SUM(E4:E13)</f>
        <v>761479.22554221447</v>
      </c>
      <c r="F14" s="408">
        <f>SUM(F4:F13)</f>
        <v>172048616.21900794</v>
      </c>
      <c r="G14" s="362">
        <f>F14/D14</f>
        <v>2.8686199778181005</v>
      </c>
      <c r="H14" s="363" t="e">
        <f>SUM(H4:H12)</f>
        <v>#REF!</v>
      </c>
      <c r="I14" s="364">
        <f>(D14/E14)</f>
        <v>78.762611202286934</v>
      </c>
      <c r="J14" s="365">
        <f>SUM(J4:J13)</f>
        <v>0.16383458377612861</v>
      </c>
      <c r="K14" s="412">
        <f>SUM(K4:K13)</f>
        <v>8.8470675239109467E-2</v>
      </c>
      <c r="L14" s="366"/>
    </row>
    <row r="15" spans="1:20" x14ac:dyDescent="0.25">
      <c r="G15" s="210"/>
      <c r="H15" s="211"/>
    </row>
    <row r="17" spans="5:6" ht="38.25" x14ac:dyDescent="0.25">
      <c r="E17" s="207" t="s">
        <v>3</v>
      </c>
      <c r="F17" s="208" t="s">
        <v>271</v>
      </c>
    </row>
    <row r="18" spans="5:6" x14ac:dyDescent="0.25">
      <c r="E18" s="335" t="s">
        <v>210</v>
      </c>
      <c r="F18" s="244">
        <f t="shared" ref="F18:F23" si="6">VLOOKUP(E18,$C$4:$I$13,7,0)</f>
        <v>1.6591015541117227</v>
      </c>
    </row>
    <row r="19" spans="5:6" x14ac:dyDescent="0.25">
      <c r="E19" s="336" t="s">
        <v>177</v>
      </c>
      <c r="F19" s="244">
        <f t="shared" si="6"/>
        <v>34.76</v>
      </c>
    </row>
    <row r="20" spans="5:6" x14ac:dyDescent="0.25">
      <c r="E20" s="336" t="s">
        <v>207</v>
      </c>
      <c r="F20" s="244">
        <f t="shared" si="6"/>
        <v>36.428388680927966</v>
      </c>
    </row>
    <row r="21" spans="5:6" x14ac:dyDescent="0.25">
      <c r="E21" s="336" t="s">
        <v>209</v>
      </c>
      <c r="F21" s="244">
        <f t="shared" si="6"/>
        <v>37.591880018375271</v>
      </c>
    </row>
    <row r="22" spans="5:6" x14ac:dyDescent="0.25">
      <c r="E22" s="336" t="s">
        <v>224</v>
      </c>
      <c r="F22" s="244">
        <f t="shared" si="6"/>
        <v>51.361310945524473</v>
      </c>
    </row>
    <row r="23" spans="5:6" x14ac:dyDescent="0.25">
      <c r="E23" s="336" t="s">
        <v>208</v>
      </c>
      <c r="F23" s="244">
        <f t="shared" si="6"/>
        <v>73.508410329953804</v>
      </c>
    </row>
    <row r="24" spans="5:6" x14ac:dyDescent="0.25">
      <c r="E24" s="332" t="s">
        <v>236</v>
      </c>
      <c r="F24" s="244">
        <f>VLOOKUP(E24,$C$4:$I$13,7,0)</f>
        <v>132.48254956731077</v>
      </c>
    </row>
    <row r="25" spans="5:6" x14ac:dyDescent="0.25">
      <c r="E25" s="336" t="s">
        <v>226</v>
      </c>
      <c r="F25" s="244">
        <f>VLOOKUP(E25,$C$4:$I$13,7,0)</f>
        <v>133.10979937785092</v>
      </c>
    </row>
    <row r="26" spans="5:6" x14ac:dyDescent="0.25">
      <c r="E26" s="336" t="s">
        <v>235</v>
      </c>
      <c r="F26" s="244">
        <f>VLOOKUP(E26,$C$4:$I$12,7,0)</f>
        <v>153.17331099625105</v>
      </c>
    </row>
    <row r="27" spans="5:6" x14ac:dyDescent="0.25">
      <c r="E27" s="336" t="s">
        <v>234</v>
      </c>
      <c r="F27" s="244">
        <f>VLOOKUP(E27,$C$4:$I$12,7,0)</f>
        <v>154.00794550765286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Y91"/>
  <sheetViews>
    <sheetView showGridLines="0" topLeftCell="A19" zoomScale="75" zoomScaleNormal="75" workbookViewId="0">
      <selection activeCell="F10" sqref="F10"/>
    </sheetView>
  </sheetViews>
  <sheetFormatPr defaultColWidth="8.85546875" defaultRowHeight="15" x14ac:dyDescent="0.25"/>
  <cols>
    <col min="1" max="1" width="7.28515625" style="97" bestFit="1" customWidth="1"/>
    <col min="2" max="2" width="28.140625" style="97" bestFit="1" customWidth="1"/>
    <col min="3" max="3" width="16.42578125" style="97" bestFit="1" customWidth="1"/>
    <col min="4" max="4" width="17.140625" style="97" bestFit="1" customWidth="1"/>
    <col min="5" max="5" width="0.42578125" style="97" customWidth="1"/>
    <col min="6" max="6" width="13.5703125" style="97" bestFit="1" customWidth="1"/>
    <col min="7" max="7" width="12.5703125" style="97" bestFit="1" customWidth="1"/>
    <col min="8" max="8" width="14" style="97" bestFit="1" customWidth="1"/>
    <col min="9" max="9" width="0.42578125" style="97" customWidth="1"/>
    <col min="10" max="10" width="16.42578125" style="97" bestFit="1" customWidth="1"/>
    <col min="11" max="11" width="12.5703125" style="97" bestFit="1" customWidth="1"/>
    <col min="12" max="12" width="16" style="97" customWidth="1"/>
    <col min="13" max="13" width="0.28515625" style="97" customWidth="1"/>
    <col min="14" max="14" width="13.140625" style="97" bestFit="1" customWidth="1"/>
    <col min="15" max="15" width="12.5703125" style="97" bestFit="1" customWidth="1"/>
    <col min="16" max="16" width="15.7109375" style="97" customWidth="1"/>
    <col min="17" max="17" width="6.7109375" style="97" bestFit="1" customWidth="1"/>
    <col min="18" max="18" width="18.28515625" style="97" bestFit="1" customWidth="1"/>
    <col min="19" max="19" width="12.5703125" style="97" bestFit="1" customWidth="1"/>
    <col min="20" max="20" width="14" style="97" bestFit="1" customWidth="1"/>
    <col min="21" max="21" width="8.85546875" style="97"/>
    <col min="22" max="22" width="14.85546875" style="97" bestFit="1" customWidth="1"/>
    <col min="23" max="23" width="8.85546875" style="97"/>
    <col min="24" max="24" width="14.85546875" style="97" bestFit="1" customWidth="1"/>
    <col min="25" max="25" width="12.5703125" style="97" bestFit="1" customWidth="1"/>
    <col min="26" max="16384" width="8.85546875" style="97"/>
  </cols>
  <sheetData>
    <row r="3" spans="2:25" x14ac:dyDescent="0.25">
      <c r="B3" s="171">
        <f>SUM(C9:C13)</f>
        <v>19190781.859999999</v>
      </c>
      <c r="C3" s="171">
        <f>SUM(D9:D13)</f>
        <v>57044601.457935914</v>
      </c>
    </row>
    <row r="4" spans="2:25" x14ac:dyDescent="0.25">
      <c r="F4" s="438" t="s">
        <v>289</v>
      </c>
      <c r="G4" s="438"/>
      <c r="H4" s="438"/>
      <c r="I4" s="438"/>
      <c r="J4" s="438"/>
      <c r="K4" s="438"/>
      <c r="L4" s="438"/>
      <c r="M4" s="438"/>
      <c r="N4" s="438"/>
      <c r="O4" s="438"/>
      <c r="P4" s="438"/>
    </row>
    <row r="5" spans="2:25" x14ac:dyDescent="0.25">
      <c r="F5" s="429" t="s">
        <v>265</v>
      </c>
      <c r="G5" s="430"/>
      <c r="H5" s="431"/>
      <c r="I5" s="172"/>
      <c r="J5" s="429" t="s">
        <v>290</v>
      </c>
      <c r="K5" s="430"/>
      <c r="L5" s="431"/>
      <c r="N5" s="429" t="s">
        <v>291</v>
      </c>
      <c r="O5" s="430"/>
      <c r="P5" s="431"/>
      <c r="R5" s="97" t="s">
        <v>228</v>
      </c>
    </row>
    <row r="6" spans="2:25" ht="38.1" customHeight="1" x14ac:dyDescent="0.25">
      <c r="B6" s="173" t="s">
        <v>194</v>
      </c>
      <c r="C6" s="170" t="s">
        <v>195</v>
      </c>
      <c r="D6" s="184" t="s">
        <v>196</v>
      </c>
      <c r="E6" s="174"/>
      <c r="F6" s="184" t="s">
        <v>203</v>
      </c>
      <c r="G6" s="184" t="s">
        <v>197</v>
      </c>
      <c r="H6" s="184" t="s">
        <v>198</v>
      </c>
      <c r="I6" s="184"/>
      <c r="J6" s="184" t="s">
        <v>203</v>
      </c>
      <c r="K6" s="184" t="s">
        <v>197</v>
      </c>
      <c r="L6" s="184" t="s">
        <v>198</v>
      </c>
      <c r="M6" s="170"/>
      <c r="N6" s="184" t="s">
        <v>203</v>
      </c>
      <c r="O6" s="184" t="s">
        <v>197</v>
      </c>
      <c r="P6" s="184" t="s">
        <v>198</v>
      </c>
      <c r="R6" s="174" t="s">
        <v>203</v>
      </c>
      <c r="S6" s="174" t="s">
        <v>197</v>
      </c>
      <c r="T6" s="174" t="s">
        <v>198</v>
      </c>
    </row>
    <row r="7" spans="2:25" x14ac:dyDescent="0.25">
      <c r="B7" s="175" t="str">
        <f>VAC_Optim_Scenario!B17</f>
        <v>HCC InOffice</v>
      </c>
      <c r="C7" s="176">
        <f>VAC_Optim_Scenario!E17</f>
        <v>1134710</v>
      </c>
      <c r="D7" s="176">
        <f>VAC_Optim_Scenario!G36</f>
        <v>1664695.7827721967</v>
      </c>
      <c r="E7" s="176"/>
      <c r="F7" s="176">
        <v>900000</v>
      </c>
      <c r="G7" s="168">
        <v>-0.20684580201108654</v>
      </c>
      <c r="H7" s="176">
        <v>1410431.7445188572</v>
      </c>
      <c r="I7" s="176"/>
      <c r="J7" s="176">
        <v>900000</v>
      </c>
      <c r="K7" s="168">
        <v>-0.20684580201108654</v>
      </c>
      <c r="L7" s="176">
        <v>1410431.7445188572</v>
      </c>
      <c r="N7" s="176">
        <v>900000</v>
      </c>
      <c r="O7" s="168">
        <v>-0.20684580201108654</v>
      </c>
      <c r="P7" s="176">
        <v>1410431.7445188572</v>
      </c>
      <c r="R7" s="176">
        <f>VAC_Optim_Scenario!$H36</f>
        <v>900000</v>
      </c>
      <c r="S7" s="168">
        <f>IFERROR((R7-$C7)/$C7,"")</f>
        <v>-0.20684580201108654</v>
      </c>
      <c r="T7" s="176">
        <f>VAC_Optim_Scenario!$J36</f>
        <v>1410431.7445188572</v>
      </c>
      <c r="V7" s="176"/>
      <c r="W7" s="168"/>
      <c r="X7" s="176"/>
      <c r="Y7" s="171"/>
    </row>
    <row r="8" spans="2:25" x14ac:dyDescent="0.25">
      <c r="B8" s="175" t="str">
        <f>VAC_Optim_Scenario!B18</f>
        <v>HCP MCM</v>
      </c>
      <c r="C8" s="176">
        <f>VAC_Optim_Scenario!E18</f>
        <v>10503728.719999999</v>
      </c>
      <c r="D8" s="176">
        <f>VAC_Optim_Scenario!G37</f>
        <v>65147335.716204539</v>
      </c>
      <c r="E8" s="176"/>
      <c r="F8" s="176">
        <v>12572464.406098237</v>
      </c>
      <c r="G8" s="168">
        <v>0.19695250527169353</v>
      </c>
      <c r="H8" s="176">
        <v>74805603.676666692</v>
      </c>
      <c r="I8" s="176"/>
      <c r="J8" s="176">
        <v>16238053.787026292</v>
      </c>
      <c r="K8" s="168">
        <v>0.54593232745126474</v>
      </c>
      <c r="L8" s="176">
        <v>89794158.905659005</v>
      </c>
      <c r="N8" s="176">
        <v>16665000</v>
      </c>
      <c r="O8" s="168">
        <v>0.58657943709726745</v>
      </c>
      <c r="P8" s="176">
        <v>91376759.733073339</v>
      </c>
      <c r="R8" s="176">
        <f>VAC_Optim_Scenario!$H37</f>
        <v>12572464.52241138</v>
      </c>
      <c r="S8" s="168">
        <f t="shared" ref="S8:S16" si="0">IFERROR((R8-$C8)/$C8,"")</f>
        <v>0.1969525163452033</v>
      </c>
      <c r="T8" s="176">
        <f>VAC_Optim_Scenario!$J37</f>
        <v>74805604.19425115</v>
      </c>
      <c r="V8" s="176"/>
      <c r="W8" s="168"/>
      <c r="X8" s="176"/>
      <c r="Y8" s="171"/>
    </row>
    <row r="9" spans="2:25" x14ac:dyDescent="0.25">
      <c r="B9" s="175" t="str">
        <f>VAC_Optim_Scenario!B19</f>
        <v>HCC Social</v>
      </c>
      <c r="C9" s="176">
        <f>VAC_Optim_Scenario!E19</f>
        <v>1751000</v>
      </c>
      <c r="D9" s="176">
        <f>VAC_Optim_Scenario!G38</f>
        <v>5381981.983070978</v>
      </c>
      <c r="E9" s="176"/>
      <c r="F9" s="176">
        <v>1800000</v>
      </c>
      <c r="G9" s="168">
        <v>2.7984009137635636E-2</v>
      </c>
      <c r="H9" s="176">
        <v>5471848.3801533533</v>
      </c>
      <c r="I9" s="176"/>
      <c r="J9" s="176">
        <v>1800000</v>
      </c>
      <c r="K9" s="168">
        <v>2.7984009137635636E-2</v>
      </c>
      <c r="L9" s="176">
        <v>5471848.3801533533</v>
      </c>
      <c r="N9" s="176">
        <v>2200000</v>
      </c>
      <c r="O9" s="168">
        <v>0.25642490005711022</v>
      </c>
      <c r="P9" s="176">
        <v>6171975.0306531982</v>
      </c>
      <c r="R9" s="176">
        <f>VAC_Optim_Scenario!$H38</f>
        <v>1800000</v>
      </c>
      <c r="S9" s="168">
        <f t="shared" si="0"/>
        <v>2.7984009137635636E-2</v>
      </c>
      <c r="T9" s="176">
        <f>VAC_Optim_Scenario!$J38</f>
        <v>5471848.3801533533</v>
      </c>
      <c r="V9" s="176"/>
      <c r="W9" s="168"/>
      <c r="X9" s="176"/>
      <c r="Y9" s="171"/>
    </row>
    <row r="10" spans="2:25" x14ac:dyDescent="0.25">
      <c r="B10" s="175" t="str">
        <f>VAC_Optim_Scenario!B20</f>
        <v>HCC Online Video</v>
      </c>
      <c r="C10" s="176">
        <f>VAC_Optim_Scenario!E20</f>
        <v>1111779.04</v>
      </c>
      <c r="D10" s="176">
        <f>VAC_Optim_Scenario!G39</f>
        <v>4890750.4826741321</v>
      </c>
      <c r="E10" s="176"/>
      <c r="F10" s="176">
        <v>1100000</v>
      </c>
      <c r="G10" s="168">
        <v>-1.0594767104082154E-2</v>
      </c>
      <c r="H10" s="176">
        <v>4854627.720414157</v>
      </c>
      <c r="I10" s="176"/>
      <c r="J10" s="176">
        <v>1100000</v>
      </c>
      <c r="K10" s="168">
        <v>-1.0594767104082154E-2</v>
      </c>
      <c r="L10" s="176">
        <v>4854627.720414157</v>
      </c>
      <c r="N10" s="176">
        <v>1500000</v>
      </c>
      <c r="O10" s="168">
        <v>0.34918895394897886</v>
      </c>
      <c r="P10" s="176">
        <v>5944544.9570494974</v>
      </c>
      <c r="R10" s="176">
        <f>VAC_Optim_Scenario!$H39</f>
        <v>1100000</v>
      </c>
      <c r="S10" s="168">
        <f t="shared" si="0"/>
        <v>-1.0594767104082154E-2</v>
      </c>
      <c r="T10" s="176">
        <f>VAC_Optim_Scenario!$J39</f>
        <v>4854627.720414157</v>
      </c>
      <c r="V10" s="176"/>
      <c r="W10" s="168"/>
      <c r="X10" s="176"/>
      <c r="Y10" s="171"/>
    </row>
    <row r="11" spans="2:25" x14ac:dyDescent="0.25">
      <c r="B11" s="175" t="str">
        <f>VAC_Optim_Scenario!B21</f>
        <v>HCC Streaming Video</v>
      </c>
      <c r="C11" s="176">
        <f>VAC_Optim_Scenario!E21</f>
        <v>13418576</v>
      </c>
      <c r="D11" s="176">
        <f>VAC_Optim_Scenario!G40</f>
        <v>22776633.092457965</v>
      </c>
      <c r="E11" s="176"/>
      <c r="F11" s="176">
        <v>9400000</v>
      </c>
      <c r="G11" s="168">
        <v>-0.29947857358336682</v>
      </c>
      <c r="H11" s="176">
        <v>17753521.979413368</v>
      </c>
      <c r="I11" s="176"/>
      <c r="J11" s="176">
        <v>9400000</v>
      </c>
      <c r="K11" s="168">
        <v>-0.29947857358336682</v>
      </c>
      <c r="L11" s="176">
        <v>17753521.979413368</v>
      </c>
      <c r="N11" s="176">
        <v>11361111.927607745</v>
      </c>
      <c r="O11" s="168">
        <v>-0.15332953902055294</v>
      </c>
      <c r="P11" s="176">
        <v>20271673.91047442</v>
      </c>
      <c r="R11" s="176">
        <f>VAC_Optim_Scenario!$H40</f>
        <v>9400000</v>
      </c>
      <c r="S11" s="168">
        <f t="shared" si="0"/>
        <v>-0.29947857358336682</v>
      </c>
      <c r="T11" s="176">
        <f>VAC_Optim_Scenario!$J40</f>
        <v>17753521.979413368</v>
      </c>
      <c r="V11" s="176"/>
      <c r="W11" s="168"/>
      <c r="X11" s="176"/>
      <c r="Y11" s="171"/>
    </row>
    <row r="12" spans="2:25" x14ac:dyDescent="0.25">
      <c r="B12" s="175" t="str">
        <f>VAC_Optim_Scenario!B22</f>
        <v>HCC Display</v>
      </c>
      <c r="C12" s="176">
        <f>VAC_Optim_Scenario!E22</f>
        <v>2859426.82</v>
      </c>
      <c r="D12" s="176">
        <f>VAC_Optim_Scenario!G41</f>
        <v>17186128.903236553</v>
      </c>
      <c r="E12" s="176"/>
      <c r="F12" s="176">
        <v>2900000</v>
      </c>
      <c r="G12" s="168">
        <v>1.4189270281797305E-2</v>
      </c>
      <c r="H12" s="176">
        <v>17332031.585250624</v>
      </c>
      <c r="I12" s="176"/>
      <c r="J12" s="176">
        <v>2900000</v>
      </c>
      <c r="K12" s="168">
        <v>1.4189270281797305E-2</v>
      </c>
      <c r="L12" s="176">
        <v>17332031.585250624</v>
      </c>
      <c r="N12" s="176">
        <v>4000000.0000000005</v>
      </c>
      <c r="O12" s="168">
        <v>0.39888175211282401</v>
      </c>
      <c r="P12" s="176">
        <v>21020675.494225871</v>
      </c>
      <c r="R12" s="176">
        <f>VAC_Optim_Scenario!$H41</f>
        <v>2900000</v>
      </c>
      <c r="S12" s="168">
        <f t="shared" si="0"/>
        <v>1.4189270281797305E-2</v>
      </c>
      <c r="T12" s="176">
        <f>VAC_Optim_Scenario!$J41</f>
        <v>17332031.585250624</v>
      </c>
      <c r="V12" s="176"/>
      <c r="W12" s="168"/>
      <c r="X12" s="176"/>
      <c r="Y12" s="171"/>
    </row>
    <row r="13" spans="2:25" x14ac:dyDescent="0.25">
      <c r="B13" s="175" t="str">
        <f>VAC_Optim_Scenario!B23</f>
        <v>HCC Paid Search</v>
      </c>
      <c r="C13" s="176">
        <f>VAC_Optim_Scenario!E23</f>
        <v>50000</v>
      </c>
      <c r="D13" s="176">
        <f>VAC_Optim_Scenario!G42</f>
        <v>6809106.9964962909</v>
      </c>
      <c r="E13" s="176"/>
      <c r="F13" s="176">
        <v>150000</v>
      </c>
      <c r="G13" s="168">
        <v>2</v>
      </c>
      <c r="H13" s="176">
        <v>14691800.990400117</v>
      </c>
      <c r="I13" s="176"/>
      <c r="J13" s="176">
        <v>150000</v>
      </c>
      <c r="K13" s="168">
        <v>2</v>
      </c>
      <c r="L13" s="176">
        <v>14691800.990400117</v>
      </c>
      <c r="N13" s="176">
        <v>150000</v>
      </c>
      <c r="O13" s="168">
        <v>2</v>
      </c>
      <c r="P13" s="176">
        <v>14691800.990400117</v>
      </c>
      <c r="R13" s="176">
        <f>VAC_Optim_Scenario!$H42</f>
        <v>150000</v>
      </c>
      <c r="S13" s="168">
        <f t="shared" si="0"/>
        <v>2</v>
      </c>
      <c r="T13" s="176">
        <f>VAC_Optim_Scenario!$J42</f>
        <v>14691800.990400117</v>
      </c>
      <c r="V13" s="176"/>
      <c r="W13" s="168"/>
      <c r="X13" s="176"/>
      <c r="Y13" s="171"/>
    </row>
    <row r="14" spans="2:25" x14ac:dyDescent="0.25">
      <c r="B14" s="175" t="str">
        <f>VAC_Optim_Scenario!B24</f>
        <v>HCC Radio</v>
      </c>
      <c r="C14" s="176">
        <f>VAC_Optim_Scenario!E24</f>
        <v>923975</v>
      </c>
      <c r="D14" s="176">
        <f>VAC_Optim_Scenario!G43</f>
        <v>6005837.5</v>
      </c>
      <c r="E14" s="176"/>
      <c r="F14" s="176">
        <v>664416.92435745674</v>
      </c>
      <c r="G14" s="168">
        <v>-0.28091460877463487</v>
      </c>
      <c r="H14" s="176">
        <v>4927672.7326467959</v>
      </c>
      <c r="I14" s="176"/>
      <c r="J14" s="176">
        <v>1022735.3522356477</v>
      </c>
      <c r="K14" s="168">
        <v>0.10688639003831027</v>
      </c>
      <c r="L14" s="176">
        <v>6383155.2269049492</v>
      </c>
      <c r="N14" s="176">
        <v>1500000</v>
      </c>
      <c r="O14" s="168">
        <v>0.62342054709272432</v>
      </c>
      <c r="P14" s="176">
        <v>8032157.2136713574</v>
      </c>
      <c r="R14" s="176">
        <f>VAC_Optim_Scenario!$H43</f>
        <v>664416.83994363551</v>
      </c>
      <c r="S14" s="168">
        <f t="shared" si="0"/>
        <v>-0.28091470013405612</v>
      </c>
      <c r="T14" s="176">
        <f>VAC_Optim_Scenario!$J43</f>
        <v>4927672.3570118472</v>
      </c>
      <c r="V14" s="176"/>
      <c r="W14" s="168"/>
      <c r="X14" s="176"/>
      <c r="Y14" s="171"/>
    </row>
    <row r="15" spans="2:25" x14ac:dyDescent="0.25">
      <c r="B15" s="175" t="str">
        <f>VAC_Optim_Scenario!B25</f>
        <v>HCC Linear TV</v>
      </c>
      <c r="C15" s="176">
        <f>VAC_Optim_Scenario!E25</f>
        <v>25810928.600000001</v>
      </c>
      <c r="D15" s="176">
        <f>VAC_Optim_Scenario!G44</f>
        <v>38072697.978218496</v>
      </c>
      <c r="E15" s="176"/>
      <c r="F15" s="176">
        <v>28089210.840000004</v>
      </c>
      <c r="G15" s="168">
        <v>8.8268123759018963E-2</v>
      </c>
      <c r="H15" s="176">
        <v>40395109.493891343</v>
      </c>
      <c r="I15" s="176"/>
      <c r="J15" s="176">
        <v>28089210.840000004</v>
      </c>
      <c r="K15" s="168">
        <v>8.8268123759018963E-2</v>
      </c>
      <c r="L15" s="176">
        <v>40395109.493891343</v>
      </c>
      <c r="N15" s="176">
        <v>28089210.840000004</v>
      </c>
      <c r="O15" s="168">
        <v>8.8268123759018963E-2</v>
      </c>
      <c r="P15" s="176">
        <v>40395109.493891343</v>
      </c>
      <c r="R15" s="176">
        <f>VAC_Optim_Scenario!$H44</f>
        <v>28089210.840000004</v>
      </c>
      <c r="S15" s="168">
        <f t="shared" si="0"/>
        <v>8.8268123759018963E-2</v>
      </c>
      <c r="T15" s="176">
        <f>VAC_Optim_Scenario!$J44</f>
        <v>40395109.493891343</v>
      </c>
      <c r="V15" s="176"/>
      <c r="W15" s="168"/>
      <c r="X15" s="176"/>
      <c r="Y15" s="171"/>
    </row>
    <row r="16" spans="2:25" x14ac:dyDescent="0.25">
      <c r="B16" s="175" t="str">
        <f>VAC_Optim_Scenario!B26</f>
        <v>HCC Pharmacy</v>
      </c>
      <c r="C16" s="176">
        <f>VAC_Optim_Scenario!E26</f>
        <v>2411968</v>
      </c>
      <c r="D16" s="176">
        <f>VAC_Optim_Scenario!G45</f>
        <v>4113447.783876779</v>
      </c>
      <c r="E16" s="176"/>
      <c r="F16" s="176">
        <v>2400000</v>
      </c>
      <c r="G16" s="168">
        <v>-4.9619232095948207E-3</v>
      </c>
      <c r="H16" s="176">
        <v>4097760.647716294</v>
      </c>
      <c r="I16" s="176"/>
      <c r="J16" s="176">
        <v>2400000</v>
      </c>
      <c r="K16" s="168">
        <v>-4.9619232095948207E-3</v>
      </c>
      <c r="L16" s="176">
        <v>4097760.647716294</v>
      </c>
      <c r="N16" s="176">
        <v>2634677.2806136827</v>
      </c>
      <c r="O16" s="168">
        <v>9.2335089277172294E-2</v>
      </c>
      <c r="P16" s="176">
        <v>4398254.0254997369</v>
      </c>
      <c r="R16" s="176">
        <f>VAC_Optim_Scenario!$H45</f>
        <v>2400000</v>
      </c>
      <c r="S16" s="168">
        <f t="shared" si="0"/>
        <v>-4.9619232095948207E-3</v>
      </c>
      <c r="T16" s="176">
        <f>VAC_Optim_Scenario!$J45</f>
        <v>4097760.647716294</v>
      </c>
      <c r="V16" s="176"/>
      <c r="W16" s="168"/>
      <c r="X16" s="176"/>
      <c r="Y16" s="171"/>
    </row>
    <row r="17" spans="1:20" ht="34.35" customHeight="1" x14ac:dyDescent="0.25">
      <c r="B17" s="177" t="s">
        <v>199</v>
      </c>
      <c r="C17" s="178">
        <f>SUM(C7:C16)</f>
        <v>59976092.18</v>
      </c>
      <c r="D17" s="178">
        <f>SUM(D7:D16)</f>
        <v>172048616.21900794</v>
      </c>
      <c r="E17" s="170"/>
      <c r="F17" s="178">
        <f>SUM(F7:F16)</f>
        <v>59976092.170455694</v>
      </c>
      <c r="G17" s="179">
        <f>(F17-$C$17)/$C$17</f>
        <v>-1.591351679719987E-10</v>
      </c>
      <c r="H17" s="178">
        <f>SUM(H7:H16)</f>
        <v>185740408.95107156</v>
      </c>
      <c r="I17" s="170"/>
      <c r="J17" s="178">
        <f>SUM(J7:J16)</f>
        <v>63999999.97926195</v>
      </c>
      <c r="K17" s="179">
        <f>(J17-$C$17)/$C$17</f>
        <v>6.7091863657695705E-2</v>
      </c>
      <c r="L17" s="178">
        <f>SUM(L7:L16)</f>
        <v>202184446.67432207</v>
      </c>
      <c r="N17" s="178">
        <f>SUM(N7:N16)</f>
        <v>69000000.048221424</v>
      </c>
      <c r="O17" s="179">
        <f>(N17-$C$17)/$C$17</f>
        <v>0.15045841668274934</v>
      </c>
      <c r="P17" s="178">
        <f>SUM(P7:P16)</f>
        <v>213713382.59345773</v>
      </c>
      <c r="R17" s="178">
        <f>SUM(R7:R16)</f>
        <v>59976092.20235502</v>
      </c>
      <c r="S17" s="179">
        <f>(R17-$C$17)/$C$17</f>
        <v>3.7273218767141978E-10</v>
      </c>
      <c r="T17" s="178">
        <f>SUM(T7:T16)</f>
        <v>185740409.09302109</v>
      </c>
    </row>
    <row r="18" spans="1:20" x14ac:dyDescent="0.25">
      <c r="D18" s="97">
        <f>D17/C17</f>
        <v>2.8686199778181005</v>
      </c>
      <c r="N18" s="171"/>
      <c r="P18" s="171"/>
    </row>
    <row r="19" spans="1:20" x14ac:dyDescent="0.25">
      <c r="P19" s="171"/>
    </row>
    <row r="20" spans="1:20" ht="26.85" customHeight="1" x14ac:dyDescent="0.25">
      <c r="F20" s="435" t="str">
        <f>F4</f>
        <v>Optimal channel spend allowed to vary based on custom limits  for 2023 channel spend</v>
      </c>
      <c r="G20" s="436"/>
      <c r="H20" s="436"/>
      <c r="I20" s="436"/>
      <c r="J20" s="436"/>
      <c r="K20" s="436"/>
      <c r="L20" s="436"/>
      <c r="M20" s="436"/>
      <c r="N20" s="436"/>
      <c r="O20" s="436"/>
      <c r="P20" s="437"/>
    </row>
    <row r="21" spans="1:20" ht="30.2" customHeight="1" x14ac:dyDescent="0.25">
      <c r="B21" s="341"/>
      <c r="C21" s="439" t="s">
        <v>266</v>
      </c>
      <c r="D21" s="440"/>
      <c r="E21" s="342"/>
      <c r="F21" s="432" t="str">
        <f>F5</f>
        <v>Current Optimal ($60.0MM)</v>
      </c>
      <c r="G21" s="433"/>
      <c r="H21" s="434"/>
      <c r="I21" s="401"/>
      <c r="J21" s="432" t="str">
        <f>J5</f>
        <v xml:space="preserve"> 4M Increase in Spend ($64M)</v>
      </c>
      <c r="K21" s="433"/>
      <c r="L21" s="434"/>
      <c r="M21" s="341"/>
      <c r="N21" s="432" t="str">
        <f>N5</f>
        <v xml:space="preserve"> 9M Increase in Spend ($69M)</v>
      </c>
      <c r="O21" s="433"/>
      <c r="P21" s="434"/>
    </row>
    <row r="22" spans="1:20" ht="25.5" x14ac:dyDescent="0.25">
      <c r="B22" s="347" t="s">
        <v>194</v>
      </c>
      <c r="C22" s="343" t="s">
        <v>200</v>
      </c>
      <c r="D22" s="344" t="s">
        <v>201</v>
      </c>
      <c r="E22" s="345"/>
      <c r="F22" s="346" t="s">
        <v>203</v>
      </c>
      <c r="G22" s="344" t="s">
        <v>197</v>
      </c>
      <c r="H22" s="402" t="s">
        <v>198</v>
      </c>
      <c r="I22" s="345"/>
      <c r="J22" s="346" t="s">
        <v>203</v>
      </c>
      <c r="K22" s="344" t="s">
        <v>197</v>
      </c>
      <c r="L22" s="402" t="s">
        <v>198</v>
      </c>
      <c r="M22" s="341"/>
      <c r="N22" s="346" t="s">
        <v>203</v>
      </c>
      <c r="O22" s="344" t="s">
        <v>197</v>
      </c>
      <c r="P22" s="402" t="s">
        <v>198</v>
      </c>
    </row>
    <row r="23" spans="1:20" x14ac:dyDescent="0.25">
      <c r="A23" s="337">
        <f>D23/C23</f>
        <v>1.4670671649780089</v>
      </c>
      <c r="B23" s="387" t="str">
        <f t="shared" ref="B23:B32" si="1">B7</f>
        <v>HCC InOffice</v>
      </c>
      <c r="C23" s="388">
        <f>C7/1000000</f>
        <v>1.1347100000000001</v>
      </c>
      <c r="D23" s="389">
        <f>D7/1000000</f>
        <v>1.6646957827721967</v>
      </c>
      <c r="E23" s="390"/>
      <c r="F23" s="391">
        <f t="shared" ref="F23:F32" si="2">F7/1000000</f>
        <v>0.9</v>
      </c>
      <c r="G23" s="392">
        <f>IFERROR(G7,"")</f>
        <v>-0.20684580201108654</v>
      </c>
      <c r="H23" s="393">
        <f t="shared" ref="H23:H32" si="3">H7/1000000</f>
        <v>1.4104317445188572</v>
      </c>
      <c r="I23" s="390"/>
      <c r="J23" s="391">
        <f t="shared" ref="J23:J32" si="4">J7/1000000</f>
        <v>0.9</v>
      </c>
      <c r="K23" s="392">
        <f t="shared" ref="K23:K32" si="5">K7</f>
        <v>-0.20684580201108654</v>
      </c>
      <c r="L23" s="393">
        <f t="shared" ref="L23:L32" si="6">L7/1000000</f>
        <v>1.4104317445188572</v>
      </c>
      <c r="M23" s="394"/>
      <c r="N23" s="391">
        <f t="shared" ref="N23:N32" si="7">N7/1000000</f>
        <v>0.9</v>
      </c>
      <c r="O23" s="392">
        <f t="shared" ref="O23:O32" si="8">O7</f>
        <v>-0.20684580201108654</v>
      </c>
      <c r="P23" s="393">
        <f t="shared" ref="P23:P32" si="9">P7/1000000</f>
        <v>1.4104317445188572</v>
      </c>
      <c r="R23" s="97">
        <v>900000</v>
      </c>
      <c r="S23" s="417">
        <f>R23/1000000</f>
        <v>0.9</v>
      </c>
      <c r="T23" s="418">
        <f>S23-F23</f>
        <v>0</v>
      </c>
    </row>
    <row r="24" spans="1:20" x14ac:dyDescent="0.25">
      <c r="A24" s="337">
        <f t="shared" ref="A24:A32" si="10">D24/C24</f>
        <v>6.2023056243025811</v>
      </c>
      <c r="B24" s="387" t="str">
        <f t="shared" si="1"/>
        <v>HCP MCM</v>
      </c>
      <c r="C24" s="395">
        <f t="shared" ref="C24:D24" si="11">C8/1000000</f>
        <v>10.503728719999998</v>
      </c>
      <c r="D24" s="396">
        <f t="shared" si="11"/>
        <v>65.147335716204537</v>
      </c>
      <c r="E24" s="390"/>
      <c r="F24" s="397">
        <f t="shared" si="2"/>
        <v>12.572464406098238</v>
      </c>
      <c r="G24" s="398">
        <f t="shared" ref="G24:G32" si="12">IFERROR(G8,"")</f>
        <v>0.19695250527169353</v>
      </c>
      <c r="H24" s="399">
        <f t="shared" si="3"/>
        <v>74.805603676666692</v>
      </c>
      <c r="I24" s="390"/>
      <c r="J24" s="397">
        <f t="shared" si="4"/>
        <v>16.238053787026292</v>
      </c>
      <c r="K24" s="392">
        <f t="shared" si="5"/>
        <v>0.54593232745126474</v>
      </c>
      <c r="L24" s="399">
        <f t="shared" si="6"/>
        <v>89.794158905659003</v>
      </c>
      <c r="M24" s="394"/>
      <c r="N24" s="397">
        <f t="shared" si="7"/>
        <v>16.664999999999999</v>
      </c>
      <c r="O24" s="392">
        <f t="shared" si="8"/>
        <v>0.58657943709726745</v>
      </c>
      <c r="P24" s="399">
        <f t="shared" si="9"/>
        <v>91.376759733073342</v>
      </c>
      <c r="R24" s="97">
        <v>10500000</v>
      </c>
      <c r="S24" s="417">
        <f t="shared" ref="S24:S32" si="13">R24/1000000</f>
        <v>10.5</v>
      </c>
      <c r="T24" s="418">
        <f t="shared" ref="T24:T32" si="14">S24-F24</f>
        <v>-2.0724644060982378</v>
      </c>
    </row>
    <row r="25" spans="1:20" x14ac:dyDescent="0.25">
      <c r="A25" s="337">
        <f t="shared" si="10"/>
        <v>3.0736618978132371</v>
      </c>
      <c r="B25" s="387" t="str">
        <f t="shared" si="1"/>
        <v>HCC Social</v>
      </c>
      <c r="C25" s="395">
        <f t="shared" ref="C25:D25" si="15">C9/1000000</f>
        <v>1.7509999999999999</v>
      </c>
      <c r="D25" s="396">
        <f t="shared" si="15"/>
        <v>5.3819819830709781</v>
      </c>
      <c r="E25" s="390"/>
      <c r="F25" s="397">
        <f t="shared" si="2"/>
        <v>1.8</v>
      </c>
      <c r="G25" s="398">
        <f t="shared" si="12"/>
        <v>2.7984009137635636E-2</v>
      </c>
      <c r="H25" s="399">
        <f t="shared" si="3"/>
        <v>5.4718483801533537</v>
      </c>
      <c r="I25" s="390"/>
      <c r="J25" s="397">
        <f t="shared" si="4"/>
        <v>1.8</v>
      </c>
      <c r="K25" s="392">
        <f t="shared" si="5"/>
        <v>2.7984009137635636E-2</v>
      </c>
      <c r="L25" s="399">
        <f t="shared" si="6"/>
        <v>5.4718483801533537</v>
      </c>
      <c r="M25" s="394"/>
      <c r="N25" s="397">
        <f t="shared" si="7"/>
        <v>2.2000000000000002</v>
      </c>
      <c r="O25" s="392">
        <f t="shared" si="8"/>
        <v>0.25642490005711022</v>
      </c>
      <c r="P25" s="399">
        <f t="shared" si="9"/>
        <v>6.171975030653198</v>
      </c>
      <c r="R25" s="97">
        <v>1800000</v>
      </c>
      <c r="S25" s="417">
        <f t="shared" si="13"/>
        <v>1.8</v>
      </c>
      <c r="T25" s="418">
        <f t="shared" si="14"/>
        <v>0</v>
      </c>
    </row>
    <row r="26" spans="1:20" x14ac:dyDescent="0.25">
      <c r="A26" s="337">
        <f t="shared" si="10"/>
        <v>4.3990310184963839</v>
      </c>
      <c r="B26" s="387" t="str">
        <f t="shared" si="1"/>
        <v>HCC Online Video</v>
      </c>
      <c r="C26" s="395">
        <f t="shared" ref="C26:D26" si="16">C10/1000000</f>
        <v>1.1117790400000001</v>
      </c>
      <c r="D26" s="396">
        <f t="shared" si="16"/>
        <v>4.8907504826741324</v>
      </c>
      <c r="E26" s="390"/>
      <c r="F26" s="397">
        <f t="shared" si="2"/>
        <v>1.1000000000000001</v>
      </c>
      <c r="G26" s="398">
        <f t="shared" si="12"/>
        <v>-1.0594767104082154E-2</v>
      </c>
      <c r="H26" s="399">
        <f t="shared" si="3"/>
        <v>4.8546277204141575</v>
      </c>
      <c r="I26" s="390"/>
      <c r="J26" s="397">
        <f t="shared" si="4"/>
        <v>1.1000000000000001</v>
      </c>
      <c r="K26" s="392">
        <f t="shared" si="5"/>
        <v>-1.0594767104082154E-2</v>
      </c>
      <c r="L26" s="399">
        <f t="shared" si="6"/>
        <v>4.8546277204141575</v>
      </c>
      <c r="M26" s="394"/>
      <c r="N26" s="397">
        <f t="shared" si="7"/>
        <v>1.5</v>
      </c>
      <c r="O26" s="392">
        <f t="shared" si="8"/>
        <v>0.34918895394897886</v>
      </c>
      <c r="P26" s="399">
        <f t="shared" si="9"/>
        <v>5.944544957049497</v>
      </c>
      <c r="R26" s="97">
        <v>1100000</v>
      </c>
      <c r="S26" s="417">
        <f t="shared" si="13"/>
        <v>1.1000000000000001</v>
      </c>
      <c r="T26" s="418">
        <f t="shared" si="14"/>
        <v>0</v>
      </c>
    </row>
    <row r="27" spans="1:20" x14ac:dyDescent="0.25">
      <c r="A27" s="337">
        <f t="shared" si="10"/>
        <v>1.6973956917975472</v>
      </c>
      <c r="B27" s="387" t="str">
        <f t="shared" si="1"/>
        <v>HCC Streaming Video</v>
      </c>
      <c r="C27" s="395">
        <f t="shared" ref="C27:D27" si="17">C11/1000000</f>
        <v>13.418576</v>
      </c>
      <c r="D27" s="396">
        <f t="shared" si="17"/>
        <v>22.776633092457963</v>
      </c>
      <c r="E27" s="390"/>
      <c r="F27" s="397">
        <f t="shared" si="2"/>
        <v>9.4</v>
      </c>
      <c r="G27" s="400">
        <f t="shared" si="12"/>
        <v>-0.29947857358336682</v>
      </c>
      <c r="H27" s="399">
        <f t="shared" si="3"/>
        <v>17.753521979413367</v>
      </c>
      <c r="I27" s="390"/>
      <c r="J27" s="397">
        <f t="shared" si="4"/>
        <v>9.4</v>
      </c>
      <c r="K27" s="392">
        <f t="shared" si="5"/>
        <v>-0.29947857358336682</v>
      </c>
      <c r="L27" s="399">
        <f t="shared" si="6"/>
        <v>17.753521979413367</v>
      </c>
      <c r="M27" s="394"/>
      <c r="N27" s="397">
        <f t="shared" si="7"/>
        <v>11.361111927607745</v>
      </c>
      <c r="O27" s="392">
        <f t="shared" si="8"/>
        <v>-0.15332953902055294</v>
      </c>
      <c r="P27" s="399">
        <f t="shared" si="9"/>
        <v>20.271673910474419</v>
      </c>
      <c r="R27" s="97">
        <v>9400000</v>
      </c>
      <c r="S27" s="417">
        <f t="shared" si="13"/>
        <v>9.4</v>
      </c>
      <c r="T27" s="418">
        <f t="shared" si="14"/>
        <v>0</v>
      </c>
    </row>
    <row r="28" spans="1:20" x14ac:dyDescent="0.25">
      <c r="A28" s="337">
        <f t="shared" si="10"/>
        <v>6.0103405280490989</v>
      </c>
      <c r="B28" s="387" t="str">
        <f t="shared" si="1"/>
        <v>HCC Display</v>
      </c>
      <c r="C28" s="395">
        <f t="shared" ref="C28:D28" si="18">C12/1000000</f>
        <v>2.8594268199999999</v>
      </c>
      <c r="D28" s="396">
        <f t="shared" si="18"/>
        <v>17.186128903236554</v>
      </c>
      <c r="E28" s="390"/>
      <c r="F28" s="397">
        <f t="shared" si="2"/>
        <v>2.9</v>
      </c>
      <c r="G28" s="400">
        <f t="shared" si="12"/>
        <v>1.4189270281797305E-2</v>
      </c>
      <c r="H28" s="399">
        <f t="shared" si="3"/>
        <v>17.332031585250622</v>
      </c>
      <c r="I28" s="390"/>
      <c r="J28" s="397">
        <f t="shared" si="4"/>
        <v>2.9</v>
      </c>
      <c r="K28" s="392">
        <f t="shared" si="5"/>
        <v>1.4189270281797305E-2</v>
      </c>
      <c r="L28" s="399">
        <f t="shared" si="6"/>
        <v>17.332031585250622</v>
      </c>
      <c r="M28" s="394"/>
      <c r="N28" s="397">
        <f t="shared" si="7"/>
        <v>4.0000000000000009</v>
      </c>
      <c r="O28" s="392">
        <f t="shared" si="8"/>
        <v>0.39888175211282401</v>
      </c>
      <c r="P28" s="399">
        <f t="shared" si="9"/>
        <v>21.02067549422587</v>
      </c>
      <c r="R28" s="97">
        <v>2900000</v>
      </c>
      <c r="S28" s="417">
        <f t="shared" si="13"/>
        <v>2.9</v>
      </c>
      <c r="T28" s="418">
        <f t="shared" si="14"/>
        <v>0</v>
      </c>
    </row>
    <row r="29" spans="1:20" x14ac:dyDescent="0.25">
      <c r="A29" s="337">
        <f t="shared" si="10"/>
        <v>136.1821399299258</v>
      </c>
      <c r="B29" s="387" t="str">
        <f t="shared" si="1"/>
        <v>HCC Paid Search</v>
      </c>
      <c r="C29" s="410">
        <f t="shared" ref="C29:D29" si="19">C13/1000000</f>
        <v>0.05</v>
      </c>
      <c r="D29" s="396">
        <f t="shared" si="19"/>
        <v>6.8091069964962907</v>
      </c>
      <c r="E29" s="390"/>
      <c r="F29" s="411">
        <f t="shared" si="2"/>
        <v>0.15</v>
      </c>
      <c r="G29" s="398">
        <f t="shared" si="12"/>
        <v>2</v>
      </c>
      <c r="H29" s="399">
        <f t="shared" si="3"/>
        <v>14.691800990400116</v>
      </c>
      <c r="I29" s="390"/>
      <c r="J29" s="397">
        <f t="shared" si="4"/>
        <v>0.15</v>
      </c>
      <c r="K29" s="392">
        <f t="shared" si="5"/>
        <v>2</v>
      </c>
      <c r="L29" s="399">
        <f t="shared" si="6"/>
        <v>14.691800990400116</v>
      </c>
      <c r="M29" s="394"/>
      <c r="N29" s="397">
        <f t="shared" si="7"/>
        <v>0.15</v>
      </c>
      <c r="O29" s="392">
        <f t="shared" si="8"/>
        <v>2</v>
      </c>
      <c r="P29" s="399">
        <f t="shared" si="9"/>
        <v>14.691800990400116</v>
      </c>
      <c r="R29" s="97">
        <v>100000</v>
      </c>
      <c r="S29" s="417">
        <f t="shared" si="13"/>
        <v>0.1</v>
      </c>
      <c r="T29" s="418">
        <f t="shared" si="14"/>
        <v>-4.9999999999999989E-2</v>
      </c>
    </row>
    <row r="30" spans="1:20" x14ac:dyDescent="0.25">
      <c r="A30" s="337">
        <f t="shared" si="10"/>
        <v>6.5</v>
      </c>
      <c r="B30" s="387" t="str">
        <f t="shared" si="1"/>
        <v>HCC Radio</v>
      </c>
      <c r="C30" s="395">
        <f t="shared" ref="C30:D30" si="20">C14/1000000</f>
        <v>0.92397499999999999</v>
      </c>
      <c r="D30" s="396">
        <f t="shared" si="20"/>
        <v>6.0058375000000002</v>
      </c>
      <c r="E30" s="390"/>
      <c r="F30" s="397">
        <f t="shared" si="2"/>
        <v>0.6644169243574567</v>
      </c>
      <c r="G30" s="398">
        <f t="shared" si="12"/>
        <v>-0.28091460877463487</v>
      </c>
      <c r="H30" s="399">
        <f t="shared" si="3"/>
        <v>4.927672732646796</v>
      </c>
      <c r="I30" s="390"/>
      <c r="J30" s="397">
        <f t="shared" si="4"/>
        <v>1.0227353522356477</v>
      </c>
      <c r="K30" s="398">
        <f t="shared" ref="K30" si="21">IFERROR(K14,"")</f>
        <v>0.10688639003831027</v>
      </c>
      <c r="L30" s="399">
        <f t="shared" si="6"/>
        <v>6.3831552269049494</v>
      </c>
      <c r="M30" s="394"/>
      <c r="N30" s="397">
        <f t="shared" si="7"/>
        <v>1.5</v>
      </c>
      <c r="O30" s="398">
        <f t="shared" ref="O30" si="22">IFERROR(O14,"")</f>
        <v>0.62342054709272432</v>
      </c>
      <c r="P30" s="399">
        <f t="shared" si="9"/>
        <v>8.0321572136713577</v>
      </c>
      <c r="R30" s="97">
        <v>500000</v>
      </c>
      <c r="S30" s="417">
        <f t="shared" si="13"/>
        <v>0.5</v>
      </c>
      <c r="T30" s="418">
        <f t="shared" si="14"/>
        <v>-0.1644169243574567</v>
      </c>
    </row>
    <row r="31" spans="1:20" x14ac:dyDescent="0.25">
      <c r="A31" s="337">
        <f t="shared" si="10"/>
        <v>1.4750611482540188</v>
      </c>
      <c r="B31" s="387" t="str">
        <f t="shared" si="1"/>
        <v>HCC Linear TV</v>
      </c>
      <c r="C31" s="395">
        <f t="shared" ref="C31:D32" si="23">C15/1000000</f>
        <v>25.8109286</v>
      </c>
      <c r="D31" s="396">
        <f t="shared" si="23"/>
        <v>38.072697978218493</v>
      </c>
      <c r="E31" s="390"/>
      <c r="F31" s="397">
        <f t="shared" si="2"/>
        <v>28.089210840000003</v>
      </c>
      <c r="G31" s="398">
        <f t="shared" si="12"/>
        <v>8.8268123759018963E-2</v>
      </c>
      <c r="H31" s="399">
        <f t="shared" si="3"/>
        <v>40.39510949389134</v>
      </c>
      <c r="I31" s="390"/>
      <c r="J31" s="397">
        <f t="shared" si="4"/>
        <v>28.089210840000003</v>
      </c>
      <c r="K31" s="392">
        <f t="shared" si="5"/>
        <v>8.8268123759018963E-2</v>
      </c>
      <c r="L31" s="399">
        <f t="shared" si="6"/>
        <v>40.39510949389134</v>
      </c>
      <c r="M31" s="394"/>
      <c r="N31" s="397">
        <f t="shared" si="7"/>
        <v>28.089210840000003</v>
      </c>
      <c r="O31" s="392">
        <f t="shared" si="8"/>
        <v>8.8268123759018963E-2</v>
      </c>
      <c r="P31" s="399">
        <f t="shared" si="9"/>
        <v>40.39510949389134</v>
      </c>
      <c r="R31" s="97">
        <v>28089210.840000004</v>
      </c>
      <c r="S31" s="417">
        <f t="shared" si="13"/>
        <v>28.089210840000003</v>
      </c>
      <c r="T31" s="418">
        <f t="shared" si="14"/>
        <v>0</v>
      </c>
    </row>
    <row r="32" spans="1:20" x14ac:dyDescent="0.25">
      <c r="A32" s="337">
        <f t="shared" si="10"/>
        <v>1.7054321549360438</v>
      </c>
      <c r="B32" s="387" t="str">
        <f t="shared" si="1"/>
        <v>HCC Pharmacy</v>
      </c>
      <c r="C32" s="395">
        <f t="shared" si="23"/>
        <v>2.4119679999999999</v>
      </c>
      <c r="D32" s="396">
        <f t="shared" si="23"/>
        <v>4.1134477838767793</v>
      </c>
      <c r="E32" s="390"/>
      <c r="F32" s="397">
        <f t="shared" si="2"/>
        <v>2.4</v>
      </c>
      <c r="G32" s="398">
        <f t="shared" si="12"/>
        <v>-4.9619232095948207E-3</v>
      </c>
      <c r="H32" s="399">
        <f t="shared" si="3"/>
        <v>4.097760647716294</v>
      </c>
      <c r="I32" s="390"/>
      <c r="J32" s="397">
        <f t="shared" si="4"/>
        <v>2.4</v>
      </c>
      <c r="K32" s="392">
        <f t="shared" si="5"/>
        <v>-4.9619232095948207E-3</v>
      </c>
      <c r="L32" s="399">
        <f t="shared" si="6"/>
        <v>4.097760647716294</v>
      </c>
      <c r="M32" s="394"/>
      <c r="N32" s="397">
        <f t="shared" si="7"/>
        <v>2.6346772806136829</v>
      </c>
      <c r="O32" s="392">
        <f t="shared" si="8"/>
        <v>9.2335089277172294E-2</v>
      </c>
      <c r="P32" s="399">
        <f t="shared" si="9"/>
        <v>4.3982540254997371</v>
      </c>
      <c r="R32" s="97">
        <v>2400000</v>
      </c>
      <c r="S32" s="417">
        <f t="shared" si="13"/>
        <v>2.4</v>
      </c>
      <c r="T32" s="418">
        <f t="shared" si="14"/>
        <v>0</v>
      </c>
    </row>
    <row r="33" spans="2:18" ht="29.45" customHeight="1" x14ac:dyDescent="0.25">
      <c r="B33" s="382" t="s">
        <v>199</v>
      </c>
      <c r="C33" s="355">
        <f>C17/1000000</f>
        <v>59.976092180000002</v>
      </c>
      <c r="D33" s="383">
        <f>D17/1000000</f>
        <v>172.04861621900793</v>
      </c>
      <c r="E33" s="384"/>
      <c r="F33" s="356">
        <f>F17/1000000</f>
        <v>59.976092170455694</v>
      </c>
      <c r="G33" s="357">
        <f>G17</f>
        <v>-1.591351679719987E-10</v>
      </c>
      <c r="H33" s="385">
        <f>H17/1000000</f>
        <v>185.74040895107157</v>
      </c>
      <c r="I33" s="384"/>
      <c r="J33" s="356">
        <f>J17/1000000</f>
        <v>63.999999979261951</v>
      </c>
      <c r="K33" s="357">
        <f>K17</f>
        <v>6.7091863657695705E-2</v>
      </c>
      <c r="L33" s="385">
        <f>L17/1000000</f>
        <v>202.18444667432206</v>
      </c>
      <c r="M33" s="386"/>
      <c r="N33" s="356">
        <f>N17/1000000</f>
        <v>69.000000048221423</v>
      </c>
      <c r="O33" s="357">
        <f>O17</f>
        <v>0.15045841668274934</v>
      </c>
      <c r="P33" s="385">
        <f>P17/1000000</f>
        <v>213.71338259345774</v>
      </c>
      <c r="Q33" s="266"/>
    </row>
    <row r="34" spans="2:18" ht="25.5" x14ac:dyDescent="0.25">
      <c r="B34" s="382" t="s">
        <v>288</v>
      </c>
      <c r="C34" s="355"/>
      <c r="D34" s="383"/>
      <c r="E34" s="384"/>
      <c r="F34" s="356"/>
      <c r="G34" s="357"/>
      <c r="H34" s="403" t="s">
        <v>297</v>
      </c>
      <c r="I34" s="384"/>
      <c r="J34" s="356"/>
      <c r="K34" s="357"/>
      <c r="L34" s="403" t="s">
        <v>296</v>
      </c>
      <c r="M34" s="386"/>
      <c r="N34" s="356"/>
      <c r="O34" s="357"/>
      <c r="P34" s="403" t="s">
        <v>295</v>
      </c>
      <c r="Q34" s="266"/>
    </row>
    <row r="35" spans="2:18" x14ac:dyDescent="0.25">
      <c r="B35" s="341"/>
      <c r="C35" s="341"/>
      <c r="D35" s="341"/>
      <c r="E35" s="341"/>
      <c r="F35" s="341"/>
      <c r="G35" s="341"/>
      <c r="H35" s="404">
        <f>(H33-$D$33)</f>
        <v>13.691792732063647</v>
      </c>
      <c r="I35" s="341"/>
      <c r="J35" s="341"/>
      <c r="K35" s="341"/>
      <c r="L35" s="404">
        <f>(L33-$D$33)</f>
        <v>30.135830455314135</v>
      </c>
      <c r="M35" s="341"/>
      <c r="N35" s="341"/>
      <c r="O35" s="341"/>
      <c r="P35" s="404">
        <f>(P33-$D$33)</f>
        <v>41.664766374449812</v>
      </c>
    </row>
    <row r="36" spans="2:18" x14ac:dyDescent="0.25">
      <c r="B36" s="341"/>
      <c r="C36" s="341"/>
      <c r="D36" s="341"/>
      <c r="E36" s="341"/>
      <c r="F36" s="341"/>
      <c r="G36" s="341"/>
      <c r="H36" s="405">
        <f>H35/$D$33</f>
        <v>7.9580952366596125E-2</v>
      </c>
      <c r="I36" s="341"/>
      <c r="J36" s="341"/>
      <c r="K36" s="341"/>
      <c r="L36" s="405">
        <f>L35/$D$33</f>
        <v>0.17515880753701016</v>
      </c>
      <c r="M36" s="341"/>
      <c r="N36" s="341"/>
      <c r="O36" s="341"/>
      <c r="P36" s="405">
        <f>P35/$D$33</f>
        <v>0.24216856427030473</v>
      </c>
    </row>
    <row r="38" spans="2:18" hidden="1" x14ac:dyDescent="0.25">
      <c r="B38" s="445" t="s">
        <v>241</v>
      </c>
      <c r="C38" s="445"/>
      <c r="D38" s="445"/>
      <c r="E38" s="445"/>
      <c r="F38" s="445"/>
      <c r="G38" s="445"/>
      <c r="H38" s="445"/>
      <c r="I38" s="445"/>
      <c r="J38" s="445"/>
      <c r="K38" s="445"/>
      <c r="L38" s="445"/>
    </row>
    <row r="39" spans="2:18" hidden="1" x14ac:dyDescent="0.25">
      <c r="B39" s="445"/>
      <c r="C39" s="445"/>
      <c r="D39" s="445"/>
      <c r="E39" s="445"/>
      <c r="F39" s="445"/>
      <c r="G39" s="445"/>
      <c r="H39" s="445"/>
      <c r="I39" s="445"/>
      <c r="J39" s="445"/>
      <c r="K39" s="445"/>
      <c r="L39" s="445"/>
    </row>
    <row r="40" spans="2:18" hidden="1" x14ac:dyDescent="0.25"/>
    <row r="41" spans="2:18" hidden="1" x14ac:dyDescent="0.25">
      <c r="F41" s="429" t="s">
        <v>222</v>
      </c>
      <c r="G41" s="430"/>
      <c r="H41" s="431"/>
      <c r="I41" s="172"/>
      <c r="J41" s="429" t="s">
        <v>242</v>
      </c>
      <c r="K41" s="430"/>
      <c r="L41" s="431"/>
    </row>
    <row r="42" spans="2:18" ht="30" hidden="1" x14ac:dyDescent="0.25">
      <c r="B42" s="173" t="s">
        <v>194</v>
      </c>
      <c r="C42" s="97" t="s">
        <v>195</v>
      </c>
      <c r="D42" s="174" t="s">
        <v>196</v>
      </c>
      <c r="E42" s="174"/>
      <c r="F42" s="97" t="s">
        <v>195</v>
      </c>
      <c r="G42" s="174" t="s">
        <v>197</v>
      </c>
      <c r="H42" s="174" t="s">
        <v>198</v>
      </c>
      <c r="I42" s="174"/>
      <c r="J42" s="97" t="s">
        <v>195</v>
      </c>
      <c r="K42" s="174" t="s">
        <v>197</v>
      </c>
      <c r="L42" s="174" t="s">
        <v>198</v>
      </c>
    </row>
    <row r="43" spans="2:18" hidden="1" x14ac:dyDescent="0.25">
      <c r="B43" s="175" t="str">
        <f t="shared" ref="B43:D52" si="24">B7</f>
        <v>HCC InOffice</v>
      </c>
      <c r="C43" s="176">
        <f t="shared" si="24"/>
        <v>1134710</v>
      </c>
      <c r="D43" s="176">
        <f t="shared" si="24"/>
        <v>1664695.7827721967</v>
      </c>
      <c r="E43" s="176"/>
      <c r="F43" s="176"/>
      <c r="G43" s="168"/>
      <c r="H43" s="176"/>
      <c r="I43" s="176"/>
      <c r="J43" s="176">
        <v>1726886.6554235087</v>
      </c>
      <c r="K43" s="168">
        <v>0.15125777028233914</v>
      </c>
      <c r="L43" s="176">
        <v>3789941.2960206438</v>
      </c>
      <c r="P43" s="176">
        <f>VAC_Optim_Scenario!$H36</f>
        <v>900000</v>
      </c>
      <c r="Q43" s="168">
        <f>(P43-$C43)/$C43</f>
        <v>-0.20684580201108654</v>
      </c>
      <c r="R43" s="176">
        <f>VAC_Optim_Scenario!$J36</f>
        <v>1410431.7445188572</v>
      </c>
    </row>
    <row r="44" spans="2:18" hidden="1" x14ac:dyDescent="0.25">
      <c r="B44" s="175" t="str">
        <f t="shared" si="24"/>
        <v>HCP MCM</v>
      </c>
      <c r="C44" s="176">
        <f t="shared" si="24"/>
        <v>10503728.719999999</v>
      </c>
      <c r="D44" s="176">
        <f t="shared" si="24"/>
        <v>65147335.716204539</v>
      </c>
      <c r="E44" s="176"/>
      <c r="F44" s="176"/>
      <c r="G44" s="168"/>
      <c r="H44" s="176"/>
      <c r="I44" s="176"/>
      <c r="J44" s="176">
        <v>10277647.167225027</v>
      </c>
      <c r="K44" s="168">
        <v>0.1999999961732519</v>
      </c>
      <c r="L44" s="176">
        <v>63621602.136797041</v>
      </c>
      <c r="P44" s="176">
        <f>VAC_Optim_Scenario!$H37</f>
        <v>12572464.52241138</v>
      </c>
      <c r="Q44" s="168">
        <f t="shared" ref="Q44:Q52" si="25">(P44-$C44)/$C44</f>
        <v>0.1969525163452033</v>
      </c>
      <c r="R44" s="176">
        <f>VAC_Optim_Scenario!$J37</f>
        <v>74805604.19425115</v>
      </c>
    </row>
    <row r="45" spans="2:18" hidden="1" x14ac:dyDescent="0.25">
      <c r="B45" s="175" t="str">
        <f t="shared" si="24"/>
        <v>HCC Social</v>
      </c>
      <c r="C45" s="176">
        <f t="shared" si="24"/>
        <v>1751000</v>
      </c>
      <c r="D45" s="176">
        <f t="shared" si="24"/>
        <v>5381981.983070978</v>
      </c>
      <c r="E45" s="176"/>
      <c r="F45" s="176"/>
      <c r="G45" s="168"/>
      <c r="H45" s="176"/>
      <c r="I45" s="176"/>
      <c r="J45" s="176">
        <v>2368380.1898589036</v>
      </c>
      <c r="K45" s="168">
        <v>0.29112634317672054</v>
      </c>
      <c r="L45" s="176">
        <v>5730365.3346687928</v>
      </c>
      <c r="P45" s="176">
        <f>VAC_Optim_Scenario!$H38</f>
        <v>1800000</v>
      </c>
      <c r="Q45" s="168">
        <f t="shared" si="25"/>
        <v>2.7984009137635636E-2</v>
      </c>
      <c r="R45" s="176">
        <f>VAC_Optim_Scenario!$J38</f>
        <v>5471848.3801533533</v>
      </c>
    </row>
    <row r="46" spans="2:18" hidden="1" x14ac:dyDescent="0.25">
      <c r="B46" s="175" t="str">
        <f t="shared" si="24"/>
        <v>HCC Online Video</v>
      </c>
      <c r="C46" s="176">
        <f t="shared" si="24"/>
        <v>1111779.04</v>
      </c>
      <c r="D46" s="176">
        <f t="shared" si="24"/>
        <v>4890750.4826741321</v>
      </c>
      <c r="E46" s="176"/>
      <c r="F46" s="176"/>
      <c r="G46" s="168"/>
      <c r="H46" s="176"/>
      <c r="I46" s="176"/>
      <c r="J46" s="176">
        <v>1200000</v>
      </c>
      <c r="K46" s="168">
        <v>-0.65337954939341425</v>
      </c>
      <c r="L46" s="176">
        <v>1551024.0419922816</v>
      </c>
      <c r="P46" s="176">
        <f>VAC_Optim_Scenario!$H39</f>
        <v>1100000</v>
      </c>
      <c r="Q46" s="168">
        <f t="shared" si="25"/>
        <v>-1.0594767104082154E-2</v>
      </c>
      <c r="R46" s="176">
        <f>VAC_Optim_Scenario!$J39</f>
        <v>4854627.720414157</v>
      </c>
    </row>
    <row r="47" spans="2:18" hidden="1" x14ac:dyDescent="0.25">
      <c r="B47" s="175" t="str">
        <f t="shared" si="24"/>
        <v>HCC Streaming Video</v>
      </c>
      <c r="C47" s="176">
        <f t="shared" si="24"/>
        <v>13418576</v>
      </c>
      <c r="D47" s="176">
        <f t="shared" si="24"/>
        <v>22776633.092457965</v>
      </c>
      <c r="E47" s="176"/>
      <c r="F47" s="176"/>
      <c r="G47" s="168"/>
      <c r="H47" s="176"/>
      <c r="I47" s="176"/>
      <c r="J47" s="176">
        <v>7932686.9382044151</v>
      </c>
      <c r="K47" s="168">
        <v>-0.49321739045244606</v>
      </c>
      <c r="L47" s="176">
        <v>4575561.4853431694</v>
      </c>
      <c r="P47" s="176">
        <f>VAC_Optim_Scenario!$H40</f>
        <v>9400000</v>
      </c>
      <c r="Q47" s="168">
        <f t="shared" si="25"/>
        <v>-0.29947857358336682</v>
      </c>
      <c r="R47" s="176">
        <f>VAC_Optim_Scenario!$J40</f>
        <v>17753521.979413368</v>
      </c>
    </row>
    <row r="48" spans="2:18" hidden="1" x14ac:dyDescent="0.25">
      <c r="B48" s="175" t="str">
        <f t="shared" si="24"/>
        <v>HCC Display</v>
      </c>
      <c r="C48" s="176">
        <f t="shared" si="24"/>
        <v>2859426.82</v>
      </c>
      <c r="D48" s="176">
        <f t="shared" si="24"/>
        <v>17186128.903236553</v>
      </c>
      <c r="E48" s="176"/>
      <c r="F48" s="176"/>
      <c r="G48" s="168"/>
      <c r="H48" s="176"/>
      <c r="I48" s="176"/>
      <c r="J48" s="176">
        <v>3440655.137442824</v>
      </c>
      <c r="K48" s="168">
        <v>0.45170911999417063</v>
      </c>
      <c r="L48" s="176">
        <v>13611226.904425433</v>
      </c>
      <c r="P48" s="176">
        <f>VAC_Optim_Scenario!$H41</f>
        <v>2900000</v>
      </c>
      <c r="Q48" s="168">
        <f t="shared" si="25"/>
        <v>1.4189270281797305E-2</v>
      </c>
      <c r="R48" s="176">
        <f>VAC_Optim_Scenario!$J41</f>
        <v>17332031.585250624</v>
      </c>
    </row>
    <row r="49" spans="2:18" hidden="1" x14ac:dyDescent="0.25">
      <c r="B49" s="175" t="str">
        <f t="shared" si="24"/>
        <v>HCC Paid Search</v>
      </c>
      <c r="C49" s="176">
        <f t="shared" si="24"/>
        <v>50000</v>
      </c>
      <c r="D49" s="176">
        <f t="shared" si="24"/>
        <v>6809106.9964962909</v>
      </c>
      <c r="E49" s="176"/>
      <c r="F49" s="176"/>
      <c r="G49" s="168"/>
      <c r="H49" s="176"/>
      <c r="I49" s="176"/>
      <c r="J49" s="176">
        <v>600000.00004973984</v>
      </c>
      <c r="K49" s="168">
        <v>-0.49999999995855016</v>
      </c>
      <c r="L49" s="176">
        <v>434151.34268040024</v>
      </c>
      <c r="P49" s="176">
        <f>VAC_Optim_Scenario!$H42</f>
        <v>150000</v>
      </c>
      <c r="Q49" s="168">
        <f t="shared" si="25"/>
        <v>2</v>
      </c>
      <c r="R49" s="176">
        <f>VAC_Optim_Scenario!$J42</f>
        <v>14691800.990400117</v>
      </c>
    </row>
    <row r="50" spans="2:18" hidden="1" x14ac:dyDescent="0.25">
      <c r="B50" s="175" t="str">
        <f t="shared" si="24"/>
        <v>HCC Radio</v>
      </c>
      <c r="C50" s="176">
        <f t="shared" si="24"/>
        <v>923975</v>
      </c>
      <c r="D50" s="176">
        <f t="shared" si="24"/>
        <v>6005837.5</v>
      </c>
      <c r="E50" s="176"/>
      <c r="F50" s="176"/>
      <c r="G50" s="168"/>
      <c r="H50" s="176"/>
      <c r="I50" s="176"/>
      <c r="J50" s="176">
        <v>900000</v>
      </c>
      <c r="K50" s="168" t="s">
        <v>243</v>
      </c>
      <c r="L50" s="176">
        <v>6550890.6021728441</v>
      </c>
      <c r="P50" s="176">
        <f>VAC_Optim_Scenario!$H43</f>
        <v>664416.83994363551</v>
      </c>
      <c r="Q50" s="168">
        <f>IFERROR((P50-$C50)/$C50,"")</f>
        <v>-0.28091470013405612</v>
      </c>
      <c r="R50" s="176">
        <f>VAC_Optim_Scenario!$J43</f>
        <v>4927672.3570118472</v>
      </c>
    </row>
    <row r="51" spans="2:18" hidden="1" x14ac:dyDescent="0.25">
      <c r="B51" s="175" t="str">
        <f t="shared" si="24"/>
        <v>HCC Linear TV</v>
      </c>
      <c r="C51" s="176">
        <f t="shared" si="24"/>
        <v>25810928.600000001</v>
      </c>
      <c r="D51" s="176">
        <f t="shared" si="24"/>
        <v>38072697.978218496</v>
      </c>
      <c r="E51" s="176"/>
      <c r="F51" s="176"/>
      <c r="G51" s="168"/>
      <c r="H51" s="176"/>
      <c r="I51" s="176"/>
      <c r="J51" s="176">
        <v>18647619.061795581</v>
      </c>
      <c r="K51" s="168">
        <v>-0.33479099668610202</v>
      </c>
      <c r="L51" s="176">
        <v>19945328.658740945</v>
      </c>
      <c r="P51" s="176">
        <f>VAC_Optim_Scenario!$H44</f>
        <v>28089210.840000004</v>
      </c>
      <c r="Q51" s="168">
        <f t="shared" si="25"/>
        <v>8.8268123759018963E-2</v>
      </c>
      <c r="R51" s="176">
        <f>VAC_Optim_Scenario!$J44</f>
        <v>40395109.493891343</v>
      </c>
    </row>
    <row r="52" spans="2:18" hidden="1" x14ac:dyDescent="0.25">
      <c r="B52" s="175" t="str">
        <f t="shared" si="24"/>
        <v>HCC Pharmacy</v>
      </c>
      <c r="C52" s="176">
        <f t="shared" si="24"/>
        <v>2411968</v>
      </c>
      <c r="D52" s="176">
        <f t="shared" si="24"/>
        <v>4113447.783876779</v>
      </c>
      <c r="E52" s="176"/>
      <c r="F52" s="176"/>
      <c r="G52" s="168"/>
      <c r="H52" s="176"/>
      <c r="I52" s="176"/>
      <c r="J52" s="176">
        <v>1836917.5999999999</v>
      </c>
      <c r="K52" s="168">
        <v>-0.30000000000000004</v>
      </c>
      <c r="L52" s="176">
        <v>3685062.7427258734</v>
      </c>
      <c r="P52" s="176">
        <f>VAC_Optim_Scenario!$H45</f>
        <v>2400000</v>
      </c>
      <c r="Q52" s="168">
        <f t="shared" si="25"/>
        <v>-4.9619232095948207E-3</v>
      </c>
      <c r="R52" s="176">
        <f>VAC_Optim_Scenario!$J45</f>
        <v>4097760.647716294</v>
      </c>
    </row>
    <row r="53" spans="2:18" s="180" customFormat="1" hidden="1" x14ac:dyDescent="0.25">
      <c r="B53" s="303" t="s">
        <v>199</v>
      </c>
      <c r="C53" s="304">
        <f>SUM(C43:C52)</f>
        <v>59976092.18</v>
      </c>
      <c r="D53" s="304">
        <f>SUM(D43:D52)</f>
        <v>172048616.21900794</v>
      </c>
      <c r="E53" s="199"/>
      <c r="F53" s="304">
        <f>SUM(F43:F52)</f>
        <v>0</v>
      </c>
      <c r="G53" s="305">
        <f>(F53-$C$17)/$C$17</f>
        <v>-1</v>
      </c>
      <c r="H53" s="304">
        <f>SUM(H43:H52)</f>
        <v>0</v>
      </c>
      <c r="I53" s="199"/>
      <c r="J53" s="304">
        <f>SUM(J43:J52)</f>
        <v>48930792.75</v>
      </c>
      <c r="K53" s="305">
        <f>(J53-$C$53)/$C$53</f>
        <v>-0.18416170558179903</v>
      </c>
      <c r="L53" s="304">
        <f>SUM(L43:L52)</f>
        <v>123495154.54556742</v>
      </c>
    </row>
    <row r="54" spans="2:18" hidden="1" x14ac:dyDescent="0.25">
      <c r="D54" s="97">
        <f>D53/C53</f>
        <v>2.8686199778181005</v>
      </c>
    </row>
    <row r="55" spans="2:18" hidden="1" x14ac:dyDescent="0.25"/>
    <row r="56" spans="2:18" ht="27.6" hidden="1" customHeight="1" x14ac:dyDescent="0.25">
      <c r="F56" s="438" t="str">
        <f>B38</f>
        <v>Optimal channel spend allowed to vary between constraints defined by marketing team &amp; INI of the 2021 channel spend - LINEAR TV and Streaming TV constraints modified</v>
      </c>
      <c r="G56" s="438"/>
      <c r="H56" s="438"/>
      <c r="I56" s="438"/>
    </row>
    <row r="57" spans="2:18" hidden="1" x14ac:dyDescent="0.25">
      <c r="C57" s="443" t="s">
        <v>223</v>
      </c>
      <c r="D57" s="444"/>
      <c r="E57" s="180"/>
      <c r="F57" s="429" t="str">
        <f>F41</f>
        <v>Current Optimal ($MM)</v>
      </c>
      <c r="G57" s="430"/>
      <c r="H57" s="431"/>
      <c r="I57" s="181"/>
      <c r="J57" s="429" t="str">
        <f>J41</f>
        <v>25% reduction optimal ()</v>
      </c>
      <c r="K57" s="430"/>
      <c r="L57" s="431"/>
    </row>
    <row r="58" spans="2:18" ht="30" hidden="1" x14ac:dyDescent="0.25">
      <c r="B58" s="173" t="s">
        <v>194</v>
      </c>
      <c r="C58" s="183" t="s">
        <v>203</v>
      </c>
      <c r="D58" s="183" t="s">
        <v>201</v>
      </c>
      <c r="E58" s="184"/>
      <c r="F58" s="205" t="s">
        <v>203</v>
      </c>
      <c r="G58" s="183" t="s">
        <v>197</v>
      </c>
      <c r="H58" s="185" t="s">
        <v>198</v>
      </c>
      <c r="I58" s="184"/>
      <c r="J58" s="205" t="s">
        <v>203</v>
      </c>
      <c r="K58" s="183" t="s">
        <v>197</v>
      </c>
      <c r="L58" s="185" t="s">
        <v>198</v>
      </c>
    </row>
    <row r="59" spans="2:18" hidden="1" x14ac:dyDescent="0.25">
      <c r="B59" s="175" t="str">
        <f>B43</f>
        <v>HCC InOffice</v>
      </c>
      <c r="C59" s="186">
        <f t="shared" ref="C59:D59" si="26">C43/1000000</f>
        <v>1.1347100000000001</v>
      </c>
      <c r="D59" s="187">
        <f t="shared" si="26"/>
        <v>1.6646957827721967</v>
      </c>
      <c r="E59" s="188"/>
      <c r="F59" s="189">
        <f t="shared" ref="F59:F68" si="27">F43/1000000</f>
        <v>0</v>
      </c>
      <c r="G59" s="190">
        <f t="shared" ref="G59:G68" si="28">G43</f>
        <v>0</v>
      </c>
      <c r="H59" s="191">
        <f t="shared" ref="H59:H68" si="29">H43/1000000</f>
        <v>0</v>
      </c>
      <c r="I59" s="188"/>
      <c r="J59" s="189">
        <f t="shared" ref="J59:J68" si="30">J43/1000000</f>
        <v>1.7268866554235087</v>
      </c>
      <c r="K59" s="190">
        <f t="shared" ref="K59:K68" si="31">K43</f>
        <v>0.15125777028233914</v>
      </c>
      <c r="L59" s="191">
        <f t="shared" ref="L59:L68" si="32">L43/1000000</f>
        <v>3.7899412960206438</v>
      </c>
    </row>
    <row r="60" spans="2:18" hidden="1" x14ac:dyDescent="0.25">
      <c r="B60" s="175" t="str">
        <f t="shared" ref="B60:B68" si="33">B44</f>
        <v>HCP MCM</v>
      </c>
      <c r="C60" s="186">
        <f t="shared" ref="C60:D60" si="34">C44/1000000</f>
        <v>10.503728719999998</v>
      </c>
      <c r="D60" s="187">
        <f t="shared" si="34"/>
        <v>65.147335716204537</v>
      </c>
      <c r="E60" s="188"/>
      <c r="F60" s="193">
        <f t="shared" si="27"/>
        <v>0</v>
      </c>
      <c r="G60" s="194">
        <f t="shared" si="28"/>
        <v>0</v>
      </c>
      <c r="H60" s="195">
        <f t="shared" si="29"/>
        <v>0</v>
      </c>
      <c r="I60" s="188"/>
      <c r="J60" s="193">
        <f t="shared" si="30"/>
        <v>10.277647167225027</v>
      </c>
      <c r="K60" s="194">
        <f t="shared" si="31"/>
        <v>0.1999999961732519</v>
      </c>
      <c r="L60" s="195">
        <f t="shared" si="32"/>
        <v>63.621602136797044</v>
      </c>
    </row>
    <row r="61" spans="2:18" hidden="1" x14ac:dyDescent="0.25">
      <c r="B61" s="175" t="str">
        <f t="shared" si="33"/>
        <v>HCC Social</v>
      </c>
      <c r="C61" s="186">
        <f t="shared" ref="C61:D61" si="35">C45/1000000</f>
        <v>1.7509999999999999</v>
      </c>
      <c r="D61" s="187">
        <f t="shared" si="35"/>
        <v>5.3819819830709781</v>
      </c>
      <c r="E61" s="188"/>
      <c r="F61" s="193">
        <f t="shared" si="27"/>
        <v>0</v>
      </c>
      <c r="G61" s="194">
        <f t="shared" si="28"/>
        <v>0</v>
      </c>
      <c r="H61" s="195">
        <f t="shared" si="29"/>
        <v>0</v>
      </c>
      <c r="I61" s="188"/>
      <c r="J61" s="193">
        <f t="shared" si="30"/>
        <v>2.3683801898589039</v>
      </c>
      <c r="K61" s="194">
        <f t="shared" si="31"/>
        <v>0.29112634317672054</v>
      </c>
      <c r="L61" s="195">
        <f t="shared" si="32"/>
        <v>5.7303653346687931</v>
      </c>
    </row>
    <row r="62" spans="2:18" hidden="1" x14ac:dyDescent="0.25">
      <c r="B62" s="175" t="str">
        <f t="shared" si="33"/>
        <v>HCC Online Video</v>
      </c>
      <c r="C62" s="186">
        <f t="shared" ref="C62:D62" si="36">C46/1000000</f>
        <v>1.1117790400000001</v>
      </c>
      <c r="D62" s="187">
        <f t="shared" si="36"/>
        <v>4.8907504826741324</v>
      </c>
      <c r="E62" s="188"/>
      <c r="F62" s="193">
        <f t="shared" si="27"/>
        <v>0</v>
      </c>
      <c r="G62" s="194">
        <f t="shared" si="28"/>
        <v>0</v>
      </c>
      <c r="H62" s="195">
        <f t="shared" si="29"/>
        <v>0</v>
      </c>
      <c r="I62" s="188"/>
      <c r="J62" s="193">
        <f t="shared" si="30"/>
        <v>1.2</v>
      </c>
      <c r="K62" s="194">
        <f t="shared" si="31"/>
        <v>-0.65337954939341425</v>
      </c>
      <c r="L62" s="195">
        <f t="shared" si="32"/>
        <v>1.5510240419922816</v>
      </c>
    </row>
    <row r="63" spans="2:18" hidden="1" x14ac:dyDescent="0.25">
      <c r="B63" s="175" t="str">
        <f t="shared" si="33"/>
        <v>HCC Streaming Video</v>
      </c>
      <c r="C63" s="186">
        <f t="shared" ref="C63:D63" si="37">C47/1000000</f>
        <v>13.418576</v>
      </c>
      <c r="D63" s="187">
        <f t="shared" si="37"/>
        <v>22.776633092457963</v>
      </c>
      <c r="E63" s="188"/>
      <c r="F63" s="193">
        <f t="shared" si="27"/>
        <v>0</v>
      </c>
      <c r="G63" s="194">
        <f t="shared" si="28"/>
        <v>0</v>
      </c>
      <c r="H63" s="195">
        <f t="shared" si="29"/>
        <v>0</v>
      </c>
      <c r="I63" s="188"/>
      <c r="J63" s="193">
        <f t="shared" si="30"/>
        <v>7.932686938204415</v>
      </c>
      <c r="K63" s="194">
        <f t="shared" si="31"/>
        <v>-0.49321739045244606</v>
      </c>
      <c r="L63" s="195">
        <f t="shared" si="32"/>
        <v>4.5755614853431696</v>
      </c>
    </row>
    <row r="64" spans="2:18" hidden="1" x14ac:dyDescent="0.25">
      <c r="B64" s="175" t="str">
        <f t="shared" si="33"/>
        <v>HCC Display</v>
      </c>
      <c r="C64" s="186">
        <f t="shared" ref="C64:D64" si="38">C48/1000000</f>
        <v>2.8594268199999999</v>
      </c>
      <c r="D64" s="187">
        <f t="shared" si="38"/>
        <v>17.186128903236554</v>
      </c>
      <c r="E64" s="188"/>
      <c r="F64" s="193">
        <f t="shared" si="27"/>
        <v>0</v>
      </c>
      <c r="G64" s="194">
        <f t="shared" si="28"/>
        <v>0</v>
      </c>
      <c r="H64" s="195">
        <f t="shared" si="29"/>
        <v>0</v>
      </c>
      <c r="I64" s="188"/>
      <c r="J64" s="193">
        <f t="shared" si="30"/>
        <v>3.4406551374428238</v>
      </c>
      <c r="K64" s="194">
        <f t="shared" si="31"/>
        <v>0.45170911999417063</v>
      </c>
      <c r="L64" s="195">
        <f t="shared" si="32"/>
        <v>13.611226904425433</v>
      </c>
    </row>
    <row r="65" spans="2:12" hidden="1" x14ac:dyDescent="0.25">
      <c r="B65" s="175" t="str">
        <f t="shared" si="33"/>
        <v>HCC Paid Search</v>
      </c>
      <c r="C65" s="186">
        <f t="shared" ref="C65:D65" si="39">C49/1000000</f>
        <v>0.05</v>
      </c>
      <c r="D65" s="187">
        <f t="shared" si="39"/>
        <v>6.8091069964962907</v>
      </c>
      <c r="E65" s="188"/>
      <c r="F65" s="193">
        <f t="shared" si="27"/>
        <v>0</v>
      </c>
      <c r="G65" s="194">
        <f t="shared" si="28"/>
        <v>0</v>
      </c>
      <c r="H65" s="195">
        <f t="shared" si="29"/>
        <v>0</v>
      </c>
      <c r="I65" s="188"/>
      <c r="J65" s="193">
        <f t="shared" si="30"/>
        <v>0.60000000004973986</v>
      </c>
      <c r="K65" s="194">
        <f t="shared" si="31"/>
        <v>-0.49999999995855016</v>
      </c>
      <c r="L65" s="195">
        <f t="shared" si="32"/>
        <v>0.43415134268040023</v>
      </c>
    </row>
    <row r="66" spans="2:12" hidden="1" x14ac:dyDescent="0.25">
      <c r="B66" s="175" t="str">
        <f t="shared" si="33"/>
        <v>HCC Radio</v>
      </c>
      <c r="C66" s="186">
        <f t="shared" ref="C66:D66" si="40">C50/1000000</f>
        <v>0.92397499999999999</v>
      </c>
      <c r="D66" s="187">
        <f t="shared" si="40"/>
        <v>6.0058375000000002</v>
      </c>
      <c r="E66" s="188"/>
      <c r="F66" s="193">
        <f t="shared" si="27"/>
        <v>0</v>
      </c>
      <c r="G66" s="194">
        <f t="shared" si="28"/>
        <v>0</v>
      </c>
      <c r="H66" s="195">
        <f t="shared" si="29"/>
        <v>0</v>
      </c>
      <c r="I66" s="188"/>
      <c r="J66" s="193">
        <f t="shared" si="30"/>
        <v>0.9</v>
      </c>
      <c r="K66" s="194"/>
      <c r="L66" s="195">
        <f t="shared" si="32"/>
        <v>6.5508906021728439</v>
      </c>
    </row>
    <row r="67" spans="2:12" hidden="1" x14ac:dyDescent="0.25">
      <c r="B67" s="175" t="str">
        <f t="shared" si="33"/>
        <v>HCC Linear TV</v>
      </c>
      <c r="C67" s="186">
        <f t="shared" ref="C67:D67" si="41">C51/1000000</f>
        <v>25.8109286</v>
      </c>
      <c r="D67" s="187">
        <f t="shared" si="41"/>
        <v>38.072697978218493</v>
      </c>
      <c r="E67" s="188"/>
      <c r="F67" s="306">
        <f t="shared" si="27"/>
        <v>0</v>
      </c>
      <c r="G67" s="307">
        <f t="shared" si="28"/>
        <v>0</v>
      </c>
      <c r="H67" s="308">
        <f t="shared" si="29"/>
        <v>0</v>
      </c>
      <c r="I67" s="188"/>
      <c r="J67" s="306">
        <f t="shared" si="30"/>
        <v>18.647619061795581</v>
      </c>
      <c r="K67" s="307">
        <f t="shared" si="31"/>
        <v>-0.33479099668610202</v>
      </c>
      <c r="L67" s="308">
        <f t="shared" si="32"/>
        <v>19.945328658740944</v>
      </c>
    </row>
    <row r="68" spans="2:12" hidden="1" x14ac:dyDescent="0.25">
      <c r="B68" s="175" t="str">
        <f t="shared" si="33"/>
        <v>HCC Pharmacy</v>
      </c>
      <c r="C68" s="186">
        <f t="shared" ref="C68:D68" si="42">C52/1000000</f>
        <v>2.4119679999999999</v>
      </c>
      <c r="D68" s="187">
        <f t="shared" si="42"/>
        <v>4.1134477838767793</v>
      </c>
      <c r="E68" s="188"/>
      <c r="F68" s="306">
        <f t="shared" si="27"/>
        <v>0</v>
      </c>
      <c r="G68" s="307">
        <f t="shared" si="28"/>
        <v>0</v>
      </c>
      <c r="H68" s="308">
        <f t="shared" si="29"/>
        <v>0</v>
      </c>
      <c r="I68" s="188"/>
      <c r="J68" s="306">
        <f t="shared" si="30"/>
        <v>1.8369175999999998</v>
      </c>
      <c r="K68" s="307">
        <f t="shared" si="31"/>
        <v>-0.30000000000000004</v>
      </c>
      <c r="L68" s="308">
        <f t="shared" si="32"/>
        <v>3.6850627427258735</v>
      </c>
    </row>
    <row r="69" spans="2:12" hidden="1" x14ac:dyDescent="0.25">
      <c r="B69" s="196" t="s">
        <v>199</v>
      </c>
      <c r="C69" s="197">
        <f>C53/1000000</f>
        <v>59.976092180000002</v>
      </c>
      <c r="D69" s="198">
        <f t="shared" ref="D69" si="43">D53/1000000</f>
        <v>172.04861621900793</v>
      </c>
      <c r="E69" s="199"/>
      <c r="F69" s="200">
        <f t="shared" ref="F69" si="44">F53/1000000</f>
        <v>0</v>
      </c>
      <c r="G69" s="201">
        <f>G53</f>
        <v>-1</v>
      </c>
      <c r="H69" s="202">
        <f t="shared" ref="H69" si="45">H53/1000000</f>
        <v>0</v>
      </c>
      <c r="I69" s="199"/>
      <c r="J69" s="200">
        <f t="shared" ref="J69" si="46">J53/1000000</f>
        <v>48.930792750000002</v>
      </c>
      <c r="K69" s="201">
        <f>K53</f>
        <v>-0.18416170558179903</v>
      </c>
      <c r="L69" s="202">
        <f t="shared" ref="L69" si="47">L53/1000000</f>
        <v>123.49515454556742</v>
      </c>
    </row>
    <row r="70" spans="2:12" hidden="1" x14ac:dyDescent="0.25">
      <c r="B70" s="196" t="s">
        <v>202</v>
      </c>
      <c r="C70" s="197"/>
      <c r="D70" s="198"/>
      <c r="E70" s="199"/>
      <c r="F70" s="200"/>
      <c r="G70" s="201"/>
      <c r="H70" s="203"/>
      <c r="I70" s="199"/>
      <c r="J70" s="200"/>
      <c r="K70" s="201"/>
      <c r="L70" s="270" t="s">
        <v>244</v>
      </c>
    </row>
    <row r="71" spans="2:12" hidden="1" x14ac:dyDescent="0.25">
      <c r="H71" s="206">
        <f>H69-$D$69</f>
        <v>-172.04861621900793</v>
      </c>
      <c r="L71" s="206">
        <f>L69-$D$69</f>
        <v>-48.553461673440509</v>
      </c>
    </row>
    <row r="72" spans="2:12" hidden="1" x14ac:dyDescent="0.25">
      <c r="H72" s="168">
        <f>H71/$D$69</f>
        <v>-1</v>
      </c>
      <c r="I72" s="166"/>
      <c r="J72" s="166"/>
      <c r="K72" s="166"/>
      <c r="L72" s="97">
        <f>L71/D69</f>
        <v>-0.28220780114636179</v>
      </c>
    </row>
    <row r="78" spans="2:12" ht="15" customHeight="1" x14ac:dyDescent="0.25">
      <c r="C78" s="441" t="s">
        <v>266</v>
      </c>
      <c r="D78" s="442"/>
      <c r="E78" s="180"/>
      <c r="F78" s="429">
        <f>F62</f>
        <v>0</v>
      </c>
      <c r="G78" s="430"/>
      <c r="H78" s="431"/>
    </row>
    <row r="79" spans="2:12" ht="30" x14ac:dyDescent="0.25">
      <c r="B79" s="173" t="s">
        <v>194</v>
      </c>
      <c r="C79" s="182" t="s">
        <v>200</v>
      </c>
      <c r="D79" s="183" t="s">
        <v>201</v>
      </c>
      <c r="E79" s="184"/>
      <c r="F79" s="205" t="s">
        <v>203</v>
      </c>
      <c r="G79" s="183" t="s">
        <v>197</v>
      </c>
      <c r="H79" s="185" t="s">
        <v>198</v>
      </c>
    </row>
    <row r="80" spans="2:12" x14ac:dyDescent="0.25">
      <c r="B80" s="175" t="str">
        <f t="shared" ref="B80:B89" si="48">B64</f>
        <v>HCC Display</v>
      </c>
      <c r="C80" s="186">
        <f>C64/1000000</f>
        <v>2.85942682E-6</v>
      </c>
      <c r="D80" s="271">
        <f>D64/1000000</f>
        <v>1.7186128903236553E-5</v>
      </c>
      <c r="E80" s="188"/>
      <c r="F80" s="189">
        <f t="shared" ref="F80:F90" si="49">F64/1000000</f>
        <v>0</v>
      </c>
      <c r="G80" s="190">
        <f>IFERROR(G64,"")</f>
        <v>0</v>
      </c>
      <c r="H80" s="267">
        <f t="shared" ref="H80:H89" si="50">H64/1000000</f>
        <v>0</v>
      </c>
    </row>
    <row r="81" spans="2:8" x14ac:dyDescent="0.25">
      <c r="B81" s="175" t="str">
        <f t="shared" si="48"/>
        <v>HCC Paid Search</v>
      </c>
      <c r="C81" s="192">
        <f t="shared" ref="C81:D81" si="51">C65/1000000</f>
        <v>5.0000000000000004E-8</v>
      </c>
      <c r="D81" s="272">
        <f t="shared" si="51"/>
        <v>6.8091069964962903E-6</v>
      </c>
      <c r="E81" s="188"/>
      <c r="F81" s="193">
        <f t="shared" si="49"/>
        <v>0</v>
      </c>
      <c r="G81" s="194">
        <f t="shared" ref="G81:G89" si="52">IFERROR(G65,"")</f>
        <v>0</v>
      </c>
      <c r="H81" s="268">
        <f t="shared" si="50"/>
        <v>0</v>
      </c>
    </row>
    <row r="82" spans="2:8" x14ac:dyDescent="0.25">
      <c r="B82" s="175" t="str">
        <f t="shared" si="48"/>
        <v>HCC Radio</v>
      </c>
      <c r="C82" s="192">
        <f t="shared" ref="C82:D82" si="53">C66/1000000</f>
        <v>9.2397500000000001E-7</v>
      </c>
      <c r="D82" s="272">
        <f t="shared" si="53"/>
        <v>6.0058375000000002E-6</v>
      </c>
      <c r="E82" s="188"/>
      <c r="F82" s="193">
        <f t="shared" si="49"/>
        <v>0</v>
      </c>
      <c r="G82" s="194">
        <f t="shared" si="52"/>
        <v>0</v>
      </c>
      <c r="H82" s="268">
        <f t="shared" si="50"/>
        <v>0</v>
      </c>
    </row>
    <row r="83" spans="2:8" x14ac:dyDescent="0.25">
      <c r="B83" s="175" t="str">
        <f t="shared" si="48"/>
        <v>HCC Linear TV</v>
      </c>
      <c r="C83" s="192">
        <f t="shared" ref="C83:D83" si="54">C67/1000000</f>
        <v>2.58109286E-5</v>
      </c>
      <c r="D83" s="272">
        <f t="shared" si="54"/>
        <v>3.8072697978218494E-5</v>
      </c>
      <c r="E83" s="188"/>
      <c r="F83" s="193">
        <f t="shared" si="49"/>
        <v>0</v>
      </c>
      <c r="G83" s="194">
        <f t="shared" si="52"/>
        <v>0</v>
      </c>
      <c r="H83" s="268">
        <f t="shared" si="50"/>
        <v>0</v>
      </c>
    </row>
    <row r="84" spans="2:8" x14ac:dyDescent="0.25">
      <c r="B84" s="175" t="str">
        <f t="shared" si="48"/>
        <v>HCC Pharmacy</v>
      </c>
      <c r="C84" s="192">
        <f t="shared" ref="C84:D84" si="55">C68/1000000</f>
        <v>2.4119679999999999E-6</v>
      </c>
      <c r="D84" s="272">
        <f t="shared" si="55"/>
        <v>4.1134477838767796E-6</v>
      </c>
      <c r="E84" s="188"/>
      <c r="F84" s="193">
        <f t="shared" si="49"/>
        <v>0</v>
      </c>
      <c r="G84" s="326">
        <f t="shared" si="52"/>
        <v>0</v>
      </c>
      <c r="H84" s="268">
        <f t="shared" si="50"/>
        <v>0</v>
      </c>
    </row>
    <row r="85" spans="2:8" x14ac:dyDescent="0.25">
      <c r="B85" s="175" t="str">
        <f t="shared" si="48"/>
        <v>Total InScope Budget</v>
      </c>
      <c r="C85" s="192">
        <f t="shared" ref="C85:D85" si="56">C69/1000000</f>
        <v>5.9976092180000005E-5</v>
      </c>
      <c r="D85" s="272">
        <f t="shared" si="56"/>
        <v>1.7204861621900793E-4</v>
      </c>
      <c r="E85" s="188"/>
      <c r="F85" s="193">
        <f t="shared" si="49"/>
        <v>0</v>
      </c>
      <c r="G85" s="326">
        <f t="shared" si="52"/>
        <v>-1</v>
      </c>
      <c r="H85" s="268">
        <f t="shared" si="50"/>
        <v>0</v>
      </c>
    </row>
    <row r="86" spans="2:8" x14ac:dyDescent="0.25">
      <c r="B86" s="175" t="str">
        <f t="shared" si="48"/>
        <v>Δ Pre-tax Revenue</v>
      </c>
      <c r="C86" s="192">
        <f t="shared" ref="C86:D86" si="57">C70/1000000</f>
        <v>0</v>
      </c>
      <c r="D86" s="272">
        <f t="shared" si="57"/>
        <v>0</v>
      </c>
      <c r="E86" s="188"/>
      <c r="F86" s="193">
        <f t="shared" si="49"/>
        <v>0</v>
      </c>
      <c r="G86" s="194">
        <f t="shared" si="52"/>
        <v>0</v>
      </c>
      <c r="H86" s="268">
        <f t="shared" si="50"/>
        <v>0</v>
      </c>
    </row>
    <row r="87" spans="2:8" x14ac:dyDescent="0.25">
      <c r="B87" s="175">
        <f t="shared" si="48"/>
        <v>0</v>
      </c>
      <c r="C87" s="192">
        <f t="shared" ref="C87:D87" si="58">C71/1000000</f>
        <v>0</v>
      </c>
      <c r="D87" s="272">
        <f t="shared" si="58"/>
        <v>0</v>
      </c>
      <c r="E87" s="188"/>
      <c r="F87" s="193">
        <f t="shared" si="49"/>
        <v>0</v>
      </c>
      <c r="G87" s="194">
        <f t="shared" si="52"/>
        <v>0</v>
      </c>
      <c r="H87" s="268">
        <f t="shared" si="50"/>
        <v>-1.7204861621900793E-4</v>
      </c>
    </row>
    <row r="88" spans="2:8" x14ac:dyDescent="0.25">
      <c r="B88" s="175">
        <f t="shared" si="48"/>
        <v>0</v>
      </c>
      <c r="C88" s="192">
        <f t="shared" ref="C88:D88" si="59">C72/1000000</f>
        <v>0</v>
      </c>
      <c r="D88" s="272">
        <f t="shared" si="59"/>
        <v>0</v>
      </c>
      <c r="E88" s="188"/>
      <c r="F88" s="193">
        <f t="shared" si="49"/>
        <v>0</v>
      </c>
      <c r="G88" s="194">
        <f t="shared" si="52"/>
        <v>0</v>
      </c>
      <c r="H88" s="268">
        <f t="shared" si="50"/>
        <v>-9.9999999999999995E-7</v>
      </c>
    </row>
    <row r="89" spans="2:8" x14ac:dyDescent="0.25">
      <c r="B89" s="175">
        <f t="shared" si="48"/>
        <v>0</v>
      </c>
      <c r="C89" s="192">
        <f t="shared" ref="C89:D89" si="60">C73/1000000</f>
        <v>0</v>
      </c>
      <c r="D89" s="272">
        <f t="shared" si="60"/>
        <v>0</v>
      </c>
      <c r="E89" s="188"/>
      <c r="F89" s="193">
        <f t="shared" si="49"/>
        <v>0</v>
      </c>
      <c r="G89" s="194">
        <f t="shared" si="52"/>
        <v>0</v>
      </c>
      <c r="H89" s="268">
        <f t="shared" si="50"/>
        <v>0</v>
      </c>
    </row>
    <row r="90" spans="2:8" x14ac:dyDescent="0.25">
      <c r="B90" s="196" t="s">
        <v>199</v>
      </c>
      <c r="C90" s="197">
        <f>C74/1000000</f>
        <v>0</v>
      </c>
      <c r="D90" s="273">
        <f>D74/1000000</f>
        <v>0</v>
      </c>
      <c r="E90" s="199"/>
      <c r="F90" s="200">
        <f t="shared" si="49"/>
        <v>0</v>
      </c>
      <c r="G90" s="201">
        <f>G74</f>
        <v>0</v>
      </c>
      <c r="H90" s="204">
        <f>H74/1000000</f>
        <v>0</v>
      </c>
    </row>
    <row r="91" spans="2:8" ht="30" x14ac:dyDescent="0.25">
      <c r="B91" s="269" t="s">
        <v>263</v>
      </c>
      <c r="C91" s="197"/>
      <c r="D91" s="198"/>
      <c r="E91" s="199"/>
      <c r="F91" s="200"/>
      <c r="G91" s="201"/>
      <c r="H91" s="270" t="s">
        <v>284</v>
      </c>
    </row>
  </sheetData>
  <mergeCells count="18">
    <mergeCell ref="J57:L57"/>
    <mergeCell ref="B38:L39"/>
    <mergeCell ref="F41:H41"/>
    <mergeCell ref="J41:L41"/>
    <mergeCell ref="N5:P5"/>
    <mergeCell ref="N21:P21"/>
    <mergeCell ref="F56:I56"/>
    <mergeCell ref="F5:H5"/>
    <mergeCell ref="C21:D21"/>
    <mergeCell ref="C78:D78"/>
    <mergeCell ref="F78:H78"/>
    <mergeCell ref="C57:D57"/>
    <mergeCell ref="F57:H57"/>
    <mergeCell ref="J5:L5"/>
    <mergeCell ref="F21:H21"/>
    <mergeCell ref="J21:L21"/>
    <mergeCell ref="F20:P20"/>
    <mergeCell ref="F4:P4"/>
  </mergeCells>
  <conditionalFormatting sqref="G23:G31">
    <cfRule type="cellIs" dxfId="26" priority="45" operator="lessThan">
      <formula>0</formula>
    </cfRule>
    <cfRule type="cellIs" dxfId="25" priority="46" operator="greaterThan">
      <formula>0</formula>
    </cfRule>
  </conditionalFormatting>
  <conditionalFormatting sqref="K23:K29 K31">
    <cfRule type="cellIs" dxfId="24" priority="39" operator="lessThan">
      <formula>0</formula>
    </cfRule>
    <cfRule type="cellIs" dxfId="23" priority="40" operator="greaterThan">
      <formula>0</formula>
    </cfRule>
  </conditionalFormatting>
  <conditionalFormatting sqref="G59:G68">
    <cfRule type="cellIs" dxfId="22" priority="37" operator="lessThan">
      <formula>0</formula>
    </cfRule>
    <cfRule type="cellIs" dxfId="21" priority="38" operator="greaterThan">
      <formula>0</formula>
    </cfRule>
  </conditionalFormatting>
  <conditionalFormatting sqref="O23:O29 O31">
    <cfRule type="cellIs" dxfId="20" priority="29" operator="lessThan">
      <formula>0</formula>
    </cfRule>
    <cfRule type="cellIs" dxfId="19" priority="30" operator="greaterThan">
      <formula>0</formula>
    </cfRule>
  </conditionalFormatting>
  <conditionalFormatting sqref="K59:K68">
    <cfRule type="cellIs" dxfId="18" priority="23" operator="lessThan">
      <formula>0</formula>
    </cfRule>
    <cfRule type="cellIs" dxfId="17" priority="24" operator="greaterThan">
      <formula>0</formula>
    </cfRule>
  </conditionalFormatting>
  <conditionalFormatting sqref="G32">
    <cfRule type="cellIs" dxfId="16" priority="21" operator="lessThan">
      <formula>0</formula>
    </cfRule>
    <cfRule type="cellIs" dxfId="15" priority="22" operator="greaterThan">
      <formula>0</formula>
    </cfRule>
  </conditionalFormatting>
  <conditionalFormatting sqref="K32">
    <cfRule type="cellIs" dxfId="14" priority="15" operator="lessThan">
      <formula>0</formula>
    </cfRule>
    <cfRule type="cellIs" dxfId="13" priority="16" operator="greaterThan">
      <formula>0</formula>
    </cfRule>
  </conditionalFormatting>
  <conditionalFormatting sqref="K30">
    <cfRule type="cellIs" dxfId="12" priority="13" operator="lessThan">
      <formula>0</formula>
    </cfRule>
    <cfRule type="cellIs" dxfId="11" priority="14" operator="greaterThan">
      <formula>0</formula>
    </cfRule>
  </conditionalFormatting>
  <conditionalFormatting sqref="O30">
    <cfRule type="cellIs" dxfId="10" priority="11" operator="lessThan">
      <formula>0</formula>
    </cfRule>
    <cfRule type="cellIs" dxfId="9" priority="12" operator="greaterThan">
      <formula>0</formula>
    </cfRule>
  </conditionalFormatting>
  <conditionalFormatting sqref="O32">
    <cfRule type="cellIs" dxfId="8" priority="9" operator="lessThan">
      <formula>0</formula>
    </cfRule>
    <cfRule type="cellIs" dxfId="7" priority="10" operator="greaterThan">
      <formula>0</formula>
    </cfRule>
  </conditionalFormatting>
  <conditionalFormatting sqref="G80:G88">
    <cfRule type="cellIs" dxfId="6" priority="3" operator="lessThan">
      <formula>0</formula>
    </cfRule>
    <cfRule type="cellIs" dxfId="5" priority="4" operator="greaterThan">
      <formula>0</formula>
    </cfRule>
  </conditionalFormatting>
  <conditionalFormatting sqref="G89">
    <cfRule type="cellIs" dxfId="4" priority="1" operator="lessThan">
      <formula>0</formula>
    </cfRule>
    <cfRule type="cellIs" dxfId="3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zoomScale="90" zoomScaleNormal="90" workbookViewId="0">
      <selection activeCell="B11" sqref="B11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24.5703125" style="1" bestFit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8554687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</row>
    <row r="2" spans="1:15" x14ac:dyDescent="0.2">
      <c r="A2" s="48" t="s">
        <v>76</v>
      </c>
      <c r="B2" s="1" t="s">
        <v>240</v>
      </c>
    </row>
    <row r="3" spans="1:15" x14ac:dyDescent="0.2">
      <c r="A3" s="48" t="s">
        <v>77</v>
      </c>
      <c r="B3" s="1" t="s">
        <v>239</v>
      </c>
    </row>
    <row r="4" spans="1:15" ht="29.1" customHeight="1" x14ac:dyDescent="0.2">
      <c r="A4" s="49" t="s">
        <v>78</v>
      </c>
      <c r="B4" s="450" t="s">
        <v>264</v>
      </c>
      <c r="C4" s="451"/>
      <c r="D4" s="451"/>
      <c r="E4" s="451"/>
      <c r="F4" s="451"/>
      <c r="G4" s="451"/>
      <c r="H4" s="451"/>
      <c r="I4" s="451"/>
    </row>
    <row r="5" spans="1:15" x14ac:dyDescent="0.2">
      <c r="A5" s="48" t="s">
        <v>79</v>
      </c>
      <c r="B5" s="1" t="s">
        <v>127</v>
      </c>
      <c r="E5" s="452" t="s">
        <v>50</v>
      </c>
      <c r="F5" s="453"/>
      <c r="G5" s="453"/>
      <c r="H5" s="453"/>
      <c r="I5" s="454"/>
    </row>
    <row r="6" spans="1:15" x14ac:dyDescent="0.2">
      <c r="A6" s="48" t="s">
        <v>80</v>
      </c>
      <c r="B6" s="1" t="s">
        <v>180</v>
      </c>
      <c r="E6" s="455" t="s">
        <v>51</v>
      </c>
      <c r="F6" s="456"/>
      <c r="G6" s="456"/>
      <c r="H6" s="456"/>
      <c r="I6" s="457"/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822078.46814650402</v>
      </c>
      <c r="K9" s="117"/>
      <c r="O9" s="296"/>
    </row>
    <row r="10" spans="1:15" ht="13.5" thickBot="1" x14ac:dyDescent="0.25">
      <c r="A10" s="50"/>
      <c r="B10" s="1">
        <v>1</v>
      </c>
      <c r="E10" s="1" t="s">
        <v>94</v>
      </c>
    </row>
    <row r="11" spans="1:15" ht="26.25" thickBot="1" x14ac:dyDescent="0.25">
      <c r="A11" s="251" t="s">
        <v>82</v>
      </c>
      <c r="B11" s="248" t="s">
        <v>84</v>
      </c>
      <c r="C11" s="247" t="s">
        <v>97</v>
      </c>
      <c r="D11" s="143" t="s">
        <v>98</v>
      </c>
      <c r="E11" s="247" t="s">
        <v>158</v>
      </c>
      <c r="F11" s="143" t="s">
        <v>159</v>
      </c>
      <c r="M11" s="140"/>
    </row>
    <row r="12" spans="1:15" s="235" customFormat="1" ht="13.5" thickBot="1" x14ac:dyDescent="0.25">
      <c r="A12" s="144" t="s">
        <v>157</v>
      </c>
      <c r="B12" s="145">
        <f>SUM(E17:E26)*B10</f>
        <v>59976092.18</v>
      </c>
      <c r="C12" s="146">
        <f>B12*E12</f>
        <v>0</v>
      </c>
      <c r="D12" s="146">
        <f>B12*F12</f>
        <v>59976092.18</v>
      </c>
      <c r="E12" s="147">
        <v>0</v>
      </c>
      <c r="F12" s="148">
        <v>1</v>
      </c>
      <c r="I12" s="249"/>
      <c r="K12" s="250"/>
      <c r="L12" s="250"/>
    </row>
    <row r="13" spans="1:15" ht="13.5" thickBot="1" x14ac:dyDescent="0.25">
      <c r="L13" s="140">
        <f>G46</f>
        <v>172048616.21900794</v>
      </c>
      <c r="M13" s="113">
        <f>J46</f>
        <v>185740409.09302109</v>
      </c>
    </row>
    <row r="14" spans="1:15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56">
        <v>0.7</v>
      </c>
      <c r="H14" s="256">
        <v>1.3</v>
      </c>
      <c r="I14" s="56" t="s">
        <v>95</v>
      </c>
      <c r="J14" s="56" t="s">
        <v>96</v>
      </c>
    </row>
    <row r="15" spans="1:15" ht="27.75" customHeight="1" x14ac:dyDescent="0.2">
      <c r="A15" s="419" t="s">
        <v>2</v>
      </c>
      <c r="B15" s="421" t="s">
        <v>3</v>
      </c>
      <c r="C15" s="421" t="s">
        <v>38</v>
      </c>
      <c r="D15" s="421" t="s">
        <v>128</v>
      </c>
      <c r="E15" s="458" t="s">
        <v>86</v>
      </c>
      <c r="F15" s="460"/>
      <c r="G15" s="422" t="s">
        <v>131</v>
      </c>
      <c r="H15" s="423"/>
      <c r="I15" s="422" t="s">
        <v>89</v>
      </c>
      <c r="J15" s="423"/>
      <c r="K15" s="458" t="s">
        <v>90</v>
      </c>
      <c r="L15" s="459"/>
      <c r="M15" s="459"/>
      <c r="N15" s="460"/>
    </row>
    <row r="16" spans="1:15" ht="25.5" x14ac:dyDescent="0.2">
      <c r="A16" s="420"/>
      <c r="B16" s="420"/>
      <c r="C16" s="420"/>
      <c r="D16" s="420"/>
      <c r="E16" s="78" t="s">
        <v>149</v>
      </c>
      <c r="F16" s="78" t="s">
        <v>178</v>
      </c>
      <c r="G16" s="78" t="s">
        <v>87</v>
      </c>
      <c r="H16" s="327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</row>
    <row r="17" spans="1:24" x14ac:dyDescent="0.2">
      <c r="A17" s="252" t="s">
        <v>229</v>
      </c>
      <c r="B17" s="274" t="s">
        <v>234</v>
      </c>
      <c r="C17" s="54" t="s">
        <v>129</v>
      </c>
      <c r="D17" s="298">
        <v>1</v>
      </c>
      <c r="E17" s="285">
        <v>1134710</v>
      </c>
      <c r="F17" s="281">
        <f>GINOFF!I9</f>
        <v>7367.8666140222922</v>
      </c>
      <c r="G17" s="328">
        <v>900000</v>
      </c>
      <c r="H17" s="285">
        <v>1100000</v>
      </c>
      <c r="I17" s="329">
        <v>900000</v>
      </c>
      <c r="J17" s="283">
        <f>GINOFF!F9</f>
        <v>6242.5057294806466</v>
      </c>
      <c r="K17" s="292">
        <f>I17-E17</f>
        <v>-234710</v>
      </c>
      <c r="L17" s="288">
        <f>J17-F17</f>
        <v>-1125.3608845416456</v>
      </c>
      <c r="M17" s="289">
        <f>K17/E17</f>
        <v>-0.20684580201108654</v>
      </c>
      <c r="N17" s="289">
        <f>L17/F17</f>
        <v>-0.15273904150217571</v>
      </c>
      <c r="O17" s="300"/>
      <c r="R17" s="98"/>
      <c r="S17" s="98"/>
      <c r="T17" s="98"/>
      <c r="U17" s="276"/>
      <c r="V17" s="276"/>
    </row>
    <row r="18" spans="1:24" x14ac:dyDescent="0.2">
      <c r="A18" s="253" t="s">
        <v>229</v>
      </c>
      <c r="B18" s="275" t="s">
        <v>207</v>
      </c>
      <c r="C18" s="54" t="s">
        <v>129</v>
      </c>
      <c r="D18" s="298">
        <v>1</v>
      </c>
      <c r="E18" s="286">
        <v>10503728.719999999</v>
      </c>
      <c r="F18" s="282">
        <f>GMCM!I9</f>
        <v>288339.09761974216</v>
      </c>
      <c r="G18" s="328">
        <v>10500000</v>
      </c>
      <c r="H18" s="286">
        <v>16665000</v>
      </c>
      <c r="I18" s="329">
        <v>12572464.52241138</v>
      </c>
      <c r="J18" s="284">
        <f>GMCM!F9</f>
        <v>331086.14762437437</v>
      </c>
      <c r="K18" s="293">
        <f t="shared" ref="K18:K26" si="0">I18-E18</f>
        <v>2068735.8024113812</v>
      </c>
      <c r="L18" s="290">
        <f t="shared" ref="L18:L26" si="1">J18-F18</f>
        <v>42747.050004632212</v>
      </c>
      <c r="M18" s="291">
        <f t="shared" ref="M18:M26" si="2">K18/E18</f>
        <v>0.1969525163452033</v>
      </c>
      <c r="N18" s="291">
        <f t="shared" ref="N18:N26" si="3">L18/F18</f>
        <v>0.14825270092579143</v>
      </c>
      <c r="O18" s="300"/>
      <c r="R18" s="98"/>
      <c r="S18" s="98"/>
      <c r="T18" s="98"/>
      <c r="U18" s="276"/>
      <c r="V18" s="276"/>
      <c r="X18" s="87"/>
    </row>
    <row r="19" spans="1:24" s="98" customFormat="1" x14ac:dyDescent="0.2">
      <c r="A19" s="253" t="s">
        <v>229</v>
      </c>
      <c r="B19" s="275" t="s">
        <v>208</v>
      </c>
      <c r="C19" s="54" t="s">
        <v>245</v>
      </c>
      <c r="D19" s="298">
        <v>1</v>
      </c>
      <c r="E19" s="286">
        <v>1751000</v>
      </c>
      <c r="F19" s="282">
        <f>GSOCIAL!I9</f>
        <v>23820.403572058858</v>
      </c>
      <c r="G19" s="328">
        <v>1800000</v>
      </c>
      <c r="H19" s="286">
        <v>2200000</v>
      </c>
      <c r="I19" s="329">
        <v>1800000</v>
      </c>
      <c r="J19" s="284">
        <f>GSOCIAL!F9</f>
        <v>24218.148093092648</v>
      </c>
      <c r="K19" s="293">
        <f t="shared" si="0"/>
        <v>49000</v>
      </c>
      <c r="L19" s="290">
        <f t="shared" si="1"/>
        <v>397.74452103379008</v>
      </c>
      <c r="M19" s="291">
        <f t="shared" si="2"/>
        <v>2.7984009137635636E-2</v>
      </c>
      <c r="N19" s="291">
        <f>L19/F19</f>
        <v>1.6697639896426492E-2</v>
      </c>
      <c r="O19" s="300"/>
      <c r="U19" s="276"/>
      <c r="V19" s="276"/>
    </row>
    <row r="20" spans="1:24" s="98" customFormat="1" x14ac:dyDescent="0.2">
      <c r="A20" s="253" t="s">
        <v>229</v>
      </c>
      <c r="B20" s="275" t="s">
        <v>224</v>
      </c>
      <c r="C20" s="54" t="s">
        <v>129</v>
      </c>
      <c r="D20" s="298">
        <v>1</v>
      </c>
      <c r="E20" s="286">
        <v>1111779.04</v>
      </c>
      <c r="F20" s="282">
        <f>GOLV!I9</f>
        <v>21646.235649615526</v>
      </c>
      <c r="G20" s="328">
        <v>1100000</v>
      </c>
      <c r="H20" s="286">
        <v>1500000</v>
      </c>
      <c r="I20" s="329">
        <v>1100000</v>
      </c>
      <c r="J20" s="284">
        <f>GOLV!F9</f>
        <v>21486.35797297582</v>
      </c>
      <c r="K20" s="293">
        <f t="shared" si="0"/>
        <v>-11779.040000000037</v>
      </c>
      <c r="L20" s="290">
        <f t="shared" si="1"/>
        <v>-159.8776766397059</v>
      </c>
      <c r="M20" s="291">
        <f t="shared" si="2"/>
        <v>-1.0594767104082154E-2</v>
      </c>
      <c r="N20" s="291">
        <f t="shared" si="3"/>
        <v>-7.3859344057610127E-3</v>
      </c>
      <c r="O20" s="300"/>
      <c r="U20" s="276"/>
      <c r="V20" s="276"/>
    </row>
    <row r="21" spans="1:24" s="98" customFormat="1" x14ac:dyDescent="0.2">
      <c r="A21" s="253" t="s">
        <v>229</v>
      </c>
      <c r="B21" s="275" t="s">
        <v>226</v>
      </c>
      <c r="C21" s="54" t="s">
        <v>245</v>
      </c>
      <c r="D21" s="298">
        <v>1</v>
      </c>
      <c r="E21" s="286">
        <v>13418576</v>
      </c>
      <c r="F21" s="282">
        <f>GSTRTV!I9</f>
        <v>100808.3256282994</v>
      </c>
      <c r="G21" s="328">
        <v>9400000</v>
      </c>
      <c r="H21" s="286">
        <v>13218452.16</v>
      </c>
      <c r="I21" s="329">
        <v>9400000</v>
      </c>
      <c r="J21" s="284">
        <f>GSTRTV!F9</f>
        <v>78576.267944646228</v>
      </c>
      <c r="K21" s="293">
        <f t="shared" si="0"/>
        <v>-4018576</v>
      </c>
      <c r="L21" s="290">
        <f t="shared" si="1"/>
        <v>-22232.057683653169</v>
      </c>
      <c r="M21" s="291">
        <f>K21/E21</f>
        <v>-0.29947857358336682</v>
      </c>
      <c r="N21" s="291">
        <f t="shared" si="3"/>
        <v>-0.22053791237072268</v>
      </c>
      <c r="O21" s="300"/>
      <c r="U21" s="276"/>
      <c r="V21" s="276"/>
    </row>
    <row r="22" spans="1:24" s="98" customFormat="1" x14ac:dyDescent="0.2">
      <c r="A22" s="253" t="s">
        <v>229</v>
      </c>
      <c r="B22" s="275" t="s">
        <v>209</v>
      </c>
      <c r="C22" s="54" t="s">
        <v>245</v>
      </c>
      <c r="D22" s="298">
        <v>1</v>
      </c>
      <c r="E22" s="286">
        <v>2859426.82</v>
      </c>
      <c r="F22" s="282">
        <f>GDISP!I9</f>
        <v>76065.012406995462</v>
      </c>
      <c r="G22" s="328">
        <v>2900000</v>
      </c>
      <c r="H22" s="286">
        <v>4000000</v>
      </c>
      <c r="I22" s="329">
        <v>2900000</v>
      </c>
      <c r="J22" s="284">
        <f>GDISP!F9</f>
        <v>76710.770935870692</v>
      </c>
      <c r="K22" s="293">
        <f t="shared" si="0"/>
        <v>40573.180000000168</v>
      </c>
      <c r="L22" s="290">
        <f t="shared" si="1"/>
        <v>645.7585288752307</v>
      </c>
      <c r="M22" s="291">
        <f t="shared" si="2"/>
        <v>1.4189270281797305E-2</v>
      </c>
      <c r="N22" s="291">
        <f t="shared" si="3"/>
        <v>8.4895605540694329E-3</v>
      </c>
      <c r="O22" s="300"/>
      <c r="U22" s="276"/>
      <c r="V22" s="276"/>
    </row>
    <row r="23" spans="1:24" s="98" customFormat="1" x14ac:dyDescent="0.2">
      <c r="A23" s="253" t="s">
        <v>229</v>
      </c>
      <c r="B23" s="275" t="s">
        <v>210</v>
      </c>
      <c r="C23" s="54" t="s">
        <v>245</v>
      </c>
      <c r="D23" s="298">
        <v>1</v>
      </c>
      <c r="E23" s="286">
        <v>50000</v>
      </c>
      <c r="F23" s="282">
        <f>GPDSRCH!I9</f>
        <v>30136.792938374307</v>
      </c>
      <c r="G23" s="328">
        <v>100000</v>
      </c>
      <c r="H23" s="286">
        <v>150000</v>
      </c>
      <c r="I23" s="329">
        <v>150000</v>
      </c>
      <c r="J23" s="284">
        <f>GPDSRCH!F9</f>
        <v>65025.232320085495</v>
      </c>
      <c r="K23" s="293">
        <f t="shared" si="0"/>
        <v>100000</v>
      </c>
      <c r="L23" s="290">
        <f t="shared" si="1"/>
        <v>34888.439381711185</v>
      </c>
      <c r="M23" s="291">
        <f t="shared" si="2"/>
        <v>2</v>
      </c>
      <c r="N23" s="291">
        <f t="shared" si="3"/>
        <v>1.1576692799745931</v>
      </c>
      <c r="O23" s="300"/>
      <c r="U23" s="276"/>
      <c r="V23" s="276"/>
    </row>
    <row r="24" spans="1:24" x14ac:dyDescent="0.2">
      <c r="A24" s="253" t="s">
        <v>229</v>
      </c>
      <c r="B24" s="275" t="s">
        <v>177</v>
      </c>
      <c r="C24" s="54" t="s">
        <v>245</v>
      </c>
      <c r="D24" s="298">
        <v>1</v>
      </c>
      <c r="E24" s="286">
        <v>923975</v>
      </c>
      <c r="F24" s="282">
        <f>GAUDIO!I9</f>
        <v>26581.559263521289</v>
      </c>
      <c r="G24" s="328">
        <v>500000</v>
      </c>
      <c r="H24" s="286">
        <v>1500000</v>
      </c>
      <c r="I24" s="329">
        <v>664416.83994363551</v>
      </c>
      <c r="J24" s="284">
        <f>GAUDIO!F9</f>
        <v>21809.650159386772</v>
      </c>
      <c r="K24" s="293">
        <f t="shared" si="0"/>
        <v>-259558.16005636449</v>
      </c>
      <c r="L24" s="290">
        <f t="shared" si="1"/>
        <v>-4771.9091041345164</v>
      </c>
      <c r="M24" s="291">
        <f t="shared" si="2"/>
        <v>-0.28091470013405612</v>
      </c>
      <c r="N24" s="291">
        <f t="shared" si="3"/>
        <v>-0.17951953295242382</v>
      </c>
      <c r="O24" s="300"/>
      <c r="R24" s="98"/>
      <c r="S24" s="98"/>
      <c r="T24" s="98"/>
      <c r="U24" s="276"/>
      <c r="V24" s="276"/>
    </row>
    <row r="25" spans="1:24" s="98" customFormat="1" x14ac:dyDescent="0.2">
      <c r="A25" s="253" t="s">
        <v>229</v>
      </c>
      <c r="B25" s="275" t="s">
        <v>235</v>
      </c>
      <c r="C25" s="54" t="s">
        <v>245</v>
      </c>
      <c r="D25" s="298">
        <v>1</v>
      </c>
      <c r="E25" s="286">
        <v>25810928.600000001</v>
      </c>
      <c r="F25" s="282">
        <f>GLINEARTV!I9</f>
        <v>168508.00202805389</v>
      </c>
      <c r="G25" s="339">
        <v>28089210.840000004</v>
      </c>
      <c r="H25" s="340">
        <v>28089210.840000004</v>
      </c>
      <c r="I25" s="329">
        <v>28089210.840000004</v>
      </c>
      <c r="J25" s="284">
        <f>GLINEARTV!F9</f>
        <v>178786.88808485147</v>
      </c>
      <c r="K25" s="293">
        <f t="shared" si="0"/>
        <v>2278282.2400000021</v>
      </c>
      <c r="L25" s="290">
        <f t="shared" si="1"/>
        <v>10278.886056797579</v>
      </c>
      <c r="M25" s="291">
        <f t="shared" si="2"/>
        <v>8.8268123759018963E-2</v>
      </c>
      <c r="N25" s="291">
        <f t="shared" si="3"/>
        <v>6.0999394290404726E-2</v>
      </c>
      <c r="O25" s="300"/>
      <c r="U25" s="276"/>
      <c r="V25" s="276"/>
    </row>
    <row r="26" spans="1:24" s="98" customFormat="1" x14ac:dyDescent="0.2">
      <c r="A26" s="253" t="s">
        <v>229</v>
      </c>
      <c r="B26" s="275" t="s">
        <v>236</v>
      </c>
      <c r="C26" s="54" t="s">
        <v>129</v>
      </c>
      <c r="D26" s="298">
        <v>1</v>
      </c>
      <c r="E26" s="286">
        <v>2411968</v>
      </c>
      <c r="F26" s="282">
        <f>GPHRMCY!I9</f>
        <v>18205.929821531288</v>
      </c>
      <c r="G26" s="328">
        <v>2400000</v>
      </c>
      <c r="H26" s="330">
        <v>4500000</v>
      </c>
      <c r="I26" s="329">
        <v>2400000</v>
      </c>
      <c r="J26" s="284">
        <f>GPHRMCY!F9</f>
        <v>18136.499281739816</v>
      </c>
      <c r="K26" s="293">
        <f t="shared" si="0"/>
        <v>-11968</v>
      </c>
      <c r="L26" s="290">
        <f t="shared" si="1"/>
        <v>-69.430539791472256</v>
      </c>
      <c r="M26" s="291">
        <f t="shared" si="2"/>
        <v>-4.9619232095948207E-3</v>
      </c>
      <c r="N26" s="291">
        <f t="shared" si="3"/>
        <v>-3.8136222907637521E-3</v>
      </c>
      <c r="O26" s="300"/>
      <c r="P26" s="276"/>
      <c r="U26" s="276"/>
      <c r="V26" s="276"/>
    </row>
    <row r="27" spans="1:24" s="98" customFormat="1" x14ac:dyDescent="0.2">
      <c r="A27" s="127" t="s">
        <v>154</v>
      </c>
      <c r="B27" s="127" t="s">
        <v>99</v>
      </c>
      <c r="C27" s="127"/>
      <c r="D27" s="127"/>
      <c r="E27" s="287">
        <f>SUM(E17:E26)</f>
        <v>59976092.18</v>
      </c>
      <c r="F27" s="297">
        <f>SUM(F17:F26)</f>
        <v>761479.22554221447</v>
      </c>
      <c r="G27" s="287">
        <f>SUM(G17:G26)</f>
        <v>57689210.840000004</v>
      </c>
      <c r="H27" s="287">
        <f>SUM(H17:H26)</f>
        <v>72922663</v>
      </c>
      <c r="I27" s="287">
        <f t="shared" ref="I27:J27" si="4">SUM(I17:I26)</f>
        <v>59976092.20235502</v>
      </c>
      <c r="J27" s="297">
        <f t="shared" si="4"/>
        <v>822078.46814650402</v>
      </c>
      <c r="K27" s="287">
        <f t="shared" ref="K27" si="5">SUM(K17:K26)</f>
        <v>2.2355019114911556E-2</v>
      </c>
      <c r="L27" s="152">
        <f>SUM(L17:L26)</f>
        <v>60599.242604289488</v>
      </c>
      <c r="M27" s="153">
        <f>K27/E27</f>
        <v>3.7273217214318941E-10</v>
      </c>
      <c r="N27" s="153">
        <f>L27/F27</f>
        <v>7.9580953191650816E-2</v>
      </c>
      <c r="O27" s="301"/>
    </row>
    <row r="28" spans="1:24" x14ac:dyDescent="0.2">
      <c r="E28" s="296">
        <f>SUM(E17:E24,E26)</f>
        <v>34165163.579999998</v>
      </c>
      <c r="F28" s="296">
        <f t="shared" ref="F28:L28" si="6">SUM(F17:F24,F26)</f>
        <v>592971.22351416061</v>
      </c>
      <c r="G28" s="296">
        <f t="shared" si="6"/>
        <v>29600000</v>
      </c>
      <c r="H28" s="296">
        <f t="shared" si="6"/>
        <v>44833452.159999996</v>
      </c>
      <c r="I28" s="296">
        <f>SUM(I17:I24,I25:I26)</f>
        <v>59976092.20235502</v>
      </c>
      <c r="J28" s="296">
        <f t="shared" si="6"/>
        <v>643291.58006165258</v>
      </c>
      <c r="K28" s="296">
        <f t="shared" si="6"/>
        <v>-2278282.217644983</v>
      </c>
      <c r="L28" s="296">
        <f t="shared" si="6"/>
        <v>50320.356547491909</v>
      </c>
      <c r="M28" s="300">
        <f>K28/E28</f>
        <v>-6.6684364390945591E-2</v>
      </c>
      <c r="N28" s="300">
        <f>L28/F28</f>
        <v>8.4861380370661821E-2</v>
      </c>
    </row>
    <row r="29" spans="1:24" x14ac:dyDescent="0.2">
      <c r="C29" s="87"/>
      <c r="D29" s="140">
        <f>G25-E25</f>
        <v>2278282.2400000021</v>
      </c>
      <c r="E29" s="296"/>
      <c r="F29" s="296"/>
      <c r="G29" s="140"/>
      <c r="H29" s="140"/>
      <c r="I29" s="299"/>
      <c r="J29" s="296"/>
      <c r="K29" s="140"/>
    </row>
    <row r="30" spans="1:24" x14ac:dyDescent="0.2">
      <c r="C30" s="140"/>
      <c r="K30" s="140"/>
    </row>
    <row r="31" spans="1:24" s="98" customFormat="1" x14ac:dyDescent="0.2">
      <c r="D31" s="465" t="s">
        <v>154</v>
      </c>
      <c r="E31" s="465"/>
      <c r="F31" s="465"/>
      <c r="G31" s="465"/>
      <c r="H31" s="465"/>
      <c r="I31" s="465"/>
      <c r="J31" s="464"/>
      <c r="K31" s="464"/>
      <c r="L31" s="464"/>
      <c r="M31" s="464"/>
      <c r="N31" s="464"/>
      <c r="O31" s="464"/>
      <c r="P31" s="134"/>
    </row>
    <row r="32" spans="1:24" ht="51" x14ac:dyDescent="0.2">
      <c r="A32" s="447" t="s">
        <v>132</v>
      </c>
      <c r="D32" s="138" t="s">
        <v>126</v>
      </c>
      <c r="E32" s="138" t="s">
        <v>141</v>
      </c>
      <c r="F32" s="138" t="s">
        <v>145</v>
      </c>
      <c r="G32" s="138" t="s">
        <v>142</v>
      </c>
      <c r="H32" s="138" t="s">
        <v>143</v>
      </c>
      <c r="I32" s="138" t="s">
        <v>144</v>
      </c>
      <c r="J32" s="82"/>
      <c r="K32" s="82"/>
      <c r="L32" s="82"/>
      <c r="M32" s="82"/>
      <c r="N32" s="82"/>
      <c r="O32" s="82"/>
      <c r="P32" s="134"/>
    </row>
    <row r="33" spans="1:22" x14ac:dyDescent="0.2">
      <c r="A33" s="447"/>
      <c r="D33" s="155">
        <v>1</v>
      </c>
      <c r="E33" s="126">
        <v>225.94</v>
      </c>
      <c r="F33" s="323">
        <f>E33</f>
        <v>225.94</v>
      </c>
      <c r="G33" s="126">
        <f>E33</f>
        <v>225.94</v>
      </c>
      <c r="H33" s="139"/>
      <c r="I33" s="126">
        <f>E33</f>
        <v>225.94</v>
      </c>
      <c r="J33" s="133"/>
      <c r="K33" s="135"/>
      <c r="L33" s="136"/>
      <c r="M33" s="135"/>
      <c r="N33" s="137"/>
      <c r="O33" s="135"/>
      <c r="P33" s="134"/>
    </row>
    <row r="34" spans="1:22" ht="13.7" customHeight="1" x14ac:dyDescent="0.2">
      <c r="A34" s="446" t="s">
        <v>2</v>
      </c>
      <c r="B34" s="421" t="s">
        <v>3</v>
      </c>
      <c r="C34" s="421" t="str">
        <f t="shared" ref="C34:C45" si="7">D15</f>
        <v>Response Scaling Factor for Sensitivity Analysis</v>
      </c>
      <c r="D34" s="461" t="s">
        <v>86</v>
      </c>
      <c r="E34" s="462"/>
      <c r="F34" s="462"/>
      <c r="G34" s="463"/>
      <c r="H34" s="448" t="s">
        <v>89</v>
      </c>
      <c r="I34" s="449"/>
      <c r="J34" s="449"/>
      <c r="K34" s="461" t="s">
        <v>136</v>
      </c>
      <c r="L34" s="462"/>
      <c r="M34" s="462"/>
      <c r="N34" s="463"/>
      <c r="P34" s="134"/>
      <c r="Q34" s="134"/>
      <c r="R34" s="134"/>
      <c r="S34" s="134"/>
      <c r="T34" s="134"/>
      <c r="U34" s="134"/>
      <c r="V34" s="134"/>
    </row>
    <row r="35" spans="1:22" ht="74.45" customHeight="1" x14ac:dyDescent="0.2">
      <c r="A35" s="420"/>
      <c r="B35" s="420"/>
      <c r="C35" s="420">
        <f t="shared" si="7"/>
        <v>0</v>
      </c>
      <c r="D35" s="93" t="s">
        <v>232</v>
      </c>
      <c r="E35" s="93" t="s">
        <v>133</v>
      </c>
      <c r="F35" s="93" t="s">
        <v>134</v>
      </c>
      <c r="G35" s="93" t="s">
        <v>146</v>
      </c>
      <c r="H35" s="55" t="s">
        <v>233</v>
      </c>
      <c r="I35" s="55" t="s">
        <v>135</v>
      </c>
      <c r="J35" s="55" t="s">
        <v>147</v>
      </c>
      <c r="K35" s="93" t="s">
        <v>137</v>
      </c>
      <c r="L35" s="93" t="s">
        <v>138</v>
      </c>
      <c r="M35" s="93" t="s">
        <v>139</v>
      </c>
      <c r="N35" s="93" t="s">
        <v>140</v>
      </c>
    </row>
    <row r="36" spans="1:22" x14ac:dyDescent="0.2">
      <c r="A36" s="215" t="str">
        <f t="shared" ref="A36:B39" si="8">A17</f>
        <v>Gardasil Adults</v>
      </c>
      <c r="B36" s="215" t="str">
        <f t="shared" si="8"/>
        <v>HCC InOffice</v>
      </c>
      <c r="C36" s="331">
        <f t="shared" si="7"/>
        <v>1</v>
      </c>
      <c r="D36" s="99">
        <f t="shared" ref="D36:D45" si="9">E17</f>
        <v>1134710</v>
      </c>
      <c r="E36" s="237" t="s">
        <v>161</v>
      </c>
      <c r="F36" s="101">
        <f t="shared" ref="F36:F45" si="10">F17/$D$33</f>
        <v>7367.8666140222922</v>
      </c>
      <c r="G36" s="103">
        <f>F36*$F$33</f>
        <v>1664695.7827721967</v>
      </c>
      <c r="H36" s="105">
        <f t="shared" ref="H36:H45" si="11">I17</f>
        <v>900000</v>
      </c>
      <c r="I36" s="101">
        <f t="shared" ref="I36:I45" si="12">J17/$D$33</f>
        <v>6242.5057294806466</v>
      </c>
      <c r="J36" s="107">
        <f>I36*$F$33</f>
        <v>1410431.7445188572</v>
      </c>
      <c r="K36" s="99">
        <f>H36-D36</f>
        <v>-234710</v>
      </c>
      <c r="L36" s="99">
        <f>J36-G36</f>
        <v>-254264.03825333947</v>
      </c>
      <c r="M36" s="109">
        <f>K36/D36</f>
        <v>-0.20684580201108654</v>
      </c>
      <c r="N36" s="110">
        <f>L36/G36</f>
        <v>-0.15273904150217574</v>
      </c>
      <c r="O36" s="302">
        <f>(J36-G36)/1000000</f>
        <v>-0.25426403825333949</v>
      </c>
    </row>
    <row r="37" spans="1:22" x14ac:dyDescent="0.2">
      <c r="A37" s="221" t="str">
        <f t="shared" si="8"/>
        <v>Gardasil Adults</v>
      </c>
      <c r="B37" s="221" t="str">
        <f t="shared" si="8"/>
        <v>HCP MCM</v>
      </c>
      <c r="C37" s="298">
        <f t="shared" si="7"/>
        <v>1</v>
      </c>
      <c r="D37" s="100">
        <f t="shared" si="9"/>
        <v>10503728.719999999</v>
      </c>
      <c r="E37" s="238" t="s">
        <v>161</v>
      </c>
      <c r="F37" s="102">
        <f t="shared" si="10"/>
        <v>288339.09761974216</v>
      </c>
      <c r="G37" s="104">
        <f t="shared" ref="G37:G44" si="13">F37*$F$33</f>
        <v>65147335.716204539</v>
      </c>
      <c r="H37" s="106">
        <f t="shared" si="11"/>
        <v>12572464.52241138</v>
      </c>
      <c r="I37" s="102">
        <f t="shared" si="12"/>
        <v>331086.14762437437</v>
      </c>
      <c r="J37" s="108">
        <f t="shared" ref="J37" si="14">I37*$F$33</f>
        <v>74805604.19425115</v>
      </c>
      <c r="K37" s="100">
        <f t="shared" ref="K37" si="15">H37-D37</f>
        <v>2068735.8024113812</v>
      </c>
      <c r="L37" s="100">
        <f t="shared" ref="L37" si="16">J37-G37</f>
        <v>9658268.478046611</v>
      </c>
      <c r="M37" s="111">
        <f t="shared" ref="M37" si="17">K37/D37</f>
        <v>0.1969525163452033</v>
      </c>
      <c r="N37" s="112">
        <f t="shared" ref="N37" si="18">L37/G37</f>
        <v>0.14825270092579157</v>
      </c>
      <c r="O37" s="302">
        <f t="shared" ref="O37:O45" si="19">(J37-G37)/1000000</f>
        <v>9.6582684780466117</v>
      </c>
    </row>
    <row r="38" spans="1:22" s="98" customFormat="1" x14ac:dyDescent="0.2">
      <c r="A38" s="221" t="str">
        <f t="shared" si="8"/>
        <v>Gardasil Adults</v>
      </c>
      <c r="B38" s="221" t="str">
        <f t="shared" si="8"/>
        <v>HCC Social</v>
      </c>
      <c r="C38" s="298">
        <f t="shared" si="7"/>
        <v>1</v>
      </c>
      <c r="D38" s="100">
        <f t="shared" si="9"/>
        <v>1751000</v>
      </c>
      <c r="E38" s="238" t="s">
        <v>161</v>
      </c>
      <c r="F38" s="102">
        <f t="shared" si="10"/>
        <v>23820.403572058858</v>
      </c>
      <c r="G38" s="104">
        <f t="shared" si="13"/>
        <v>5381981.983070978</v>
      </c>
      <c r="H38" s="106">
        <f t="shared" si="11"/>
        <v>1800000</v>
      </c>
      <c r="I38" s="102">
        <f t="shared" si="12"/>
        <v>24218.148093092648</v>
      </c>
      <c r="J38" s="108">
        <f t="shared" ref="J38:J44" si="20">I38*$F$33</f>
        <v>5471848.3801533533</v>
      </c>
      <c r="K38" s="100">
        <f t="shared" ref="K38:K44" si="21">H38-D38</f>
        <v>49000</v>
      </c>
      <c r="L38" s="100">
        <f t="shared" ref="L38:L44" si="22">J38-G38</f>
        <v>89866.397082375363</v>
      </c>
      <c r="M38" s="111">
        <f t="shared" ref="M38:M44" si="23">K38/D38</f>
        <v>2.7984009137635636E-2</v>
      </c>
      <c r="N38" s="112">
        <f t="shared" ref="N38:N44" si="24">L38/G38</f>
        <v>1.6697639896426645E-2</v>
      </c>
      <c r="O38" s="302">
        <f t="shared" si="19"/>
        <v>8.9866397082375357E-2</v>
      </c>
      <c r="P38" s="113"/>
    </row>
    <row r="39" spans="1:22" s="98" customFormat="1" x14ac:dyDescent="0.2">
      <c r="A39" s="221" t="str">
        <f t="shared" si="8"/>
        <v>Gardasil Adults</v>
      </c>
      <c r="B39" s="221" t="str">
        <f t="shared" si="8"/>
        <v>HCC Online Video</v>
      </c>
      <c r="C39" s="298">
        <f t="shared" si="7"/>
        <v>1</v>
      </c>
      <c r="D39" s="100">
        <f t="shared" si="9"/>
        <v>1111779.04</v>
      </c>
      <c r="E39" s="238" t="s">
        <v>161</v>
      </c>
      <c r="F39" s="102">
        <f t="shared" si="10"/>
        <v>21646.235649615526</v>
      </c>
      <c r="G39" s="104">
        <f t="shared" si="13"/>
        <v>4890750.4826741321</v>
      </c>
      <c r="H39" s="106">
        <f t="shared" si="11"/>
        <v>1100000</v>
      </c>
      <c r="I39" s="102">
        <f t="shared" si="12"/>
        <v>21486.35797297582</v>
      </c>
      <c r="J39" s="108">
        <f t="shared" si="20"/>
        <v>4854627.720414157</v>
      </c>
      <c r="K39" s="100">
        <f t="shared" si="21"/>
        <v>-11779.040000000037</v>
      </c>
      <c r="L39" s="100">
        <f t="shared" si="22"/>
        <v>-36122.762259975076</v>
      </c>
      <c r="M39" s="111">
        <f t="shared" si="23"/>
        <v>-1.0594767104082154E-2</v>
      </c>
      <c r="N39" s="112">
        <f t="shared" si="24"/>
        <v>-7.3859344057609971E-3</v>
      </c>
      <c r="O39" s="302">
        <f t="shared" si="19"/>
        <v>-3.6122762259975079E-2</v>
      </c>
    </row>
    <row r="40" spans="1:22" s="98" customFormat="1" x14ac:dyDescent="0.2">
      <c r="A40" s="221" t="str">
        <f t="shared" ref="A40:A45" si="25">A21</f>
        <v>Gardasil Adults</v>
      </c>
      <c r="B40" s="221" t="str">
        <f t="shared" ref="B40:B45" si="26">B21</f>
        <v>HCC Streaming Video</v>
      </c>
      <c r="C40" s="298">
        <f t="shared" si="7"/>
        <v>1</v>
      </c>
      <c r="D40" s="100">
        <f t="shared" si="9"/>
        <v>13418576</v>
      </c>
      <c r="E40" s="238" t="s">
        <v>161</v>
      </c>
      <c r="F40" s="102">
        <f t="shared" si="10"/>
        <v>100808.3256282994</v>
      </c>
      <c r="G40" s="104">
        <f t="shared" si="13"/>
        <v>22776633.092457965</v>
      </c>
      <c r="H40" s="106">
        <f t="shared" si="11"/>
        <v>9400000</v>
      </c>
      <c r="I40" s="102">
        <f t="shared" si="12"/>
        <v>78576.267944646228</v>
      </c>
      <c r="J40" s="108">
        <f t="shared" si="20"/>
        <v>17753521.979413368</v>
      </c>
      <c r="K40" s="100">
        <f t="shared" si="21"/>
        <v>-4018576</v>
      </c>
      <c r="L40" s="100">
        <f t="shared" si="22"/>
        <v>-5023111.1130445972</v>
      </c>
      <c r="M40" s="111">
        <f t="shared" si="23"/>
        <v>-0.29947857358336682</v>
      </c>
      <c r="N40" s="112">
        <f t="shared" si="24"/>
        <v>-0.22053791237072268</v>
      </c>
      <c r="O40" s="302">
        <f t="shared" si="19"/>
        <v>-5.0231111130445969</v>
      </c>
    </row>
    <row r="41" spans="1:22" s="98" customFormat="1" x14ac:dyDescent="0.2">
      <c r="A41" s="221" t="str">
        <f t="shared" si="25"/>
        <v>Gardasil Adults</v>
      </c>
      <c r="B41" s="221" t="str">
        <f t="shared" si="26"/>
        <v>HCC Display</v>
      </c>
      <c r="C41" s="298">
        <f t="shared" si="7"/>
        <v>1</v>
      </c>
      <c r="D41" s="100">
        <f t="shared" si="9"/>
        <v>2859426.82</v>
      </c>
      <c r="E41" s="238" t="s">
        <v>161</v>
      </c>
      <c r="F41" s="102">
        <f t="shared" si="10"/>
        <v>76065.012406995462</v>
      </c>
      <c r="G41" s="104">
        <f t="shared" si="13"/>
        <v>17186128.903236553</v>
      </c>
      <c r="H41" s="106">
        <f t="shared" si="11"/>
        <v>2900000</v>
      </c>
      <c r="I41" s="102">
        <f t="shared" si="12"/>
        <v>76710.770935870692</v>
      </c>
      <c r="J41" s="108">
        <f t="shared" si="20"/>
        <v>17332031.585250624</v>
      </c>
      <c r="K41" s="100">
        <f t="shared" si="21"/>
        <v>40573.180000000168</v>
      </c>
      <c r="L41" s="100">
        <f t="shared" si="22"/>
        <v>145902.68201407045</v>
      </c>
      <c r="M41" s="111">
        <f t="shared" si="23"/>
        <v>1.4189270281797305E-2</v>
      </c>
      <c r="N41" s="112">
        <f t="shared" si="24"/>
        <v>8.4895605540694814E-3</v>
      </c>
      <c r="O41" s="302">
        <f t="shared" si="19"/>
        <v>0.14590268201407045</v>
      </c>
    </row>
    <row r="42" spans="1:22" x14ac:dyDescent="0.2">
      <c r="A42" s="221" t="str">
        <f t="shared" si="25"/>
        <v>Gardasil Adults</v>
      </c>
      <c r="B42" s="221" t="str">
        <f t="shared" si="26"/>
        <v>HCC Paid Search</v>
      </c>
      <c r="C42" s="298">
        <f t="shared" si="7"/>
        <v>1</v>
      </c>
      <c r="D42" s="100">
        <f t="shared" si="9"/>
        <v>50000</v>
      </c>
      <c r="E42" s="238" t="s">
        <v>161</v>
      </c>
      <c r="F42" s="102">
        <f t="shared" si="10"/>
        <v>30136.792938374307</v>
      </c>
      <c r="G42" s="104">
        <f t="shared" si="13"/>
        <v>6809106.9964962909</v>
      </c>
      <c r="H42" s="106">
        <f t="shared" si="11"/>
        <v>150000</v>
      </c>
      <c r="I42" s="102">
        <f t="shared" si="12"/>
        <v>65025.232320085495</v>
      </c>
      <c r="J42" s="108">
        <f t="shared" si="20"/>
        <v>14691800.990400117</v>
      </c>
      <c r="K42" s="100">
        <f t="shared" si="21"/>
        <v>100000</v>
      </c>
      <c r="L42" s="100">
        <f t="shared" si="22"/>
        <v>7882693.993903826</v>
      </c>
      <c r="M42" s="111">
        <f t="shared" si="23"/>
        <v>2</v>
      </c>
      <c r="N42" s="112">
        <f t="shared" si="24"/>
        <v>1.1576692799745931</v>
      </c>
      <c r="O42" s="302">
        <f t="shared" si="19"/>
        <v>7.8826939939038256</v>
      </c>
    </row>
    <row r="43" spans="1:22" s="98" customFormat="1" x14ac:dyDescent="0.2">
      <c r="A43" s="221" t="str">
        <f t="shared" si="25"/>
        <v>Gardasil Adults</v>
      </c>
      <c r="B43" s="221" t="str">
        <f t="shared" si="26"/>
        <v>HCC Radio</v>
      </c>
      <c r="C43" s="298">
        <f t="shared" si="7"/>
        <v>1</v>
      </c>
      <c r="D43" s="100">
        <f t="shared" si="9"/>
        <v>923975</v>
      </c>
      <c r="E43" s="238" t="s">
        <v>161</v>
      </c>
      <c r="F43" s="102">
        <f t="shared" si="10"/>
        <v>26581.559263521289</v>
      </c>
      <c r="G43" s="104">
        <f t="shared" si="13"/>
        <v>6005837.5</v>
      </c>
      <c r="H43" s="106">
        <f t="shared" si="11"/>
        <v>664416.83994363551</v>
      </c>
      <c r="I43" s="102">
        <f t="shared" si="12"/>
        <v>21809.650159386772</v>
      </c>
      <c r="J43" s="108">
        <f t="shared" si="20"/>
        <v>4927672.3570118472</v>
      </c>
      <c r="K43" s="100">
        <f t="shared" si="21"/>
        <v>-259558.16005636449</v>
      </c>
      <c r="L43" s="100">
        <f t="shared" si="22"/>
        <v>-1078165.1429881528</v>
      </c>
      <c r="M43" s="111">
        <f t="shared" si="23"/>
        <v>-0.28091470013405612</v>
      </c>
      <c r="N43" s="112">
        <f t="shared" si="24"/>
        <v>-0.17951953295242384</v>
      </c>
      <c r="O43" s="302">
        <f t="shared" si="19"/>
        <v>-1.0781651429881527</v>
      </c>
    </row>
    <row r="44" spans="1:22" s="98" customFormat="1" x14ac:dyDescent="0.2">
      <c r="A44" s="221" t="str">
        <f t="shared" si="25"/>
        <v>Gardasil Adults</v>
      </c>
      <c r="B44" s="221" t="str">
        <f t="shared" si="26"/>
        <v>HCC Linear TV</v>
      </c>
      <c r="C44" s="298">
        <f t="shared" si="7"/>
        <v>1</v>
      </c>
      <c r="D44" s="100">
        <f t="shared" si="9"/>
        <v>25810928.600000001</v>
      </c>
      <c r="E44" s="238" t="s">
        <v>161</v>
      </c>
      <c r="F44" s="102">
        <f t="shared" si="10"/>
        <v>168508.00202805389</v>
      </c>
      <c r="G44" s="104">
        <f t="shared" si="13"/>
        <v>38072697.978218496</v>
      </c>
      <c r="H44" s="106">
        <f t="shared" si="11"/>
        <v>28089210.840000004</v>
      </c>
      <c r="I44" s="102">
        <f t="shared" si="12"/>
        <v>178786.88808485147</v>
      </c>
      <c r="J44" s="108">
        <f t="shared" si="20"/>
        <v>40395109.493891343</v>
      </c>
      <c r="K44" s="100">
        <f t="shared" si="21"/>
        <v>2278282.2400000021</v>
      </c>
      <c r="L44" s="100">
        <f t="shared" si="22"/>
        <v>2322411.5156728476</v>
      </c>
      <c r="M44" s="111">
        <f t="shared" si="23"/>
        <v>8.8268123759018963E-2</v>
      </c>
      <c r="N44" s="112">
        <f t="shared" si="24"/>
        <v>6.0999394290404796E-2</v>
      </c>
      <c r="O44" s="302">
        <f t="shared" si="19"/>
        <v>2.3224115156728478</v>
      </c>
    </row>
    <row r="45" spans="1:22" s="98" customFormat="1" x14ac:dyDescent="0.2">
      <c r="A45" s="221" t="str">
        <f t="shared" si="25"/>
        <v>Gardasil Adults</v>
      </c>
      <c r="B45" s="221" t="str">
        <f t="shared" si="26"/>
        <v>HCC Pharmacy</v>
      </c>
      <c r="C45" s="298">
        <f t="shared" si="7"/>
        <v>1</v>
      </c>
      <c r="D45" s="100">
        <f t="shared" si="9"/>
        <v>2411968</v>
      </c>
      <c r="E45" s="238" t="s">
        <v>161</v>
      </c>
      <c r="F45" s="102">
        <f t="shared" si="10"/>
        <v>18205.929821531288</v>
      </c>
      <c r="G45" s="104">
        <f t="shared" ref="G45" si="27">F45*$F$33</f>
        <v>4113447.783876779</v>
      </c>
      <c r="H45" s="106">
        <f t="shared" si="11"/>
        <v>2400000</v>
      </c>
      <c r="I45" s="102">
        <f t="shared" si="12"/>
        <v>18136.499281739816</v>
      </c>
      <c r="J45" s="108">
        <f t="shared" ref="J45" si="28">I45*$F$33</f>
        <v>4097760.647716294</v>
      </c>
      <c r="K45" s="100">
        <f t="shared" ref="K45" si="29">H45-D45</f>
        <v>-11968</v>
      </c>
      <c r="L45" s="100">
        <f t="shared" ref="L45" si="30">J45-G45</f>
        <v>-15687.136160484981</v>
      </c>
      <c r="M45" s="111">
        <f t="shared" ref="M45" si="31">K45/D45</f>
        <v>-4.9619232095948207E-3</v>
      </c>
      <c r="N45" s="112">
        <f t="shared" ref="N45" si="32">L45/G45</f>
        <v>-3.8136222907636888E-3</v>
      </c>
      <c r="O45" s="302">
        <f t="shared" si="19"/>
        <v>-1.568713616048498E-2</v>
      </c>
    </row>
    <row r="46" spans="1:22" s="98" customFormat="1" x14ac:dyDescent="0.2">
      <c r="A46" s="128" t="s">
        <v>154</v>
      </c>
      <c r="B46" s="128" t="s">
        <v>99</v>
      </c>
      <c r="C46" s="128"/>
      <c r="D46" s="131">
        <f>SUM(D36:D45)</f>
        <v>59976092.18</v>
      </c>
      <c r="E46" s="239"/>
      <c r="F46" s="130">
        <f t="shared" ref="F46:I46" si="33">SUM(F36:F45)</f>
        <v>761479.22554221447</v>
      </c>
      <c r="G46" s="131">
        <f t="shared" si="33"/>
        <v>172048616.21900794</v>
      </c>
      <c r="H46" s="131">
        <f t="shared" si="33"/>
        <v>59976092.20235502</v>
      </c>
      <c r="I46" s="130">
        <f t="shared" si="33"/>
        <v>822078.46814650402</v>
      </c>
      <c r="J46" s="131">
        <f>SUM(J36:J45)</f>
        <v>185740409.09302109</v>
      </c>
      <c r="K46" s="131">
        <f>SUM(K36:K45)</f>
        <v>2.2355019114911556E-2</v>
      </c>
      <c r="L46" s="131">
        <f>SUM(L36:L45)</f>
        <v>13691792.874013182</v>
      </c>
      <c r="M46" s="129">
        <f>K46/D46</f>
        <v>3.7273217214318941E-10</v>
      </c>
      <c r="N46" s="132">
        <f>L46/G46</f>
        <v>7.9580953191650913E-2</v>
      </c>
    </row>
    <row r="47" spans="1:22" x14ac:dyDescent="0.2">
      <c r="D47" s="149"/>
      <c r="E47" s="240"/>
      <c r="F47" s="150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49"/>
      <c r="E48" s="240"/>
      <c r="F48" s="150"/>
      <c r="G48" s="302"/>
      <c r="H48" s="98"/>
      <c r="I48" s="94"/>
      <c r="J48" s="113"/>
      <c r="K48" s="98"/>
      <c r="L48" s="113"/>
      <c r="M48" s="117"/>
      <c r="N48" s="114"/>
    </row>
    <row r="49" spans="4:14" x14ac:dyDescent="0.2">
      <c r="D49" s="149"/>
      <c r="E49" s="240"/>
      <c r="F49" s="150"/>
      <c r="G49" s="325">
        <f>G46/D46</f>
        <v>2.8686199778181005</v>
      </c>
      <c r="H49" s="98"/>
      <c r="I49" s="94"/>
      <c r="J49" s="325">
        <f>J46/D46</f>
        <v>3.0969074899974767</v>
      </c>
      <c r="K49" s="98"/>
      <c r="L49" s="113"/>
      <c r="M49" s="117"/>
      <c r="N49" s="114"/>
    </row>
    <row r="50" spans="4:14" x14ac:dyDescent="0.2">
      <c r="D50" s="134">
        <f>G43/D43</f>
        <v>6.5</v>
      </c>
      <c r="E50" s="241"/>
      <c r="F50" s="134"/>
      <c r="G50" s="98"/>
      <c r="H50" s="98"/>
      <c r="I50" s="98"/>
      <c r="J50" s="98"/>
      <c r="K50" s="98"/>
      <c r="L50" s="98"/>
      <c r="M50" s="98"/>
      <c r="N50" s="98"/>
    </row>
    <row r="51" spans="4:14" x14ac:dyDescent="0.2">
      <c r="D51" s="151"/>
      <c r="E51" s="241"/>
      <c r="F51" s="134"/>
      <c r="G51" s="98"/>
      <c r="H51" s="98"/>
      <c r="I51" s="98"/>
      <c r="J51" s="98"/>
      <c r="K51" s="98"/>
      <c r="L51" s="98"/>
      <c r="M51" s="98"/>
      <c r="N51" s="98"/>
    </row>
    <row r="52" spans="4:14" x14ac:dyDescent="0.2">
      <c r="D52" s="134"/>
      <c r="E52" s="241"/>
      <c r="F52" s="134"/>
    </row>
    <row r="53" spans="4:14" x14ac:dyDescent="0.2">
      <c r="E53" s="242"/>
    </row>
    <row r="54" spans="4:14" x14ac:dyDescent="0.2">
      <c r="E54" s="242"/>
    </row>
    <row r="55" spans="4:14" x14ac:dyDescent="0.2">
      <c r="E55" s="242"/>
    </row>
    <row r="56" spans="4:14" x14ac:dyDescent="0.2">
      <c r="E56" s="242"/>
    </row>
    <row r="57" spans="4:14" x14ac:dyDescent="0.2">
      <c r="E57" s="242"/>
    </row>
  </sheetData>
  <mergeCells count="20"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  <mergeCell ref="A34:A35"/>
    <mergeCell ref="B34:B35"/>
    <mergeCell ref="A32:A33"/>
    <mergeCell ref="A15:A16"/>
    <mergeCell ref="B15:B16"/>
  </mergeCells>
  <conditionalFormatting sqref="M17:M26">
    <cfRule type="cellIs" dxfId="2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2B3ED-8806-4F86-990C-40F653DB2553}">
  <dimension ref="C2:I16"/>
  <sheetViews>
    <sheetView showGridLines="0" workbookViewId="0">
      <selection activeCell="C2" sqref="C2:F14"/>
    </sheetView>
  </sheetViews>
  <sheetFormatPr defaultRowHeight="15" x14ac:dyDescent="0.25"/>
  <cols>
    <col min="3" max="3" width="27.140625" customWidth="1"/>
    <col min="4" max="4" width="11.7109375" bestFit="1" customWidth="1"/>
    <col min="5" max="5" width="16" customWidth="1"/>
    <col min="6" max="6" width="20.7109375" customWidth="1"/>
    <col min="7" max="7" width="0.7109375" style="97" customWidth="1"/>
    <col min="8" max="8" width="12" customWidth="1"/>
    <col min="9" max="9" width="12.5703125" customWidth="1"/>
  </cols>
  <sheetData>
    <row r="2" spans="3:9" ht="15" customHeight="1" x14ac:dyDescent="0.25">
      <c r="C2" s="413"/>
      <c r="D2" s="432" t="s">
        <v>292</v>
      </c>
      <c r="E2" s="433"/>
      <c r="F2" s="433"/>
      <c r="G2" s="342"/>
      <c r="H2" s="432" t="s">
        <v>287</v>
      </c>
      <c r="I2" s="433"/>
    </row>
    <row r="3" spans="3:9" ht="25.5" x14ac:dyDescent="0.25">
      <c r="C3" s="414" t="s">
        <v>294</v>
      </c>
      <c r="D3" s="414" t="s">
        <v>200</v>
      </c>
      <c r="E3" s="415" t="s">
        <v>286</v>
      </c>
      <c r="F3" s="416" t="s">
        <v>285</v>
      </c>
      <c r="G3" s="345"/>
      <c r="H3" s="346" t="s">
        <v>203</v>
      </c>
      <c r="I3" s="344" t="s">
        <v>197</v>
      </c>
    </row>
    <row r="4" spans="3:9" x14ac:dyDescent="0.25">
      <c r="C4" s="347" t="str">
        <f>VAC_Optim_Scenario!B17</f>
        <v>HCC InOffice</v>
      </c>
      <c r="D4" s="348">
        <f>'Scenario deep dive'!C23</f>
        <v>1.1347100000000001</v>
      </c>
      <c r="E4" s="348">
        <f>VAC_Optim_Scenario!G17/1000000</f>
        <v>0.9</v>
      </c>
      <c r="F4" s="348">
        <f>VAC_Optim_Scenario!H17/1000000</f>
        <v>1.1000000000000001</v>
      </c>
      <c r="G4" s="349"/>
      <c r="H4" s="350">
        <f>'Scenario deep dive'!F23</f>
        <v>0.9</v>
      </c>
      <c r="I4" s="351">
        <f>(H4-D4)/D4</f>
        <v>-0.2068458020110866</v>
      </c>
    </row>
    <row r="5" spans="3:9" x14ac:dyDescent="0.25">
      <c r="C5" s="352" t="str">
        <f>VAC_Optim_Scenario!B18</f>
        <v>HCP MCM</v>
      </c>
      <c r="D5" s="348">
        <f>'Scenario deep dive'!C24</f>
        <v>10.503728719999998</v>
      </c>
      <c r="E5" s="348">
        <f>VAC_Optim_Scenario!G18/1000000</f>
        <v>10.5</v>
      </c>
      <c r="F5" s="348">
        <f>VAC_Optim_Scenario!H18/1000000</f>
        <v>16.664999999999999</v>
      </c>
      <c r="G5" s="353"/>
      <c r="H5" s="350">
        <f>'Scenario deep dive'!F24</f>
        <v>12.572464406098238</v>
      </c>
      <c r="I5" s="351">
        <f t="shared" ref="I5:I13" si="0">(H5-D5)/D5</f>
        <v>0.19695250527169367</v>
      </c>
    </row>
    <row r="6" spans="3:9" x14ac:dyDescent="0.25">
      <c r="C6" s="352" t="str">
        <f>VAC_Optim_Scenario!B19</f>
        <v>HCC Social</v>
      </c>
      <c r="D6" s="348">
        <f>'Scenario deep dive'!C25</f>
        <v>1.7509999999999999</v>
      </c>
      <c r="E6" s="348">
        <f>VAC_Optim_Scenario!G19/1000000</f>
        <v>1.8</v>
      </c>
      <c r="F6" s="348">
        <f>VAC_Optim_Scenario!H19/1000000</f>
        <v>2.2000000000000002</v>
      </c>
      <c r="G6" s="353"/>
      <c r="H6" s="350">
        <f>'Scenario deep dive'!F25</f>
        <v>1.8</v>
      </c>
      <c r="I6" s="351">
        <f t="shared" si="0"/>
        <v>2.7984009137635726E-2</v>
      </c>
    </row>
    <row r="7" spans="3:9" x14ac:dyDescent="0.25">
      <c r="C7" s="352" t="str">
        <f>VAC_Optim_Scenario!B20</f>
        <v>HCC Online Video</v>
      </c>
      <c r="D7" s="348">
        <f>'Scenario deep dive'!C26</f>
        <v>1.1117790400000001</v>
      </c>
      <c r="E7" s="348">
        <f>VAC_Optim_Scenario!G20/1000000</f>
        <v>1.1000000000000001</v>
      </c>
      <c r="F7" s="348">
        <f>VAC_Optim_Scenario!H20/1000000</f>
        <v>1.5</v>
      </c>
      <c r="G7" s="353"/>
      <c r="H7" s="350">
        <f>'Scenario deep dive'!F26</f>
        <v>1.1000000000000001</v>
      </c>
      <c r="I7" s="351">
        <f t="shared" si="0"/>
        <v>-1.0594767104082086E-2</v>
      </c>
    </row>
    <row r="8" spans="3:9" x14ac:dyDescent="0.25">
      <c r="C8" s="352" t="str">
        <f>VAC_Optim_Scenario!B21</f>
        <v>HCC Streaming Video</v>
      </c>
      <c r="D8" s="348">
        <f>'Scenario deep dive'!C27</f>
        <v>13.418576</v>
      </c>
      <c r="E8" s="348">
        <f>VAC_Optim_Scenario!G21/1000000</f>
        <v>9.4</v>
      </c>
      <c r="F8" s="348">
        <f>VAC_Optim_Scenario!H21/1000000</f>
        <v>13.21845216</v>
      </c>
      <c r="G8" s="353"/>
      <c r="H8" s="350">
        <f>'Scenario deep dive'!F27</f>
        <v>9.4</v>
      </c>
      <c r="I8" s="351">
        <f t="shared" si="0"/>
        <v>-0.29947857358336677</v>
      </c>
    </row>
    <row r="9" spans="3:9" x14ac:dyDescent="0.25">
      <c r="C9" s="352" t="str">
        <f>VAC_Optim_Scenario!B22</f>
        <v>HCC Display</v>
      </c>
      <c r="D9" s="348">
        <f>'Scenario deep dive'!C28</f>
        <v>2.8594268199999999</v>
      </c>
      <c r="E9" s="348">
        <f>VAC_Optim_Scenario!G22/1000000</f>
        <v>2.9</v>
      </c>
      <c r="F9" s="348">
        <f>VAC_Optim_Scenario!H22/1000000</f>
        <v>4</v>
      </c>
      <c r="G9" s="353"/>
      <c r="H9" s="350">
        <f>'Scenario deep dive'!F28</f>
        <v>2.9</v>
      </c>
      <c r="I9" s="351">
        <f t="shared" si="0"/>
        <v>1.418927028179724E-2</v>
      </c>
    </row>
    <row r="10" spans="3:9" x14ac:dyDescent="0.25">
      <c r="C10" s="352" t="str">
        <f>VAC_Optim_Scenario!B23</f>
        <v>HCC Paid Search</v>
      </c>
      <c r="D10" s="348">
        <f>'Scenario deep dive'!C29</f>
        <v>0.05</v>
      </c>
      <c r="E10" s="348">
        <f>VAC_Optim_Scenario!G23/1000000</f>
        <v>0.1</v>
      </c>
      <c r="F10" s="348">
        <f>VAC_Optim_Scenario!H23/1000000</f>
        <v>0.15</v>
      </c>
      <c r="G10" s="353"/>
      <c r="H10" s="350">
        <f>'Scenario deep dive'!F29</f>
        <v>0.15</v>
      </c>
      <c r="I10" s="351">
        <f t="shared" si="0"/>
        <v>1.9999999999999998</v>
      </c>
    </row>
    <row r="11" spans="3:9" x14ac:dyDescent="0.25">
      <c r="C11" s="352" t="str">
        <f>VAC_Optim_Scenario!B24</f>
        <v>HCC Radio</v>
      </c>
      <c r="D11" s="348">
        <f>'Scenario deep dive'!C30</f>
        <v>0.92397499999999999</v>
      </c>
      <c r="E11" s="348">
        <f>VAC_Optim_Scenario!G24/1000000</f>
        <v>0.5</v>
      </c>
      <c r="F11" s="348">
        <f>VAC_Optim_Scenario!H24/1000000</f>
        <v>1.5</v>
      </c>
      <c r="G11" s="353"/>
      <c r="H11" s="350">
        <f>'Scenario deep dive'!F30</f>
        <v>0.6644169243574567</v>
      </c>
      <c r="I11" s="351">
        <f t="shared" si="0"/>
        <v>-0.28091460877463492</v>
      </c>
    </row>
    <row r="12" spans="3:9" x14ac:dyDescent="0.25">
      <c r="C12" s="352" t="str">
        <f>VAC_Optim_Scenario!B25</f>
        <v>HCC Linear TV</v>
      </c>
      <c r="D12" s="348">
        <f>'Scenario deep dive'!C31</f>
        <v>25.8109286</v>
      </c>
      <c r="E12" s="348">
        <f>VAC_Optim_Scenario!G25/1000000</f>
        <v>28.089210840000003</v>
      </c>
      <c r="F12" s="348">
        <f>VAC_Optim_Scenario!H25/1000000</f>
        <v>28.089210840000003</v>
      </c>
      <c r="G12" s="353"/>
      <c r="H12" s="350">
        <f>'Scenario deep dive'!F31</f>
        <v>28.089210840000003</v>
      </c>
      <c r="I12" s="351">
        <f t="shared" si="0"/>
        <v>8.826812375901899E-2</v>
      </c>
    </row>
    <row r="13" spans="3:9" x14ac:dyDescent="0.25">
      <c r="C13" s="352" t="str">
        <f>VAC_Optim_Scenario!B26</f>
        <v>HCC Pharmacy</v>
      </c>
      <c r="D13" s="348">
        <f>'Scenario deep dive'!C32</f>
        <v>2.4119679999999999</v>
      </c>
      <c r="E13" s="348">
        <f>VAC_Optim_Scenario!G26/1000000</f>
        <v>2.4</v>
      </c>
      <c r="F13" s="348">
        <f>VAC_Optim_Scenario!H26/1000000</f>
        <v>4.5</v>
      </c>
      <c r="G13" s="353"/>
      <c r="H13" s="350">
        <f>'Scenario deep dive'!F32</f>
        <v>2.4</v>
      </c>
      <c r="I13" s="351">
        <f t="shared" si="0"/>
        <v>-4.961923209594812E-3</v>
      </c>
    </row>
    <row r="14" spans="3:9" x14ac:dyDescent="0.25">
      <c r="C14" s="354" t="s">
        <v>293</v>
      </c>
      <c r="D14" s="355">
        <f>'Scenario deep dive'!C33</f>
        <v>59.976092180000002</v>
      </c>
      <c r="E14" s="383">
        <f>VAC_Optim_Scenario!G27/1000000</f>
        <v>57.689210840000001</v>
      </c>
      <c r="F14" s="383">
        <f>VAC_Optim_Scenario!H27/1000000</f>
        <v>72.922663</v>
      </c>
      <c r="G14" s="353"/>
      <c r="H14" s="356">
        <f>SUM(H4:H13)</f>
        <v>59.976092170455694</v>
      </c>
      <c r="I14" s="357">
        <f>(H14-D14)/D14</f>
        <v>-1.5913521718011145E-10</v>
      </c>
    </row>
    <row r="15" spans="3:9" x14ac:dyDescent="0.25">
      <c r="G15"/>
    </row>
    <row r="16" spans="3:9" x14ac:dyDescent="0.25">
      <c r="G16"/>
    </row>
  </sheetData>
  <mergeCells count="2">
    <mergeCell ref="H2:I2"/>
    <mergeCell ref="D2:F2"/>
  </mergeCells>
  <conditionalFormatting sqref="I4:I13"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4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229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76" t="s">
        <v>106</v>
      </c>
      <c r="C4" s="476"/>
      <c r="D4" s="476"/>
      <c r="E4" s="476"/>
      <c r="F4" s="477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74" t="s">
        <v>8</v>
      </c>
      <c r="B7" s="479" t="s">
        <v>9</v>
      </c>
      <c r="C7" s="480"/>
      <c r="D7" s="481" t="s">
        <v>12</v>
      </c>
      <c r="E7" s="482"/>
      <c r="F7" s="483"/>
      <c r="G7" s="479" t="s">
        <v>124</v>
      </c>
      <c r="H7" s="479"/>
      <c r="I7" s="484"/>
      <c r="J7" s="98" t="s">
        <v>125</v>
      </c>
    </row>
    <row r="8" spans="1:18" ht="28.35" customHeight="1" x14ac:dyDescent="0.2">
      <c r="A8" s="478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75"/>
      <c r="B9" s="95">
        <f>VAC_Optim_Scenario!G17</f>
        <v>900000</v>
      </c>
      <c r="C9" s="95">
        <f>VAC_Optim_Scenario!H17</f>
        <v>1100000</v>
      </c>
      <c r="D9" s="68">
        <f>VAC_Optim_Scenario!I17</f>
        <v>900000</v>
      </c>
      <c r="E9" s="84">
        <f>((($R$12/(1+EXP($P$12+$Q$12*D9)))-1) - ($F$12-$C$12))*$I$12</f>
        <v>6242.5057294806466</v>
      </c>
      <c r="F9" s="89">
        <f>E9*$G$12</f>
        <v>6242.5057294806466</v>
      </c>
      <c r="G9" s="95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167</v>
      </c>
    </row>
    <row r="10" spans="1:18" ht="13.5" thickBot="1" x14ac:dyDescent="0.25"/>
    <row r="11" spans="1:18" ht="51.6" customHeight="1" x14ac:dyDescent="0.2">
      <c r="A11" s="474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66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75"/>
      <c r="B12" s="294">
        <f>'[1]HCC Inoffice Curve'!$B$12</f>
        <v>1100000</v>
      </c>
      <c r="C12" s="294">
        <f>'[1]HCC Inoffice Curve'!$C$12</f>
        <v>7211.735697901333</v>
      </c>
      <c r="D12" s="294">
        <f>'[1]HCC Inoffice Curve'!$D$12</f>
        <v>0</v>
      </c>
      <c r="E12" s="294">
        <f>'[1]HCC Inoffice Curve'!$E$12</f>
        <v>14423.471395802664</v>
      </c>
      <c r="F12" s="294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295">
        <f>VAC_Optim_Scenario!D17</f>
        <v>1</v>
      </c>
      <c r="K12" s="467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68" t="s">
        <v>169</v>
      </c>
      <c r="B13" s="469"/>
      <c r="C13" s="469"/>
      <c r="D13" s="469"/>
      <c r="E13" s="469"/>
      <c r="F13" s="470"/>
      <c r="G13" s="119" t="s">
        <v>150</v>
      </c>
      <c r="H13" s="119" t="s">
        <v>151</v>
      </c>
      <c r="K13" s="468" t="s">
        <v>115</v>
      </c>
      <c r="L13" s="469"/>
      <c r="M13" s="469"/>
      <c r="N13" s="469"/>
      <c r="O13" s="469"/>
      <c r="P13" s="469"/>
      <c r="Q13" s="469"/>
      <c r="R13" s="470"/>
    </row>
    <row r="14" spans="1:18" ht="33.6" customHeight="1" thickBot="1" x14ac:dyDescent="0.25">
      <c r="A14" s="471"/>
      <c r="B14" s="472"/>
      <c r="C14" s="472"/>
      <c r="D14" s="472"/>
      <c r="E14" s="472"/>
      <c r="F14" s="473"/>
      <c r="G14" s="95">
        <f>VAC_Optim_Scenario!$I$33</f>
        <v>225.94</v>
      </c>
      <c r="H14" s="95">
        <f>VAC_Optim_Scenario!$F$33</f>
        <v>225.94</v>
      </c>
      <c r="K14" s="471"/>
      <c r="L14" s="472"/>
      <c r="M14" s="472"/>
      <c r="N14" s="472"/>
      <c r="O14" s="472"/>
      <c r="P14" s="472"/>
      <c r="Q14" s="472"/>
      <c r="R14" s="473"/>
    </row>
    <row r="16" spans="1:18" ht="13.5" thickBot="1" x14ac:dyDescent="0.25"/>
    <row r="17" spans="1:8" ht="42.6" customHeight="1" x14ac:dyDescent="0.2">
      <c r="A17" s="466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67"/>
      <c r="B18" s="75">
        <v>0</v>
      </c>
      <c r="C18" s="76">
        <v>4000000</v>
      </c>
      <c r="D18" s="26">
        <v>20</v>
      </c>
    </row>
    <row r="20" spans="1:8" x14ac:dyDescent="0.2">
      <c r="A20" s="447" t="s">
        <v>37</v>
      </c>
      <c r="B20" s="447"/>
      <c r="C20" s="447"/>
    </row>
    <row r="21" spans="1:8" ht="25.5" x14ac:dyDescent="0.2">
      <c r="A21" s="119" t="s">
        <v>35</v>
      </c>
      <c r="B21" s="119" t="s">
        <v>170</v>
      </c>
      <c r="C21" s="119" t="s">
        <v>171</v>
      </c>
      <c r="D21" s="98" t="s">
        <v>172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  <c r="G28" s="338">
        <f>E28-E27</f>
        <v>205627.01974889683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  <c r="G29" s="140">
        <f>A28-A27</f>
        <v>200000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  <c r="G30" s="87">
        <f>G28/G29</f>
        <v>1.0281350987444842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229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76" t="s">
        <v>106</v>
      </c>
      <c r="C4" s="476"/>
      <c r="D4" s="476"/>
      <c r="E4" s="476"/>
      <c r="F4" s="477"/>
      <c r="H4" s="98" t="s">
        <v>107</v>
      </c>
    </row>
    <row r="5" spans="1:18" x14ac:dyDescent="0.2">
      <c r="H5" s="98" t="s">
        <v>173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74" t="s">
        <v>8</v>
      </c>
      <c r="B7" s="479" t="s">
        <v>9</v>
      </c>
      <c r="C7" s="480"/>
      <c r="D7" s="481" t="s">
        <v>12</v>
      </c>
      <c r="E7" s="482"/>
      <c r="F7" s="483"/>
      <c r="G7" s="479" t="s">
        <v>124</v>
      </c>
      <c r="H7" s="479"/>
      <c r="I7" s="484"/>
      <c r="J7" s="98" t="s">
        <v>125</v>
      </c>
    </row>
    <row r="8" spans="1:18" ht="28.35" customHeight="1" x14ac:dyDescent="0.2">
      <c r="A8" s="478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75"/>
      <c r="B9" s="95">
        <f>VAC_Optim_Scenario!G18</f>
        <v>10500000</v>
      </c>
      <c r="C9" s="95">
        <f>VAC_Optim_Scenario!H18</f>
        <v>16665000</v>
      </c>
      <c r="D9" s="68">
        <f>VAC_Optim_Scenario!I18</f>
        <v>12572464.52241138</v>
      </c>
      <c r="E9" s="84">
        <f>((($R$12/(1+EXP($P$12+$Q$12*D9)))-1) - ($F$12-$C$12))*$I$12</f>
        <v>331086.14762437437</v>
      </c>
      <c r="F9" s="89">
        <f>E9*$G$12</f>
        <v>331086.14762437437</v>
      </c>
      <c r="G9" s="95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167</v>
      </c>
    </row>
    <row r="10" spans="1:18" ht="13.5" thickBot="1" x14ac:dyDescent="0.25"/>
    <row r="11" spans="1:18" ht="51.6" customHeight="1" x14ac:dyDescent="0.2">
      <c r="A11" s="474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66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75"/>
      <c r="B12" s="294">
        <f>'[2]HCP MCM SCurve'!$B$12</f>
        <v>10503728.719999999</v>
      </c>
      <c r="C12" s="294">
        <f>'[2]HCP MCM SCurve'!$C$12</f>
        <v>288339.09761974245</v>
      </c>
      <c r="D12" s="294">
        <f>'[2]HCP MCM SCurve'!$D$12</f>
        <v>0</v>
      </c>
      <c r="E12" s="294">
        <f>'[2]HCP MCM SCurve'!$E$12</f>
        <v>720847.7440493562</v>
      </c>
      <c r="F12" s="294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295">
        <f>VAC_Optim_Scenario!D18</f>
        <v>1</v>
      </c>
      <c r="K12" s="467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68" t="s">
        <v>174</v>
      </c>
      <c r="B13" s="469"/>
      <c r="C13" s="469"/>
      <c r="D13" s="469"/>
      <c r="E13" s="469"/>
      <c r="F13" s="470"/>
      <c r="G13" s="119" t="s">
        <v>150</v>
      </c>
      <c r="H13" s="119" t="s">
        <v>151</v>
      </c>
      <c r="K13" s="468" t="s">
        <v>115</v>
      </c>
      <c r="L13" s="469"/>
      <c r="M13" s="469"/>
      <c r="N13" s="469"/>
      <c r="O13" s="469"/>
      <c r="P13" s="469"/>
      <c r="Q13" s="469"/>
      <c r="R13" s="470"/>
    </row>
    <row r="14" spans="1:18" ht="33.6" customHeight="1" thickBot="1" x14ac:dyDescent="0.25">
      <c r="A14" s="471"/>
      <c r="B14" s="472"/>
      <c r="C14" s="472"/>
      <c r="D14" s="472"/>
      <c r="E14" s="472"/>
      <c r="F14" s="473"/>
      <c r="G14" s="95">
        <f>VAC_Optim_Scenario!$I$33</f>
        <v>225.94</v>
      </c>
      <c r="H14" s="95">
        <f>VAC_Optim_Scenario!$F$33</f>
        <v>225.94</v>
      </c>
      <c r="K14" s="471"/>
      <c r="L14" s="472"/>
      <c r="M14" s="472"/>
      <c r="N14" s="472"/>
      <c r="O14" s="472"/>
      <c r="P14" s="472"/>
      <c r="Q14" s="472"/>
      <c r="R14" s="473"/>
    </row>
    <row r="16" spans="1:18" ht="13.5" thickBot="1" x14ac:dyDescent="0.25"/>
    <row r="17" spans="1:8" ht="42.6" customHeight="1" x14ac:dyDescent="0.2">
      <c r="A17" s="466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67"/>
      <c r="B18" s="75">
        <v>0</v>
      </c>
      <c r="C18" s="76">
        <v>12500000</v>
      </c>
      <c r="D18" s="26">
        <v>20</v>
      </c>
    </row>
    <row r="20" spans="1:8" x14ac:dyDescent="0.2">
      <c r="A20" s="447" t="s">
        <v>37</v>
      </c>
      <c r="B20" s="447"/>
      <c r="C20" s="447"/>
    </row>
    <row r="21" spans="1:8" ht="25.5" x14ac:dyDescent="0.2">
      <c r="A21" s="119" t="s">
        <v>35</v>
      </c>
      <c r="B21" s="119" t="s">
        <v>164</v>
      </c>
      <c r="C21" s="119" t="s">
        <v>171</v>
      </c>
      <c r="D21" s="98" t="s">
        <v>175</v>
      </c>
      <c r="E21" s="119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250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230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5"/>
      <c r="C4" s="486"/>
      <c r="D4" s="486"/>
      <c r="E4" s="486"/>
      <c r="F4" s="48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74" t="s">
        <v>8</v>
      </c>
      <c r="B7" s="479" t="s">
        <v>9</v>
      </c>
      <c r="C7" s="479"/>
      <c r="D7" s="479" t="s">
        <v>12</v>
      </c>
      <c r="E7" s="479"/>
      <c r="F7" s="479"/>
      <c r="G7" s="479" t="s">
        <v>124</v>
      </c>
      <c r="H7" s="479"/>
      <c r="I7" s="484"/>
    </row>
    <row r="8" spans="1:9" x14ac:dyDescent="0.25">
      <c r="A8" s="478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75"/>
      <c r="B9" s="312">
        <f>VAC_Optim_Scenario!G19</f>
        <v>1800000</v>
      </c>
      <c r="C9" s="312">
        <f>VAC_Optim_Scenario!H19</f>
        <v>2200000</v>
      </c>
      <c r="D9" s="313">
        <f>VAC_Optim_Scenario!I19</f>
        <v>1800000</v>
      </c>
      <c r="E9" s="84">
        <f>((GSOCIAL!D9/$B$12)^$D$12)*$C$12*$F$12</f>
        <v>24218.148093092648</v>
      </c>
      <c r="F9" s="84">
        <f>E9*F11</f>
        <v>24218.148093092648</v>
      </c>
      <c r="G9" s="76">
        <f>VAC_Optim_Scenario!E19</f>
        <v>1751000</v>
      </c>
      <c r="H9" s="314">
        <f>((GSOCIAL!G9/$B$12)^$D$12)*$C$12*$F$12</f>
        <v>23820.403572058858</v>
      </c>
      <c r="I9" s="315">
        <f>H9*F11</f>
        <v>23820.403572058858</v>
      </c>
    </row>
    <row r="10" spans="1:9" ht="15.75" thickBot="1" x14ac:dyDescent="0.3"/>
    <row r="11" spans="1:9" ht="48.95" customHeight="1" x14ac:dyDescent="0.25">
      <c r="A11" s="447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47"/>
      <c r="B12" s="317">
        <f>'[3]HCC Social - Power'!$B$12</f>
        <v>1751000</v>
      </c>
      <c r="C12" s="317">
        <f>'[3]HCC Social - Power'!$C$12</f>
        <v>23820.403572058858</v>
      </c>
      <c r="D12" s="322">
        <f>'[3]HCC Social - Power'!$D$12</f>
        <v>0.6</v>
      </c>
      <c r="E12" s="309" t="s">
        <v>122</v>
      </c>
      <c r="F12" s="318">
        <f>VAC_Optim_Scenario!D19</f>
        <v>1</v>
      </c>
      <c r="G12" s="319">
        <f>B12*2</f>
        <v>3502000</v>
      </c>
    </row>
    <row r="13" spans="1:9" ht="18.75" customHeight="1" x14ac:dyDescent="0.25">
      <c r="A13" s="468" t="s">
        <v>246</v>
      </c>
      <c r="B13" s="469"/>
      <c r="C13" s="469"/>
      <c r="D13" s="469"/>
      <c r="E13" s="309" t="s">
        <v>247</v>
      </c>
      <c r="F13" s="309" t="s">
        <v>248</v>
      </c>
    </row>
    <row r="14" spans="1:9" ht="15.75" thickBot="1" x14ac:dyDescent="0.3">
      <c r="A14" s="471"/>
      <c r="B14" s="472"/>
      <c r="C14" s="472"/>
      <c r="D14" s="472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66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67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47" t="s">
        <v>37</v>
      </c>
      <c r="B19" s="447"/>
      <c r="C19" s="447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7408.6901640745618</v>
      </c>
      <c r="C22" s="321">
        <f t="shared" ref="C22:C41" si="1">B22*$F$14</f>
        <v>1673919.4556710066</v>
      </c>
    </row>
    <row r="23" spans="1:4" x14ac:dyDescent="0.25">
      <c r="A23" s="320">
        <f t="shared" ref="A23:A41" si="2">A22+(($C$17-$B$17)/$D$17)</f>
        <v>500000</v>
      </c>
      <c r="B23" s="314">
        <f t="shared" si="0"/>
        <v>11229.474417830452</v>
      </c>
      <c r="C23" s="321">
        <f t="shared" si="1"/>
        <v>2537187.4499646123</v>
      </c>
    </row>
    <row r="24" spans="1:4" x14ac:dyDescent="0.25">
      <c r="A24" s="320">
        <f t="shared" si="2"/>
        <v>750000</v>
      </c>
      <c r="B24" s="314">
        <f t="shared" si="0"/>
        <v>14322.346801651498</v>
      </c>
      <c r="C24" s="321">
        <f t="shared" si="1"/>
        <v>3235991.0363651393</v>
      </c>
    </row>
    <row r="25" spans="1:4" x14ac:dyDescent="0.25">
      <c r="A25" s="320">
        <f t="shared" si="2"/>
        <v>1000000</v>
      </c>
      <c r="B25" s="314">
        <f t="shared" si="0"/>
        <v>17020.700408310324</v>
      </c>
      <c r="C25" s="321">
        <f t="shared" si="1"/>
        <v>3845657.0502536343</v>
      </c>
    </row>
    <row r="26" spans="1:4" x14ac:dyDescent="0.25">
      <c r="A26" s="320">
        <f t="shared" si="2"/>
        <v>1250000</v>
      </c>
      <c r="B26" s="314">
        <f t="shared" si="0"/>
        <v>19459.130710154546</v>
      </c>
      <c r="C26" s="321">
        <f t="shared" si="1"/>
        <v>4396595.9926523184</v>
      </c>
    </row>
    <row r="27" spans="1:4" x14ac:dyDescent="0.25">
      <c r="A27" s="320">
        <f t="shared" si="2"/>
        <v>1500000</v>
      </c>
      <c r="B27" s="314">
        <f t="shared" si="0"/>
        <v>21708.618318570392</v>
      </c>
      <c r="C27" s="321">
        <f t="shared" si="1"/>
        <v>4904845.2228977941</v>
      </c>
    </row>
    <row r="28" spans="1:4" x14ac:dyDescent="0.25">
      <c r="A28" s="320">
        <f t="shared" si="2"/>
        <v>1750000</v>
      </c>
      <c r="B28" s="314">
        <f t="shared" si="0"/>
        <v>23812.240308184086</v>
      </c>
      <c r="C28" s="321">
        <f t="shared" si="1"/>
        <v>5380137.5752311125</v>
      </c>
    </row>
    <row r="29" spans="1:4" x14ac:dyDescent="0.25">
      <c r="A29" s="320">
        <f t="shared" si="2"/>
        <v>2000000</v>
      </c>
      <c r="B29" s="314">
        <f t="shared" si="0"/>
        <v>25798.557582486257</v>
      </c>
      <c r="C29" s="321">
        <f t="shared" si="1"/>
        <v>5828926.1001869449</v>
      </c>
    </row>
    <row r="30" spans="1:4" x14ac:dyDescent="0.25">
      <c r="A30" s="320">
        <f t="shared" si="2"/>
        <v>2250000</v>
      </c>
      <c r="B30" s="314">
        <f t="shared" si="0"/>
        <v>27687.703678238533</v>
      </c>
      <c r="C30" s="321">
        <f t="shared" si="1"/>
        <v>6255759.7690612143</v>
      </c>
    </row>
    <row r="31" spans="1:4" x14ac:dyDescent="0.25">
      <c r="A31" s="320">
        <f t="shared" si="2"/>
        <v>2500000</v>
      </c>
      <c r="B31" s="314">
        <f t="shared" si="0"/>
        <v>29494.526787272491</v>
      </c>
      <c r="C31" s="321">
        <f t="shared" si="1"/>
        <v>6663993.3823163463</v>
      </c>
    </row>
    <row r="32" spans="1:4" x14ac:dyDescent="0.25">
      <c r="A32" s="320">
        <f t="shared" si="2"/>
        <v>2750000</v>
      </c>
      <c r="B32" s="314">
        <f t="shared" si="0"/>
        <v>31230.363834281474</v>
      </c>
      <c r="C32" s="321">
        <f t="shared" si="1"/>
        <v>7056188.4047175562</v>
      </c>
    </row>
    <row r="33" spans="1:3" x14ac:dyDescent="0.25">
      <c r="A33" s="320">
        <f t="shared" si="2"/>
        <v>3000000</v>
      </c>
      <c r="B33" s="314">
        <f t="shared" si="0"/>
        <v>32904.112421508238</v>
      </c>
      <c r="C33" s="321">
        <f t="shared" si="1"/>
        <v>7434355.160515571</v>
      </c>
    </row>
    <row r="34" spans="1:3" x14ac:dyDescent="0.25">
      <c r="A34" s="320">
        <f t="shared" si="2"/>
        <v>3250000</v>
      </c>
      <c r="B34" s="314">
        <f t="shared" si="0"/>
        <v>34522.913816809414</v>
      </c>
      <c r="C34" s="321">
        <f t="shared" si="1"/>
        <v>7800107.1477699187</v>
      </c>
    </row>
    <row r="35" spans="1:3" x14ac:dyDescent="0.25">
      <c r="A35" s="320">
        <f t="shared" si="2"/>
        <v>3500000</v>
      </c>
      <c r="B35" s="314">
        <f t="shared" si="0"/>
        <v>36092.607120841283</v>
      </c>
      <c r="C35" s="321">
        <f t="shared" si="1"/>
        <v>8154763.6528828796</v>
      </c>
    </row>
    <row r="36" spans="1:3" x14ac:dyDescent="0.25">
      <c r="A36" s="320">
        <f t="shared" si="2"/>
        <v>3750000</v>
      </c>
      <c r="B36" s="314">
        <f t="shared" si="0"/>
        <v>37618.042098851023</v>
      </c>
      <c r="C36" s="321">
        <f t="shared" si="1"/>
        <v>8499420.4318144005</v>
      </c>
    </row>
    <row r="37" spans="1:3" x14ac:dyDescent="0.25">
      <c r="A37" s="320">
        <f t="shared" si="2"/>
        <v>4000000</v>
      </c>
      <c r="B37" s="314">
        <f t="shared" si="0"/>
        <v>39103.301119846867</v>
      </c>
      <c r="C37" s="321">
        <f t="shared" si="1"/>
        <v>8834999.8550182004</v>
      </c>
    </row>
    <row r="38" spans="1:3" x14ac:dyDescent="0.25">
      <c r="A38" s="320">
        <f t="shared" si="2"/>
        <v>4250000</v>
      </c>
      <c r="B38" s="314">
        <f t="shared" si="0"/>
        <v>40551.860621591703</v>
      </c>
      <c r="C38" s="321">
        <f t="shared" si="1"/>
        <v>9162287.38884243</v>
      </c>
    </row>
    <row r="39" spans="1:3" x14ac:dyDescent="0.25">
      <c r="A39" s="320">
        <f t="shared" si="2"/>
        <v>4500000</v>
      </c>
      <c r="B39" s="314">
        <f t="shared" si="0"/>
        <v>41966.711153737037</v>
      </c>
      <c r="C39" s="321">
        <f t="shared" si="1"/>
        <v>9481958.7180753462</v>
      </c>
    </row>
    <row r="40" spans="1:3" x14ac:dyDescent="0.25">
      <c r="A40" s="320">
        <f t="shared" si="2"/>
        <v>4750000</v>
      </c>
      <c r="B40" s="314">
        <f t="shared" si="0"/>
        <v>43350.448326913778</v>
      </c>
      <c r="C40" s="321">
        <f t="shared" si="1"/>
        <v>9794600.294982899</v>
      </c>
    </row>
    <row r="41" spans="1:3" x14ac:dyDescent="0.25">
      <c r="A41" s="320">
        <f t="shared" si="2"/>
        <v>5000000</v>
      </c>
      <c r="B41" s="314">
        <f t="shared" si="0"/>
        <v>44705.342872853616</v>
      </c>
      <c r="C41" s="321">
        <f t="shared" si="1"/>
        <v>10100725.168692546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231</v>
      </c>
    </row>
    <row r="2" spans="1:18" x14ac:dyDescent="0.2">
      <c r="A2" s="7" t="s">
        <v>2</v>
      </c>
      <c r="B2" s="8" t="s">
        <v>229</v>
      </c>
      <c r="C2" s="9" t="s">
        <v>4</v>
      </c>
      <c r="D2" s="8" t="s">
        <v>6</v>
      </c>
      <c r="E2" s="9" t="s">
        <v>116</v>
      </c>
      <c r="F2" s="10" t="s">
        <v>163</v>
      </c>
      <c r="H2" s="258" t="s">
        <v>102</v>
      </c>
      <c r="I2" s="259"/>
      <c r="J2" s="259"/>
      <c r="K2" s="259"/>
      <c r="L2" s="260"/>
    </row>
    <row r="3" spans="1:18" ht="13.5" thickBot="1" x14ac:dyDescent="0.25">
      <c r="A3" s="11" t="s">
        <v>3</v>
      </c>
      <c r="B3" s="12" t="s">
        <v>225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76" t="s">
        <v>106</v>
      </c>
      <c r="C4" s="476"/>
      <c r="D4" s="476"/>
      <c r="E4" s="476"/>
      <c r="F4" s="477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74" t="s">
        <v>8</v>
      </c>
      <c r="B7" s="479" t="s">
        <v>9</v>
      </c>
      <c r="C7" s="480"/>
      <c r="D7" s="481" t="s">
        <v>12</v>
      </c>
      <c r="E7" s="482"/>
      <c r="F7" s="483"/>
      <c r="G7" s="479" t="s">
        <v>124</v>
      </c>
      <c r="H7" s="479"/>
      <c r="I7" s="484"/>
      <c r="J7" s="98" t="s">
        <v>125</v>
      </c>
    </row>
    <row r="8" spans="1:18" ht="28.35" customHeight="1" x14ac:dyDescent="0.2">
      <c r="A8" s="478"/>
      <c r="B8" s="257" t="s">
        <v>10</v>
      </c>
      <c r="C8" s="17" t="s">
        <v>11</v>
      </c>
      <c r="D8" s="19" t="s">
        <v>20</v>
      </c>
      <c r="E8" s="257" t="s">
        <v>21</v>
      </c>
      <c r="F8" s="81" t="s">
        <v>117</v>
      </c>
      <c r="G8" s="261" t="s">
        <v>22</v>
      </c>
      <c r="H8" s="257" t="s">
        <v>23</v>
      </c>
      <c r="I8" s="88" t="s">
        <v>123</v>
      </c>
    </row>
    <row r="9" spans="1:18" ht="14.45" customHeight="1" thickBot="1" x14ac:dyDescent="0.25">
      <c r="A9" s="475"/>
      <c r="B9" s="95">
        <f>VAC_Optim_Scenario!G20</f>
        <v>1100000</v>
      </c>
      <c r="C9" s="95">
        <f>VAC_Optim_Scenario!H20</f>
        <v>1500000</v>
      </c>
      <c r="D9" s="68">
        <f>VAC_Optim_Scenario!I20</f>
        <v>1100000</v>
      </c>
      <c r="E9" s="84">
        <f>((($R$12/(1+EXP($P$12+$Q$12*D9)))-1) - ($F$12-$C$12))*$I$12</f>
        <v>21486.35797297582</v>
      </c>
      <c r="F9" s="89">
        <f>E9*$G$12</f>
        <v>21486.35797297582</v>
      </c>
      <c r="G9" s="95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167</v>
      </c>
    </row>
    <row r="10" spans="1:18" ht="13.5" thickBot="1" x14ac:dyDescent="0.25"/>
    <row r="11" spans="1:18" ht="51.6" customHeight="1" x14ac:dyDescent="0.2">
      <c r="A11" s="474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66" t="s">
        <v>25</v>
      </c>
      <c r="L11" s="263" t="s">
        <v>110</v>
      </c>
      <c r="M11" s="263" t="s">
        <v>111</v>
      </c>
      <c r="N11" s="263" t="s">
        <v>112</v>
      </c>
      <c r="O11" s="263" t="s">
        <v>113</v>
      </c>
      <c r="P11" s="263" t="s">
        <v>26</v>
      </c>
      <c r="Q11" s="263" t="s">
        <v>27</v>
      </c>
      <c r="R11" s="264" t="s">
        <v>28</v>
      </c>
    </row>
    <row r="12" spans="1:18" ht="15" customHeight="1" thickBot="1" x14ac:dyDescent="0.25">
      <c r="A12" s="475"/>
      <c r="B12" s="294">
        <f>'[4]HCC Online Video Curve'!$B$12</f>
        <v>1111779.04</v>
      </c>
      <c r="C12" s="294">
        <f>'[4]HCC Online Video Curve'!$C$12</f>
        <v>21646.235649615326</v>
      </c>
      <c r="D12" s="294">
        <f>'[4]HCC Online Video Curve'!$D$12</f>
        <v>0</v>
      </c>
      <c r="E12" s="294">
        <f>'[4]HCC Online Video Curve'!$E$12</f>
        <v>43292.471299230652</v>
      </c>
      <c r="F12" s="294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295">
        <f>VAC_Optim_Scenario!D20</f>
        <v>1</v>
      </c>
      <c r="K12" s="467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68" t="s">
        <v>169</v>
      </c>
      <c r="B13" s="469"/>
      <c r="C13" s="469"/>
      <c r="D13" s="469"/>
      <c r="E13" s="469"/>
      <c r="F13" s="470"/>
      <c r="G13" s="257" t="s">
        <v>150</v>
      </c>
      <c r="H13" s="257" t="s">
        <v>151</v>
      </c>
      <c r="K13" s="468" t="s">
        <v>115</v>
      </c>
      <c r="L13" s="469"/>
      <c r="M13" s="469"/>
      <c r="N13" s="469"/>
      <c r="O13" s="469"/>
      <c r="P13" s="469"/>
      <c r="Q13" s="469"/>
      <c r="R13" s="470"/>
    </row>
    <row r="14" spans="1:18" ht="33.6" customHeight="1" thickBot="1" x14ac:dyDescent="0.25">
      <c r="A14" s="471"/>
      <c r="B14" s="472"/>
      <c r="C14" s="472"/>
      <c r="D14" s="472"/>
      <c r="E14" s="472"/>
      <c r="F14" s="473"/>
      <c r="G14" s="95">
        <f>VAC_Optim_Scenario!$I$33</f>
        <v>225.94</v>
      </c>
      <c r="H14" s="95">
        <f>VAC_Optim_Scenario!$F$33</f>
        <v>225.94</v>
      </c>
      <c r="K14" s="471"/>
      <c r="L14" s="472"/>
      <c r="M14" s="472"/>
      <c r="N14" s="472"/>
      <c r="O14" s="472"/>
      <c r="P14" s="472"/>
      <c r="Q14" s="472"/>
      <c r="R14" s="473"/>
    </row>
    <row r="16" spans="1:18" ht="13.5" thickBot="1" x14ac:dyDescent="0.25"/>
    <row r="17" spans="1:8" ht="42.6" customHeight="1" x14ac:dyDescent="0.2">
      <c r="A17" s="466" t="s">
        <v>34</v>
      </c>
      <c r="B17" s="263" t="s">
        <v>32</v>
      </c>
      <c r="C17" s="263" t="s">
        <v>31</v>
      </c>
      <c r="D17" s="264" t="s">
        <v>33</v>
      </c>
      <c r="F17" s="82"/>
      <c r="G17" s="82"/>
      <c r="H17" s="83"/>
    </row>
    <row r="18" spans="1:8" ht="23.45" customHeight="1" thickBot="1" x14ac:dyDescent="0.25">
      <c r="A18" s="467"/>
      <c r="B18" s="75">
        <v>0</v>
      </c>
      <c r="C18" s="76">
        <v>4000000</v>
      </c>
      <c r="D18" s="26">
        <v>20</v>
      </c>
    </row>
    <row r="20" spans="1:8" x14ac:dyDescent="0.2">
      <c r="A20" s="447" t="s">
        <v>37</v>
      </c>
      <c r="B20" s="447"/>
      <c r="C20" s="447"/>
    </row>
    <row r="21" spans="1:8" ht="25.5" x14ac:dyDescent="0.2">
      <c r="A21" s="257" t="s">
        <v>35</v>
      </c>
      <c r="B21" s="257" t="s">
        <v>170</v>
      </c>
      <c r="C21" s="257" t="s">
        <v>171</v>
      </c>
      <c r="D21" s="98" t="s">
        <v>172</v>
      </c>
      <c r="E21" s="257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  <c r="F28" s="409">
        <f>E28-E27</f>
        <v>615981.53621483129</v>
      </c>
      <c r="G28" s="140">
        <f>A28-A27</f>
        <v>200000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  <c r="G29" s="98">
        <f>F28/G28</f>
        <v>3.0799076810741566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3" tint="0.79998168889431442"/>
  </sheetPr>
  <dimension ref="A1:I45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251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230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5"/>
      <c r="C4" s="486"/>
      <c r="D4" s="486"/>
      <c r="E4" s="486"/>
      <c r="F4" s="48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74" t="s">
        <v>8</v>
      </c>
      <c r="B7" s="479" t="s">
        <v>9</v>
      </c>
      <c r="C7" s="479"/>
      <c r="D7" s="479" t="s">
        <v>12</v>
      </c>
      <c r="E7" s="479"/>
      <c r="F7" s="479"/>
      <c r="G7" s="479" t="s">
        <v>124</v>
      </c>
      <c r="H7" s="479"/>
      <c r="I7" s="484"/>
    </row>
    <row r="8" spans="1:9" x14ac:dyDescent="0.25">
      <c r="A8" s="478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75"/>
      <c r="B9" s="312">
        <f>VAC_Optim_Scenario!G21</f>
        <v>9400000</v>
      </c>
      <c r="C9" s="312">
        <f>VAC_Optim_Scenario!H21</f>
        <v>13218452.16</v>
      </c>
      <c r="D9" s="313">
        <f>VAC_Optim_Scenario!I21</f>
        <v>9400000</v>
      </c>
      <c r="E9" s="84">
        <f>((GSTRTV!D9/$B$12)^$D$12)*$C$12*$F$12</f>
        <v>78576.267944646228</v>
      </c>
      <c r="F9" s="84">
        <f>E9*F11</f>
        <v>78576.267944646228</v>
      </c>
      <c r="G9" s="76">
        <f>VAC_Optim_Scenario!E21</f>
        <v>13418576</v>
      </c>
      <c r="H9" s="314">
        <f>((GSTRTV!G9/$B$12)^$D$12)*$C$12*$F$12</f>
        <v>100808.3256282994</v>
      </c>
      <c r="I9" s="315">
        <f>H9*F11</f>
        <v>100808.3256282994</v>
      </c>
    </row>
    <row r="10" spans="1:9" ht="15.75" thickBot="1" x14ac:dyDescent="0.3"/>
    <row r="11" spans="1:9" ht="48.95" customHeight="1" x14ac:dyDescent="0.25">
      <c r="A11" s="447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47"/>
      <c r="B12" s="317">
        <f>'[5]Streaming Video - Power'!$B$12</f>
        <v>13418576</v>
      </c>
      <c r="C12" s="317">
        <f>'[5]Streaming Video - Power'!$C$12</f>
        <v>100808.3256282994</v>
      </c>
      <c r="D12" s="322">
        <f>'[5]Streaming Video - Power'!$D$12</f>
        <v>0.7</v>
      </c>
      <c r="E12" s="309" t="s">
        <v>122</v>
      </c>
      <c r="F12" s="318">
        <f>VAC_Optim_Scenario!D21</f>
        <v>1</v>
      </c>
      <c r="G12" s="319">
        <f>B12*2</f>
        <v>26837152</v>
      </c>
    </row>
    <row r="13" spans="1:9" ht="18.75" customHeight="1" x14ac:dyDescent="0.25">
      <c r="A13" s="468" t="s">
        <v>246</v>
      </c>
      <c r="B13" s="469"/>
      <c r="C13" s="469"/>
      <c r="D13" s="469"/>
      <c r="E13" s="309" t="s">
        <v>247</v>
      </c>
      <c r="F13" s="309" t="s">
        <v>248</v>
      </c>
    </row>
    <row r="14" spans="1:9" ht="15.75" thickBot="1" x14ac:dyDescent="0.3">
      <c r="A14" s="471"/>
      <c r="B14" s="472"/>
      <c r="C14" s="472"/>
      <c r="D14" s="472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66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67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47" t="s">
        <v>37</v>
      </c>
      <c r="B19" s="447"/>
      <c r="C19" s="447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750000</v>
      </c>
      <c r="B22" s="314">
        <f t="shared" ref="B22:B41" si="0">((A22/$B$12)^$D$12)*$C$12</f>
        <v>13385.813954759049</v>
      </c>
      <c r="C22" s="321">
        <f t="shared" ref="C22:C41" si="1">B22*$F$14</f>
        <v>3024390.8049382595</v>
      </c>
    </row>
    <row r="23" spans="1:4" x14ac:dyDescent="0.25">
      <c r="A23" s="320">
        <f t="shared" ref="A23:A45" si="2">A22+(($C$17-$B$17)/$D$17)</f>
        <v>1500000</v>
      </c>
      <c r="B23" s="314">
        <f t="shared" si="0"/>
        <v>21745.318923863546</v>
      </c>
      <c r="C23" s="321">
        <f t="shared" si="1"/>
        <v>4913137.3576577296</v>
      </c>
    </row>
    <row r="24" spans="1:4" x14ac:dyDescent="0.25">
      <c r="A24" s="320">
        <f t="shared" si="2"/>
        <v>2250000</v>
      </c>
      <c r="B24" s="314">
        <f t="shared" si="0"/>
        <v>28882.159557638814</v>
      </c>
      <c r="C24" s="321">
        <f t="shared" si="1"/>
        <v>6525635.1304529132</v>
      </c>
    </row>
    <row r="25" spans="1:4" x14ac:dyDescent="0.25">
      <c r="A25" s="320">
        <f t="shared" si="2"/>
        <v>3000000</v>
      </c>
      <c r="B25" s="314">
        <f t="shared" si="0"/>
        <v>35325.374810877525</v>
      </c>
      <c r="C25" s="321">
        <f t="shared" si="1"/>
        <v>7981415.1847696677</v>
      </c>
    </row>
    <row r="26" spans="1:4" x14ac:dyDescent="0.25">
      <c r="A26" s="320">
        <f t="shared" si="2"/>
        <v>3750000</v>
      </c>
      <c r="B26" s="314">
        <f t="shared" si="0"/>
        <v>41297.502450781918</v>
      </c>
      <c r="C26" s="321">
        <f t="shared" si="1"/>
        <v>9330757.7037296668</v>
      </c>
    </row>
    <row r="27" spans="1:4" x14ac:dyDescent="0.25">
      <c r="A27" s="320">
        <f t="shared" si="2"/>
        <v>4500000</v>
      </c>
      <c r="B27" s="314">
        <f t="shared" si="0"/>
        <v>46919.206625270555</v>
      </c>
      <c r="C27" s="321">
        <f t="shared" si="1"/>
        <v>10600925.544913629</v>
      </c>
    </row>
    <row r="28" spans="1:4" x14ac:dyDescent="0.25">
      <c r="A28" s="320">
        <f t="shared" si="2"/>
        <v>5250000</v>
      </c>
      <c r="B28" s="314">
        <f t="shared" si="0"/>
        <v>52265.295791567616</v>
      </c>
      <c r="C28" s="321">
        <f t="shared" si="1"/>
        <v>11808820.931146787</v>
      </c>
    </row>
    <row r="29" spans="1:4" x14ac:dyDescent="0.25">
      <c r="A29" s="320">
        <f t="shared" si="2"/>
        <v>6000000</v>
      </c>
      <c r="B29" s="314">
        <f t="shared" si="0"/>
        <v>57386.24068463494</v>
      </c>
      <c r="C29" s="321">
        <f t="shared" si="1"/>
        <v>12965847.220286418</v>
      </c>
    </row>
    <row r="30" spans="1:4" x14ac:dyDescent="0.25">
      <c r="A30" s="320">
        <f t="shared" si="2"/>
        <v>6750000</v>
      </c>
      <c r="B30" s="314">
        <f t="shared" si="0"/>
        <v>62318.148416841854</v>
      </c>
      <c r="C30" s="321">
        <f t="shared" si="1"/>
        <v>14080162.453301249</v>
      </c>
    </row>
    <row r="31" spans="1:4" x14ac:dyDescent="0.25">
      <c r="A31" s="320">
        <f t="shared" si="2"/>
        <v>7500000</v>
      </c>
      <c r="B31" s="314">
        <f t="shared" si="0"/>
        <v>67087.990658350245</v>
      </c>
      <c r="C31" s="321">
        <f t="shared" si="1"/>
        <v>15157860.609347655</v>
      </c>
    </row>
    <row r="32" spans="1:4" x14ac:dyDescent="0.25">
      <c r="A32" s="320">
        <f t="shared" si="2"/>
        <v>8250000</v>
      </c>
      <c r="B32" s="314">
        <f t="shared" si="0"/>
        <v>71716.595411188333</v>
      </c>
      <c r="C32" s="321">
        <f t="shared" si="1"/>
        <v>16203647.567203892</v>
      </c>
    </row>
    <row r="33" spans="1:3" x14ac:dyDescent="0.25">
      <c r="A33" s="320">
        <f t="shared" si="2"/>
        <v>9000000</v>
      </c>
      <c r="B33" s="314">
        <f t="shared" si="0"/>
        <v>76220.476033018742</v>
      </c>
      <c r="C33" s="321">
        <f t="shared" si="1"/>
        <v>17221254.354900256</v>
      </c>
    </row>
    <row r="34" spans="1:3" x14ac:dyDescent="0.25">
      <c r="A34" s="320">
        <f t="shared" si="2"/>
        <v>9750000</v>
      </c>
      <c r="B34" s="314">
        <f t="shared" si="0"/>
        <v>80613.00882564421</v>
      </c>
      <c r="C34" s="321">
        <f t="shared" si="1"/>
        <v>18213703.214066051</v>
      </c>
    </row>
    <row r="35" spans="1:3" x14ac:dyDescent="0.25">
      <c r="A35" s="320">
        <f t="shared" si="2"/>
        <v>10500000</v>
      </c>
      <c r="B35" s="314">
        <f t="shared" si="0"/>
        <v>84905.223505936534</v>
      </c>
      <c r="C35" s="321">
        <f t="shared" si="1"/>
        <v>19183486.198931299</v>
      </c>
    </row>
    <row r="36" spans="1:3" x14ac:dyDescent="0.25">
      <c r="A36" s="320">
        <f t="shared" si="2"/>
        <v>11250000</v>
      </c>
      <c r="B36" s="314">
        <f t="shared" si="0"/>
        <v>89106.352377727613</v>
      </c>
      <c r="C36" s="321">
        <f t="shared" si="1"/>
        <v>20132689.256223775</v>
      </c>
    </row>
    <row r="37" spans="1:3" x14ac:dyDescent="0.25">
      <c r="A37" s="320">
        <f t="shared" si="2"/>
        <v>12000000</v>
      </c>
      <c r="B37" s="314">
        <f t="shared" si="0"/>
        <v>93224.223027940854</v>
      </c>
      <c r="C37" s="321">
        <f t="shared" si="1"/>
        <v>21063080.950932957</v>
      </c>
    </row>
    <row r="38" spans="1:3" x14ac:dyDescent="0.25">
      <c r="A38" s="320">
        <f t="shared" si="2"/>
        <v>12750000</v>
      </c>
      <c r="B38" s="314">
        <f t="shared" si="0"/>
        <v>97265.546113132033</v>
      </c>
      <c r="C38" s="321">
        <f t="shared" si="1"/>
        <v>21976177.488801051</v>
      </c>
    </row>
    <row r="39" spans="1:3" x14ac:dyDescent="0.25">
      <c r="A39" s="320">
        <f t="shared" si="2"/>
        <v>13500000</v>
      </c>
      <c r="B39" s="314">
        <f t="shared" si="0"/>
        <v>101236.13077612668</v>
      </c>
      <c r="C39" s="321">
        <f t="shared" si="1"/>
        <v>22873291.387558062</v>
      </c>
    </row>
    <row r="40" spans="1:3" x14ac:dyDescent="0.25">
      <c r="A40" s="320">
        <f t="shared" si="2"/>
        <v>14250000</v>
      </c>
      <c r="B40" s="314">
        <f t="shared" si="0"/>
        <v>105141.04889375818</v>
      </c>
      <c r="C40" s="321">
        <f t="shared" si="1"/>
        <v>23755568.587055724</v>
      </c>
    </row>
    <row r="41" spans="1:3" x14ac:dyDescent="0.25">
      <c r="A41" s="320">
        <f t="shared" si="2"/>
        <v>15000000</v>
      </c>
      <c r="B41" s="314">
        <f t="shared" si="0"/>
        <v>108984.76235793946</v>
      </c>
      <c r="C41" s="321">
        <f t="shared" si="1"/>
        <v>24624017.20715284</v>
      </c>
    </row>
    <row r="42" spans="1:3" x14ac:dyDescent="0.25">
      <c r="A42" s="320">
        <f t="shared" si="2"/>
        <v>15750000</v>
      </c>
      <c r="B42" s="314">
        <f t="shared" ref="B42:B45" si="3">((A42/$B$12)^$D$12)*$C$12</f>
        <v>112771.22313825082</v>
      </c>
      <c r="C42" s="321">
        <f t="shared" ref="C42:C45" si="4">B42*$F$14</f>
        <v>25479530.15585639</v>
      </c>
    </row>
    <row r="43" spans="1:3" x14ac:dyDescent="0.25">
      <c r="A43" s="320">
        <f t="shared" si="2"/>
        <v>16500000</v>
      </c>
      <c r="B43" s="314">
        <f t="shared" si="3"/>
        <v>116503.95296249664</v>
      </c>
      <c r="C43" s="321">
        <f t="shared" si="4"/>
        <v>26322903.132346489</v>
      </c>
    </row>
    <row r="44" spans="1:3" x14ac:dyDescent="0.25">
      <c r="A44" s="320">
        <f t="shared" si="2"/>
        <v>17250000</v>
      </c>
      <c r="B44" s="314">
        <f t="shared" si="3"/>
        <v>120186.10750238127</v>
      </c>
      <c r="C44" s="321">
        <f t="shared" si="4"/>
        <v>27154849.129088026</v>
      </c>
    </row>
    <row r="45" spans="1:3" x14ac:dyDescent="0.25">
      <c r="A45" s="320">
        <f t="shared" si="2"/>
        <v>18000000</v>
      </c>
      <c r="B45" s="314">
        <f t="shared" si="3"/>
        <v>123820.52861846496</v>
      </c>
      <c r="C45" s="321">
        <f t="shared" si="4"/>
        <v>27976010.236055974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252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254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5"/>
      <c r="C4" s="486"/>
      <c r="D4" s="486"/>
      <c r="E4" s="486"/>
      <c r="F4" s="48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74" t="s">
        <v>8</v>
      </c>
      <c r="B7" s="479" t="s">
        <v>9</v>
      </c>
      <c r="C7" s="479"/>
      <c r="D7" s="479" t="s">
        <v>12</v>
      </c>
      <c r="E7" s="479"/>
      <c r="F7" s="479"/>
      <c r="G7" s="479" t="s">
        <v>124</v>
      </c>
      <c r="H7" s="479"/>
      <c r="I7" s="484"/>
    </row>
    <row r="8" spans="1:9" x14ac:dyDescent="0.25">
      <c r="A8" s="478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75"/>
      <c r="B9" s="312">
        <f>VAC_Optim_Scenario!G22</f>
        <v>2900000</v>
      </c>
      <c r="C9" s="312">
        <f>VAC_Optim_Scenario!H22</f>
        <v>4000000</v>
      </c>
      <c r="D9" s="313">
        <f>VAC_Optim_Scenario!I22</f>
        <v>2900000</v>
      </c>
      <c r="E9" s="84">
        <f>((GDISP!D9/$B$12)^$D$12)*$C$12*$F$12</f>
        <v>76710.770935870692</v>
      </c>
      <c r="F9" s="84">
        <f>E9*F11</f>
        <v>76710.770935870692</v>
      </c>
      <c r="G9" s="76">
        <f>VAC_Optim_Scenario!E22</f>
        <v>2859426.82</v>
      </c>
      <c r="H9" s="314">
        <f>((GDISP!G9/$B$12)^$D$12)*$C$12*$F$12</f>
        <v>76065.012406995462</v>
      </c>
      <c r="I9" s="315">
        <f>H9*F11</f>
        <v>76065.012406995462</v>
      </c>
    </row>
    <row r="10" spans="1:9" ht="15.75" thickBot="1" x14ac:dyDescent="0.3"/>
    <row r="11" spans="1:9" ht="48.95" customHeight="1" x14ac:dyDescent="0.25">
      <c r="A11" s="447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47"/>
      <c r="B12" s="317">
        <f>'[6]HCC Display - Power'!$B$12</f>
        <v>2859426.82</v>
      </c>
      <c r="C12" s="317">
        <f>'[6]HCC Display - Power'!$C$12</f>
        <v>76065.012406995462</v>
      </c>
      <c r="D12" s="322">
        <f>'[6]HCC Display - Power'!$D$12</f>
        <v>0.6</v>
      </c>
      <c r="E12" s="309" t="s">
        <v>122</v>
      </c>
      <c r="F12" s="318">
        <f>VAC_Optim_Scenario!D22</f>
        <v>1</v>
      </c>
      <c r="G12" s="319">
        <f>B12*2</f>
        <v>5718853.6399999997</v>
      </c>
    </row>
    <row r="13" spans="1:9" ht="18.75" customHeight="1" x14ac:dyDescent="0.25">
      <c r="A13" s="468" t="s">
        <v>246</v>
      </c>
      <c r="B13" s="469"/>
      <c r="C13" s="469"/>
      <c r="D13" s="469"/>
      <c r="E13" s="309" t="s">
        <v>247</v>
      </c>
      <c r="F13" s="309" t="s">
        <v>248</v>
      </c>
    </row>
    <row r="14" spans="1:9" ht="15.75" thickBot="1" x14ac:dyDescent="0.3">
      <c r="A14" s="471"/>
      <c r="B14" s="472"/>
      <c r="C14" s="472"/>
      <c r="D14" s="472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66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67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47" t="s">
        <v>37</v>
      </c>
      <c r="B19" s="447"/>
      <c r="C19" s="447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17627.127824775001</v>
      </c>
      <c r="C22" s="321">
        <f t="shared" ref="C22:C41" si="1">B22*$F$14</f>
        <v>3982673.260729664</v>
      </c>
    </row>
    <row r="23" spans="1:4" x14ac:dyDescent="0.25">
      <c r="A23" s="320">
        <f t="shared" ref="A23:A41" si="2">A22+(($C$17-$B$17)/$D$17)</f>
        <v>500000</v>
      </c>
      <c r="B23" s="314">
        <f t="shared" si="0"/>
        <v>26717.729664007864</v>
      </c>
      <c r="C23" s="321">
        <f t="shared" si="1"/>
        <v>6036603.8402859364</v>
      </c>
    </row>
    <row r="24" spans="1:4" x14ac:dyDescent="0.25">
      <c r="A24" s="320">
        <f t="shared" si="2"/>
        <v>750000</v>
      </c>
      <c r="B24" s="314">
        <f t="shared" si="0"/>
        <v>34076.447014572113</v>
      </c>
      <c r="C24" s="321">
        <f t="shared" si="1"/>
        <v>7699232.4384724228</v>
      </c>
    </row>
    <row r="25" spans="1:4" x14ac:dyDescent="0.25">
      <c r="A25" s="320">
        <f t="shared" si="2"/>
        <v>1000000</v>
      </c>
      <c r="B25" s="314">
        <f t="shared" si="0"/>
        <v>40496.50547128301</v>
      </c>
      <c r="C25" s="321">
        <f t="shared" si="1"/>
        <v>9149780.4461816829</v>
      </c>
    </row>
    <row r="26" spans="1:4" x14ac:dyDescent="0.25">
      <c r="A26" s="320">
        <f t="shared" si="2"/>
        <v>1250000</v>
      </c>
      <c r="B26" s="314">
        <f t="shared" si="0"/>
        <v>46298.141343550837</v>
      </c>
      <c r="C26" s="321">
        <f t="shared" si="1"/>
        <v>10460602.055161877</v>
      </c>
    </row>
    <row r="27" spans="1:4" x14ac:dyDescent="0.25">
      <c r="A27" s="320">
        <f t="shared" si="2"/>
        <v>1500000</v>
      </c>
      <c r="B27" s="314">
        <f t="shared" si="0"/>
        <v>51650.235267800737</v>
      </c>
      <c r="C27" s="321">
        <f t="shared" si="1"/>
        <v>11669854.156406898</v>
      </c>
    </row>
    <row r="28" spans="1:4" x14ac:dyDescent="0.25">
      <c r="A28" s="320">
        <f t="shared" si="2"/>
        <v>1750000</v>
      </c>
      <c r="B28" s="314">
        <f t="shared" si="0"/>
        <v>56655.278384023426</v>
      </c>
      <c r="C28" s="321">
        <f t="shared" si="1"/>
        <v>12800693.598086253</v>
      </c>
    </row>
    <row r="29" spans="1:4" x14ac:dyDescent="0.25">
      <c r="A29" s="320">
        <f t="shared" si="2"/>
        <v>2000000</v>
      </c>
      <c r="B29" s="314">
        <f t="shared" si="0"/>
        <v>61381.22422860263</v>
      </c>
      <c r="C29" s="321">
        <f t="shared" si="1"/>
        <v>13868473.802210478</v>
      </c>
    </row>
    <row r="30" spans="1:4" x14ac:dyDescent="0.25">
      <c r="A30" s="320">
        <f t="shared" si="2"/>
        <v>2250000</v>
      </c>
      <c r="B30" s="314">
        <f t="shared" si="0"/>
        <v>65875.975523639368</v>
      </c>
      <c r="C30" s="321">
        <f t="shared" si="1"/>
        <v>14884017.90981108</v>
      </c>
    </row>
    <row r="31" spans="1:4" x14ac:dyDescent="0.25">
      <c r="A31" s="320">
        <f t="shared" si="2"/>
        <v>2500000</v>
      </c>
      <c r="B31" s="314">
        <f t="shared" si="0"/>
        <v>70174.859833059978</v>
      </c>
      <c r="C31" s="321">
        <f t="shared" si="1"/>
        <v>15855307.830681572</v>
      </c>
    </row>
    <row r="32" spans="1:4" x14ac:dyDescent="0.25">
      <c r="A32" s="320">
        <f t="shared" si="2"/>
        <v>2750000</v>
      </c>
      <c r="B32" s="314">
        <f t="shared" si="0"/>
        <v>74304.850537621896</v>
      </c>
      <c r="C32" s="321">
        <f t="shared" si="1"/>
        <v>16788437.930470292</v>
      </c>
    </row>
    <row r="33" spans="1:3" x14ac:dyDescent="0.25">
      <c r="A33" s="320">
        <f t="shared" si="2"/>
        <v>3000000</v>
      </c>
      <c r="B33" s="314">
        <f t="shared" si="0"/>
        <v>78287.117259565202</v>
      </c>
      <c r="C33" s="321">
        <f t="shared" si="1"/>
        <v>17688191.27362616</v>
      </c>
    </row>
    <row r="34" spans="1:3" x14ac:dyDescent="0.25">
      <c r="A34" s="320">
        <f t="shared" si="2"/>
        <v>3250000</v>
      </c>
      <c r="B34" s="314">
        <f t="shared" si="0"/>
        <v>82138.650862126422</v>
      </c>
      <c r="C34" s="321">
        <f t="shared" si="1"/>
        <v>18558406.775788844</v>
      </c>
    </row>
    <row r="35" spans="1:3" x14ac:dyDescent="0.25">
      <c r="A35" s="320">
        <f t="shared" si="2"/>
        <v>3500000</v>
      </c>
      <c r="B35" s="314">
        <f t="shared" si="0"/>
        <v>85873.344026922772</v>
      </c>
      <c r="C35" s="321">
        <f t="shared" si="1"/>
        <v>19402223.349442933</v>
      </c>
    </row>
    <row r="36" spans="1:3" x14ac:dyDescent="0.25">
      <c r="A36" s="320">
        <f t="shared" si="2"/>
        <v>3750000</v>
      </c>
      <c r="B36" s="314">
        <f t="shared" si="0"/>
        <v>89502.735559065375</v>
      </c>
      <c r="C36" s="321">
        <f t="shared" si="1"/>
        <v>20222248.072215229</v>
      </c>
    </row>
    <row r="37" spans="1:3" x14ac:dyDescent="0.25">
      <c r="A37" s="320">
        <f t="shared" si="2"/>
        <v>4000000</v>
      </c>
      <c r="B37" s="314">
        <f t="shared" si="0"/>
        <v>93036.538435982438</v>
      </c>
      <c r="C37" s="321">
        <f t="shared" si="1"/>
        <v>21020675.494225871</v>
      </c>
    </row>
    <row r="38" spans="1:3" x14ac:dyDescent="0.25">
      <c r="A38" s="320">
        <f t="shared" si="2"/>
        <v>4250000</v>
      </c>
      <c r="B38" s="314">
        <f t="shared" si="0"/>
        <v>96483.023973043382</v>
      </c>
      <c r="C38" s="321">
        <f t="shared" si="1"/>
        <v>21799374.436469421</v>
      </c>
    </row>
    <row r="39" spans="1:3" x14ac:dyDescent="0.25">
      <c r="A39" s="320">
        <f t="shared" si="2"/>
        <v>4500000</v>
      </c>
      <c r="B39" s="314">
        <f t="shared" si="0"/>
        <v>99849.307436213683</v>
      </c>
      <c r="C39" s="321">
        <f t="shared" si="1"/>
        <v>22559952.522138119</v>
      </c>
    </row>
    <row r="40" spans="1:3" x14ac:dyDescent="0.25">
      <c r="A40" s="320">
        <f t="shared" si="2"/>
        <v>4750000</v>
      </c>
      <c r="B40" s="314">
        <f t="shared" si="0"/>
        <v>103141.56443270072</v>
      </c>
      <c r="C40" s="321">
        <f t="shared" si="1"/>
        <v>23303805.067924399</v>
      </c>
    </row>
    <row r="41" spans="1:3" x14ac:dyDescent="0.25">
      <c r="A41" s="320">
        <f t="shared" si="2"/>
        <v>5000000</v>
      </c>
      <c r="B41" s="314">
        <f t="shared" si="0"/>
        <v>106365.19760151411</v>
      </c>
      <c r="C41" s="321">
        <f t="shared" si="1"/>
        <v>24032152.746086098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255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256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5"/>
      <c r="C4" s="486"/>
      <c r="D4" s="486"/>
      <c r="E4" s="486"/>
      <c r="F4" s="48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74" t="s">
        <v>8</v>
      </c>
      <c r="B7" s="479" t="s">
        <v>9</v>
      </c>
      <c r="C7" s="479"/>
      <c r="D7" s="479" t="s">
        <v>12</v>
      </c>
      <c r="E7" s="479"/>
      <c r="F7" s="479"/>
      <c r="G7" s="479" t="s">
        <v>124</v>
      </c>
      <c r="H7" s="479"/>
      <c r="I7" s="484"/>
    </row>
    <row r="8" spans="1:9" x14ac:dyDescent="0.25">
      <c r="A8" s="478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75"/>
      <c r="B9" s="312">
        <f>VAC_Optim_Scenario!G23</f>
        <v>100000</v>
      </c>
      <c r="C9" s="312">
        <f>VAC_Optim_Scenario!H23</f>
        <v>150000</v>
      </c>
      <c r="D9" s="313">
        <f>VAC_Optim_Scenario!I23</f>
        <v>150000</v>
      </c>
      <c r="E9" s="84">
        <f>((GPDSRCH!D9/$B$12)^$D$12)*$C$12*$F$12</f>
        <v>65025.232320085495</v>
      </c>
      <c r="F9" s="84">
        <f>E9*F11</f>
        <v>65025.232320085495</v>
      </c>
      <c r="G9" s="76">
        <f>VAC_Optim_Scenario!E23</f>
        <v>50000</v>
      </c>
      <c r="H9" s="314">
        <f>((GPDSRCH!G9/$B$12)^$D$12)*$C$12*$F$12</f>
        <v>30136.792938374307</v>
      </c>
      <c r="I9" s="315">
        <f>H9*F11</f>
        <v>30136.792938374307</v>
      </c>
    </row>
    <row r="10" spans="1:9" ht="15.75" thickBot="1" x14ac:dyDescent="0.3"/>
    <row r="11" spans="1:9" ht="48.95" customHeight="1" x14ac:dyDescent="0.25">
      <c r="A11" s="447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47"/>
      <c r="B12" s="317">
        <f>'[7]HCC Paid Search - Power'!$B$12</f>
        <v>50000</v>
      </c>
      <c r="C12" s="317">
        <f>'[7]HCC Paid Search - Power'!$C$12</f>
        <v>30136.792938374307</v>
      </c>
      <c r="D12" s="322">
        <f>'[7]HCC Paid Search - Power'!$D$12</f>
        <v>0.7</v>
      </c>
      <c r="E12" s="309" t="s">
        <v>122</v>
      </c>
      <c r="F12" s="318">
        <f>VAC_Optim_Scenario!D23</f>
        <v>1</v>
      </c>
      <c r="G12" s="319">
        <f>B12*2</f>
        <v>100000</v>
      </c>
    </row>
    <row r="13" spans="1:9" ht="18.75" customHeight="1" x14ac:dyDescent="0.25">
      <c r="A13" s="468" t="s">
        <v>246</v>
      </c>
      <c r="B13" s="469"/>
      <c r="C13" s="469"/>
      <c r="D13" s="469"/>
      <c r="E13" s="309" t="s">
        <v>247</v>
      </c>
      <c r="F13" s="309" t="s">
        <v>248</v>
      </c>
    </row>
    <row r="14" spans="1:9" ht="15.75" thickBot="1" x14ac:dyDescent="0.3">
      <c r="A14" s="471"/>
      <c r="B14" s="472"/>
      <c r="C14" s="472"/>
      <c r="D14" s="472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66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67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47" t="s">
        <v>37</v>
      </c>
      <c r="B19" s="447"/>
      <c r="C19" s="447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92977.108783791031</v>
      </c>
      <c r="C22" s="321">
        <f t="shared" ref="C22:C41" si="1">B22*$F$14</f>
        <v>21007247.958609745</v>
      </c>
    </row>
    <row r="23" spans="1:4" x14ac:dyDescent="0.25">
      <c r="A23" s="320">
        <f t="shared" ref="A23:A41" si="2">A22+(($C$17-$B$17)/$D$17)</f>
        <v>500000</v>
      </c>
      <c r="B23" s="314">
        <f t="shared" si="0"/>
        <v>151041.75883181734</v>
      </c>
      <c r="C23" s="321">
        <f t="shared" si="1"/>
        <v>34126374.990460806</v>
      </c>
    </row>
    <row r="24" spans="1:4" x14ac:dyDescent="0.25">
      <c r="A24" s="320">
        <f t="shared" si="2"/>
        <v>750000</v>
      </c>
      <c r="B24" s="314">
        <f t="shared" si="0"/>
        <v>200613.85136364179</v>
      </c>
      <c r="C24" s="321">
        <f t="shared" si="1"/>
        <v>45326693.577101223</v>
      </c>
    </row>
    <row r="25" spans="1:4" x14ac:dyDescent="0.25">
      <c r="A25" s="320">
        <f t="shared" si="2"/>
        <v>1000000</v>
      </c>
      <c r="B25" s="314">
        <f t="shared" si="0"/>
        <v>245368.06112200834</v>
      </c>
      <c r="C25" s="321">
        <f t="shared" si="1"/>
        <v>55438459.729906566</v>
      </c>
    </row>
    <row r="26" spans="1:4" x14ac:dyDescent="0.25">
      <c r="A26" s="320">
        <f t="shared" si="2"/>
        <v>1250000</v>
      </c>
      <c r="B26" s="314">
        <f t="shared" si="0"/>
        <v>286850.12288700556</v>
      </c>
      <c r="C26" s="321">
        <f t="shared" si="1"/>
        <v>64810916.765090033</v>
      </c>
    </row>
    <row r="27" spans="1:4" x14ac:dyDescent="0.25">
      <c r="A27" s="320">
        <f t="shared" si="2"/>
        <v>1500000</v>
      </c>
      <c r="B27" s="314">
        <f t="shared" si="0"/>
        <v>325898.16302474338</v>
      </c>
      <c r="C27" s="321">
        <f t="shared" si="1"/>
        <v>73633430.953810513</v>
      </c>
    </row>
    <row r="28" spans="1:4" x14ac:dyDescent="0.25">
      <c r="A28" s="320">
        <f t="shared" si="2"/>
        <v>1750000</v>
      </c>
      <c r="B28" s="314">
        <f t="shared" si="0"/>
        <v>363031.79685998178</v>
      </c>
      <c r="C28" s="321">
        <f t="shared" si="1"/>
        <v>82023404.182544276</v>
      </c>
    </row>
    <row r="29" spans="1:4" x14ac:dyDescent="0.25">
      <c r="A29" s="320">
        <f t="shared" si="2"/>
        <v>2000000</v>
      </c>
      <c r="B29" s="314">
        <f t="shared" si="0"/>
        <v>398601.59127126914</v>
      </c>
      <c r="C29" s="321">
        <f t="shared" si="1"/>
        <v>90060043.531830549</v>
      </c>
    </row>
    <row r="30" spans="1:4" x14ac:dyDescent="0.25">
      <c r="A30" s="320">
        <f t="shared" si="2"/>
        <v>2250000</v>
      </c>
      <c r="B30" s="314">
        <f t="shared" si="0"/>
        <v>432858.34422471898</v>
      </c>
      <c r="C30" s="321">
        <f t="shared" si="1"/>
        <v>97800014.294133008</v>
      </c>
    </row>
    <row r="31" spans="1:4" x14ac:dyDescent="0.25">
      <c r="A31" s="320">
        <f t="shared" si="2"/>
        <v>2500000</v>
      </c>
      <c r="B31" s="314">
        <f t="shared" si="0"/>
        <v>465989.39942010184</v>
      </c>
      <c r="C31" s="321">
        <f t="shared" si="1"/>
        <v>105285644.90497781</v>
      </c>
    </row>
    <row r="32" spans="1:4" x14ac:dyDescent="0.25">
      <c r="A32" s="320">
        <f t="shared" si="2"/>
        <v>2750000</v>
      </c>
      <c r="B32" s="314">
        <f t="shared" si="0"/>
        <v>498139.42698482808</v>
      </c>
      <c r="C32" s="321">
        <f t="shared" si="1"/>
        <v>112549622.13295205</v>
      </c>
    </row>
    <row r="33" spans="1:3" x14ac:dyDescent="0.25">
      <c r="A33" s="320">
        <f t="shared" si="2"/>
        <v>3000000</v>
      </c>
      <c r="B33" s="314">
        <f t="shared" si="0"/>
        <v>529423.1277698857</v>
      </c>
      <c r="C33" s="321">
        <f t="shared" si="1"/>
        <v>119617861.48832798</v>
      </c>
    </row>
    <row r="34" spans="1:3" x14ac:dyDescent="0.25">
      <c r="A34" s="320">
        <f t="shared" si="2"/>
        <v>3250000</v>
      </c>
      <c r="B34" s="314">
        <f t="shared" si="0"/>
        <v>559933.41281318781</v>
      </c>
      <c r="C34" s="321">
        <f t="shared" si="1"/>
        <v>126511355.29101165</v>
      </c>
    </row>
    <row r="35" spans="1:3" x14ac:dyDescent="0.25">
      <c r="A35" s="320">
        <f t="shared" si="2"/>
        <v>3500000</v>
      </c>
      <c r="B35" s="314">
        <f t="shared" si="0"/>
        <v>589746.89390606096</v>
      </c>
      <c r="C35" s="321">
        <f t="shared" si="1"/>
        <v>133247413.20913541</v>
      </c>
    </row>
    <row r="36" spans="1:3" x14ac:dyDescent="0.25">
      <c r="A36" s="320">
        <f t="shared" si="2"/>
        <v>3750000</v>
      </c>
      <c r="B36" s="314">
        <f t="shared" si="0"/>
        <v>618927.69811022875</v>
      </c>
      <c r="C36" s="321">
        <f t="shared" si="1"/>
        <v>139840524.11102509</v>
      </c>
    </row>
    <row r="37" spans="1:3" x14ac:dyDescent="0.25">
      <c r="A37" s="320">
        <f t="shared" si="2"/>
        <v>4000000</v>
      </c>
      <c r="B37" s="314">
        <f t="shared" si="0"/>
        <v>647530.19540299417</v>
      </c>
      <c r="C37" s="321">
        <f t="shared" si="1"/>
        <v>146302972.34935251</v>
      </c>
    </row>
    <row r="38" spans="1:3" x14ac:dyDescent="0.25">
      <c r="A38" s="320">
        <f t="shared" si="2"/>
        <v>4250000</v>
      </c>
      <c r="B38" s="314">
        <f t="shared" si="0"/>
        <v>675600.99762631929</v>
      </c>
      <c r="C38" s="321">
        <f t="shared" si="1"/>
        <v>152645289.40369058</v>
      </c>
    </row>
    <row r="39" spans="1:3" x14ac:dyDescent="0.25">
      <c r="A39" s="320">
        <f t="shared" si="2"/>
        <v>4500000</v>
      </c>
      <c r="B39" s="314">
        <f t="shared" si="0"/>
        <v>703180.45475864061</v>
      </c>
      <c r="C39" s="321">
        <f t="shared" si="1"/>
        <v>158876591.94816726</v>
      </c>
    </row>
    <row r="40" spans="1:3" x14ac:dyDescent="0.25">
      <c r="A40" s="320">
        <f t="shared" si="2"/>
        <v>4750000</v>
      </c>
      <c r="B40" s="314">
        <f t="shared" si="0"/>
        <v>730303.79577039415</v>
      </c>
      <c r="C40" s="321">
        <f t="shared" si="1"/>
        <v>165004839.61636284</v>
      </c>
    </row>
    <row r="41" spans="1:3" x14ac:dyDescent="0.25">
      <c r="A41" s="320">
        <f t="shared" si="2"/>
        <v>5000000</v>
      </c>
      <c r="B41" s="314">
        <f t="shared" si="0"/>
        <v>757002.0127111614</v>
      </c>
      <c r="C41" s="321">
        <f t="shared" si="1"/>
        <v>171037034.7519598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3" tint="0.79998168889431442"/>
  </sheetPr>
  <dimension ref="A1:I41"/>
  <sheetViews>
    <sheetView workbookViewId="0">
      <selection activeCell="D12" sqref="D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257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258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5"/>
      <c r="C4" s="486"/>
      <c r="D4" s="486"/>
      <c r="E4" s="486"/>
      <c r="F4" s="48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74" t="s">
        <v>8</v>
      </c>
      <c r="B7" s="479" t="s">
        <v>9</v>
      </c>
      <c r="C7" s="479"/>
      <c r="D7" s="479" t="s">
        <v>12</v>
      </c>
      <c r="E7" s="479"/>
      <c r="F7" s="479"/>
      <c r="G7" s="479" t="s">
        <v>124</v>
      </c>
      <c r="H7" s="479"/>
      <c r="I7" s="484"/>
    </row>
    <row r="8" spans="1:9" x14ac:dyDescent="0.25">
      <c r="A8" s="478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75"/>
      <c r="B9" s="312">
        <f>VAC_Optim_Scenario!G24</f>
        <v>500000</v>
      </c>
      <c r="C9" s="312">
        <f>VAC_Optim_Scenario!H24</f>
        <v>1500000</v>
      </c>
      <c r="D9" s="313">
        <f>VAC_Optim_Scenario!I24</f>
        <v>664416.83994363551</v>
      </c>
      <c r="E9" s="84">
        <f>((GAUDIO!D9/$B$12)^$D$12)*$C$12*$F$12</f>
        <v>21809.650159386772</v>
      </c>
      <c r="F9" s="84">
        <f>E9*F11</f>
        <v>21809.650159386772</v>
      </c>
      <c r="G9" s="76">
        <f>VAC_Optim_Scenario!E24</f>
        <v>923975</v>
      </c>
      <c r="H9" s="314">
        <f>((GAUDIO!G9/$B$12)^$D$12)*$C$12*$F$12</f>
        <v>26581.559263521289</v>
      </c>
      <c r="I9" s="315">
        <f>H9*F11</f>
        <v>26581.559263521289</v>
      </c>
    </row>
    <row r="10" spans="1:9" ht="15.75" thickBot="1" x14ac:dyDescent="0.3"/>
    <row r="11" spans="1:9" ht="48.95" customHeight="1" x14ac:dyDescent="0.25">
      <c r="A11" s="447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47"/>
      <c r="B12" s="317">
        <f>'[8]Radio - Power'!$B$12</f>
        <v>923975</v>
      </c>
      <c r="C12" s="317">
        <f>'[8]Radio - Power'!$C$12</f>
        <v>26581.559263521289</v>
      </c>
      <c r="D12" s="322">
        <f>'[8]Radio - Power'!$D$12</f>
        <v>0.6</v>
      </c>
      <c r="E12" s="309" t="s">
        <v>122</v>
      </c>
      <c r="F12" s="318">
        <f>VAC_Optim_Scenario!D24</f>
        <v>1</v>
      </c>
      <c r="G12" s="319">
        <f>B12*2</f>
        <v>1847950</v>
      </c>
    </row>
    <row r="13" spans="1:9" ht="18.75" customHeight="1" x14ac:dyDescent="0.25">
      <c r="A13" s="468" t="s">
        <v>246</v>
      </c>
      <c r="B13" s="469"/>
      <c r="C13" s="469"/>
      <c r="D13" s="469"/>
      <c r="E13" s="309" t="s">
        <v>247</v>
      </c>
      <c r="F13" s="309" t="s">
        <v>248</v>
      </c>
    </row>
    <row r="14" spans="1:9" ht="15.75" thickBot="1" x14ac:dyDescent="0.3">
      <c r="A14" s="471"/>
      <c r="B14" s="472"/>
      <c r="C14" s="472"/>
      <c r="D14" s="472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66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67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47" t="s">
        <v>37</v>
      </c>
      <c r="B19" s="447"/>
      <c r="C19" s="447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12132.444846051676</v>
      </c>
      <c r="C22" s="321">
        <f t="shared" ref="C22:C41" si="1">B22*$F$14</f>
        <v>2741204.5885169157</v>
      </c>
      <c r="D22" s="97">
        <f>C22/A22</f>
        <v>10.964818354067663</v>
      </c>
    </row>
    <row r="23" spans="1:4" x14ac:dyDescent="0.25">
      <c r="A23" s="320">
        <f t="shared" ref="A23:A41" si="2">A22+(($C$17-$B$17)/$D$17)</f>
        <v>500000</v>
      </c>
      <c r="B23" s="314">
        <f t="shared" si="0"/>
        <v>18389.347645434224</v>
      </c>
      <c r="C23" s="321">
        <f t="shared" si="1"/>
        <v>4154889.2070094086</v>
      </c>
      <c r="D23" s="97">
        <f t="shared" ref="D23:D41" si="3">C23/A23</f>
        <v>8.3097784140188171</v>
      </c>
    </row>
    <row r="24" spans="1:4" x14ac:dyDescent="0.25">
      <c r="A24" s="320">
        <f t="shared" si="2"/>
        <v>750000</v>
      </c>
      <c r="B24" s="314">
        <f t="shared" si="0"/>
        <v>23454.224537512007</v>
      </c>
      <c r="C24" s="321">
        <f t="shared" si="1"/>
        <v>5299247.4920054628</v>
      </c>
      <c r="D24" s="97">
        <f t="shared" si="3"/>
        <v>7.0656633226739505</v>
      </c>
    </row>
    <row r="25" spans="1:4" x14ac:dyDescent="0.25">
      <c r="A25" s="320">
        <f t="shared" si="2"/>
        <v>1000000</v>
      </c>
      <c r="B25" s="314">
        <f t="shared" si="0"/>
        <v>27873.038873503632</v>
      </c>
      <c r="C25" s="321">
        <f t="shared" si="1"/>
        <v>6297634.403079411</v>
      </c>
      <c r="D25" s="97">
        <f t="shared" si="3"/>
        <v>6.2976344030794111</v>
      </c>
    </row>
    <row r="26" spans="1:4" x14ac:dyDescent="0.25">
      <c r="A26" s="320">
        <f t="shared" si="2"/>
        <v>1250000</v>
      </c>
      <c r="B26" s="314">
        <f t="shared" si="0"/>
        <v>31866.203723549908</v>
      </c>
      <c r="C26" s="321">
        <f t="shared" si="1"/>
        <v>7199850.0692988662</v>
      </c>
      <c r="D26" s="97">
        <f t="shared" si="3"/>
        <v>5.7598800554390932</v>
      </c>
    </row>
    <row r="27" spans="1:4" x14ac:dyDescent="0.25">
      <c r="A27" s="320">
        <f t="shared" si="2"/>
        <v>1500000</v>
      </c>
      <c r="B27" s="314">
        <f t="shared" si="0"/>
        <v>35549.956686161626</v>
      </c>
      <c r="C27" s="321">
        <f t="shared" si="1"/>
        <v>8032157.2136713574</v>
      </c>
      <c r="D27" s="97">
        <f t="shared" si="3"/>
        <v>5.3547714757809048</v>
      </c>
    </row>
    <row r="28" spans="1:4" x14ac:dyDescent="0.25">
      <c r="A28" s="320">
        <f t="shared" si="2"/>
        <v>1750000</v>
      </c>
      <c r="B28" s="314">
        <f t="shared" si="0"/>
        <v>38994.840626603436</v>
      </c>
      <c r="C28" s="321">
        <f t="shared" si="1"/>
        <v>8810494.2911747806</v>
      </c>
      <c r="D28" s="97">
        <f t="shared" si="3"/>
        <v>5.034568166385589</v>
      </c>
    </row>
    <row r="29" spans="1:4" x14ac:dyDescent="0.25">
      <c r="A29" s="320">
        <f t="shared" si="2"/>
        <v>2000000</v>
      </c>
      <c r="B29" s="314">
        <f t="shared" si="0"/>
        <v>42247.626779557781</v>
      </c>
      <c r="C29" s="321">
        <f t="shared" si="1"/>
        <v>9545428.7945732847</v>
      </c>
      <c r="D29" s="97">
        <f t="shared" si="3"/>
        <v>4.7727143972866424</v>
      </c>
    </row>
    <row r="30" spans="1:4" x14ac:dyDescent="0.25">
      <c r="A30" s="320">
        <f t="shared" si="2"/>
        <v>2250000</v>
      </c>
      <c r="B30" s="314">
        <f t="shared" si="0"/>
        <v>45341.285753716184</v>
      </c>
      <c r="C30" s="321">
        <f t="shared" si="1"/>
        <v>10244410.103194633</v>
      </c>
      <c r="D30" s="97">
        <f t="shared" si="3"/>
        <v>4.5530711569753928</v>
      </c>
    </row>
    <row r="31" spans="1:4" x14ac:dyDescent="0.25">
      <c r="A31" s="320">
        <f t="shared" si="2"/>
        <v>2500000</v>
      </c>
      <c r="B31" s="314">
        <f t="shared" si="0"/>
        <v>48300.132895579933</v>
      </c>
      <c r="C31" s="321">
        <f t="shared" si="1"/>
        <v>10912932.02642733</v>
      </c>
      <c r="D31" s="97">
        <f t="shared" si="3"/>
        <v>4.3651728105709324</v>
      </c>
    </row>
    <row r="32" spans="1:4" x14ac:dyDescent="0.25">
      <c r="A32" s="320">
        <f t="shared" si="2"/>
        <v>2750000</v>
      </c>
      <c r="B32" s="314">
        <f t="shared" si="0"/>
        <v>51142.733512986146</v>
      </c>
      <c r="C32" s="321">
        <f t="shared" si="1"/>
        <v>11555189.209924089</v>
      </c>
      <c r="D32" s="97">
        <f t="shared" si="3"/>
        <v>4.2018869854269409</v>
      </c>
    </row>
    <row r="33" spans="1:4" x14ac:dyDescent="0.25">
      <c r="A33" s="320">
        <f t="shared" si="2"/>
        <v>3000000</v>
      </c>
      <c r="B33" s="314">
        <f t="shared" si="0"/>
        <v>53883.658287942271</v>
      </c>
      <c r="C33" s="321">
        <f t="shared" si="1"/>
        <v>12174473.753577678</v>
      </c>
      <c r="D33" s="97">
        <f t="shared" si="3"/>
        <v>4.0581579178592255</v>
      </c>
    </row>
    <row r="34" spans="1:4" x14ac:dyDescent="0.25">
      <c r="A34" s="320">
        <f t="shared" si="2"/>
        <v>3250000</v>
      </c>
      <c r="B34" s="314">
        <f t="shared" si="0"/>
        <v>56534.601735468168</v>
      </c>
      <c r="C34" s="321">
        <f t="shared" si="1"/>
        <v>12773427.916111678</v>
      </c>
      <c r="D34" s="97">
        <f t="shared" si="3"/>
        <v>3.9302855126497471</v>
      </c>
    </row>
    <row r="35" spans="1:4" x14ac:dyDescent="0.25">
      <c r="A35" s="320">
        <f t="shared" si="2"/>
        <v>3500000</v>
      </c>
      <c r="B35" s="314">
        <f t="shared" si="0"/>
        <v>59105.125946175547</v>
      </c>
      <c r="C35" s="321">
        <f t="shared" si="1"/>
        <v>13354212.156278903</v>
      </c>
      <c r="D35" s="97">
        <f t="shared" si="3"/>
        <v>3.8154891875082577</v>
      </c>
    </row>
    <row r="36" spans="1:4" x14ac:dyDescent="0.25">
      <c r="A36" s="320">
        <f t="shared" si="2"/>
        <v>3750000</v>
      </c>
      <c r="B36" s="314">
        <f t="shared" si="0"/>
        <v>61603.172878504367</v>
      </c>
      <c r="C36" s="321">
        <f t="shared" si="1"/>
        <v>13918620.880169276</v>
      </c>
      <c r="D36" s="97">
        <f t="shared" si="3"/>
        <v>3.7116322347118071</v>
      </c>
    </row>
    <row r="37" spans="1:4" x14ac:dyDescent="0.25">
      <c r="A37" s="320">
        <f t="shared" si="2"/>
        <v>4000000</v>
      </c>
      <c r="B37" s="314">
        <f t="shared" si="0"/>
        <v>64035.427805524065</v>
      </c>
      <c r="C37" s="321">
        <f t="shared" si="1"/>
        <v>14468164.558380106</v>
      </c>
      <c r="D37" s="97">
        <f t="shared" si="3"/>
        <v>3.6170411395950266</v>
      </c>
    </row>
    <row r="38" spans="1:4" x14ac:dyDescent="0.25">
      <c r="A38" s="320">
        <f t="shared" si="2"/>
        <v>4250000</v>
      </c>
      <c r="B38" s="314">
        <f t="shared" si="0"/>
        <v>66407.583729436781</v>
      </c>
      <c r="C38" s="321">
        <f t="shared" si="1"/>
        <v>15004129.467828946</v>
      </c>
      <c r="D38" s="97">
        <f t="shared" si="3"/>
        <v>3.5303834041950464</v>
      </c>
    </row>
    <row r="39" spans="1:4" x14ac:dyDescent="0.25">
      <c r="A39" s="320">
        <f t="shared" si="2"/>
        <v>4500000</v>
      </c>
      <c r="B39" s="314">
        <f t="shared" si="0"/>
        <v>68724.537963789524</v>
      </c>
      <c r="C39" s="321">
        <f t="shared" si="1"/>
        <v>15527622.107538605</v>
      </c>
      <c r="D39" s="97">
        <f t="shared" si="3"/>
        <v>3.4505826905641346</v>
      </c>
    </row>
    <row r="40" spans="1:4" x14ac:dyDescent="0.25">
      <c r="A40" s="320">
        <f t="shared" si="2"/>
        <v>4750000</v>
      </c>
      <c r="B40" s="314">
        <f t="shared" si="0"/>
        <v>70990.541071384083</v>
      </c>
      <c r="C40" s="321">
        <f t="shared" si="1"/>
        <v>16039602.84966852</v>
      </c>
      <c r="D40" s="97">
        <f t="shared" si="3"/>
        <v>3.3767584946670568</v>
      </c>
    </row>
    <row r="41" spans="1:4" x14ac:dyDescent="0.25">
      <c r="A41" s="320">
        <f t="shared" si="2"/>
        <v>5000000</v>
      </c>
      <c r="B41" s="314">
        <f t="shared" si="0"/>
        <v>73209.311594484345</v>
      </c>
      <c r="C41" s="321">
        <f t="shared" si="1"/>
        <v>16540911.861657793</v>
      </c>
      <c r="D41" s="97">
        <f t="shared" si="3"/>
        <v>3.3081823723315584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3" tint="0.79998168889431442"/>
  </sheetPr>
  <dimension ref="A1:I50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259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260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5"/>
      <c r="C4" s="486"/>
      <c r="D4" s="486"/>
      <c r="E4" s="486"/>
      <c r="F4" s="48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74" t="s">
        <v>8</v>
      </c>
      <c r="B7" s="479" t="s">
        <v>9</v>
      </c>
      <c r="C7" s="479"/>
      <c r="D7" s="479" t="s">
        <v>12</v>
      </c>
      <c r="E7" s="479"/>
      <c r="F7" s="479"/>
      <c r="G7" s="479" t="s">
        <v>124</v>
      </c>
      <c r="H7" s="479"/>
      <c r="I7" s="484"/>
    </row>
    <row r="8" spans="1:9" x14ac:dyDescent="0.25">
      <c r="A8" s="478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75"/>
      <c r="B9" s="312">
        <f>VAC_Optim_Scenario!G25</f>
        <v>28089210.840000004</v>
      </c>
      <c r="C9" s="312">
        <f>VAC_Optim_Scenario!H25</f>
        <v>28089210.840000004</v>
      </c>
      <c r="D9" s="313">
        <f>VAC_Optim_Scenario!I25</f>
        <v>28089210.840000004</v>
      </c>
      <c r="E9" s="84">
        <f>((GLINEARTV!D9/$B$12)^$D$12)*$C$12*$F$12</f>
        <v>178786.88808485147</v>
      </c>
      <c r="F9" s="84">
        <f>E9*F11</f>
        <v>178786.88808485147</v>
      </c>
      <c r="G9" s="76">
        <f>VAC_Optim_Scenario!E25</f>
        <v>25810928.600000001</v>
      </c>
      <c r="H9" s="314">
        <f>((GLINEARTV!G9/$B$12)^$D$12)*$C$12*$F$12</f>
        <v>168508.00202805389</v>
      </c>
      <c r="I9" s="315">
        <f>H9*F11</f>
        <v>168508.00202805389</v>
      </c>
    </row>
    <row r="10" spans="1:9" ht="15.75" thickBot="1" x14ac:dyDescent="0.3"/>
    <row r="11" spans="1:9" ht="48.95" customHeight="1" x14ac:dyDescent="0.25">
      <c r="A11" s="447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47"/>
      <c r="B12" s="317">
        <f>'[9]TV - Power'!$B$12</f>
        <v>25810928.600000001</v>
      </c>
      <c r="C12" s="317">
        <f>'[9]TV - Power'!$C$12</f>
        <v>168508.00202805389</v>
      </c>
      <c r="D12" s="322">
        <f>'[9]TV - Power'!$D$12</f>
        <v>0.7</v>
      </c>
      <c r="E12" s="309" t="s">
        <v>122</v>
      </c>
      <c r="F12" s="318">
        <f>VAC_Optim_Scenario!D25</f>
        <v>1</v>
      </c>
      <c r="G12" s="319">
        <f>B12*2</f>
        <v>51621857.200000003</v>
      </c>
    </row>
    <row r="13" spans="1:9" ht="18.75" customHeight="1" x14ac:dyDescent="0.25">
      <c r="A13" s="468" t="s">
        <v>246</v>
      </c>
      <c r="B13" s="469"/>
      <c r="C13" s="469"/>
      <c r="D13" s="469"/>
      <c r="E13" s="309" t="s">
        <v>247</v>
      </c>
      <c r="F13" s="309" t="s">
        <v>248</v>
      </c>
    </row>
    <row r="14" spans="1:9" ht="15.75" thickBot="1" x14ac:dyDescent="0.3">
      <c r="A14" s="471"/>
      <c r="B14" s="472"/>
      <c r="C14" s="472"/>
      <c r="D14" s="472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66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67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47" t="s">
        <v>37</v>
      </c>
      <c r="B19" s="447"/>
      <c r="C19" s="447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((A21/$B$12)^$D$12)*$C$12*F$12</f>
        <v>0</v>
      </c>
      <c r="C21" s="321">
        <f>B21*$F$14</f>
        <v>0</v>
      </c>
    </row>
    <row r="22" spans="1:4" x14ac:dyDescent="0.25">
      <c r="A22" s="320">
        <f>A21+(($C$17-$B$17)/$D$17)</f>
        <v>1500000</v>
      </c>
      <c r="B22" s="314">
        <f t="shared" ref="B22:B50" si="0">((A22/$B$12)^$D$12)*$C$12*F$12</f>
        <v>22994.388781683774</v>
      </c>
      <c r="C22" s="321">
        <f t="shared" ref="C22:C41" si="1">B22*$F$14</f>
        <v>5195352.2013336318</v>
      </c>
    </row>
    <row r="23" spans="1:4" x14ac:dyDescent="0.25">
      <c r="A23" s="320">
        <f t="shared" ref="A23:A50" si="2">A22+(($C$17-$B$17)/$D$17)</f>
        <v>3000000</v>
      </c>
      <c r="B23" s="314">
        <f t="shared" si="0"/>
        <v>37354.494781339148</v>
      </c>
      <c r="C23" s="321">
        <f t="shared" si="1"/>
        <v>8439874.5508957673</v>
      </c>
    </row>
    <row r="24" spans="1:4" x14ac:dyDescent="0.25">
      <c r="A24" s="320">
        <f t="shared" si="2"/>
        <v>4500000</v>
      </c>
      <c r="B24" s="314">
        <f t="shared" si="0"/>
        <v>49614.286286031464</v>
      </c>
      <c r="C24" s="321">
        <f t="shared" si="1"/>
        <v>11209851.843465948</v>
      </c>
    </row>
    <row r="25" spans="1:4" x14ac:dyDescent="0.25">
      <c r="A25" s="320">
        <f t="shared" si="2"/>
        <v>6000000</v>
      </c>
      <c r="B25" s="314">
        <f t="shared" si="0"/>
        <v>60682.555801638446</v>
      </c>
      <c r="C25" s="321">
        <f t="shared" si="1"/>
        <v>13710616.65782219</v>
      </c>
    </row>
    <row r="26" spans="1:4" x14ac:dyDescent="0.25">
      <c r="A26" s="320">
        <f t="shared" si="2"/>
        <v>7500000</v>
      </c>
      <c r="B26" s="314">
        <f t="shared" si="0"/>
        <v>70941.582654239959</v>
      </c>
      <c r="C26" s="321">
        <f t="shared" si="1"/>
        <v>16028541.184898976</v>
      </c>
    </row>
    <row r="27" spans="1:4" x14ac:dyDescent="0.25">
      <c r="A27" s="320">
        <f t="shared" si="2"/>
        <v>9000000</v>
      </c>
      <c r="B27" s="314">
        <f t="shared" si="0"/>
        <v>80598.645858666729</v>
      </c>
      <c r="C27" s="321">
        <f t="shared" si="1"/>
        <v>18210458.045307159</v>
      </c>
    </row>
    <row r="28" spans="1:4" x14ac:dyDescent="0.25">
      <c r="A28" s="320">
        <f t="shared" si="2"/>
        <v>10500000</v>
      </c>
      <c r="B28" s="314">
        <f t="shared" si="0"/>
        <v>89782.252710432149</v>
      </c>
      <c r="C28" s="321">
        <f t="shared" si="1"/>
        <v>20285402.177395038</v>
      </c>
    </row>
    <row r="29" spans="1:4" x14ac:dyDescent="0.25">
      <c r="A29" s="320">
        <f t="shared" si="2"/>
        <v>12000000</v>
      </c>
      <c r="B29" s="314">
        <f t="shared" si="0"/>
        <v>98579.102733803622</v>
      </c>
      <c r="C29" s="321">
        <f t="shared" si="1"/>
        <v>22272962.47167559</v>
      </c>
    </row>
    <row r="30" spans="1:4" x14ac:dyDescent="0.25">
      <c r="A30" s="320">
        <f t="shared" si="2"/>
        <v>13500000</v>
      </c>
      <c r="B30" s="314">
        <f t="shared" si="0"/>
        <v>107051.22136723484</v>
      </c>
      <c r="C30" s="321">
        <f t="shared" si="1"/>
        <v>24187152.955713041</v>
      </c>
    </row>
    <row r="31" spans="1:4" x14ac:dyDescent="0.25">
      <c r="A31" s="320">
        <f t="shared" si="2"/>
        <v>15000000</v>
      </c>
      <c r="B31" s="314">
        <f t="shared" si="0"/>
        <v>115244.9410244207</v>
      </c>
      <c r="C31" s="321">
        <f t="shared" si="1"/>
        <v>26038441.975057613</v>
      </c>
    </row>
    <row r="32" spans="1:4" x14ac:dyDescent="0.25">
      <c r="A32" s="320">
        <f t="shared" si="2"/>
        <v>16500000</v>
      </c>
      <c r="B32" s="314">
        <f t="shared" si="0"/>
        <v>123196.0404168987</v>
      </c>
      <c r="C32" s="321">
        <f t="shared" si="1"/>
        <v>27834913.371794093</v>
      </c>
    </row>
    <row r="33" spans="1:3" x14ac:dyDescent="0.25">
      <c r="A33" s="320">
        <f t="shared" si="2"/>
        <v>18000000</v>
      </c>
      <c r="B33" s="314">
        <f t="shared" si="0"/>
        <v>130932.88648353927</v>
      </c>
      <c r="C33" s="321">
        <f t="shared" si="1"/>
        <v>29582976.372090865</v>
      </c>
    </row>
    <row r="34" spans="1:3" x14ac:dyDescent="0.25">
      <c r="A34" s="320">
        <f t="shared" si="2"/>
        <v>19500000</v>
      </c>
      <c r="B34" s="314">
        <f t="shared" si="0"/>
        <v>138478.45727298054</v>
      </c>
      <c r="C34" s="321">
        <f t="shared" si="1"/>
        <v>31287822.636257224</v>
      </c>
    </row>
    <row r="35" spans="1:3" x14ac:dyDescent="0.25">
      <c r="A35" s="320">
        <f t="shared" si="2"/>
        <v>21000000</v>
      </c>
      <c r="B35" s="314">
        <f t="shared" si="0"/>
        <v>145851.69982861925</v>
      </c>
      <c r="C35" s="321">
        <f t="shared" si="1"/>
        <v>32953733.059278235</v>
      </c>
    </row>
    <row r="36" spans="1:3" x14ac:dyDescent="0.25">
      <c r="A36" s="320">
        <f t="shared" si="2"/>
        <v>22500000</v>
      </c>
      <c r="B36" s="314">
        <f t="shared" si="0"/>
        <v>153068.47356583198</v>
      </c>
      <c r="C36" s="321">
        <f t="shared" si="1"/>
        <v>34584290.917464077</v>
      </c>
    </row>
    <row r="37" spans="1:3" x14ac:dyDescent="0.25">
      <c r="A37" s="320">
        <f t="shared" si="2"/>
        <v>24000000</v>
      </c>
      <c r="B37" s="314">
        <f t="shared" si="0"/>
        <v>160142.22485235901</v>
      </c>
      <c r="C37" s="321">
        <f t="shared" si="1"/>
        <v>36182534.283141993</v>
      </c>
    </row>
    <row r="38" spans="1:3" x14ac:dyDescent="0.25">
      <c r="A38" s="320">
        <f t="shared" si="2"/>
        <v>25500000</v>
      </c>
      <c r="B38" s="314">
        <f t="shared" si="0"/>
        <v>167084.48137313194</v>
      </c>
      <c r="C38" s="321">
        <f t="shared" si="1"/>
        <v>37751067.721445434</v>
      </c>
    </row>
    <row r="39" spans="1:3" x14ac:dyDescent="0.25">
      <c r="A39" s="320">
        <f t="shared" si="2"/>
        <v>27000000</v>
      </c>
      <c r="B39" s="314">
        <f t="shared" si="0"/>
        <v>173905.2221767967</v>
      </c>
      <c r="C39" s="321">
        <f t="shared" si="1"/>
        <v>39292145.898625448</v>
      </c>
    </row>
    <row r="40" spans="1:3" x14ac:dyDescent="0.25">
      <c r="A40" s="320">
        <f t="shared" si="2"/>
        <v>28500000</v>
      </c>
      <c r="B40" s="314">
        <f t="shared" si="0"/>
        <v>180613.15982339281</v>
      </c>
      <c r="C40" s="321">
        <f t="shared" si="1"/>
        <v>40807737.330497369</v>
      </c>
    </row>
    <row r="41" spans="1:3" x14ac:dyDescent="0.25">
      <c r="A41" s="320">
        <f t="shared" si="2"/>
        <v>30000000</v>
      </c>
      <c r="B41" s="314">
        <f t="shared" si="0"/>
        <v>187215.95903003748</v>
      </c>
      <c r="C41" s="321">
        <f t="shared" si="1"/>
        <v>42299573.783246666</v>
      </c>
    </row>
    <row r="42" spans="1:3" x14ac:dyDescent="0.25">
      <c r="A42" s="320">
        <f t="shared" si="2"/>
        <v>31500000</v>
      </c>
      <c r="B42" s="314">
        <f t="shared" si="0"/>
        <v>193720.40856021506</v>
      </c>
    </row>
    <row r="43" spans="1:3" x14ac:dyDescent="0.25">
      <c r="A43" s="320">
        <f t="shared" si="2"/>
        <v>33000000</v>
      </c>
      <c r="B43" s="314">
        <f t="shared" si="0"/>
        <v>200132.55810045125</v>
      </c>
    </row>
    <row r="44" spans="1:3" x14ac:dyDescent="0.25">
      <c r="A44" s="320">
        <f t="shared" si="2"/>
        <v>34500000</v>
      </c>
      <c r="B44" s="314">
        <f t="shared" si="0"/>
        <v>206457.82851960618</v>
      </c>
    </row>
    <row r="45" spans="1:3" x14ac:dyDescent="0.25">
      <c r="A45" s="320">
        <f t="shared" si="2"/>
        <v>36000000</v>
      </c>
      <c r="B45" s="314">
        <f t="shared" si="0"/>
        <v>212701.10161618746</v>
      </c>
    </row>
    <row r="46" spans="1:3" x14ac:dyDescent="0.25">
      <c r="A46" s="320">
        <f t="shared" si="2"/>
        <v>37500000</v>
      </c>
      <c r="B46" s="314">
        <f t="shared" si="0"/>
        <v>218866.79386308251</v>
      </c>
    </row>
    <row r="47" spans="1:3" x14ac:dyDescent="0.25">
      <c r="A47" s="320">
        <f t="shared" si="2"/>
        <v>39000000</v>
      </c>
      <c r="B47" s="314">
        <f t="shared" si="0"/>
        <v>224958.91752738602</v>
      </c>
    </row>
    <row r="48" spans="1:3" x14ac:dyDescent="0.25">
      <c r="A48" s="320">
        <f t="shared" si="2"/>
        <v>40500000</v>
      </c>
      <c r="B48" s="314">
        <f t="shared" si="0"/>
        <v>230981.13172784238</v>
      </c>
    </row>
    <row r="49" spans="1:2" x14ac:dyDescent="0.25">
      <c r="A49" s="320">
        <f t="shared" si="2"/>
        <v>42000000</v>
      </c>
      <c r="B49" s="314">
        <f t="shared" si="0"/>
        <v>236936.78539685268</v>
      </c>
    </row>
    <row r="50" spans="1:2" x14ac:dyDescent="0.25">
      <c r="A50" s="320">
        <f t="shared" si="2"/>
        <v>43500000</v>
      </c>
      <c r="B50" s="314">
        <f t="shared" si="0"/>
        <v>242828.95367313846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76" t="s">
        <v>106</v>
      </c>
      <c r="C4" s="476"/>
      <c r="D4" s="476"/>
      <c r="E4" s="476"/>
      <c r="F4" s="477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74" t="s">
        <v>8</v>
      </c>
      <c r="B7" s="479" t="s">
        <v>9</v>
      </c>
      <c r="C7" s="480"/>
      <c r="D7" s="481" t="s">
        <v>12</v>
      </c>
      <c r="E7" s="482"/>
      <c r="F7" s="483"/>
      <c r="G7" s="479" t="s">
        <v>124</v>
      </c>
      <c r="H7" s="479"/>
      <c r="I7" s="484"/>
      <c r="J7" s="98" t="s">
        <v>125</v>
      </c>
    </row>
    <row r="8" spans="1:18" ht="28.35" customHeight="1" x14ac:dyDescent="0.2">
      <c r="A8" s="478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75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183</v>
      </c>
    </row>
    <row r="10" spans="1:18" ht="13.5" thickBot="1" x14ac:dyDescent="0.25"/>
    <row r="11" spans="1:18" ht="51.6" customHeight="1" x14ac:dyDescent="0.2">
      <c r="A11" s="474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66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75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VAC_Optim_Scenario!$D$33</f>
        <v>1</v>
      </c>
      <c r="H12" s="71">
        <f>C12*G12</f>
        <v>54924.559200000003</v>
      </c>
      <c r="I12" s="115" t="e">
        <f>VAC_Optim_Scenario!#REF!</f>
        <v>#REF!</v>
      </c>
      <c r="K12" s="467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68" t="s">
        <v>114</v>
      </c>
      <c r="B13" s="469"/>
      <c r="C13" s="469"/>
      <c r="D13" s="469"/>
      <c r="E13" s="469"/>
      <c r="F13" s="470"/>
      <c r="G13" s="119" t="s">
        <v>150</v>
      </c>
      <c r="H13" s="119" t="s">
        <v>151</v>
      </c>
      <c r="K13" s="468" t="s">
        <v>115</v>
      </c>
      <c r="L13" s="469"/>
      <c r="M13" s="469"/>
      <c r="N13" s="469"/>
      <c r="O13" s="469"/>
      <c r="P13" s="469"/>
      <c r="Q13" s="469"/>
      <c r="R13" s="470"/>
    </row>
    <row r="14" spans="1:18" ht="33.6" customHeight="1" thickBot="1" x14ac:dyDescent="0.25">
      <c r="A14" s="471"/>
      <c r="B14" s="472"/>
      <c r="C14" s="472"/>
      <c r="D14" s="472"/>
      <c r="E14" s="472"/>
      <c r="F14" s="473"/>
      <c r="G14" s="95">
        <f>VAC_Optim_Scenario!I33</f>
        <v>225.94</v>
      </c>
      <c r="H14" s="95">
        <f>VAC_Optim_Scenario!G33</f>
        <v>225.94</v>
      </c>
      <c r="K14" s="471"/>
      <c r="L14" s="472"/>
      <c r="M14" s="472"/>
      <c r="N14" s="472"/>
      <c r="O14" s="472"/>
      <c r="P14" s="472"/>
      <c r="Q14" s="472"/>
      <c r="R14" s="473"/>
    </row>
    <row r="16" spans="1:18" ht="13.5" thickBot="1" x14ac:dyDescent="0.25"/>
    <row r="17" spans="1:8" ht="42.6" customHeight="1" x14ac:dyDescent="0.2">
      <c r="A17" s="466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67"/>
      <c r="B18" s="75">
        <v>0</v>
      </c>
      <c r="C18" s="76">
        <v>4000000</v>
      </c>
      <c r="D18" s="26">
        <v>20</v>
      </c>
    </row>
    <row r="20" spans="1:8" x14ac:dyDescent="0.2">
      <c r="A20" s="447" t="s">
        <v>37</v>
      </c>
      <c r="B20" s="447"/>
      <c r="C20" s="447"/>
    </row>
    <row r="21" spans="1:8" ht="25.5" x14ac:dyDescent="0.2">
      <c r="A21" s="119" t="s">
        <v>35</v>
      </c>
      <c r="B21" s="119" t="s">
        <v>120</v>
      </c>
      <c r="C21" s="119" t="s">
        <v>184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topLeftCell="A4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238</v>
      </c>
    </row>
    <row r="2" spans="1:18" x14ac:dyDescent="0.2">
      <c r="A2" s="7" t="s">
        <v>2</v>
      </c>
      <c r="B2" s="8" t="s">
        <v>229</v>
      </c>
      <c r="C2" s="9" t="s">
        <v>4</v>
      </c>
      <c r="D2" s="8" t="s">
        <v>6</v>
      </c>
      <c r="E2" s="9" t="s">
        <v>116</v>
      </c>
      <c r="F2" s="10" t="s">
        <v>163</v>
      </c>
      <c r="H2" s="258" t="s">
        <v>102</v>
      </c>
      <c r="I2" s="259"/>
      <c r="J2" s="259"/>
      <c r="K2" s="259"/>
      <c r="L2" s="260"/>
    </row>
    <row r="3" spans="1:18" ht="13.5" thickBot="1" x14ac:dyDescent="0.25">
      <c r="A3" s="11" t="s">
        <v>3</v>
      </c>
      <c r="B3" s="12" t="s">
        <v>237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76" t="s">
        <v>106</v>
      </c>
      <c r="C4" s="476"/>
      <c r="D4" s="476"/>
      <c r="E4" s="476"/>
      <c r="F4" s="477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74" t="s">
        <v>8</v>
      </c>
      <c r="B7" s="479" t="s">
        <v>9</v>
      </c>
      <c r="C7" s="480"/>
      <c r="D7" s="481" t="s">
        <v>12</v>
      </c>
      <c r="E7" s="482"/>
      <c r="F7" s="483"/>
      <c r="G7" s="479" t="s">
        <v>124</v>
      </c>
      <c r="H7" s="479"/>
      <c r="I7" s="484"/>
      <c r="J7" s="98" t="s">
        <v>125</v>
      </c>
    </row>
    <row r="8" spans="1:18" ht="28.35" customHeight="1" x14ac:dyDescent="0.2">
      <c r="A8" s="478"/>
      <c r="B8" s="257" t="s">
        <v>10</v>
      </c>
      <c r="C8" s="17" t="s">
        <v>11</v>
      </c>
      <c r="D8" s="19" t="s">
        <v>20</v>
      </c>
      <c r="E8" s="257" t="s">
        <v>21</v>
      </c>
      <c r="F8" s="81" t="s">
        <v>117</v>
      </c>
      <c r="G8" s="261" t="s">
        <v>22</v>
      </c>
      <c r="H8" s="257" t="s">
        <v>23</v>
      </c>
      <c r="I8" s="88" t="s">
        <v>123</v>
      </c>
    </row>
    <row r="9" spans="1:18" ht="14.45" customHeight="1" thickBot="1" x14ac:dyDescent="0.25">
      <c r="A9" s="475"/>
      <c r="B9" s="95">
        <f>VAC_Optim_Scenario!G26</f>
        <v>2400000</v>
      </c>
      <c r="C9" s="95">
        <f>VAC_Optim_Scenario!H26</f>
        <v>4500000</v>
      </c>
      <c r="D9" s="68">
        <f>VAC_Optim_Scenario!I26</f>
        <v>2400000</v>
      </c>
      <c r="E9" s="84">
        <f>((($R$12/(1+EXP($P$12+$Q$12*D9)))-1) - ($F$12-$C$12))*$I$12</f>
        <v>18136.499281739816</v>
      </c>
      <c r="F9" s="89">
        <f>E9*$G$12</f>
        <v>18136.499281739816</v>
      </c>
      <c r="G9" s="95">
        <f>VAC_Optim_Scenario!E26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98" t="s">
        <v>167</v>
      </c>
    </row>
    <row r="10" spans="1:18" ht="13.5" thickBot="1" x14ac:dyDescent="0.25"/>
    <row r="11" spans="1:18" ht="51.6" customHeight="1" x14ac:dyDescent="0.2">
      <c r="A11" s="474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66" t="s">
        <v>25</v>
      </c>
      <c r="L11" s="263" t="s">
        <v>110</v>
      </c>
      <c r="M11" s="263" t="s">
        <v>111</v>
      </c>
      <c r="N11" s="263" t="s">
        <v>112</v>
      </c>
      <c r="O11" s="263" t="s">
        <v>113</v>
      </c>
      <c r="P11" s="263" t="s">
        <v>26</v>
      </c>
      <c r="Q11" s="263" t="s">
        <v>27</v>
      </c>
      <c r="R11" s="264" t="s">
        <v>28</v>
      </c>
    </row>
    <row r="12" spans="1:18" ht="15" customHeight="1" thickBot="1" x14ac:dyDescent="0.25">
      <c r="A12" s="475"/>
      <c r="B12" s="294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295">
        <f>VAC_Optim_Scenario!D26</f>
        <v>1</v>
      </c>
      <c r="K12" s="467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68" t="s">
        <v>169</v>
      </c>
      <c r="B13" s="469"/>
      <c r="C13" s="469"/>
      <c r="D13" s="469"/>
      <c r="E13" s="469"/>
      <c r="F13" s="470"/>
      <c r="G13" s="257" t="s">
        <v>150</v>
      </c>
      <c r="H13" s="257" t="s">
        <v>151</v>
      </c>
      <c r="K13" s="468" t="s">
        <v>115</v>
      </c>
      <c r="L13" s="469"/>
      <c r="M13" s="469"/>
      <c r="N13" s="469"/>
      <c r="O13" s="469"/>
      <c r="P13" s="469"/>
      <c r="Q13" s="469"/>
      <c r="R13" s="470"/>
    </row>
    <row r="14" spans="1:18" ht="33.6" customHeight="1" thickBot="1" x14ac:dyDescent="0.25">
      <c r="A14" s="471"/>
      <c r="B14" s="472"/>
      <c r="C14" s="472"/>
      <c r="D14" s="472"/>
      <c r="E14" s="472"/>
      <c r="F14" s="473"/>
      <c r="G14" s="95">
        <f>VAC_Optim_Scenario!$I$33</f>
        <v>225.94</v>
      </c>
      <c r="H14" s="95">
        <f>VAC_Optim_Scenario!$F$33</f>
        <v>225.94</v>
      </c>
      <c r="K14" s="471"/>
      <c r="L14" s="472"/>
      <c r="M14" s="472"/>
      <c r="N14" s="472"/>
      <c r="O14" s="472"/>
      <c r="P14" s="472"/>
      <c r="Q14" s="472"/>
      <c r="R14" s="473"/>
    </row>
    <row r="16" spans="1:18" ht="13.5" thickBot="1" x14ac:dyDescent="0.25"/>
    <row r="17" spans="1:8" ht="42.6" customHeight="1" x14ac:dyDescent="0.2">
      <c r="A17" s="466" t="s">
        <v>34</v>
      </c>
      <c r="B17" s="263" t="s">
        <v>32</v>
      </c>
      <c r="C17" s="263" t="s">
        <v>31</v>
      </c>
      <c r="D17" s="264" t="s">
        <v>33</v>
      </c>
      <c r="F17" s="82"/>
      <c r="G17" s="82"/>
      <c r="H17" s="83"/>
    </row>
    <row r="18" spans="1:8" ht="23.45" customHeight="1" thickBot="1" x14ac:dyDescent="0.25">
      <c r="A18" s="467"/>
      <c r="B18" s="75">
        <v>0</v>
      </c>
      <c r="C18" s="76">
        <v>4000000</v>
      </c>
      <c r="D18" s="26">
        <v>20</v>
      </c>
    </row>
    <row r="20" spans="1:8" x14ac:dyDescent="0.2">
      <c r="A20" s="447" t="s">
        <v>37</v>
      </c>
      <c r="B20" s="447"/>
      <c r="C20" s="447"/>
    </row>
    <row r="21" spans="1:8" ht="25.5" x14ac:dyDescent="0.2">
      <c r="A21" s="257" t="s">
        <v>35</v>
      </c>
      <c r="B21" s="257" t="s">
        <v>170</v>
      </c>
      <c r="C21" s="257" t="s">
        <v>171</v>
      </c>
      <c r="D21" s="98" t="s">
        <v>172</v>
      </c>
      <c r="E21" s="257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52" t="s">
        <v>100</v>
      </c>
      <c r="G2" s="453"/>
      <c r="H2" s="453"/>
      <c r="I2" s="453"/>
      <c r="J2" s="453"/>
      <c r="K2" s="453"/>
      <c r="L2" s="454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55" t="s">
        <v>72</v>
      </c>
      <c r="G3" s="456"/>
      <c r="H3" s="456"/>
      <c r="I3" s="456"/>
      <c r="J3" s="456"/>
      <c r="K3" s="456"/>
      <c r="L3" s="457"/>
    </row>
    <row r="4" spans="1:12" ht="13.5" thickBot="1" x14ac:dyDescent="0.25">
      <c r="A4" s="29" t="s">
        <v>38</v>
      </c>
      <c r="B4" s="488" t="s">
        <v>39</v>
      </c>
      <c r="C4" s="488"/>
      <c r="D4" s="489"/>
    </row>
    <row r="6" spans="1:12" ht="13.5" thickBot="1" x14ac:dyDescent="0.25"/>
    <row r="7" spans="1:12" ht="27.75" customHeight="1" x14ac:dyDescent="0.2">
      <c r="A7" s="474" t="s">
        <v>8</v>
      </c>
      <c r="B7" s="479" t="s">
        <v>9</v>
      </c>
      <c r="C7" s="480"/>
      <c r="D7" s="481" t="s">
        <v>12</v>
      </c>
      <c r="E7" s="483"/>
      <c r="F7" s="482" t="s">
        <v>24</v>
      </c>
      <c r="G7" s="496"/>
    </row>
    <row r="8" spans="1:12" ht="25.5" x14ac:dyDescent="0.2">
      <c r="A8" s="47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75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74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74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75"/>
      <c r="B12" s="12">
        <v>20</v>
      </c>
      <c r="C12" s="12">
        <v>30</v>
      </c>
      <c r="D12" s="12">
        <v>0</v>
      </c>
      <c r="E12" s="14">
        <v>70</v>
      </c>
      <c r="G12" s="475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68" t="s">
        <v>30</v>
      </c>
      <c r="B13" s="469"/>
      <c r="C13" s="469"/>
      <c r="D13" s="469"/>
      <c r="E13" s="470"/>
      <c r="G13" s="490" t="s">
        <v>29</v>
      </c>
      <c r="H13" s="491"/>
      <c r="I13" s="491"/>
      <c r="J13" s="492"/>
    </row>
    <row r="14" spans="1:12" ht="33.6" customHeight="1" x14ac:dyDescent="0.2">
      <c r="A14" s="471"/>
      <c r="B14" s="472"/>
      <c r="C14" s="472"/>
      <c r="D14" s="472"/>
      <c r="E14" s="473"/>
      <c r="G14" s="493"/>
      <c r="H14" s="494"/>
      <c r="I14" s="494"/>
      <c r="J14" s="495"/>
    </row>
    <row r="16" spans="1:12" ht="13.5" thickBot="1" x14ac:dyDescent="0.25"/>
    <row r="17" spans="1:4" ht="17.100000000000001" customHeight="1" x14ac:dyDescent="0.2">
      <c r="A17" s="466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67"/>
      <c r="B18" s="12">
        <v>0</v>
      </c>
      <c r="C18" s="12">
        <v>100</v>
      </c>
      <c r="D18" s="26">
        <v>20</v>
      </c>
    </row>
    <row r="20" spans="1:4" x14ac:dyDescent="0.2">
      <c r="A20" s="447" t="s">
        <v>37</v>
      </c>
      <c r="B20" s="447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52" t="s">
        <v>100</v>
      </c>
      <c r="G2" s="453"/>
      <c r="H2" s="453"/>
      <c r="I2" s="453"/>
      <c r="J2" s="453"/>
      <c r="K2" s="453"/>
      <c r="L2" s="454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55" t="s">
        <v>72</v>
      </c>
      <c r="G3" s="456"/>
      <c r="H3" s="456"/>
      <c r="I3" s="456"/>
      <c r="J3" s="456"/>
      <c r="K3" s="456"/>
      <c r="L3" s="457"/>
    </row>
    <row r="4" spans="1:12" ht="31.7" customHeight="1" thickBot="1" x14ac:dyDescent="0.25">
      <c r="A4" s="29" t="s">
        <v>38</v>
      </c>
      <c r="B4" s="497" t="s">
        <v>41</v>
      </c>
      <c r="C4" s="498"/>
      <c r="D4" s="499"/>
    </row>
    <row r="6" spans="1:12" ht="13.5" thickBot="1" x14ac:dyDescent="0.25"/>
    <row r="7" spans="1:12" ht="27.75" customHeight="1" x14ac:dyDescent="0.2">
      <c r="A7" s="474" t="s">
        <v>8</v>
      </c>
      <c r="B7" s="479" t="s">
        <v>9</v>
      </c>
      <c r="C7" s="480"/>
      <c r="D7" s="481" t="s">
        <v>12</v>
      </c>
      <c r="E7" s="483"/>
      <c r="F7" s="482" t="s">
        <v>24</v>
      </c>
      <c r="G7" s="496"/>
      <c r="H7" s="1" t="s">
        <v>54</v>
      </c>
    </row>
    <row r="8" spans="1:12" ht="25.5" x14ac:dyDescent="0.2">
      <c r="A8" s="47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75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74" t="s">
        <v>42</v>
      </c>
      <c r="B11" s="419" t="s">
        <v>47</v>
      </c>
      <c r="C11" s="501" t="s">
        <v>46</v>
      </c>
      <c r="D11" s="482"/>
      <c r="E11" s="482"/>
      <c r="F11" s="3" t="s">
        <v>48</v>
      </c>
      <c r="G11" s="33"/>
      <c r="H11" s="32"/>
      <c r="I11" s="32"/>
      <c r="J11" s="32"/>
    </row>
    <row r="12" spans="1:12" x14ac:dyDescent="0.2">
      <c r="A12" s="502"/>
      <c r="B12" s="420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503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500" t="s">
        <v>52</v>
      </c>
      <c r="B14" s="500"/>
      <c r="C14" s="500"/>
      <c r="D14" s="500"/>
      <c r="E14" s="500"/>
      <c r="F14" s="500"/>
      <c r="G14" s="38"/>
      <c r="H14" s="39"/>
      <c r="I14" s="39"/>
      <c r="J14" s="39"/>
    </row>
    <row r="15" spans="1:12" ht="30.6" customHeight="1" x14ac:dyDescent="0.2">
      <c r="A15" s="500"/>
      <c r="B15" s="500"/>
      <c r="C15" s="500"/>
      <c r="D15" s="500"/>
      <c r="E15" s="500"/>
      <c r="F15" s="500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66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67"/>
      <c r="B19" s="12">
        <v>0</v>
      </c>
      <c r="C19" s="12">
        <v>20000000</v>
      </c>
      <c r="D19" s="26">
        <v>20</v>
      </c>
    </row>
    <row r="21" spans="1:4" x14ac:dyDescent="0.2">
      <c r="A21" s="447" t="s">
        <v>37</v>
      </c>
      <c r="B21" s="447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52" t="s">
        <v>100</v>
      </c>
      <c r="G2" s="453"/>
      <c r="H2" s="453"/>
      <c r="I2" s="453"/>
      <c r="J2" s="453"/>
      <c r="K2" s="453"/>
      <c r="L2" s="454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55" t="s">
        <v>72</v>
      </c>
      <c r="G3" s="456"/>
      <c r="H3" s="456"/>
      <c r="I3" s="456"/>
      <c r="J3" s="456"/>
      <c r="K3" s="456"/>
      <c r="L3" s="457"/>
    </row>
    <row r="4" spans="1:14" ht="13.5" thickBot="1" x14ac:dyDescent="0.25">
      <c r="A4" s="29" t="s">
        <v>38</v>
      </c>
      <c r="B4" s="488" t="s">
        <v>57</v>
      </c>
      <c r="C4" s="488"/>
      <c r="D4" s="489"/>
    </row>
    <row r="6" spans="1:14" ht="13.5" thickBot="1" x14ac:dyDescent="0.25"/>
    <row r="7" spans="1:14" ht="27.75" customHeight="1" x14ac:dyDescent="0.2">
      <c r="A7" s="474" t="s">
        <v>8</v>
      </c>
      <c r="B7" s="479" t="s">
        <v>9</v>
      </c>
      <c r="C7" s="480"/>
      <c r="D7" s="481" t="s">
        <v>12</v>
      </c>
      <c r="E7" s="483"/>
      <c r="F7" s="482" t="s">
        <v>24</v>
      </c>
      <c r="G7" s="496"/>
      <c r="I7" s="506" t="s">
        <v>73</v>
      </c>
      <c r="J7" s="506"/>
      <c r="K7" s="506"/>
      <c r="L7" s="506"/>
      <c r="N7" s="47" t="s">
        <v>58</v>
      </c>
    </row>
    <row r="8" spans="1:14" ht="25.5" x14ac:dyDescent="0.2">
      <c r="A8" s="47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06"/>
      <c r="J8" s="506"/>
      <c r="K8" s="506"/>
      <c r="L8" s="506"/>
      <c r="N8" s="47" t="s">
        <v>59</v>
      </c>
    </row>
    <row r="9" spans="1:14" ht="13.5" thickBot="1" x14ac:dyDescent="0.25">
      <c r="A9" s="475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447" t="s">
        <v>60</v>
      </c>
      <c r="B11" s="3" t="s">
        <v>61</v>
      </c>
      <c r="C11" s="3" t="s">
        <v>62</v>
      </c>
      <c r="D11" s="32"/>
      <c r="E11" s="504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447"/>
      <c r="B12" s="41">
        <v>0</v>
      </c>
      <c r="C12" s="41">
        <v>0</v>
      </c>
      <c r="D12" s="32"/>
      <c r="E12" s="505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447"/>
      <c r="B13" s="41">
        <v>1</v>
      </c>
      <c r="C13" s="41">
        <v>0.75</v>
      </c>
      <c r="D13" s="32"/>
      <c r="E13" s="505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447"/>
      <c r="B14" s="41">
        <v>2</v>
      </c>
      <c r="C14" s="41">
        <v>0</v>
      </c>
      <c r="D14" s="32"/>
      <c r="E14" s="505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447"/>
      <c r="B15" s="41">
        <v>3</v>
      </c>
      <c r="C15" s="41">
        <v>-1</v>
      </c>
      <c r="D15" s="32"/>
      <c r="E15" s="505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447"/>
      <c r="B16" s="41">
        <v>4</v>
      </c>
      <c r="C16" s="41">
        <v>3</v>
      </c>
      <c r="D16" s="32"/>
      <c r="E16" s="505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47"/>
      <c r="B17" s="42">
        <v>5</v>
      </c>
      <c r="C17" s="42">
        <v>3</v>
      </c>
      <c r="D17" s="40"/>
      <c r="E17" s="505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507" t="s">
        <v>74</v>
      </c>
      <c r="B18" s="508"/>
      <c r="C18" s="509"/>
      <c r="D18" s="33"/>
      <c r="E18" s="500" t="s">
        <v>75</v>
      </c>
      <c r="F18" s="500"/>
      <c r="G18" s="500"/>
      <c r="H18" s="500"/>
      <c r="I18" s="500"/>
      <c r="J18" s="500"/>
      <c r="K18" s="500"/>
      <c r="L18" s="500"/>
      <c r="M18" s="500"/>
    </row>
    <row r="19" spans="1:13" ht="35.450000000000003" customHeight="1" x14ac:dyDescent="0.2">
      <c r="A19" s="471"/>
      <c r="B19" s="472"/>
      <c r="C19" s="473"/>
      <c r="D19" s="33"/>
      <c r="E19" s="500"/>
      <c r="F19" s="500"/>
      <c r="G19" s="500"/>
      <c r="H19" s="500"/>
      <c r="I19" s="500"/>
      <c r="J19" s="500"/>
      <c r="K19" s="500"/>
      <c r="L19" s="500"/>
      <c r="M19" s="500"/>
    </row>
    <row r="21" spans="1:13" ht="13.5" thickBot="1" x14ac:dyDescent="0.25"/>
    <row r="22" spans="1:13" ht="17.100000000000001" customHeight="1" x14ac:dyDescent="0.2">
      <c r="A22" s="466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67"/>
      <c r="B23" s="12">
        <v>0</v>
      </c>
      <c r="C23" s="12">
        <v>5</v>
      </c>
      <c r="D23" s="26">
        <v>20</v>
      </c>
    </row>
    <row r="25" spans="1:13" x14ac:dyDescent="0.2">
      <c r="A25" s="447" t="s">
        <v>37</v>
      </c>
      <c r="B25" s="447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10" t="s">
        <v>106</v>
      </c>
      <c r="C4" s="510"/>
      <c r="D4" s="510"/>
      <c r="E4" s="510"/>
      <c r="F4" s="511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74" t="s">
        <v>8</v>
      </c>
      <c r="B7" s="479" t="s">
        <v>9</v>
      </c>
      <c r="C7" s="480"/>
      <c r="D7" s="481" t="s">
        <v>12</v>
      </c>
      <c r="E7" s="483"/>
      <c r="F7" s="482" t="s">
        <v>24</v>
      </c>
      <c r="G7" s="496"/>
    </row>
    <row r="8" spans="1:15" ht="25.5" x14ac:dyDescent="0.2">
      <c r="A8" s="478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75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74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66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75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67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68" t="s">
        <v>114</v>
      </c>
      <c r="B13" s="469"/>
      <c r="C13" s="469"/>
      <c r="D13" s="469"/>
      <c r="E13" s="469"/>
      <c r="F13" s="470"/>
      <c r="H13" s="468" t="s">
        <v>115</v>
      </c>
      <c r="I13" s="469"/>
      <c r="J13" s="469"/>
      <c r="K13" s="469"/>
      <c r="L13" s="469"/>
      <c r="M13" s="469"/>
      <c r="N13" s="469"/>
      <c r="O13" s="470"/>
    </row>
    <row r="14" spans="1:15" ht="33.6" customHeight="1" x14ac:dyDescent="0.2">
      <c r="A14" s="471"/>
      <c r="B14" s="472"/>
      <c r="C14" s="472"/>
      <c r="D14" s="472"/>
      <c r="E14" s="472"/>
      <c r="F14" s="473"/>
      <c r="H14" s="471"/>
      <c r="I14" s="472"/>
      <c r="J14" s="472"/>
      <c r="K14" s="472"/>
      <c r="L14" s="472"/>
      <c r="M14" s="472"/>
      <c r="N14" s="472"/>
      <c r="O14" s="473"/>
    </row>
    <row r="16" spans="1:15" ht="13.5" thickBot="1" x14ac:dyDescent="0.25"/>
    <row r="17" spans="1:4" ht="17.100000000000001" customHeight="1" x14ac:dyDescent="0.2">
      <c r="A17" s="466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67"/>
      <c r="B18" s="75">
        <v>0</v>
      </c>
      <c r="C18" s="76">
        <v>200000000</v>
      </c>
      <c r="D18" s="26">
        <v>20</v>
      </c>
    </row>
    <row r="20" spans="1:4" x14ac:dyDescent="0.2">
      <c r="A20" s="447" t="s">
        <v>37</v>
      </c>
      <c r="B20" s="447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Sensitivity - Template</vt:lpstr>
      <vt:lpstr>Scenario summary</vt:lpstr>
      <vt:lpstr>Chart - Combined</vt:lpstr>
      <vt:lpstr>Sensitivity</vt:lpstr>
      <vt:lpstr>Contribution, promo eff, ROI</vt:lpstr>
      <vt:lpstr>Scenario deep dive</vt:lpstr>
      <vt:lpstr>VAC_Optim_Scenario</vt:lpstr>
      <vt:lpstr>Current Constraints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2023-09-01T16:11:53Z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