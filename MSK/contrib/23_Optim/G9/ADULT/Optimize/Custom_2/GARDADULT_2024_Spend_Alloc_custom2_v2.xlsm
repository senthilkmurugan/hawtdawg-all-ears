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ULT\Optimize\Custom_2\"/>
    </mc:Choice>
  </mc:AlternateContent>
  <xr:revisionPtr revIDLastSave="0" documentId="13_ncr:1_{69117DF0-0CFD-4837-BFCB-9CA3E19DB393}" xr6:coauthVersionLast="47" xr6:coauthVersionMax="47" xr10:uidLastSave="{00000000-0000-0000-0000-000000000000}"/>
  <bookViews>
    <workbookView xWindow="-120" yWindow="-120" windowWidth="20730" windowHeight="11160" tabRatio="906" firstSheet="3" activeTab="6" xr2:uid="{00000000-000D-0000-FFFF-FFFF00000000}"/>
  </bookViews>
  <sheets>
    <sheet name="Sensitivity - Template" sheetId="86" state="hidden" r:id="rId1"/>
    <sheet name="Scenario summary" sheetId="78" r:id="rId2"/>
    <sheet name="Scenario summary_incr_doses" sheetId="97" r:id="rId3"/>
    <sheet name="Chart - Combined" sheetId="36" r:id="rId4"/>
    <sheet name="Sensitivity" sheetId="81" state="hidden" r:id="rId5"/>
    <sheet name="Contribution, promo eff, ROI" sheetId="80" r:id="rId6"/>
    <sheet name="Scenario deep dive" sheetId="79" r:id="rId7"/>
    <sheet name="doses_contrib" sheetId="96" r:id="rId8"/>
    <sheet name="VAC_Optim_Scenario" sheetId="23" r:id="rId9"/>
    <sheet name="Current Constraints" sheetId="95" r:id="rId10"/>
    <sheet name="GINOFF" sheetId="51" r:id="rId11"/>
    <sheet name="GMCM" sheetId="50" r:id="rId12"/>
    <sheet name="GSOCIAL" sheetId="89" r:id="rId13"/>
    <sheet name="GOLV" sheetId="92" r:id="rId14"/>
    <sheet name="GSTRTV" sheetId="91" r:id="rId15"/>
    <sheet name="GDISP" sheetId="87" r:id="rId16"/>
    <sheet name="GPDSRCH" sheetId="93" r:id="rId17"/>
    <sheet name="GAUDIO" sheetId="88" r:id="rId18"/>
    <sheet name="GLINEARTV" sheetId="90" r:id="rId19"/>
    <sheet name="GPRNT" sheetId="48" state="hidden" r:id="rId20"/>
    <sheet name="GPHRMCY" sheetId="94" r:id="rId21"/>
    <sheet name="Fn.Templates ==&gt;" sheetId="3" r:id="rId22"/>
    <sheet name="FT_SCurveEst" sheetId="2" r:id="rId23"/>
    <sheet name="FT_Equation" sheetId="4" r:id="rId24"/>
    <sheet name="FT_Interpolate" sheetId="5" r:id="rId25"/>
    <sheet name="FT_SCurve3Est" sheetId="13" r:id="rId26"/>
  </sheets>
  <functionGroups builtInGroupCount="19"/>
  <externalReferences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</externalReferences>
  <definedNames>
    <definedName name="_xlnm._FilterDatabase" localSheetId="5" hidden="1">'Contribution, promo eff, ROI'!$E$17:$F$25</definedName>
    <definedName name="solver_adj" localSheetId="8" hidden="1">VAC_Optim_Scenario!$I$17:$I$26</definedName>
    <definedName name="solver_cvg" localSheetId="4" hidden="1">0.0001</definedName>
    <definedName name="solver_cvg" localSheetId="0" hidden="1">0.0001</definedName>
    <definedName name="solver_cvg" localSheetId="8" hidden="1">0.0001</definedName>
    <definedName name="solver_drv" localSheetId="4" hidden="1">1</definedName>
    <definedName name="solver_drv" localSheetId="0" hidden="1">1</definedName>
    <definedName name="solver_drv" localSheetId="8" hidden="1">1</definedName>
    <definedName name="solver_eng" localSheetId="20" hidden="1">1</definedName>
    <definedName name="solver_eng" localSheetId="4" hidden="1">1</definedName>
    <definedName name="solver_eng" localSheetId="0" hidden="1">1</definedName>
    <definedName name="solver_eng" localSheetId="8" hidden="1">1</definedName>
    <definedName name="solver_est" localSheetId="4" hidden="1">1</definedName>
    <definedName name="solver_est" localSheetId="0" hidden="1">1</definedName>
    <definedName name="solver_est" localSheetId="8" hidden="1">1</definedName>
    <definedName name="solver_itr" localSheetId="4" hidden="1">2147483647</definedName>
    <definedName name="solver_itr" localSheetId="0" hidden="1">2147483647</definedName>
    <definedName name="solver_itr" localSheetId="8" hidden="1">2147483647</definedName>
    <definedName name="solver_lhs0" localSheetId="8" hidden="1">VAC_Optim_Scenario!$I$27</definedName>
    <definedName name="solver_lhs1" localSheetId="8" hidden="1">VAC_Optim_Scenario!$B$12</definedName>
    <definedName name="solver_lhs2" localSheetId="8" hidden="1">VAC_Optim_Scenario!$I$17:$I$26</definedName>
    <definedName name="solver_lhs3" localSheetId="8" hidden="1">VAC_Optim_Scenario!$I$17:$I$26</definedName>
    <definedName name="solver_lhs4" localSheetId="8" hidden="1">VAC_Optim_Scenario!$I$27</definedName>
    <definedName name="solver_lhs5" localSheetId="8" hidden="1">VAC_Optim_Scenario!#REF!</definedName>
    <definedName name="solver_mip" localSheetId="4" hidden="1">2147483647</definedName>
    <definedName name="solver_mip" localSheetId="0" hidden="1">2147483647</definedName>
    <definedName name="solver_mip" localSheetId="8" hidden="1">2147483647</definedName>
    <definedName name="solver_mni" localSheetId="4" hidden="1">30</definedName>
    <definedName name="solver_mni" localSheetId="0" hidden="1">30</definedName>
    <definedName name="solver_mni" localSheetId="8" hidden="1">30</definedName>
    <definedName name="solver_mrt" localSheetId="4" hidden="1">0.075</definedName>
    <definedName name="solver_mrt" localSheetId="0" hidden="1">0.075</definedName>
    <definedName name="solver_mrt" localSheetId="8" hidden="1">0.075</definedName>
    <definedName name="solver_msl" localSheetId="4" hidden="1">2</definedName>
    <definedName name="solver_msl" localSheetId="0" hidden="1">2</definedName>
    <definedName name="solver_msl" localSheetId="8" hidden="1">2</definedName>
    <definedName name="solver_neg" localSheetId="20" hidden="1">1</definedName>
    <definedName name="solver_neg" localSheetId="4" hidden="1">1</definedName>
    <definedName name="solver_neg" localSheetId="0" hidden="1">1</definedName>
    <definedName name="solver_neg" localSheetId="8" hidden="1">1</definedName>
    <definedName name="solver_nod" localSheetId="4" hidden="1">2147483647</definedName>
    <definedName name="solver_nod" localSheetId="0" hidden="1">2147483647</definedName>
    <definedName name="solver_nod" localSheetId="8" hidden="1">2147483647</definedName>
    <definedName name="solver_num" localSheetId="20" hidden="1">0</definedName>
    <definedName name="solver_num" localSheetId="4" hidden="1">0</definedName>
    <definedName name="solver_num" localSheetId="0" hidden="1">0</definedName>
    <definedName name="solver_num" localSheetId="8" hidden="1">3</definedName>
    <definedName name="solver_nwt" localSheetId="4" hidden="1">1</definedName>
    <definedName name="solver_nwt" localSheetId="0" hidden="1">1</definedName>
    <definedName name="solver_nwt" localSheetId="8" hidden="1">1</definedName>
    <definedName name="solver_opt" localSheetId="20" hidden="1">GPHRMCY!$I$12</definedName>
    <definedName name="solver_opt" localSheetId="4" hidden="1">Sensitivity!$F$6</definedName>
    <definedName name="solver_opt" localSheetId="0" hidden="1">'Sensitivity - Template'!$F$6</definedName>
    <definedName name="solver_opt" localSheetId="8" hidden="1">VAC_Optim_Scenario!$B$9</definedName>
    <definedName name="solver_pre" localSheetId="4" hidden="1">0.000001</definedName>
    <definedName name="solver_pre" localSheetId="0" hidden="1">0.000001</definedName>
    <definedName name="solver_pre" localSheetId="8" hidden="1">0.00000001</definedName>
    <definedName name="solver_rbv" localSheetId="4" hidden="1">1</definedName>
    <definedName name="solver_rbv" localSheetId="0" hidden="1">1</definedName>
    <definedName name="solver_rbv" localSheetId="8" hidden="1">1</definedName>
    <definedName name="solver_rel0" localSheetId="8" hidden="1">3</definedName>
    <definedName name="solver_rel1" localSheetId="8" hidden="1">2</definedName>
    <definedName name="solver_rel2" localSheetId="8" hidden="1">1</definedName>
    <definedName name="solver_rel3" localSheetId="8" hidden="1">3</definedName>
    <definedName name="solver_rel4" localSheetId="8" hidden="1">3</definedName>
    <definedName name="solver_rel5" localSheetId="8" hidden="1">2</definedName>
    <definedName name="solver_rhs0" localSheetId="8" hidden="1">VAC_Optim_Scenario!$C$12</definedName>
    <definedName name="solver_rhs1" localSheetId="8" hidden="1">VAC_Optim_Scenario!$I$28</definedName>
    <definedName name="solver_rhs2" localSheetId="8" hidden="1">VAC_Optim_Scenario!$H$17:$H$26</definedName>
    <definedName name="solver_rhs3" localSheetId="8" hidden="1">VAC_Optim_Scenario!$G$17:$G$26</definedName>
    <definedName name="solver_rhs4" localSheetId="8" hidden="1">VAC_Optim_Scenario!$C$12</definedName>
    <definedName name="solver_rhs5" localSheetId="8" hidden="1">VAC_Optim_Scenario!#REF!</definedName>
    <definedName name="solver_rlx" localSheetId="4" hidden="1">2</definedName>
    <definedName name="solver_rlx" localSheetId="0" hidden="1">2</definedName>
    <definedName name="solver_rlx" localSheetId="8" hidden="1">2</definedName>
    <definedName name="solver_rsd" localSheetId="4" hidden="1">0</definedName>
    <definedName name="solver_rsd" localSheetId="0" hidden="1">0</definedName>
    <definedName name="solver_rsd" localSheetId="8" hidden="1">0</definedName>
    <definedName name="solver_scl" localSheetId="4" hidden="1">1</definedName>
    <definedName name="solver_scl" localSheetId="0" hidden="1">1</definedName>
    <definedName name="solver_scl" localSheetId="8" hidden="1">1</definedName>
    <definedName name="solver_sho" localSheetId="4" hidden="1">2</definedName>
    <definedName name="solver_sho" localSheetId="0" hidden="1">2</definedName>
    <definedName name="solver_sho" localSheetId="8" hidden="1">2</definedName>
    <definedName name="solver_ssz" localSheetId="4" hidden="1">100</definedName>
    <definedName name="solver_ssz" localSheetId="0" hidden="1">100</definedName>
    <definedName name="solver_ssz" localSheetId="8" hidden="1">100</definedName>
    <definedName name="solver_tim" localSheetId="4" hidden="1">2147483647</definedName>
    <definedName name="solver_tim" localSheetId="0" hidden="1">2147483647</definedName>
    <definedName name="solver_tim" localSheetId="8" hidden="1">2147483647</definedName>
    <definedName name="solver_tol" localSheetId="4" hidden="1">0.01</definedName>
    <definedName name="solver_tol" localSheetId="0" hidden="1">0.01</definedName>
    <definedName name="solver_tol" localSheetId="8" hidden="1">0.01</definedName>
    <definedName name="solver_typ" localSheetId="20" hidden="1">1</definedName>
    <definedName name="solver_typ" localSheetId="4" hidden="1">1</definedName>
    <definedName name="solver_typ" localSheetId="0" hidden="1">1</definedName>
    <definedName name="solver_typ" localSheetId="8" hidden="1">1</definedName>
    <definedName name="solver_val" localSheetId="20" hidden="1">0</definedName>
    <definedName name="solver_val" localSheetId="4" hidden="1">0</definedName>
    <definedName name="solver_val" localSheetId="0" hidden="1">0</definedName>
    <definedName name="solver_val" localSheetId="8" hidden="1">0</definedName>
    <definedName name="solver_ver" localSheetId="20" hidden="1">3</definedName>
    <definedName name="solver_ver" localSheetId="4" hidden="1">3</definedName>
    <definedName name="solver_ver" localSheetId="0" hidden="1">3</definedName>
    <definedName name="solver_ver" localSheetId="8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8" i="79" l="1"/>
  <c r="J17" i="79"/>
  <c r="K17" i="79" s="1"/>
  <c r="L17" i="79"/>
  <c r="L18" i="79" s="1"/>
  <c r="F18" i="79"/>
  <c r="C7" i="79"/>
  <c r="C8" i="79"/>
  <c r="C9" i="79"/>
  <c r="C10" i="79"/>
  <c r="C11" i="79"/>
  <c r="C12" i="79"/>
  <c r="C13" i="79"/>
  <c r="C14" i="79"/>
  <c r="C15" i="79"/>
  <c r="C16" i="79"/>
  <c r="D7" i="79"/>
  <c r="D8" i="79"/>
  <c r="D9" i="79"/>
  <c r="D10" i="79"/>
  <c r="D11" i="79"/>
  <c r="D12" i="79"/>
  <c r="D13" i="79"/>
  <c r="D14" i="79"/>
  <c r="D15" i="79"/>
  <c r="D16" i="79"/>
  <c r="H22" i="23" l="1"/>
  <c r="H20" i="23"/>
  <c r="H19" i="23"/>
  <c r="V21" i="79" l="1"/>
  <c r="V46" i="79"/>
  <c r="V66" i="79"/>
  <c r="V60" i="79" s="1"/>
  <c r="X58" i="79"/>
  <c r="V58" i="79"/>
  <c r="X57" i="79"/>
  <c r="W57" i="79"/>
  <c r="V57" i="79"/>
  <c r="X56" i="79"/>
  <c r="W56" i="79"/>
  <c r="V56" i="79"/>
  <c r="X55" i="79"/>
  <c r="W55" i="79"/>
  <c r="V55" i="79"/>
  <c r="X54" i="79"/>
  <c r="W54" i="79"/>
  <c r="V54" i="79"/>
  <c r="X53" i="79"/>
  <c r="W53" i="79"/>
  <c r="V53" i="79"/>
  <c r="X52" i="79"/>
  <c r="W52" i="79"/>
  <c r="V52" i="79"/>
  <c r="X51" i="79"/>
  <c r="W51" i="79"/>
  <c r="V51" i="79"/>
  <c r="X50" i="79"/>
  <c r="W50" i="79"/>
  <c r="V50" i="79"/>
  <c r="X49" i="79"/>
  <c r="W49" i="79"/>
  <c r="V49" i="79"/>
  <c r="X48" i="79"/>
  <c r="W48" i="79"/>
  <c r="V48" i="79"/>
  <c r="V42" i="79"/>
  <c r="V41" i="79"/>
  <c r="V35" i="79" s="1"/>
  <c r="V40" i="79"/>
  <c r="V36" i="79"/>
  <c r="V34" i="79"/>
  <c r="X33" i="79"/>
  <c r="V33" i="79"/>
  <c r="X32" i="79"/>
  <c r="W32" i="79"/>
  <c r="V32" i="79"/>
  <c r="X31" i="79"/>
  <c r="W31" i="79"/>
  <c r="V31" i="79"/>
  <c r="X30" i="79"/>
  <c r="W30" i="79"/>
  <c r="V30" i="79"/>
  <c r="X29" i="79"/>
  <c r="W29" i="79"/>
  <c r="V29" i="79"/>
  <c r="X28" i="79"/>
  <c r="W28" i="79"/>
  <c r="V28" i="79"/>
  <c r="X27" i="79"/>
  <c r="W27" i="79"/>
  <c r="V27" i="79"/>
  <c r="X26" i="79"/>
  <c r="W26" i="79"/>
  <c r="V26" i="79"/>
  <c r="X25" i="79"/>
  <c r="W25" i="79"/>
  <c r="V25" i="79"/>
  <c r="X24" i="79"/>
  <c r="W24" i="79"/>
  <c r="V24" i="79"/>
  <c r="X23" i="79"/>
  <c r="W23" i="79"/>
  <c r="V23" i="79"/>
  <c r="X17" i="79"/>
  <c r="V17" i="79"/>
  <c r="V65" i="79" l="1"/>
  <c r="V59" i="79" s="1"/>
  <c r="V67" i="79"/>
  <c r="V61" i="79" s="1"/>
  <c r="D14" i="97" l="1"/>
  <c r="D13" i="97"/>
  <c r="D12" i="97"/>
  <c r="F5" i="95"/>
  <c r="F6" i="95"/>
  <c r="F7" i="95"/>
  <c r="F8" i="95"/>
  <c r="F9" i="95"/>
  <c r="F10" i="95"/>
  <c r="F11" i="95"/>
  <c r="F12" i="95"/>
  <c r="F13" i="95"/>
  <c r="F4" i="95"/>
  <c r="F14" i="95" l="1"/>
  <c r="E5" i="95"/>
  <c r="E6" i="95"/>
  <c r="E7" i="95"/>
  <c r="E8" i="95"/>
  <c r="E9" i="95"/>
  <c r="E10" i="95"/>
  <c r="E11" i="95"/>
  <c r="E12" i="95"/>
  <c r="E13" i="95"/>
  <c r="E4" i="95"/>
  <c r="E14" i="95" l="1"/>
  <c r="T32" i="79"/>
  <c r="L6" i="96" s="1"/>
  <c r="S32" i="79"/>
  <c r="S57" i="79" s="1"/>
  <c r="R32" i="79"/>
  <c r="R57" i="79" s="1"/>
  <c r="T31" i="79"/>
  <c r="T56" i="79" s="1"/>
  <c r="S31" i="79"/>
  <c r="S56" i="79" s="1"/>
  <c r="R31" i="79"/>
  <c r="R56" i="79" s="1"/>
  <c r="T30" i="79"/>
  <c r="T55" i="79" s="1"/>
  <c r="S30" i="79"/>
  <c r="S55" i="79" s="1"/>
  <c r="R30" i="79"/>
  <c r="R55" i="79" s="1"/>
  <c r="T29" i="79"/>
  <c r="T54" i="79" s="1"/>
  <c r="S29" i="79"/>
  <c r="S54" i="79" s="1"/>
  <c r="R29" i="79"/>
  <c r="R54" i="79" s="1"/>
  <c r="T28" i="79"/>
  <c r="T53" i="79" s="1"/>
  <c r="S28" i="79"/>
  <c r="S53" i="79" s="1"/>
  <c r="R28" i="79"/>
  <c r="R53" i="79" s="1"/>
  <c r="T27" i="79"/>
  <c r="T52" i="79" s="1"/>
  <c r="S27" i="79"/>
  <c r="S52" i="79" s="1"/>
  <c r="R27" i="79"/>
  <c r="R52" i="79" s="1"/>
  <c r="T26" i="79"/>
  <c r="T51" i="79" s="1"/>
  <c r="S26" i="79"/>
  <c r="S51" i="79" s="1"/>
  <c r="R26" i="79"/>
  <c r="R51" i="79" s="1"/>
  <c r="T25" i="79"/>
  <c r="S25" i="79"/>
  <c r="S50" i="79" s="1"/>
  <c r="R25" i="79"/>
  <c r="R50" i="79" s="1"/>
  <c r="T24" i="79"/>
  <c r="L5" i="96" s="1"/>
  <c r="S24" i="79"/>
  <c r="S49" i="79" s="1"/>
  <c r="R24" i="79"/>
  <c r="R49" i="79" s="1"/>
  <c r="T23" i="79"/>
  <c r="T48" i="79" s="1"/>
  <c r="S23" i="79"/>
  <c r="S48" i="79" s="1"/>
  <c r="R23" i="79"/>
  <c r="R48" i="79" s="1"/>
  <c r="T17" i="79"/>
  <c r="T33" i="79" s="1"/>
  <c r="R17" i="79"/>
  <c r="R46" i="79"/>
  <c r="R21" i="79"/>
  <c r="L4" i="96" l="1"/>
  <c r="T49" i="79"/>
  <c r="T57" i="79"/>
  <c r="T58" i="79"/>
  <c r="T50" i="79"/>
  <c r="R33" i="79"/>
  <c r="R58" i="79" s="1"/>
  <c r="N46" i="79"/>
  <c r="J46" i="79"/>
  <c r="F46" i="79"/>
  <c r="F45" i="79"/>
  <c r="XEZ49" i="79"/>
  <c r="XEY49" i="79"/>
  <c r="XEX49" i="79"/>
  <c r="XEW49" i="79"/>
  <c r="XEV49" i="79"/>
  <c r="XEU49" i="79"/>
  <c r="XET49" i="79"/>
  <c r="XES49" i="79"/>
  <c r="XER49" i="79"/>
  <c r="XEQ49" i="79"/>
  <c r="XEP49" i="79"/>
  <c r="XEO49" i="79"/>
  <c r="XEN49" i="79"/>
  <c r="XEM49" i="79"/>
  <c r="XEL49" i="79"/>
  <c r="XEK49" i="79"/>
  <c r="XEJ49" i="79"/>
  <c r="XEI49" i="79"/>
  <c r="XEH49" i="79"/>
  <c r="XEG49" i="79"/>
  <c r="XEF49" i="79"/>
  <c r="XEE49" i="79"/>
  <c r="XED49" i="79"/>
  <c r="XEC49" i="79"/>
  <c r="XEB49" i="79"/>
  <c r="XEA49" i="79"/>
  <c r="XDZ49" i="79"/>
  <c r="XDY49" i="79"/>
  <c r="XDX49" i="79"/>
  <c r="XDW49" i="79"/>
  <c r="XDV49" i="79"/>
  <c r="XDU49" i="79"/>
  <c r="XDT49" i="79"/>
  <c r="XDS49" i="79"/>
  <c r="XDR49" i="79"/>
  <c r="XDQ49" i="79"/>
  <c r="XDP49" i="79"/>
  <c r="XDO49" i="79"/>
  <c r="XDN49" i="79"/>
  <c r="XDM49" i="79"/>
  <c r="XDL49" i="79"/>
  <c r="XDK49" i="79"/>
  <c r="XDJ49" i="79"/>
  <c r="XDI49" i="79"/>
  <c r="XDH49" i="79"/>
  <c r="XDG49" i="79"/>
  <c r="XDF49" i="79"/>
  <c r="XDE49" i="79"/>
  <c r="XDD49" i="79"/>
  <c r="XDC49" i="79"/>
  <c r="XDB49" i="79"/>
  <c r="XDA49" i="79"/>
  <c r="XCZ49" i="79"/>
  <c r="XCY49" i="79"/>
  <c r="XCX49" i="79"/>
  <c r="XCW49" i="79"/>
  <c r="XCV49" i="79"/>
  <c r="XCU49" i="79"/>
  <c r="XCT49" i="79"/>
  <c r="XCS49" i="79"/>
  <c r="XCR49" i="79"/>
  <c r="XCQ49" i="79"/>
  <c r="XCP49" i="79"/>
  <c r="XCO49" i="79"/>
  <c r="XCN49" i="79"/>
  <c r="XCM49" i="79"/>
  <c r="XCL49" i="79"/>
  <c r="XCK49" i="79"/>
  <c r="XCJ49" i="79"/>
  <c r="XCI49" i="79"/>
  <c r="XCH49" i="79"/>
  <c r="XCG49" i="79"/>
  <c r="XCF49" i="79"/>
  <c r="XCE49" i="79"/>
  <c r="XCD49" i="79"/>
  <c r="XCC49" i="79"/>
  <c r="XCB49" i="79"/>
  <c r="XCA49" i="79"/>
  <c r="XBZ49" i="79"/>
  <c r="XBY49" i="79"/>
  <c r="XBX49" i="79"/>
  <c r="XBW49" i="79"/>
  <c r="XBV49" i="79"/>
  <c r="XBU49" i="79"/>
  <c r="XBT49" i="79"/>
  <c r="XBS49" i="79"/>
  <c r="XBR49" i="79"/>
  <c r="XBQ49" i="79"/>
  <c r="XBP49" i="79"/>
  <c r="XBO49" i="79"/>
  <c r="XBN49" i="79"/>
  <c r="XBM49" i="79"/>
  <c r="XBL49" i="79"/>
  <c r="XBK49" i="79"/>
  <c r="XBJ49" i="79"/>
  <c r="XBI49" i="79"/>
  <c r="XBH49" i="79"/>
  <c r="XBG49" i="79"/>
  <c r="XBF49" i="79"/>
  <c r="XBE49" i="79"/>
  <c r="XBD49" i="79"/>
  <c r="XBC49" i="79"/>
  <c r="XBB49" i="79"/>
  <c r="XBA49" i="79"/>
  <c r="XAZ49" i="79"/>
  <c r="XAY49" i="79"/>
  <c r="XAX49" i="79"/>
  <c r="XAW49" i="79"/>
  <c r="XAV49" i="79"/>
  <c r="XAU49" i="79"/>
  <c r="XAT49" i="79"/>
  <c r="XAS49" i="79"/>
  <c r="XAR49" i="79"/>
  <c r="XAQ49" i="79"/>
  <c r="XAP49" i="79"/>
  <c r="XAO49" i="79"/>
  <c r="XAN49" i="79"/>
  <c r="XAM49" i="79"/>
  <c r="XAL49" i="79"/>
  <c r="XAK49" i="79"/>
  <c r="XAJ49" i="79"/>
  <c r="XAI49" i="79"/>
  <c r="XAH49" i="79"/>
  <c r="XAG49" i="79"/>
  <c r="XAF49" i="79"/>
  <c r="XAE49" i="79"/>
  <c r="XAD49" i="79"/>
  <c r="XAC49" i="79"/>
  <c r="XAB49" i="79"/>
  <c r="XAA49" i="79"/>
  <c r="WZZ49" i="79"/>
  <c r="WZY49" i="79"/>
  <c r="WZX49" i="79"/>
  <c r="WZW49" i="79"/>
  <c r="WZV49" i="79"/>
  <c r="WZU49" i="79"/>
  <c r="WZT49" i="79"/>
  <c r="WZS49" i="79"/>
  <c r="WZR49" i="79"/>
  <c r="WZQ49" i="79"/>
  <c r="WZP49" i="79"/>
  <c r="WZO49" i="79"/>
  <c r="WZN49" i="79"/>
  <c r="WZM49" i="79"/>
  <c r="WZL49" i="79"/>
  <c r="WZK49" i="79"/>
  <c r="WZJ49" i="79"/>
  <c r="WZI49" i="79"/>
  <c r="WZH49" i="79"/>
  <c r="WZG49" i="79"/>
  <c r="WZF49" i="79"/>
  <c r="WZE49" i="79"/>
  <c r="WZD49" i="79"/>
  <c r="WZC49" i="79"/>
  <c r="WZB49" i="79"/>
  <c r="WZA49" i="79"/>
  <c r="WYZ49" i="79"/>
  <c r="WYY49" i="79"/>
  <c r="WYX49" i="79"/>
  <c r="WYW49" i="79"/>
  <c r="WYV49" i="79"/>
  <c r="WYU49" i="79"/>
  <c r="WYT49" i="79"/>
  <c r="WYS49" i="79"/>
  <c r="WYR49" i="79"/>
  <c r="WYQ49" i="79"/>
  <c r="WYP49" i="79"/>
  <c r="WYO49" i="79"/>
  <c r="WYN49" i="79"/>
  <c r="WYM49" i="79"/>
  <c r="WYL49" i="79"/>
  <c r="WYK49" i="79"/>
  <c r="WYJ49" i="79"/>
  <c r="WYI49" i="79"/>
  <c r="WYH49" i="79"/>
  <c r="WYG49" i="79"/>
  <c r="WYF49" i="79"/>
  <c r="WYE49" i="79"/>
  <c r="WYD49" i="79"/>
  <c r="WYC49" i="79"/>
  <c r="WYB49" i="79"/>
  <c r="WYA49" i="79"/>
  <c r="WXZ49" i="79"/>
  <c r="WXY49" i="79"/>
  <c r="WXX49" i="79"/>
  <c r="WXW49" i="79"/>
  <c r="WXV49" i="79"/>
  <c r="WXU49" i="79"/>
  <c r="WXT49" i="79"/>
  <c r="WXS49" i="79"/>
  <c r="WXR49" i="79"/>
  <c r="WXQ49" i="79"/>
  <c r="WXP49" i="79"/>
  <c r="WXO49" i="79"/>
  <c r="WXN49" i="79"/>
  <c r="WXM49" i="79"/>
  <c r="WXL49" i="79"/>
  <c r="WXK49" i="79"/>
  <c r="WXJ49" i="79"/>
  <c r="WXI49" i="79"/>
  <c r="WXH49" i="79"/>
  <c r="WXG49" i="79"/>
  <c r="WXF49" i="79"/>
  <c r="WXE49" i="79"/>
  <c r="WXD49" i="79"/>
  <c r="WXC49" i="79"/>
  <c r="WXB49" i="79"/>
  <c r="WXA49" i="79"/>
  <c r="WWZ49" i="79"/>
  <c r="WWY49" i="79"/>
  <c r="WWX49" i="79"/>
  <c r="WWW49" i="79"/>
  <c r="WWV49" i="79"/>
  <c r="WWU49" i="79"/>
  <c r="WWT49" i="79"/>
  <c r="WWS49" i="79"/>
  <c r="WWR49" i="79"/>
  <c r="WWQ49" i="79"/>
  <c r="WWP49" i="79"/>
  <c r="WWO49" i="79"/>
  <c r="WWN49" i="79"/>
  <c r="WWM49" i="79"/>
  <c r="WWL49" i="79"/>
  <c r="WWK49" i="79"/>
  <c r="WWJ49" i="79"/>
  <c r="WWI49" i="79"/>
  <c r="WWH49" i="79"/>
  <c r="WWG49" i="79"/>
  <c r="WWF49" i="79"/>
  <c r="WWE49" i="79"/>
  <c r="WWD49" i="79"/>
  <c r="WWC49" i="79"/>
  <c r="WWB49" i="79"/>
  <c r="WWA49" i="79"/>
  <c r="WVZ49" i="79"/>
  <c r="WVY49" i="79"/>
  <c r="WVX49" i="79"/>
  <c r="WVW49" i="79"/>
  <c r="WVV49" i="79"/>
  <c r="WVU49" i="79"/>
  <c r="WVT49" i="79"/>
  <c r="WVS49" i="79"/>
  <c r="WVR49" i="79"/>
  <c r="WVQ49" i="79"/>
  <c r="WVP49" i="79"/>
  <c r="WVO49" i="79"/>
  <c r="WVN49" i="79"/>
  <c r="WVM49" i="79"/>
  <c r="WVL49" i="79"/>
  <c r="WVK49" i="79"/>
  <c r="WVJ49" i="79"/>
  <c r="WVI49" i="79"/>
  <c r="WVH49" i="79"/>
  <c r="WVG49" i="79"/>
  <c r="WVF49" i="79"/>
  <c r="WVE49" i="79"/>
  <c r="WVD49" i="79"/>
  <c r="WVC49" i="79"/>
  <c r="WVB49" i="79"/>
  <c r="WVA49" i="79"/>
  <c r="WUZ49" i="79"/>
  <c r="WUY49" i="79"/>
  <c r="WUX49" i="79"/>
  <c r="WUW49" i="79"/>
  <c r="WUV49" i="79"/>
  <c r="WUU49" i="79"/>
  <c r="WUT49" i="79"/>
  <c r="WUS49" i="79"/>
  <c r="WUR49" i="79"/>
  <c r="WUQ49" i="79"/>
  <c r="WUP49" i="79"/>
  <c r="WUO49" i="79"/>
  <c r="WUN49" i="79"/>
  <c r="WUM49" i="79"/>
  <c r="WUL49" i="79"/>
  <c r="WUK49" i="79"/>
  <c r="WUJ49" i="79"/>
  <c r="WUI49" i="79"/>
  <c r="WUH49" i="79"/>
  <c r="WUG49" i="79"/>
  <c r="WUF49" i="79"/>
  <c r="WUE49" i="79"/>
  <c r="WUD49" i="79"/>
  <c r="WUC49" i="79"/>
  <c r="WUB49" i="79"/>
  <c r="WUA49" i="79"/>
  <c r="WTZ49" i="79"/>
  <c r="WTY49" i="79"/>
  <c r="WTX49" i="79"/>
  <c r="WTW49" i="79"/>
  <c r="WTV49" i="79"/>
  <c r="WTU49" i="79"/>
  <c r="WTT49" i="79"/>
  <c r="WTS49" i="79"/>
  <c r="WTR49" i="79"/>
  <c r="WTQ49" i="79"/>
  <c r="WTP49" i="79"/>
  <c r="WTO49" i="79"/>
  <c r="WTN49" i="79"/>
  <c r="WTM49" i="79"/>
  <c r="WTL49" i="79"/>
  <c r="WTK49" i="79"/>
  <c r="WTJ49" i="79"/>
  <c r="WTI49" i="79"/>
  <c r="WTH49" i="79"/>
  <c r="WTG49" i="79"/>
  <c r="WTF49" i="79"/>
  <c r="WTE49" i="79"/>
  <c r="WTD49" i="79"/>
  <c r="WTC49" i="79"/>
  <c r="WTB49" i="79"/>
  <c r="WTA49" i="79"/>
  <c r="WSZ49" i="79"/>
  <c r="WSY49" i="79"/>
  <c r="WSX49" i="79"/>
  <c r="WSW49" i="79"/>
  <c r="WSV49" i="79"/>
  <c r="WSU49" i="79"/>
  <c r="WST49" i="79"/>
  <c r="WSS49" i="79"/>
  <c r="WSR49" i="79"/>
  <c r="WSQ49" i="79"/>
  <c r="WSP49" i="79"/>
  <c r="WSO49" i="79"/>
  <c r="WSN49" i="79"/>
  <c r="WSM49" i="79"/>
  <c r="WSL49" i="79"/>
  <c r="WSK49" i="79"/>
  <c r="WSJ49" i="79"/>
  <c r="WSI49" i="79"/>
  <c r="WSH49" i="79"/>
  <c r="WSG49" i="79"/>
  <c r="WSF49" i="79"/>
  <c r="WSE49" i="79"/>
  <c r="WSD49" i="79"/>
  <c r="WSC49" i="79"/>
  <c r="WSB49" i="79"/>
  <c r="WSA49" i="79"/>
  <c r="WRZ49" i="79"/>
  <c r="WRY49" i="79"/>
  <c r="WRX49" i="79"/>
  <c r="WRW49" i="79"/>
  <c r="WRV49" i="79"/>
  <c r="WRU49" i="79"/>
  <c r="WRT49" i="79"/>
  <c r="WRS49" i="79"/>
  <c r="WRR49" i="79"/>
  <c r="WRQ49" i="79"/>
  <c r="WRP49" i="79"/>
  <c r="WRO49" i="79"/>
  <c r="WRN49" i="79"/>
  <c r="WRM49" i="79"/>
  <c r="WRL49" i="79"/>
  <c r="WRK49" i="79"/>
  <c r="WRJ49" i="79"/>
  <c r="WRI49" i="79"/>
  <c r="WRH49" i="79"/>
  <c r="WRG49" i="79"/>
  <c r="WRF49" i="79"/>
  <c r="WRE49" i="79"/>
  <c r="WRD49" i="79"/>
  <c r="WRC49" i="79"/>
  <c r="WRB49" i="79"/>
  <c r="WRA49" i="79"/>
  <c r="WQZ49" i="79"/>
  <c r="WQY49" i="79"/>
  <c r="WQX49" i="79"/>
  <c r="WQW49" i="79"/>
  <c r="WQV49" i="79"/>
  <c r="WQU49" i="79"/>
  <c r="WQT49" i="79"/>
  <c r="WQS49" i="79"/>
  <c r="WQR49" i="79"/>
  <c r="WQQ49" i="79"/>
  <c r="WQP49" i="79"/>
  <c r="WQO49" i="79"/>
  <c r="WQN49" i="79"/>
  <c r="WQM49" i="79"/>
  <c r="WQL49" i="79"/>
  <c r="WQK49" i="79"/>
  <c r="WQJ49" i="79"/>
  <c r="WQI49" i="79"/>
  <c r="WQH49" i="79"/>
  <c r="WQG49" i="79"/>
  <c r="WQF49" i="79"/>
  <c r="WQE49" i="79"/>
  <c r="WQD49" i="79"/>
  <c r="WQC49" i="79"/>
  <c r="WQB49" i="79"/>
  <c r="WQA49" i="79"/>
  <c r="WPZ49" i="79"/>
  <c r="WPY49" i="79"/>
  <c r="WPX49" i="79"/>
  <c r="WPW49" i="79"/>
  <c r="WPV49" i="79"/>
  <c r="WPU49" i="79"/>
  <c r="WPT49" i="79"/>
  <c r="WPS49" i="79"/>
  <c r="WPR49" i="79"/>
  <c r="WPQ49" i="79"/>
  <c r="WPP49" i="79"/>
  <c r="WPO49" i="79"/>
  <c r="WPN49" i="79"/>
  <c r="WPM49" i="79"/>
  <c r="WPL49" i="79"/>
  <c r="WPK49" i="79"/>
  <c r="WPJ49" i="79"/>
  <c r="WPI49" i="79"/>
  <c r="WPH49" i="79"/>
  <c r="WPG49" i="79"/>
  <c r="WPF49" i="79"/>
  <c r="WPE49" i="79"/>
  <c r="WPD49" i="79"/>
  <c r="WPC49" i="79"/>
  <c r="WPB49" i="79"/>
  <c r="WPA49" i="79"/>
  <c r="WOZ49" i="79"/>
  <c r="WOY49" i="79"/>
  <c r="WOX49" i="79"/>
  <c r="WOW49" i="79"/>
  <c r="WOV49" i="79"/>
  <c r="WOU49" i="79"/>
  <c r="WOT49" i="79"/>
  <c r="WOS49" i="79"/>
  <c r="WOR49" i="79"/>
  <c r="WOQ49" i="79"/>
  <c r="WOP49" i="79"/>
  <c r="WOO49" i="79"/>
  <c r="WON49" i="79"/>
  <c r="WOM49" i="79"/>
  <c r="WOL49" i="79"/>
  <c r="WOK49" i="79"/>
  <c r="WOJ49" i="79"/>
  <c r="WOI49" i="79"/>
  <c r="WOH49" i="79"/>
  <c r="WOG49" i="79"/>
  <c r="WOF49" i="79"/>
  <c r="WOE49" i="79"/>
  <c r="WOD49" i="79"/>
  <c r="WOC49" i="79"/>
  <c r="WOB49" i="79"/>
  <c r="WOA49" i="79"/>
  <c r="WNZ49" i="79"/>
  <c r="WNY49" i="79"/>
  <c r="WNX49" i="79"/>
  <c r="WNW49" i="79"/>
  <c r="WNV49" i="79"/>
  <c r="WNU49" i="79"/>
  <c r="WNT49" i="79"/>
  <c r="WNS49" i="79"/>
  <c r="WNR49" i="79"/>
  <c r="WNQ49" i="79"/>
  <c r="WNP49" i="79"/>
  <c r="WNO49" i="79"/>
  <c r="WNN49" i="79"/>
  <c r="WNM49" i="79"/>
  <c r="WNL49" i="79"/>
  <c r="WNK49" i="79"/>
  <c r="WNJ49" i="79"/>
  <c r="WNI49" i="79"/>
  <c r="WNH49" i="79"/>
  <c r="WNG49" i="79"/>
  <c r="WNF49" i="79"/>
  <c r="WNE49" i="79"/>
  <c r="WND49" i="79"/>
  <c r="WNC49" i="79"/>
  <c r="WNB49" i="79"/>
  <c r="WNA49" i="79"/>
  <c r="WMZ49" i="79"/>
  <c r="WMY49" i="79"/>
  <c r="WMX49" i="79"/>
  <c r="WMW49" i="79"/>
  <c r="WMV49" i="79"/>
  <c r="WMU49" i="79"/>
  <c r="WMT49" i="79"/>
  <c r="WMS49" i="79"/>
  <c r="WMR49" i="79"/>
  <c r="WMQ49" i="79"/>
  <c r="WMP49" i="79"/>
  <c r="WMO49" i="79"/>
  <c r="WMN49" i="79"/>
  <c r="WMM49" i="79"/>
  <c r="WML49" i="79"/>
  <c r="WMK49" i="79"/>
  <c r="WMJ49" i="79"/>
  <c r="WMI49" i="79"/>
  <c r="WMH49" i="79"/>
  <c r="WMG49" i="79"/>
  <c r="WMF49" i="79"/>
  <c r="WME49" i="79"/>
  <c r="WMD49" i="79"/>
  <c r="WMC49" i="79"/>
  <c r="WMB49" i="79"/>
  <c r="WMA49" i="79"/>
  <c r="WLZ49" i="79"/>
  <c r="WLY49" i="79"/>
  <c r="WLX49" i="79"/>
  <c r="WLW49" i="79"/>
  <c r="WLV49" i="79"/>
  <c r="WLU49" i="79"/>
  <c r="WLT49" i="79"/>
  <c r="WLS49" i="79"/>
  <c r="WLR49" i="79"/>
  <c r="WLQ49" i="79"/>
  <c r="WLP49" i="79"/>
  <c r="WLO49" i="79"/>
  <c r="WLN49" i="79"/>
  <c r="WLM49" i="79"/>
  <c r="WLL49" i="79"/>
  <c r="WLK49" i="79"/>
  <c r="WLJ49" i="79"/>
  <c r="WLI49" i="79"/>
  <c r="WLH49" i="79"/>
  <c r="WLG49" i="79"/>
  <c r="WLF49" i="79"/>
  <c r="WLE49" i="79"/>
  <c r="WLD49" i="79"/>
  <c r="WLC49" i="79"/>
  <c r="WLB49" i="79"/>
  <c r="WLA49" i="79"/>
  <c r="WKZ49" i="79"/>
  <c r="WKY49" i="79"/>
  <c r="WKX49" i="79"/>
  <c r="WKW49" i="79"/>
  <c r="WKV49" i="79"/>
  <c r="WKU49" i="79"/>
  <c r="WKT49" i="79"/>
  <c r="WKS49" i="79"/>
  <c r="WKR49" i="79"/>
  <c r="WKQ49" i="79"/>
  <c r="WKP49" i="79"/>
  <c r="WKO49" i="79"/>
  <c r="WKN49" i="79"/>
  <c r="WKM49" i="79"/>
  <c r="WKL49" i="79"/>
  <c r="WKK49" i="79"/>
  <c r="WKJ49" i="79"/>
  <c r="WKI49" i="79"/>
  <c r="WKH49" i="79"/>
  <c r="WKG49" i="79"/>
  <c r="WKF49" i="79"/>
  <c r="WKE49" i="79"/>
  <c r="WKD49" i="79"/>
  <c r="WKC49" i="79"/>
  <c r="WKB49" i="79"/>
  <c r="WKA49" i="79"/>
  <c r="WJZ49" i="79"/>
  <c r="WJY49" i="79"/>
  <c r="WJX49" i="79"/>
  <c r="WJW49" i="79"/>
  <c r="WJV49" i="79"/>
  <c r="WJU49" i="79"/>
  <c r="WJT49" i="79"/>
  <c r="WJS49" i="79"/>
  <c r="WJR49" i="79"/>
  <c r="WJQ49" i="79"/>
  <c r="WJP49" i="79"/>
  <c r="WJO49" i="79"/>
  <c r="WJN49" i="79"/>
  <c r="WJM49" i="79"/>
  <c r="WJL49" i="79"/>
  <c r="WJK49" i="79"/>
  <c r="WJJ49" i="79"/>
  <c r="WJI49" i="79"/>
  <c r="WJH49" i="79"/>
  <c r="WJG49" i="79"/>
  <c r="WJF49" i="79"/>
  <c r="WJE49" i="79"/>
  <c r="WJD49" i="79"/>
  <c r="WJC49" i="79"/>
  <c r="WJB49" i="79"/>
  <c r="WJA49" i="79"/>
  <c r="WIZ49" i="79"/>
  <c r="WIY49" i="79"/>
  <c r="WIX49" i="79"/>
  <c r="WIW49" i="79"/>
  <c r="WIV49" i="79"/>
  <c r="WIU49" i="79"/>
  <c r="WIT49" i="79"/>
  <c r="WIS49" i="79"/>
  <c r="WIR49" i="79"/>
  <c r="WIQ49" i="79"/>
  <c r="WIP49" i="79"/>
  <c r="WIO49" i="79"/>
  <c r="WIN49" i="79"/>
  <c r="WIM49" i="79"/>
  <c r="WIL49" i="79"/>
  <c r="WIK49" i="79"/>
  <c r="WIJ49" i="79"/>
  <c r="WII49" i="79"/>
  <c r="WIH49" i="79"/>
  <c r="WIG49" i="79"/>
  <c r="WIF49" i="79"/>
  <c r="WIE49" i="79"/>
  <c r="WID49" i="79"/>
  <c r="WIC49" i="79"/>
  <c r="WIB49" i="79"/>
  <c r="WIA49" i="79"/>
  <c r="WHZ49" i="79"/>
  <c r="WHY49" i="79"/>
  <c r="WHX49" i="79"/>
  <c r="WHW49" i="79"/>
  <c r="WHV49" i="79"/>
  <c r="WHU49" i="79"/>
  <c r="WHT49" i="79"/>
  <c r="WHS49" i="79"/>
  <c r="WHR49" i="79"/>
  <c r="WHQ49" i="79"/>
  <c r="WHP49" i="79"/>
  <c r="WHO49" i="79"/>
  <c r="WHN49" i="79"/>
  <c r="WHM49" i="79"/>
  <c r="WHL49" i="79"/>
  <c r="WHK49" i="79"/>
  <c r="WHJ49" i="79"/>
  <c r="WHI49" i="79"/>
  <c r="WHH49" i="79"/>
  <c r="WHG49" i="79"/>
  <c r="WHF49" i="79"/>
  <c r="WHE49" i="79"/>
  <c r="WHD49" i="79"/>
  <c r="WHC49" i="79"/>
  <c r="WHB49" i="79"/>
  <c r="WHA49" i="79"/>
  <c r="WGZ49" i="79"/>
  <c r="WGY49" i="79"/>
  <c r="WGX49" i="79"/>
  <c r="WGW49" i="79"/>
  <c r="WGV49" i="79"/>
  <c r="WGU49" i="79"/>
  <c r="WGT49" i="79"/>
  <c r="WGS49" i="79"/>
  <c r="WGR49" i="79"/>
  <c r="WGQ49" i="79"/>
  <c r="WGP49" i="79"/>
  <c r="WGO49" i="79"/>
  <c r="WGN49" i="79"/>
  <c r="WGM49" i="79"/>
  <c r="WGL49" i="79"/>
  <c r="WGK49" i="79"/>
  <c r="WGJ49" i="79"/>
  <c r="WGI49" i="79"/>
  <c r="WGH49" i="79"/>
  <c r="WGG49" i="79"/>
  <c r="WGF49" i="79"/>
  <c r="WGE49" i="79"/>
  <c r="WGD49" i="79"/>
  <c r="WGC49" i="79"/>
  <c r="WGB49" i="79"/>
  <c r="WGA49" i="79"/>
  <c r="WFZ49" i="79"/>
  <c r="WFY49" i="79"/>
  <c r="WFX49" i="79"/>
  <c r="WFW49" i="79"/>
  <c r="WFV49" i="79"/>
  <c r="WFU49" i="79"/>
  <c r="WFT49" i="79"/>
  <c r="WFS49" i="79"/>
  <c r="WFR49" i="79"/>
  <c r="WFQ49" i="79"/>
  <c r="WFP49" i="79"/>
  <c r="WFO49" i="79"/>
  <c r="WFN49" i="79"/>
  <c r="WFM49" i="79"/>
  <c r="WFL49" i="79"/>
  <c r="WFK49" i="79"/>
  <c r="WFJ49" i="79"/>
  <c r="WFI49" i="79"/>
  <c r="WFH49" i="79"/>
  <c r="WFG49" i="79"/>
  <c r="WFF49" i="79"/>
  <c r="WFE49" i="79"/>
  <c r="WFD49" i="79"/>
  <c r="WFC49" i="79"/>
  <c r="WFB49" i="79"/>
  <c r="WFA49" i="79"/>
  <c r="WEZ49" i="79"/>
  <c r="WEY49" i="79"/>
  <c r="WEX49" i="79"/>
  <c r="WEW49" i="79"/>
  <c r="WEV49" i="79"/>
  <c r="WEU49" i="79"/>
  <c r="WET49" i="79"/>
  <c r="WES49" i="79"/>
  <c r="WER49" i="79"/>
  <c r="WEQ49" i="79"/>
  <c r="WEP49" i="79"/>
  <c r="WEO49" i="79"/>
  <c r="WEN49" i="79"/>
  <c r="WEM49" i="79"/>
  <c r="WEL49" i="79"/>
  <c r="WEK49" i="79"/>
  <c r="WEJ49" i="79"/>
  <c r="WEI49" i="79"/>
  <c r="WEH49" i="79"/>
  <c r="WEG49" i="79"/>
  <c r="WEF49" i="79"/>
  <c r="WEE49" i="79"/>
  <c r="WED49" i="79"/>
  <c r="WEC49" i="79"/>
  <c r="WEB49" i="79"/>
  <c r="WEA49" i="79"/>
  <c r="WDZ49" i="79"/>
  <c r="WDY49" i="79"/>
  <c r="WDX49" i="79"/>
  <c r="WDW49" i="79"/>
  <c r="WDV49" i="79"/>
  <c r="WDU49" i="79"/>
  <c r="WDT49" i="79"/>
  <c r="WDS49" i="79"/>
  <c r="WDR49" i="79"/>
  <c r="WDQ49" i="79"/>
  <c r="WDP49" i="79"/>
  <c r="WDO49" i="79"/>
  <c r="WDN49" i="79"/>
  <c r="WDM49" i="79"/>
  <c r="WDL49" i="79"/>
  <c r="WDK49" i="79"/>
  <c r="WDJ49" i="79"/>
  <c r="WDI49" i="79"/>
  <c r="WDH49" i="79"/>
  <c r="WDG49" i="79"/>
  <c r="WDF49" i="79"/>
  <c r="WDE49" i="79"/>
  <c r="WDD49" i="79"/>
  <c r="WDC49" i="79"/>
  <c r="WDB49" i="79"/>
  <c r="WDA49" i="79"/>
  <c r="WCZ49" i="79"/>
  <c r="WCY49" i="79"/>
  <c r="WCX49" i="79"/>
  <c r="WCW49" i="79"/>
  <c r="WCV49" i="79"/>
  <c r="WCU49" i="79"/>
  <c r="WCT49" i="79"/>
  <c r="WCS49" i="79"/>
  <c r="WCR49" i="79"/>
  <c r="WCQ49" i="79"/>
  <c r="WCP49" i="79"/>
  <c r="WCO49" i="79"/>
  <c r="WCN49" i="79"/>
  <c r="WCM49" i="79"/>
  <c r="WCL49" i="79"/>
  <c r="WCK49" i="79"/>
  <c r="WCJ49" i="79"/>
  <c r="WCI49" i="79"/>
  <c r="WCH49" i="79"/>
  <c r="WCG49" i="79"/>
  <c r="WCF49" i="79"/>
  <c r="WCE49" i="79"/>
  <c r="WCD49" i="79"/>
  <c r="WCC49" i="79"/>
  <c r="WCB49" i="79"/>
  <c r="WCA49" i="79"/>
  <c r="WBZ49" i="79"/>
  <c r="WBY49" i="79"/>
  <c r="WBX49" i="79"/>
  <c r="WBW49" i="79"/>
  <c r="WBV49" i="79"/>
  <c r="WBU49" i="79"/>
  <c r="WBT49" i="79"/>
  <c r="WBS49" i="79"/>
  <c r="WBR49" i="79"/>
  <c r="WBQ49" i="79"/>
  <c r="WBP49" i="79"/>
  <c r="WBO49" i="79"/>
  <c r="WBN49" i="79"/>
  <c r="WBM49" i="79"/>
  <c r="WBL49" i="79"/>
  <c r="WBK49" i="79"/>
  <c r="WBJ49" i="79"/>
  <c r="WBI49" i="79"/>
  <c r="WBH49" i="79"/>
  <c r="WBG49" i="79"/>
  <c r="WBF49" i="79"/>
  <c r="WBE49" i="79"/>
  <c r="WBD49" i="79"/>
  <c r="WBC49" i="79"/>
  <c r="WBB49" i="79"/>
  <c r="WBA49" i="79"/>
  <c r="WAZ49" i="79"/>
  <c r="WAY49" i="79"/>
  <c r="WAX49" i="79"/>
  <c r="WAW49" i="79"/>
  <c r="WAV49" i="79"/>
  <c r="WAU49" i="79"/>
  <c r="WAT49" i="79"/>
  <c r="WAS49" i="79"/>
  <c r="WAR49" i="79"/>
  <c r="WAQ49" i="79"/>
  <c r="WAP49" i="79"/>
  <c r="WAO49" i="79"/>
  <c r="WAN49" i="79"/>
  <c r="WAM49" i="79"/>
  <c r="WAL49" i="79"/>
  <c r="WAK49" i="79"/>
  <c r="WAJ49" i="79"/>
  <c r="WAI49" i="79"/>
  <c r="WAH49" i="79"/>
  <c r="WAG49" i="79"/>
  <c r="WAF49" i="79"/>
  <c r="WAE49" i="79"/>
  <c r="WAD49" i="79"/>
  <c r="WAC49" i="79"/>
  <c r="WAB49" i="79"/>
  <c r="WAA49" i="79"/>
  <c r="VZZ49" i="79"/>
  <c r="VZY49" i="79"/>
  <c r="VZX49" i="79"/>
  <c r="VZW49" i="79"/>
  <c r="VZV49" i="79"/>
  <c r="VZU49" i="79"/>
  <c r="VZT49" i="79"/>
  <c r="VZS49" i="79"/>
  <c r="VZR49" i="79"/>
  <c r="VZQ49" i="79"/>
  <c r="VZP49" i="79"/>
  <c r="VZO49" i="79"/>
  <c r="VZN49" i="79"/>
  <c r="VZM49" i="79"/>
  <c r="VZL49" i="79"/>
  <c r="VZK49" i="79"/>
  <c r="VZJ49" i="79"/>
  <c r="VZI49" i="79"/>
  <c r="VZH49" i="79"/>
  <c r="VZG49" i="79"/>
  <c r="VZF49" i="79"/>
  <c r="VZE49" i="79"/>
  <c r="VZD49" i="79"/>
  <c r="VZC49" i="79"/>
  <c r="VZB49" i="79"/>
  <c r="VZA49" i="79"/>
  <c r="VYZ49" i="79"/>
  <c r="VYY49" i="79"/>
  <c r="VYX49" i="79"/>
  <c r="VYW49" i="79"/>
  <c r="VYV49" i="79"/>
  <c r="VYU49" i="79"/>
  <c r="VYT49" i="79"/>
  <c r="VYS49" i="79"/>
  <c r="VYR49" i="79"/>
  <c r="VYQ49" i="79"/>
  <c r="VYP49" i="79"/>
  <c r="VYO49" i="79"/>
  <c r="VYN49" i="79"/>
  <c r="VYM49" i="79"/>
  <c r="VYL49" i="79"/>
  <c r="VYK49" i="79"/>
  <c r="VYJ49" i="79"/>
  <c r="VYI49" i="79"/>
  <c r="VYH49" i="79"/>
  <c r="VYG49" i="79"/>
  <c r="VYF49" i="79"/>
  <c r="VYE49" i="79"/>
  <c r="VYD49" i="79"/>
  <c r="VYC49" i="79"/>
  <c r="VYB49" i="79"/>
  <c r="VYA49" i="79"/>
  <c r="VXZ49" i="79"/>
  <c r="VXY49" i="79"/>
  <c r="VXX49" i="79"/>
  <c r="VXW49" i="79"/>
  <c r="VXV49" i="79"/>
  <c r="VXU49" i="79"/>
  <c r="VXT49" i="79"/>
  <c r="VXS49" i="79"/>
  <c r="VXR49" i="79"/>
  <c r="VXQ49" i="79"/>
  <c r="VXP49" i="79"/>
  <c r="VXO49" i="79"/>
  <c r="VXN49" i="79"/>
  <c r="VXM49" i="79"/>
  <c r="VXL49" i="79"/>
  <c r="VXK49" i="79"/>
  <c r="VXJ49" i="79"/>
  <c r="VXI49" i="79"/>
  <c r="VXH49" i="79"/>
  <c r="VXG49" i="79"/>
  <c r="VXF49" i="79"/>
  <c r="VXE49" i="79"/>
  <c r="VXD49" i="79"/>
  <c r="VXC49" i="79"/>
  <c r="VXB49" i="79"/>
  <c r="VXA49" i="79"/>
  <c r="VWZ49" i="79"/>
  <c r="VWY49" i="79"/>
  <c r="VWX49" i="79"/>
  <c r="VWW49" i="79"/>
  <c r="VWV49" i="79"/>
  <c r="VWU49" i="79"/>
  <c r="VWT49" i="79"/>
  <c r="VWS49" i="79"/>
  <c r="VWR49" i="79"/>
  <c r="VWQ49" i="79"/>
  <c r="VWP49" i="79"/>
  <c r="VWO49" i="79"/>
  <c r="VWN49" i="79"/>
  <c r="VWM49" i="79"/>
  <c r="VWL49" i="79"/>
  <c r="VWK49" i="79"/>
  <c r="VWJ49" i="79"/>
  <c r="VWI49" i="79"/>
  <c r="VWH49" i="79"/>
  <c r="VWG49" i="79"/>
  <c r="VWF49" i="79"/>
  <c r="VWE49" i="79"/>
  <c r="VWD49" i="79"/>
  <c r="VWC49" i="79"/>
  <c r="VWB49" i="79"/>
  <c r="VWA49" i="79"/>
  <c r="VVZ49" i="79"/>
  <c r="VVY49" i="79"/>
  <c r="VVX49" i="79"/>
  <c r="VVW49" i="79"/>
  <c r="VVV49" i="79"/>
  <c r="VVU49" i="79"/>
  <c r="VVT49" i="79"/>
  <c r="VVS49" i="79"/>
  <c r="VVR49" i="79"/>
  <c r="VVQ49" i="79"/>
  <c r="VVP49" i="79"/>
  <c r="VVO49" i="79"/>
  <c r="VVN49" i="79"/>
  <c r="VVM49" i="79"/>
  <c r="VVL49" i="79"/>
  <c r="VVK49" i="79"/>
  <c r="VVJ49" i="79"/>
  <c r="VVI49" i="79"/>
  <c r="VVH49" i="79"/>
  <c r="VVG49" i="79"/>
  <c r="VVF49" i="79"/>
  <c r="VVE49" i="79"/>
  <c r="VVD49" i="79"/>
  <c r="VVC49" i="79"/>
  <c r="VVB49" i="79"/>
  <c r="VVA49" i="79"/>
  <c r="VUZ49" i="79"/>
  <c r="VUY49" i="79"/>
  <c r="VUX49" i="79"/>
  <c r="VUW49" i="79"/>
  <c r="VUV49" i="79"/>
  <c r="VUU49" i="79"/>
  <c r="VUT49" i="79"/>
  <c r="VUS49" i="79"/>
  <c r="VUR49" i="79"/>
  <c r="VUQ49" i="79"/>
  <c r="VUP49" i="79"/>
  <c r="VUO49" i="79"/>
  <c r="VUN49" i="79"/>
  <c r="VUM49" i="79"/>
  <c r="VUL49" i="79"/>
  <c r="VUK49" i="79"/>
  <c r="VUJ49" i="79"/>
  <c r="VUI49" i="79"/>
  <c r="VUH49" i="79"/>
  <c r="VUG49" i="79"/>
  <c r="VUF49" i="79"/>
  <c r="VUE49" i="79"/>
  <c r="VUD49" i="79"/>
  <c r="VUC49" i="79"/>
  <c r="VUB49" i="79"/>
  <c r="VUA49" i="79"/>
  <c r="VTZ49" i="79"/>
  <c r="VTY49" i="79"/>
  <c r="VTX49" i="79"/>
  <c r="VTW49" i="79"/>
  <c r="VTV49" i="79"/>
  <c r="VTU49" i="79"/>
  <c r="VTT49" i="79"/>
  <c r="VTS49" i="79"/>
  <c r="VTR49" i="79"/>
  <c r="VTQ49" i="79"/>
  <c r="VTP49" i="79"/>
  <c r="VTO49" i="79"/>
  <c r="VTN49" i="79"/>
  <c r="VTM49" i="79"/>
  <c r="VTL49" i="79"/>
  <c r="VTK49" i="79"/>
  <c r="VTJ49" i="79"/>
  <c r="VTI49" i="79"/>
  <c r="VTH49" i="79"/>
  <c r="VTG49" i="79"/>
  <c r="VTF49" i="79"/>
  <c r="VTE49" i="79"/>
  <c r="VTD49" i="79"/>
  <c r="VTC49" i="79"/>
  <c r="VTB49" i="79"/>
  <c r="VTA49" i="79"/>
  <c r="VSZ49" i="79"/>
  <c r="VSY49" i="79"/>
  <c r="VSX49" i="79"/>
  <c r="VSW49" i="79"/>
  <c r="VSV49" i="79"/>
  <c r="VSU49" i="79"/>
  <c r="VST49" i="79"/>
  <c r="VSS49" i="79"/>
  <c r="VSR49" i="79"/>
  <c r="VSQ49" i="79"/>
  <c r="VSP49" i="79"/>
  <c r="VSO49" i="79"/>
  <c r="VSN49" i="79"/>
  <c r="VSM49" i="79"/>
  <c r="VSL49" i="79"/>
  <c r="VSK49" i="79"/>
  <c r="VSJ49" i="79"/>
  <c r="VSI49" i="79"/>
  <c r="VSH49" i="79"/>
  <c r="VSG49" i="79"/>
  <c r="VSF49" i="79"/>
  <c r="VSE49" i="79"/>
  <c r="VSD49" i="79"/>
  <c r="VSC49" i="79"/>
  <c r="VSB49" i="79"/>
  <c r="VSA49" i="79"/>
  <c r="VRZ49" i="79"/>
  <c r="VRY49" i="79"/>
  <c r="VRX49" i="79"/>
  <c r="VRW49" i="79"/>
  <c r="VRV49" i="79"/>
  <c r="VRU49" i="79"/>
  <c r="VRT49" i="79"/>
  <c r="VRS49" i="79"/>
  <c r="VRR49" i="79"/>
  <c r="VRQ49" i="79"/>
  <c r="VRP49" i="79"/>
  <c r="VRO49" i="79"/>
  <c r="VRN49" i="79"/>
  <c r="VRM49" i="79"/>
  <c r="VRL49" i="79"/>
  <c r="VRK49" i="79"/>
  <c r="VRJ49" i="79"/>
  <c r="VRI49" i="79"/>
  <c r="VRH49" i="79"/>
  <c r="VRG49" i="79"/>
  <c r="VRF49" i="79"/>
  <c r="VRE49" i="79"/>
  <c r="VRD49" i="79"/>
  <c r="VRC49" i="79"/>
  <c r="VRB49" i="79"/>
  <c r="VRA49" i="79"/>
  <c r="VQZ49" i="79"/>
  <c r="VQY49" i="79"/>
  <c r="VQX49" i="79"/>
  <c r="VQW49" i="79"/>
  <c r="VQV49" i="79"/>
  <c r="VQU49" i="79"/>
  <c r="VQT49" i="79"/>
  <c r="VQS49" i="79"/>
  <c r="VQR49" i="79"/>
  <c r="VQQ49" i="79"/>
  <c r="VQP49" i="79"/>
  <c r="VQO49" i="79"/>
  <c r="VQN49" i="79"/>
  <c r="VQM49" i="79"/>
  <c r="VQL49" i="79"/>
  <c r="VQK49" i="79"/>
  <c r="VQJ49" i="79"/>
  <c r="VQI49" i="79"/>
  <c r="VQH49" i="79"/>
  <c r="VQG49" i="79"/>
  <c r="VQF49" i="79"/>
  <c r="VQE49" i="79"/>
  <c r="VQD49" i="79"/>
  <c r="VQC49" i="79"/>
  <c r="VQB49" i="79"/>
  <c r="VQA49" i="79"/>
  <c r="VPZ49" i="79"/>
  <c r="VPY49" i="79"/>
  <c r="VPX49" i="79"/>
  <c r="VPW49" i="79"/>
  <c r="VPV49" i="79"/>
  <c r="VPU49" i="79"/>
  <c r="VPT49" i="79"/>
  <c r="VPS49" i="79"/>
  <c r="VPR49" i="79"/>
  <c r="VPQ49" i="79"/>
  <c r="VPP49" i="79"/>
  <c r="VPO49" i="79"/>
  <c r="VPN49" i="79"/>
  <c r="VPM49" i="79"/>
  <c r="VPL49" i="79"/>
  <c r="VPK49" i="79"/>
  <c r="VPJ49" i="79"/>
  <c r="VPI49" i="79"/>
  <c r="VPH49" i="79"/>
  <c r="VPG49" i="79"/>
  <c r="VPF49" i="79"/>
  <c r="VPE49" i="79"/>
  <c r="VPD49" i="79"/>
  <c r="VPC49" i="79"/>
  <c r="VPB49" i="79"/>
  <c r="VPA49" i="79"/>
  <c r="VOZ49" i="79"/>
  <c r="VOY49" i="79"/>
  <c r="VOX49" i="79"/>
  <c r="VOW49" i="79"/>
  <c r="VOV49" i="79"/>
  <c r="VOU49" i="79"/>
  <c r="VOT49" i="79"/>
  <c r="VOS49" i="79"/>
  <c r="VOR49" i="79"/>
  <c r="VOQ49" i="79"/>
  <c r="VOP49" i="79"/>
  <c r="VOO49" i="79"/>
  <c r="VON49" i="79"/>
  <c r="VOM49" i="79"/>
  <c r="VOL49" i="79"/>
  <c r="VOK49" i="79"/>
  <c r="VOJ49" i="79"/>
  <c r="VOI49" i="79"/>
  <c r="VOH49" i="79"/>
  <c r="VOG49" i="79"/>
  <c r="VOF49" i="79"/>
  <c r="VOE49" i="79"/>
  <c r="VOD49" i="79"/>
  <c r="VOC49" i="79"/>
  <c r="VOB49" i="79"/>
  <c r="VOA49" i="79"/>
  <c r="VNZ49" i="79"/>
  <c r="VNY49" i="79"/>
  <c r="VNX49" i="79"/>
  <c r="VNW49" i="79"/>
  <c r="VNV49" i="79"/>
  <c r="VNU49" i="79"/>
  <c r="VNT49" i="79"/>
  <c r="VNS49" i="79"/>
  <c r="VNR49" i="79"/>
  <c r="VNQ49" i="79"/>
  <c r="VNP49" i="79"/>
  <c r="VNO49" i="79"/>
  <c r="VNN49" i="79"/>
  <c r="VNM49" i="79"/>
  <c r="VNL49" i="79"/>
  <c r="VNK49" i="79"/>
  <c r="VNJ49" i="79"/>
  <c r="VNI49" i="79"/>
  <c r="VNH49" i="79"/>
  <c r="VNG49" i="79"/>
  <c r="VNF49" i="79"/>
  <c r="VNE49" i="79"/>
  <c r="VND49" i="79"/>
  <c r="VNC49" i="79"/>
  <c r="VNB49" i="79"/>
  <c r="VNA49" i="79"/>
  <c r="VMZ49" i="79"/>
  <c r="VMY49" i="79"/>
  <c r="VMX49" i="79"/>
  <c r="VMW49" i="79"/>
  <c r="VMV49" i="79"/>
  <c r="VMU49" i="79"/>
  <c r="VMT49" i="79"/>
  <c r="VMS49" i="79"/>
  <c r="VMR49" i="79"/>
  <c r="VMQ49" i="79"/>
  <c r="VMP49" i="79"/>
  <c r="VMO49" i="79"/>
  <c r="VMN49" i="79"/>
  <c r="VMM49" i="79"/>
  <c r="VML49" i="79"/>
  <c r="VMK49" i="79"/>
  <c r="VMJ49" i="79"/>
  <c r="VMI49" i="79"/>
  <c r="VMH49" i="79"/>
  <c r="VMG49" i="79"/>
  <c r="VMF49" i="79"/>
  <c r="VME49" i="79"/>
  <c r="VMD49" i="79"/>
  <c r="VMC49" i="79"/>
  <c r="VMB49" i="79"/>
  <c r="VMA49" i="79"/>
  <c r="VLZ49" i="79"/>
  <c r="VLY49" i="79"/>
  <c r="VLX49" i="79"/>
  <c r="VLW49" i="79"/>
  <c r="VLV49" i="79"/>
  <c r="VLU49" i="79"/>
  <c r="VLT49" i="79"/>
  <c r="VLS49" i="79"/>
  <c r="VLR49" i="79"/>
  <c r="VLQ49" i="79"/>
  <c r="VLP49" i="79"/>
  <c r="VLO49" i="79"/>
  <c r="VLN49" i="79"/>
  <c r="VLM49" i="79"/>
  <c r="VLL49" i="79"/>
  <c r="VLK49" i="79"/>
  <c r="VLJ49" i="79"/>
  <c r="VLI49" i="79"/>
  <c r="VLH49" i="79"/>
  <c r="VLG49" i="79"/>
  <c r="VLF49" i="79"/>
  <c r="VLE49" i="79"/>
  <c r="VLD49" i="79"/>
  <c r="VLC49" i="79"/>
  <c r="VLB49" i="79"/>
  <c r="VLA49" i="79"/>
  <c r="VKZ49" i="79"/>
  <c r="VKY49" i="79"/>
  <c r="VKX49" i="79"/>
  <c r="VKW49" i="79"/>
  <c r="VKV49" i="79"/>
  <c r="VKU49" i="79"/>
  <c r="VKT49" i="79"/>
  <c r="VKS49" i="79"/>
  <c r="VKR49" i="79"/>
  <c r="VKQ49" i="79"/>
  <c r="VKP49" i="79"/>
  <c r="VKO49" i="79"/>
  <c r="VKN49" i="79"/>
  <c r="VKM49" i="79"/>
  <c r="VKL49" i="79"/>
  <c r="VKK49" i="79"/>
  <c r="VKJ49" i="79"/>
  <c r="VKI49" i="79"/>
  <c r="VKH49" i="79"/>
  <c r="VKG49" i="79"/>
  <c r="VKF49" i="79"/>
  <c r="VKE49" i="79"/>
  <c r="VKD49" i="79"/>
  <c r="VKC49" i="79"/>
  <c r="VKB49" i="79"/>
  <c r="VKA49" i="79"/>
  <c r="VJZ49" i="79"/>
  <c r="VJY49" i="79"/>
  <c r="VJX49" i="79"/>
  <c r="VJW49" i="79"/>
  <c r="VJV49" i="79"/>
  <c r="VJU49" i="79"/>
  <c r="VJT49" i="79"/>
  <c r="VJS49" i="79"/>
  <c r="VJR49" i="79"/>
  <c r="VJQ49" i="79"/>
  <c r="VJP49" i="79"/>
  <c r="VJO49" i="79"/>
  <c r="VJN49" i="79"/>
  <c r="VJM49" i="79"/>
  <c r="VJL49" i="79"/>
  <c r="VJK49" i="79"/>
  <c r="VJJ49" i="79"/>
  <c r="VJI49" i="79"/>
  <c r="VJH49" i="79"/>
  <c r="VJG49" i="79"/>
  <c r="VJF49" i="79"/>
  <c r="VJE49" i="79"/>
  <c r="VJD49" i="79"/>
  <c r="VJC49" i="79"/>
  <c r="VJB49" i="79"/>
  <c r="VJA49" i="79"/>
  <c r="VIZ49" i="79"/>
  <c r="VIY49" i="79"/>
  <c r="VIX49" i="79"/>
  <c r="VIW49" i="79"/>
  <c r="VIV49" i="79"/>
  <c r="VIU49" i="79"/>
  <c r="VIT49" i="79"/>
  <c r="VIS49" i="79"/>
  <c r="VIR49" i="79"/>
  <c r="VIQ49" i="79"/>
  <c r="VIP49" i="79"/>
  <c r="VIO49" i="79"/>
  <c r="VIN49" i="79"/>
  <c r="VIM49" i="79"/>
  <c r="VIL49" i="79"/>
  <c r="VIK49" i="79"/>
  <c r="VIJ49" i="79"/>
  <c r="VII49" i="79"/>
  <c r="VIH49" i="79"/>
  <c r="VIG49" i="79"/>
  <c r="VIF49" i="79"/>
  <c r="VIE49" i="79"/>
  <c r="VID49" i="79"/>
  <c r="VIC49" i="79"/>
  <c r="VIB49" i="79"/>
  <c r="VIA49" i="79"/>
  <c r="VHZ49" i="79"/>
  <c r="VHY49" i="79"/>
  <c r="VHX49" i="79"/>
  <c r="VHW49" i="79"/>
  <c r="VHV49" i="79"/>
  <c r="VHU49" i="79"/>
  <c r="VHT49" i="79"/>
  <c r="VHS49" i="79"/>
  <c r="VHR49" i="79"/>
  <c r="VHQ49" i="79"/>
  <c r="VHP49" i="79"/>
  <c r="VHO49" i="79"/>
  <c r="VHN49" i="79"/>
  <c r="VHM49" i="79"/>
  <c r="VHL49" i="79"/>
  <c r="VHK49" i="79"/>
  <c r="VHJ49" i="79"/>
  <c r="VHI49" i="79"/>
  <c r="VHH49" i="79"/>
  <c r="VHG49" i="79"/>
  <c r="VHF49" i="79"/>
  <c r="VHE49" i="79"/>
  <c r="VHD49" i="79"/>
  <c r="VHC49" i="79"/>
  <c r="VHB49" i="79"/>
  <c r="VHA49" i="79"/>
  <c r="VGZ49" i="79"/>
  <c r="VGY49" i="79"/>
  <c r="VGX49" i="79"/>
  <c r="VGW49" i="79"/>
  <c r="VGV49" i="79"/>
  <c r="VGU49" i="79"/>
  <c r="VGT49" i="79"/>
  <c r="VGS49" i="79"/>
  <c r="VGR49" i="79"/>
  <c r="VGQ49" i="79"/>
  <c r="VGP49" i="79"/>
  <c r="VGO49" i="79"/>
  <c r="VGN49" i="79"/>
  <c r="VGM49" i="79"/>
  <c r="VGL49" i="79"/>
  <c r="VGK49" i="79"/>
  <c r="VGJ49" i="79"/>
  <c r="VGI49" i="79"/>
  <c r="VGH49" i="79"/>
  <c r="VGG49" i="79"/>
  <c r="VGF49" i="79"/>
  <c r="VGE49" i="79"/>
  <c r="VGD49" i="79"/>
  <c r="VGC49" i="79"/>
  <c r="VGB49" i="79"/>
  <c r="VGA49" i="79"/>
  <c r="VFZ49" i="79"/>
  <c r="VFY49" i="79"/>
  <c r="VFX49" i="79"/>
  <c r="VFW49" i="79"/>
  <c r="VFV49" i="79"/>
  <c r="VFU49" i="79"/>
  <c r="VFT49" i="79"/>
  <c r="VFS49" i="79"/>
  <c r="VFR49" i="79"/>
  <c r="VFQ49" i="79"/>
  <c r="VFP49" i="79"/>
  <c r="VFO49" i="79"/>
  <c r="VFN49" i="79"/>
  <c r="VFM49" i="79"/>
  <c r="VFL49" i="79"/>
  <c r="VFK49" i="79"/>
  <c r="VFJ49" i="79"/>
  <c r="VFI49" i="79"/>
  <c r="VFH49" i="79"/>
  <c r="VFG49" i="79"/>
  <c r="VFF49" i="79"/>
  <c r="VFE49" i="79"/>
  <c r="VFD49" i="79"/>
  <c r="VFC49" i="79"/>
  <c r="VFB49" i="79"/>
  <c r="VFA49" i="79"/>
  <c r="VEZ49" i="79"/>
  <c r="VEY49" i="79"/>
  <c r="VEX49" i="79"/>
  <c r="VEW49" i="79"/>
  <c r="VEV49" i="79"/>
  <c r="VEU49" i="79"/>
  <c r="VET49" i="79"/>
  <c r="VES49" i="79"/>
  <c r="VER49" i="79"/>
  <c r="VEQ49" i="79"/>
  <c r="VEP49" i="79"/>
  <c r="VEO49" i="79"/>
  <c r="VEN49" i="79"/>
  <c r="VEM49" i="79"/>
  <c r="VEL49" i="79"/>
  <c r="VEK49" i="79"/>
  <c r="VEJ49" i="79"/>
  <c r="VEI49" i="79"/>
  <c r="VEH49" i="79"/>
  <c r="VEG49" i="79"/>
  <c r="VEF49" i="79"/>
  <c r="VEE49" i="79"/>
  <c r="VED49" i="79"/>
  <c r="VEC49" i="79"/>
  <c r="VEB49" i="79"/>
  <c r="VEA49" i="79"/>
  <c r="VDZ49" i="79"/>
  <c r="VDY49" i="79"/>
  <c r="VDX49" i="79"/>
  <c r="VDW49" i="79"/>
  <c r="VDV49" i="79"/>
  <c r="VDU49" i="79"/>
  <c r="VDT49" i="79"/>
  <c r="VDS49" i="79"/>
  <c r="VDR49" i="79"/>
  <c r="VDQ49" i="79"/>
  <c r="VDP49" i="79"/>
  <c r="VDO49" i="79"/>
  <c r="VDN49" i="79"/>
  <c r="VDM49" i="79"/>
  <c r="VDL49" i="79"/>
  <c r="VDK49" i="79"/>
  <c r="VDJ49" i="79"/>
  <c r="VDI49" i="79"/>
  <c r="VDH49" i="79"/>
  <c r="VDG49" i="79"/>
  <c r="VDF49" i="79"/>
  <c r="VDE49" i="79"/>
  <c r="VDD49" i="79"/>
  <c r="VDC49" i="79"/>
  <c r="VDB49" i="79"/>
  <c r="VDA49" i="79"/>
  <c r="VCZ49" i="79"/>
  <c r="VCY49" i="79"/>
  <c r="VCX49" i="79"/>
  <c r="VCW49" i="79"/>
  <c r="VCV49" i="79"/>
  <c r="VCU49" i="79"/>
  <c r="VCT49" i="79"/>
  <c r="VCS49" i="79"/>
  <c r="VCR49" i="79"/>
  <c r="VCQ49" i="79"/>
  <c r="VCP49" i="79"/>
  <c r="VCO49" i="79"/>
  <c r="VCN49" i="79"/>
  <c r="VCM49" i="79"/>
  <c r="VCL49" i="79"/>
  <c r="VCK49" i="79"/>
  <c r="VCJ49" i="79"/>
  <c r="VCI49" i="79"/>
  <c r="VCH49" i="79"/>
  <c r="VCG49" i="79"/>
  <c r="VCF49" i="79"/>
  <c r="VCE49" i="79"/>
  <c r="VCD49" i="79"/>
  <c r="VCC49" i="79"/>
  <c r="VCB49" i="79"/>
  <c r="VCA49" i="79"/>
  <c r="VBZ49" i="79"/>
  <c r="VBY49" i="79"/>
  <c r="VBX49" i="79"/>
  <c r="VBW49" i="79"/>
  <c r="VBV49" i="79"/>
  <c r="VBU49" i="79"/>
  <c r="VBT49" i="79"/>
  <c r="VBS49" i="79"/>
  <c r="VBR49" i="79"/>
  <c r="VBQ49" i="79"/>
  <c r="VBP49" i="79"/>
  <c r="VBO49" i="79"/>
  <c r="VBN49" i="79"/>
  <c r="VBM49" i="79"/>
  <c r="VBL49" i="79"/>
  <c r="VBK49" i="79"/>
  <c r="VBJ49" i="79"/>
  <c r="VBI49" i="79"/>
  <c r="VBH49" i="79"/>
  <c r="VBG49" i="79"/>
  <c r="VBF49" i="79"/>
  <c r="VBE49" i="79"/>
  <c r="VBD49" i="79"/>
  <c r="VBC49" i="79"/>
  <c r="VBB49" i="79"/>
  <c r="VBA49" i="79"/>
  <c r="VAZ49" i="79"/>
  <c r="VAY49" i="79"/>
  <c r="VAX49" i="79"/>
  <c r="VAW49" i="79"/>
  <c r="VAV49" i="79"/>
  <c r="VAU49" i="79"/>
  <c r="VAT49" i="79"/>
  <c r="VAS49" i="79"/>
  <c r="VAR49" i="79"/>
  <c r="VAQ49" i="79"/>
  <c r="VAP49" i="79"/>
  <c r="VAO49" i="79"/>
  <c r="VAN49" i="79"/>
  <c r="VAM49" i="79"/>
  <c r="VAL49" i="79"/>
  <c r="VAK49" i="79"/>
  <c r="VAJ49" i="79"/>
  <c r="VAI49" i="79"/>
  <c r="VAH49" i="79"/>
  <c r="VAG49" i="79"/>
  <c r="VAF49" i="79"/>
  <c r="VAE49" i="79"/>
  <c r="VAD49" i="79"/>
  <c r="VAC49" i="79"/>
  <c r="VAB49" i="79"/>
  <c r="VAA49" i="79"/>
  <c r="UZZ49" i="79"/>
  <c r="UZY49" i="79"/>
  <c r="UZX49" i="79"/>
  <c r="UZW49" i="79"/>
  <c r="UZV49" i="79"/>
  <c r="UZU49" i="79"/>
  <c r="UZT49" i="79"/>
  <c r="UZS49" i="79"/>
  <c r="UZR49" i="79"/>
  <c r="UZQ49" i="79"/>
  <c r="UZP49" i="79"/>
  <c r="UZO49" i="79"/>
  <c r="UZN49" i="79"/>
  <c r="UZM49" i="79"/>
  <c r="UZL49" i="79"/>
  <c r="UZK49" i="79"/>
  <c r="UZJ49" i="79"/>
  <c r="UZI49" i="79"/>
  <c r="UZH49" i="79"/>
  <c r="UZG49" i="79"/>
  <c r="UZF49" i="79"/>
  <c r="UZE49" i="79"/>
  <c r="UZD49" i="79"/>
  <c r="UZC49" i="79"/>
  <c r="UZB49" i="79"/>
  <c r="UZA49" i="79"/>
  <c r="UYZ49" i="79"/>
  <c r="UYY49" i="79"/>
  <c r="UYX49" i="79"/>
  <c r="UYW49" i="79"/>
  <c r="UYV49" i="79"/>
  <c r="UYU49" i="79"/>
  <c r="UYT49" i="79"/>
  <c r="UYS49" i="79"/>
  <c r="UYR49" i="79"/>
  <c r="UYQ49" i="79"/>
  <c r="UYP49" i="79"/>
  <c r="UYO49" i="79"/>
  <c r="UYN49" i="79"/>
  <c r="UYM49" i="79"/>
  <c r="UYL49" i="79"/>
  <c r="UYK49" i="79"/>
  <c r="UYJ49" i="79"/>
  <c r="UYI49" i="79"/>
  <c r="UYH49" i="79"/>
  <c r="UYG49" i="79"/>
  <c r="UYF49" i="79"/>
  <c r="UYE49" i="79"/>
  <c r="UYD49" i="79"/>
  <c r="UYC49" i="79"/>
  <c r="UYB49" i="79"/>
  <c r="UYA49" i="79"/>
  <c r="UXZ49" i="79"/>
  <c r="UXY49" i="79"/>
  <c r="UXX49" i="79"/>
  <c r="UXW49" i="79"/>
  <c r="UXV49" i="79"/>
  <c r="UXU49" i="79"/>
  <c r="UXT49" i="79"/>
  <c r="UXS49" i="79"/>
  <c r="UXR49" i="79"/>
  <c r="UXQ49" i="79"/>
  <c r="UXP49" i="79"/>
  <c r="UXO49" i="79"/>
  <c r="UXN49" i="79"/>
  <c r="UXM49" i="79"/>
  <c r="UXL49" i="79"/>
  <c r="UXK49" i="79"/>
  <c r="UXJ49" i="79"/>
  <c r="UXI49" i="79"/>
  <c r="UXH49" i="79"/>
  <c r="UXG49" i="79"/>
  <c r="UXF49" i="79"/>
  <c r="UXE49" i="79"/>
  <c r="UXD49" i="79"/>
  <c r="UXC49" i="79"/>
  <c r="UXB49" i="79"/>
  <c r="UXA49" i="79"/>
  <c r="UWZ49" i="79"/>
  <c r="UWY49" i="79"/>
  <c r="UWX49" i="79"/>
  <c r="UWW49" i="79"/>
  <c r="UWV49" i="79"/>
  <c r="UWU49" i="79"/>
  <c r="UWT49" i="79"/>
  <c r="UWS49" i="79"/>
  <c r="UWR49" i="79"/>
  <c r="UWQ49" i="79"/>
  <c r="UWP49" i="79"/>
  <c r="UWO49" i="79"/>
  <c r="UWN49" i="79"/>
  <c r="UWM49" i="79"/>
  <c r="UWL49" i="79"/>
  <c r="UWK49" i="79"/>
  <c r="UWJ49" i="79"/>
  <c r="UWI49" i="79"/>
  <c r="UWH49" i="79"/>
  <c r="UWG49" i="79"/>
  <c r="UWF49" i="79"/>
  <c r="UWE49" i="79"/>
  <c r="UWD49" i="79"/>
  <c r="UWC49" i="79"/>
  <c r="UWB49" i="79"/>
  <c r="UWA49" i="79"/>
  <c r="UVZ49" i="79"/>
  <c r="UVY49" i="79"/>
  <c r="UVX49" i="79"/>
  <c r="UVW49" i="79"/>
  <c r="UVV49" i="79"/>
  <c r="UVU49" i="79"/>
  <c r="UVT49" i="79"/>
  <c r="UVS49" i="79"/>
  <c r="UVR49" i="79"/>
  <c r="UVQ49" i="79"/>
  <c r="UVP49" i="79"/>
  <c r="UVO49" i="79"/>
  <c r="UVN49" i="79"/>
  <c r="UVM49" i="79"/>
  <c r="UVL49" i="79"/>
  <c r="UVK49" i="79"/>
  <c r="UVJ49" i="79"/>
  <c r="UVI49" i="79"/>
  <c r="UVH49" i="79"/>
  <c r="UVG49" i="79"/>
  <c r="UVF49" i="79"/>
  <c r="UVE49" i="79"/>
  <c r="UVD49" i="79"/>
  <c r="UVC49" i="79"/>
  <c r="UVB49" i="79"/>
  <c r="UVA49" i="79"/>
  <c r="UUZ49" i="79"/>
  <c r="UUY49" i="79"/>
  <c r="UUX49" i="79"/>
  <c r="UUW49" i="79"/>
  <c r="UUV49" i="79"/>
  <c r="UUU49" i="79"/>
  <c r="UUT49" i="79"/>
  <c r="UUS49" i="79"/>
  <c r="UUR49" i="79"/>
  <c r="UUQ49" i="79"/>
  <c r="UUP49" i="79"/>
  <c r="UUO49" i="79"/>
  <c r="UUN49" i="79"/>
  <c r="UUM49" i="79"/>
  <c r="UUL49" i="79"/>
  <c r="UUK49" i="79"/>
  <c r="UUJ49" i="79"/>
  <c r="UUI49" i="79"/>
  <c r="UUH49" i="79"/>
  <c r="UUG49" i="79"/>
  <c r="UUF49" i="79"/>
  <c r="UUE49" i="79"/>
  <c r="UUD49" i="79"/>
  <c r="UUC49" i="79"/>
  <c r="UUB49" i="79"/>
  <c r="UUA49" i="79"/>
  <c r="UTZ49" i="79"/>
  <c r="UTY49" i="79"/>
  <c r="UTX49" i="79"/>
  <c r="UTW49" i="79"/>
  <c r="UTV49" i="79"/>
  <c r="UTU49" i="79"/>
  <c r="UTT49" i="79"/>
  <c r="UTS49" i="79"/>
  <c r="UTR49" i="79"/>
  <c r="UTQ49" i="79"/>
  <c r="UTP49" i="79"/>
  <c r="UTO49" i="79"/>
  <c r="UTN49" i="79"/>
  <c r="UTM49" i="79"/>
  <c r="UTL49" i="79"/>
  <c r="UTK49" i="79"/>
  <c r="UTJ49" i="79"/>
  <c r="UTI49" i="79"/>
  <c r="UTH49" i="79"/>
  <c r="UTG49" i="79"/>
  <c r="UTF49" i="79"/>
  <c r="UTE49" i="79"/>
  <c r="UTD49" i="79"/>
  <c r="UTC49" i="79"/>
  <c r="UTB49" i="79"/>
  <c r="UTA49" i="79"/>
  <c r="USZ49" i="79"/>
  <c r="USY49" i="79"/>
  <c r="USX49" i="79"/>
  <c r="USW49" i="79"/>
  <c r="USV49" i="79"/>
  <c r="USU49" i="79"/>
  <c r="UST49" i="79"/>
  <c r="USS49" i="79"/>
  <c r="USR49" i="79"/>
  <c r="USQ49" i="79"/>
  <c r="USP49" i="79"/>
  <c r="USO49" i="79"/>
  <c r="USN49" i="79"/>
  <c r="USM49" i="79"/>
  <c r="USL49" i="79"/>
  <c r="USK49" i="79"/>
  <c r="USJ49" i="79"/>
  <c r="USI49" i="79"/>
  <c r="USH49" i="79"/>
  <c r="USG49" i="79"/>
  <c r="USF49" i="79"/>
  <c r="USE49" i="79"/>
  <c r="USD49" i="79"/>
  <c r="USC49" i="79"/>
  <c r="USB49" i="79"/>
  <c r="USA49" i="79"/>
  <c r="URZ49" i="79"/>
  <c r="URY49" i="79"/>
  <c r="URX49" i="79"/>
  <c r="URW49" i="79"/>
  <c r="URV49" i="79"/>
  <c r="URU49" i="79"/>
  <c r="URT49" i="79"/>
  <c r="URS49" i="79"/>
  <c r="URR49" i="79"/>
  <c r="URQ49" i="79"/>
  <c r="URP49" i="79"/>
  <c r="URO49" i="79"/>
  <c r="URN49" i="79"/>
  <c r="URM49" i="79"/>
  <c r="URL49" i="79"/>
  <c r="URK49" i="79"/>
  <c r="URJ49" i="79"/>
  <c r="URI49" i="79"/>
  <c r="URH49" i="79"/>
  <c r="URG49" i="79"/>
  <c r="URF49" i="79"/>
  <c r="URE49" i="79"/>
  <c r="URD49" i="79"/>
  <c r="URC49" i="79"/>
  <c r="URB49" i="79"/>
  <c r="URA49" i="79"/>
  <c r="UQZ49" i="79"/>
  <c r="UQY49" i="79"/>
  <c r="UQX49" i="79"/>
  <c r="UQW49" i="79"/>
  <c r="UQV49" i="79"/>
  <c r="UQU49" i="79"/>
  <c r="UQT49" i="79"/>
  <c r="UQS49" i="79"/>
  <c r="UQR49" i="79"/>
  <c r="UQQ49" i="79"/>
  <c r="UQP49" i="79"/>
  <c r="UQO49" i="79"/>
  <c r="UQN49" i="79"/>
  <c r="UQM49" i="79"/>
  <c r="UQL49" i="79"/>
  <c r="UQK49" i="79"/>
  <c r="UQJ49" i="79"/>
  <c r="UQI49" i="79"/>
  <c r="UQH49" i="79"/>
  <c r="UQG49" i="79"/>
  <c r="UQF49" i="79"/>
  <c r="UQE49" i="79"/>
  <c r="UQD49" i="79"/>
  <c r="UQC49" i="79"/>
  <c r="UQB49" i="79"/>
  <c r="UQA49" i="79"/>
  <c r="UPZ49" i="79"/>
  <c r="UPY49" i="79"/>
  <c r="UPX49" i="79"/>
  <c r="UPW49" i="79"/>
  <c r="UPV49" i="79"/>
  <c r="UPU49" i="79"/>
  <c r="UPT49" i="79"/>
  <c r="UPS49" i="79"/>
  <c r="UPR49" i="79"/>
  <c r="UPQ49" i="79"/>
  <c r="UPP49" i="79"/>
  <c r="UPO49" i="79"/>
  <c r="UPN49" i="79"/>
  <c r="UPM49" i="79"/>
  <c r="UPL49" i="79"/>
  <c r="UPK49" i="79"/>
  <c r="UPJ49" i="79"/>
  <c r="UPI49" i="79"/>
  <c r="UPH49" i="79"/>
  <c r="UPG49" i="79"/>
  <c r="UPF49" i="79"/>
  <c r="UPE49" i="79"/>
  <c r="UPD49" i="79"/>
  <c r="UPC49" i="79"/>
  <c r="UPB49" i="79"/>
  <c r="UPA49" i="79"/>
  <c r="UOZ49" i="79"/>
  <c r="UOY49" i="79"/>
  <c r="UOX49" i="79"/>
  <c r="UOW49" i="79"/>
  <c r="UOV49" i="79"/>
  <c r="UOU49" i="79"/>
  <c r="UOT49" i="79"/>
  <c r="UOS49" i="79"/>
  <c r="UOR49" i="79"/>
  <c r="UOQ49" i="79"/>
  <c r="UOP49" i="79"/>
  <c r="UOO49" i="79"/>
  <c r="UON49" i="79"/>
  <c r="UOM49" i="79"/>
  <c r="UOL49" i="79"/>
  <c r="UOK49" i="79"/>
  <c r="UOJ49" i="79"/>
  <c r="UOI49" i="79"/>
  <c r="UOH49" i="79"/>
  <c r="UOG49" i="79"/>
  <c r="UOF49" i="79"/>
  <c r="UOE49" i="79"/>
  <c r="UOD49" i="79"/>
  <c r="UOC49" i="79"/>
  <c r="UOB49" i="79"/>
  <c r="UOA49" i="79"/>
  <c r="UNZ49" i="79"/>
  <c r="UNY49" i="79"/>
  <c r="UNX49" i="79"/>
  <c r="UNW49" i="79"/>
  <c r="UNV49" i="79"/>
  <c r="UNU49" i="79"/>
  <c r="UNT49" i="79"/>
  <c r="UNS49" i="79"/>
  <c r="UNR49" i="79"/>
  <c r="UNQ49" i="79"/>
  <c r="UNP49" i="79"/>
  <c r="UNO49" i="79"/>
  <c r="UNN49" i="79"/>
  <c r="UNM49" i="79"/>
  <c r="UNL49" i="79"/>
  <c r="UNK49" i="79"/>
  <c r="UNJ49" i="79"/>
  <c r="UNI49" i="79"/>
  <c r="UNH49" i="79"/>
  <c r="UNG49" i="79"/>
  <c r="UNF49" i="79"/>
  <c r="UNE49" i="79"/>
  <c r="UND49" i="79"/>
  <c r="UNC49" i="79"/>
  <c r="UNB49" i="79"/>
  <c r="UNA49" i="79"/>
  <c r="UMZ49" i="79"/>
  <c r="UMY49" i="79"/>
  <c r="UMX49" i="79"/>
  <c r="UMW49" i="79"/>
  <c r="UMV49" i="79"/>
  <c r="UMU49" i="79"/>
  <c r="UMT49" i="79"/>
  <c r="UMS49" i="79"/>
  <c r="UMR49" i="79"/>
  <c r="UMQ49" i="79"/>
  <c r="UMP49" i="79"/>
  <c r="UMO49" i="79"/>
  <c r="UMN49" i="79"/>
  <c r="UMM49" i="79"/>
  <c r="UML49" i="79"/>
  <c r="UMK49" i="79"/>
  <c r="UMJ49" i="79"/>
  <c r="UMI49" i="79"/>
  <c r="UMH49" i="79"/>
  <c r="UMG49" i="79"/>
  <c r="UMF49" i="79"/>
  <c r="UME49" i="79"/>
  <c r="UMD49" i="79"/>
  <c r="UMC49" i="79"/>
  <c r="UMB49" i="79"/>
  <c r="UMA49" i="79"/>
  <c r="ULZ49" i="79"/>
  <c r="ULY49" i="79"/>
  <c r="ULX49" i="79"/>
  <c r="ULW49" i="79"/>
  <c r="ULV49" i="79"/>
  <c r="ULU49" i="79"/>
  <c r="ULT49" i="79"/>
  <c r="ULS49" i="79"/>
  <c r="ULR49" i="79"/>
  <c r="ULQ49" i="79"/>
  <c r="ULP49" i="79"/>
  <c r="ULO49" i="79"/>
  <c r="ULN49" i="79"/>
  <c r="ULM49" i="79"/>
  <c r="ULL49" i="79"/>
  <c r="ULK49" i="79"/>
  <c r="ULJ49" i="79"/>
  <c r="ULI49" i="79"/>
  <c r="ULH49" i="79"/>
  <c r="ULG49" i="79"/>
  <c r="ULF49" i="79"/>
  <c r="ULE49" i="79"/>
  <c r="ULD49" i="79"/>
  <c r="ULC49" i="79"/>
  <c r="ULB49" i="79"/>
  <c r="ULA49" i="79"/>
  <c r="UKZ49" i="79"/>
  <c r="UKY49" i="79"/>
  <c r="UKX49" i="79"/>
  <c r="UKW49" i="79"/>
  <c r="UKV49" i="79"/>
  <c r="UKU49" i="79"/>
  <c r="UKT49" i="79"/>
  <c r="UKS49" i="79"/>
  <c r="UKR49" i="79"/>
  <c r="UKQ49" i="79"/>
  <c r="UKP49" i="79"/>
  <c r="UKO49" i="79"/>
  <c r="UKN49" i="79"/>
  <c r="UKM49" i="79"/>
  <c r="UKL49" i="79"/>
  <c r="UKK49" i="79"/>
  <c r="UKJ49" i="79"/>
  <c r="UKI49" i="79"/>
  <c r="UKH49" i="79"/>
  <c r="UKG49" i="79"/>
  <c r="UKF49" i="79"/>
  <c r="UKE49" i="79"/>
  <c r="UKD49" i="79"/>
  <c r="UKC49" i="79"/>
  <c r="UKB49" i="79"/>
  <c r="UKA49" i="79"/>
  <c r="UJZ49" i="79"/>
  <c r="UJY49" i="79"/>
  <c r="UJX49" i="79"/>
  <c r="UJW49" i="79"/>
  <c r="UJV49" i="79"/>
  <c r="UJU49" i="79"/>
  <c r="UJT49" i="79"/>
  <c r="UJS49" i="79"/>
  <c r="UJR49" i="79"/>
  <c r="UJQ49" i="79"/>
  <c r="UJP49" i="79"/>
  <c r="UJO49" i="79"/>
  <c r="UJN49" i="79"/>
  <c r="UJM49" i="79"/>
  <c r="UJL49" i="79"/>
  <c r="UJK49" i="79"/>
  <c r="UJJ49" i="79"/>
  <c r="UJI49" i="79"/>
  <c r="UJH49" i="79"/>
  <c r="UJG49" i="79"/>
  <c r="UJF49" i="79"/>
  <c r="UJE49" i="79"/>
  <c r="UJD49" i="79"/>
  <c r="UJC49" i="79"/>
  <c r="UJB49" i="79"/>
  <c r="UJA49" i="79"/>
  <c r="UIZ49" i="79"/>
  <c r="UIY49" i="79"/>
  <c r="UIX49" i="79"/>
  <c r="UIW49" i="79"/>
  <c r="UIV49" i="79"/>
  <c r="UIU49" i="79"/>
  <c r="UIT49" i="79"/>
  <c r="UIS49" i="79"/>
  <c r="UIR49" i="79"/>
  <c r="UIQ49" i="79"/>
  <c r="UIP49" i="79"/>
  <c r="UIO49" i="79"/>
  <c r="UIN49" i="79"/>
  <c r="UIM49" i="79"/>
  <c r="UIL49" i="79"/>
  <c r="UIK49" i="79"/>
  <c r="UIJ49" i="79"/>
  <c r="UII49" i="79"/>
  <c r="UIH49" i="79"/>
  <c r="UIG49" i="79"/>
  <c r="UIF49" i="79"/>
  <c r="UIE49" i="79"/>
  <c r="UID49" i="79"/>
  <c r="UIC49" i="79"/>
  <c r="UIB49" i="79"/>
  <c r="UIA49" i="79"/>
  <c r="UHZ49" i="79"/>
  <c r="UHY49" i="79"/>
  <c r="UHX49" i="79"/>
  <c r="UHW49" i="79"/>
  <c r="UHV49" i="79"/>
  <c r="UHU49" i="79"/>
  <c r="UHT49" i="79"/>
  <c r="UHS49" i="79"/>
  <c r="UHR49" i="79"/>
  <c r="UHQ49" i="79"/>
  <c r="UHP49" i="79"/>
  <c r="UHO49" i="79"/>
  <c r="UHN49" i="79"/>
  <c r="UHM49" i="79"/>
  <c r="UHL49" i="79"/>
  <c r="UHK49" i="79"/>
  <c r="UHJ49" i="79"/>
  <c r="UHI49" i="79"/>
  <c r="UHH49" i="79"/>
  <c r="UHG49" i="79"/>
  <c r="UHF49" i="79"/>
  <c r="UHE49" i="79"/>
  <c r="UHD49" i="79"/>
  <c r="UHC49" i="79"/>
  <c r="UHB49" i="79"/>
  <c r="UHA49" i="79"/>
  <c r="UGZ49" i="79"/>
  <c r="UGY49" i="79"/>
  <c r="UGX49" i="79"/>
  <c r="UGW49" i="79"/>
  <c r="UGV49" i="79"/>
  <c r="UGU49" i="79"/>
  <c r="UGT49" i="79"/>
  <c r="UGS49" i="79"/>
  <c r="UGR49" i="79"/>
  <c r="UGQ49" i="79"/>
  <c r="UGP49" i="79"/>
  <c r="UGO49" i="79"/>
  <c r="UGN49" i="79"/>
  <c r="UGM49" i="79"/>
  <c r="UGL49" i="79"/>
  <c r="UGK49" i="79"/>
  <c r="UGJ49" i="79"/>
  <c r="UGI49" i="79"/>
  <c r="UGH49" i="79"/>
  <c r="UGG49" i="79"/>
  <c r="UGF49" i="79"/>
  <c r="UGE49" i="79"/>
  <c r="UGD49" i="79"/>
  <c r="UGC49" i="79"/>
  <c r="UGB49" i="79"/>
  <c r="UGA49" i="79"/>
  <c r="UFZ49" i="79"/>
  <c r="UFY49" i="79"/>
  <c r="UFX49" i="79"/>
  <c r="UFW49" i="79"/>
  <c r="UFV49" i="79"/>
  <c r="UFU49" i="79"/>
  <c r="UFT49" i="79"/>
  <c r="UFS49" i="79"/>
  <c r="UFR49" i="79"/>
  <c r="UFQ49" i="79"/>
  <c r="UFP49" i="79"/>
  <c r="UFO49" i="79"/>
  <c r="UFN49" i="79"/>
  <c r="UFM49" i="79"/>
  <c r="UFL49" i="79"/>
  <c r="UFK49" i="79"/>
  <c r="UFJ49" i="79"/>
  <c r="UFI49" i="79"/>
  <c r="UFH49" i="79"/>
  <c r="UFG49" i="79"/>
  <c r="UFF49" i="79"/>
  <c r="UFE49" i="79"/>
  <c r="UFD49" i="79"/>
  <c r="UFC49" i="79"/>
  <c r="UFB49" i="79"/>
  <c r="UFA49" i="79"/>
  <c r="UEZ49" i="79"/>
  <c r="UEY49" i="79"/>
  <c r="UEX49" i="79"/>
  <c r="UEW49" i="79"/>
  <c r="UEV49" i="79"/>
  <c r="UEU49" i="79"/>
  <c r="UET49" i="79"/>
  <c r="UES49" i="79"/>
  <c r="UER49" i="79"/>
  <c r="UEQ49" i="79"/>
  <c r="UEP49" i="79"/>
  <c r="UEO49" i="79"/>
  <c r="UEN49" i="79"/>
  <c r="UEM49" i="79"/>
  <c r="UEL49" i="79"/>
  <c r="UEK49" i="79"/>
  <c r="UEJ49" i="79"/>
  <c r="UEI49" i="79"/>
  <c r="UEH49" i="79"/>
  <c r="UEG49" i="79"/>
  <c r="UEF49" i="79"/>
  <c r="UEE49" i="79"/>
  <c r="UED49" i="79"/>
  <c r="UEC49" i="79"/>
  <c r="UEB49" i="79"/>
  <c r="UEA49" i="79"/>
  <c r="UDZ49" i="79"/>
  <c r="UDY49" i="79"/>
  <c r="UDX49" i="79"/>
  <c r="UDW49" i="79"/>
  <c r="UDV49" i="79"/>
  <c r="UDU49" i="79"/>
  <c r="UDT49" i="79"/>
  <c r="UDS49" i="79"/>
  <c r="UDR49" i="79"/>
  <c r="UDQ49" i="79"/>
  <c r="UDP49" i="79"/>
  <c r="UDO49" i="79"/>
  <c r="UDN49" i="79"/>
  <c r="UDM49" i="79"/>
  <c r="UDL49" i="79"/>
  <c r="UDK49" i="79"/>
  <c r="UDJ49" i="79"/>
  <c r="UDI49" i="79"/>
  <c r="UDH49" i="79"/>
  <c r="UDG49" i="79"/>
  <c r="UDF49" i="79"/>
  <c r="UDE49" i="79"/>
  <c r="UDD49" i="79"/>
  <c r="UDC49" i="79"/>
  <c r="UDB49" i="79"/>
  <c r="UDA49" i="79"/>
  <c r="UCZ49" i="79"/>
  <c r="UCY49" i="79"/>
  <c r="UCX49" i="79"/>
  <c r="UCW49" i="79"/>
  <c r="UCV49" i="79"/>
  <c r="UCU49" i="79"/>
  <c r="UCT49" i="79"/>
  <c r="UCS49" i="79"/>
  <c r="UCR49" i="79"/>
  <c r="UCQ49" i="79"/>
  <c r="UCP49" i="79"/>
  <c r="UCO49" i="79"/>
  <c r="UCN49" i="79"/>
  <c r="UCM49" i="79"/>
  <c r="UCL49" i="79"/>
  <c r="UCK49" i="79"/>
  <c r="UCJ49" i="79"/>
  <c r="UCI49" i="79"/>
  <c r="UCH49" i="79"/>
  <c r="UCG49" i="79"/>
  <c r="UCF49" i="79"/>
  <c r="UCE49" i="79"/>
  <c r="UCD49" i="79"/>
  <c r="UCC49" i="79"/>
  <c r="UCB49" i="79"/>
  <c r="UCA49" i="79"/>
  <c r="UBZ49" i="79"/>
  <c r="UBY49" i="79"/>
  <c r="UBX49" i="79"/>
  <c r="UBW49" i="79"/>
  <c r="UBV49" i="79"/>
  <c r="UBU49" i="79"/>
  <c r="UBT49" i="79"/>
  <c r="UBS49" i="79"/>
  <c r="UBR49" i="79"/>
  <c r="UBQ49" i="79"/>
  <c r="UBP49" i="79"/>
  <c r="UBO49" i="79"/>
  <c r="UBN49" i="79"/>
  <c r="UBM49" i="79"/>
  <c r="UBL49" i="79"/>
  <c r="UBK49" i="79"/>
  <c r="UBJ49" i="79"/>
  <c r="UBI49" i="79"/>
  <c r="UBH49" i="79"/>
  <c r="UBG49" i="79"/>
  <c r="UBF49" i="79"/>
  <c r="UBE49" i="79"/>
  <c r="UBD49" i="79"/>
  <c r="UBC49" i="79"/>
  <c r="UBB49" i="79"/>
  <c r="UBA49" i="79"/>
  <c r="UAZ49" i="79"/>
  <c r="UAY49" i="79"/>
  <c r="UAX49" i="79"/>
  <c r="UAW49" i="79"/>
  <c r="UAV49" i="79"/>
  <c r="UAU49" i="79"/>
  <c r="UAT49" i="79"/>
  <c r="UAS49" i="79"/>
  <c r="UAR49" i="79"/>
  <c r="UAQ49" i="79"/>
  <c r="UAP49" i="79"/>
  <c r="UAO49" i="79"/>
  <c r="UAN49" i="79"/>
  <c r="UAM49" i="79"/>
  <c r="UAL49" i="79"/>
  <c r="UAK49" i="79"/>
  <c r="UAJ49" i="79"/>
  <c r="UAI49" i="79"/>
  <c r="UAH49" i="79"/>
  <c r="UAG49" i="79"/>
  <c r="UAF49" i="79"/>
  <c r="UAE49" i="79"/>
  <c r="UAD49" i="79"/>
  <c r="UAC49" i="79"/>
  <c r="UAB49" i="79"/>
  <c r="UAA49" i="79"/>
  <c r="TZZ49" i="79"/>
  <c r="TZY49" i="79"/>
  <c r="TZX49" i="79"/>
  <c r="TZW49" i="79"/>
  <c r="TZV49" i="79"/>
  <c r="TZU49" i="79"/>
  <c r="TZT49" i="79"/>
  <c r="TZS49" i="79"/>
  <c r="TZR49" i="79"/>
  <c r="TZQ49" i="79"/>
  <c r="TZP49" i="79"/>
  <c r="TZO49" i="79"/>
  <c r="TZN49" i="79"/>
  <c r="TZM49" i="79"/>
  <c r="TZL49" i="79"/>
  <c r="TZK49" i="79"/>
  <c r="TZJ49" i="79"/>
  <c r="TZI49" i="79"/>
  <c r="TZH49" i="79"/>
  <c r="TZG49" i="79"/>
  <c r="TZF49" i="79"/>
  <c r="TZE49" i="79"/>
  <c r="TZD49" i="79"/>
  <c r="TZC49" i="79"/>
  <c r="TZB49" i="79"/>
  <c r="TZA49" i="79"/>
  <c r="TYZ49" i="79"/>
  <c r="TYY49" i="79"/>
  <c r="TYX49" i="79"/>
  <c r="TYW49" i="79"/>
  <c r="TYV49" i="79"/>
  <c r="TYU49" i="79"/>
  <c r="TYT49" i="79"/>
  <c r="TYS49" i="79"/>
  <c r="TYR49" i="79"/>
  <c r="TYQ49" i="79"/>
  <c r="TYP49" i="79"/>
  <c r="TYO49" i="79"/>
  <c r="TYN49" i="79"/>
  <c r="TYM49" i="79"/>
  <c r="TYL49" i="79"/>
  <c r="TYK49" i="79"/>
  <c r="TYJ49" i="79"/>
  <c r="TYI49" i="79"/>
  <c r="TYH49" i="79"/>
  <c r="TYG49" i="79"/>
  <c r="TYF49" i="79"/>
  <c r="TYE49" i="79"/>
  <c r="TYD49" i="79"/>
  <c r="TYC49" i="79"/>
  <c r="TYB49" i="79"/>
  <c r="TYA49" i="79"/>
  <c r="TXZ49" i="79"/>
  <c r="TXY49" i="79"/>
  <c r="TXX49" i="79"/>
  <c r="TXW49" i="79"/>
  <c r="TXV49" i="79"/>
  <c r="TXU49" i="79"/>
  <c r="TXT49" i="79"/>
  <c r="TXS49" i="79"/>
  <c r="TXR49" i="79"/>
  <c r="TXQ49" i="79"/>
  <c r="TXP49" i="79"/>
  <c r="TXO49" i="79"/>
  <c r="TXN49" i="79"/>
  <c r="TXM49" i="79"/>
  <c r="TXL49" i="79"/>
  <c r="TXK49" i="79"/>
  <c r="TXJ49" i="79"/>
  <c r="TXI49" i="79"/>
  <c r="TXH49" i="79"/>
  <c r="TXG49" i="79"/>
  <c r="TXF49" i="79"/>
  <c r="TXE49" i="79"/>
  <c r="TXD49" i="79"/>
  <c r="TXC49" i="79"/>
  <c r="TXB49" i="79"/>
  <c r="TXA49" i="79"/>
  <c r="TWZ49" i="79"/>
  <c r="TWY49" i="79"/>
  <c r="TWX49" i="79"/>
  <c r="TWW49" i="79"/>
  <c r="TWV49" i="79"/>
  <c r="TWU49" i="79"/>
  <c r="TWT49" i="79"/>
  <c r="TWS49" i="79"/>
  <c r="TWR49" i="79"/>
  <c r="TWQ49" i="79"/>
  <c r="TWP49" i="79"/>
  <c r="TWO49" i="79"/>
  <c r="TWN49" i="79"/>
  <c r="TWM49" i="79"/>
  <c r="TWL49" i="79"/>
  <c r="TWK49" i="79"/>
  <c r="TWJ49" i="79"/>
  <c r="TWI49" i="79"/>
  <c r="TWH49" i="79"/>
  <c r="TWG49" i="79"/>
  <c r="TWF49" i="79"/>
  <c r="TWE49" i="79"/>
  <c r="TWD49" i="79"/>
  <c r="TWC49" i="79"/>
  <c r="TWB49" i="79"/>
  <c r="TWA49" i="79"/>
  <c r="TVZ49" i="79"/>
  <c r="TVY49" i="79"/>
  <c r="TVX49" i="79"/>
  <c r="TVW49" i="79"/>
  <c r="TVV49" i="79"/>
  <c r="TVU49" i="79"/>
  <c r="TVT49" i="79"/>
  <c r="TVS49" i="79"/>
  <c r="TVR49" i="79"/>
  <c r="TVQ49" i="79"/>
  <c r="TVP49" i="79"/>
  <c r="TVO49" i="79"/>
  <c r="TVN49" i="79"/>
  <c r="TVM49" i="79"/>
  <c r="TVL49" i="79"/>
  <c r="TVK49" i="79"/>
  <c r="TVJ49" i="79"/>
  <c r="TVI49" i="79"/>
  <c r="TVH49" i="79"/>
  <c r="TVG49" i="79"/>
  <c r="TVF49" i="79"/>
  <c r="TVE49" i="79"/>
  <c r="TVD49" i="79"/>
  <c r="TVC49" i="79"/>
  <c r="TVB49" i="79"/>
  <c r="TVA49" i="79"/>
  <c r="TUZ49" i="79"/>
  <c r="TUY49" i="79"/>
  <c r="TUX49" i="79"/>
  <c r="TUW49" i="79"/>
  <c r="TUV49" i="79"/>
  <c r="TUU49" i="79"/>
  <c r="TUT49" i="79"/>
  <c r="TUS49" i="79"/>
  <c r="TUR49" i="79"/>
  <c r="TUQ49" i="79"/>
  <c r="TUP49" i="79"/>
  <c r="TUO49" i="79"/>
  <c r="TUN49" i="79"/>
  <c r="TUM49" i="79"/>
  <c r="TUL49" i="79"/>
  <c r="TUK49" i="79"/>
  <c r="TUJ49" i="79"/>
  <c r="TUI49" i="79"/>
  <c r="TUH49" i="79"/>
  <c r="TUG49" i="79"/>
  <c r="TUF49" i="79"/>
  <c r="TUE49" i="79"/>
  <c r="TUD49" i="79"/>
  <c r="TUC49" i="79"/>
  <c r="TUB49" i="79"/>
  <c r="TUA49" i="79"/>
  <c r="TTZ49" i="79"/>
  <c r="TTY49" i="79"/>
  <c r="TTX49" i="79"/>
  <c r="TTW49" i="79"/>
  <c r="TTV49" i="79"/>
  <c r="TTU49" i="79"/>
  <c r="TTT49" i="79"/>
  <c r="TTS49" i="79"/>
  <c r="TTR49" i="79"/>
  <c r="TTQ49" i="79"/>
  <c r="TTP49" i="79"/>
  <c r="TTO49" i="79"/>
  <c r="TTN49" i="79"/>
  <c r="TTM49" i="79"/>
  <c r="TTL49" i="79"/>
  <c r="TTK49" i="79"/>
  <c r="TTJ49" i="79"/>
  <c r="TTI49" i="79"/>
  <c r="TTH49" i="79"/>
  <c r="TTG49" i="79"/>
  <c r="TTF49" i="79"/>
  <c r="TTE49" i="79"/>
  <c r="TTD49" i="79"/>
  <c r="TTC49" i="79"/>
  <c r="TTB49" i="79"/>
  <c r="TTA49" i="79"/>
  <c r="TSZ49" i="79"/>
  <c r="TSY49" i="79"/>
  <c r="TSX49" i="79"/>
  <c r="TSW49" i="79"/>
  <c r="TSV49" i="79"/>
  <c r="TSU49" i="79"/>
  <c r="TST49" i="79"/>
  <c r="TSS49" i="79"/>
  <c r="TSR49" i="79"/>
  <c r="TSQ49" i="79"/>
  <c r="TSP49" i="79"/>
  <c r="TSO49" i="79"/>
  <c r="TSN49" i="79"/>
  <c r="TSM49" i="79"/>
  <c r="TSL49" i="79"/>
  <c r="TSK49" i="79"/>
  <c r="TSJ49" i="79"/>
  <c r="TSI49" i="79"/>
  <c r="TSH49" i="79"/>
  <c r="TSG49" i="79"/>
  <c r="TSF49" i="79"/>
  <c r="TSE49" i="79"/>
  <c r="TSD49" i="79"/>
  <c r="TSC49" i="79"/>
  <c r="TSB49" i="79"/>
  <c r="TSA49" i="79"/>
  <c r="TRZ49" i="79"/>
  <c r="TRY49" i="79"/>
  <c r="TRX49" i="79"/>
  <c r="TRW49" i="79"/>
  <c r="TRV49" i="79"/>
  <c r="TRU49" i="79"/>
  <c r="TRT49" i="79"/>
  <c r="TRS49" i="79"/>
  <c r="TRR49" i="79"/>
  <c r="TRQ49" i="79"/>
  <c r="TRP49" i="79"/>
  <c r="TRO49" i="79"/>
  <c r="TRN49" i="79"/>
  <c r="TRM49" i="79"/>
  <c r="TRL49" i="79"/>
  <c r="TRK49" i="79"/>
  <c r="TRJ49" i="79"/>
  <c r="TRI49" i="79"/>
  <c r="TRH49" i="79"/>
  <c r="TRG49" i="79"/>
  <c r="TRF49" i="79"/>
  <c r="TRE49" i="79"/>
  <c r="TRD49" i="79"/>
  <c r="TRC49" i="79"/>
  <c r="TRB49" i="79"/>
  <c r="TRA49" i="79"/>
  <c r="TQZ49" i="79"/>
  <c r="TQY49" i="79"/>
  <c r="TQX49" i="79"/>
  <c r="TQW49" i="79"/>
  <c r="TQV49" i="79"/>
  <c r="TQU49" i="79"/>
  <c r="TQT49" i="79"/>
  <c r="TQS49" i="79"/>
  <c r="TQR49" i="79"/>
  <c r="TQQ49" i="79"/>
  <c r="TQP49" i="79"/>
  <c r="TQO49" i="79"/>
  <c r="TQN49" i="79"/>
  <c r="TQM49" i="79"/>
  <c r="TQL49" i="79"/>
  <c r="TQK49" i="79"/>
  <c r="TQJ49" i="79"/>
  <c r="TQI49" i="79"/>
  <c r="TQH49" i="79"/>
  <c r="TQG49" i="79"/>
  <c r="TQF49" i="79"/>
  <c r="TQE49" i="79"/>
  <c r="TQD49" i="79"/>
  <c r="TQC49" i="79"/>
  <c r="TQB49" i="79"/>
  <c r="TQA49" i="79"/>
  <c r="TPZ49" i="79"/>
  <c r="TPY49" i="79"/>
  <c r="TPX49" i="79"/>
  <c r="TPW49" i="79"/>
  <c r="TPV49" i="79"/>
  <c r="TPU49" i="79"/>
  <c r="TPT49" i="79"/>
  <c r="TPS49" i="79"/>
  <c r="TPR49" i="79"/>
  <c r="TPQ49" i="79"/>
  <c r="TPP49" i="79"/>
  <c r="TPO49" i="79"/>
  <c r="TPN49" i="79"/>
  <c r="TPM49" i="79"/>
  <c r="TPL49" i="79"/>
  <c r="TPK49" i="79"/>
  <c r="TPJ49" i="79"/>
  <c r="TPI49" i="79"/>
  <c r="TPH49" i="79"/>
  <c r="TPG49" i="79"/>
  <c r="TPF49" i="79"/>
  <c r="TPE49" i="79"/>
  <c r="TPD49" i="79"/>
  <c r="TPC49" i="79"/>
  <c r="TPB49" i="79"/>
  <c r="TPA49" i="79"/>
  <c r="TOZ49" i="79"/>
  <c r="TOY49" i="79"/>
  <c r="TOX49" i="79"/>
  <c r="TOW49" i="79"/>
  <c r="TOV49" i="79"/>
  <c r="TOU49" i="79"/>
  <c r="TOT49" i="79"/>
  <c r="TOS49" i="79"/>
  <c r="TOR49" i="79"/>
  <c r="TOQ49" i="79"/>
  <c r="TOP49" i="79"/>
  <c r="TOO49" i="79"/>
  <c r="TON49" i="79"/>
  <c r="TOM49" i="79"/>
  <c r="TOL49" i="79"/>
  <c r="TOK49" i="79"/>
  <c r="TOJ49" i="79"/>
  <c r="TOI49" i="79"/>
  <c r="TOH49" i="79"/>
  <c r="TOG49" i="79"/>
  <c r="TOF49" i="79"/>
  <c r="TOE49" i="79"/>
  <c r="TOD49" i="79"/>
  <c r="TOC49" i="79"/>
  <c r="TOB49" i="79"/>
  <c r="TOA49" i="79"/>
  <c r="TNZ49" i="79"/>
  <c r="TNY49" i="79"/>
  <c r="TNX49" i="79"/>
  <c r="TNW49" i="79"/>
  <c r="TNV49" i="79"/>
  <c r="TNU49" i="79"/>
  <c r="TNT49" i="79"/>
  <c r="TNS49" i="79"/>
  <c r="TNR49" i="79"/>
  <c r="TNQ49" i="79"/>
  <c r="TNP49" i="79"/>
  <c r="TNO49" i="79"/>
  <c r="TNN49" i="79"/>
  <c r="TNM49" i="79"/>
  <c r="TNL49" i="79"/>
  <c r="TNK49" i="79"/>
  <c r="TNJ49" i="79"/>
  <c r="TNI49" i="79"/>
  <c r="TNH49" i="79"/>
  <c r="TNG49" i="79"/>
  <c r="TNF49" i="79"/>
  <c r="TNE49" i="79"/>
  <c r="TND49" i="79"/>
  <c r="TNC49" i="79"/>
  <c r="TNB49" i="79"/>
  <c r="TNA49" i="79"/>
  <c r="TMZ49" i="79"/>
  <c r="TMY49" i="79"/>
  <c r="TMX49" i="79"/>
  <c r="TMW49" i="79"/>
  <c r="TMV49" i="79"/>
  <c r="TMU49" i="79"/>
  <c r="TMT49" i="79"/>
  <c r="TMS49" i="79"/>
  <c r="TMR49" i="79"/>
  <c r="TMQ49" i="79"/>
  <c r="TMP49" i="79"/>
  <c r="TMO49" i="79"/>
  <c r="TMN49" i="79"/>
  <c r="TMM49" i="79"/>
  <c r="TML49" i="79"/>
  <c r="TMK49" i="79"/>
  <c r="TMJ49" i="79"/>
  <c r="TMI49" i="79"/>
  <c r="TMH49" i="79"/>
  <c r="TMG49" i="79"/>
  <c r="TMF49" i="79"/>
  <c r="TME49" i="79"/>
  <c r="TMD49" i="79"/>
  <c r="TMC49" i="79"/>
  <c r="TMB49" i="79"/>
  <c r="TMA49" i="79"/>
  <c r="TLZ49" i="79"/>
  <c r="TLY49" i="79"/>
  <c r="TLX49" i="79"/>
  <c r="TLW49" i="79"/>
  <c r="TLV49" i="79"/>
  <c r="TLU49" i="79"/>
  <c r="TLT49" i="79"/>
  <c r="TLS49" i="79"/>
  <c r="TLR49" i="79"/>
  <c r="TLQ49" i="79"/>
  <c r="TLP49" i="79"/>
  <c r="TLO49" i="79"/>
  <c r="TLN49" i="79"/>
  <c r="TLM49" i="79"/>
  <c r="TLL49" i="79"/>
  <c r="TLK49" i="79"/>
  <c r="TLJ49" i="79"/>
  <c r="TLI49" i="79"/>
  <c r="TLH49" i="79"/>
  <c r="TLG49" i="79"/>
  <c r="TLF49" i="79"/>
  <c r="TLE49" i="79"/>
  <c r="TLD49" i="79"/>
  <c r="TLC49" i="79"/>
  <c r="TLB49" i="79"/>
  <c r="TLA49" i="79"/>
  <c r="TKZ49" i="79"/>
  <c r="TKY49" i="79"/>
  <c r="TKX49" i="79"/>
  <c r="TKW49" i="79"/>
  <c r="TKV49" i="79"/>
  <c r="TKU49" i="79"/>
  <c r="TKT49" i="79"/>
  <c r="TKS49" i="79"/>
  <c r="TKR49" i="79"/>
  <c r="TKQ49" i="79"/>
  <c r="TKP49" i="79"/>
  <c r="TKO49" i="79"/>
  <c r="TKN49" i="79"/>
  <c r="TKM49" i="79"/>
  <c r="TKL49" i="79"/>
  <c r="TKK49" i="79"/>
  <c r="TKJ49" i="79"/>
  <c r="TKI49" i="79"/>
  <c r="TKH49" i="79"/>
  <c r="TKG49" i="79"/>
  <c r="TKF49" i="79"/>
  <c r="TKE49" i="79"/>
  <c r="TKD49" i="79"/>
  <c r="TKC49" i="79"/>
  <c r="TKB49" i="79"/>
  <c r="TKA49" i="79"/>
  <c r="TJZ49" i="79"/>
  <c r="TJY49" i="79"/>
  <c r="TJX49" i="79"/>
  <c r="TJW49" i="79"/>
  <c r="TJV49" i="79"/>
  <c r="TJU49" i="79"/>
  <c r="TJT49" i="79"/>
  <c r="TJS49" i="79"/>
  <c r="TJR49" i="79"/>
  <c r="TJQ49" i="79"/>
  <c r="TJP49" i="79"/>
  <c r="TJO49" i="79"/>
  <c r="TJN49" i="79"/>
  <c r="TJM49" i="79"/>
  <c r="TJL49" i="79"/>
  <c r="TJK49" i="79"/>
  <c r="TJJ49" i="79"/>
  <c r="TJI49" i="79"/>
  <c r="TJH49" i="79"/>
  <c r="TJG49" i="79"/>
  <c r="TJF49" i="79"/>
  <c r="TJE49" i="79"/>
  <c r="TJD49" i="79"/>
  <c r="TJC49" i="79"/>
  <c r="TJB49" i="79"/>
  <c r="TJA49" i="79"/>
  <c r="TIZ49" i="79"/>
  <c r="TIY49" i="79"/>
  <c r="TIX49" i="79"/>
  <c r="TIW49" i="79"/>
  <c r="TIV49" i="79"/>
  <c r="TIU49" i="79"/>
  <c r="TIT49" i="79"/>
  <c r="TIS49" i="79"/>
  <c r="TIR49" i="79"/>
  <c r="TIQ49" i="79"/>
  <c r="TIP49" i="79"/>
  <c r="TIO49" i="79"/>
  <c r="TIN49" i="79"/>
  <c r="TIM49" i="79"/>
  <c r="TIL49" i="79"/>
  <c r="TIK49" i="79"/>
  <c r="TIJ49" i="79"/>
  <c r="TII49" i="79"/>
  <c r="TIH49" i="79"/>
  <c r="TIG49" i="79"/>
  <c r="TIF49" i="79"/>
  <c r="TIE49" i="79"/>
  <c r="TID49" i="79"/>
  <c r="TIC49" i="79"/>
  <c r="TIB49" i="79"/>
  <c r="TIA49" i="79"/>
  <c r="THZ49" i="79"/>
  <c r="THY49" i="79"/>
  <c r="THX49" i="79"/>
  <c r="THW49" i="79"/>
  <c r="THV49" i="79"/>
  <c r="THU49" i="79"/>
  <c r="THT49" i="79"/>
  <c r="THS49" i="79"/>
  <c r="THR49" i="79"/>
  <c r="THQ49" i="79"/>
  <c r="THP49" i="79"/>
  <c r="THO49" i="79"/>
  <c r="THN49" i="79"/>
  <c r="THM49" i="79"/>
  <c r="THL49" i="79"/>
  <c r="THK49" i="79"/>
  <c r="THJ49" i="79"/>
  <c r="THI49" i="79"/>
  <c r="THH49" i="79"/>
  <c r="THG49" i="79"/>
  <c r="THF49" i="79"/>
  <c r="THE49" i="79"/>
  <c r="THD49" i="79"/>
  <c r="THC49" i="79"/>
  <c r="THB49" i="79"/>
  <c r="THA49" i="79"/>
  <c r="TGZ49" i="79"/>
  <c r="TGY49" i="79"/>
  <c r="TGX49" i="79"/>
  <c r="TGW49" i="79"/>
  <c r="TGV49" i="79"/>
  <c r="TGU49" i="79"/>
  <c r="TGT49" i="79"/>
  <c r="TGS49" i="79"/>
  <c r="TGR49" i="79"/>
  <c r="TGQ49" i="79"/>
  <c r="TGP49" i="79"/>
  <c r="TGO49" i="79"/>
  <c r="TGN49" i="79"/>
  <c r="TGM49" i="79"/>
  <c r="TGL49" i="79"/>
  <c r="TGK49" i="79"/>
  <c r="TGJ49" i="79"/>
  <c r="TGI49" i="79"/>
  <c r="TGH49" i="79"/>
  <c r="TGG49" i="79"/>
  <c r="TGF49" i="79"/>
  <c r="TGE49" i="79"/>
  <c r="TGD49" i="79"/>
  <c r="TGC49" i="79"/>
  <c r="TGB49" i="79"/>
  <c r="TGA49" i="79"/>
  <c r="TFZ49" i="79"/>
  <c r="TFY49" i="79"/>
  <c r="TFX49" i="79"/>
  <c r="TFW49" i="79"/>
  <c r="TFV49" i="79"/>
  <c r="TFU49" i="79"/>
  <c r="TFT49" i="79"/>
  <c r="TFS49" i="79"/>
  <c r="TFR49" i="79"/>
  <c r="TFQ49" i="79"/>
  <c r="TFP49" i="79"/>
  <c r="TFO49" i="79"/>
  <c r="TFN49" i="79"/>
  <c r="TFM49" i="79"/>
  <c r="TFL49" i="79"/>
  <c r="TFK49" i="79"/>
  <c r="TFJ49" i="79"/>
  <c r="TFI49" i="79"/>
  <c r="TFH49" i="79"/>
  <c r="TFG49" i="79"/>
  <c r="TFF49" i="79"/>
  <c r="TFE49" i="79"/>
  <c r="TFD49" i="79"/>
  <c r="TFC49" i="79"/>
  <c r="TFB49" i="79"/>
  <c r="TFA49" i="79"/>
  <c r="TEZ49" i="79"/>
  <c r="TEY49" i="79"/>
  <c r="TEX49" i="79"/>
  <c r="TEW49" i="79"/>
  <c r="TEV49" i="79"/>
  <c r="TEU49" i="79"/>
  <c r="TET49" i="79"/>
  <c r="TES49" i="79"/>
  <c r="TER49" i="79"/>
  <c r="TEQ49" i="79"/>
  <c r="TEP49" i="79"/>
  <c r="TEO49" i="79"/>
  <c r="TEN49" i="79"/>
  <c r="TEM49" i="79"/>
  <c r="TEL49" i="79"/>
  <c r="TEK49" i="79"/>
  <c r="TEJ49" i="79"/>
  <c r="TEI49" i="79"/>
  <c r="TEH49" i="79"/>
  <c r="TEG49" i="79"/>
  <c r="TEF49" i="79"/>
  <c r="TEE49" i="79"/>
  <c r="TED49" i="79"/>
  <c r="TEC49" i="79"/>
  <c r="TEB49" i="79"/>
  <c r="TEA49" i="79"/>
  <c r="TDZ49" i="79"/>
  <c r="TDY49" i="79"/>
  <c r="TDX49" i="79"/>
  <c r="TDW49" i="79"/>
  <c r="TDV49" i="79"/>
  <c r="TDU49" i="79"/>
  <c r="TDT49" i="79"/>
  <c r="TDS49" i="79"/>
  <c r="TDR49" i="79"/>
  <c r="TDQ49" i="79"/>
  <c r="TDP49" i="79"/>
  <c r="TDO49" i="79"/>
  <c r="TDN49" i="79"/>
  <c r="TDM49" i="79"/>
  <c r="TDL49" i="79"/>
  <c r="TDK49" i="79"/>
  <c r="TDJ49" i="79"/>
  <c r="TDI49" i="79"/>
  <c r="TDH49" i="79"/>
  <c r="TDG49" i="79"/>
  <c r="TDF49" i="79"/>
  <c r="TDE49" i="79"/>
  <c r="TDD49" i="79"/>
  <c r="TDC49" i="79"/>
  <c r="TDB49" i="79"/>
  <c r="TDA49" i="79"/>
  <c r="TCZ49" i="79"/>
  <c r="TCY49" i="79"/>
  <c r="TCX49" i="79"/>
  <c r="TCW49" i="79"/>
  <c r="TCV49" i="79"/>
  <c r="TCU49" i="79"/>
  <c r="TCT49" i="79"/>
  <c r="TCS49" i="79"/>
  <c r="TCR49" i="79"/>
  <c r="TCQ49" i="79"/>
  <c r="TCP49" i="79"/>
  <c r="TCO49" i="79"/>
  <c r="TCN49" i="79"/>
  <c r="TCM49" i="79"/>
  <c r="TCL49" i="79"/>
  <c r="TCK49" i="79"/>
  <c r="TCJ49" i="79"/>
  <c r="TCI49" i="79"/>
  <c r="TCH49" i="79"/>
  <c r="TCG49" i="79"/>
  <c r="TCF49" i="79"/>
  <c r="TCE49" i="79"/>
  <c r="TCD49" i="79"/>
  <c r="TCC49" i="79"/>
  <c r="TCB49" i="79"/>
  <c r="TCA49" i="79"/>
  <c r="TBZ49" i="79"/>
  <c r="TBY49" i="79"/>
  <c r="TBX49" i="79"/>
  <c r="TBW49" i="79"/>
  <c r="TBV49" i="79"/>
  <c r="TBU49" i="79"/>
  <c r="TBT49" i="79"/>
  <c r="TBS49" i="79"/>
  <c r="TBR49" i="79"/>
  <c r="TBQ49" i="79"/>
  <c r="TBP49" i="79"/>
  <c r="TBO49" i="79"/>
  <c r="TBN49" i="79"/>
  <c r="TBM49" i="79"/>
  <c r="TBL49" i="79"/>
  <c r="TBK49" i="79"/>
  <c r="TBJ49" i="79"/>
  <c r="TBI49" i="79"/>
  <c r="TBH49" i="79"/>
  <c r="TBG49" i="79"/>
  <c r="TBF49" i="79"/>
  <c r="TBE49" i="79"/>
  <c r="TBD49" i="79"/>
  <c r="TBC49" i="79"/>
  <c r="TBB49" i="79"/>
  <c r="TBA49" i="79"/>
  <c r="TAZ49" i="79"/>
  <c r="TAY49" i="79"/>
  <c r="TAX49" i="79"/>
  <c r="TAW49" i="79"/>
  <c r="TAV49" i="79"/>
  <c r="TAU49" i="79"/>
  <c r="TAT49" i="79"/>
  <c r="TAS49" i="79"/>
  <c r="TAR49" i="79"/>
  <c r="TAQ49" i="79"/>
  <c r="TAP49" i="79"/>
  <c r="TAO49" i="79"/>
  <c r="TAN49" i="79"/>
  <c r="TAM49" i="79"/>
  <c r="TAL49" i="79"/>
  <c r="TAK49" i="79"/>
  <c r="TAJ49" i="79"/>
  <c r="TAI49" i="79"/>
  <c r="TAH49" i="79"/>
  <c r="TAG49" i="79"/>
  <c r="TAF49" i="79"/>
  <c r="TAE49" i="79"/>
  <c r="TAD49" i="79"/>
  <c r="TAC49" i="79"/>
  <c r="TAB49" i="79"/>
  <c r="TAA49" i="79"/>
  <c r="SZZ49" i="79"/>
  <c r="SZY49" i="79"/>
  <c r="SZX49" i="79"/>
  <c r="SZW49" i="79"/>
  <c r="SZV49" i="79"/>
  <c r="SZU49" i="79"/>
  <c r="SZT49" i="79"/>
  <c r="SZS49" i="79"/>
  <c r="SZR49" i="79"/>
  <c r="SZQ49" i="79"/>
  <c r="SZP49" i="79"/>
  <c r="SZO49" i="79"/>
  <c r="SZN49" i="79"/>
  <c r="SZM49" i="79"/>
  <c r="SZL49" i="79"/>
  <c r="SZK49" i="79"/>
  <c r="SZJ49" i="79"/>
  <c r="SZI49" i="79"/>
  <c r="SZH49" i="79"/>
  <c r="SZG49" i="79"/>
  <c r="SZF49" i="79"/>
  <c r="SZE49" i="79"/>
  <c r="SZD49" i="79"/>
  <c r="SZC49" i="79"/>
  <c r="SZB49" i="79"/>
  <c r="SZA49" i="79"/>
  <c r="SYZ49" i="79"/>
  <c r="SYY49" i="79"/>
  <c r="SYX49" i="79"/>
  <c r="SYW49" i="79"/>
  <c r="SYV49" i="79"/>
  <c r="SYU49" i="79"/>
  <c r="SYT49" i="79"/>
  <c r="SYS49" i="79"/>
  <c r="SYR49" i="79"/>
  <c r="SYQ49" i="79"/>
  <c r="SYP49" i="79"/>
  <c r="SYO49" i="79"/>
  <c r="SYN49" i="79"/>
  <c r="SYM49" i="79"/>
  <c r="SYL49" i="79"/>
  <c r="SYK49" i="79"/>
  <c r="SYJ49" i="79"/>
  <c r="SYI49" i="79"/>
  <c r="SYH49" i="79"/>
  <c r="SYG49" i="79"/>
  <c r="SYF49" i="79"/>
  <c r="SYE49" i="79"/>
  <c r="SYD49" i="79"/>
  <c r="SYC49" i="79"/>
  <c r="SYB49" i="79"/>
  <c r="SYA49" i="79"/>
  <c r="SXZ49" i="79"/>
  <c r="SXY49" i="79"/>
  <c r="SXX49" i="79"/>
  <c r="SXW49" i="79"/>
  <c r="SXV49" i="79"/>
  <c r="SXU49" i="79"/>
  <c r="SXT49" i="79"/>
  <c r="SXS49" i="79"/>
  <c r="SXR49" i="79"/>
  <c r="SXQ49" i="79"/>
  <c r="SXP49" i="79"/>
  <c r="SXO49" i="79"/>
  <c r="SXN49" i="79"/>
  <c r="SXM49" i="79"/>
  <c r="SXL49" i="79"/>
  <c r="SXK49" i="79"/>
  <c r="SXJ49" i="79"/>
  <c r="SXI49" i="79"/>
  <c r="SXH49" i="79"/>
  <c r="SXG49" i="79"/>
  <c r="SXF49" i="79"/>
  <c r="SXE49" i="79"/>
  <c r="SXD49" i="79"/>
  <c r="SXC49" i="79"/>
  <c r="SXB49" i="79"/>
  <c r="SXA49" i="79"/>
  <c r="SWZ49" i="79"/>
  <c r="SWY49" i="79"/>
  <c r="SWX49" i="79"/>
  <c r="SWW49" i="79"/>
  <c r="SWV49" i="79"/>
  <c r="SWU49" i="79"/>
  <c r="SWT49" i="79"/>
  <c r="SWS49" i="79"/>
  <c r="SWR49" i="79"/>
  <c r="SWQ49" i="79"/>
  <c r="SWP49" i="79"/>
  <c r="SWO49" i="79"/>
  <c r="SWN49" i="79"/>
  <c r="SWM49" i="79"/>
  <c r="SWL49" i="79"/>
  <c r="SWK49" i="79"/>
  <c r="SWJ49" i="79"/>
  <c r="SWI49" i="79"/>
  <c r="SWH49" i="79"/>
  <c r="SWG49" i="79"/>
  <c r="SWF49" i="79"/>
  <c r="SWE49" i="79"/>
  <c r="SWD49" i="79"/>
  <c r="SWC49" i="79"/>
  <c r="SWB49" i="79"/>
  <c r="SWA49" i="79"/>
  <c r="SVZ49" i="79"/>
  <c r="SVY49" i="79"/>
  <c r="SVX49" i="79"/>
  <c r="SVW49" i="79"/>
  <c r="SVV49" i="79"/>
  <c r="SVU49" i="79"/>
  <c r="SVT49" i="79"/>
  <c r="SVS49" i="79"/>
  <c r="SVR49" i="79"/>
  <c r="SVQ49" i="79"/>
  <c r="SVP49" i="79"/>
  <c r="SVO49" i="79"/>
  <c r="SVN49" i="79"/>
  <c r="SVM49" i="79"/>
  <c r="SVL49" i="79"/>
  <c r="SVK49" i="79"/>
  <c r="SVJ49" i="79"/>
  <c r="SVI49" i="79"/>
  <c r="SVH49" i="79"/>
  <c r="SVG49" i="79"/>
  <c r="SVF49" i="79"/>
  <c r="SVE49" i="79"/>
  <c r="SVD49" i="79"/>
  <c r="SVC49" i="79"/>
  <c r="SVB49" i="79"/>
  <c r="SVA49" i="79"/>
  <c r="SUZ49" i="79"/>
  <c r="SUY49" i="79"/>
  <c r="SUX49" i="79"/>
  <c r="SUW49" i="79"/>
  <c r="SUV49" i="79"/>
  <c r="SUU49" i="79"/>
  <c r="SUT49" i="79"/>
  <c r="SUS49" i="79"/>
  <c r="SUR49" i="79"/>
  <c r="SUQ49" i="79"/>
  <c r="SUP49" i="79"/>
  <c r="SUO49" i="79"/>
  <c r="SUN49" i="79"/>
  <c r="SUM49" i="79"/>
  <c r="SUL49" i="79"/>
  <c r="SUK49" i="79"/>
  <c r="SUJ49" i="79"/>
  <c r="SUI49" i="79"/>
  <c r="SUH49" i="79"/>
  <c r="SUG49" i="79"/>
  <c r="SUF49" i="79"/>
  <c r="SUE49" i="79"/>
  <c r="SUD49" i="79"/>
  <c r="SUC49" i="79"/>
  <c r="SUB49" i="79"/>
  <c r="SUA49" i="79"/>
  <c r="STZ49" i="79"/>
  <c r="STY49" i="79"/>
  <c r="STX49" i="79"/>
  <c r="STW49" i="79"/>
  <c r="STV49" i="79"/>
  <c r="STU49" i="79"/>
  <c r="STT49" i="79"/>
  <c r="STS49" i="79"/>
  <c r="STR49" i="79"/>
  <c r="STQ49" i="79"/>
  <c r="STP49" i="79"/>
  <c r="STO49" i="79"/>
  <c r="STN49" i="79"/>
  <c r="STM49" i="79"/>
  <c r="STL49" i="79"/>
  <c r="STK49" i="79"/>
  <c r="STJ49" i="79"/>
  <c r="STI49" i="79"/>
  <c r="STH49" i="79"/>
  <c r="STG49" i="79"/>
  <c r="STF49" i="79"/>
  <c r="STE49" i="79"/>
  <c r="STD49" i="79"/>
  <c r="STC49" i="79"/>
  <c r="STB49" i="79"/>
  <c r="STA49" i="79"/>
  <c r="SSZ49" i="79"/>
  <c r="SSY49" i="79"/>
  <c r="SSX49" i="79"/>
  <c r="SSW49" i="79"/>
  <c r="SSV49" i="79"/>
  <c r="SSU49" i="79"/>
  <c r="SST49" i="79"/>
  <c r="SSS49" i="79"/>
  <c r="SSR49" i="79"/>
  <c r="SSQ49" i="79"/>
  <c r="SSP49" i="79"/>
  <c r="SSO49" i="79"/>
  <c r="SSN49" i="79"/>
  <c r="SSM49" i="79"/>
  <c r="SSL49" i="79"/>
  <c r="SSK49" i="79"/>
  <c r="SSJ49" i="79"/>
  <c r="SSI49" i="79"/>
  <c r="SSH49" i="79"/>
  <c r="SSG49" i="79"/>
  <c r="SSF49" i="79"/>
  <c r="SSE49" i="79"/>
  <c r="SSD49" i="79"/>
  <c r="SSC49" i="79"/>
  <c r="SSB49" i="79"/>
  <c r="SSA49" i="79"/>
  <c r="SRZ49" i="79"/>
  <c r="SRY49" i="79"/>
  <c r="SRX49" i="79"/>
  <c r="SRW49" i="79"/>
  <c r="SRV49" i="79"/>
  <c r="SRU49" i="79"/>
  <c r="SRT49" i="79"/>
  <c r="SRS49" i="79"/>
  <c r="SRR49" i="79"/>
  <c r="SRQ49" i="79"/>
  <c r="SRP49" i="79"/>
  <c r="SRO49" i="79"/>
  <c r="SRN49" i="79"/>
  <c r="SRM49" i="79"/>
  <c r="SRL49" i="79"/>
  <c r="SRK49" i="79"/>
  <c r="SRJ49" i="79"/>
  <c r="SRI49" i="79"/>
  <c r="SRH49" i="79"/>
  <c r="SRG49" i="79"/>
  <c r="SRF49" i="79"/>
  <c r="SRE49" i="79"/>
  <c r="SRD49" i="79"/>
  <c r="SRC49" i="79"/>
  <c r="SRB49" i="79"/>
  <c r="SRA49" i="79"/>
  <c r="SQZ49" i="79"/>
  <c r="SQY49" i="79"/>
  <c r="SQX49" i="79"/>
  <c r="SQW49" i="79"/>
  <c r="SQV49" i="79"/>
  <c r="SQU49" i="79"/>
  <c r="SQT49" i="79"/>
  <c r="SQS49" i="79"/>
  <c r="SQR49" i="79"/>
  <c r="SQQ49" i="79"/>
  <c r="SQP49" i="79"/>
  <c r="SQO49" i="79"/>
  <c r="SQN49" i="79"/>
  <c r="SQM49" i="79"/>
  <c r="SQL49" i="79"/>
  <c r="SQK49" i="79"/>
  <c r="SQJ49" i="79"/>
  <c r="SQI49" i="79"/>
  <c r="SQH49" i="79"/>
  <c r="SQG49" i="79"/>
  <c r="SQF49" i="79"/>
  <c r="SQE49" i="79"/>
  <c r="SQD49" i="79"/>
  <c r="SQC49" i="79"/>
  <c r="SQB49" i="79"/>
  <c r="SQA49" i="79"/>
  <c r="SPZ49" i="79"/>
  <c r="SPY49" i="79"/>
  <c r="SPX49" i="79"/>
  <c r="SPW49" i="79"/>
  <c r="SPV49" i="79"/>
  <c r="SPU49" i="79"/>
  <c r="SPT49" i="79"/>
  <c r="SPS49" i="79"/>
  <c r="SPR49" i="79"/>
  <c r="SPQ49" i="79"/>
  <c r="SPP49" i="79"/>
  <c r="SPO49" i="79"/>
  <c r="SPN49" i="79"/>
  <c r="SPM49" i="79"/>
  <c r="SPL49" i="79"/>
  <c r="SPK49" i="79"/>
  <c r="SPJ49" i="79"/>
  <c r="SPI49" i="79"/>
  <c r="SPH49" i="79"/>
  <c r="SPG49" i="79"/>
  <c r="SPF49" i="79"/>
  <c r="SPE49" i="79"/>
  <c r="SPD49" i="79"/>
  <c r="SPC49" i="79"/>
  <c r="SPB49" i="79"/>
  <c r="SPA49" i="79"/>
  <c r="SOZ49" i="79"/>
  <c r="SOY49" i="79"/>
  <c r="SOX49" i="79"/>
  <c r="SOW49" i="79"/>
  <c r="SOV49" i="79"/>
  <c r="SOU49" i="79"/>
  <c r="SOT49" i="79"/>
  <c r="SOS49" i="79"/>
  <c r="SOR49" i="79"/>
  <c r="SOQ49" i="79"/>
  <c r="SOP49" i="79"/>
  <c r="SOO49" i="79"/>
  <c r="SON49" i="79"/>
  <c r="SOM49" i="79"/>
  <c r="SOL49" i="79"/>
  <c r="SOK49" i="79"/>
  <c r="SOJ49" i="79"/>
  <c r="SOI49" i="79"/>
  <c r="SOH49" i="79"/>
  <c r="SOG49" i="79"/>
  <c r="SOF49" i="79"/>
  <c r="SOE49" i="79"/>
  <c r="SOD49" i="79"/>
  <c r="SOC49" i="79"/>
  <c r="SOB49" i="79"/>
  <c r="SOA49" i="79"/>
  <c r="SNZ49" i="79"/>
  <c r="SNY49" i="79"/>
  <c r="SNX49" i="79"/>
  <c r="SNW49" i="79"/>
  <c r="SNV49" i="79"/>
  <c r="SNU49" i="79"/>
  <c r="SNT49" i="79"/>
  <c r="SNS49" i="79"/>
  <c r="SNR49" i="79"/>
  <c r="SNQ49" i="79"/>
  <c r="SNP49" i="79"/>
  <c r="SNO49" i="79"/>
  <c r="SNN49" i="79"/>
  <c r="SNM49" i="79"/>
  <c r="SNL49" i="79"/>
  <c r="SNK49" i="79"/>
  <c r="SNJ49" i="79"/>
  <c r="SNI49" i="79"/>
  <c r="SNH49" i="79"/>
  <c r="SNG49" i="79"/>
  <c r="SNF49" i="79"/>
  <c r="SNE49" i="79"/>
  <c r="SND49" i="79"/>
  <c r="SNC49" i="79"/>
  <c r="SNB49" i="79"/>
  <c r="SNA49" i="79"/>
  <c r="SMZ49" i="79"/>
  <c r="SMY49" i="79"/>
  <c r="SMX49" i="79"/>
  <c r="SMW49" i="79"/>
  <c r="SMV49" i="79"/>
  <c r="SMU49" i="79"/>
  <c r="SMT49" i="79"/>
  <c r="SMS49" i="79"/>
  <c r="SMR49" i="79"/>
  <c r="SMQ49" i="79"/>
  <c r="SMP49" i="79"/>
  <c r="SMO49" i="79"/>
  <c r="SMN49" i="79"/>
  <c r="SMM49" i="79"/>
  <c r="SML49" i="79"/>
  <c r="SMK49" i="79"/>
  <c r="SMJ49" i="79"/>
  <c r="SMI49" i="79"/>
  <c r="SMH49" i="79"/>
  <c r="SMG49" i="79"/>
  <c r="SMF49" i="79"/>
  <c r="SME49" i="79"/>
  <c r="SMD49" i="79"/>
  <c r="SMC49" i="79"/>
  <c r="SMB49" i="79"/>
  <c r="SMA49" i="79"/>
  <c r="SLZ49" i="79"/>
  <c r="SLY49" i="79"/>
  <c r="SLX49" i="79"/>
  <c r="SLW49" i="79"/>
  <c r="SLV49" i="79"/>
  <c r="SLU49" i="79"/>
  <c r="SLT49" i="79"/>
  <c r="SLS49" i="79"/>
  <c r="SLR49" i="79"/>
  <c r="SLQ49" i="79"/>
  <c r="SLP49" i="79"/>
  <c r="SLO49" i="79"/>
  <c r="SLN49" i="79"/>
  <c r="SLM49" i="79"/>
  <c r="SLL49" i="79"/>
  <c r="SLK49" i="79"/>
  <c r="SLJ49" i="79"/>
  <c r="SLI49" i="79"/>
  <c r="SLH49" i="79"/>
  <c r="SLG49" i="79"/>
  <c r="SLF49" i="79"/>
  <c r="SLE49" i="79"/>
  <c r="SLD49" i="79"/>
  <c r="SLC49" i="79"/>
  <c r="SLB49" i="79"/>
  <c r="SLA49" i="79"/>
  <c r="SKZ49" i="79"/>
  <c r="SKY49" i="79"/>
  <c r="SKX49" i="79"/>
  <c r="SKW49" i="79"/>
  <c r="SKV49" i="79"/>
  <c r="SKU49" i="79"/>
  <c r="SKT49" i="79"/>
  <c r="SKS49" i="79"/>
  <c r="SKR49" i="79"/>
  <c r="SKQ49" i="79"/>
  <c r="SKP49" i="79"/>
  <c r="SKO49" i="79"/>
  <c r="SKN49" i="79"/>
  <c r="SKM49" i="79"/>
  <c r="SKL49" i="79"/>
  <c r="SKK49" i="79"/>
  <c r="SKJ49" i="79"/>
  <c r="SKI49" i="79"/>
  <c r="SKH49" i="79"/>
  <c r="SKG49" i="79"/>
  <c r="SKF49" i="79"/>
  <c r="SKE49" i="79"/>
  <c r="SKD49" i="79"/>
  <c r="SKC49" i="79"/>
  <c r="SKB49" i="79"/>
  <c r="SKA49" i="79"/>
  <c r="SJZ49" i="79"/>
  <c r="SJY49" i="79"/>
  <c r="SJX49" i="79"/>
  <c r="SJW49" i="79"/>
  <c r="SJV49" i="79"/>
  <c r="SJU49" i="79"/>
  <c r="SJT49" i="79"/>
  <c r="SJS49" i="79"/>
  <c r="SJR49" i="79"/>
  <c r="SJQ49" i="79"/>
  <c r="SJP49" i="79"/>
  <c r="SJO49" i="79"/>
  <c r="SJN49" i="79"/>
  <c r="SJM49" i="79"/>
  <c r="SJL49" i="79"/>
  <c r="SJK49" i="79"/>
  <c r="SJJ49" i="79"/>
  <c r="SJI49" i="79"/>
  <c r="SJH49" i="79"/>
  <c r="SJG49" i="79"/>
  <c r="SJF49" i="79"/>
  <c r="SJE49" i="79"/>
  <c r="SJD49" i="79"/>
  <c r="SJC49" i="79"/>
  <c r="SJB49" i="79"/>
  <c r="SJA49" i="79"/>
  <c r="SIZ49" i="79"/>
  <c r="SIY49" i="79"/>
  <c r="SIX49" i="79"/>
  <c r="SIW49" i="79"/>
  <c r="SIV49" i="79"/>
  <c r="SIU49" i="79"/>
  <c r="SIT49" i="79"/>
  <c r="SIS49" i="79"/>
  <c r="SIR49" i="79"/>
  <c r="SIQ49" i="79"/>
  <c r="SIP49" i="79"/>
  <c r="SIO49" i="79"/>
  <c r="SIN49" i="79"/>
  <c r="SIM49" i="79"/>
  <c r="SIL49" i="79"/>
  <c r="SIK49" i="79"/>
  <c r="SIJ49" i="79"/>
  <c r="SII49" i="79"/>
  <c r="SIH49" i="79"/>
  <c r="SIG49" i="79"/>
  <c r="SIF49" i="79"/>
  <c r="SIE49" i="79"/>
  <c r="SID49" i="79"/>
  <c r="SIC49" i="79"/>
  <c r="SIB49" i="79"/>
  <c r="SIA49" i="79"/>
  <c r="SHZ49" i="79"/>
  <c r="SHY49" i="79"/>
  <c r="SHX49" i="79"/>
  <c r="SHW49" i="79"/>
  <c r="SHV49" i="79"/>
  <c r="SHU49" i="79"/>
  <c r="SHT49" i="79"/>
  <c r="SHS49" i="79"/>
  <c r="SHR49" i="79"/>
  <c r="SHQ49" i="79"/>
  <c r="SHP49" i="79"/>
  <c r="SHO49" i="79"/>
  <c r="SHN49" i="79"/>
  <c r="SHM49" i="79"/>
  <c r="SHL49" i="79"/>
  <c r="SHK49" i="79"/>
  <c r="SHJ49" i="79"/>
  <c r="SHI49" i="79"/>
  <c r="SHH49" i="79"/>
  <c r="SHG49" i="79"/>
  <c r="SHF49" i="79"/>
  <c r="SHE49" i="79"/>
  <c r="SHD49" i="79"/>
  <c r="SHC49" i="79"/>
  <c r="SHB49" i="79"/>
  <c r="SHA49" i="79"/>
  <c r="SGZ49" i="79"/>
  <c r="SGY49" i="79"/>
  <c r="SGX49" i="79"/>
  <c r="SGW49" i="79"/>
  <c r="SGV49" i="79"/>
  <c r="SGU49" i="79"/>
  <c r="SGT49" i="79"/>
  <c r="SGS49" i="79"/>
  <c r="SGR49" i="79"/>
  <c r="SGQ49" i="79"/>
  <c r="SGP49" i="79"/>
  <c r="SGO49" i="79"/>
  <c r="SGN49" i="79"/>
  <c r="SGM49" i="79"/>
  <c r="SGL49" i="79"/>
  <c r="SGK49" i="79"/>
  <c r="SGJ49" i="79"/>
  <c r="SGI49" i="79"/>
  <c r="SGH49" i="79"/>
  <c r="SGG49" i="79"/>
  <c r="SGF49" i="79"/>
  <c r="SGE49" i="79"/>
  <c r="SGD49" i="79"/>
  <c r="SGC49" i="79"/>
  <c r="SGB49" i="79"/>
  <c r="SGA49" i="79"/>
  <c r="SFZ49" i="79"/>
  <c r="SFY49" i="79"/>
  <c r="SFX49" i="79"/>
  <c r="SFW49" i="79"/>
  <c r="SFV49" i="79"/>
  <c r="SFU49" i="79"/>
  <c r="SFT49" i="79"/>
  <c r="SFS49" i="79"/>
  <c r="SFR49" i="79"/>
  <c r="SFQ49" i="79"/>
  <c r="SFP49" i="79"/>
  <c r="SFO49" i="79"/>
  <c r="SFN49" i="79"/>
  <c r="SFM49" i="79"/>
  <c r="SFL49" i="79"/>
  <c r="SFK49" i="79"/>
  <c r="SFJ49" i="79"/>
  <c r="SFI49" i="79"/>
  <c r="SFH49" i="79"/>
  <c r="SFG49" i="79"/>
  <c r="SFF49" i="79"/>
  <c r="SFE49" i="79"/>
  <c r="SFD49" i="79"/>
  <c r="SFC49" i="79"/>
  <c r="SFB49" i="79"/>
  <c r="SFA49" i="79"/>
  <c r="SEZ49" i="79"/>
  <c r="SEY49" i="79"/>
  <c r="SEX49" i="79"/>
  <c r="SEW49" i="79"/>
  <c r="SEV49" i="79"/>
  <c r="SEU49" i="79"/>
  <c r="SET49" i="79"/>
  <c r="SES49" i="79"/>
  <c r="SER49" i="79"/>
  <c r="SEQ49" i="79"/>
  <c r="SEP49" i="79"/>
  <c r="SEO49" i="79"/>
  <c r="SEN49" i="79"/>
  <c r="SEM49" i="79"/>
  <c r="SEL49" i="79"/>
  <c r="SEK49" i="79"/>
  <c r="SEJ49" i="79"/>
  <c r="SEI49" i="79"/>
  <c r="SEH49" i="79"/>
  <c r="SEG49" i="79"/>
  <c r="SEF49" i="79"/>
  <c r="SEE49" i="79"/>
  <c r="SED49" i="79"/>
  <c r="SEC49" i="79"/>
  <c r="SEB49" i="79"/>
  <c r="SEA49" i="79"/>
  <c r="SDZ49" i="79"/>
  <c r="SDY49" i="79"/>
  <c r="SDX49" i="79"/>
  <c r="SDW49" i="79"/>
  <c r="SDV49" i="79"/>
  <c r="SDU49" i="79"/>
  <c r="SDT49" i="79"/>
  <c r="SDS49" i="79"/>
  <c r="SDR49" i="79"/>
  <c r="SDQ49" i="79"/>
  <c r="SDP49" i="79"/>
  <c r="SDO49" i="79"/>
  <c r="SDN49" i="79"/>
  <c r="SDM49" i="79"/>
  <c r="SDL49" i="79"/>
  <c r="SDK49" i="79"/>
  <c r="SDJ49" i="79"/>
  <c r="SDI49" i="79"/>
  <c r="SDH49" i="79"/>
  <c r="SDG49" i="79"/>
  <c r="SDF49" i="79"/>
  <c r="SDE49" i="79"/>
  <c r="SDD49" i="79"/>
  <c r="SDC49" i="79"/>
  <c r="SDB49" i="79"/>
  <c r="SDA49" i="79"/>
  <c r="SCZ49" i="79"/>
  <c r="SCY49" i="79"/>
  <c r="SCX49" i="79"/>
  <c r="SCW49" i="79"/>
  <c r="SCV49" i="79"/>
  <c r="SCU49" i="79"/>
  <c r="SCT49" i="79"/>
  <c r="SCS49" i="79"/>
  <c r="SCR49" i="79"/>
  <c r="SCQ49" i="79"/>
  <c r="SCP49" i="79"/>
  <c r="SCO49" i="79"/>
  <c r="SCN49" i="79"/>
  <c r="SCM49" i="79"/>
  <c r="SCL49" i="79"/>
  <c r="SCK49" i="79"/>
  <c r="SCJ49" i="79"/>
  <c r="SCI49" i="79"/>
  <c r="SCH49" i="79"/>
  <c r="SCG49" i="79"/>
  <c r="SCF49" i="79"/>
  <c r="SCE49" i="79"/>
  <c r="SCD49" i="79"/>
  <c r="SCC49" i="79"/>
  <c r="SCB49" i="79"/>
  <c r="SCA49" i="79"/>
  <c r="SBZ49" i="79"/>
  <c r="SBY49" i="79"/>
  <c r="SBX49" i="79"/>
  <c r="SBW49" i="79"/>
  <c r="SBV49" i="79"/>
  <c r="SBU49" i="79"/>
  <c r="SBT49" i="79"/>
  <c r="SBS49" i="79"/>
  <c r="SBR49" i="79"/>
  <c r="SBQ49" i="79"/>
  <c r="SBP49" i="79"/>
  <c r="SBO49" i="79"/>
  <c r="SBN49" i="79"/>
  <c r="SBM49" i="79"/>
  <c r="SBL49" i="79"/>
  <c r="SBK49" i="79"/>
  <c r="SBJ49" i="79"/>
  <c r="SBI49" i="79"/>
  <c r="SBH49" i="79"/>
  <c r="SBG49" i="79"/>
  <c r="SBF49" i="79"/>
  <c r="SBE49" i="79"/>
  <c r="SBD49" i="79"/>
  <c r="SBC49" i="79"/>
  <c r="SBB49" i="79"/>
  <c r="SBA49" i="79"/>
  <c r="SAZ49" i="79"/>
  <c r="SAY49" i="79"/>
  <c r="SAX49" i="79"/>
  <c r="SAW49" i="79"/>
  <c r="SAV49" i="79"/>
  <c r="SAU49" i="79"/>
  <c r="SAT49" i="79"/>
  <c r="SAS49" i="79"/>
  <c r="SAR49" i="79"/>
  <c r="SAQ49" i="79"/>
  <c r="SAP49" i="79"/>
  <c r="SAO49" i="79"/>
  <c r="SAN49" i="79"/>
  <c r="SAM49" i="79"/>
  <c r="SAL49" i="79"/>
  <c r="SAK49" i="79"/>
  <c r="SAJ49" i="79"/>
  <c r="SAI49" i="79"/>
  <c r="SAH49" i="79"/>
  <c r="SAG49" i="79"/>
  <c r="SAF49" i="79"/>
  <c r="SAE49" i="79"/>
  <c r="SAD49" i="79"/>
  <c r="SAC49" i="79"/>
  <c r="SAB49" i="79"/>
  <c r="SAA49" i="79"/>
  <c r="RZZ49" i="79"/>
  <c r="RZY49" i="79"/>
  <c r="RZX49" i="79"/>
  <c r="RZW49" i="79"/>
  <c r="RZV49" i="79"/>
  <c r="RZU49" i="79"/>
  <c r="RZT49" i="79"/>
  <c r="RZS49" i="79"/>
  <c r="RZR49" i="79"/>
  <c r="RZQ49" i="79"/>
  <c r="RZP49" i="79"/>
  <c r="RZO49" i="79"/>
  <c r="RZN49" i="79"/>
  <c r="RZM49" i="79"/>
  <c r="RZL49" i="79"/>
  <c r="RZK49" i="79"/>
  <c r="RZJ49" i="79"/>
  <c r="RZI49" i="79"/>
  <c r="RZH49" i="79"/>
  <c r="RZG49" i="79"/>
  <c r="RZF49" i="79"/>
  <c r="RZE49" i="79"/>
  <c r="RZD49" i="79"/>
  <c r="RZC49" i="79"/>
  <c r="RZB49" i="79"/>
  <c r="RZA49" i="79"/>
  <c r="RYZ49" i="79"/>
  <c r="RYY49" i="79"/>
  <c r="RYX49" i="79"/>
  <c r="RYW49" i="79"/>
  <c r="RYV49" i="79"/>
  <c r="RYU49" i="79"/>
  <c r="RYT49" i="79"/>
  <c r="RYS49" i="79"/>
  <c r="RYR49" i="79"/>
  <c r="RYQ49" i="79"/>
  <c r="RYP49" i="79"/>
  <c r="RYO49" i="79"/>
  <c r="RYN49" i="79"/>
  <c r="RYM49" i="79"/>
  <c r="RYL49" i="79"/>
  <c r="RYK49" i="79"/>
  <c r="RYJ49" i="79"/>
  <c r="RYI49" i="79"/>
  <c r="RYH49" i="79"/>
  <c r="RYG49" i="79"/>
  <c r="RYF49" i="79"/>
  <c r="RYE49" i="79"/>
  <c r="RYD49" i="79"/>
  <c r="RYC49" i="79"/>
  <c r="RYB49" i="79"/>
  <c r="RYA49" i="79"/>
  <c r="RXZ49" i="79"/>
  <c r="RXY49" i="79"/>
  <c r="RXX49" i="79"/>
  <c r="RXW49" i="79"/>
  <c r="RXV49" i="79"/>
  <c r="RXU49" i="79"/>
  <c r="RXT49" i="79"/>
  <c r="RXS49" i="79"/>
  <c r="RXR49" i="79"/>
  <c r="RXQ49" i="79"/>
  <c r="RXP49" i="79"/>
  <c r="RXO49" i="79"/>
  <c r="RXN49" i="79"/>
  <c r="RXM49" i="79"/>
  <c r="RXL49" i="79"/>
  <c r="RXK49" i="79"/>
  <c r="RXJ49" i="79"/>
  <c r="RXI49" i="79"/>
  <c r="RXH49" i="79"/>
  <c r="RXG49" i="79"/>
  <c r="RXF49" i="79"/>
  <c r="RXE49" i="79"/>
  <c r="RXD49" i="79"/>
  <c r="RXC49" i="79"/>
  <c r="RXB49" i="79"/>
  <c r="RXA49" i="79"/>
  <c r="RWZ49" i="79"/>
  <c r="RWY49" i="79"/>
  <c r="RWX49" i="79"/>
  <c r="RWW49" i="79"/>
  <c r="RWV49" i="79"/>
  <c r="RWU49" i="79"/>
  <c r="RWT49" i="79"/>
  <c r="RWS49" i="79"/>
  <c r="RWR49" i="79"/>
  <c r="RWQ49" i="79"/>
  <c r="RWP49" i="79"/>
  <c r="RWO49" i="79"/>
  <c r="RWN49" i="79"/>
  <c r="RWM49" i="79"/>
  <c r="RWL49" i="79"/>
  <c r="RWK49" i="79"/>
  <c r="RWJ49" i="79"/>
  <c r="RWI49" i="79"/>
  <c r="RWH49" i="79"/>
  <c r="RWG49" i="79"/>
  <c r="RWF49" i="79"/>
  <c r="RWE49" i="79"/>
  <c r="RWD49" i="79"/>
  <c r="RWC49" i="79"/>
  <c r="RWB49" i="79"/>
  <c r="RWA49" i="79"/>
  <c r="RVZ49" i="79"/>
  <c r="RVY49" i="79"/>
  <c r="RVX49" i="79"/>
  <c r="RVW49" i="79"/>
  <c r="RVV49" i="79"/>
  <c r="RVU49" i="79"/>
  <c r="RVT49" i="79"/>
  <c r="RVS49" i="79"/>
  <c r="RVR49" i="79"/>
  <c r="RVQ49" i="79"/>
  <c r="RVP49" i="79"/>
  <c r="RVO49" i="79"/>
  <c r="RVN49" i="79"/>
  <c r="RVM49" i="79"/>
  <c r="RVL49" i="79"/>
  <c r="RVK49" i="79"/>
  <c r="RVJ49" i="79"/>
  <c r="RVI49" i="79"/>
  <c r="RVH49" i="79"/>
  <c r="RVG49" i="79"/>
  <c r="RVF49" i="79"/>
  <c r="RVE49" i="79"/>
  <c r="RVD49" i="79"/>
  <c r="RVC49" i="79"/>
  <c r="RVB49" i="79"/>
  <c r="RVA49" i="79"/>
  <c r="RUZ49" i="79"/>
  <c r="RUY49" i="79"/>
  <c r="RUX49" i="79"/>
  <c r="RUW49" i="79"/>
  <c r="RUV49" i="79"/>
  <c r="RUU49" i="79"/>
  <c r="RUT49" i="79"/>
  <c r="RUS49" i="79"/>
  <c r="RUR49" i="79"/>
  <c r="RUQ49" i="79"/>
  <c r="RUP49" i="79"/>
  <c r="RUO49" i="79"/>
  <c r="RUN49" i="79"/>
  <c r="RUM49" i="79"/>
  <c r="RUL49" i="79"/>
  <c r="RUK49" i="79"/>
  <c r="RUJ49" i="79"/>
  <c r="RUI49" i="79"/>
  <c r="RUH49" i="79"/>
  <c r="RUG49" i="79"/>
  <c r="RUF49" i="79"/>
  <c r="RUE49" i="79"/>
  <c r="RUD49" i="79"/>
  <c r="RUC49" i="79"/>
  <c r="RUB49" i="79"/>
  <c r="RUA49" i="79"/>
  <c r="RTZ49" i="79"/>
  <c r="RTY49" i="79"/>
  <c r="RTX49" i="79"/>
  <c r="RTW49" i="79"/>
  <c r="RTV49" i="79"/>
  <c r="RTU49" i="79"/>
  <c r="RTT49" i="79"/>
  <c r="RTS49" i="79"/>
  <c r="RTR49" i="79"/>
  <c r="RTQ49" i="79"/>
  <c r="RTP49" i="79"/>
  <c r="RTO49" i="79"/>
  <c r="RTN49" i="79"/>
  <c r="RTM49" i="79"/>
  <c r="RTL49" i="79"/>
  <c r="RTK49" i="79"/>
  <c r="RTJ49" i="79"/>
  <c r="RTI49" i="79"/>
  <c r="RTH49" i="79"/>
  <c r="RTG49" i="79"/>
  <c r="RTF49" i="79"/>
  <c r="RTE49" i="79"/>
  <c r="RTD49" i="79"/>
  <c r="RTC49" i="79"/>
  <c r="RTB49" i="79"/>
  <c r="RTA49" i="79"/>
  <c r="RSZ49" i="79"/>
  <c r="RSY49" i="79"/>
  <c r="RSX49" i="79"/>
  <c r="RSW49" i="79"/>
  <c r="RSV49" i="79"/>
  <c r="RSU49" i="79"/>
  <c r="RST49" i="79"/>
  <c r="RSS49" i="79"/>
  <c r="RSR49" i="79"/>
  <c r="RSQ49" i="79"/>
  <c r="RSP49" i="79"/>
  <c r="RSO49" i="79"/>
  <c r="RSN49" i="79"/>
  <c r="RSM49" i="79"/>
  <c r="RSL49" i="79"/>
  <c r="RSK49" i="79"/>
  <c r="RSJ49" i="79"/>
  <c r="RSI49" i="79"/>
  <c r="RSH49" i="79"/>
  <c r="RSG49" i="79"/>
  <c r="RSF49" i="79"/>
  <c r="RSE49" i="79"/>
  <c r="RSD49" i="79"/>
  <c r="RSC49" i="79"/>
  <c r="RSB49" i="79"/>
  <c r="RSA49" i="79"/>
  <c r="RRZ49" i="79"/>
  <c r="RRY49" i="79"/>
  <c r="RRX49" i="79"/>
  <c r="RRW49" i="79"/>
  <c r="RRV49" i="79"/>
  <c r="RRU49" i="79"/>
  <c r="RRT49" i="79"/>
  <c r="RRS49" i="79"/>
  <c r="RRR49" i="79"/>
  <c r="RRQ49" i="79"/>
  <c r="RRP49" i="79"/>
  <c r="RRO49" i="79"/>
  <c r="RRN49" i="79"/>
  <c r="RRM49" i="79"/>
  <c r="RRL49" i="79"/>
  <c r="RRK49" i="79"/>
  <c r="RRJ49" i="79"/>
  <c r="RRI49" i="79"/>
  <c r="RRH49" i="79"/>
  <c r="RRG49" i="79"/>
  <c r="RRF49" i="79"/>
  <c r="RRE49" i="79"/>
  <c r="RRD49" i="79"/>
  <c r="RRC49" i="79"/>
  <c r="RRB49" i="79"/>
  <c r="RRA49" i="79"/>
  <c r="RQZ49" i="79"/>
  <c r="RQY49" i="79"/>
  <c r="RQX49" i="79"/>
  <c r="RQW49" i="79"/>
  <c r="RQV49" i="79"/>
  <c r="RQU49" i="79"/>
  <c r="RQT49" i="79"/>
  <c r="RQS49" i="79"/>
  <c r="RQR49" i="79"/>
  <c r="RQQ49" i="79"/>
  <c r="RQP49" i="79"/>
  <c r="RQO49" i="79"/>
  <c r="RQN49" i="79"/>
  <c r="RQM49" i="79"/>
  <c r="RQL49" i="79"/>
  <c r="RQK49" i="79"/>
  <c r="RQJ49" i="79"/>
  <c r="RQI49" i="79"/>
  <c r="RQH49" i="79"/>
  <c r="RQG49" i="79"/>
  <c r="RQF49" i="79"/>
  <c r="RQE49" i="79"/>
  <c r="RQD49" i="79"/>
  <c r="RQC49" i="79"/>
  <c r="RQB49" i="79"/>
  <c r="RQA49" i="79"/>
  <c r="RPZ49" i="79"/>
  <c r="RPY49" i="79"/>
  <c r="RPX49" i="79"/>
  <c r="RPW49" i="79"/>
  <c r="RPV49" i="79"/>
  <c r="RPU49" i="79"/>
  <c r="RPT49" i="79"/>
  <c r="RPS49" i="79"/>
  <c r="RPR49" i="79"/>
  <c r="RPQ49" i="79"/>
  <c r="RPP49" i="79"/>
  <c r="RPO49" i="79"/>
  <c r="RPN49" i="79"/>
  <c r="RPM49" i="79"/>
  <c r="RPL49" i="79"/>
  <c r="RPK49" i="79"/>
  <c r="RPJ49" i="79"/>
  <c r="RPI49" i="79"/>
  <c r="RPH49" i="79"/>
  <c r="RPG49" i="79"/>
  <c r="RPF49" i="79"/>
  <c r="RPE49" i="79"/>
  <c r="RPD49" i="79"/>
  <c r="RPC49" i="79"/>
  <c r="RPB49" i="79"/>
  <c r="RPA49" i="79"/>
  <c r="ROZ49" i="79"/>
  <c r="ROY49" i="79"/>
  <c r="ROX49" i="79"/>
  <c r="ROW49" i="79"/>
  <c r="ROV49" i="79"/>
  <c r="ROU49" i="79"/>
  <c r="ROT49" i="79"/>
  <c r="ROS49" i="79"/>
  <c r="ROR49" i="79"/>
  <c r="ROQ49" i="79"/>
  <c r="ROP49" i="79"/>
  <c r="ROO49" i="79"/>
  <c r="RON49" i="79"/>
  <c r="ROM49" i="79"/>
  <c r="ROL49" i="79"/>
  <c r="ROK49" i="79"/>
  <c r="ROJ49" i="79"/>
  <c r="ROI49" i="79"/>
  <c r="ROH49" i="79"/>
  <c r="ROG49" i="79"/>
  <c r="ROF49" i="79"/>
  <c r="ROE49" i="79"/>
  <c r="ROD49" i="79"/>
  <c r="ROC49" i="79"/>
  <c r="ROB49" i="79"/>
  <c r="ROA49" i="79"/>
  <c r="RNZ49" i="79"/>
  <c r="RNY49" i="79"/>
  <c r="RNX49" i="79"/>
  <c r="RNW49" i="79"/>
  <c r="RNV49" i="79"/>
  <c r="RNU49" i="79"/>
  <c r="RNT49" i="79"/>
  <c r="RNS49" i="79"/>
  <c r="RNR49" i="79"/>
  <c r="RNQ49" i="79"/>
  <c r="RNP49" i="79"/>
  <c r="RNO49" i="79"/>
  <c r="RNN49" i="79"/>
  <c r="RNM49" i="79"/>
  <c r="RNL49" i="79"/>
  <c r="RNK49" i="79"/>
  <c r="RNJ49" i="79"/>
  <c r="RNI49" i="79"/>
  <c r="RNH49" i="79"/>
  <c r="RNG49" i="79"/>
  <c r="RNF49" i="79"/>
  <c r="RNE49" i="79"/>
  <c r="RND49" i="79"/>
  <c r="RNC49" i="79"/>
  <c r="RNB49" i="79"/>
  <c r="RNA49" i="79"/>
  <c r="RMZ49" i="79"/>
  <c r="RMY49" i="79"/>
  <c r="RMX49" i="79"/>
  <c r="RMW49" i="79"/>
  <c r="RMV49" i="79"/>
  <c r="RMU49" i="79"/>
  <c r="RMT49" i="79"/>
  <c r="RMS49" i="79"/>
  <c r="RMR49" i="79"/>
  <c r="RMQ49" i="79"/>
  <c r="RMP49" i="79"/>
  <c r="RMO49" i="79"/>
  <c r="RMN49" i="79"/>
  <c r="RMM49" i="79"/>
  <c r="RML49" i="79"/>
  <c r="RMK49" i="79"/>
  <c r="RMJ49" i="79"/>
  <c r="RMI49" i="79"/>
  <c r="RMH49" i="79"/>
  <c r="RMG49" i="79"/>
  <c r="RMF49" i="79"/>
  <c r="RME49" i="79"/>
  <c r="RMD49" i="79"/>
  <c r="RMC49" i="79"/>
  <c r="RMB49" i="79"/>
  <c r="RMA49" i="79"/>
  <c r="RLZ49" i="79"/>
  <c r="RLY49" i="79"/>
  <c r="RLX49" i="79"/>
  <c r="RLW49" i="79"/>
  <c r="RLV49" i="79"/>
  <c r="RLU49" i="79"/>
  <c r="RLT49" i="79"/>
  <c r="RLS49" i="79"/>
  <c r="RLR49" i="79"/>
  <c r="RLQ49" i="79"/>
  <c r="RLP49" i="79"/>
  <c r="RLO49" i="79"/>
  <c r="RLN49" i="79"/>
  <c r="RLM49" i="79"/>
  <c r="RLL49" i="79"/>
  <c r="RLK49" i="79"/>
  <c r="RLJ49" i="79"/>
  <c r="RLI49" i="79"/>
  <c r="RLH49" i="79"/>
  <c r="RLG49" i="79"/>
  <c r="RLF49" i="79"/>
  <c r="RLE49" i="79"/>
  <c r="RLD49" i="79"/>
  <c r="RLC49" i="79"/>
  <c r="RLB49" i="79"/>
  <c r="RLA49" i="79"/>
  <c r="RKZ49" i="79"/>
  <c r="RKY49" i="79"/>
  <c r="RKX49" i="79"/>
  <c r="RKW49" i="79"/>
  <c r="RKV49" i="79"/>
  <c r="RKU49" i="79"/>
  <c r="RKT49" i="79"/>
  <c r="RKS49" i="79"/>
  <c r="RKR49" i="79"/>
  <c r="RKQ49" i="79"/>
  <c r="RKP49" i="79"/>
  <c r="RKO49" i="79"/>
  <c r="RKN49" i="79"/>
  <c r="RKM49" i="79"/>
  <c r="RKL49" i="79"/>
  <c r="RKK49" i="79"/>
  <c r="RKJ49" i="79"/>
  <c r="RKI49" i="79"/>
  <c r="RKH49" i="79"/>
  <c r="RKG49" i="79"/>
  <c r="RKF49" i="79"/>
  <c r="RKE49" i="79"/>
  <c r="RKD49" i="79"/>
  <c r="RKC49" i="79"/>
  <c r="RKB49" i="79"/>
  <c r="RKA49" i="79"/>
  <c r="RJZ49" i="79"/>
  <c r="RJY49" i="79"/>
  <c r="RJX49" i="79"/>
  <c r="RJW49" i="79"/>
  <c r="RJV49" i="79"/>
  <c r="RJU49" i="79"/>
  <c r="RJT49" i="79"/>
  <c r="RJS49" i="79"/>
  <c r="RJR49" i="79"/>
  <c r="RJQ49" i="79"/>
  <c r="RJP49" i="79"/>
  <c r="RJO49" i="79"/>
  <c r="RJN49" i="79"/>
  <c r="RJM49" i="79"/>
  <c r="RJL49" i="79"/>
  <c r="RJK49" i="79"/>
  <c r="RJJ49" i="79"/>
  <c r="RJI49" i="79"/>
  <c r="RJH49" i="79"/>
  <c r="RJG49" i="79"/>
  <c r="RJF49" i="79"/>
  <c r="RJE49" i="79"/>
  <c r="RJD49" i="79"/>
  <c r="RJC49" i="79"/>
  <c r="RJB49" i="79"/>
  <c r="RJA49" i="79"/>
  <c r="RIZ49" i="79"/>
  <c r="RIY49" i="79"/>
  <c r="RIX49" i="79"/>
  <c r="RIW49" i="79"/>
  <c r="RIV49" i="79"/>
  <c r="RIU49" i="79"/>
  <c r="RIT49" i="79"/>
  <c r="RIS49" i="79"/>
  <c r="RIR49" i="79"/>
  <c r="RIQ49" i="79"/>
  <c r="RIP49" i="79"/>
  <c r="RIO49" i="79"/>
  <c r="RIN49" i="79"/>
  <c r="RIM49" i="79"/>
  <c r="RIL49" i="79"/>
  <c r="RIK49" i="79"/>
  <c r="RIJ49" i="79"/>
  <c r="RII49" i="79"/>
  <c r="RIH49" i="79"/>
  <c r="RIG49" i="79"/>
  <c r="RIF49" i="79"/>
  <c r="RIE49" i="79"/>
  <c r="RID49" i="79"/>
  <c r="RIC49" i="79"/>
  <c r="RIB49" i="79"/>
  <c r="RIA49" i="79"/>
  <c r="RHZ49" i="79"/>
  <c r="RHY49" i="79"/>
  <c r="RHX49" i="79"/>
  <c r="RHW49" i="79"/>
  <c r="RHV49" i="79"/>
  <c r="RHU49" i="79"/>
  <c r="RHT49" i="79"/>
  <c r="RHS49" i="79"/>
  <c r="RHR49" i="79"/>
  <c r="RHQ49" i="79"/>
  <c r="RHP49" i="79"/>
  <c r="RHO49" i="79"/>
  <c r="RHN49" i="79"/>
  <c r="RHM49" i="79"/>
  <c r="RHL49" i="79"/>
  <c r="RHK49" i="79"/>
  <c r="RHJ49" i="79"/>
  <c r="RHI49" i="79"/>
  <c r="RHH49" i="79"/>
  <c r="RHG49" i="79"/>
  <c r="RHF49" i="79"/>
  <c r="RHE49" i="79"/>
  <c r="RHD49" i="79"/>
  <c r="RHC49" i="79"/>
  <c r="RHB49" i="79"/>
  <c r="RHA49" i="79"/>
  <c r="RGZ49" i="79"/>
  <c r="RGY49" i="79"/>
  <c r="RGX49" i="79"/>
  <c r="RGW49" i="79"/>
  <c r="RGV49" i="79"/>
  <c r="RGU49" i="79"/>
  <c r="RGT49" i="79"/>
  <c r="RGS49" i="79"/>
  <c r="RGR49" i="79"/>
  <c r="RGQ49" i="79"/>
  <c r="RGP49" i="79"/>
  <c r="RGO49" i="79"/>
  <c r="RGN49" i="79"/>
  <c r="RGM49" i="79"/>
  <c r="RGL49" i="79"/>
  <c r="RGK49" i="79"/>
  <c r="RGJ49" i="79"/>
  <c r="RGI49" i="79"/>
  <c r="RGH49" i="79"/>
  <c r="RGG49" i="79"/>
  <c r="RGF49" i="79"/>
  <c r="RGE49" i="79"/>
  <c r="RGD49" i="79"/>
  <c r="RGC49" i="79"/>
  <c r="RGB49" i="79"/>
  <c r="RGA49" i="79"/>
  <c r="RFZ49" i="79"/>
  <c r="RFY49" i="79"/>
  <c r="RFX49" i="79"/>
  <c r="RFW49" i="79"/>
  <c r="RFV49" i="79"/>
  <c r="RFU49" i="79"/>
  <c r="RFT49" i="79"/>
  <c r="RFS49" i="79"/>
  <c r="RFR49" i="79"/>
  <c r="RFQ49" i="79"/>
  <c r="RFP49" i="79"/>
  <c r="RFO49" i="79"/>
  <c r="RFN49" i="79"/>
  <c r="RFM49" i="79"/>
  <c r="RFL49" i="79"/>
  <c r="RFK49" i="79"/>
  <c r="RFJ49" i="79"/>
  <c r="RFI49" i="79"/>
  <c r="RFH49" i="79"/>
  <c r="RFG49" i="79"/>
  <c r="RFF49" i="79"/>
  <c r="RFE49" i="79"/>
  <c r="RFD49" i="79"/>
  <c r="RFC49" i="79"/>
  <c r="RFB49" i="79"/>
  <c r="RFA49" i="79"/>
  <c r="REZ49" i="79"/>
  <c r="REY49" i="79"/>
  <c r="REX49" i="79"/>
  <c r="REW49" i="79"/>
  <c r="REV49" i="79"/>
  <c r="REU49" i="79"/>
  <c r="RET49" i="79"/>
  <c r="RES49" i="79"/>
  <c r="RER49" i="79"/>
  <c r="REQ49" i="79"/>
  <c r="REP49" i="79"/>
  <c r="REO49" i="79"/>
  <c r="REN49" i="79"/>
  <c r="REM49" i="79"/>
  <c r="REL49" i="79"/>
  <c r="REK49" i="79"/>
  <c r="REJ49" i="79"/>
  <c r="REI49" i="79"/>
  <c r="REH49" i="79"/>
  <c r="REG49" i="79"/>
  <c r="REF49" i="79"/>
  <c r="REE49" i="79"/>
  <c r="RED49" i="79"/>
  <c r="REC49" i="79"/>
  <c r="REB49" i="79"/>
  <c r="REA49" i="79"/>
  <c r="RDZ49" i="79"/>
  <c r="RDY49" i="79"/>
  <c r="RDX49" i="79"/>
  <c r="RDW49" i="79"/>
  <c r="RDV49" i="79"/>
  <c r="RDU49" i="79"/>
  <c r="RDT49" i="79"/>
  <c r="RDS49" i="79"/>
  <c r="RDR49" i="79"/>
  <c r="RDQ49" i="79"/>
  <c r="RDP49" i="79"/>
  <c r="RDO49" i="79"/>
  <c r="RDN49" i="79"/>
  <c r="RDM49" i="79"/>
  <c r="RDL49" i="79"/>
  <c r="RDK49" i="79"/>
  <c r="RDJ49" i="79"/>
  <c r="RDI49" i="79"/>
  <c r="RDH49" i="79"/>
  <c r="RDG49" i="79"/>
  <c r="RDF49" i="79"/>
  <c r="RDE49" i="79"/>
  <c r="RDD49" i="79"/>
  <c r="RDC49" i="79"/>
  <c r="RDB49" i="79"/>
  <c r="RDA49" i="79"/>
  <c r="RCZ49" i="79"/>
  <c r="RCY49" i="79"/>
  <c r="RCX49" i="79"/>
  <c r="RCW49" i="79"/>
  <c r="RCV49" i="79"/>
  <c r="RCU49" i="79"/>
  <c r="RCT49" i="79"/>
  <c r="RCS49" i="79"/>
  <c r="RCR49" i="79"/>
  <c r="RCQ49" i="79"/>
  <c r="RCP49" i="79"/>
  <c r="RCO49" i="79"/>
  <c r="RCN49" i="79"/>
  <c r="RCM49" i="79"/>
  <c r="RCL49" i="79"/>
  <c r="RCK49" i="79"/>
  <c r="RCJ49" i="79"/>
  <c r="RCI49" i="79"/>
  <c r="RCH49" i="79"/>
  <c r="RCG49" i="79"/>
  <c r="RCF49" i="79"/>
  <c r="RCE49" i="79"/>
  <c r="RCD49" i="79"/>
  <c r="RCC49" i="79"/>
  <c r="RCB49" i="79"/>
  <c r="RCA49" i="79"/>
  <c r="RBZ49" i="79"/>
  <c r="RBY49" i="79"/>
  <c r="RBX49" i="79"/>
  <c r="RBW49" i="79"/>
  <c r="RBV49" i="79"/>
  <c r="RBU49" i="79"/>
  <c r="RBT49" i="79"/>
  <c r="RBS49" i="79"/>
  <c r="RBR49" i="79"/>
  <c r="RBQ49" i="79"/>
  <c r="RBP49" i="79"/>
  <c r="RBO49" i="79"/>
  <c r="RBN49" i="79"/>
  <c r="RBM49" i="79"/>
  <c r="RBL49" i="79"/>
  <c r="RBK49" i="79"/>
  <c r="RBJ49" i="79"/>
  <c r="RBI49" i="79"/>
  <c r="RBH49" i="79"/>
  <c r="RBG49" i="79"/>
  <c r="RBF49" i="79"/>
  <c r="RBE49" i="79"/>
  <c r="RBD49" i="79"/>
  <c r="RBC49" i="79"/>
  <c r="RBB49" i="79"/>
  <c r="RBA49" i="79"/>
  <c r="RAZ49" i="79"/>
  <c r="RAY49" i="79"/>
  <c r="RAX49" i="79"/>
  <c r="RAW49" i="79"/>
  <c r="RAV49" i="79"/>
  <c r="RAU49" i="79"/>
  <c r="RAT49" i="79"/>
  <c r="RAS49" i="79"/>
  <c r="RAR49" i="79"/>
  <c r="RAQ49" i="79"/>
  <c r="RAP49" i="79"/>
  <c r="RAO49" i="79"/>
  <c r="RAN49" i="79"/>
  <c r="RAM49" i="79"/>
  <c r="RAL49" i="79"/>
  <c r="RAK49" i="79"/>
  <c r="RAJ49" i="79"/>
  <c r="RAI49" i="79"/>
  <c r="RAH49" i="79"/>
  <c r="RAG49" i="79"/>
  <c r="RAF49" i="79"/>
  <c r="RAE49" i="79"/>
  <c r="RAD49" i="79"/>
  <c r="RAC49" i="79"/>
  <c r="RAB49" i="79"/>
  <c r="RAA49" i="79"/>
  <c r="QZZ49" i="79"/>
  <c r="QZY49" i="79"/>
  <c r="QZX49" i="79"/>
  <c r="QZW49" i="79"/>
  <c r="QZV49" i="79"/>
  <c r="QZU49" i="79"/>
  <c r="QZT49" i="79"/>
  <c r="QZS49" i="79"/>
  <c r="QZR49" i="79"/>
  <c r="QZQ49" i="79"/>
  <c r="QZP49" i="79"/>
  <c r="QZO49" i="79"/>
  <c r="QZN49" i="79"/>
  <c r="QZM49" i="79"/>
  <c r="QZL49" i="79"/>
  <c r="QZK49" i="79"/>
  <c r="QZJ49" i="79"/>
  <c r="QZI49" i="79"/>
  <c r="QZH49" i="79"/>
  <c r="QZG49" i="79"/>
  <c r="QZF49" i="79"/>
  <c r="QZE49" i="79"/>
  <c r="QZD49" i="79"/>
  <c r="QZC49" i="79"/>
  <c r="QZB49" i="79"/>
  <c r="QZA49" i="79"/>
  <c r="QYZ49" i="79"/>
  <c r="QYY49" i="79"/>
  <c r="QYX49" i="79"/>
  <c r="QYW49" i="79"/>
  <c r="QYV49" i="79"/>
  <c r="QYU49" i="79"/>
  <c r="QYT49" i="79"/>
  <c r="QYS49" i="79"/>
  <c r="QYR49" i="79"/>
  <c r="QYQ49" i="79"/>
  <c r="QYP49" i="79"/>
  <c r="QYO49" i="79"/>
  <c r="QYN49" i="79"/>
  <c r="QYM49" i="79"/>
  <c r="QYL49" i="79"/>
  <c r="QYK49" i="79"/>
  <c r="QYJ49" i="79"/>
  <c r="QYI49" i="79"/>
  <c r="QYH49" i="79"/>
  <c r="QYG49" i="79"/>
  <c r="QYF49" i="79"/>
  <c r="QYE49" i="79"/>
  <c r="QYD49" i="79"/>
  <c r="QYC49" i="79"/>
  <c r="QYB49" i="79"/>
  <c r="QYA49" i="79"/>
  <c r="QXZ49" i="79"/>
  <c r="QXY49" i="79"/>
  <c r="QXX49" i="79"/>
  <c r="QXW49" i="79"/>
  <c r="QXV49" i="79"/>
  <c r="QXU49" i="79"/>
  <c r="QXT49" i="79"/>
  <c r="QXS49" i="79"/>
  <c r="QXR49" i="79"/>
  <c r="QXQ49" i="79"/>
  <c r="QXP49" i="79"/>
  <c r="QXO49" i="79"/>
  <c r="QXN49" i="79"/>
  <c r="QXM49" i="79"/>
  <c r="QXL49" i="79"/>
  <c r="QXK49" i="79"/>
  <c r="QXJ49" i="79"/>
  <c r="QXI49" i="79"/>
  <c r="QXH49" i="79"/>
  <c r="QXG49" i="79"/>
  <c r="QXF49" i="79"/>
  <c r="QXE49" i="79"/>
  <c r="QXD49" i="79"/>
  <c r="QXC49" i="79"/>
  <c r="QXB49" i="79"/>
  <c r="QXA49" i="79"/>
  <c r="QWZ49" i="79"/>
  <c r="QWY49" i="79"/>
  <c r="QWX49" i="79"/>
  <c r="QWW49" i="79"/>
  <c r="QWV49" i="79"/>
  <c r="QWU49" i="79"/>
  <c r="QWT49" i="79"/>
  <c r="QWS49" i="79"/>
  <c r="QWR49" i="79"/>
  <c r="QWQ49" i="79"/>
  <c r="QWP49" i="79"/>
  <c r="QWO49" i="79"/>
  <c r="QWN49" i="79"/>
  <c r="QWM49" i="79"/>
  <c r="QWL49" i="79"/>
  <c r="QWK49" i="79"/>
  <c r="QWJ49" i="79"/>
  <c r="QWI49" i="79"/>
  <c r="QWH49" i="79"/>
  <c r="QWG49" i="79"/>
  <c r="QWF49" i="79"/>
  <c r="QWE49" i="79"/>
  <c r="QWD49" i="79"/>
  <c r="QWC49" i="79"/>
  <c r="QWB49" i="79"/>
  <c r="QWA49" i="79"/>
  <c r="QVZ49" i="79"/>
  <c r="QVY49" i="79"/>
  <c r="QVX49" i="79"/>
  <c r="QVW49" i="79"/>
  <c r="QVV49" i="79"/>
  <c r="QVU49" i="79"/>
  <c r="QVT49" i="79"/>
  <c r="QVS49" i="79"/>
  <c r="QVR49" i="79"/>
  <c r="QVQ49" i="79"/>
  <c r="QVP49" i="79"/>
  <c r="QVO49" i="79"/>
  <c r="QVN49" i="79"/>
  <c r="QVM49" i="79"/>
  <c r="QVL49" i="79"/>
  <c r="QVK49" i="79"/>
  <c r="QVJ49" i="79"/>
  <c r="QVI49" i="79"/>
  <c r="QVH49" i="79"/>
  <c r="QVG49" i="79"/>
  <c r="QVF49" i="79"/>
  <c r="QVE49" i="79"/>
  <c r="QVD49" i="79"/>
  <c r="QVC49" i="79"/>
  <c r="QVB49" i="79"/>
  <c r="QVA49" i="79"/>
  <c r="QUZ49" i="79"/>
  <c r="QUY49" i="79"/>
  <c r="QUX49" i="79"/>
  <c r="QUW49" i="79"/>
  <c r="QUV49" i="79"/>
  <c r="QUU49" i="79"/>
  <c r="QUT49" i="79"/>
  <c r="QUS49" i="79"/>
  <c r="QUR49" i="79"/>
  <c r="QUQ49" i="79"/>
  <c r="QUP49" i="79"/>
  <c r="QUO49" i="79"/>
  <c r="QUN49" i="79"/>
  <c r="QUM49" i="79"/>
  <c r="QUL49" i="79"/>
  <c r="QUK49" i="79"/>
  <c r="QUJ49" i="79"/>
  <c r="QUI49" i="79"/>
  <c r="QUH49" i="79"/>
  <c r="QUG49" i="79"/>
  <c r="QUF49" i="79"/>
  <c r="QUE49" i="79"/>
  <c r="QUD49" i="79"/>
  <c r="QUC49" i="79"/>
  <c r="QUB49" i="79"/>
  <c r="QUA49" i="79"/>
  <c r="QTZ49" i="79"/>
  <c r="QTY49" i="79"/>
  <c r="QTX49" i="79"/>
  <c r="QTW49" i="79"/>
  <c r="QTV49" i="79"/>
  <c r="QTU49" i="79"/>
  <c r="QTT49" i="79"/>
  <c r="QTS49" i="79"/>
  <c r="QTR49" i="79"/>
  <c r="QTQ49" i="79"/>
  <c r="QTP49" i="79"/>
  <c r="QTO49" i="79"/>
  <c r="QTN49" i="79"/>
  <c r="QTM49" i="79"/>
  <c r="QTL49" i="79"/>
  <c r="QTK49" i="79"/>
  <c r="QTJ49" i="79"/>
  <c r="QTI49" i="79"/>
  <c r="QTH49" i="79"/>
  <c r="QTG49" i="79"/>
  <c r="QTF49" i="79"/>
  <c r="QTE49" i="79"/>
  <c r="QTD49" i="79"/>
  <c r="QTC49" i="79"/>
  <c r="QTB49" i="79"/>
  <c r="QTA49" i="79"/>
  <c r="QSZ49" i="79"/>
  <c r="QSY49" i="79"/>
  <c r="QSX49" i="79"/>
  <c r="QSW49" i="79"/>
  <c r="QSV49" i="79"/>
  <c r="QSU49" i="79"/>
  <c r="QST49" i="79"/>
  <c r="QSS49" i="79"/>
  <c r="QSR49" i="79"/>
  <c r="QSQ49" i="79"/>
  <c r="QSP49" i="79"/>
  <c r="QSO49" i="79"/>
  <c r="QSN49" i="79"/>
  <c r="QSM49" i="79"/>
  <c r="QSL49" i="79"/>
  <c r="QSK49" i="79"/>
  <c r="QSJ49" i="79"/>
  <c r="QSI49" i="79"/>
  <c r="QSH49" i="79"/>
  <c r="QSG49" i="79"/>
  <c r="QSF49" i="79"/>
  <c r="QSE49" i="79"/>
  <c r="QSD49" i="79"/>
  <c r="QSC49" i="79"/>
  <c r="QSB49" i="79"/>
  <c r="QSA49" i="79"/>
  <c r="QRZ49" i="79"/>
  <c r="QRY49" i="79"/>
  <c r="QRX49" i="79"/>
  <c r="QRW49" i="79"/>
  <c r="QRV49" i="79"/>
  <c r="QRU49" i="79"/>
  <c r="QRT49" i="79"/>
  <c r="QRS49" i="79"/>
  <c r="QRR49" i="79"/>
  <c r="QRQ49" i="79"/>
  <c r="QRP49" i="79"/>
  <c r="QRO49" i="79"/>
  <c r="QRN49" i="79"/>
  <c r="QRM49" i="79"/>
  <c r="QRL49" i="79"/>
  <c r="QRK49" i="79"/>
  <c r="QRJ49" i="79"/>
  <c r="QRI49" i="79"/>
  <c r="QRH49" i="79"/>
  <c r="QRG49" i="79"/>
  <c r="QRF49" i="79"/>
  <c r="QRE49" i="79"/>
  <c r="QRD49" i="79"/>
  <c r="QRC49" i="79"/>
  <c r="QRB49" i="79"/>
  <c r="QRA49" i="79"/>
  <c r="QQZ49" i="79"/>
  <c r="QQY49" i="79"/>
  <c r="QQX49" i="79"/>
  <c r="QQW49" i="79"/>
  <c r="QQV49" i="79"/>
  <c r="QQU49" i="79"/>
  <c r="QQT49" i="79"/>
  <c r="QQS49" i="79"/>
  <c r="QQR49" i="79"/>
  <c r="QQQ49" i="79"/>
  <c r="QQP49" i="79"/>
  <c r="QQO49" i="79"/>
  <c r="QQN49" i="79"/>
  <c r="QQM49" i="79"/>
  <c r="QQL49" i="79"/>
  <c r="QQK49" i="79"/>
  <c r="QQJ49" i="79"/>
  <c r="QQI49" i="79"/>
  <c r="QQH49" i="79"/>
  <c r="QQG49" i="79"/>
  <c r="QQF49" i="79"/>
  <c r="QQE49" i="79"/>
  <c r="QQD49" i="79"/>
  <c r="QQC49" i="79"/>
  <c r="QQB49" i="79"/>
  <c r="QQA49" i="79"/>
  <c r="QPZ49" i="79"/>
  <c r="QPY49" i="79"/>
  <c r="QPX49" i="79"/>
  <c r="QPW49" i="79"/>
  <c r="QPV49" i="79"/>
  <c r="QPU49" i="79"/>
  <c r="QPT49" i="79"/>
  <c r="QPS49" i="79"/>
  <c r="QPR49" i="79"/>
  <c r="QPQ49" i="79"/>
  <c r="QPP49" i="79"/>
  <c r="QPO49" i="79"/>
  <c r="QPN49" i="79"/>
  <c r="QPM49" i="79"/>
  <c r="QPL49" i="79"/>
  <c r="QPK49" i="79"/>
  <c r="QPJ49" i="79"/>
  <c r="QPI49" i="79"/>
  <c r="QPH49" i="79"/>
  <c r="QPG49" i="79"/>
  <c r="QPF49" i="79"/>
  <c r="QPE49" i="79"/>
  <c r="QPD49" i="79"/>
  <c r="QPC49" i="79"/>
  <c r="QPB49" i="79"/>
  <c r="QPA49" i="79"/>
  <c r="QOZ49" i="79"/>
  <c r="QOY49" i="79"/>
  <c r="QOX49" i="79"/>
  <c r="QOW49" i="79"/>
  <c r="QOV49" i="79"/>
  <c r="QOU49" i="79"/>
  <c r="QOT49" i="79"/>
  <c r="QOS49" i="79"/>
  <c r="QOR49" i="79"/>
  <c r="QOQ49" i="79"/>
  <c r="QOP49" i="79"/>
  <c r="QOO49" i="79"/>
  <c r="QON49" i="79"/>
  <c r="QOM49" i="79"/>
  <c r="QOL49" i="79"/>
  <c r="QOK49" i="79"/>
  <c r="QOJ49" i="79"/>
  <c r="QOI49" i="79"/>
  <c r="QOH49" i="79"/>
  <c r="QOG49" i="79"/>
  <c r="QOF49" i="79"/>
  <c r="QOE49" i="79"/>
  <c r="QOD49" i="79"/>
  <c r="QOC49" i="79"/>
  <c r="QOB49" i="79"/>
  <c r="QOA49" i="79"/>
  <c r="QNZ49" i="79"/>
  <c r="QNY49" i="79"/>
  <c r="QNX49" i="79"/>
  <c r="QNW49" i="79"/>
  <c r="QNV49" i="79"/>
  <c r="QNU49" i="79"/>
  <c r="QNT49" i="79"/>
  <c r="QNS49" i="79"/>
  <c r="QNR49" i="79"/>
  <c r="QNQ49" i="79"/>
  <c r="QNP49" i="79"/>
  <c r="QNO49" i="79"/>
  <c r="QNN49" i="79"/>
  <c r="QNM49" i="79"/>
  <c r="QNL49" i="79"/>
  <c r="QNK49" i="79"/>
  <c r="QNJ49" i="79"/>
  <c r="QNI49" i="79"/>
  <c r="QNH49" i="79"/>
  <c r="QNG49" i="79"/>
  <c r="QNF49" i="79"/>
  <c r="QNE49" i="79"/>
  <c r="QND49" i="79"/>
  <c r="QNC49" i="79"/>
  <c r="QNB49" i="79"/>
  <c r="QNA49" i="79"/>
  <c r="QMZ49" i="79"/>
  <c r="QMY49" i="79"/>
  <c r="QMX49" i="79"/>
  <c r="QMW49" i="79"/>
  <c r="QMV49" i="79"/>
  <c r="QMU49" i="79"/>
  <c r="QMT49" i="79"/>
  <c r="QMS49" i="79"/>
  <c r="QMR49" i="79"/>
  <c r="QMQ49" i="79"/>
  <c r="QMP49" i="79"/>
  <c r="QMO49" i="79"/>
  <c r="QMN49" i="79"/>
  <c r="QMM49" i="79"/>
  <c r="QML49" i="79"/>
  <c r="QMK49" i="79"/>
  <c r="QMJ49" i="79"/>
  <c r="QMI49" i="79"/>
  <c r="QMH49" i="79"/>
  <c r="QMG49" i="79"/>
  <c r="QMF49" i="79"/>
  <c r="QME49" i="79"/>
  <c r="QMD49" i="79"/>
  <c r="QMC49" i="79"/>
  <c r="QMB49" i="79"/>
  <c r="QMA49" i="79"/>
  <c r="QLZ49" i="79"/>
  <c r="QLY49" i="79"/>
  <c r="QLX49" i="79"/>
  <c r="QLW49" i="79"/>
  <c r="QLV49" i="79"/>
  <c r="QLU49" i="79"/>
  <c r="QLT49" i="79"/>
  <c r="QLS49" i="79"/>
  <c r="QLR49" i="79"/>
  <c r="QLQ49" i="79"/>
  <c r="QLP49" i="79"/>
  <c r="QLO49" i="79"/>
  <c r="QLN49" i="79"/>
  <c r="QLM49" i="79"/>
  <c r="QLL49" i="79"/>
  <c r="QLK49" i="79"/>
  <c r="QLJ49" i="79"/>
  <c r="QLI49" i="79"/>
  <c r="QLH49" i="79"/>
  <c r="QLG49" i="79"/>
  <c r="QLF49" i="79"/>
  <c r="QLE49" i="79"/>
  <c r="QLD49" i="79"/>
  <c r="QLC49" i="79"/>
  <c r="QLB49" i="79"/>
  <c r="QLA49" i="79"/>
  <c r="QKZ49" i="79"/>
  <c r="QKY49" i="79"/>
  <c r="QKX49" i="79"/>
  <c r="QKW49" i="79"/>
  <c r="QKV49" i="79"/>
  <c r="QKU49" i="79"/>
  <c r="QKT49" i="79"/>
  <c r="QKS49" i="79"/>
  <c r="QKR49" i="79"/>
  <c r="QKQ49" i="79"/>
  <c r="QKP49" i="79"/>
  <c r="QKO49" i="79"/>
  <c r="QKN49" i="79"/>
  <c r="QKM49" i="79"/>
  <c r="QKL49" i="79"/>
  <c r="QKK49" i="79"/>
  <c r="QKJ49" i="79"/>
  <c r="QKI49" i="79"/>
  <c r="QKH49" i="79"/>
  <c r="QKG49" i="79"/>
  <c r="QKF49" i="79"/>
  <c r="QKE49" i="79"/>
  <c r="QKD49" i="79"/>
  <c r="QKC49" i="79"/>
  <c r="QKB49" i="79"/>
  <c r="QKA49" i="79"/>
  <c r="QJZ49" i="79"/>
  <c r="QJY49" i="79"/>
  <c r="QJX49" i="79"/>
  <c r="QJW49" i="79"/>
  <c r="QJV49" i="79"/>
  <c r="QJU49" i="79"/>
  <c r="QJT49" i="79"/>
  <c r="QJS49" i="79"/>
  <c r="QJR49" i="79"/>
  <c r="QJQ49" i="79"/>
  <c r="QJP49" i="79"/>
  <c r="QJO49" i="79"/>
  <c r="QJN49" i="79"/>
  <c r="QJM49" i="79"/>
  <c r="QJL49" i="79"/>
  <c r="QJK49" i="79"/>
  <c r="QJJ49" i="79"/>
  <c r="QJI49" i="79"/>
  <c r="QJH49" i="79"/>
  <c r="QJG49" i="79"/>
  <c r="QJF49" i="79"/>
  <c r="QJE49" i="79"/>
  <c r="QJD49" i="79"/>
  <c r="QJC49" i="79"/>
  <c r="QJB49" i="79"/>
  <c r="QJA49" i="79"/>
  <c r="QIZ49" i="79"/>
  <c r="QIY49" i="79"/>
  <c r="QIX49" i="79"/>
  <c r="QIW49" i="79"/>
  <c r="QIV49" i="79"/>
  <c r="QIU49" i="79"/>
  <c r="QIT49" i="79"/>
  <c r="QIS49" i="79"/>
  <c r="QIR49" i="79"/>
  <c r="QIQ49" i="79"/>
  <c r="QIP49" i="79"/>
  <c r="QIO49" i="79"/>
  <c r="QIN49" i="79"/>
  <c r="QIM49" i="79"/>
  <c r="QIL49" i="79"/>
  <c r="QIK49" i="79"/>
  <c r="QIJ49" i="79"/>
  <c r="QII49" i="79"/>
  <c r="QIH49" i="79"/>
  <c r="QIG49" i="79"/>
  <c r="QIF49" i="79"/>
  <c r="QIE49" i="79"/>
  <c r="QID49" i="79"/>
  <c r="QIC49" i="79"/>
  <c r="QIB49" i="79"/>
  <c r="QIA49" i="79"/>
  <c r="QHZ49" i="79"/>
  <c r="QHY49" i="79"/>
  <c r="QHX49" i="79"/>
  <c r="QHW49" i="79"/>
  <c r="QHV49" i="79"/>
  <c r="QHU49" i="79"/>
  <c r="QHT49" i="79"/>
  <c r="QHS49" i="79"/>
  <c r="QHR49" i="79"/>
  <c r="QHQ49" i="79"/>
  <c r="QHP49" i="79"/>
  <c r="QHO49" i="79"/>
  <c r="QHN49" i="79"/>
  <c r="QHM49" i="79"/>
  <c r="QHL49" i="79"/>
  <c r="QHK49" i="79"/>
  <c r="QHJ49" i="79"/>
  <c r="QHI49" i="79"/>
  <c r="QHH49" i="79"/>
  <c r="QHG49" i="79"/>
  <c r="QHF49" i="79"/>
  <c r="QHE49" i="79"/>
  <c r="QHD49" i="79"/>
  <c r="QHC49" i="79"/>
  <c r="QHB49" i="79"/>
  <c r="QHA49" i="79"/>
  <c r="QGZ49" i="79"/>
  <c r="QGY49" i="79"/>
  <c r="QGX49" i="79"/>
  <c r="QGW49" i="79"/>
  <c r="QGV49" i="79"/>
  <c r="QGU49" i="79"/>
  <c r="QGT49" i="79"/>
  <c r="QGS49" i="79"/>
  <c r="QGR49" i="79"/>
  <c r="QGQ49" i="79"/>
  <c r="QGP49" i="79"/>
  <c r="QGO49" i="79"/>
  <c r="QGN49" i="79"/>
  <c r="QGM49" i="79"/>
  <c r="QGL49" i="79"/>
  <c r="QGK49" i="79"/>
  <c r="QGJ49" i="79"/>
  <c r="QGI49" i="79"/>
  <c r="QGH49" i="79"/>
  <c r="QGG49" i="79"/>
  <c r="QGF49" i="79"/>
  <c r="QGE49" i="79"/>
  <c r="QGD49" i="79"/>
  <c r="QGC49" i="79"/>
  <c r="QGB49" i="79"/>
  <c r="QGA49" i="79"/>
  <c r="QFZ49" i="79"/>
  <c r="QFY49" i="79"/>
  <c r="QFX49" i="79"/>
  <c r="QFW49" i="79"/>
  <c r="QFV49" i="79"/>
  <c r="QFU49" i="79"/>
  <c r="QFT49" i="79"/>
  <c r="QFS49" i="79"/>
  <c r="QFR49" i="79"/>
  <c r="QFQ49" i="79"/>
  <c r="QFP49" i="79"/>
  <c r="QFO49" i="79"/>
  <c r="QFN49" i="79"/>
  <c r="QFM49" i="79"/>
  <c r="QFL49" i="79"/>
  <c r="QFK49" i="79"/>
  <c r="QFJ49" i="79"/>
  <c r="QFI49" i="79"/>
  <c r="QFH49" i="79"/>
  <c r="QFG49" i="79"/>
  <c r="QFF49" i="79"/>
  <c r="QFE49" i="79"/>
  <c r="QFD49" i="79"/>
  <c r="QFC49" i="79"/>
  <c r="QFB49" i="79"/>
  <c r="QFA49" i="79"/>
  <c r="QEZ49" i="79"/>
  <c r="QEY49" i="79"/>
  <c r="QEX49" i="79"/>
  <c r="QEW49" i="79"/>
  <c r="QEV49" i="79"/>
  <c r="QEU49" i="79"/>
  <c r="QET49" i="79"/>
  <c r="QES49" i="79"/>
  <c r="QER49" i="79"/>
  <c r="QEQ49" i="79"/>
  <c r="QEP49" i="79"/>
  <c r="QEO49" i="79"/>
  <c r="QEN49" i="79"/>
  <c r="QEM49" i="79"/>
  <c r="QEL49" i="79"/>
  <c r="QEK49" i="79"/>
  <c r="QEJ49" i="79"/>
  <c r="QEI49" i="79"/>
  <c r="QEH49" i="79"/>
  <c r="QEG49" i="79"/>
  <c r="QEF49" i="79"/>
  <c r="QEE49" i="79"/>
  <c r="QED49" i="79"/>
  <c r="QEC49" i="79"/>
  <c r="QEB49" i="79"/>
  <c r="QEA49" i="79"/>
  <c r="QDZ49" i="79"/>
  <c r="QDY49" i="79"/>
  <c r="QDX49" i="79"/>
  <c r="QDW49" i="79"/>
  <c r="QDV49" i="79"/>
  <c r="QDU49" i="79"/>
  <c r="QDT49" i="79"/>
  <c r="QDS49" i="79"/>
  <c r="QDR49" i="79"/>
  <c r="QDQ49" i="79"/>
  <c r="QDP49" i="79"/>
  <c r="QDO49" i="79"/>
  <c r="QDN49" i="79"/>
  <c r="QDM49" i="79"/>
  <c r="QDL49" i="79"/>
  <c r="QDK49" i="79"/>
  <c r="QDJ49" i="79"/>
  <c r="QDI49" i="79"/>
  <c r="QDH49" i="79"/>
  <c r="QDG49" i="79"/>
  <c r="QDF49" i="79"/>
  <c r="QDE49" i="79"/>
  <c r="QDD49" i="79"/>
  <c r="QDC49" i="79"/>
  <c r="QDB49" i="79"/>
  <c r="QDA49" i="79"/>
  <c r="QCZ49" i="79"/>
  <c r="QCY49" i="79"/>
  <c r="QCX49" i="79"/>
  <c r="QCW49" i="79"/>
  <c r="QCV49" i="79"/>
  <c r="QCU49" i="79"/>
  <c r="QCT49" i="79"/>
  <c r="QCS49" i="79"/>
  <c r="QCR49" i="79"/>
  <c r="QCQ49" i="79"/>
  <c r="QCP49" i="79"/>
  <c r="QCO49" i="79"/>
  <c r="QCN49" i="79"/>
  <c r="QCM49" i="79"/>
  <c r="QCL49" i="79"/>
  <c r="QCK49" i="79"/>
  <c r="QCJ49" i="79"/>
  <c r="QCI49" i="79"/>
  <c r="QCH49" i="79"/>
  <c r="QCG49" i="79"/>
  <c r="QCF49" i="79"/>
  <c r="QCE49" i="79"/>
  <c r="QCD49" i="79"/>
  <c r="QCC49" i="79"/>
  <c r="QCB49" i="79"/>
  <c r="QCA49" i="79"/>
  <c r="QBZ49" i="79"/>
  <c r="QBY49" i="79"/>
  <c r="QBX49" i="79"/>
  <c r="QBW49" i="79"/>
  <c r="QBV49" i="79"/>
  <c r="QBU49" i="79"/>
  <c r="QBT49" i="79"/>
  <c r="QBS49" i="79"/>
  <c r="QBR49" i="79"/>
  <c r="QBQ49" i="79"/>
  <c r="QBP49" i="79"/>
  <c r="QBO49" i="79"/>
  <c r="QBN49" i="79"/>
  <c r="QBM49" i="79"/>
  <c r="QBL49" i="79"/>
  <c r="QBK49" i="79"/>
  <c r="QBJ49" i="79"/>
  <c r="QBI49" i="79"/>
  <c r="QBH49" i="79"/>
  <c r="QBG49" i="79"/>
  <c r="QBF49" i="79"/>
  <c r="QBE49" i="79"/>
  <c r="QBD49" i="79"/>
  <c r="QBC49" i="79"/>
  <c r="QBB49" i="79"/>
  <c r="QBA49" i="79"/>
  <c r="QAZ49" i="79"/>
  <c r="QAY49" i="79"/>
  <c r="QAX49" i="79"/>
  <c r="QAW49" i="79"/>
  <c r="QAV49" i="79"/>
  <c r="QAU49" i="79"/>
  <c r="QAT49" i="79"/>
  <c r="QAS49" i="79"/>
  <c r="QAR49" i="79"/>
  <c r="QAQ49" i="79"/>
  <c r="QAP49" i="79"/>
  <c r="QAO49" i="79"/>
  <c r="QAN49" i="79"/>
  <c r="QAM49" i="79"/>
  <c r="QAL49" i="79"/>
  <c r="QAK49" i="79"/>
  <c r="QAJ49" i="79"/>
  <c r="QAI49" i="79"/>
  <c r="QAH49" i="79"/>
  <c r="QAG49" i="79"/>
  <c r="QAF49" i="79"/>
  <c r="QAE49" i="79"/>
  <c r="QAD49" i="79"/>
  <c r="QAC49" i="79"/>
  <c r="QAB49" i="79"/>
  <c r="QAA49" i="79"/>
  <c r="PZZ49" i="79"/>
  <c r="PZY49" i="79"/>
  <c r="PZX49" i="79"/>
  <c r="PZW49" i="79"/>
  <c r="PZV49" i="79"/>
  <c r="PZU49" i="79"/>
  <c r="PZT49" i="79"/>
  <c r="PZS49" i="79"/>
  <c r="PZR49" i="79"/>
  <c r="PZQ49" i="79"/>
  <c r="PZP49" i="79"/>
  <c r="PZO49" i="79"/>
  <c r="PZN49" i="79"/>
  <c r="PZM49" i="79"/>
  <c r="PZL49" i="79"/>
  <c r="PZK49" i="79"/>
  <c r="PZJ49" i="79"/>
  <c r="PZI49" i="79"/>
  <c r="PZH49" i="79"/>
  <c r="PZG49" i="79"/>
  <c r="PZF49" i="79"/>
  <c r="PZE49" i="79"/>
  <c r="PZD49" i="79"/>
  <c r="PZC49" i="79"/>
  <c r="PZB49" i="79"/>
  <c r="PZA49" i="79"/>
  <c r="PYZ49" i="79"/>
  <c r="PYY49" i="79"/>
  <c r="PYX49" i="79"/>
  <c r="PYW49" i="79"/>
  <c r="PYV49" i="79"/>
  <c r="PYU49" i="79"/>
  <c r="PYT49" i="79"/>
  <c r="PYS49" i="79"/>
  <c r="PYR49" i="79"/>
  <c r="PYQ49" i="79"/>
  <c r="PYP49" i="79"/>
  <c r="PYO49" i="79"/>
  <c r="PYN49" i="79"/>
  <c r="PYM49" i="79"/>
  <c r="PYL49" i="79"/>
  <c r="PYK49" i="79"/>
  <c r="PYJ49" i="79"/>
  <c r="PYI49" i="79"/>
  <c r="PYH49" i="79"/>
  <c r="PYG49" i="79"/>
  <c r="PYF49" i="79"/>
  <c r="PYE49" i="79"/>
  <c r="PYD49" i="79"/>
  <c r="PYC49" i="79"/>
  <c r="PYB49" i="79"/>
  <c r="PYA49" i="79"/>
  <c r="PXZ49" i="79"/>
  <c r="PXY49" i="79"/>
  <c r="PXX49" i="79"/>
  <c r="PXW49" i="79"/>
  <c r="PXV49" i="79"/>
  <c r="PXU49" i="79"/>
  <c r="PXT49" i="79"/>
  <c r="PXS49" i="79"/>
  <c r="PXR49" i="79"/>
  <c r="PXQ49" i="79"/>
  <c r="PXP49" i="79"/>
  <c r="PXO49" i="79"/>
  <c r="PXN49" i="79"/>
  <c r="PXM49" i="79"/>
  <c r="PXL49" i="79"/>
  <c r="PXK49" i="79"/>
  <c r="PXJ49" i="79"/>
  <c r="PXI49" i="79"/>
  <c r="PXH49" i="79"/>
  <c r="PXG49" i="79"/>
  <c r="PXF49" i="79"/>
  <c r="PXE49" i="79"/>
  <c r="PXD49" i="79"/>
  <c r="PXC49" i="79"/>
  <c r="PXB49" i="79"/>
  <c r="PXA49" i="79"/>
  <c r="PWZ49" i="79"/>
  <c r="PWY49" i="79"/>
  <c r="PWX49" i="79"/>
  <c r="PWW49" i="79"/>
  <c r="PWV49" i="79"/>
  <c r="PWU49" i="79"/>
  <c r="PWT49" i="79"/>
  <c r="PWS49" i="79"/>
  <c r="PWR49" i="79"/>
  <c r="PWQ49" i="79"/>
  <c r="PWP49" i="79"/>
  <c r="PWO49" i="79"/>
  <c r="PWN49" i="79"/>
  <c r="PWM49" i="79"/>
  <c r="PWL49" i="79"/>
  <c r="PWK49" i="79"/>
  <c r="PWJ49" i="79"/>
  <c r="PWI49" i="79"/>
  <c r="PWH49" i="79"/>
  <c r="PWG49" i="79"/>
  <c r="PWF49" i="79"/>
  <c r="PWE49" i="79"/>
  <c r="PWD49" i="79"/>
  <c r="PWC49" i="79"/>
  <c r="PWB49" i="79"/>
  <c r="PWA49" i="79"/>
  <c r="PVZ49" i="79"/>
  <c r="PVY49" i="79"/>
  <c r="PVX49" i="79"/>
  <c r="PVW49" i="79"/>
  <c r="PVV49" i="79"/>
  <c r="PVU49" i="79"/>
  <c r="PVT49" i="79"/>
  <c r="PVS49" i="79"/>
  <c r="PVR49" i="79"/>
  <c r="PVQ49" i="79"/>
  <c r="PVP49" i="79"/>
  <c r="PVO49" i="79"/>
  <c r="PVN49" i="79"/>
  <c r="PVM49" i="79"/>
  <c r="PVL49" i="79"/>
  <c r="PVK49" i="79"/>
  <c r="PVJ49" i="79"/>
  <c r="PVI49" i="79"/>
  <c r="PVH49" i="79"/>
  <c r="PVG49" i="79"/>
  <c r="PVF49" i="79"/>
  <c r="PVE49" i="79"/>
  <c r="PVD49" i="79"/>
  <c r="PVC49" i="79"/>
  <c r="PVB49" i="79"/>
  <c r="PVA49" i="79"/>
  <c r="PUZ49" i="79"/>
  <c r="PUY49" i="79"/>
  <c r="PUX49" i="79"/>
  <c r="PUW49" i="79"/>
  <c r="PUV49" i="79"/>
  <c r="PUU49" i="79"/>
  <c r="PUT49" i="79"/>
  <c r="PUS49" i="79"/>
  <c r="PUR49" i="79"/>
  <c r="PUQ49" i="79"/>
  <c r="PUP49" i="79"/>
  <c r="PUO49" i="79"/>
  <c r="PUN49" i="79"/>
  <c r="PUM49" i="79"/>
  <c r="PUL49" i="79"/>
  <c r="PUK49" i="79"/>
  <c r="PUJ49" i="79"/>
  <c r="PUI49" i="79"/>
  <c r="PUH49" i="79"/>
  <c r="PUG49" i="79"/>
  <c r="PUF49" i="79"/>
  <c r="PUE49" i="79"/>
  <c r="PUD49" i="79"/>
  <c r="PUC49" i="79"/>
  <c r="PUB49" i="79"/>
  <c r="PUA49" i="79"/>
  <c r="PTZ49" i="79"/>
  <c r="PTY49" i="79"/>
  <c r="PTX49" i="79"/>
  <c r="PTW49" i="79"/>
  <c r="PTV49" i="79"/>
  <c r="PTU49" i="79"/>
  <c r="PTT49" i="79"/>
  <c r="PTS49" i="79"/>
  <c r="PTR49" i="79"/>
  <c r="PTQ49" i="79"/>
  <c r="PTP49" i="79"/>
  <c r="PTO49" i="79"/>
  <c r="PTN49" i="79"/>
  <c r="PTM49" i="79"/>
  <c r="PTL49" i="79"/>
  <c r="PTK49" i="79"/>
  <c r="PTJ49" i="79"/>
  <c r="PTI49" i="79"/>
  <c r="PTH49" i="79"/>
  <c r="PTG49" i="79"/>
  <c r="PTF49" i="79"/>
  <c r="PTE49" i="79"/>
  <c r="PTD49" i="79"/>
  <c r="PTC49" i="79"/>
  <c r="PTB49" i="79"/>
  <c r="PTA49" i="79"/>
  <c r="PSZ49" i="79"/>
  <c r="PSY49" i="79"/>
  <c r="PSX49" i="79"/>
  <c r="PSW49" i="79"/>
  <c r="PSV49" i="79"/>
  <c r="PSU49" i="79"/>
  <c r="PST49" i="79"/>
  <c r="PSS49" i="79"/>
  <c r="PSR49" i="79"/>
  <c r="PSQ49" i="79"/>
  <c r="PSP49" i="79"/>
  <c r="PSO49" i="79"/>
  <c r="PSN49" i="79"/>
  <c r="PSM49" i="79"/>
  <c r="PSL49" i="79"/>
  <c r="PSK49" i="79"/>
  <c r="PSJ49" i="79"/>
  <c r="PSI49" i="79"/>
  <c r="PSH49" i="79"/>
  <c r="PSG49" i="79"/>
  <c r="PSF49" i="79"/>
  <c r="PSE49" i="79"/>
  <c r="PSD49" i="79"/>
  <c r="PSC49" i="79"/>
  <c r="PSB49" i="79"/>
  <c r="PSA49" i="79"/>
  <c r="PRZ49" i="79"/>
  <c r="PRY49" i="79"/>
  <c r="PRX49" i="79"/>
  <c r="PRW49" i="79"/>
  <c r="PRV49" i="79"/>
  <c r="PRU49" i="79"/>
  <c r="PRT49" i="79"/>
  <c r="PRS49" i="79"/>
  <c r="PRR49" i="79"/>
  <c r="PRQ49" i="79"/>
  <c r="PRP49" i="79"/>
  <c r="PRO49" i="79"/>
  <c r="PRN49" i="79"/>
  <c r="PRM49" i="79"/>
  <c r="PRL49" i="79"/>
  <c r="PRK49" i="79"/>
  <c r="PRJ49" i="79"/>
  <c r="PRI49" i="79"/>
  <c r="PRH49" i="79"/>
  <c r="PRG49" i="79"/>
  <c r="PRF49" i="79"/>
  <c r="PRE49" i="79"/>
  <c r="PRD49" i="79"/>
  <c r="PRC49" i="79"/>
  <c r="PRB49" i="79"/>
  <c r="PRA49" i="79"/>
  <c r="PQZ49" i="79"/>
  <c r="PQY49" i="79"/>
  <c r="PQX49" i="79"/>
  <c r="PQW49" i="79"/>
  <c r="PQV49" i="79"/>
  <c r="PQU49" i="79"/>
  <c r="PQT49" i="79"/>
  <c r="PQS49" i="79"/>
  <c r="PQR49" i="79"/>
  <c r="PQQ49" i="79"/>
  <c r="PQP49" i="79"/>
  <c r="PQO49" i="79"/>
  <c r="PQN49" i="79"/>
  <c r="PQM49" i="79"/>
  <c r="PQL49" i="79"/>
  <c r="PQK49" i="79"/>
  <c r="PQJ49" i="79"/>
  <c r="PQI49" i="79"/>
  <c r="PQH49" i="79"/>
  <c r="PQG49" i="79"/>
  <c r="PQF49" i="79"/>
  <c r="PQE49" i="79"/>
  <c r="PQD49" i="79"/>
  <c r="PQC49" i="79"/>
  <c r="PQB49" i="79"/>
  <c r="PQA49" i="79"/>
  <c r="PPZ49" i="79"/>
  <c r="PPY49" i="79"/>
  <c r="PPX49" i="79"/>
  <c r="PPW49" i="79"/>
  <c r="PPV49" i="79"/>
  <c r="PPU49" i="79"/>
  <c r="PPT49" i="79"/>
  <c r="PPS49" i="79"/>
  <c r="PPR49" i="79"/>
  <c r="PPQ49" i="79"/>
  <c r="PPP49" i="79"/>
  <c r="PPO49" i="79"/>
  <c r="PPN49" i="79"/>
  <c r="PPM49" i="79"/>
  <c r="PPL49" i="79"/>
  <c r="PPK49" i="79"/>
  <c r="PPJ49" i="79"/>
  <c r="PPI49" i="79"/>
  <c r="PPH49" i="79"/>
  <c r="PPG49" i="79"/>
  <c r="PPF49" i="79"/>
  <c r="PPE49" i="79"/>
  <c r="PPD49" i="79"/>
  <c r="PPC49" i="79"/>
  <c r="PPB49" i="79"/>
  <c r="PPA49" i="79"/>
  <c r="POZ49" i="79"/>
  <c r="POY49" i="79"/>
  <c r="POX49" i="79"/>
  <c r="POW49" i="79"/>
  <c r="POV49" i="79"/>
  <c r="POU49" i="79"/>
  <c r="POT49" i="79"/>
  <c r="POS49" i="79"/>
  <c r="POR49" i="79"/>
  <c r="POQ49" i="79"/>
  <c r="POP49" i="79"/>
  <c r="POO49" i="79"/>
  <c r="PON49" i="79"/>
  <c r="POM49" i="79"/>
  <c r="POL49" i="79"/>
  <c r="POK49" i="79"/>
  <c r="POJ49" i="79"/>
  <c r="POI49" i="79"/>
  <c r="POH49" i="79"/>
  <c r="POG49" i="79"/>
  <c r="POF49" i="79"/>
  <c r="POE49" i="79"/>
  <c r="POD49" i="79"/>
  <c r="POC49" i="79"/>
  <c r="POB49" i="79"/>
  <c r="POA49" i="79"/>
  <c r="PNZ49" i="79"/>
  <c r="PNY49" i="79"/>
  <c r="PNX49" i="79"/>
  <c r="PNW49" i="79"/>
  <c r="PNV49" i="79"/>
  <c r="PNU49" i="79"/>
  <c r="PNT49" i="79"/>
  <c r="PNS49" i="79"/>
  <c r="PNR49" i="79"/>
  <c r="PNQ49" i="79"/>
  <c r="PNP49" i="79"/>
  <c r="PNO49" i="79"/>
  <c r="PNN49" i="79"/>
  <c r="PNM49" i="79"/>
  <c r="PNL49" i="79"/>
  <c r="PNK49" i="79"/>
  <c r="PNJ49" i="79"/>
  <c r="PNI49" i="79"/>
  <c r="PNH49" i="79"/>
  <c r="PNG49" i="79"/>
  <c r="PNF49" i="79"/>
  <c r="PNE49" i="79"/>
  <c r="PND49" i="79"/>
  <c r="PNC49" i="79"/>
  <c r="PNB49" i="79"/>
  <c r="PNA49" i="79"/>
  <c r="PMZ49" i="79"/>
  <c r="PMY49" i="79"/>
  <c r="PMX49" i="79"/>
  <c r="PMW49" i="79"/>
  <c r="PMV49" i="79"/>
  <c r="PMU49" i="79"/>
  <c r="PMT49" i="79"/>
  <c r="PMS49" i="79"/>
  <c r="PMR49" i="79"/>
  <c r="PMQ49" i="79"/>
  <c r="PMP49" i="79"/>
  <c r="PMO49" i="79"/>
  <c r="PMN49" i="79"/>
  <c r="PMM49" i="79"/>
  <c r="PML49" i="79"/>
  <c r="PMK49" i="79"/>
  <c r="PMJ49" i="79"/>
  <c r="PMI49" i="79"/>
  <c r="PMH49" i="79"/>
  <c r="PMG49" i="79"/>
  <c r="PMF49" i="79"/>
  <c r="PME49" i="79"/>
  <c r="PMD49" i="79"/>
  <c r="PMC49" i="79"/>
  <c r="PMB49" i="79"/>
  <c r="PMA49" i="79"/>
  <c r="PLZ49" i="79"/>
  <c r="PLY49" i="79"/>
  <c r="PLX49" i="79"/>
  <c r="PLW49" i="79"/>
  <c r="PLV49" i="79"/>
  <c r="PLU49" i="79"/>
  <c r="PLT49" i="79"/>
  <c r="PLS49" i="79"/>
  <c r="PLR49" i="79"/>
  <c r="PLQ49" i="79"/>
  <c r="PLP49" i="79"/>
  <c r="PLO49" i="79"/>
  <c r="PLN49" i="79"/>
  <c r="PLM49" i="79"/>
  <c r="PLL49" i="79"/>
  <c r="PLK49" i="79"/>
  <c r="PLJ49" i="79"/>
  <c r="PLI49" i="79"/>
  <c r="PLH49" i="79"/>
  <c r="PLG49" i="79"/>
  <c r="PLF49" i="79"/>
  <c r="PLE49" i="79"/>
  <c r="PLD49" i="79"/>
  <c r="PLC49" i="79"/>
  <c r="PLB49" i="79"/>
  <c r="PLA49" i="79"/>
  <c r="PKZ49" i="79"/>
  <c r="PKY49" i="79"/>
  <c r="PKX49" i="79"/>
  <c r="PKW49" i="79"/>
  <c r="PKV49" i="79"/>
  <c r="PKU49" i="79"/>
  <c r="PKT49" i="79"/>
  <c r="PKS49" i="79"/>
  <c r="PKR49" i="79"/>
  <c r="PKQ49" i="79"/>
  <c r="PKP49" i="79"/>
  <c r="PKO49" i="79"/>
  <c r="PKN49" i="79"/>
  <c r="PKM49" i="79"/>
  <c r="PKL49" i="79"/>
  <c r="PKK49" i="79"/>
  <c r="PKJ49" i="79"/>
  <c r="PKI49" i="79"/>
  <c r="PKH49" i="79"/>
  <c r="PKG49" i="79"/>
  <c r="PKF49" i="79"/>
  <c r="PKE49" i="79"/>
  <c r="PKD49" i="79"/>
  <c r="PKC49" i="79"/>
  <c r="PKB49" i="79"/>
  <c r="PKA49" i="79"/>
  <c r="PJZ49" i="79"/>
  <c r="PJY49" i="79"/>
  <c r="PJX49" i="79"/>
  <c r="PJW49" i="79"/>
  <c r="PJV49" i="79"/>
  <c r="PJU49" i="79"/>
  <c r="PJT49" i="79"/>
  <c r="PJS49" i="79"/>
  <c r="PJR49" i="79"/>
  <c r="PJQ49" i="79"/>
  <c r="PJP49" i="79"/>
  <c r="PJO49" i="79"/>
  <c r="PJN49" i="79"/>
  <c r="PJM49" i="79"/>
  <c r="PJL49" i="79"/>
  <c r="PJK49" i="79"/>
  <c r="PJJ49" i="79"/>
  <c r="PJI49" i="79"/>
  <c r="PJH49" i="79"/>
  <c r="PJG49" i="79"/>
  <c r="PJF49" i="79"/>
  <c r="PJE49" i="79"/>
  <c r="PJD49" i="79"/>
  <c r="PJC49" i="79"/>
  <c r="PJB49" i="79"/>
  <c r="PJA49" i="79"/>
  <c r="PIZ49" i="79"/>
  <c r="PIY49" i="79"/>
  <c r="PIX49" i="79"/>
  <c r="PIW49" i="79"/>
  <c r="PIV49" i="79"/>
  <c r="PIU49" i="79"/>
  <c r="PIT49" i="79"/>
  <c r="PIS49" i="79"/>
  <c r="PIR49" i="79"/>
  <c r="PIQ49" i="79"/>
  <c r="PIP49" i="79"/>
  <c r="PIO49" i="79"/>
  <c r="PIN49" i="79"/>
  <c r="PIM49" i="79"/>
  <c r="PIL49" i="79"/>
  <c r="PIK49" i="79"/>
  <c r="PIJ49" i="79"/>
  <c r="PII49" i="79"/>
  <c r="PIH49" i="79"/>
  <c r="PIG49" i="79"/>
  <c r="PIF49" i="79"/>
  <c r="PIE49" i="79"/>
  <c r="PID49" i="79"/>
  <c r="PIC49" i="79"/>
  <c r="PIB49" i="79"/>
  <c r="PIA49" i="79"/>
  <c r="PHZ49" i="79"/>
  <c r="PHY49" i="79"/>
  <c r="PHX49" i="79"/>
  <c r="PHW49" i="79"/>
  <c r="PHV49" i="79"/>
  <c r="PHU49" i="79"/>
  <c r="PHT49" i="79"/>
  <c r="PHS49" i="79"/>
  <c r="PHR49" i="79"/>
  <c r="PHQ49" i="79"/>
  <c r="PHP49" i="79"/>
  <c r="PHO49" i="79"/>
  <c r="PHN49" i="79"/>
  <c r="PHM49" i="79"/>
  <c r="PHL49" i="79"/>
  <c r="PHK49" i="79"/>
  <c r="PHJ49" i="79"/>
  <c r="PHI49" i="79"/>
  <c r="PHH49" i="79"/>
  <c r="PHG49" i="79"/>
  <c r="PHF49" i="79"/>
  <c r="PHE49" i="79"/>
  <c r="PHD49" i="79"/>
  <c r="PHC49" i="79"/>
  <c r="PHB49" i="79"/>
  <c r="PHA49" i="79"/>
  <c r="PGZ49" i="79"/>
  <c r="PGY49" i="79"/>
  <c r="PGX49" i="79"/>
  <c r="PGW49" i="79"/>
  <c r="PGV49" i="79"/>
  <c r="PGU49" i="79"/>
  <c r="PGT49" i="79"/>
  <c r="PGS49" i="79"/>
  <c r="PGR49" i="79"/>
  <c r="PGQ49" i="79"/>
  <c r="PGP49" i="79"/>
  <c r="PGO49" i="79"/>
  <c r="PGN49" i="79"/>
  <c r="PGM49" i="79"/>
  <c r="PGL49" i="79"/>
  <c r="PGK49" i="79"/>
  <c r="PGJ49" i="79"/>
  <c r="PGI49" i="79"/>
  <c r="PGH49" i="79"/>
  <c r="PGG49" i="79"/>
  <c r="PGF49" i="79"/>
  <c r="PGE49" i="79"/>
  <c r="PGD49" i="79"/>
  <c r="PGC49" i="79"/>
  <c r="PGB49" i="79"/>
  <c r="PGA49" i="79"/>
  <c r="PFZ49" i="79"/>
  <c r="PFY49" i="79"/>
  <c r="PFX49" i="79"/>
  <c r="PFW49" i="79"/>
  <c r="PFV49" i="79"/>
  <c r="PFU49" i="79"/>
  <c r="PFT49" i="79"/>
  <c r="PFS49" i="79"/>
  <c r="PFR49" i="79"/>
  <c r="PFQ49" i="79"/>
  <c r="PFP49" i="79"/>
  <c r="PFO49" i="79"/>
  <c r="PFN49" i="79"/>
  <c r="PFM49" i="79"/>
  <c r="PFL49" i="79"/>
  <c r="PFK49" i="79"/>
  <c r="PFJ49" i="79"/>
  <c r="PFI49" i="79"/>
  <c r="PFH49" i="79"/>
  <c r="PFG49" i="79"/>
  <c r="PFF49" i="79"/>
  <c r="PFE49" i="79"/>
  <c r="PFD49" i="79"/>
  <c r="PFC49" i="79"/>
  <c r="PFB49" i="79"/>
  <c r="PFA49" i="79"/>
  <c r="PEZ49" i="79"/>
  <c r="PEY49" i="79"/>
  <c r="PEX49" i="79"/>
  <c r="PEW49" i="79"/>
  <c r="PEV49" i="79"/>
  <c r="PEU49" i="79"/>
  <c r="PET49" i="79"/>
  <c r="PES49" i="79"/>
  <c r="PER49" i="79"/>
  <c r="PEQ49" i="79"/>
  <c r="PEP49" i="79"/>
  <c r="PEO49" i="79"/>
  <c r="PEN49" i="79"/>
  <c r="PEM49" i="79"/>
  <c r="PEL49" i="79"/>
  <c r="PEK49" i="79"/>
  <c r="PEJ49" i="79"/>
  <c r="PEI49" i="79"/>
  <c r="PEH49" i="79"/>
  <c r="PEG49" i="79"/>
  <c r="PEF49" i="79"/>
  <c r="PEE49" i="79"/>
  <c r="PED49" i="79"/>
  <c r="PEC49" i="79"/>
  <c r="PEB49" i="79"/>
  <c r="PEA49" i="79"/>
  <c r="PDZ49" i="79"/>
  <c r="PDY49" i="79"/>
  <c r="PDX49" i="79"/>
  <c r="PDW49" i="79"/>
  <c r="PDV49" i="79"/>
  <c r="PDU49" i="79"/>
  <c r="PDT49" i="79"/>
  <c r="PDS49" i="79"/>
  <c r="PDR49" i="79"/>
  <c r="PDQ49" i="79"/>
  <c r="PDP49" i="79"/>
  <c r="PDO49" i="79"/>
  <c r="PDN49" i="79"/>
  <c r="PDM49" i="79"/>
  <c r="PDL49" i="79"/>
  <c r="PDK49" i="79"/>
  <c r="PDJ49" i="79"/>
  <c r="PDI49" i="79"/>
  <c r="PDH49" i="79"/>
  <c r="PDG49" i="79"/>
  <c r="PDF49" i="79"/>
  <c r="PDE49" i="79"/>
  <c r="PDD49" i="79"/>
  <c r="PDC49" i="79"/>
  <c r="PDB49" i="79"/>
  <c r="PDA49" i="79"/>
  <c r="PCZ49" i="79"/>
  <c r="PCY49" i="79"/>
  <c r="PCX49" i="79"/>
  <c r="PCW49" i="79"/>
  <c r="PCV49" i="79"/>
  <c r="PCU49" i="79"/>
  <c r="PCT49" i="79"/>
  <c r="PCS49" i="79"/>
  <c r="PCR49" i="79"/>
  <c r="PCQ49" i="79"/>
  <c r="PCP49" i="79"/>
  <c r="PCO49" i="79"/>
  <c r="PCN49" i="79"/>
  <c r="PCM49" i="79"/>
  <c r="PCL49" i="79"/>
  <c r="PCK49" i="79"/>
  <c r="PCJ49" i="79"/>
  <c r="PCI49" i="79"/>
  <c r="PCH49" i="79"/>
  <c r="PCG49" i="79"/>
  <c r="PCF49" i="79"/>
  <c r="PCE49" i="79"/>
  <c r="PCD49" i="79"/>
  <c r="PCC49" i="79"/>
  <c r="PCB49" i="79"/>
  <c r="PCA49" i="79"/>
  <c r="PBZ49" i="79"/>
  <c r="PBY49" i="79"/>
  <c r="PBX49" i="79"/>
  <c r="PBW49" i="79"/>
  <c r="PBV49" i="79"/>
  <c r="PBU49" i="79"/>
  <c r="PBT49" i="79"/>
  <c r="PBS49" i="79"/>
  <c r="PBR49" i="79"/>
  <c r="PBQ49" i="79"/>
  <c r="PBP49" i="79"/>
  <c r="PBO49" i="79"/>
  <c r="PBN49" i="79"/>
  <c r="PBM49" i="79"/>
  <c r="PBL49" i="79"/>
  <c r="PBK49" i="79"/>
  <c r="PBJ49" i="79"/>
  <c r="PBI49" i="79"/>
  <c r="PBH49" i="79"/>
  <c r="PBG49" i="79"/>
  <c r="PBF49" i="79"/>
  <c r="PBE49" i="79"/>
  <c r="PBD49" i="79"/>
  <c r="PBC49" i="79"/>
  <c r="PBB49" i="79"/>
  <c r="PBA49" i="79"/>
  <c r="PAZ49" i="79"/>
  <c r="PAY49" i="79"/>
  <c r="PAX49" i="79"/>
  <c r="PAW49" i="79"/>
  <c r="PAV49" i="79"/>
  <c r="PAU49" i="79"/>
  <c r="PAT49" i="79"/>
  <c r="PAS49" i="79"/>
  <c r="PAR49" i="79"/>
  <c r="PAQ49" i="79"/>
  <c r="PAP49" i="79"/>
  <c r="PAO49" i="79"/>
  <c r="PAN49" i="79"/>
  <c r="PAM49" i="79"/>
  <c r="PAL49" i="79"/>
  <c r="PAK49" i="79"/>
  <c r="PAJ49" i="79"/>
  <c r="PAI49" i="79"/>
  <c r="PAH49" i="79"/>
  <c r="PAG49" i="79"/>
  <c r="PAF49" i="79"/>
  <c r="PAE49" i="79"/>
  <c r="PAD49" i="79"/>
  <c r="PAC49" i="79"/>
  <c r="PAB49" i="79"/>
  <c r="PAA49" i="79"/>
  <c r="OZZ49" i="79"/>
  <c r="OZY49" i="79"/>
  <c r="OZX49" i="79"/>
  <c r="OZW49" i="79"/>
  <c r="OZV49" i="79"/>
  <c r="OZU49" i="79"/>
  <c r="OZT49" i="79"/>
  <c r="OZS49" i="79"/>
  <c r="OZR49" i="79"/>
  <c r="OZQ49" i="79"/>
  <c r="OZP49" i="79"/>
  <c r="OZO49" i="79"/>
  <c r="OZN49" i="79"/>
  <c r="OZM49" i="79"/>
  <c r="OZL49" i="79"/>
  <c r="OZK49" i="79"/>
  <c r="OZJ49" i="79"/>
  <c r="OZI49" i="79"/>
  <c r="OZH49" i="79"/>
  <c r="OZG49" i="79"/>
  <c r="OZF49" i="79"/>
  <c r="OZE49" i="79"/>
  <c r="OZD49" i="79"/>
  <c r="OZC49" i="79"/>
  <c r="OZB49" i="79"/>
  <c r="OZA49" i="79"/>
  <c r="OYZ49" i="79"/>
  <c r="OYY49" i="79"/>
  <c r="OYX49" i="79"/>
  <c r="OYW49" i="79"/>
  <c r="OYV49" i="79"/>
  <c r="OYU49" i="79"/>
  <c r="OYT49" i="79"/>
  <c r="OYS49" i="79"/>
  <c r="OYR49" i="79"/>
  <c r="OYQ49" i="79"/>
  <c r="OYP49" i="79"/>
  <c r="OYO49" i="79"/>
  <c r="OYN49" i="79"/>
  <c r="OYM49" i="79"/>
  <c r="OYL49" i="79"/>
  <c r="OYK49" i="79"/>
  <c r="OYJ49" i="79"/>
  <c r="OYI49" i="79"/>
  <c r="OYH49" i="79"/>
  <c r="OYG49" i="79"/>
  <c r="OYF49" i="79"/>
  <c r="OYE49" i="79"/>
  <c r="OYD49" i="79"/>
  <c r="OYC49" i="79"/>
  <c r="OYB49" i="79"/>
  <c r="OYA49" i="79"/>
  <c r="OXZ49" i="79"/>
  <c r="OXY49" i="79"/>
  <c r="OXX49" i="79"/>
  <c r="OXW49" i="79"/>
  <c r="OXV49" i="79"/>
  <c r="OXU49" i="79"/>
  <c r="OXT49" i="79"/>
  <c r="OXS49" i="79"/>
  <c r="OXR49" i="79"/>
  <c r="OXQ49" i="79"/>
  <c r="OXP49" i="79"/>
  <c r="OXO49" i="79"/>
  <c r="OXN49" i="79"/>
  <c r="OXM49" i="79"/>
  <c r="OXL49" i="79"/>
  <c r="OXK49" i="79"/>
  <c r="OXJ49" i="79"/>
  <c r="OXI49" i="79"/>
  <c r="OXH49" i="79"/>
  <c r="OXG49" i="79"/>
  <c r="OXF49" i="79"/>
  <c r="OXE49" i="79"/>
  <c r="OXD49" i="79"/>
  <c r="OXC49" i="79"/>
  <c r="OXB49" i="79"/>
  <c r="OXA49" i="79"/>
  <c r="OWZ49" i="79"/>
  <c r="OWY49" i="79"/>
  <c r="OWX49" i="79"/>
  <c r="OWW49" i="79"/>
  <c r="OWV49" i="79"/>
  <c r="OWU49" i="79"/>
  <c r="OWT49" i="79"/>
  <c r="OWS49" i="79"/>
  <c r="OWR49" i="79"/>
  <c r="OWQ49" i="79"/>
  <c r="OWP49" i="79"/>
  <c r="OWO49" i="79"/>
  <c r="OWN49" i="79"/>
  <c r="OWM49" i="79"/>
  <c r="OWL49" i="79"/>
  <c r="OWK49" i="79"/>
  <c r="OWJ49" i="79"/>
  <c r="OWI49" i="79"/>
  <c r="OWH49" i="79"/>
  <c r="OWG49" i="79"/>
  <c r="OWF49" i="79"/>
  <c r="OWE49" i="79"/>
  <c r="OWD49" i="79"/>
  <c r="OWC49" i="79"/>
  <c r="OWB49" i="79"/>
  <c r="OWA49" i="79"/>
  <c r="OVZ49" i="79"/>
  <c r="OVY49" i="79"/>
  <c r="OVX49" i="79"/>
  <c r="OVW49" i="79"/>
  <c r="OVV49" i="79"/>
  <c r="OVU49" i="79"/>
  <c r="OVT49" i="79"/>
  <c r="OVS49" i="79"/>
  <c r="OVR49" i="79"/>
  <c r="OVQ49" i="79"/>
  <c r="OVP49" i="79"/>
  <c r="OVO49" i="79"/>
  <c r="OVN49" i="79"/>
  <c r="OVM49" i="79"/>
  <c r="OVL49" i="79"/>
  <c r="OVK49" i="79"/>
  <c r="OVJ49" i="79"/>
  <c r="OVI49" i="79"/>
  <c r="OVH49" i="79"/>
  <c r="OVG49" i="79"/>
  <c r="OVF49" i="79"/>
  <c r="OVE49" i="79"/>
  <c r="OVD49" i="79"/>
  <c r="OVC49" i="79"/>
  <c r="OVB49" i="79"/>
  <c r="OVA49" i="79"/>
  <c r="OUZ49" i="79"/>
  <c r="OUY49" i="79"/>
  <c r="OUX49" i="79"/>
  <c r="OUW49" i="79"/>
  <c r="OUV49" i="79"/>
  <c r="OUU49" i="79"/>
  <c r="OUT49" i="79"/>
  <c r="OUS49" i="79"/>
  <c r="OUR49" i="79"/>
  <c r="OUQ49" i="79"/>
  <c r="OUP49" i="79"/>
  <c r="OUO49" i="79"/>
  <c r="OUN49" i="79"/>
  <c r="OUM49" i="79"/>
  <c r="OUL49" i="79"/>
  <c r="OUK49" i="79"/>
  <c r="OUJ49" i="79"/>
  <c r="OUI49" i="79"/>
  <c r="OUH49" i="79"/>
  <c r="OUG49" i="79"/>
  <c r="OUF49" i="79"/>
  <c r="OUE49" i="79"/>
  <c r="OUD49" i="79"/>
  <c r="OUC49" i="79"/>
  <c r="OUB49" i="79"/>
  <c r="OUA49" i="79"/>
  <c r="OTZ49" i="79"/>
  <c r="OTY49" i="79"/>
  <c r="OTX49" i="79"/>
  <c r="OTW49" i="79"/>
  <c r="OTV49" i="79"/>
  <c r="OTU49" i="79"/>
  <c r="OTT49" i="79"/>
  <c r="OTS49" i="79"/>
  <c r="OTR49" i="79"/>
  <c r="OTQ49" i="79"/>
  <c r="OTP49" i="79"/>
  <c r="OTO49" i="79"/>
  <c r="OTN49" i="79"/>
  <c r="OTM49" i="79"/>
  <c r="OTL49" i="79"/>
  <c r="OTK49" i="79"/>
  <c r="OTJ49" i="79"/>
  <c r="OTI49" i="79"/>
  <c r="OTH49" i="79"/>
  <c r="OTG49" i="79"/>
  <c r="OTF49" i="79"/>
  <c r="OTE49" i="79"/>
  <c r="OTD49" i="79"/>
  <c r="OTC49" i="79"/>
  <c r="OTB49" i="79"/>
  <c r="OTA49" i="79"/>
  <c r="OSZ49" i="79"/>
  <c r="OSY49" i="79"/>
  <c r="OSX49" i="79"/>
  <c r="OSW49" i="79"/>
  <c r="OSV49" i="79"/>
  <c r="OSU49" i="79"/>
  <c r="OST49" i="79"/>
  <c r="OSS49" i="79"/>
  <c r="OSR49" i="79"/>
  <c r="OSQ49" i="79"/>
  <c r="OSP49" i="79"/>
  <c r="OSO49" i="79"/>
  <c r="OSN49" i="79"/>
  <c r="OSM49" i="79"/>
  <c r="OSL49" i="79"/>
  <c r="OSK49" i="79"/>
  <c r="OSJ49" i="79"/>
  <c r="OSI49" i="79"/>
  <c r="OSH49" i="79"/>
  <c r="OSG49" i="79"/>
  <c r="OSF49" i="79"/>
  <c r="OSE49" i="79"/>
  <c r="OSD49" i="79"/>
  <c r="OSC49" i="79"/>
  <c r="OSB49" i="79"/>
  <c r="OSA49" i="79"/>
  <c r="ORZ49" i="79"/>
  <c r="ORY49" i="79"/>
  <c r="ORX49" i="79"/>
  <c r="ORW49" i="79"/>
  <c r="ORV49" i="79"/>
  <c r="ORU49" i="79"/>
  <c r="ORT49" i="79"/>
  <c r="ORS49" i="79"/>
  <c r="ORR49" i="79"/>
  <c r="ORQ49" i="79"/>
  <c r="ORP49" i="79"/>
  <c r="ORO49" i="79"/>
  <c r="ORN49" i="79"/>
  <c r="ORM49" i="79"/>
  <c r="ORL49" i="79"/>
  <c r="ORK49" i="79"/>
  <c r="ORJ49" i="79"/>
  <c r="ORI49" i="79"/>
  <c r="ORH49" i="79"/>
  <c r="ORG49" i="79"/>
  <c r="ORF49" i="79"/>
  <c r="ORE49" i="79"/>
  <c r="ORD49" i="79"/>
  <c r="ORC49" i="79"/>
  <c r="ORB49" i="79"/>
  <c r="ORA49" i="79"/>
  <c r="OQZ49" i="79"/>
  <c r="OQY49" i="79"/>
  <c r="OQX49" i="79"/>
  <c r="OQW49" i="79"/>
  <c r="OQV49" i="79"/>
  <c r="OQU49" i="79"/>
  <c r="OQT49" i="79"/>
  <c r="OQS49" i="79"/>
  <c r="OQR49" i="79"/>
  <c r="OQQ49" i="79"/>
  <c r="OQP49" i="79"/>
  <c r="OQO49" i="79"/>
  <c r="OQN49" i="79"/>
  <c r="OQM49" i="79"/>
  <c r="OQL49" i="79"/>
  <c r="OQK49" i="79"/>
  <c r="OQJ49" i="79"/>
  <c r="OQI49" i="79"/>
  <c r="OQH49" i="79"/>
  <c r="OQG49" i="79"/>
  <c r="OQF49" i="79"/>
  <c r="OQE49" i="79"/>
  <c r="OQD49" i="79"/>
  <c r="OQC49" i="79"/>
  <c r="OQB49" i="79"/>
  <c r="OQA49" i="79"/>
  <c r="OPZ49" i="79"/>
  <c r="OPY49" i="79"/>
  <c r="OPX49" i="79"/>
  <c r="OPW49" i="79"/>
  <c r="OPV49" i="79"/>
  <c r="OPU49" i="79"/>
  <c r="OPT49" i="79"/>
  <c r="OPS49" i="79"/>
  <c r="OPR49" i="79"/>
  <c r="OPQ49" i="79"/>
  <c r="OPP49" i="79"/>
  <c r="OPO49" i="79"/>
  <c r="OPN49" i="79"/>
  <c r="OPM49" i="79"/>
  <c r="OPL49" i="79"/>
  <c r="OPK49" i="79"/>
  <c r="OPJ49" i="79"/>
  <c r="OPI49" i="79"/>
  <c r="OPH49" i="79"/>
  <c r="OPG49" i="79"/>
  <c r="OPF49" i="79"/>
  <c r="OPE49" i="79"/>
  <c r="OPD49" i="79"/>
  <c r="OPC49" i="79"/>
  <c r="OPB49" i="79"/>
  <c r="OPA49" i="79"/>
  <c r="OOZ49" i="79"/>
  <c r="OOY49" i="79"/>
  <c r="OOX49" i="79"/>
  <c r="OOW49" i="79"/>
  <c r="OOV49" i="79"/>
  <c r="OOU49" i="79"/>
  <c r="OOT49" i="79"/>
  <c r="OOS49" i="79"/>
  <c r="OOR49" i="79"/>
  <c r="OOQ49" i="79"/>
  <c r="OOP49" i="79"/>
  <c r="OOO49" i="79"/>
  <c r="OON49" i="79"/>
  <c r="OOM49" i="79"/>
  <c r="OOL49" i="79"/>
  <c r="OOK49" i="79"/>
  <c r="OOJ49" i="79"/>
  <c r="OOI49" i="79"/>
  <c r="OOH49" i="79"/>
  <c r="OOG49" i="79"/>
  <c r="OOF49" i="79"/>
  <c r="OOE49" i="79"/>
  <c r="OOD49" i="79"/>
  <c r="OOC49" i="79"/>
  <c r="OOB49" i="79"/>
  <c r="OOA49" i="79"/>
  <c r="ONZ49" i="79"/>
  <c r="ONY49" i="79"/>
  <c r="ONX49" i="79"/>
  <c r="ONW49" i="79"/>
  <c r="ONV49" i="79"/>
  <c r="ONU49" i="79"/>
  <c r="ONT49" i="79"/>
  <c r="ONS49" i="79"/>
  <c r="ONR49" i="79"/>
  <c r="ONQ49" i="79"/>
  <c r="ONP49" i="79"/>
  <c r="ONO49" i="79"/>
  <c r="ONN49" i="79"/>
  <c r="ONM49" i="79"/>
  <c r="ONL49" i="79"/>
  <c r="ONK49" i="79"/>
  <c r="ONJ49" i="79"/>
  <c r="ONI49" i="79"/>
  <c r="ONH49" i="79"/>
  <c r="ONG49" i="79"/>
  <c r="ONF49" i="79"/>
  <c r="ONE49" i="79"/>
  <c r="OND49" i="79"/>
  <c r="ONC49" i="79"/>
  <c r="ONB49" i="79"/>
  <c r="ONA49" i="79"/>
  <c r="OMZ49" i="79"/>
  <c r="OMY49" i="79"/>
  <c r="OMX49" i="79"/>
  <c r="OMW49" i="79"/>
  <c r="OMV49" i="79"/>
  <c r="OMU49" i="79"/>
  <c r="OMT49" i="79"/>
  <c r="OMS49" i="79"/>
  <c r="OMR49" i="79"/>
  <c r="OMQ49" i="79"/>
  <c r="OMP49" i="79"/>
  <c r="OMO49" i="79"/>
  <c r="OMN49" i="79"/>
  <c r="OMM49" i="79"/>
  <c r="OML49" i="79"/>
  <c r="OMK49" i="79"/>
  <c r="OMJ49" i="79"/>
  <c r="OMI49" i="79"/>
  <c r="OMH49" i="79"/>
  <c r="OMG49" i="79"/>
  <c r="OMF49" i="79"/>
  <c r="OME49" i="79"/>
  <c r="OMD49" i="79"/>
  <c r="OMC49" i="79"/>
  <c r="OMB49" i="79"/>
  <c r="OMA49" i="79"/>
  <c r="OLZ49" i="79"/>
  <c r="OLY49" i="79"/>
  <c r="OLX49" i="79"/>
  <c r="OLW49" i="79"/>
  <c r="OLV49" i="79"/>
  <c r="OLU49" i="79"/>
  <c r="OLT49" i="79"/>
  <c r="OLS49" i="79"/>
  <c r="OLR49" i="79"/>
  <c r="OLQ49" i="79"/>
  <c r="OLP49" i="79"/>
  <c r="OLO49" i="79"/>
  <c r="OLN49" i="79"/>
  <c r="OLM49" i="79"/>
  <c r="OLL49" i="79"/>
  <c r="OLK49" i="79"/>
  <c r="OLJ49" i="79"/>
  <c r="OLI49" i="79"/>
  <c r="OLH49" i="79"/>
  <c r="OLG49" i="79"/>
  <c r="OLF49" i="79"/>
  <c r="OLE49" i="79"/>
  <c r="OLD49" i="79"/>
  <c r="OLC49" i="79"/>
  <c r="OLB49" i="79"/>
  <c r="OLA49" i="79"/>
  <c r="OKZ49" i="79"/>
  <c r="OKY49" i="79"/>
  <c r="OKX49" i="79"/>
  <c r="OKW49" i="79"/>
  <c r="OKV49" i="79"/>
  <c r="OKU49" i="79"/>
  <c r="OKT49" i="79"/>
  <c r="OKS49" i="79"/>
  <c r="OKR49" i="79"/>
  <c r="OKQ49" i="79"/>
  <c r="OKP49" i="79"/>
  <c r="OKO49" i="79"/>
  <c r="OKN49" i="79"/>
  <c r="OKM49" i="79"/>
  <c r="OKL49" i="79"/>
  <c r="OKK49" i="79"/>
  <c r="OKJ49" i="79"/>
  <c r="OKI49" i="79"/>
  <c r="OKH49" i="79"/>
  <c r="OKG49" i="79"/>
  <c r="OKF49" i="79"/>
  <c r="OKE49" i="79"/>
  <c r="OKD49" i="79"/>
  <c r="OKC49" i="79"/>
  <c r="OKB49" i="79"/>
  <c r="OKA49" i="79"/>
  <c r="OJZ49" i="79"/>
  <c r="OJY49" i="79"/>
  <c r="OJX49" i="79"/>
  <c r="OJW49" i="79"/>
  <c r="OJV49" i="79"/>
  <c r="OJU49" i="79"/>
  <c r="OJT49" i="79"/>
  <c r="OJS49" i="79"/>
  <c r="OJR49" i="79"/>
  <c r="OJQ49" i="79"/>
  <c r="OJP49" i="79"/>
  <c r="OJO49" i="79"/>
  <c r="OJN49" i="79"/>
  <c r="OJM49" i="79"/>
  <c r="OJL49" i="79"/>
  <c r="OJK49" i="79"/>
  <c r="OJJ49" i="79"/>
  <c r="OJI49" i="79"/>
  <c r="OJH49" i="79"/>
  <c r="OJG49" i="79"/>
  <c r="OJF49" i="79"/>
  <c r="OJE49" i="79"/>
  <c r="OJD49" i="79"/>
  <c r="OJC49" i="79"/>
  <c r="OJB49" i="79"/>
  <c r="OJA49" i="79"/>
  <c r="OIZ49" i="79"/>
  <c r="OIY49" i="79"/>
  <c r="OIX49" i="79"/>
  <c r="OIW49" i="79"/>
  <c r="OIV49" i="79"/>
  <c r="OIU49" i="79"/>
  <c r="OIT49" i="79"/>
  <c r="OIS49" i="79"/>
  <c r="OIR49" i="79"/>
  <c r="OIQ49" i="79"/>
  <c r="OIP49" i="79"/>
  <c r="OIO49" i="79"/>
  <c r="OIN49" i="79"/>
  <c r="OIM49" i="79"/>
  <c r="OIL49" i="79"/>
  <c r="OIK49" i="79"/>
  <c r="OIJ49" i="79"/>
  <c r="OII49" i="79"/>
  <c r="OIH49" i="79"/>
  <c r="OIG49" i="79"/>
  <c r="OIF49" i="79"/>
  <c r="OIE49" i="79"/>
  <c r="OID49" i="79"/>
  <c r="OIC49" i="79"/>
  <c r="OIB49" i="79"/>
  <c r="OIA49" i="79"/>
  <c r="OHZ49" i="79"/>
  <c r="OHY49" i="79"/>
  <c r="OHX49" i="79"/>
  <c r="OHW49" i="79"/>
  <c r="OHV49" i="79"/>
  <c r="OHU49" i="79"/>
  <c r="OHT49" i="79"/>
  <c r="OHS49" i="79"/>
  <c r="OHR49" i="79"/>
  <c r="OHQ49" i="79"/>
  <c r="OHP49" i="79"/>
  <c r="OHO49" i="79"/>
  <c r="OHN49" i="79"/>
  <c r="OHM49" i="79"/>
  <c r="OHL49" i="79"/>
  <c r="OHK49" i="79"/>
  <c r="OHJ49" i="79"/>
  <c r="OHI49" i="79"/>
  <c r="OHH49" i="79"/>
  <c r="OHG49" i="79"/>
  <c r="OHF49" i="79"/>
  <c r="OHE49" i="79"/>
  <c r="OHD49" i="79"/>
  <c r="OHC49" i="79"/>
  <c r="OHB49" i="79"/>
  <c r="OHA49" i="79"/>
  <c r="OGZ49" i="79"/>
  <c r="OGY49" i="79"/>
  <c r="OGX49" i="79"/>
  <c r="OGW49" i="79"/>
  <c r="OGV49" i="79"/>
  <c r="OGU49" i="79"/>
  <c r="OGT49" i="79"/>
  <c r="OGS49" i="79"/>
  <c r="OGR49" i="79"/>
  <c r="OGQ49" i="79"/>
  <c r="OGP49" i="79"/>
  <c r="OGO49" i="79"/>
  <c r="OGN49" i="79"/>
  <c r="OGM49" i="79"/>
  <c r="OGL49" i="79"/>
  <c r="OGK49" i="79"/>
  <c r="OGJ49" i="79"/>
  <c r="OGI49" i="79"/>
  <c r="OGH49" i="79"/>
  <c r="OGG49" i="79"/>
  <c r="OGF49" i="79"/>
  <c r="OGE49" i="79"/>
  <c r="OGD49" i="79"/>
  <c r="OGC49" i="79"/>
  <c r="OGB49" i="79"/>
  <c r="OGA49" i="79"/>
  <c r="OFZ49" i="79"/>
  <c r="OFY49" i="79"/>
  <c r="OFX49" i="79"/>
  <c r="OFW49" i="79"/>
  <c r="OFV49" i="79"/>
  <c r="OFU49" i="79"/>
  <c r="OFT49" i="79"/>
  <c r="OFS49" i="79"/>
  <c r="OFR49" i="79"/>
  <c r="OFQ49" i="79"/>
  <c r="OFP49" i="79"/>
  <c r="OFO49" i="79"/>
  <c r="OFN49" i="79"/>
  <c r="OFM49" i="79"/>
  <c r="OFL49" i="79"/>
  <c r="OFK49" i="79"/>
  <c r="OFJ49" i="79"/>
  <c r="OFI49" i="79"/>
  <c r="OFH49" i="79"/>
  <c r="OFG49" i="79"/>
  <c r="OFF49" i="79"/>
  <c r="OFE49" i="79"/>
  <c r="OFD49" i="79"/>
  <c r="OFC49" i="79"/>
  <c r="OFB49" i="79"/>
  <c r="OFA49" i="79"/>
  <c r="OEZ49" i="79"/>
  <c r="OEY49" i="79"/>
  <c r="OEX49" i="79"/>
  <c r="OEW49" i="79"/>
  <c r="OEV49" i="79"/>
  <c r="OEU49" i="79"/>
  <c r="OET49" i="79"/>
  <c r="OES49" i="79"/>
  <c r="OER49" i="79"/>
  <c r="OEQ49" i="79"/>
  <c r="OEP49" i="79"/>
  <c r="OEO49" i="79"/>
  <c r="OEN49" i="79"/>
  <c r="OEM49" i="79"/>
  <c r="OEL49" i="79"/>
  <c r="OEK49" i="79"/>
  <c r="OEJ49" i="79"/>
  <c r="OEI49" i="79"/>
  <c r="OEH49" i="79"/>
  <c r="OEG49" i="79"/>
  <c r="OEF49" i="79"/>
  <c r="OEE49" i="79"/>
  <c r="OED49" i="79"/>
  <c r="OEC49" i="79"/>
  <c r="OEB49" i="79"/>
  <c r="OEA49" i="79"/>
  <c r="ODZ49" i="79"/>
  <c r="ODY49" i="79"/>
  <c r="ODX49" i="79"/>
  <c r="ODW49" i="79"/>
  <c r="ODV49" i="79"/>
  <c r="ODU49" i="79"/>
  <c r="ODT49" i="79"/>
  <c r="ODS49" i="79"/>
  <c r="ODR49" i="79"/>
  <c r="ODQ49" i="79"/>
  <c r="ODP49" i="79"/>
  <c r="ODO49" i="79"/>
  <c r="ODN49" i="79"/>
  <c r="ODM49" i="79"/>
  <c r="ODL49" i="79"/>
  <c r="ODK49" i="79"/>
  <c r="ODJ49" i="79"/>
  <c r="ODI49" i="79"/>
  <c r="ODH49" i="79"/>
  <c r="ODG49" i="79"/>
  <c r="ODF49" i="79"/>
  <c r="ODE49" i="79"/>
  <c r="ODD49" i="79"/>
  <c r="ODC49" i="79"/>
  <c r="ODB49" i="79"/>
  <c r="ODA49" i="79"/>
  <c r="OCZ49" i="79"/>
  <c r="OCY49" i="79"/>
  <c r="OCX49" i="79"/>
  <c r="OCW49" i="79"/>
  <c r="OCV49" i="79"/>
  <c r="OCU49" i="79"/>
  <c r="OCT49" i="79"/>
  <c r="OCS49" i="79"/>
  <c r="OCR49" i="79"/>
  <c r="OCQ49" i="79"/>
  <c r="OCP49" i="79"/>
  <c r="OCO49" i="79"/>
  <c r="OCN49" i="79"/>
  <c r="OCM49" i="79"/>
  <c r="OCL49" i="79"/>
  <c r="OCK49" i="79"/>
  <c r="OCJ49" i="79"/>
  <c r="OCI49" i="79"/>
  <c r="OCH49" i="79"/>
  <c r="OCG49" i="79"/>
  <c r="OCF49" i="79"/>
  <c r="OCE49" i="79"/>
  <c r="OCD49" i="79"/>
  <c r="OCC49" i="79"/>
  <c r="OCB49" i="79"/>
  <c r="OCA49" i="79"/>
  <c r="OBZ49" i="79"/>
  <c r="OBY49" i="79"/>
  <c r="OBX49" i="79"/>
  <c r="OBW49" i="79"/>
  <c r="OBV49" i="79"/>
  <c r="OBU49" i="79"/>
  <c r="OBT49" i="79"/>
  <c r="OBS49" i="79"/>
  <c r="OBR49" i="79"/>
  <c r="OBQ49" i="79"/>
  <c r="OBP49" i="79"/>
  <c r="OBO49" i="79"/>
  <c r="OBN49" i="79"/>
  <c r="OBM49" i="79"/>
  <c r="OBL49" i="79"/>
  <c r="OBK49" i="79"/>
  <c r="OBJ49" i="79"/>
  <c r="OBI49" i="79"/>
  <c r="OBH49" i="79"/>
  <c r="OBG49" i="79"/>
  <c r="OBF49" i="79"/>
  <c r="OBE49" i="79"/>
  <c r="OBD49" i="79"/>
  <c r="OBC49" i="79"/>
  <c r="OBB49" i="79"/>
  <c r="OBA49" i="79"/>
  <c r="OAZ49" i="79"/>
  <c r="OAY49" i="79"/>
  <c r="OAX49" i="79"/>
  <c r="OAW49" i="79"/>
  <c r="OAV49" i="79"/>
  <c r="OAU49" i="79"/>
  <c r="OAT49" i="79"/>
  <c r="OAS49" i="79"/>
  <c r="OAR49" i="79"/>
  <c r="OAQ49" i="79"/>
  <c r="OAP49" i="79"/>
  <c r="OAO49" i="79"/>
  <c r="OAN49" i="79"/>
  <c r="OAM49" i="79"/>
  <c r="OAL49" i="79"/>
  <c r="OAK49" i="79"/>
  <c r="OAJ49" i="79"/>
  <c r="OAI49" i="79"/>
  <c r="OAH49" i="79"/>
  <c r="OAG49" i="79"/>
  <c r="OAF49" i="79"/>
  <c r="OAE49" i="79"/>
  <c r="OAD49" i="79"/>
  <c r="OAC49" i="79"/>
  <c r="OAB49" i="79"/>
  <c r="OAA49" i="79"/>
  <c r="NZZ49" i="79"/>
  <c r="NZY49" i="79"/>
  <c r="NZX49" i="79"/>
  <c r="NZW49" i="79"/>
  <c r="NZV49" i="79"/>
  <c r="NZU49" i="79"/>
  <c r="NZT49" i="79"/>
  <c r="NZS49" i="79"/>
  <c r="NZR49" i="79"/>
  <c r="NZQ49" i="79"/>
  <c r="NZP49" i="79"/>
  <c r="NZO49" i="79"/>
  <c r="NZN49" i="79"/>
  <c r="NZM49" i="79"/>
  <c r="NZL49" i="79"/>
  <c r="NZK49" i="79"/>
  <c r="NZJ49" i="79"/>
  <c r="NZI49" i="79"/>
  <c r="NZH49" i="79"/>
  <c r="NZG49" i="79"/>
  <c r="NZF49" i="79"/>
  <c r="NZE49" i="79"/>
  <c r="NZD49" i="79"/>
  <c r="NZC49" i="79"/>
  <c r="NZB49" i="79"/>
  <c r="NZA49" i="79"/>
  <c r="NYZ49" i="79"/>
  <c r="NYY49" i="79"/>
  <c r="NYX49" i="79"/>
  <c r="NYW49" i="79"/>
  <c r="NYV49" i="79"/>
  <c r="NYU49" i="79"/>
  <c r="NYT49" i="79"/>
  <c r="NYS49" i="79"/>
  <c r="NYR49" i="79"/>
  <c r="NYQ49" i="79"/>
  <c r="NYP49" i="79"/>
  <c r="NYO49" i="79"/>
  <c r="NYN49" i="79"/>
  <c r="NYM49" i="79"/>
  <c r="NYL49" i="79"/>
  <c r="NYK49" i="79"/>
  <c r="NYJ49" i="79"/>
  <c r="NYI49" i="79"/>
  <c r="NYH49" i="79"/>
  <c r="NYG49" i="79"/>
  <c r="NYF49" i="79"/>
  <c r="NYE49" i="79"/>
  <c r="NYD49" i="79"/>
  <c r="NYC49" i="79"/>
  <c r="NYB49" i="79"/>
  <c r="NYA49" i="79"/>
  <c r="NXZ49" i="79"/>
  <c r="NXY49" i="79"/>
  <c r="NXX49" i="79"/>
  <c r="NXW49" i="79"/>
  <c r="NXV49" i="79"/>
  <c r="NXU49" i="79"/>
  <c r="NXT49" i="79"/>
  <c r="NXS49" i="79"/>
  <c r="NXR49" i="79"/>
  <c r="NXQ49" i="79"/>
  <c r="NXP49" i="79"/>
  <c r="NXO49" i="79"/>
  <c r="NXN49" i="79"/>
  <c r="NXM49" i="79"/>
  <c r="NXL49" i="79"/>
  <c r="NXK49" i="79"/>
  <c r="NXJ49" i="79"/>
  <c r="NXI49" i="79"/>
  <c r="NXH49" i="79"/>
  <c r="NXG49" i="79"/>
  <c r="NXF49" i="79"/>
  <c r="NXE49" i="79"/>
  <c r="NXD49" i="79"/>
  <c r="NXC49" i="79"/>
  <c r="NXB49" i="79"/>
  <c r="NXA49" i="79"/>
  <c r="NWZ49" i="79"/>
  <c r="NWY49" i="79"/>
  <c r="NWX49" i="79"/>
  <c r="NWW49" i="79"/>
  <c r="NWV49" i="79"/>
  <c r="NWU49" i="79"/>
  <c r="NWT49" i="79"/>
  <c r="NWS49" i="79"/>
  <c r="NWR49" i="79"/>
  <c r="NWQ49" i="79"/>
  <c r="NWP49" i="79"/>
  <c r="NWO49" i="79"/>
  <c r="NWN49" i="79"/>
  <c r="NWM49" i="79"/>
  <c r="NWL49" i="79"/>
  <c r="NWK49" i="79"/>
  <c r="NWJ49" i="79"/>
  <c r="NWI49" i="79"/>
  <c r="NWH49" i="79"/>
  <c r="NWG49" i="79"/>
  <c r="NWF49" i="79"/>
  <c r="NWE49" i="79"/>
  <c r="NWD49" i="79"/>
  <c r="NWC49" i="79"/>
  <c r="NWB49" i="79"/>
  <c r="NWA49" i="79"/>
  <c r="NVZ49" i="79"/>
  <c r="NVY49" i="79"/>
  <c r="NVX49" i="79"/>
  <c r="NVW49" i="79"/>
  <c r="NVV49" i="79"/>
  <c r="NVU49" i="79"/>
  <c r="NVT49" i="79"/>
  <c r="NVS49" i="79"/>
  <c r="NVR49" i="79"/>
  <c r="NVQ49" i="79"/>
  <c r="NVP49" i="79"/>
  <c r="NVO49" i="79"/>
  <c r="NVN49" i="79"/>
  <c r="NVM49" i="79"/>
  <c r="NVL49" i="79"/>
  <c r="NVK49" i="79"/>
  <c r="NVJ49" i="79"/>
  <c r="NVI49" i="79"/>
  <c r="NVH49" i="79"/>
  <c r="NVG49" i="79"/>
  <c r="NVF49" i="79"/>
  <c r="NVE49" i="79"/>
  <c r="NVD49" i="79"/>
  <c r="NVC49" i="79"/>
  <c r="NVB49" i="79"/>
  <c r="NVA49" i="79"/>
  <c r="NUZ49" i="79"/>
  <c r="NUY49" i="79"/>
  <c r="NUX49" i="79"/>
  <c r="NUW49" i="79"/>
  <c r="NUV49" i="79"/>
  <c r="NUU49" i="79"/>
  <c r="NUT49" i="79"/>
  <c r="NUS49" i="79"/>
  <c r="NUR49" i="79"/>
  <c r="NUQ49" i="79"/>
  <c r="NUP49" i="79"/>
  <c r="NUO49" i="79"/>
  <c r="NUN49" i="79"/>
  <c r="NUM49" i="79"/>
  <c r="NUL49" i="79"/>
  <c r="NUK49" i="79"/>
  <c r="NUJ49" i="79"/>
  <c r="NUI49" i="79"/>
  <c r="NUH49" i="79"/>
  <c r="NUG49" i="79"/>
  <c r="NUF49" i="79"/>
  <c r="NUE49" i="79"/>
  <c r="NUD49" i="79"/>
  <c r="NUC49" i="79"/>
  <c r="NUB49" i="79"/>
  <c r="NUA49" i="79"/>
  <c r="NTZ49" i="79"/>
  <c r="NTY49" i="79"/>
  <c r="NTX49" i="79"/>
  <c r="NTW49" i="79"/>
  <c r="NTV49" i="79"/>
  <c r="NTU49" i="79"/>
  <c r="NTT49" i="79"/>
  <c r="NTS49" i="79"/>
  <c r="NTR49" i="79"/>
  <c r="NTQ49" i="79"/>
  <c r="NTP49" i="79"/>
  <c r="NTO49" i="79"/>
  <c r="NTN49" i="79"/>
  <c r="NTM49" i="79"/>
  <c r="NTL49" i="79"/>
  <c r="NTK49" i="79"/>
  <c r="NTJ49" i="79"/>
  <c r="NTI49" i="79"/>
  <c r="NTH49" i="79"/>
  <c r="NTG49" i="79"/>
  <c r="NTF49" i="79"/>
  <c r="NTE49" i="79"/>
  <c r="NTD49" i="79"/>
  <c r="NTC49" i="79"/>
  <c r="NTB49" i="79"/>
  <c r="NTA49" i="79"/>
  <c r="NSZ49" i="79"/>
  <c r="NSY49" i="79"/>
  <c r="NSX49" i="79"/>
  <c r="NSW49" i="79"/>
  <c r="NSV49" i="79"/>
  <c r="NSU49" i="79"/>
  <c r="NST49" i="79"/>
  <c r="NSS49" i="79"/>
  <c r="NSR49" i="79"/>
  <c r="NSQ49" i="79"/>
  <c r="NSP49" i="79"/>
  <c r="NSO49" i="79"/>
  <c r="NSN49" i="79"/>
  <c r="NSM49" i="79"/>
  <c r="NSL49" i="79"/>
  <c r="NSK49" i="79"/>
  <c r="NSJ49" i="79"/>
  <c r="NSI49" i="79"/>
  <c r="NSH49" i="79"/>
  <c r="NSG49" i="79"/>
  <c r="NSF49" i="79"/>
  <c r="NSE49" i="79"/>
  <c r="NSD49" i="79"/>
  <c r="NSC49" i="79"/>
  <c r="NSB49" i="79"/>
  <c r="NSA49" i="79"/>
  <c r="NRZ49" i="79"/>
  <c r="NRY49" i="79"/>
  <c r="NRX49" i="79"/>
  <c r="NRW49" i="79"/>
  <c r="NRV49" i="79"/>
  <c r="NRU49" i="79"/>
  <c r="NRT49" i="79"/>
  <c r="NRS49" i="79"/>
  <c r="NRR49" i="79"/>
  <c r="NRQ49" i="79"/>
  <c r="NRP49" i="79"/>
  <c r="NRO49" i="79"/>
  <c r="NRN49" i="79"/>
  <c r="NRM49" i="79"/>
  <c r="NRL49" i="79"/>
  <c r="NRK49" i="79"/>
  <c r="NRJ49" i="79"/>
  <c r="NRI49" i="79"/>
  <c r="NRH49" i="79"/>
  <c r="NRG49" i="79"/>
  <c r="NRF49" i="79"/>
  <c r="NRE49" i="79"/>
  <c r="NRD49" i="79"/>
  <c r="NRC49" i="79"/>
  <c r="NRB49" i="79"/>
  <c r="NRA49" i="79"/>
  <c r="NQZ49" i="79"/>
  <c r="NQY49" i="79"/>
  <c r="NQX49" i="79"/>
  <c r="NQW49" i="79"/>
  <c r="NQV49" i="79"/>
  <c r="NQU49" i="79"/>
  <c r="NQT49" i="79"/>
  <c r="NQS49" i="79"/>
  <c r="NQR49" i="79"/>
  <c r="NQQ49" i="79"/>
  <c r="NQP49" i="79"/>
  <c r="NQO49" i="79"/>
  <c r="NQN49" i="79"/>
  <c r="NQM49" i="79"/>
  <c r="NQL49" i="79"/>
  <c r="NQK49" i="79"/>
  <c r="NQJ49" i="79"/>
  <c r="NQI49" i="79"/>
  <c r="NQH49" i="79"/>
  <c r="NQG49" i="79"/>
  <c r="NQF49" i="79"/>
  <c r="NQE49" i="79"/>
  <c r="NQD49" i="79"/>
  <c r="NQC49" i="79"/>
  <c r="NQB49" i="79"/>
  <c r="NQA49" i="79"/>
  <c r="NPZ49" i="79"/>
  <c r="NPY49" i="79"/>
  <c r="NPX49" i="79"/>
  <c r="NPW49" i="79"/>
  <c r="NPV49" i="79"/>
  <c r="NPU49" i="79"/>
  <c r="NPT49" i="79"/>
  <c r="NPS49" i="79"/>
  <c r="NPR49" i="79"/>
  <c r="NPQ49" i="79"/>
  <c r="NPP49" i="79"/>
  <c r="NPO49" i="79"/>
  <c r="NPN49" i="79"/>
  <c r="NPM49" i="79"/>
  <c r="NPL49" i="79"/>
  <c r="NPK49" i="79"/>
  <c r="NPJ49" i="79"/>
  <c r="NPI49" i="79"/>
  <c r="NPH49" i="79"/>
  <c r="NPG49" i="79"/>
  <c r="NPF49" i="79"/>
  <c r="NPE49" i="79"/>
  <c r="NPD49" i="79"/>
  <c r="NPC49" i="79"/>
  <c r="NPB49" i="79"/>
  <c r="NPA49" i="79"/>
  <c r="NOZ49" i="79"/>
  <c r="NOY49" i="79"/>
  <c r="NOX49" i="79"/>
  <c r="NOW49" i="79"/>
  <c r="NOV49" i="79"/>
  <c r="NOU49" i="79"/>
  <c r="NOT49" i="79"/>
  <c r="NOS49" i="79"/>
  <c r="NOR49" i="79"/>
  <c r="NOQ49" i="79"/>
  <c r="NOP49" i="79"/>
  <c r="NOO49" i="79"/>
  <c r="NON49" i="79"/>
  <c r="NOM49" i="79"/>
  <c r="NOL49" i="79"/>
  <c r="NOK49" i="79"/>
  <c r="NOJ49" i="79"/>
  <c r="NOI49" i="79"/>
  <c r="NOH49" i="79"/>
  <c r="NOG49" i="79"/>
  <c r="NOF49" i="79"/>
  <c r="NOE49" i="79"/>
  <c r="NOD49" i="79"/>
  <c r="NOC49" i="79"/>
  <c r="NOB49" i="79"/>
  <c r="NOA49" i="79"/>
  <c r="NNZ49" i="79"/>
  <c r="NNY49" i="79"/>
  <c r="NNX49" i="79"/>
  <c r="NNW49" i="79"/>
  <c r="NNV49" i="79"/>
  <c r="NNU49" i="79"/>
  <c r="NNT49" i="79"/>
  <c r="NNS49" i="79"/>
  <c r="NNR49" i="79"/>
  <c r="NNQ49" i="79"/>
  <c r="NNP49" i="79"/>
  <c r="NNO49" i="79"/>
  <c r="NNN49" i="79"/>
  <c r="NNM49" i="79"/>
  <c r="NNL49" i="79"/>
  <c r="NNK49" i="79"/>
  <c r="NNJ49" i="79"/>
  <c r="NNI49" i="79"/>
  <c r="NNH49" i="79"/>
  <c r="NNG49" i="79"/>
  <c r="NNF49" i="79"/>
  <c r="NNE49" i="79"/>
  <c r="NND49" i="79"/>
  <c r="NNC49" i="79"/>
  <c r="NNB49" i="79"/>
  <c r="NNA49" i="79"/>
  <c r="NMZ49" i="79"/>
  <c r="NMY49" i="79"/>
  <c r="NMX49" i="79"/>
  <c r="NMW49" i="79"/>
  <c r="NMV49" i="79"/>
  <c r="NMU49" i="79"/>
  <c r="NMT49" i="79"/>
  <c r="NMS49" i="79"/>
  <c r="NMR49" i="79"/>
  <c r="NMQ49" i="79"/>
  <c r="NMP49" i="79"/>
  <c r="NMO49" i="79"/>
  <c r="NMN49" i="79"/>
  <c r="NMM49" i="79"/>
  <c r="NML49" i="79"/>
  <c r="NMK49" i="79"/>
  <c r="NMJ49" i="79"/>
  <c r="NMI49" i="79"/>
  <c r="NMH49" i="79"/>
  <c r="NMG49" i="79"/>
  <c r="NMF49" i="79"/>
  <c r="NME49" i="79"/>
  <c r="NMD49" i="79"/>
  <c r="NMC49" i="79"/>
  <c r="NMB49" i="79"/>
  <c r="NMA49" i="79"/>
  <c r="NLZ49" i="79"/>
  <c r="NLY49" i="79"/>
  <c r="NLX49" i="79"/>
  <c r="NLW49" i="79"/>
  <c r="NLV49" i="79"/>
  <c r="NLU49" i="79"/>
  <c r="NLT49" i="79"/>
  <c r="NLS49" i="79"/>
  <c r="NLR49" i="79"/>
  <c r="NLQ49" i="79"/>
  <c r="NLP49" i="79"/>
  <c r="NLO49" i="79"/>
  <c r="NLN49" i="79"/>
  <c r="NLM49" i="79"/>
  <c r="NLL49" i="79"/>
  <c r="NLK49" i="79"/>
  <c r="NLJ49" i="79"/>
  <c r="NLI49" i="79"/>
  <c r="NLH49" i="79"/>
  <c r="NLG49" i="79"/>
  <c r="NLF49" i="79"/>
  <c r="NLE49" i="79"/>
  <c r="NLD49" i="79"/>
  <c r="NLC49" i="79"/>
  <c r="NLB49" i="79"/>
  <c r="NLA49" i="79"/>
  <c r="NKZ49" i="79"/>
  <c r="NKY49" i="79"/>
  <c r="NKX49" i="79"/>
  <c r="NKW49" i="79"/>
  <c r="NKV49" i="79"/>
  <c r="NKU49" i="79"/>
  <c r="NKT49" i="79"/>
  <c r="NKS49" i="79"/>
  <c r="NKR49" i="79"/>
  <c r="NKQ49" i="79"/>
  <c r="NKP49" i="79"/>
  <c r="NKO49" i="79"/>
  <c r="NKN49" i="79"/>
  <c r="NKM49" i="79"/>
  <c r="NKL49" i="79"/>
  <c r="NKK49" i="79"/>
  <c r="NKJ49" i="79"/>
  <c r="NKI49" i="79"/>
  <c r="NKH49" i="79"/>
  <c r="NKG49" i="79"/>
  <c r="NKF49" i="79"/>
  <c r="NKE49" i="79"/>
  <c r="NKD49" i="79"/>
  <c r="NKC49" i="79"/>
  <c r="NKB49" i="79"/>
  <c r="NKA49" i="79"/>
  <c r="NJZ49" i="79"/>
  <c r="NJY49" i="79"/>
  <c r="NJX49" i="79"/>
  <c r="NJW49" i="79"/>
  <c r="NJV49" i="79"/>
  <c r="NJU49" i="79"/>
  <c r="NJT49" i="79"/>
  <c r="NJS49" i="79"/>
  <c r="NJR49" i="79"/>
  <c r="NJQ49" i="79"/>
  <c r="NJP49" i="79"/>
  <c r="NJO49" i="79"/>
  <c r="NJN49" i="79"/>
  <c r="NJM49" i="79"/>
  <c r="NJL49" i="79"/>
  <c r="NJK49" i="79"/>
  <c r="NJJ49" i="79"/>
  <c r="NJI49" i="79"/>
  <c r="NJH49" i="79"/>
  <c r="NJG49" i="79"/>
  <c r="NJF49" i="79"/>
  <c r="NJE49" i="79"/>
  <c r="NJD49" i="79"/>
  <c r="NJC49" i="79"/>
  <c r="NJB49" i="79"/>
  <c r="NJA49" i="79"/>
  <c r="NIZ49" i="79"/>
  <c r="NIY49" i="79"/>
  <c r="NIX49" i="79"/>
  <c r="NIW49" i="79"/>
  <c r="NIV49" i="79"/>
  <c r="NIU49" i="79"/>
  <c r="NIT49" i="79"/>
  <c r="NIS49" i="79"/>
  <c r="NIR49" i="79"/>
  <c r="NIQ49" i="79"/>
  <c r="NIP49" i="79"/>
  <c r="NIO49" i="79"/>
  <c r="NIN49" i="79"/>
  <c r="NIM49" i="79"/>
  <c r="NIL49" i="79"/>
  <c r="NIK49" i="79"/>
  <c r="NIJ49" i="79"/>
  <c r="NII49" i="79"/>
  <c r="NIH49" i="79"/>
  <c r="NIG49" i="79"/>
  <c r="NIF49" i="79"/>
  <c r="NIE49" i="79"/>
  <c r="NID49" i="79"/>
  <c r="NIC49" i="79"/>
  <c r="NIB49" i="79"/>
  <c r="NIA49" i="79"/>
  <c r="NHZ49" i="79"/>
  <c r="NHY49" i="79"/>
  <c r="NHX49" i="79"/>
  <c r="NHW49" i="79"/>
  <c r="NHV49" i="79"/>
  <c r="NHU49" i="79"/>
  <c r="NHT49" i="79"/>
  <c r="NHS49" i="79"/>
  <c r="NHR49" i="79"/>
  <c r="NHQ49" i="79"/>
  <c r="NHP49" i="79"/>
  <c r="NHO49" i="79"/>
  <c r="NHN49" i="79"/>
  <c r="NHM49" i="79"/>
  <c r="NHL49" i="79"/>
  <c r="NHK49" i="79"/>
  <c r="NHJ49" i="79"/>
  <c r="NHI49" i="79"/>
  <c r="NHH49" i="79"/>
  <c r="NHG49" i="79"/>
  <c r="NHF49" i="79"/>
  <c r="NHE49" i="79"/>
  <c r="NHD49" i="79"/>
  <c r="NHC49" i="79"/>
  <c r="NHB49" i="79"/>
  <c r="NHA49" i="79"/>
  <c r="NGZ49" i="79"/>
  <c r="NGY49" i="79"/>
  <c r="NGX49" i="79"/>
  <c r="NGW49" i="79"/>
  <c r="NGV49" i="79"/>
  <c r="NGU49" i="79"/>
  <c r="NGT49" i="79"/>
  <c r="NGS49" i="79"/>
  <c r="NGR49" i="79"/>
  <c r="NGQ49" i="79"/>
  <c r="NGP49" i="79"/>
  <c r="NGO49" i="79"/>
  <c r="NGN49" i="79"/>
  <c r="NGM49" i="79"/>
  <c r="NGL49" i="79"/>
  <c r="NGK49" i="79"/>
  <c r="NGJ49" i="79"/>
  <c r="NGI49" i="79"/>
  <c r="NGH49" i="79"/>
  <c r="NGG49" i="79"/>
  <c r="NGF49" i="79"/>
  <c r="NGE49" i="79"/>
  <c r="NGD49" i="79"/>
  <c r="NGC49" i="79"/>
  <c r="NGB49" i="79"/>
  <c r="NGA49" i="79"/>
  <c r="NFZ49" i="79"/>
  <c r="NFY49" i="79"/>
  <c r="NFX49" i="79"/>
  <c r="NFW49" i="79"/>
  <c r="NFV49" i="79"/>
  <c r="NFU49" i="79"/>
  <c r="NFT49" i="79"/>
  <c r="NFS49" i="79"/>
  <c r="NFR49" i="79"/>
  <c r="NFQ49" i="79"/>
  <c r="NFP49" i="79"/>
  <c r="NFO49" i="79"/>
  <c r="NFN49" i="79"/>
  <c r="NFM49" i="79"/>
  <c r="NFL49" i="79"/>
  <c r="NFK49" i="79"/>
  <c r="NFJ49" i="79"/>
  <c r="NFI49" i="79"/>
  <c r="NFH49" i="79"/>
  <c r="NFG49" i="79"/>
  <c r="NFF49" i="79"/>
  <c r="NFE49" i="79"/>
  <c r="NFD49" i="79"/>
  <c r="NFC49" i="79"/>
  <c r="NFB49" i="79"/>
  <c r="NFA49" i="79"/>
  <c r="NEZ49" i="79"/>
  <c r="NEY49" i="79"/>
  <c r="NEX49" i="79"/>
  <c r="NEW49" i="79"/>
  <c r="NEV49" i="79"/>
  <c r="NEU49" i="79"/>
  <c r="NET49" i="79"/>
  <c r="NES49" i="79"/>
  <c r="NER49" i="79"/>
  <c r="NEQ49" i="79"/>
  <c r="NEP49" i="79"/>
  <c r="NEO49" i="79"/>
  <c r="NEN49" i="79"/>
  <c r="NEM49" i="79"/>
  <c r="NEL49" i="79"/>
  <c r="NEK49" i="79"/>
  <c r="NEJ49" i="79"/>
  <c r="NEI49" i="79"/>
  <c r="NEH49" i="79"/>
  <c r="NEG49" i="79"/>
  <c r="NEF49" i="79"/>
  <c r="NEE49" i="79"/>
  <c r="NED49" i="79"/>
  <c r="NEC49" i="79"/>
  <c r="NEB49" i="79"/>
  <c r="NEA49" i="79"/>
  <c r="NDZ49" i="79"/>
  <c r="NDY49" i="79"/>
  <c r="NDX49" i="79"/>
  <c r="NDW49" i="79"/>
  <c r="NDV49" i="79"/>
  <c r="NDU49" i="79"/>
  <c r="NDT49" i="79"/>
  <c r="NDS49" i="79"/>
  <c r="NDR49" i="79"/>
  <c r="NDQ49" i="79"/>
  <c r="NDP49" i="79"/>
  <c r="NDO49" i="79"/>
  <c r="NDN49" i="79"/>
  <c r="NDM49" i="79"/>
  <c r="NDL49" i="79"/>
  <c r="NDK49" i="79"/>
  <c r="NDJ49" i="79"/>
  <c r="NDI49" i="79"/>
  <c r="NDH49" i="79"/>
  <c r="NDG49" i="79"/>
  <c r="NDF49" i="79"/>
  <c r="NDE49" i="79"/>
  <c r="NDD49" i="79"/>
  <c r="NDC49" i="79"/>
  <c r="NDB49" i="79"/>
  <c r="NDA49" i="79"/>
  <c r="NCZ49" i="79"/>
  <c r="NCY49" i="79"/>
  <c r="NCX49" i="79"/>
  <c r="NCW49" i="79"/>
  <c r="NCV49" i="79"/>
  <c r="NCU49" i="79"/>
  <c r="NCT49" i="79"/>
  <c r="NCS49" i="79"/>
  <c r="NCR49" i="79"/>
  <c r="NCQ49" i="79"/>
  <c r="NCP49" i="79"/>
  <c r="NCO49" i="79"/>
  <c r="NCN49" i="79"/>
  <c r="NCM49" i="79"/>
  <c r="NCL49" i="79"/>
  <c r="NCK49" i="79"/>
  <c r="NCJ49" i="79"/>
  <c r="NCI49" i="79"/>
  <c r="NCH49" i="79"/>
  <c r="NCG49" i="79"/>
  <c r="NCF49" i="79"/>
  <c r="NCE49" i="79"/>
  <c r="NCD49" i="79"/>
  <c r="NCC49" i="79"/>
  <c r="NCB49" i="79"/>
  <c r="NCA49" i="79"/>
  <c r="NBZ49" i="79"/>
  <c r="NBY49" i="79"/>
  <c r="NBX49" i="79"/>
  <c r="NBW49" i="79"/>
  <c r="NBV49" i="79"/>
  <c r="NBU49" i="79"/>
  <c r="NBT49" i="79"/>
  <c r="NBS49" i="79"/>
  <c r="NBR49" i="79"/>
  <c r="NBQ49" i="79"/>
  <c r="NBP49" i="79"/>
  <c r="NBO49" i="79"/>
  <c r="NBN49" i="79"/>
  <c r="NBM49" i="79"/>
  <c r="NBL49" i="79"/>
  <c r="NBK49" i="79"/>
  <c r="NBJ49" i="79"/>
  <c r="NBI49" i="79"/>
  <c r="NBH49" i="79"/>
  <c r="NBG49" i="79"/>
  <c r="NBF49" i="79"/>
  <c r="NBE49" i="79"/>
  <c r="NBD49" i="79"/>
  <c r="NBC49" i="79"/>
  <c r="NBB49" i="79"/>
  <c r="NBA49" i="79"/>
  <c r="NAZ49" i="79"/>
  <c r="NAY49" i="79"/>
  <c r="NAX49" i="79"/>
  <c r="NAW49" i="79"/>
  <c r="NAV49" i="79"/>
  <c r="NAU49" i="79"/>
  <c r="NAT49" i="79"/>
  <c r="NAS49" i="79"/>
  <c r="NAR49" i="79"/>
  <c r="NAQ49" i="79"/>
  <c r="NAP49" i="79"/>
  <c r="NAO49" i="79"/>
  <c r="NAN49" i="79"/>
  <c r="NAM49" i="79"/>
  <c r="NAL49" i="79"/>
  <c r="NAK49" i="79"/>
  <c r="NAJ49" i="79"/>
  <c r="NAI49" i="79"/>
  <c r="NAH49" i="79"/>
  <c r="NAG49" i="79"/>
  <c r="NAF49" i="79"/>
  <c r="NAE49" i="79"/>
  <c r="NAD49" i="79"/>
  <c r="NAC49" i="79"/>
  <c r="NAB49" i="79"/>
  <c r="NAA49" i="79"/>
  <c r="MZZ49" i="79"/>
  <c r="MZY49" i="79"/>
  <c r="MZX49" i="79"/>
  <c r="MZW49" i="79"/>
  <c r="MZV49" i="79"/>
  <c r="MZU49" i="79"/>
  <c r="MZT49" i="79"/>
  <c r="MZS49" i="79"/>
  <c r="MZR49" i="79"/>
  <c r="MZQ49" i="79"/>
  <c r="MZP49" i="79"/>
  <c r="MZO49" i="79"/>
  <c r="MZN49" i="79"/>
  <c r="MZM49" i="79"/>
  <c r="MZL49" i="79"/>
  <c r="MZK49" i="79"/>
  <c r="MZJ49" i="79"/>
  <c r="MZI49" i="79"/>
  <c r="MZH49" i="79"/>
  <c r="MZG49" i="79"/>
  <c r="MZF49" i="79"/>
  <c r="MZE49" i="79"/>
  <c r="MZD49" i="79"/>
  <c r="MZC49" i="79"/>
  <c r="MZB49" i="79"/>
  <c r="MZA49" i="79"/>
  <c r="MYZ49" i="79"/>
  <c r="MYY49" i="79"/>
  <c r="MYX49" i="79"/>
  <c r="MYW49" i="79"/>
  <c r="MYV49" i="79"/>
  <c r="MYU49" i="79"/>
  <c r="MYT49" i="79"/>
  <c r="MYS49" i="79"/>
  <c r="MYR49" i="79"/>
  <c r="MYQ49" i="79"/>
  <c r="MYP49" i="79"/>
  <c r="MYO49" i="79"/>
  <c r="MYN49" i="79"/>
  <c r="MYM49" i="79"/>
  <c r="MYL49" i="79"/>
  <c r="MYK49" i="79"/>
  <c r="MYJ49" i="79"/>
  <c r="MYI49" i="79"/>
  <c r="MYH49" i="79"/>
  <c r="MYG49" i="79"/>
  <c r="MYF49" i="79"/>
  <c r="MYE49" i="79"/>
  <c r="MYD49" i="79"/>
  <c r="MYC49" i="79"/>
  <c r="MYB49" i="79"/>
  <c r="MYA49" i="79"/>
  <c r="MXZ49" i="79"/>
  <c r="MXY49" i="79"/>
  <c r="MXX49" i="79"/>
  <c r="MXW49" i="79"/>
  <c r="MXV49" i="79"/>
  <c r="MXU49" i="79"/>
  <c r="MXT49" i="79"/>
  <c r="MXS49" i="79"/>
  <c r="MXR49" i="79"/>
  <c r="MXQ49" i="79"/>
  <c r="MXP49" i="79"/>
  <c r="MXO49" i="79"/>
  <c r="MXN49" i="79"/>
  <c r="MXM49" i="79"/>
  <c r="MXL49" i="79"/>
  <c r="MXK49" i="79"/>
  <c r="MXJ49" i="79"/>
  <c r="MXI49" i="79"/>
  <c r="MXH49" i="79"/>
  <c r="MXG49" i="79"/>
  <c r="MXF49" i="79"/>
  <c r="MXE49" i="79"/>
  <c r="MXD49" i="79"/>
  <c r="MXC49" i="79"/>
  <c r="MXB49" i="79"/>
  <c r="MXA49" i="79"/>
  <c r="MWZ49" i="79"/>
  <c r="MWY49" i="79"/>
  <c r="MWX49" i="79"/>
  <c r="MWW49" i="79"/>
  <c r="MWV49" i="79"/>
  <c r="MWU49" i="79"/>
  <c r="MWT49" i="79"/>
  <c r="MWS49" i="79"/>
  <c r="MWR49" i="79"/>
  <c r="MWQ49" i="79"/>
  <c r="MWP49" i="79"/>
  <c r="MWO49" i="79"/>
  <c r="MWN49" i="79"/>
  <c r="MWM49" i="79"/>
  <c r="MWL49" i="79"/>
  <c r="MWK49" i="79"/>
  <c r="MWJ49" i="79"/>
  <c r="MWI49" i="79"/>
  <c r="MWH49" i="79"/>
  <c r="MWG49" i="79"/>
  <c r="MWF49" i="79"/>
  <c r="MWE49" i="79"/>
  <c r="MWD49" i="79"/>
  <c r="MWC49" i="79"/>
  <c r="MWB49" i="79"/>
  <c r="MWA49" i="79"/>
  <c r="MVZ49" i="79"/>
  <c r="MVY49" i="79"/>
  <c r="MVX49" i="79"/>
  <c r="MVW49" i="79"/>
  <c r="MVV49" i="79"/>
  <c r="MVU49" i="79"/>
  <c r="MVT49" i="79"/>
  <c r="MVS49" i="79"/>
  <c r="MVR49" i="79"/>
  <c r="MVQ49" i="79"/>
  <c r="MVP49" i="79"/>
  <c r="MVO49" i="79"/>
  <c r="MVN49" i="79"/>
  <c r="MVM49" i="79"/>
  <c r="MVL49" i="79"/>
  <c r="MVK49" i="79"/>
  <c r="MVJ49" i="79"/>
  <c r="MVI49" i="79"/>
  <c r="MVH49" i="79"/>
  <c r="MVG49" i="79"/>
  <c r="MVF49" i="79"/>
  <c r="MVE49" i="79"/>
  <c r="MVD49" i="79"/>
  <c r="MVC49" i="79"/>
  <c r="MVB49" i="79"/>
  <c r="MVA49" i="79"/>
  <c r="MUZ49" i="79"/>
  <c r="MUY49" i="79"/>
  <c r="MUX49" i="79"/>
  <c r="MUW49" i="79"/>
  <c r="MUV49" i="79"/>
  <c r="MUU49" i="79"/>
  <c r="MUT49" i="79"/>
  <c r="MUS49" i="79"/>
  <c r="MUR49" i="79"/>
  <c r="MUQ49" i="79"/>
  <c r="MUP49" i="79"/>
  <c r="MUO49" i="79"/>
  <c r="MUN49" i="79"/>
  <c r="MUM49" i="79"/>
  <c r="MUL49" i="79"/>
  <c r="MUK49" i="79"/>
  <c r="MUJ49" i="79"/>
  <c r="MUI49" i="79"/>
  <c r="MUH49" i="79"/>
  <c r="MUG49" i="79"/>
  <c r="MUF49" i="79"/>
  <c r="MUE49" i="79"/>
  <c r="MUD49" i="79"/>
  <c r="MUC49" i="79"/>
  <c r="MUB49" i="79"/>
  <c r="MUA49" i="79"/>
  <c r="MTZ49" i="79"/>
  <c r="MTY49" i="79"/>
  <c r="MTX49" i="79"/>
  <c r="MTW49" i="79"/>
  <c r="MTV49" i="79"/>
  <c r="MTU49" i="79"/>
  <c r="MTT49" i="79"/>
  <c r="MTS49" i="79"/>
  <c r="MTR49" i="79"/>
  <c r="MTQ49" i="79"/>
  <c r="MTP49" i="79"/>
  <c r="MTO49" i="79"/>
  <c r="MTN49" i="79"/>
  <c r="MTM49" i="79"/>
  <c r="MTL49" i="79"/>
  <c r="MTK49" i="79"/>
  <c r="MTJ49" i="79"/>
  <c r="MTI49" i="79"/>
  <c r="MTH49" i="79"/>
  <c r="MTG49" i="79"/>
  <c r="MTF49" i="79"/>
  <c r="MTE49" i="79"/>
  <c r="MTD49" i="79"/>
  <c r="MTC49" i="79"/>
  <c r="MTB49" i="79"/>
  <c r="MTA49" i="79"/>
  <c r="MSZ49" i="79"/>
  <c r="MSY49" i="79"/>
  <c r="MSX49" i="79"/>
  <c r="MSW49" i="79"/>
  <c r="MSV49" i="79"/>
  <c r="MSU49" i="79"/>
  <c r="MST49" i="79"/>
  <c r="MSS49" i="79"/>
  <c r="MSR49" i="79"/>
  <c r="MSQ49" i="79"/>
  <c r="MSP49" i="79"/>
  <c r="MSO49" i="79"/>
  <c r="MSN49" i="79"/>
  <c r="MSM49" i="79"/>
  <c r="MSL49" i="79"/>
  <c r="MSK49" i="79"/>
  <c r="MSJ49" i="79"/>
  <c r="MSI49" i="79"/>
  <c r="MSH49" i="79"/>
  <c r="MSG49" i="79"/>
  <c r="MSF49" i="79"/>
  <c r="MSE49" i="79"/>
  <c r="MSD49" i="79"/>
  <c r="MSC49" i="79"/>
  <c r="MSB49" i="79"/>
  <c r="MSA49" i="79"/>
  <c r="MRZ49" i="79"/>
  <c r="MRY49" i="79"/>
  <c r="MRX49" i="79"/>
  <c r="MRW49" i="79"/>
  <c r="MRV49" i="79"/>
  <c r="MRU49" i="79"/>
  <c r="MRT49" i="79"/>
  <c r="MRS49" i="79"/>
  <c r="MRR49" i="79"/>
  <c r="MRQ49" i="79"/>
  <c r="MRP49" i="79"/>
  <c r="MRO49" i="79"/>
  <c r="MRN49" i="79"/>
  <c r="MRM49" i="79"/>
  <c r="MRL49" i="79"/>
  <c r="MRK49" i="79"/>
  <c r="MRJ49" i="79"/>
  <c r="MRI49" i="79"/>
  <c r="MRH49" i="79"/>
  <c r="MRG49" i="79"/>
  <c r="MRF49" i="79"/>
  <c r="MRE49" i="79"/>
  <c r="MRD49" i="79"/>
  <c r="MRC49" i="79"/>
  <c r="MRB49" i="79"/>
  <c r="MRA49" i="79"/>
  <c r="MQZ49" i="79"/>
  <c r="MQY49" i="79"/>
  <c r="MQX49" i="79"/>
  <c r="MQW49" i="79"/>
  <c r="MQV49" i="79"/>
  <c r="MQU49" i="79"/>
  <c r="MQT49" i="79"/>
  <c r="MQS49" i="79"/>
  <c r="MQR49" i="79"/>
  <c r="MQQ49" i="79"/>
  <c r="MQP49" i="79"/>
  <c r="MQO49" i="79"/>
  <c r="MQN49" i="79"/>
  <c r="MQM49" i="79"/>
  <c r="MQL49" i="79"/>
  <c r="MQK49" i="79"/>
  <c r="MQJ49" i="79"/>
  <c r="MQI49" i="79"/>
  <c r="MQH49" i="79"/>
  <c r="MQG49" i="79"/>
  <c r="MQF49" i="79"/>
  <c r="MQE49" i="79"/>
  <c r="MQD49" i="79"/>
  <c r="MQC49" i="79"/>
  <c r="MQB49" i="79"/>
  <c r="MQA49" i="79"/>
  <c r="MPZ49" i="79"/>
  <c r="MPY49" i="79"/>
  <c r="MPX49" i="79"/>
  <c r="MPW49" i="79"/>
  <c r="MPV49" i="79"/>
  <c r="MPU49" i="79"/>
  <c r="MPT49" i="79"/>
  <c r="MPS49" i="79"/>
  <c r="MPR49" i="79"/>
  <c r="MPQ49" i="79"/>
  <c r="MPP49" i="79"/>
  <c r="MPO49" i="79"/>
  <c r="MPN49" i="79"/>
  <c r="MPM49" i="79"/>
  <c r="MPL49" i="79"/>
  <c r="MPK49" i="79"/>
  <c r="MPJ49" i="79"/>
  <c r="MPI49" i="79"/>
  <c r="MPH49" i="79"/>
  <c r="MPG49" i="79"/>
  <c r="MPF49" i="79"/>
  <c r="MPE49" i="79"/>
  <c r="MPD49" i="79"/>
  <c r="MPC49" i="79"/>
  <c r="MPB49" i="79"/>
  <c r="MPA49" i="79"/>
  <c r="MOZ49" i="79"/>
  <c r="MOY49" i="79"/>
  <c r="MOX49" i="79"/>
  <c r="MOW49" i="79"/>
  <c r="MOV49" i="79"/>
  <c r="MOU49" i="79"/>
  <c r="MOT49" i="79"/>
  <c r="MOS49" i="79"/>
  <c r="MOR49" i="79"/>
  <c r="MOQ49" i="79"/>
  <c r="MOP49" i="79"/>
  <c r="MOO49" i="79"/>
  <c r="MON49" i="79"/>
  <c r="MOM49" i="79"/>
  <c r="MOL49" i="79"/>
  <c r="MOK49" i="79"/>
  <c r="MOJ49" i="79"/>
  <c r="MOI49" i="79"/>
  <c r="MOH49" i="79"/>
  <c r="MOG49" i="79"/>
  <c r="MOF49" i="79"/>
  <c r="MOE49" i="79"/>
  <c r="MOD49" i="79"/>
  <c r="MOC49" i="79"/>
  <c r="MOB49" i="79"/>
  <c r="MOA49" i="79"/>
  <c r="MNZ49" i="79"/>
  <c r="MNY49" i="79"/>
  <c r="MNX49" i="79"/>
  <c r="MNW49" i="79"/>
  <c r="MNV49" i="79"/>
  <c r="MNU49" i="79"/>
  <c r="MNT49" i="79"/>
  <c r="MNS49" i="79"/>
  <c r="MNR49" i="79"/>
  <c r="MNQ49" i="79"/>
  <c r="MNP49" i="79"/>
  <c r="MNO49" i="79"/>
  <c r="MNN49" i="79"/>
  <c r="MNM49" i="79"/>
  <c r="MNL49" i="79"/>
  <c r="MNK49" i="79"/>
  <c r="MNJ49" i="79"/>
  <c r="MNI49" i="79"/>
  <c r="MNH49" i="79"/>
  <c r="MNG49" i="79"/>
  <c r="MNF49" i="79"/>
  <c r="MNE49" i="79"/>
  <c r="MND49" i="79"/>
  <c r="MNC49" i="79"/>
  <c r="MNB49" i="79"/>
  <c r="MNA49" i="79"/>
  <c r="MMZ49" i="79"/>
  <c r="MMY49" i="79"/>
  <c r="MMX49" i="79"/>
  <c r="MMW49" i="79"/>
  <c r="MMV49" i="79"/>
  <c r="MMU49" i="79"/>
  <c r="MMT49" i="79"/>
  <c r="MMS49" i="79"/>
  <c r="MMR49" i="79"/>
  <c r="MMQ49" i="79"/>
  <c r="MMP49" i="79"/>
  <c r="MMO49" i="79"/>
  <c r="MMN49" i="79"/>
  <c r="MMM49" i="79"/>
  <c r="MML49" i="79"/>
  <c r="MMK49" i="79"/>
  <c r="MMJ49" i="79"/>
  <c r="MMI49" i="79"/>
  <c r="MMH49" i="79"/>
  <c r="MMG49" i="79"/>
  <c r="MMF49" i="79"/>
  <c r="MME49" i="79"/>
  <c r="MMD49" i="79"/>
  <c r="MMC49" i="79"/>
  <c r="MMB49" i="79"/>
  <c r="MMA49" i="79"/>
  <c r="MLZ49" i="79"/>
  <c r="MLY49" i="79"/>
  <c r="MLX49" i="79"/>
  <c r="MLW49" i="79"/>
  <c r="MLV49" i="79"/>
  <c r="MLU49" i="79"/>
  <c r="MLT49" i="79"/>
  <c r="MLS49" i="79"/>
  <c r="MLR49" i="79"/>
  <c r="MLQ49" i="79"/>
  <c r="MLP49" i="79"/>
  <c r="MLO49" i="79"/>
  <c r="MLN49" i="79"/>
  <c r="MLM49" i="79"/>
  <c r="MLL49" i="79"/>
  <c r="MLK49" i="79"/>
  <c r="MLJ49" i="79"/>
  <c r="MLI49" i="79"/>
  <c r="MLH49" i="79"/>
  <c r="MLG49" i="79"/>
  <c r="MLF49" i="79"/>
  <c r="MLE49" i="79"/>
  <c r="MLD49" i="79"/>
  <c r="MLC49" i="79"/>
  <c r="MLB49" i="79"/>
  <c r="MLA49" i="79"/>
  <c r="MKZ49" i="79"/>
  <c r="MKY49" i="79"/>
  <c r="MKX49" i="79"/>
  <c r="MKW49" i="79"/>
  <c r="MKV49" i="79"/>
  <c r="MKU49" i="79"/>
  <c r="MKT49" i="79"/>
  <c r="MKS49" i="79"/>
  <c r="MKR49" i="79"/>
  <c r="MKQ49" i="79"/>
  <c r="MKP49" i="79"/>
  <c r="MKO49" i="79"/>
  <c r="MKN49" i="79"/>
  <c r="MKM49" i="79"/>
  <c r="MKL49" i="79"/>
  <c r="MKK49" i="79"/>
  <c r="MKJ49" i="79"/>
  <c r="MKI49" i="79"/>
  <c r="MKH49" i="79"/>
  <c r="MKG49" i="79"/>
  <c r="MKF49" i="79"/>
  <c r="MKE49" i="79"/>
  <c r="MKD49" i="79"/>
  <c r="MKC49" i="79"/>
  <c r="MKB49" i="79"/>
  <c r="MKA49" i="79"/>
  <c r="MJZ49" i="79"/>
  <c r="MJY49" i="79"/>
  <c r="MJX49" i="79"/>
  <c r="MJW49" i="79"/>
  <c r="MJV49" i="79"/>
  <c r="MJU49" i="79"/>
  <c r="MJT49" i="79"/>
  <c r="MJS49" i="79"/>
  <c r="MJR49" i="79"/>
  <c r="MJQ49" i="79"/>
  <c r="MJP49" i="79"/>
  <c r="MJO49" i="79"/>
  <c r="MJN49" i="79"/>
  <c r="MJM49" i="79"/>
  <c r="MJL49" i="79"/>
  <c r="MJK49" i="79"/>
  <c r="MJJ49" i="79"/>
  <c r="MJI49" i="79"/>
  <c r="MJH49" i="79"/>
  <c r="MJG49" i="79"/>
  <c r="MJF49" i="79"/>
  <c r="MJE49" i="79"/>
  <c r="MJD49" i="79"/>
  <c r="MJC49" i="79"/>
  <c r="MJB49" i="79"/>
  <c r="MJA49" i="79"/>
  <c r="MIZ49" i="79"/>
  <c r="MIY49" i="79"/>
  <c r="MIX49" i="79"/>
  <c r="MIW49" i="79"/>
  <c r="MIV49" i="79"/>
  <c r="MIU49" i="79"/>
  <c r="MIT49" i="79"/>
  <c r="MIS49" i="79"/>
  <c r="MIR49" i="79"/>
  <c r="MIQ49" i="79"/>
  <c r="MIP49" i="79"/>
  <c r="MIO49" i="79"/>
  <c r="MIN49" i="79"/>
  <c r="MIM49" i="79"/>
  <c r="MIL49" i="79"/>
  <c r="MIK49" i="79"/>
  <c r="MIJ49" i="79"/>
  <c r="MII49" i="79"/>
  <c r="MIH49" i="79"/>
  <c r="MIG49" i="79"/>
  <c r="MIF49" i="79"/>
  <c r="MIE49" i="79"/>
  <c r="MID49" i="79"/>
  <c r="MIC49" i="79"/>
  <c r="MIB49" i="79"/>
  <c r="MIA49" i="79"/>
  <c r="MHZ49" i="79"/>
  <c r="MHY49" i="79"/>
  <c r="MHX49" i="79"/>
  <c r="MHW49" i="79"/>
  <c r="MHV49" i="79"/>
  <c r="MHU49" i="79"/>
  <c r="MHT49" i="79"/>
  <c r="MHS49" i="79"/>
  <c r="MHR49" i="79"/>
  <c r="MHQ49" i="79"/>
  <c r="MHP49" i="79"/>
  <c r="MHO49" i="79"/>
  <c r="MHN49" i="79"/>
  <c r="MHM49" i="79"/>
  <c r="MHL49" i="79"/>
  <c r="MHK49" i="79"/>
  <c r="MHJ49" i="79"/>
  <c r="MHI49" i="79"/>
  <c r="MHH49" i="79"/>
  <c r="MHG49" i="79"/>
  <c r="MHF49" i="79"/>
  <c r="MHE49" i="79"/>
  <c r="MHD49" i="79"/>
  <c r="MHC49" i="79"/>
  <c r="MHB49" i="79"/>
  <c r="MHA49" i="79"/>
  <c r="MGZ49" i="79"/>
  <c r="MGY49" i="79"/>
  <c r="MGX49" i="79"/>
  <c r="MGW49" i="79"/>
  <c r="MGV49" i="79"/>
  <c r="MGU49" i="79"/>
  <c r="MGT49" i="79"/>
  <c r="MGS49" i="79"/>
  <c r="MGR49" i="79"/>
  <c r="MGQ49" i="79"/>
  <c r="MGP49" i="79"/>
  <c r="MGO49" i="79"/>
  <c r="MGN49" i="79"/>
  <c r="MGM49" i="79"/>
  <c r="MGL49" i="79"/>
  <c r="MGK49" i="79"/>
  <c r="MGJ49" i="79"/>
  <c r="MGI49" i="79"/>
  <c r="MGH49" i="79"/>
  <c r="MGG49" i="79"/>
  <c r="MGF49" i="79"/>
  <c r="MGE49" i="79"/>
  <c r="MGD49" i="79"/>
  <c r="MGC49" i="79"/>
  <c r="MGB49" i="79"/>
  <c r="MGA49" i="79"/>
  <c r="MFZ49" i="79"/>
  <c r="MFY49" i="79"/>
  <c r="MFX49" i="79"/>
  <c r="MFW49" i="79"/>
  <c r="MFV49" i="79"/>
  <c r="MFU49" i="79"/>
  <c r="MFT49" i="79"/>
  <c r="MFS49" i="79"/>
  <c r="MFR49" i="79"/>
  <c r="MFQ49" i="79"/>
  <c r="MFP49" i="79"/>
  <c r="MFO49" i="79"/>
  <c r="MFN49" i="79"/>
  <c r="MFM49" i="79"/>
  <c r="MFL49" i="79"/>
  <c r="MFK49" i="79"/>
  <c r="MFJ49" i="79"/>
  <c r="MFI49" i="79"/>
  <c r="MFH49" i="79"/>
  <c r="MFG49" i="79"/>
  <c r="MFF49" i="79"/>
  <c r="MFE49" i="79"/>
  <c r="MFD49" i="79"/>
  <c r="MFC49" i="79"/>
  <c r="MFB49" i="79"/>
  <c r="MFA49" i="79"/>
  <c r="MEZ49" i="79"/>
  <c r="MEY49" i="79"/>
  <c r="MEX49" i="79"/>
  <c r="MEW49" i="79"/>
  <c r="MEV49" i="79"/>
  <c r="MEU49" i="79"/>
  <c r="MET49" i="79"/>
  <c r="MES49" i="79"/>
  <c r="MER49" i="79"/>
  <c r="MEQ49" i="79"/>
  <c r="MEP49" i="79"/>
  <c r="MEO49" i="79"/>
  <c r="MEN49" i="79"/>
  <c r="MEM49" i="79"/>
  <c r="MEL49" i="79"/>
  <c r="MEK49" i="79"/>
  <c r="MEJ49" i="79"/>
  <c r="MEI49" i="79"/>
  <c r="MEH49" i="79"/>
  <c r="MEG49" i="79"/>
  <c r="MEF49" i="79"/>
  <c r="MEE49" i="79"/>
  <c r="MED49" i="79"/>
  <c r="MEC49" i="79"/>
  <c r="MEB49" i="79"/>
  <c r="MEA49" i="79"/>
  <c r="MDZ49" i="79"/>
  <c r="MDY49" i="79"/>
  <c r="MDX49" i="79"/>
  <c r="MDW49" i="79"/>
  <c r="MDV49" i="79"/>
  <c r="MDU49" i="79"/>
  <c r="MDT49" i="79"/>
  <c r="MDS49" i="79"/>
  <c r="MDR49" i="79"/>
  <c r="MDQ49" i="79"/>
  <c r="MDP49" i="79"/>
  <c r="MDO49" i="79"/>
  <c r="MDN49" i="79"/>
  <c r="MDM49" i="79"/>
  <c r="MDL49" i="79"/>
  <c r="MDK49" i="79"/>
  <c r="MDJ49" i="79"/>
  <c r="MDI49" i="79"/>
  <c r="MDH49" i="79"/>
  <c r="MDG49" i="79"/>
  <c r="MDF49" i="79"/>
  <c r="MDE49" i="79"/>
  <c r="MDD49" i="79"/>
  <c r="MDC49" i="79"/>
  <c r="MDB49" i="79"/>
  <c r="MDA49" i="79"/>
  <c r="MCZ49" i="79"/>
  <c r="MCY49" i="79"/>
  <c r="MCX49" i="79"/>
  <c r="MCW49" i="79"/>
  <c r="MCV49" i="79"/>
  <c r="MCU49" i="79"/>
  <c r="MCT49" i="79"/>
  <c r="MCS49" i="79"/>
  <c r="MCR49" i="79"/>
  <c r="MCQ49" i="79"/>
  <c r="MCP49" i="79"/>
  <c r="MCO49" i="79"/>
  <c r="MCN49" i="79"/>
  <c r="MCM49" i="79"/>
  <c r="MCL49" i="79"/>
  <c r="MCK49" i="79"/>
  <c r="MCJ49" i="79"/>
  <c r="MCI49" i="79"/>
  <c r="MCH49" i="79"/>
  <c r="MCG49" i="79"/>
  <c r="MCF49" i="79"/>
  <c r="MCE49" i="79"/>
  <c r="MCD49" i="79"/>
  <c r="MCC49" i="79"/>
  <c r="MCB49" i="79"/>
  <c r="MCA49" i="79"/>
  <c r="MBZ49" i="79"/>
  <c r="MBY49" i="79"/>
  <c r="MBX49" i="79"/>
  <c r="MBW49" i="79"/>
  <c r="MBV49" i="79"/>
  <c r="MBU49" i="79"/>
  <c r="MBT49" i="79"/>
  <c r="MBS49" i="79"/>
  <c r="MBR49" i="79"/>
  <c r="MBQ49" i="79"/>
  <c r="MBP49" i="79"/>
  <c r="MBO49" i="79"/>
  <c r="MBN49" i="79"/>
  <c r="MBM49" i="79"/>
  <c r="MBL49" i="79"/>
  <c r="MBK49" i="79"/>
  <c r="MBJ49" i="79"/>
  <c r="MBI49" i="79"/>
  <c r="MBH49" i="79"/>
  <c r="MBG49" i="79"/>
  <c r="MBF49" i="79"/>
  <c r="MBE49" i="79"/>
  <c r="MBD49" i="79"/>
  <c r="MBC49" i="79"/>
  <c r="MBB49" i="79"/>
  <c r="MBA49" i="79"/>
  <c r="MAZ49" i="79"/>
  <c r="MAY49" i="79"/>
  <c r="MAX49" i="79"/>
  <c r="MAW49" i="79"/>
  <c r="MAV49" i="79"/>
  <c r="MAU49" i="79"/>
  <c r="MAT49" i="79"/>
  <c r="MAS49" i="79"/>
  <c r="MAR49" i="79"/>
  <c r="MAQ49" i="79"/>
  <c r="MAP49" i="79"/>
  <c r="MAO49" i="79"/>
  <c r="MAN49" i="79"/>
  <c r="MAM49" i="79"/>
  <c r="MAL49" i="79"/>
  <c r="MAK49" i="79"/>
  <c r="MAJ49" i="79"/>
  <c r="MAI49" i="79"/>
  <c r="MAH49" i="79"/>
  <c r="MAG49" i="79"/>
  <c r="MAF49" i="79"/>
  <c r="MAE49" i="79"/>
  <c r="MAD49" i="79"/>
  <c r="MAC49" i="79"/>
  <c r="MAB49" i="79"/>
  <c r="MAA49" i="79"/>
  <c r="LZZ49" i="79"/>
  <c r="LZY49" i="79"/>
  <c r="LZX49" i="79"/>
  <c r="LZW49" i="79"/>
  <c r="LZV49" i="79"/>
  <c r="LZU49" i="79"/>
  <c r="LZT49" i="79"/>
  <c r="LZS49" i="79"/>
  <c r="LZR49" i="79"/>
  <c r="LZQ49" i="79"/>
  <c r="LZP49" i="79"/>
  <c r="LZO49" i="79"/>
  <c r="LZN49" i="79"/>
  <c r="LZM49" i="79"/>
  <c r="LZL49" i="79"/>
  <c r="LZK49" i="79"/>
  <c r="LZJ49" i="79"/>
  <c r="LZI49" i="79"/>
  <c r="LZH49" i="79"/>
  <c r="LZG49" i="79"/>
  <c r="LZF49" i="79"/>
  <c r="LZE49" i="79"/>
  <c r="LZD49" i="79"/>
  <c r="LZC49" i="79"/>
  <c r="LZB49" i="79"/>
  <c r="LZA49" i="79"/>
  <c r="LYZ49" i="79"/>
  <c r="LYY49" i="79"/>
  <c r="LYX49" i="79"/>
  <c r="LYW49" i="79"/>
  <c r="LYV49" i="79"/>
  <c r="LYU49" i="79"/>
  <c r="LYT49" i="79"/>
  <c r="LYS49" i="79"/>
  <c r="LYR49" i="79"/>
  <c r="LYQ49" i="79"/>
  <c r="LYP49" i="79"/>
  <c r="LYO49" i="79"/>
  <c r="LYN49" i="79"/>
  <c r="LYM49" i="79"/>
  <c r="LYL49" i="79"/>
  <c r="LYK49" i="79"/>
  <c r="LYJ49" i="79"/>
  <c r="LYI49" i="79"/>
  <c r="LYH49" i="79"/>
  <c r="LYG49" i="79"/>
  <c r="LYF49" i="79"/>
  <c r="LYE49" i="79"/>
  <c r="LYD49" i="79"/>
  <c r="LYC49" i="79"/>
  <c r="LYB49" i="79"/>
  <c r="LYA49" i="79"/>
  <c r="LXZ49" i="79"/>
  <c r="LXY49" i="79"/>
  <c r="LXX49" i="79"/>
  <c r="LXW49" i="79"/>
  <c r="LXV49" i="79"/>
  <c r="LXU49" i="79"/>
  <c r="LXT49" i="79"/>
  <c r="LXS49" i="79"/>
  <c r="LXR49" i="79"/>
  <c r="LXQ49" i="79"/>
  <c r="LXP49" i="79"/>
  <c r="LXO49" i="79"/>
  <c r="LXN49" i="79"/>
  <c r="LXM49" i="79"/>
  <c r="LXL49" i="79"/>
  <c r="LXK49" i="79"/>
  <c r="LXJ49" i="79"/>
  <c r="LXI49" i="79"/>
  <c r="LXH49" i="79"/>
  <c r="LXG49" i="79"/>
  <c r="LXF49" i="79"/>
  <c r="LXE49" i="79"/>
  <c r="LXD49" i="79"/>
  <c r="LXC49" i="79"/>
  <c r="LXB49" i="79"/>
  <c r="LXA49" i="79"/>
  <c r="LWZ49" i="79"/>
  <c r="LWY49" i="79"/>
  <c r="LWX49" i="79"/>
  <c r="LWW49" i="79"/>
  <c r="LWV49" i="79"/>
  <c r="LWU49" i="79"/>
  <c r="LWT49" i="79"/>
  <c r="LWS49" i="79"/>
  <c r="LWR49" i="79"/>
  <c r="LWQ49" i="79"/>
  <c r="LWP49" i="79"/>
  <c r="LWO49" i="79"/>
  <c r="LWN49" i="79"/>
  <c r="LWM49" i="79"/>
  <c r="LWL49" i="79"/>
  <c r="LWK49" i="79"/>
  <c r="LWJ49" i="79"/>
  <c r="LWI49" i="79"/>
  <c r="LWH49" i="79"/>
  <c r="LWG49" i="79"/>
  <c r="LWF49" i="79"/>
  <c r="LWE49" i="79"/>
  <c r="LWD49" i="79"/>
  <c r="LWC49" i="79"/>
  <c r="LWB49" i="79"/>
  <c r="LWA49" i="79"/>
  <c r="LVZ49" i="79"/>
  <c r="LVY49" i="79"/>
  <c r="LVX49" i="79"/>
  <c r="LVW49" i="79"/>
  <c r="LVV49" i="79"/>
  <c r="LVU49" i="79"/>
  <c r="LVT49" i="79"/>
  <c r="LVS49" i="79"/>
  <c r="LVR49" i="79"/>
  <c r="LVQ49" i="79"/>
  <c r="LVP49" i="79"/>
  <c r="LVO49" i="79"/>
  <c r="LVN49" i="79"/>
  <c r="LVM49" i="79"/>
  <c r="LVL49" i="79"/>
  <c r="LVK49" i="79"/>
  <c r="LVJ49" i="79"/>
  <c r="LVI49" i="79"/>
  <c r="LVH49" i="79"/>
  <c r="LVG49" i="79"/>
  <c r="LVF49" i="79"/>
  <c r="LVE49" i="79"/>
  <c r="LVD49" i="79"/>
  <c r="LVC49" i="79"/>
  <c r="LVB49" i="79"/>
  <c r="LVA49" i="79"/>
  <c r="LUZ49" i="79"/>
  <c r="LUY49" i="79"/>
  <c r="LUX49" i="79"/>
  <c r="LUW49" i="79"/>
  <c r="LUV49" i="79"/>
  <c r="LUU49" i="79"/>
  <c r="LUT49" i="79"/>
  <c r="LUS49" i="79"/>
  <c r="LUR49" i="79"/>
  <c r="LUQ49" i="79"/>
  <c r="LUP49" i="79"/>
  <c r="LUO49" i="79"/>
  <c r="LUN49" i="79"/>
  <c r="LUM49" i="79"/>
  <c r="LUL49" i="79"/>
  <c r="LUK49" i="79"/>
  <c r="LUJ49" i="79"/>
  <c r="LUI49" i="79"/>
  <c r="LUH49" i="79"/>
  <c r="LUG49" i="79"/>
  <c r="LUF49" i="79"/>
  <c r="LUE49" i="79"/>
  <c r="LUD49" i="79"/>
  <c r="LUC49" i="79"/>
  <c r="LUB49" i="79"/>
  <c r="LUA49" i="79"/>
  <c r="LTZ49" i="79"/>
  <c r="LTY49" i="79"/>
  <c r="LTX49" i="79"/>
  <c r="LTW49" i="79"/>
  <c r="LTV49" i="79"/>
  <c r="LTU49" i="79"/>
  <c r="LTT49" i="79"/>
  <c r="LTS49" i="79"/>
  <c r="LTR49" i="79"/>
  <c r="LTQ49" i="79"/>
  <c r="LTP49" i="79"/>
  <c r="LTO49" i="79"/>
  <c r="LTN49" i="79"/>
  <c r="LTM49" i="79"/>
  <c r="LTL49" i="79"/>
  <c r="LTK49" i="79"/>
  <c r="LTJ49" i="79"/>
  <c r="LTI49" i="79"/>
  <c r="LTH49" i="79"/>
  <c r="LTG49" i="79"/>
  <c r="LTF49" i="79"/>
  <c r="LTE49" i="79"/>
  <c r="LTD49" i="79"/>
  <c r="LTC49" i="79"/>
  <c r="LTB49" i="79"/>
  <c r="LTA49" i="79"/>
  <c r="LSZ49" i="79"/>
  <c r="LSY49" i="79"/>
  <c r="LSX49" i="79"/>
  <c r="LSW49" i="79"/>
  <c r="LSV49" i="79"/>
  <c r="LSU49" i="79"/>
  <c r="LST49" i="79"/>
  <c r="LSS49" i="79"/>
  <c r="LSR49" i="79"/>
  <c r="LSQ49" i="79"/>
  <c r="LSP49" i="79"/>
  <c r="LSO49" i="79"/>
  <c r="LSN49" i="79"/>
  <c r="LSM49" i="79"/>
  <c r="LSL49" i="79"/>
  <c r="LSK49" i="79"/>
  <c r="LSJ49" i="79"/>
  <c r="LSI49" i="79"/>
  <c r="LSH49" i="79"/>
  <c r="LSG49" i="79"/>
  <c r="LSF49" i="79"/>
  <c r="LSE49" i="79"/>
  <c r="LSD49" i="79"/>
  <c r="LSC49" i="79"/>
  <c r="LSB49" i="79"/>
  <c r="LSA49" i="79"/>
  <c r="LRZ49" i="79"/>
  <c r="LRY49" i="79"/>
  <c r="LRX49" i="79"/>
  <c r="LRW49" i="79"/>
  <c r="LRV49" i="79"/>
  <c r="LRU49" i="79"/>
  <c r="LRT49" i="79"/>
  <c r="LRS49" i="79"/>
  <c r="LRR49" i="79"/>
  <c r="LRQ49" i="79"/>
  <c r="LRP49" i="79"/>
  <c r="LRO49" i="79"/>
  <c r="LRN49" i="79"/>
  <c r="LRM49" i="79"/>
  <c r="LRL49" i="79"/>
  <c r="LRK49" i="79"/>
  <c r="LRJ49" i="79"/>
  <c r="LRI49" i="79"/>
  <c r="LRH49" i="79"/>
  <c r="LRG49" i="79"/>
  <c r="LRF49" i="79"/>
  <c r="LRE49" i="79"/>
  <c r="LRD49" i="79"/>
  <c r="LRC49" i="79"/>
  <c r="LRB49" i="79"/>
  <c r="LRA49" i="79"/>
  <c r="LQZ49" i="79"/>
  <c r="LQY49" i="79"/>
  <c r="LQX49" i="79"/>
  <c r="LQW49" i="79"/>
  <c r="LQV49" i="79"/>
  <c r="LQU49" i="79"/>
  <c r="LQT49" i="79"/>
  <c r="LQS49" i="79"/>
  <c r="LQR49" i="79"/>
  <c r="LQQ49" i="79"/>
  <c r="LQP49" i="79"/>
  <c r="LQO49" i="79"/>
  <c r="LQN49" i="79"/>
  <c r="LQM49" i="79"/>
  <c r="LQL49" i="79"/>
  <c r="LQK49" i="79"/>
  <c r="LQJ49" i="79"/>
  <c r="LQI49" i="79"/>
  <c r="LQH49" i="79"/>
  <c r="LQG49" i="79"/>
  <c r="LQF49" i="79"/>
  <c r="LQE49" i="79"/>
  <c r="LQD49" i="79"/>
  <c r="LQC49" i="79"/>
  <c r="LQB49" i="79"/>
  <c r="LQA49" i="79"/>
  <c r="LPZ49" i="79"/>
  <c r="LPY49" i="79"/>
  <c r="LPX49" i="79"/>
  <c r="LPW49" i="79"/>
  <c r="LPV49" i="79"/>
  <c r="LPU49" i="79"/>
  <c r="LPT49" i="79"/>
  <c r="LPS49" i="79"/>
  <c r="LPR49" i="79"/>
  <c r="LPQ49" i="79"/>
  <c r="LPP49" i="79"/>
  <c r="LPO49" i="79"/>
  <c r="LPN49" i="79"/>
  <c r="LPM49" i="79"/>
  <c r="LPL49" i="79"/>
  <c r="LPK49" i="79"/>
  <c r="LPJ49" i="79"/>
  <c r="LPI49" i="79"/>
  <c r="LPH49" i="79"/>
  <c r="LPG49" i="79"/>
  <c r="LPF49" i="79"/>
  <c r="LPE49" i="79"/>
  <c r="LPD49" i="79"/>
  <c r="LPC49" i="79"/>
  <c r="LPB49" i="79"/>
  <c r="LPA49" i="79"/>
  <c r="LOZ49" i="79"/>
  <c r="LOY49" i="79"/>
  <c r="LOX49" i="79"/>
  <c r="LOW49" i="79"/>
  <c r="LOV49" i="79"/>
  <c r="LOU49" i="79"/>
  <c r="LOT49" i="79"/>
  <c r="LOS49" i="79"/>
  <c r="LOR49" i="79"/>
  <c r="LOQ49" i="79"/>
  <c r="LOP49" i="79"/>
  <c r="LOO49" i="79"/>
  <c r="LON49" i="79"/>
  <c r="LOM49" i="79"/>
  <c r="LOL49" i="79"/>
  <c r="LOK49" i="79"/>
  <c r="LOJ49" i="79"/>
  <c r="LOI49" i="79"/>
  <c r="LOH49" i="79"/>
  <c r="LOG49" i="79"/>
  <c r="LOF49" i="79"/>
  <c r="LOE49" i="79"/>
  <c r="LOD49" i="79"/>
  <c r="LOC49" i="79"/>
  <c r="LOB49" i="79"/>
  <c r="LOA49" i="79"/>
  <c r="LNZ49" i="79"/>
  <c r="LNY49" i="79"/>
  <c r="LNX49" i="79"/>
  <c r="LNW49" i="79"/>
  <c r="LNV49" i="79"/>
  <c r="LNU49" i="79"/>
  <c r="LNT49" i="79"/>
  <c r="LNS49" i="79"/>
  <c r="LNR49" i="79"/>
  <c r="LNQ49" i="79"/>
  <c r="LNP49" i="79"/>
  <c r="LNO49" i="79"/>
  <c r="LNN49" i="79"/>
  <c r="LNM49" i="79"/>
  <c r="LNL49" i="79"/>
  <c r="LNK49" i="79"/>
  <c r="LNJ49" i="79"/>
  <c r="LNI49" i="79"/>
  <c r="LNH49" i="79"/>
  <c r="LNG49" i="79"/>
  <c r="LNF49" i="79"/>
  <c r="LNE49" i="79"/>
  <c r="LND49" i="79"/>
  <c r="LNC49" i="79"/>
  <c r="LNB49" i="79"/>
  <c r="LNA49" i="79"/>
  <c r="LMZ49" i="79"/>
  <c r="LMY49" i="79"/>
  <c r="LMX49" i="79"/>
  <c r="LMW49" i="79"/>
  <c r="LMV49" i="79"/>
  <c r="LMU49" i="79"/>
  <c r="LMT49" i="79"/>
  <c r="LMS49" i="79"/>
  <c r="LMR49" i="79"/>
  <c r="LMQ49" i="79"/>
  <c r="LMP49" i="79"/>
  <c r="LMO49" i="79"/>
  <c r="LMN49" i="79"/>
  <c r="LMM49" i="79"/>
  <c r="LML49" i="79"/>
  <c r="LMK49" i="79"/>
  <c r="LMJ49" i="79"/>
  <c r="LMI49" i="79"/>
  <c r="LMH49" i="79"/>
  <c r="LMG49" i="79"/>
  <c r="LMF49" i="79"/>
  <c r="LME49" i="79"/>
  <c r="LMD49" i="79"/>
  <c r="LMC49" i="79"/>
  <c r="LMB49" i="79"/>
  <c r="LMA49" i="79"/>
  <c r="LLZ49" i="79"/>
  <c r="LLY49" i="79"/>
  <c r="LLX49" i="79"/>
  <c r="LLW49" i="79"/>
  <c r="LLV49" i="79"/>
  <c r="LLU49" i="79"/>
  <c r="LLT49" i="79"/>
  <c r="LLS49" i="79"/>
  <c r="LLR49" i="79"/>
  <c r="LLQ49" i="79"/>
  <c r="LLP49" i="79"/>
  <c r="LLO49" i="79"/>
  <c r="LLN49" i="79"/>
  <c r="LLM49" i="79"/>
  <c r="LLL49" i="79"/>
  <c r="LLK49" i="79"/>
  <c r="LLJ49" i="79"/>
  <c r="LLI49" i="79"/>
  <c r="LLH49" i="79"/>
  <c r="LLG49" i="79"/>
  <c r="LLF49" i="79"/>
  <c r="LLE49" i="79"/>
  <c r="LLD49" i="79"/>
  <c r="LLC49" i="79"/>
  <c r="LLB49" i="79"/>
  <c r="LLA49" i="79"/>
  <c r="LKZ49" i="79"/>
  <c r="LKY49" i="79"/>
  <c r="LKX49" i="79"/>
  <c r="LKW49" i="79"/>
  <c r="LKV49" i="79"/>
  <c r="LKU49" i="79"/>
  <c r="LKT49" i="79"/>
  <c r="LKS49" i="79"/>
  <c r="LKR49" i="79"/>
  <c r="LKQ49" i="79"/>
  <c r="LKP49" i="79"/>
  <c r="LKO49" i="79"/>
  <c r="LKN49" i="79"/>
  <c r="LKM49" i="79"/>
  <c r="LKL49" i="79"/>
  <c r="LKK49" i="79"/>
  <c r="LKJ49" i="79"/>
  <c r="LKI49" i="79"/>
  <c r="LKH49" i="79"/>
  <c r="LKG49" i="79"/>
  <c r="LKF49" i="79"/>
  <c r="LKE49" i="79"/>
  <c r="LKD49" i="79"/>
  <c r="LKC49" i="79"/>
  <c r="LKB49" i="79"/>
  <c r="LKA49" i="79"/>
  <c r="LJZ49" i="79"/>
  <c r="LJY49" i="79"/>
  <c r="LJX49" i="79"/>
  <c r="LJW49" i="79"/>
  <c r="LJV49" i="79"/>
  <c r="LJU49" i="79"/>
  <c r="LJT49" i="79"/>
  <c r="LJS49" i="79"/>
  <c r="LJR49" i="79"/>
  <c r="LJQ49" i="79"/>
  <c r="LJP49" i="79"/>
  <c r="LJO49" i="79"/>
  <c r="LJN49" i="79"/>
  <c r="LJM49" i="79"/>
  <c r="LJL49" i="79"/>
  <c r="LJK49" i="79"/>
  <c r="LJJ49" i="79"/>
  <c r="LJI49" i="79"/>
  <c r="LJH49" i="79"/>
  <c r="LJG49" i="79"/>
  <c r="LJF49" i="79"/>
  <c r="LJE49" i="79"/>
  <c r="LJD49" i="79"/>
  <c r="LJC49" i="79"/>
  <c r="LJB49" i="79"/>
  <c r="LJA49" i="79"/>
  <c r="LIZ49" i="79"/>
  <c r="LIY49" i="79"/>
  <c r="LIX49" i="79"/>
  <c r="LIW49" i="79"/>
  <c r="LIV49" i="79"/>
  <c r="LIU49" i="79"/>
  <c r="LIT49" i="79"/>
  <c r="LIS49" i="79"/>
  <c r="LIR49" i="79"/>
  <c r="LIQ49" i="79"/>
  <c r="LIP49" i="79"/>
  <c r="LIO49" i="79"/>
  <c r="LIN49" i="79"/>
  <c r="LIM49" i="79"/>
  <c r="LIL49" i="79"/>
  <c r="LIK49" i="79"/>
  <c r="LIJ49" i="79"/>
  <c r="LII49" i="79"/>
  <c r="LIH49" i="79"/>
  <c r="LIG49" i="79"/>
  <c r="LIF49" i="79"/>
  <c r="LIE49" i="79"/>
  <c r="LID49" i="79"/>
  <c r="LIC49" i="79"/>
  <c r="LIB49" i="79"/>
  <c r="LIA49" i="79"/>
  <c r="LHZ49" i="79"/>
  <c r="LHY49" i="79"/>
  <c r="LHX49" i="79"/>
  <c r="LHW49" i="79"/>
  <c r="LHV49" i="79"/>
  <c r="LHU49" i="79"/>
  <c r="LHT49" i="79"/>
  <c r="LHS49" i="79"/>
  <c r="LHR49" i="79"/>
  <c r="LHQ49" i="79"/>
  <c r="LHP49" i="79"/>
  <c r="LHO49" i="79"/>
  <c r="LHN49" i="79"/>
  <c r="LHM49" i="79"/>
  <c r="LHL49" i="79"/>
  <c r="LHK49" i="79"/>
  <c r="LHJ49" i="79"/>
  <c r="LHI49" i="79"/>
  <c r="LHH49" i="79"/>
  <c r="LHG49" i="79"/>
  <c r="LHF49" i="79"/>
  <c r="LHE49" i="79"/>
  <c r="LHD49" i="79"/>
  <c r="LHC49" i="79"/>
  <c r="LHB49" i="79"/>
  <c r="LHA49" i="79"/>
  <c r="LGZ49" i="79"/>
  <c r="LGY49" i="79"/>
  <c r="LGX49" i="79"/>
  <c r="LGW49" i="79"/>
  <c r="LGV49" i="79"/>
  <c r="LGU49" i="79"/>
  <c r="LGT49" i="79"/>
  <c r="LGS49" i="79"/>
  <c r="LGR49" i="79"/>
  <c r="LGQ49" i="79"/>
  <c r="LGP49" i="79"/>
  <c r="LGO49" i="79"/>
  <c r="LGN49" i="79"/>
  <c r="LGM49" i="79"/>
  <c r="LGL49" i="79"/>
  <c r="LGK49" i="79"/>
  <c r="LGJ49" i="79"/>
  <c r="LGI49" i="79"/>
  <c r="LGH49" i="79"/>
  <c r="LGG49" i="79"/>
  <c r="LGF49" i="79"/>
  <c r="LGE49" i="79"/>
  <c r="LGD49" i="79"/>
  <c r="LGC49" i="79"/>
  <c r="LGB49" i="79"/>
  <c r="LGA49" i="79"/>
  <c r="LFZ49" i="79"/>
  <c r="LFY49" i="79"/>
  <c r="LFX49" i="79"/>
  <c r="LFW49" i="79"/>
  <c r="LFV49" i="79"/>
  <c r="LFU49" i="79"/>
  <c r="LFT49" i="79"/>
  <c r="LFS49" i="79"/>
  <c r="LFR49" i="79"/>
  <c r="LFQ49" i="79"/>
  <c r="LFP49" i="79"/>
  <c r="LFO49" i="79"/>
  <c r="LFN49" i="79"/>
  <c r="LFM49" i="79"/>
  <c r="LFL49" i="79"/>
  <c r="LFK49" i="79"/>
  <c r="LFJ49" i="79"/>
  <c r="LFI49" i="79"/>
  <c r="LFH49" i="79"/>
  <c r="LFG49" i="79"/>
  <c r="LFF49" i="79"/>
  <c r="LFE49" i="79"/>
  <c r="LFD49" i="79"/>
  <c r="LFC49" i="79"/>
  <c r="LFB49" i="79"/>
  <c r="LFA49" i="79"/>
  <c r="LEZ49" i="79"/>
  <c r="LEY49" i="79"/>
  <c r="LEX49" i="79"/>
  <c r="LEW49" i="79"/>
  <c r="LEV49" i="79"/>
  <c r="LEU49" i="79"/>
  <c r="LET49" i="79"/>
  <c r="LES49" i="79"/>
  <c r="LER49" i="79"/>
  <c r="LEQ49" i="79"/>
  <c r="LEP49" i="79"/>
  <c r="LEO49" i="79"/>
  <c r="LEN49" i="79"/>
  <c r="LEM49" i="79"/>
  <c r="LEL49" i="79"/>
  <c r="LEK49" i="79"/>
  <c r="LEJ49" i="79"/>
  <c r="LEI49" i="79"/>
  <c r="LEH49" i="79"/>
  <c r="LEG49" i="79"/>
  <c r="LEF49" i="79"/>
  <c r="LEE49" i="79"/>
  <c r="LED49" i="79"/>
  <c r="LEC49" i="79"/>
  <c r="LEB49" i="79"/>
  <c r="LEA49" i="79"/>
  <c r="LDZ49" i="79"/>
  <c r="LDY49" i="79"/>
  <c r="LDX49" i="79"/>
  <c r="LDW49" i="79"/>
  <c r="LDV49" i="79"/>
  <c r="LDU49" i="79"/>
  <c r="LDT49" i="79"/>
  <c r="LDS49" i="79"/>
  <c r="LDR49" i="79"/>
  <c r="LDQ49" i="79"/>
  <c r="LDP49" i="79"/>
  <c r="LDO49" i="79"/>
  <c r="LDN49" i="79"/>
  <c r="LDM49" i="79"/>
  <c r="LDL49" i="79"/>
  <c r="LDK49" i="79"/>
  <c r="LDJ49" i="79"/>
  <c r="LDI49" i="79"/>
  <c r="LDH49" i="79"/>
  <c r="LDG49" i="79"/>
  <c r="LDF49" i="79"/>
  <c r="LDE49" i="79"/>
  <c r="LDD49" i="79"/>
  <c r="LDC49" i="79"/>
  <c r="LDB49" i="79"/>
  <c r="LDA49" i="79"/>
  <c r="LCZ49" i="79"/>
  <c r="LCY49" i="79"/>
  <c r="LCX49" i="79"/>
  <c r="LCW49" i="79"/>
  <c r="LCV49" i="79"/>
  <c r="LCU49" i="79"/>
  <c r="LCT49" i="79"/>
  <c r="LCS49" i="79"/>
  <c r="LCR49" i="79"/>
  <c r="LCQ49" i="79"/>
  <c r="LCP49" i="79"/>
  <c r="LCO49" i="79"/>
  <c r="LCN49" i="79"/>
  <c r="LCM49" i="79"/>
  <c r="LCL49" i="79"/>
  <c r="LCK49" i="79"/>
  <c r="LCJ49" i="79"/>
  <c r="LCI49" i="79"/>
  <c r="LCH49" i="79"/>
  <c r="LCG49" i="79"/>
  <c r="LCF49" i="79"/>
  <c r="LCE49" i="79"/>
  <c r="LCD49" i="79"/>
  <c r="LCC49" i="79"/>
  <c r="LCB49" i="79"/>
  <c r="LCA49" i="79"/>
  <c r="LBZ49" i="79"/>
  <c r="LBY49" i="79"/>
  <c r="LBX49" i="79"/>
  <c r="LBW49" i="79"/>
  <c r="LBV49" i="79"/>
  <c r="LBU49" i="79"/>
  <c r="LBT49" i="79"/>
  <c r="LBS49" i="79"/>
  <c r="LBR49" i="79"/>
  <c r="LBQ49" i="79"/>
  <c r="LBP49" i="79"/>
  <c r="LBO49" i="79"/>
  <c r="LBN49" i="79"/>
  <c r="LBM49" i="79"/>
  <c r="LBL49" i="79"/>
  <c r="LBK49" i="79"/>
  <c r="LBJ49" i="79"/>
  <c r="LBI49" i="79"/>
  <c r="LBH49" i="79"/>
  <c r="LBG49" i="79"/>
  <c r="LBF49" i="79"/>
  <c r="LBE49" i="79"/>
  <c r="LBD49" i="79"/>
  <c r="LBC49" i="79"/>
  <c r="LBB49" i="79"/>
  <c r="LBA49" i="79"/>
  <c r="LAZ49" i="79"/>
  <c r="LAY49" i="79"/>
  <c r="LAX49" i="79"/>
  <c r="LAW49" i="79"/>
  <c r="LAV49" i="79"/>
  <c r="LAU49" i="79"/>
  <c r="LAT49" i="79"/>
  <c r="LAS49" i="79"/>
  <c r="LAR49" i="79"/>
  <c r="LAQ49" i="79"/>
  <c r="LAP49" i="79"/>
  <c r="LAO49" i="79"/>
  <c r="LAN49" i="79"/>
  <c r="LAM49" i="79"/>
  <c r="LAL49" i="79"/>
  <c r="LAK49" i="79"/>
  <c r="LAJ49" i="79"/>
  <c r="LAI49" i="79"/>
  <c r="LAH49" i="79"/>
  <c r="LAG49" i="79"/>
  <c r="LAF49" i="79"/>
  <c r="LAE49" i="79"/>
  <c r="LAD49" i="79"/>
  <c r="LAC49" i="79"/>
  <c r="LAB49" i="79"/>
  <c r="LAA49" i="79"/>
  <c r="KZZ49" i="79"/>
  <c r="KZY49" i="79"/>
  <c r="KZX49" i="79"/>
  <c r="KZW49" i="79"/>
  <c r="KZV49" i="79"/>
  <c r="KZU49" i="79"/>
  <c r="KZT49" i="79"/>
  <c r="KZS49" i="79"/>
  <c r="KZR49" i="79"/>
  <c r="KZQ49" i="79"/>
  <c r="KZP49" i="79"/>
  <c r="KZO49" i="79"/>
  <c r="KZN49" i="79"/>
  <c r="KZM49" i="79"/>
  <c r="KZL49" i="79"/>
  <c r="KZK49" i="79"/>
  <c r="KZJ49" i="79"/>
  <c r="KZI49" i="79"/>
  <c r="KZH49" i="79"/>
  <c r="KZG49" i="79"/>
  <c r="KZF49" i="79"/>
  <c r="KZE49" i="79"/>
  <c r="KZD49" i="79"/>
  <c r="KZC49" i="79"/>
  <c r="KZB49" i="79"/>
  <c r="KZA49" i="79"/>
  <c r="KYZ49" i="79"/>
  <c r="KYY49" i="79"/>
  <c r="KYX49" i="79"/>
  <c r="KYW49" i="79"/>
  <c r="KYV49" i="79"/>
  <c r="KYU49" i="79"/>
  <c r="KYT49" i="79"/>
  <c r="KYS49" i="79"/>
  <c r="KYR49" i="79"/>
  <c r="KYQ49" i="79"/>
  <c r="KYP49" i="79"/>
  <c r="KYO49" i="79"/>
  <c r="KYN49" i="79"/>
  <c r="KYM49" i="79"/>
  <c r="KYL49" i="79"/>
  <c r="KYK49" i="79"/>
  <c r="KYJ49" i="79"/>
  <c r="KYI49" i="79"/>
  <c r="KYH49" i="79"/>
  <c r="KYG49" i="79"/>
  <c r="KYF49" i="79"/>
  <c r="KYE49" i="79"/>
  <c r="KYD49" i="79"/>
  <c r="KYC49" i="79"/>
  <c r="KYB49" i="79"/>
  <c r="KYA49" i="79"/>
  <c r="KXZ49" i="79"/>
  <c r="KXY49" i="79"/>
  <c r="KXX49" i="79"/>
  <c r="KXW49" i="79"/>
  <c r="KXV49" i="79"/>
  <c r="KXU49" i="79"/>
  <c r="KXT49" i="79"/>
  <c r="KXS49" i="79"/>
  <c r="KXR49" i="79"/>
  <c r="KXQ49" i="79"/>
  <c r="KXP49" i="79"/>
  <c r="KXO49" i="79"/>
  <c r="KXN49" i="79"/>
  <c r="KXM49" i="79"/>
  <c r="KXL49" i="79"/>
  <c r="KXK49" i="79"/>
  <c r="KXJ49" i="79"/>
  <c r="KXI49" i="79"/>
  <c r="KXH49" i="79"/>
  <c r="KXG49" i="79"/>
  <c r="KXF49" i="79"/>
  <c r="KXE49" i="79"/>
  <c r="KXD49" i="79"/>
  <c r="KXC49" i="79"/>
  <c r="KXB49" i="79"/>
  <c r="KXA49" i="79"/>
  <c r="KWZ49" i="79"/>
  <c r="KWY49" i="79"/>
  <c r="KWX49" i="79"/>
  <c r="KWW49" i="79"/>
  <c r="KWV49" i="79"/>
  <c r="KWU49" i="79"/>
  <c r="KWT49" i="79"/>
  <c r="KWS49" i="79"/>
  <c r="KWR49" i="79"/>
  <c r="KWQ49" i="79"/>
  <c r="KWP49" i="79"/>
  <c r="KWO49" i="79"/>
  <c r="KWN49" i="79"/>
  <c r="KWM49" i="79"/>
  <c r="KWL49" i="79"/>
  <c r="KWK49" i="79"/>
  <c r="KWJ49" i="79"/>
  <c r="KWI49" i="79"/>
  <c r="KWH49" i="79"/>
  <c r="KWG49" i="79"/>
  <c r="KWF49" i="79"/>
  <c r="KWE49" i="79"/>
  <c r="KWD49" i="79"/>
  <c r="KWC49" i="79"/>
  <c r="KWB49" i="79"/>
  <c r="KWA49" i="79"/>
  <c r="KVZ49" i="79"/>
  <c r="KVY49" i="79"/>
  <c r="KVX49" i="79"/>
  <c r="KVW49" i="79"/>
  <c r="KVV49" i="79"/>
  <c r="KVU49" i="79"/>
  <c r="KVT49" i="79"/>
  <c r="KVS49" i="79"/>
  <c r="KVR49" i="79"/>
  <c r="KVQ49" i="79"/>
  <c r="KVP49" i="79"/>
  <c r="KVO49" i="79"/>
  <c r="KVN49" i="79"/>
  <c r="KVM49" i="79"/>
  <c r="KVL49" i="79"/>
  <c r="KVK49" i="79"/>
  <c r="KVJ49" i="79"/>
  <c r="KVI49" i="79"/>
  <c r="KVH49" i="79"/>
  <c r="KVG49" i="79"/>
  <c r="KVF49" i="79"/>
  <c r="KVE49" i="79"/>
  <c r="KVD49" i="79"/>
  <c r="KVC49" i="79"/>
  <c r="KVB49" i="79"/>
  <c r="KVA49" i="79"/>
  <c r="KUZ49" i="79"/>
  <c r="KUY49" i="79"/>
  <c r="KUX49" i="79"/>
  <c r="KUW49" i="79"/>
  <c r="KUV49" i="79"/>
  <c r="KUU49" i="79"/>
  <c r="KUT49" i="79"/>
  <c r="KUS49" i="79"/>
  <c r="KUR49" i="79"/>
  <c r="KUQ49" i="79"/>
  <c r="KUP49" i="79"/>
  <c r="KUO49" i="79"/>
  <c r="KUN49" i="79"/>
  <c r="KUM49" i="79"/>
  <c r="KUL49" i="79"/>
  <c r="KUK49" i="79"/>
  <c r="KUJ49" i="79"/>
  <c r="KUI49" i="79"/>
  <c r="KUH49" i="79"/>
  <c r="KUG49" i="79"/>
  <c r="KUF49" i="79"/>
  <c r="KUE49" i="79"/>
  <c r="KUD49" i="79"/>
  <c r="KUC49" i="79"/>
  <c r="KUB49" i="79"/>
  <c r="KUA49" i="79"/>
  <c r="KTZ49" i="79"/>
  <c r="KTY49" i="79"/>
  <c r="KTX49" i="79"/>
  <c r="KTW49" i="79"/>
  <c r="KTV49" i="79"/>
  <c r="KTU49" i="79"/>
  <c r="KTT49" i="79"/>
  <c r="KTS49" i="79"/>
  <c r="KTR49" i="79"/>
  <c r="KTQ49" i="79"/>
  <c r="KTP49" i="79"/>
  <c r="KTO49" i="79"/>
  <c r="KTN49" i="79"/>
  <c r="KTM49" i="79"/>
  <c r="KTL49" i="79"/>
  <c r="KTK49" i="79"/>
  <c r="KTJ49" i="79"/>
  <c r="KTI49" i="79"/>
  <c r="KTH49" i="79"/>
  <c r="KTG49" i="79"/>
  <c r="KTF49" i="79"/>
  <c r="KTE49" i="79"/>
  <c r="KTD49" i="79"/>
  <c r="KTC49" i="79"/>
  <c r="KTB49" i="79"/>
  <c r="KTA49" i="79"/>
  <c r="KSZ49" i="79"/>
  <c r="KSY49" i="79"/>
  <c r="KSX49" i="79"/>
  <c r="KSW49" i="79"/>
  <c r="KSV49" i="79"/>
  <c r="KSU49" i="79"/>
  <c r="KST49" i="79"/>
  <c r="KSS49" i="79"/>
  <c r="KSR49" i="79"/>
  <c r="KSQ49" i="79"/>
  <c r="KSP49" i="79"/>
  <c r="KSO49" i="79"/>
  <c r="KSN49" i="79"/>
  <c r="KSM49" i="79"/>
  <c r="KSL49" i="79"/>
  <c r="KSK49" i="79"/>
  <c r="KSJ49" i="79"/>
  <c r="KSI49" i="79"/>
  <c r="KSH49" i="79"/>
  <c r="KSG49" i="79"/>
  <c r="KSF49" i="79"/>
  <c r="KSE49" i="79"/>
  <c r="KSD49" i="79"/>
  <c r="KSC49" i="79"/>
  <c r="KSB49" i="79"/>
  <c r="KSA49" i="79"/>
  <c r="KRZ49" i="79"/>
  <c r="KRY49" i="79"/>
  <c r="KRX49" i="79"/>
  <c r="KRW49" i="79"/>
  <c r="KRV49" i="79"/>
  <c r="KRU49" i="79"/>
  <c r="KRT49" i="79"/>
  <c r="KRS49" i="79"/>
  <c r="KRR49" i="79"/>
  <c r="KRQ49" i="79"/>
  <c r="KRP49" i="79"/>
  <c r="KRO49" i="79"/>
  <c r="KRN49" i="79"/>
  <c r="KRM49" i="79"/>
  <c r="KRL49" i="79"/>
  <c r="KRK49" i="79"/>
  <c r="KRJ49" i="79"/>
  <c r="KRI49" i="79"/>
  <c r="KRH49" i="79"/>
  <c r="KRG49" i="79"/>
  <c r="KRF49" i="79"/>
  <c r="KRE49" i="79"/>
  <c r="KRD49" i="79"/>
  <c r="KRC49" i="79"/>
  <c r="KRB49" i="79"/>
  <c r="KRA49" i="79"/>
  <c r="KQZ49" i="79"/>
  <c r="KQY49" i="79"/>
  <c r="KQX49" i="79"/>
  <c r="KQW49" i="79"/>
  <c r="KQV49" i="79"/>
  <c r="KQU49" i="79"/>
  <c r="KQT49" i="79"/>
  <c r="KQS49" i="79"/>
  <c r="KQR49" i="79"/>
  <c r="KQQ49" i="79"/>
  <c r="KQP49" i="79"/>
  <c r="KQO49" i="79"/>
  <c r="KQN49" i="79"/>
  <c r="KQM49" i="79"/>
  <c r="KQL49" i="79"/>
  <c r="KQK49" i="79"/>
  <c r="KQJ49" i="79"/>
  <c r="KQI49" i="79"/>
  <c r="KQH49" i="79"/>
  <c r="KQG49" i="79"/>
  <c r="KQF49" i="79"/>
  <c r="KQE49" i="79"/>
  <c r="KQD49" i="79"/>
  <c r="KQC49" i="79"/>
  <c r="KQB49" i="79"/>
  <c r="KQA49" i="79"/>
  <c r="KPZ49" i="79"/>
  <c r="KPY49" i="79"/>
  <c r="KPX49" i="79"/>
  <c r="KPW49" i="79"/>
  <c r="KPV49" i="79"/>
  <c r="KPU49" i="79"/>
  <c r="KPT49" i="79"/>
  <c r="KPS49" i="79"/>
  <c r="KPR49" i="79"/>
  <c r="KPQ49" i="79"/>
  <c r="KPP49" i="79"/>
  <c r="KPO49" i="79"/>
  <c r="KPN49" i="79"/>
  <c r="KPM49" i="79"/>
  <c r="KPL49" i="79"/>
  <c r="KPK49" i="79"/>
  <c r="KPJ49" i="79"/>
  <c r="KPI49" i="79"/>
  <c r="KPH49" i="79"/>
  <c r="KPG49" i="79"/>
  <c r="KPF49" i="79"/>
  <c r="KPE49" i="79"/>
  <c r="KPD49" i="79"/>
  <c r="KPC49" i="79"/>
  <c r="KPB49" i="79"/>
  <c r="KPA49" i="79"/>
  <c r="KOZ49" i="79"/>
  <c r="KOY49" i="79"/>
  <c r="KOX49" i="79"/>
  <c r="KOW49" i="79"/>
  <c r="KOV49" i="79"/>
  <c r="KOU49" i="79"/>
  <c r="KOT49" i="79"/>
  <c r="KOS49" i="79"/>
  <c r="KOR49" i="79"/>
  <c r="KOQ49" i="79"/>
  <c r="KOP49" i="79"/>
  <c r="KOO49" i="79"/>
  <c r="KON49" i="79"/>
  <c r="KOM49" i="79"/>
  <c r="KOL49" i="79"/>
  <c r="KOK49" i="79"/>
  <c r="KOJ49" i="79"/>
  <c r="KOI49" i="79"/>
  <c r="KOH49" i="79"/>
  <c r="KOG49" i="79"/>
  <c r="KOF49" i="79"/>
  <c r="KOE49" i="79"/>
  <c r="KOD49" i="79"/>
  <c r="KOC49" i="79"/>
  <c r="KOB49" i="79"/>
  <c r="KOA49" i="79"/>
  <c r="KNZ49" i="79"/>
  <c r="KNY49" i="79"/>
  <c r="KNX49" i="79"/>
  <c r="KNW49" i="79"/>
  <c r="KNV49" i="79"/>
  <c r="KNU49" i="79"/>
  <c r="KNT49" i="79"/>
  <c r="KNS49" i="79"/>
  <c r="KNR49" i="79"/>
  <c r="KNQ49" i="79"/>
  <c r="KNP49" i="79"/>
  <c r="KNO49" i="79"/>
  <c r="KNN49" i="79"/>
  <c r="KNM49" i="79"/>
  <c r="KNL49" i="79"/>
  <c r="KNK49" i="79"/>
  <c r="KNJ49" i="79"/>
  <c r="KNI49" i="79"/>
  <c r="KNH49" i="79"/>
  <c r="KNG49" i="79"/>
  <c r="KNF49" i="79"/>
  <c r="KNE49" i="79"/>
  <c r="KND49" i="79"/>
  <c r="KNC49" i="79"/>
  <c r="KNB49" i="79"/>
  <c r="KNA49" i="79"/>
  <c r="KMZ49" i="79"/>
  <c r="KMY49" i="79"/>
  <c r="KMX49" i="79"/>
  <c r="KMW49" i="79"/>
  <c r="KMV49" i="79"/>
  <c r="KMU49" i="79"/>
  <c r="KMT49" i="79"/>
  <c r="KMS49" i="79"/>
  <c r="KMR49" i="79"/>
  <c r="KMQ49" i="79"/>
  <c r="KMP49" i="79"/>
  <c r="KMO49" i="79"/>
  <c r="KMN49" i="79"/>
  <c r="KMM49" i="79"/>
  <c r="KML49" i="79"/>
  <c r="KMK49" i="79"/>
  <c r="KMJ49" i="79"/>
  <c r="KMI49" i="79"/>
  <c r="KMH49" i="79"/>
  <c r="KMG49" i="79"/>
  <c r="KMF49" i="79"/>
  <c r="KME49" i="79"/>
  <c r="KMD49" i="79"/>
  <c r="KMC49" i="79"/>
  <c r="KMB49" i="79"/>
  <c r="KMA49" i="79"/>
  <c r="KLZ49" i="79"/>
  <c r="KLY49" i="79"/>
  <c r="KLX49" i="79"/>
  <c r="KLW49" i="79"/>
  <c r="KLV49" i="79"/>
  <c r="KLU49" i="79"/>
  <c r="KLT49" i="79"/>
  <c r="KLS49" i="79"/>
  <c r="KLR49" i="79"/>
  <c r="KLQ49" i="79"/>
  <c r="KLP49" i="79"/>
  <c r="KLO49" i="79"/>
  <c r="KLN49" i="79"/>
  <c r="KLM49" i="79"/>
  <c r="KLL49" i="79"/>
  <c r="KLK49" i="79"/>
  <c r="KLJ49" i="79"/>
  <c r="KLI49" i="79"/>
  <c r="KLH49" i="79"/>
  <c r="KLG49" i="79"/>
  <c r="KLF49" i="79"/>
  <c r="KLE49" i="79"/>
  <c r="KLD49" i="79"/>
  <c r="KLC49" i="79"/>
  <c r="KLB49" i="79"/>
  <c r="KLA49" i="79"/>
  <c r="KKZ49" i="79"/>
  <c r="KKY49" i="79"/>
  <c r="KKX49" i="79"/>
  <c r="KKW49" i="79"/>
  <c r="KKV49" i="79"/>
  <c r="KKU49" i="79"/>
  <c r="KKT49" i="79"/>
  <c r="KKS49" i="79"/>
  <c r="KKR49" i="79"/>
  <c r="KKQ49" i="79"/>
  <c r="KKP49" i="79"/>
  <c r="KKO49" i="79"/>
  <c r="KKN49" i="79"/>
  <c r="KKM49" i="79"/>
  <c r="KKL49" i="79"/>
  <c r="KKK49" i="79"/>
  <c r="KKJ49" i="79"/>
  <c r="KKI49" i="79"/>
  <c r="KKH49" i="79"/>
  <c r="KKG49" i="79"/>
  <c r="KKF49" i="79"/>
  <c r="KKE49" i="79"/>
  <c r="KKD49" i="79"/>
  <c r="KKC49" i="79"/>
  <c r="KKB49" i="79"/>
  <c r="KKA49" i="79"/>
  <c r="KJZ49" i="79"/>
  <c r="KJY49" i="79"/>
  <c r="KJX49" i="79"/>
  <c r="KJW49" i="79"/>
  <c r="KJV49" i="79"/>
  <c r="KJU49" i="79"/>
  <c r="KJT49" i="79"/>
  <c r="KJS49" i="79"/>
  <c r="KJR49" i="79"/>
  <c r="KJQ49" i="79"/>
  <c r="KJP49" i="79"/>
  <c r="KJO49" i="79"/>
  <c r="KJN49" i="79"/>
  <c r="KJM49" i="79"/>
  <c r="KJL49" i="79"/>
  <c r="KJK49" i="79"/>
  <c r="KJJ49" i="79"/>
  <c r="KJI49" i="79"/>
  <c r="KJH49" i="79"/>
  <c r="KJG49" i="79"/>
  <c r="KJF49" i="79"/>
  <c r="KJE49" i="79"/>
  <c r="KJD49" i="79"/>
  <c r="KJC49" i="79"/>
  <c r="KJB49" i="79"/>
  <c r="KJA49" i="79"/>
  <c r="KIZ49" i="79"/>
  <c r="KIY49" i="79"/>
  <c r="KIX49" i="79"/>
  <c r="KIW49" i="79"/>
  <c r="KIV49" i="79"/>
  <c r="KIU49" i="79"/>
  <c r="KIT49" i="79"/>
  <c r="KIS49" i="79"/>
  <c r="KIR49" i="79"/>
  <c r="KIQ49" i="79"/>
  <c r="KIP49" i="79"/>
  <c r="KIO49" i="79"/>
  <c r="KIN49" i="79"/>
  <c r="KIM49" i="79"/>
  <c r="KIL49" i="79"/>
  <c r="KIK49" i="79"/>
  <c r="KIJ49" i="79"/>
  <c r="KII49" i="79"/>
  <c r="KIH49" i="79"/>
  <c r="KIG49" i="79"/>
  <c r="KIF49" i="79"/>
  <c r="KIE49" i="79"/>
  <c r="KID49" i="79"/>
  <c r="KIC49" i="79"/>
  <c r="KIB49" i="79"/>
  <c r="KIA49" i="79"/>
  <c r="KHZ49" i="79"/>
  <c r="KHY49" i="79"/>
  <c r="KHX49" i="79"/>
  <c r="KHW49" i="79"/>
  <c r="KHV49" i="79"/>
  <c r="KHU49" i="79"/>
  <c r="KHT49" i="79"/>
  <c r="KHS49" i="79"/>
  <c r="KHR49" i="79"/>
  <c r="KHQ49" i="79"/>
  <c r="KHP49" i="79"/>
  <c r="KHO49" i="79"/>
  <c r="KHN49" i="79"/>
  <c r="KHM49" i="79"/>
  <c r="KHL49" i="79"/>
  <c r="KHK49" i="79"/>
  <c r="KHJ49" i="79"/>
  <c r="KHI49" i="79"/>
  <c r="KHH49" i="79"/>
  <c r="KHG49" i="79"/>
  <c r="KHF49" i="79"/>
  <c r="KHE49" i="79"/>
  <c r="KHD49" i="79"/>
  <c r="KHC49" i="79"/>
  <c r="KHB49" i="79"/>
  <c r="KHA49" i="79"/>
  <c r="KGZ49" i="79"/>
  <c r="KGY49" i="79"/>
  <c r="KGX49" i="79"/>
  <c r="KGW49" i="79"/>
  <c r="KGV49" i="79"/>
  <c r="KGU49" i="79"/>
  <c r="KGT49" i="79"/>
  <c r="KGS49" i="79"/>
  <c r="KGR49" i="79"/>
  <c r="KGQ49" i="79"/>
  <c r="KGP49" i="79"/>
  <c r="KGO49" i="79"/>
  <c r="KGN49" i="79"/>
  <c r="KGM49" i="79"/>
  <c r="KGL49" i="79"/>
  <c r="KGK49" i="79"/>
  <c r="KGJ49" i="79"/>
  <c r="KGI49" i="79"/>
  <c r="KGH49" i="79"/>
  <c r="KGG49" i="79"/>
  <c r="KGF49" i="79"/>
  <c r="KGE49" i="79"/>
  <c r="KGD49" i="79"/>
  <c r="KGC49" i="79"/>
  <c r="KGB49" i="79"/>
  <c r="KGA49" i="79"/>
  <c r="KFZ49" i="79"/>
  <c r="KFY49" i="79"/>
  <c r="KFX49" i="79"/>
  <c r="KFW49" i="79"/>
  <c r="KFV49" i="79"/>
  <c r="KFU49" i="79"/>
  <c r="KFT49" i="79"/>
  <c r="KFS49" i="79"/>
  <c r="KFR49" i="79"/>
  <c r="KFQ49" i="79"/>
  <c r="KFP49" i="79"/>
  <c r="KFO49" i="79"/>
  <c r="KFN49" i="79"/>
  <c r="KFM49" i="79"/>
  <c r="KFL49" i="79"/>
  <c r="KFK49" i="79"/>
  <c r="KFJ49" i="79"/>
  <c r="KFI49" i="79"/>
  <c r="KFH49" i="79"/>
  <c r="KFG49" i="79"/>
  <c r="KFF49" i="79"/>
  <c r="KFE49" i="79"/>
  <c r="KFD49" i="79"/>
  <c r="KFC49" i="79"/>
  <c r="KFB49" i="79"/>
  <c r="KFA49" i="79"/>
  <c r="KEZ49" i="79"/>
  <c r="KEY49" i="79"/>
  <c r="KEX49" i="79"/>
  <c r="KEW49" i="79"/>
  <c r="KEV49" i="79"/>
  <c r="KEU49" i="79"/>
  <c r="KET49" i="79"/>
  <c r="KES49" i="79"/>
  <c r="KER49" i="79"/>
  <c r="KEQ49" i="79"/>
  <c r="KEP49" i="79"/>
  <c r="KEO49" i="79"/>
  <c r="KEN49" i="79"/>
  <c r="KEM49" i="79"/>
  <c r="KEL49" i="79"/>
  <c r="KEK49" i="79"/>
  <c r="KEJ49" i="79"/>
  <c r="KEI49" i="79"/>
  <c r="KEH49" i="79"/>
  <c r="KEG49" i="79"/>
  <c r="KEF49" i="79"/>
  <c r="KEE49" i="79"/>
  <c r="KED49" i="79"/>
  <c r="KEC49" i="79"/>
  <c r="KEB49" i="79"/>
  <c r="KEA49" i="79"/>
  <c r="KDZ49" i="79"/>
  <c r="KDY49" i="79"/>
  <c r="KDX49" i="79"/>
  <c r="KDW49" i="79"/>
  <c r="KDV49" i="79"/>
  <c r="KDU49" i="79"/>
  <c r="KDT49" i="79"/>
  <c r="KDS49" i="79"/>
  <c r="KDR49" i="79"/>
  <c r="KDQ49" i="79"/>
  <c r="KDP49" i="79"/>
  <c r="KDO49" i="79"/>
  <c r="KDN49" i="79"/>
  <c r="KDM49" i="79"/>
  <c r="KDL49" i="79"/>
  <c r="KDK49" i="79"/>
  <c r="KDJ49" i="79"/>
  <c r="KDI49" i="79"/>
  <c r="KDH49" i="79"/>
  <c r="KDG49" i="79"/>
  <c r="KDF49" i="79"/>
  <c r="KDE49" i="79"/>
  <c r="KDD49" i="79"/>
  <c r="KDC49" i="79"/>
  <c r="KDB49" i="79"/>
  <c r="KDA49" i="79"/>
  <c r="KCZ49" i="79"/>
  <c r="KCY49" i="79"/>
  <c r="KCX49" i="79"/>
  <c r="KCW49" i="79"/>
  <c r="KCV49" i="79"/>
  <c r="KCU49" i="79"/>
  <c r="KCT49" i="79"/>
  <c r="KCS49" i="79"/>
  <c r="KCR49" i="79"/>
  <c r="KCQ49" i="79"/>
  <c r="KCP49" i="79"/>
  <c r="KCO49" i="79"/>
  <c r="KCN49" i="79"/>
  <c r="KCM49" i="79"/>
  <c r="KCL49" i="79"/>
  <c r="KCK49" i="79"/>
  <c r="KCJ49" i="79"/>
  <c r="KCI49" i="79"/>
  <c r="KCH49" i="79"/>
  <c r="KCG49" i="79"/>
  <c r="KCF49" i="79"/>
  <c r="KCE49" i="79"/>
  <c r="KCD49" i="79"/>
  <c r="KCC49" i="79"/>
  <c r="KCB49" i="79"/>
  <c r="KCA49" i="79"/>
  <c r="KBZ49" i="79"/>
  <c r="KBY49" i="79"/>
  <c r="KBX49" i="79"/>
  <c r="KBW49" i="79"/>
  <c r="KBV49" i="79"/>
  <c r="KBU49" i="79"/>
  <c r="KBT49" i="79"/>
  <c r="KBS49" i="79"/>
  <c r="KBR49" i="79"/>
  <c r="KBQ49" i="79"/>
  <c r="KBP49" i="79"/>
  <c r="KBO49" i="79"/>
  <c r="KBN49" i="79"/>
  <c r="KBM49" i="79"/>
  <c r="KBL49" i="79"/>
  <c r="KBK49" i="79"/>
  <c r="KBJ49" i="79"/>
  <c r="KBI49" i="79"/>
  <c r="KBH49" i="79"/>
  <c r="KBG49" i="79"/>
  <c r="KBF49" i="79"/>
  <c r="KBE49" i="79"/>
  <c r="KBD49" i="79"/>
  <c r="KBC49" i="79"/>
  <c r="KBB49" i="79"/>
  <c r="KBA49" i="79"/>
  <c r="KAZ49" i="79"/>
  <c r="KAY49" i="79"/>
  <c r="KAX49" i="79"/>
  <c r="KAW49" i="79"/>
  <c r="KAV49" i="79"/>
  <c r="KAU49" i="79"/>
  <c r="KAT49" i="79"/>
  <c r="KAS49" i="79"/>
  <c r="KAR49" i="79"/>
  <c r="KAQ49" i="79"/>
  <c r="KAP49" i="79"/>
  <c r="KAO49" i="79"/>
  <c r="KAN49" i="79"/>
  <c r="KAM49" i="79"/>
  <c r="KAL49" i="79"/>
  <c r="KAK49" i="79"/>
  <c r="KAJ49" i="79"/>
  <c r="KAI49" i="79"/>
  <c r="KAH49" i="79"/>
  <c r="KAG49" i="79"/>
  <c r="KAF49" i="79"/>
  <c r="KAE49" i="79"/>
  <c r="KAD49" i="79"/>
  <c r="KAC49" i="79"/>
  <c r="KAB49" i="79"/>
  <c r="KAA49" i="79"/>
  <c r="JZZ49" i="79"/>
  <c r="JZY49" i="79"/>
  <c r="JZX49" i="79"/>
  <c r="JZW49" i="79"/>
  <c r="JZV49" i="79"/>
  <c r="JZU49" i="79"/>
  <c r="JZT49" i="79"/>
  <c r="JZS49" i="79"/>
  <c r="JZR49" i="79"/>
  <c r="JZQ49" i="79"/>
  <c r="JZP49" i="79"/>
  <c r="JZO49" i="79"/>
  <c r="JZN49" i="79"/>
  <c r="JZM49" i="79"/>
  <c r="JZL49" i="79"/>
  <c r="JZK49" i="79"/>
  <c r="JZJ49" i="79"/>
  <c r="JZI49" i="79"/>
  <c r="JZH49" i="79"/>
  <c r="JZG49" i="79"/>
  <c r="JZF49" i="79"/>
  <c r="JZE49" i="79"/>
  <c r="JZD49" i="79"/>
  <c r="JZC49" i="79"/>
  <c r="JZB49" i="79"/>
  <c r="JZA49" i="79"/>
  <c r="JYZ49" i="79"/>
  <c r="JYY49" i="79"/>
  <c r="JYX49" i="79"/>
  <c r="JYW49" i="79"/>
  <c r="JYV49" i="79"/>
  <c r="JYU49" i="79"/>
  <c r="JYT49" i="79"/>
  <c r="JYS49" i="79"/>
  <c r="JYR49" i="79"/>
  <c r="JYQ49" i="79"/>
  <c r="JYP49" i="79"/>
  <c r="JYO49" i="79"/>
  <c r="JYN49" i="79"/>
  <c r="JYM49" i="79"/>
  <c r="JYL49" i="79"/>
  <c r="JYK49" i="79"/>
  <c r="JYJ49" i="79"/>
  <c r="JYI49" i="79"/>
  <c r="JYH49" i="79"/>
  <c r="JYG49" i="79"/>
  <c r="JYF49" i="79"/>
  <c r="JYE49" i="79"/>
  <c r="JYD49" i="79"/>
  <c r="JYC49" i="79"/>
  <c r="JYB49" i="79"/>
  <c r="JYA49" i="79"/>
  <c r="JXZ49" i="79"/>
  <c r="JXY49" i="79"/>
  <c r="JXX49" i="79"/>
  <c r="JXW49" i="79"/>
  <c r="JXV49" i="79"/>
  <c r="JXU49" i="79"/>
  <c r="JXT49" i="79"/>
  <c r="JXS49" i="79"/>
  <c r="JXR49" i="79"/>
  <c r="JXQ49" i="79"/>
  <c r="JXP49" i="79"/>
  <c r="JXO49" i="79"/>
  <c r="JXN49" i="79"/>
  <c r="JXM49" i="79"/>
  <c r="JXL49" i="79"/>
  <c r="JXK49" i="79"/>
  <c r="JXJ49" i="79"/>
  <c r="JXI49" i="79"/>
  <c r="JXH49" i="79"/>
  <c r="JXG49" i="79"/>
  <c r="JXF49" i="79"/>
  <c r="JXE49" i="79"/>
  <c r="JXD49" i="79"/>
  <c r="JXC49" i="79"/>
  <c r="JXB49" i="79"/>
  <c r="JXA49" i="79"/>
  <c r="JWZ49" i="79"/>
  <c r="JWY49" i="79"/>
  <c r="JWX49" i="79"/>
  <c r="JWW49" i="79"/>
  <c r="JWV49" i="79"/>
  <c r="JWU49" i="79"/>
  <c r="JWT49" i="79"/>
  <c r="JWS49" i="79"/>
  <c r="JWR49" i="79"/>
  <c r="JWQ49" i="79"/>
  <c r="JWP49" i="79"/>
  <c r="JWO49" i="79"/>
  <c r="JWN49" i="79"/>
  <c r="JWM49" i="79"/>
  <c r="JWL49" i="79"/>
  <c r="JWK49" i="79"/>
  <c r="JWJ49" i="79"/>
  <c r="JWI49" i="79"/>
  <c r="JWH49" i="79"/>
  <c r="JWG49" i="79"/>
  <c r="JWF49" i="79"/>
  <c r="JWE49" i="79"/>
  <c r="JWD49" i="79"/>
  <c r="JWC49" i="79"/>
  <c r="JWB49" i="79"/>
  <c r="JWA49" i="79"/>
  <c r="JVZ49" i="79"/>
  <c r="JVY49" i="79"/>
  <c r="JVX49" i="79"/>
  <c r="JVW49" i="79"/>
  <c r="JVV49" i="79"/>
  <c r="JVU49" i="79"/>
  <c r="JVT49" i="79"/>
  <c r="JVS49" i="79"/>
  <c r="JVR49" i="79"/>
  <c r="JVQ49" i="79"/>
  <c r="JVP49" i="79"/>
  <c r="JVO49" i="79"/>
  <c r="JVN49" i="79"/>
  <c r="JVM49" i="79"/>
  <c r="JVL49" i="79"/>
  <c r="JVK49" i="79"/>
  <c r="JVJ49" i="79"/>
  <c r="JVI49" i="79"/>
  <c r="JVH49" i="79"/>
  <c r="JVG49" i="79"/>
  <c r="JVF49" i="79"/>
  <c r="JVE49" i="79"/>
  <c r="JVD49" i="79"/>
  <c r="JVC49" i="79"/>
  <c r="JVB49" i="79"/>
  <c r="JVA49" i="79"/>
  <c r="JUZ49" i="79"/>
  <c r="JUY49" i="79"/>
  <c r="JUX49" i="79"/>
  <c r="JUW49" i="79"/>
  <c r="JUV49" i="79"/>
  <c r="JUU49" i="79"/>
  <c r="JUT49" i="79"/>
  <c r="JUS49" i="79"/>
  <c r="JUR49" i="79"/>
  <c r="JUQ49" i="79"/>
  <c r="JUP49" i="79"/>
  <c r="JUO49" i="79"/>
  <c r="JUN49" i="79"/>
  <c r="JUM49" i="79"/>
  <c r="JUL49" i="79"/>
  <c r="JUK49" i="79"/>
  <c r="JUJ49" i="79"/>
  <c r="JUI49" i="79"/>
  <c r="JUH49" i="79"/>
  <c r="JUG49" i="79"/>
  <c r="JUF49" i="79"/>
  <c r="JUE49" i="79"/>
  <c r="JUD49" i="79"/>
  <c r="JUC49" i="79"/>
  <c r="JUB49" i="79"/>
  <c r="JUA49" i="79"/>
  <c r="JTZ49" i="79"/>
  <c r="JTY49" i="79"/>
  <c r="JTX49" i="79"/>
  <c r="JTW49" i="79"/>
  <c r="JTV49" i="79"/>
  <c r="JTU49" i="79"/>
  <c r="JTT49" i="79"/>
  <c r="JTS49" i="79"/>
  <c r="JTR49" i="79"/>
  <c r="JTQ49" i="79"/>
  <c r="JTP49" i="79"/>
  <c r="JTO49" i="79"/>
  <c r="JTN49" i="79"/>
  <c r="JTM49" i="79"/>
  <c r="JTL49" i="79"/>
  <c r="JTK49" i="79"/>
  <c r="JTJ49" i="79"/>
  <c r="JTI49" i="79"/>
  <c r="JTH49" i="79"/>
  <c r="JTG49" i="79"/>
  <c r="JTF49" i="79"/>
  <c r="JTE49" i="79"/>
  <c r="JTD49" i="79"/>
  <c r="JTC49" i="79"/>
  <c r="JTB49" i="79"/>
  <c r="JTA49" i="79"/>
  <c r="JSZ49" i="79"/>
  <c r="JSY49" i="79"/>
  <c r="JSX49" i="79"/>
  <c r="JSW49" i="79"/>
  <c r="JSV49" i="79"/>
  <c r="JSU49" i="79"/>
  <c r="JST49" i="79"/>
  <c r="JSS49" i="79"/>
  <c r="JSR49" i="79"/>
  <c r="JSQ49" i="79"/>
  <c r="JSP49" i="79"/>
  <c r="JSO49" i="79"/>
  <c r="JSN49" i="79"/>
  <c r="JSM49" i="79"/>
  <c r="JSL49" i="79"/>
  <c r="JSK49" i="79"/>
  <c r="JSJ49" i="79"/>
  <c r="JSI49" i="79"/>
  <c r="JSH49" i="79"/>
  <c r="JSG49" i="79"/>
  <c r="JSF49" i="79"/>
  <c r="JSE49" i="79"/>
  <c r="JSD49" i="79"/>
  <c r="JSC49" i="79"/>
  <c r="JSB49" i="79"/>
  <c r="JSA49" i="79"/>
  <c r="JRZ49" i="79"/>
  <c r="JRY49" i="79"/>
  <c r="JRX49" i="79"/>
  <c r="JRW49" i="79"/>
  <c r="JRV49" i="79"/>
  <c r="JRU49" i="79"/>
  <c r="JRT49" i="79"/>
  <c r="JRS49" i="79"/>
  <c r="JRR49" i="79"/>
  <c r="JRQ49" i="79"/>
  <c r="JRP49" i="79"/>
  <c r="JRO49" i="79"/>
  <c r="JRN49" i="79"/>
  <c r="JRM49" i="79"/>
  <c r="JRL49" i="79"/>
  <c r="JRK49" i="79"/>
  <c r="JRJ49" i="79"/>
  <c r="JRI49" i="79"/>
  <c r="JRH49" i="79"/>
  <c r="JRG49" i="79"/>
  <c r="JRF49" i="79"/>
  <c r="JRE49" i="79"/>
  <c r="JRD49" i="79"/>
  <c r="JRC49" i="79"/>
  <c r="JRB49" i="79"/>
  <c r="JRA49" i="79"/>
  <c r="JQZ49" i="79"/>
  <c r="JQY49" i="79"/>
  <c r="JQX49" i="79"/>
  <c r="JQW49" i="79"/>
  <c r="JQV49" i="79"/>
  <c r="JQU49" i="79"/>
  <c r="JQT49" i="79"/>
  <c r="JQS49" i="79"/>
  <c r="JQR49" i="79"/>
  <c r="JQQ49" i="79"/>
  <c r="JQP49" i="79"/>
  <c r="JQO49" i="79"/>
  <c r="JQN49" i="79"/>
  <c r="JQM49" i="79"/>
  <c r="JQL49" i="79"/>
  <c r="JQK49" i="79"/>
  <c r="JQJ49" i="79"/>
  <c r="JQI49" i="79"/>
  <c r="JQH49" i="79"/>
  <c r="JQG49" i="79"/>
  <c r="JQF49" i="79"/>
  <c r="JQE49" i="79"/>
  <c r="JQD49" i="79"/>
  <c r="JQC49" i="79"/>
  <c r="JQB49" i="79"/>
  <c r="JQA49" i="79"/>
  <c r="JPZ49" i="79"/>
  <c r="JPY49" i="79"/>
  <c r="JPX49" i="79"/>
  <c r="JPW49" i="79"/>
  <c r="JPV49" i="79"/>
  <c r="JPU49" i="79"/>
  <c r="JPT49" i="79"/>
  <c r="JPS49" i="79"/>
  <c r="JPR49" i="79"/>
  <c r="JPQ49" i="79"/>
  <c r="JPP49" i="79"/>
  <c r="JPO49" i="79"/>
  <c r="JPN49" i="79"/>
  <c r="JPM49" i="79"/>
  <c r="JPL49" i="79"/>
  <c r="JPK49" i="79"/>
  <c r="JPJ49" i="79"/>
  <c r="JPI49" i="79"/>
  <c r="JPH49" i="79"/>
  <c r="JPG49" i="79"/>
  <c r="JPF49" i="79"/>
  <c r="JPE49" i="79"/>
  <c r="JPD49" i="79"/>
  <c r="JPC49" i="79"/>
  <c r="JPB49" i="79"/>
  <c r="JPA49" i="79"/>
  <c r="JOZ49" i="79"/>
  <c r="JOY49" i="79"/>
  <c r="JOX49" i="79"/>
  <c r="JOW49" i="79"/>
  <c r="JOV49" i="79"/>
  <c r="JOU49" i="79"/>
  <c r="JOT49" i="79"/>
  <c r="JOS49" i="79"/>
  <c r="JOR49" i="79"/>
  <c r="JOQ49" i="79"/>
  <c r="JOP49" i="79"/>
  <c r="JOO49" i="79"/>
  <c r="JON49" i="79"/>
  <c r="JOM49" i="79"/>
  <c r="JOL49" i="79"/>
  <c r="JOK49" i="79"/>
  <c r="JOJ49" i="79"/>
  <c r="JOI49" i="79"/>
  <c r="JOH49" i="79"/>
  <c r="JOG49" i="79"/>
  <c r="JOF49" i="79"/>
  <c r="JOE49" i="79"/>
  <c r="JOD49" i="79"/>
  <c r="JOC49" i="79"/>
  <c r="JOB49" i="79"/>
  <c r="JOA49" i="79"/>
  <c r="JNZ49" i="79"/>
  <c r="JNY49" i="79"/>
  <c r="JNX49" i="79"/>
  <c r="JNW49" i="79"/>
  <c r="JNV49" i="79"/>
  <c r="JNU49" i="79"/>
  <c r="JNT49" i="79"/>
  <c r="JNS49" i="79"/>
  <c r="JNR49" i="79"/>
  <c r="JNQ49" i="79"/>
  <c r="JNP49" i="79"/>
  <c r="JNO49" i="79"/>
  <c r="JNN49" i="79"/>
  <c r="JNM49" i="79"/>
  <c r="JNL49" i="79"/>
  <c r="JNK49" i="79"/>
  <c r="JNJ49" i="79"/>
  <c r="JNI49" i="79"/>
  <c r="JNH49" i="79"/>
  <c r="JNG49" i="79"/>
  <c r="JNF49" i="79"/>
  <c r="JNE49" i="79"/>
  <c r="JND49" i="79"/>
  <c r="JNC49" i="79"/>
  <c r="JNB49" i="79"/>
  <c r="JNA49" i="79"/>
  <c r="JMZ49" i="79"/>
  <c r="JMY49" i="79"/>
  <c r="JMX49" i="79"/>
  <c r="JMW49" i="79"/>
  <c r="JMV49" i="79"/>
  <c r="JMU49" i="79"/>
  <c r="JMT49" i="79"/>
  <c r="JMS49" i="79"/>
  <c r="JMR49" i="79"/>
  <c r="JMQ49" i="79"/>
  <c r="JMP49" i="79"/>
  <c r="JMO49" i="79"/>
  <c r="JMN49" i="79"/>
  <c r="JMM49" i="79"/>
  <c r="JML49" i="79"/>
  <c r="JMK49" i="79"/>
  <c r="JMJ49" i="79"/>
  <c r="JMI49" i="79"/>
  <c r="JMH49" i="79"/>
  <c r="JMG49" i="79"/>
  <c r="JMF49" i="79"/>
  <c r="JME49" i="79"/>
  <c r="JMD49" i="79"/>
  <c r="JMC49" i="79"/>
  <c r="JMB49" i="79"/>
  <c r="JMA49" i="79"/>
  <c r="JLZ49" i="79"/>
  <c r="JLY49" i="79"/>
  <c r="JLX49" i="79"/>
  <c r="JLW49" i="79"/>
  <c r="JLV49" i="79"/>
  <c r="JLU49" i="79"/>
  <c r="JLT49" i="79"/>
  <c r="JLS49" i="79"/>
  <c r="JLR49" i="79"/>
  <c r="JLQ49" i="79"/>
  <c r="JLP49" i="79"/>
  <c r="JLO49" i="79"/>
  <c r="JLN49" i="79"/>
  <c r="JLM49" i="79"/>
  <c r="JLL49" i="79"/>
  <c r="JLK49" i="79"/>
  <c r="JLJ49" i="79"/>
  <c r="JLI49" i="79"/>
  <c r="JLH49" i="79"/>
  <c r="JLG49" i="79"/>
  <c r="JLF49" i="79"/>
  <c r="JLE49" i="79"/>
  <c r="JLD49" i="79"/>
  <c r="JLC49" i="79"/>
  <c r="JLB49" i="79"/>
  <c r="JLA49" i="79"/>
  <c r="JKZ49" i="79"/>
  <c r="JKY49" i="79"/>
  <c r="JKX49" i="79"/>
  <c r="JKW49" i="79"/>
  <c r="JKV49" i="79"/>
  <c r="JKU49" i="79"/>
  <c r="JKT49" i="79"/>
  <c r="JKS49" i="79"/>
  <c r="JKR49" i="79"/>
  <c r="JKQ49" i="79"/>
  <c r="JKP49" i="79"/>
  <c r="JKO49" i="79"/>
  <c r="JKN49" i="79"/>
  <c r="JKM49" i="79"/>
  <c r="JKL49" i="79"/>
  <c r="JKK49" i="79"/>
  <c r="JKJ49" i="79"/>
  <c r="JKI49" i="79"/>
  <c r="JKH49" i="79"/>
  <c r="JKG49" i="79"/>
  <c r="JKF49" i="79"/>
  <c r="JKE49" i="79"/>
  <c r="JKD49" i="79"/>
  <c r="JKC49" i="79"/>
  <c r="JKB49" i="79"/>
  <c r="JKA49" i="79"/>
  <c r="JJZ49" i="79"/>
  <c r="JJY49" i="79"/>
  <c r="JJX49" i="79"/>
  <c r="JJW49" i="79"/>
  <c r="JJV49" i="79"/>
  <c r="JJU49" i="79"/>
  <c r="JJT49" i="79"/>
  <c r="JJS49" i="79"/>
  <c r="JJR49" i="79"/>
  <c r="JJQ49" i="79"/>
  <c r="JJP49" i="79"/>
  <c r="JJO49" i="79"/>
  <c r="JJN49" i="79"/>
  <c r="JJM49" i="79"/>
  <c r="JJL49" i="79"/>
  <c r="JJK49" i="79"/>
  <c r="JJJ49" i="79"/>
  <c r="JJI49" i="79"/>
  <c r="JJH49" i="79"/>
  <c r="JJG49" i="79"/>
  <c r="JJF49" i="79"/>
  <c r="JJE49" i="79"/>
  <c r="JJD49" i="79"/>
  <c r="JJC49" i="79"/>
  <c r="JJB49" i="79"/>
  <c r="JJA49" i="79"/>
  <c r="JIZ49" i="79"/>
  <c r="JIY49" i="79"/>
  <c r="JIX49" i="79"/>
  <c r="JIW49" i="79"/>
  <c r="JIV49" i="79"/>
  <c r="JIU49" i="79"/>
  <c r="JIT49" i="79"/>
  <c r="JIS49" i="79"/>
  <c r="JIR49" i="79"/>
  <c r="JIQ49" i="79"/>
  <c r="JIP49" i="79"/>
  <c r="JIO49" i="79"/>
  <c r="JIN49" i="79"/>
  <c r="JIM49" i="79"/>
  <c r="JIL49" i="79"/>
  <c r="JIK49" i="79"/>
  <c r="JIJ49" i="79"/>
  <c r="JII49" i="79"/>
  <c r="JIH49" i="79"/>
  <c r="JIG49" i="79"/>
  <c r="JIF49" i="79"/>
  <c r="JIE49" i="79"/>
  <c r="JID49" i="79"/>
  <c r="JIC49" i="79"/>
  <c r="JIB49" i="79"/>
  <c r="JIA49" i="79"/>
  <c r="JHZ49" i="79"/>
  <c r="JHY49" i="79"/>
  <c r="JHX49" i="79"/>
  <c r="JHW49" i="79"/>
  <c r="JHV49" i="79"/>
  <c r="JHU49" i="79"/>
  <c r="JHT49" i="79"/>
  <c r="JHS49" i="79"/>
  <c r="JHR49" i="79"/>
  <c r="JHQ49" i="79"/>
  <c r="JHP49" i="79"/>
  <c r="JHO49" i="79"/>
  <c r="JHN49" i="79"/>
  <c r="JHM49" i="79"/>
  <c r="JHL49" i="79"/>
  <c r="JHK49" i="79"/>
  <c r="JHJ49" i="79"/>
  <c r="JHI49" i="79"/>
  <c r="JHH49" i="79"/>
  <c r="JHG49" i="79"/>
  <c r="JHF49" i="79"/>
  <c r="JHE49" i="79"/>
  <c r="JHD49" i="79"/>
  <c r="JHC49" i="79"/>
  <c r="JHB49" i="79"/>
  <c r="JHA49" i="79"/>
  <c r="JGZ49" i="79"/>
  <c r="JGY49" i="79"/>
  <c r="JGX49" i="79"/>
  <c r="JGW49" i="79"/>
  <c r="JGV49" i="79"/>
  <c r="JGU49" i="79"/>
  <c r="JGT49" i="79"/>
  <c r="JGS49" i="79"/>
  <c r="JGR49" i="79"/>
  <c r="JGQ49" i="79"/>
  <c r="JGP49" i="79"/>
  <c r="JGO49" i="79"/>
  <c r="JGN49" i="79"/>
  <c r="JGM49" i="79"/>
  <c r="JGL49" i="79"/>
  <c r="JGK49" i="79"/>
  <c r="JGJ49" i="79"/>
  <c r="JGI49" i="79"/>
  <c r="JGH49" i="79"/>
  <c r="JGG49" i="79"/>
  <c r="JGF49" i="79"/>
  <c r="JGE49" i="79"/>
  <c r="JGD49" i="79"/>
  <c r="JGC49" i="79"/>
  <c r="JGB49" i="79"/>
  <c r="JGA49" i="79"/>
  <c r="JFZ49" i="79"/>
  <c r="JFY49" i="79"/>
  <c r="JFX49" i="79"/>
  <c r="JFW49" i="79"/>
  <c r="JFV49" i="79"/>
  <c r="JFU49" i="79"/>
  <c r="JFT49" i="79"/>
  <c r="JFS49" i="79"/>
  <c r="JFR49" i="79"/>
  <c r="JFQ49" i="79"/>
  <c r="JFP49" i="79"/>
  <c r="JFO49" i="79"/>
  <c r="JFN49" i="79"/>
  <c r="JFM49" i="79"/>
  <c r="JFL49" i="79"/>
  <c r="JFK49" i="79"/>
  <c r="JFJ49" i="79"/>
  <c r="JFI49" i="79"/>
  <c r="JFH49" i="79"/>
  <c r="JFG49" i="79"/>
  <c r="JFF49" i="79"/>
  <c r="JFE49" i="79"/>
  <c r="JFD49" i="79"/>
  <c r="JFC49" i="79"/>
  <c r="JFB49" i="79"/>
  <c r="JFA49" i="79"/>
  <c r="JEZ49" i="79"/>
  <c r="JEY49" i="79"/>
  <c r="JEX49" i="79"/>
  <c r="JEW49" i="79"/>
  <c r="JEV49" i="79"/>
  <c r="JEU49" i="79"/>
  <c r="JET49" i="79"/>
  <c r="JES49" i="79"/>
  <c r="JER49" i="79"/>
  <c r="JEQ49" i="79"/>
  <c r="JEP49" i="79"/>
  <c r="JEO49" i="79"/>
  <c r="JEN49" i="79"/>
  <c r="JEM49" i="79"/>
  <c r="JEL49" i="79"/>
  <c r="JEK49" i="79"/>
  <c r="JEJ49" i="79"/>
  <c r="JEI49" i="79"/>
  <c r="JEH49" i="79"/>
  <c r="JEG49" i="79"/>
  <c r="JEF49" i="79"/>
  <c r="JEE49" i="79"/>
  <c r="JED49" i="79"/>
  <c r="JEC49" i="79"/>
  <c r="JEB49" i="79"/>
  <c r="JEA49" i="79"/>
  <c r="JDZ49" i="79"/>
  <c r="JDY49" i="79"/>
  <c r="JDX49" i="79"/>
  <c r="JDW49" i="79"/>
  <c r="JDV49" i="79"/>
  <c r="JDU49" i="79"/>
  <c r="JDT49" i="79"/>
  <c r="JDS49" i="79"/>
  <c r="JDR49" i="79"/>
  <c r="JDQ49" i="79"/>
  <c r="JDP49" i="79"/>
  <c r="JDO49" i="79"/>
  <c r="JDN49" i="79"/>
  <c r="JDM49" i="79"/>
  <c r="JDL49" i="79"/>
  <c r="JDK49" i="79"/>
  <c r="JDJ49" i="79"/>
  <c r="JDI49" i="79"/>
  <c r="JDH49" i="79"/>
  <c r="JDG49" i="79"/>
  <c r="JDF49" i="79"/>
  <c r="JDE49" i="79"/>
  <c r="JDD49" i="79"/>
  <c r="JDC49" i="79"/>
  <c r="JDB49" i="79"/>
  <c r="JDA49" i="79"/>
  <c r="JCZ49" i="79"/>
  <c r="JCY49" i="79"/>
  <c r="JCX49" i="79"/>
  <c r="JCW49" i="79"/>
  <c r="JCV49" i="79"/>
  <c r="JCU49" i="79"/>
  <c r="JCT49" i="79"/>
  <c r="JCS49" i="79"/>
  <c r="JCR49" i="79"/>
  <c r="JCQ49" i="79"/>
  <c r="JCP49" i="79"/>
  <c r="JCO49" i="79"/>
  <c r="JCN49" i="79"/>
  <c r="JCM49" i="79"/>
  <c r="JCL49" i="79"/>
  <c r="JCK49" i="79"/>
  <c r="JCJ49" i="79"/>
  <c r="JCI49" i="79"/>
  <c r="JCH49" i="79"/>
  <c r="JCG49" i="79"/>
  <c r="JCF49" i="79"/>
  <c r="JCE49" i="79"/>
  <c r="JCD49" i="79"/>
  <c r="JCC49" i="79"/>
  <c r="JCB49" i="79"/>
  <c r="JCA49" i="79"/>
  <c r="JBZ49" i="79"/>
  <c r="JBY49" i="79"/>
  <c r="JBX49" i="79"/>
  <c r="JBW49" i="79"/>
  <c r="JBV49" i="79"/>
  <c r="JBU49" i="79"/>
  <c r="JBT49" i="79"/>
  <c r="JBS49" i="79"/>
  <c r="JBR49" i="79"/>
  <c r="JBQ49" i="79"/>
  <c r="JBP49" i="79"/>
  <c r="JBO49" i="79"/>
  <c r="JBN49" i="79"/>
  <c r="JBM49" i="79"/>
  <c r="JBL49" i="79"/>
  <c r="JBK49" i="79"/>
  <c r="JBJ49" i="79"/>
  <c r="JBI49" i="79"/>
  <c r="JBH49" i="79"/>
  <c r="JBG49" i="79"/>
  <c r="JBF49" i="79"/>
  <c r="JBE49" i="79"/>
  <c r="JBD49" i="79"/>
  <c r="JBC49" i="79"/>
  <c r="JBB49" i="79"/>
  <c r="JBA49" i="79"/>
  <c r="JAZ49" i="79"/>
  <c r="JAY49" i="79"/>
  <c r="JAX49" i="79"/>
  <c r="JAW49" i="79"/>
  <c r="JAV49" i="79"/>
  <c r="JAU49" i="79"/>
  <c r="JAT49" i="79"/>
  <c r="JAS49" i="79"/>
  <c r="JAR49" i="79"/>
  <c r="JAQ49" i="79"/>
  <c r="JAP49" i="79"/>
  <c r="JAO49" i="79"/>
  <c r="JAN49" i="79"/>
  <c r="JAM49" i="79"/>
  <c r="JAL49" i="79"/>
  <c r="JAK49" i="79"/>
  <c r="JAJ49" i="79"/>
  <c r="JAI49" i="79"/>
  <c r="JAH49" i="79"/>
  <c r="JAG49" i="79"/>
  <c r="JAF49" i="79"/>
  <c r="JAE49" i="79"/>
  <c r="JAD49" i="79"/>
  <c r="JAC49" i="79"/>
  <c r="JAB49" i="79"/>
  <c r="JAA49" i="79"/>
  <c r="IZZ49" i="79"/>
  <c r="IZY49" i="79"/>
  <c r="IZX49" i="79"/>
  <c r="IZW49" i="79"/>
  <c r="IZV49" i="79"/>
  <c r="IZU49" i="79"/>
  <c r="IZT49" i="79"/>
  <c r="IZS49" i="79"/>
  <c r="IZR49" i="79"/>
  <c r="IZQ49" i="79"/>
  <c r="IZP49" i="79"/>
  <c r="IZO49" i="79"/>
  <c r="IZN49" i="79"/>
  <c r="IZM49" i="79"/>
  <c r="IZL49" i="79"/>
  <c r="IZK49" i="79"/>
  <c r="IZJ49" i="79"/>
  <c r="IZI49" i="79"/>
  <c r="IZH49" i="79"/>
  <c r="IZG49" i="79"/>
  <c r="IZF49" i="79"/>
  <c r="IZE49" i="79"/>
  <c r="IZD49" i="79"/>
  <c r="IZC49" i="79"/>
  <c r="IZB49" i="79"/>
  <c r="IZA49" i="79"/>
  <c r="IYZ49" i="79"/>
  <c r="IYY49" i="79"/>
  <c r="IYX49" i="79"/>
  <c r="IYW49" i="79"/>
  <c r="IYV49" i="79"/>
  <c r="IYU49" i="79"/>
  <c r="IYT49" i="79"/>
  <c r="IYS49" i="79"/>
  <c r="IYR49" i="79"/>
  <c r="IYQ49" i="79"/>
  <c r="IYP49" i="79"/>
  <c r="IYO49" i="79"/>
  <c r="IYN49" i="79"/>
  <c r="IYM49" i="79"/>
  <c r="IYL49" i="79"/>
  <c r="IYK49" i="79"/>
  <c r="IYJ49" i="79"/>
  <c r="IYI49" i="79"/>
  <c r="IYH49" i="79"/>
  <c r="IYG49" i="79"/>
  <c r="IYF49" i="79"/>
  <c r="IYE49" i="79"/>
  <c r="IYD49" i="79"/>
  <c r="IYC49" i="79"/>
  <c r="IYB49" i="79"/>
  <c r="IYA49" i="79"/>
  <c r="IXZ49" i="79"/>
  <c r="IXY49" i="79"/>
  <c r="IXX49" i="79"/>
  <c r="IXW49" i="79"/>
  <c r="IXV49" i="79"/>
  <c r="IXU49" i="79"/>
  <c r="IXT49" i="79"/>
  <c r="IXS49" i="79"/>
  <c r="IXR49" i="79"/>
  <c r="IXQ49" i="79"/>
  <c r="IXP49" i="79"/>
  <c r="IXO49" i="79"/>
  <c r="IXN49" i="79"/>
  <c r="IXM49" i="79"/>
  <c r="IXL49" i="79"/>
  <c r="IXK49" i="79"/>
  <c r="IXJ49" i="79"/>
  <c r="IXI49" i="79"/>
  <c r="IXH49" i="79"/>
  <c r="IXG49" i="79"/>
  <c r="IXF49" i="79"/>
  <c r="IXE49" i="79"/>
  <c r="IXD49" i="79"/>
  <c r="IXC49" i="79"/>
  <c r="IXB49" i="79"/>
  <c r="IXA49" i="79"/>
  <c r="IWZ49" i="79"/>
  <c r="IWY49" i="79"/>
  <c r="IWX49" i="79"/>
  <c r="IWW49" i="79"/>
  <c r="IWV49" i="79"/>
  <c r="IWU49" i="79"/>
  <c r="IWT49" i="79"/>
  <c r="IWS49" i="79"/>
  <c r="IWR49" i="79"/>
  <c r="IWQ49" i="79"/>
  <c r="IWP49" i="79"/>
  <c r="IWO49" i="79"/>
  <c r="IWN49" i="79"/>
  <c r="IWM49" i="79"/>
  <c r="IWL49" i="79"/>
  <c r="IWK49" i="79"/>
  <c r="IWJ49" i="79"/>
  <c r="IWI49" i="79"/>
  <c r="IWH49" i="79"/>
  <c r="IWG49" i="79"/>
  <c r="IWF49" i="79"/>
  <c r="IWE49" i="79"/>
  <c r="IWD49" i="79"/>
  <c r="IWC49" i="79"/>
  <c r="IWB49" i="79"/>
  <c r="IWA49" i="79"/>
  <c r="IVZ49" i="79"/>
  <c r="IVY49" i="79"/>
  <c r="IVX49" i="79"/>
  <c r="IVW49" i="79"/>
  <c r="IVV49" i="79"/>
  <c r="IVU49" i="79"/>
  <c r="IVT49" i="79"/>
  <c r="IVS49" i="79"/>
  <c r="IVR49" i="79"/>
  <c r="IVQ49" i="79"/>
  <c r="IVP49" i="79"/>
  <c r="IVO49" i="79"/>
  <c r="IVN49" i="79"/>
  <c r="IVM49" i="79"/>
  <c r="IVL49" i="79"/>
  <c r="IVK49" i="79"/>
  <c r="IVJ49" i="79"/>
  <c r="IVI49" i="79"/>
  <c r="IVH49" i="79"/>
  <c r="IVG49" i="79"/>
  <c r="IVF49" i="79"/>
  <c r="IVE49" i="79"/>
  <c r="IVD49" i="79"/>
  <c r="IVC49" i="79"/>
  <c r="IVB49" i="79"/>
  <c r="IVA49" i="79"/>
  <c r="IUZ49" i="79"/>
  <c r="IUY49" i="79"/>
  <c r="IUX49" i="79"/>
  <c r="IUW49" i="79"/>
  <c r="IUV49" i="79"/>
  <c r="IUU49" i="79"/>
  <c r="IUT49" i="79"/>
  <c r="IUS49" i="79"/>
  <c r="IUR49" i="79"/>
  <c r="IUQ49" i="79"/>
  <c r="IUP49" i="79"/>
  <c r="IUO49" i="79"/>
  <c r="IUN49" i="79"/>
  <c r="IUM49" i="79"/>
  <c r="IUL49" i="79"/>
  <c r="IUK49" i="79"/>
  <c r="IUJ49" i="79"/>
  <c r="IUI49" i="79"/>
  <c r="IUH49" i="79"/>
  <c r="IUG49" i="79"/>
  <c r="IUF49" i="79"/>
  <c r="IUE49" i="79"/>
  <c r="IUD49" i="79"/>
  <c r="IUC49" i="79"/>
  <c r="IUB49" i="79"/>
  <c r="IUA49" i="79"/>
  <c r="ITZ49" i="79"/>
  <c r="ITY49" i="79"/>
  <c r="ITX49" i="79"/>
  <c r="ITW49" i="79"/>
  <c r="ITV49" i="79"/>
  <c r="ITU49" i="79"/>
  <c r="ITT49" i="79"/>
  <c r="ITS49" i="79"/>
  <c r="ITR49" i="79"/>
  <c r="ITQ49" i="79"/>
  <c r="ITP49" i="79"/>
  <c r="ITO49" i="79"/>
  <c r="ITN49" i="79"/>
  <c r="ITM49" i="79"/>
  <c r="ITL49" i="79"/>
  <c r="ITK49" i="79"/>
  <c r="ITJ49" i="79"/>
  <c r="ITI49" i="79"/>
  <c r="ITH49" i="79"/>
  <c r="ITG49" i="79"/>
  <c r="ITF49" i="79"/>
  <c r="ITE49" i="79"/>
  <c r="ITD49" i="79"/>
  <c r="ITC49" i="79"/>
  <c r="ITB49" i="79"/>
  <c r="ITA49" i="79"/>
  <c r="ISZ49" i="79"/>
  <c r="ISY49" i="79"/>
  <c r="ISX49" i="79"/>
  <c r="ISW49" i="79"/>
  <c r="ISV49" i="79"/>
  <c r="ISU49" i="79"/>
  <c r="IST49" i="79"/>
  <c r="ISS49" i="79"/>
  <c r="ISR49" i="79"/>
  <c r="ISQ49" i="79"/>
  <c r="ISP49" i="79"/>
  <c r="ISO49" i="79"/>
  <c r="ISN49" i="79"/>
  <c r="ISM49" i="79"/>
  <c r="ISL49" i="79"/>
  <c r="ISK49" i="79"/>
  <c r="ISJ49" i="79"/>
  <c r="ISI49" i="79"/>
  <c r="ISH49" i="79"/>
  <c r="ISG49" i="79"/>
  <c r="ISF49" i="79"/>
  <c r="ISE49" i="79"/>
  <c r="ISD49" i="79"/>
  <c r="ISC49" i="79"/>
  <c r="ISB49" i="79"/>
  <c r="ISA49" i="79"/>
  <c r="IRZ49" i="79"/>
  <c r="IRY49" i="79"/>
  <c r="IRX49" i="79"/>
  <c r="IRW49" i="79"/>
  <c r="IRV49" i="79"/>
  <c r="IRU49" i="79"/>
  <c r="IRT49" i="79"/>
  <c r="IRS49" i="79"/>
  <c r="IRR49" i="79"/>
  <c r="IRQ49" i="79"/>
  <c r="IRP49" i="79"/>
  <c r="IRO49" i="79"/>
  <c r="IRN49" i="79"/>
  <c r="IRM49" i="79"/>
  <c r="IRL49" i="79"/>
  <c r="IRK49" i="79"/>
  <c r="IRJ49" i="79"/>
  <c r="IRI49" i="79"/>
  <c r="IRH49" i="79"/>
  <c r="IRG49" i="79"/>
  <c r="IRF49" i="79"/>
  <c r="IRE49" i="79"/>
  <c r="IRD49" i="79"/>
  <c r="IRC49" i="79"/>
  <c r="IRB49" i="79"/>
  <c r="IRA49" i="79"/>
  <c r="IQZ49" i="79"/>
  <c r="IQY49" i="79"/>
  <c r="IQX49" i="79"/>
  <c r="IQW49" i="79"/>
  <c r="IQV49" i="79"/>
  <c r="IQU49" i="79"/>
  <c r="IQT49" i="79"/>
  <c r="IQS49" i="79"/>
  <c r="IQR49" i="79"/>
  <c r="IQQ49" i="79"/>
  <c r="IQP49" i="79"/>
  <c r="IQO49" i="79"/>
  <c r="IQN49" i="79"/>
  <c r="IQM49" i="79"/>
  <c r="IQL49" i="79"/>
  <c r="IQK49" i="79"/>
  <c r="IQJ49" i="79"/>
  <c r="IQI49" i="79"/>
  <c r="IQH49" i="79"/>
  <c r="IQG49" i="79"/>
  <c r="IQF49" i="79"/>
  <c r="IQE49" i="79"/>
  <c r="IQD49" i="79"/>
  <c r="IQC49" i="79"/>
  <c r="IQB49" i="79"/>
  <c r="IQA49" i="79"/>
  <c r="IPZ49" i="79"/>
  <c r="IPY49" i="79"/>
  <c r="IPX49" i="79"/>
  <c r="IPW49" i="79"/>
  <c r="IPV49" i="79"/>
  <c r="IPU49" i="79"/>
  <c r="IPT49" i="79"/>
  <c r="IPS49" i="79"/>
  <c r="IPR49" i="79"/>
  <c r="IPQ49" i="79"/>
  <c r="IPP49" i="79"/>
  <c r="IPO49" i="79"/>
  <c r="IPN49" i="79"/>
  <c r="IPM49" i="79"/>
  <c r="IPL49" i="79"/>
  <c r="IPK49" i="79"/>
  <c r="IPJ49" i="79"/>
  <c r="IPI49" i="79"/>
  <c r="IPH49" i="79"/>
  <c r="IPG49" i="79"/>
  <c r="IPF49" i="79"/>
  <c r="IPE49" i="79"/>
  <c r="IPD49" i="79"/>
  <c r="IPC49" i="79"/>
  <c r="IPB49" i="79"/>
  <c r="IPA49" i="79"/>
  <c r="IOZ49" i="79"/>
  <c r="IOY49" i="79"/>
  <c r="IOX49" i="79"/>
  <c r="IOW49" i="79"/>
  <c r="IOV49" i="79"/>
  <c r="IOU49" i="79"/>
  <c r="IOT49" i="79"/>
  <c r="IOS49" i="79"/>
  <c r="IOR49" i="79"/>
  <c r="IOQ49" i="79"/>
  <c r="IOP49" i="79"/>
  <c r="IOO49" i="79"/>
  <c r="ION49" i="79"/>
  <c r="IOM49" i="79"/>
  <c r="IOL49" i="79"/>
  <c r="IOK49" i="79"/>
  <c r="IOJ49" i="79"/>
  <c r="IOI49" i="79"/>
  <c r="IOH49" i="79"/>
  <c r="IOG49" i="79"/>
  <c r="IOF49" i="79"/>
  <c r="IOE49" i="79"/>
  <c r="IOD49" i="79"/>
  <c r="IOC49" i="79"/>
  <c r="IOB49" i="79"/>
  <c r="IOA49" i="79"/>
  <c r="INZ49" i="79"/>
  <c r="INY49" i="79"/>
  <c r="INX49" i="79"/>
  <c r="INW49" i="79"/>
  <c r="INV49" i="79"/>
  <c r="INU49" i="79"/>
  <c r="INT49" i="79"/>
  <c r="INS49" i="79"/>
  <c r="INR49" i="79"/>
  <c r="INQ49" i="79"/>
  <c r="INP49" i="79"/>
  <c r="INO49" i="79"/>
  <c r="INN49" i="79"/>
  <c r="INM49" i="79"/>
  <c r="INL49" i="79"/>
  <c r="INK49" i="79"/>
  <c r="INJ49" i="79"/>
  <c r="INI49" i="79"/>
  <c r="INH49" i="79"/>
  <c r="ING49" i="79"/>
  <c r="INF49" i="79"/>
  <c r="INE49" i="79"/>
  <c r="IND49" i="79"/>
  <c r="INC49" i="79"/>
  <c r="INB49" i="79"/>
  <c r="INA49" i="79"/>
  <c r="IMZ49" i="79"/>
  <c r="IMY49" i="79"/>
  <c r="IMX49" i="79"/>
  <c r="IMW49" i="79"/>
  <c r="IMV49" i="79"/>
  <c r="IMU49" i="79"/>
  <c r="IMT49" i="79"/>
  <c r="IMS49" i="79"/>
  <c r="IMR49" i="79"/>
  <c r="IMQ49" i="79"/>
  <c r="IMP49" i="79"/>
  <c r="IMO49" i="79"/>
  <c r="IMN49" i="79"/>
  <c r="IMM49" i="79"/>
  <c r="IML49" i="79"/>
  <c r="IMK49" i="79"/>
  <c r="IMJ49" i="79"/>
  <c r="IMI49" i="79"/>
  <c r="IMH49" i="79"/>
  <c r="IMG49" i="79"/>
  <c r="IMF49" i="79"/>
  <c r="IME49" i="79"/>
  <c r="IMD49" i="79"/>
  <c r="IMC49" i="79"/>
  <c r="IMB49" i="79"/>
  <c r="IMA49" i="79"/>
  <c r="ILZ49" i="79"/>
  <c r="ILY49" i="79"/>
  <c r="ILX49" i="79"/>
  <c r="ILW49" i="79"/>
  <c r="ILV49" i="79"/>
  <c r="ILU49" i="79"/>
  <c r="ILT49" i="79"/>
  <c r="ILS49" i="79"/>
  <c r="ILR49" i="79"/>
  <c r="ILQ49" i="79"/>
  <c r="ILP49" i="79"/>
  <c r="ILO49" i="79"/>
  <c r="ILN49" i="79"/>
  <c r="ILM49" i="79"/>
  <c r="ILL49" i="79"/>
  <c r="ILK49" i="79"/>
  <c r="ILJ49" i="79"/>
  <c r="ILI49" i="79"/>
  <c r="ILH49" i="79"/>
  <c r="ILG49" i="79"/>
  <c r="ILF49" i="79"/>
  <c r="ILE49" i="79"/>
  <c r="ILD49" i="79"/>
  <c r="ILC49" i="79"/>
  <c r="ILB49" i="79"/>
  <c r="ILA49" i="79"/>
  <c r="IKZ49" i="79"/>
  <c r="IKY49" i="79"/>
  <c r="IKX49" i="79"/>
  <c r="IKW49" i="79"/>
  <c r="IKV49" i="79"/>
  <c r="IKU49" i="79"/>
  <c r="IKT49" i="79"/>
  <c r="IKS49" i="79"/>
  <c r="IKR49" i="79"/>
  <c r="IKQ49" i="79"/>
  <c r="IKP49" i="79"/>
  <c r="IKO49" i="79"/>
  <c r="IKN49" i="79"/>
  <c r="IKM49" i="79"/>
  <c r="IKL49" i="79"/>
  <c r="IKK49" i="79"/>
  <c r="IKJ49" i="79"/>
  <c r="IKI49" i="79"/>
  <c r="IKH49" i="79"/>
  <c r="IKG49" i="79"/>
  <c r="IKF49" i="79"/>
  <c r="IKE49" i="79"/>
  <c r="IKD49" i="79"/>
  <c r="IKC49" i="79"/>
  <c r="IKB49" i="79"/>
  <c r="IKA49" i="79"/>
  <c r="IJZ49" i="79"/>
  <c r="IJY49" i="79"/>
  <c r="IJX49" i="79"/>
  <c r="IJW49" i="79"/>
  <c r="IJV49" i="79"/>
  <c r="IJU49" i="79"/>
  <c r="IJT49" i="79"/>
  <c r="IJS49" i="79"/>
  <c r="IJR49" i="79"/>
  <c r="IJQ49" i="79"/>
  <c r="IJP49" i="79"/>
  <c r="IJO49" i="79"/>
  <c r="IJN49" i="79"/>
  <c r="IJM49" i="79"/>
  <c r="IJL49" i="79"/>
  <c r="IJK49" i="79"/>
  <c r="IJJ49" i="79"/>
  <c r="IJI49" i="79"/>
  <c r="IJH49" i="79"/>
  <c r="IJG49" i="79"/>
  <c r="IJF49" i="79"/>
  <c r="IJE49" i="79"/>
  <c r="IJD49" i="79"/>
  <c r="IJC49" i="79"/>
  <c r="IJB49" i="79"/>
  <c r="IJA49" i="79"/>
  <c r="IIZ49" i="79"/>
  <c r="IIY49" i="79"/>
  <c r="IIX49" i="79"/>
  <c r="IIW49" i="79"/>
  <c r="IIV49" i="79"/>
  <c r="IIU49" i="79"/>
  <c r="IIT49" i="79"/>
  <c r="IIS49" i="79"/>
  <c r="IIR49" i="79"/>
  <c r="IIQ49" i="79"/>
  <c r="IIP49" i="79"/>
  <c r="IIO49" i="79"/>
  <c r="IIN49" i="79"/>
  <c r="IIM49" i="79"/>
  <c r="IIL49" i="79"/>
  <c r="IIK49" i="79"/>
  <c r="IIJ49" i="79"/>
  <c r="III49" i="79"/>
  <c r="IIH49" i="79"/>
  <c r="IIG49" i="79"/>
  <c r="IIF49" i="79"/>
  <c r="IIE49" i="79"/>
  <c r="IID49" i="79"/>
  <c r="IIC49" i="79"/>
  <c r="IIB49" i="79"/>
  <c r="IIA49" i="79"/>
  <c r="IHZ49" i="79"/>
  <c r="IHY49" i="79"/>
  <c r="IHX49" i="79"/>
  <c r="IHW49" i="79"/>
  <c r="IHV49" i="79"/>
  <c r="IHU49" i="79"/>
  <c r="IHT49" i="79"/>
  <c r="IHS49" i="79"/>
  <c r="IHR49" i="79"/>
  <c r="IHQ49" i="79"/>
  <c r="IHP49" i="79"/>
  <c r="IHO49" i="79"/>
  <c r="IHN49" i="79"/>
  <c r="IHM49" i="79"/>
  <c r="IHL49" i="79"/>
  <c r="IHK49" i="79"/>
  <c r="IHJ49" i="79"/>
  <c r="IHI49" i="79"/>
  <c r="IHH49" i="79"/>
  <c r="IHG49" i="79"/>
  <c r="IHF49" i="79"/>
  <c r="IHE49" i="79"/>
  <c r="IHD49" i="79"/>
  <c r="IHC49" i="79"/>
  <c r="IHB49" i="79"/>
  <c r="IHA49" i="79"/>
  <c r="IGZ49" i="79"/>
  <c r="IGY49" i="79"/>
  <c r="IGX49" i="79"/>
  <c r="IGW49" i="79"/>
  <c r="IGV49" i="79"/>
  <c r="IGU49" i="79"/>
  <c r="IGT49" i="79"/>
  <c r="IGS49" i="79"/>
  <c r="IGR49" i="79"/>
  <c r="IGQ49" i="79"/>
  <c r="IGP49" i="79"/>
  <c r="IGO49" i="79"/>
  <c r="IGN49" i="79"/>
  <c r="IGM49" i="79"/>
  <c r="IGL49" i="79"/>
  <c r="IGK49" i="79"/>
  <c r="IGJ49" i="79"/>
  <c r="IGI49" i="79"/>
  <c r="IGH49" i="79"/>
  <c r="IGG49" i="79"/>
  <c r="IGF49" i="79"/>
  <c r="IGE49" i="79"/>
  <c r="IGD49" i="79"/>
  <c r="IGC49" i="79"/>
  <c r="IGB49" i="79"/>
  <c r="IGA49" i="79"/>
  <c r="IFZ49" i="79"/>
  <c r="IFY49" i="79"/>
  <c r="IFX49" i="79"/>
  <c r="IFW49" i="79"/>
  <c r="IFV49" i="79"/>
  <c r="IFU49" i="79"/>
  <c r="IFT49" i="79"/>
  <c r="IFS49" i="79"/>
  <c r="IFR49" i="79"/>
  <c r="IFQ49" i="79"/>
  <c r="IFP49" i="79"/>
  <c r="IFO49" i="79"/>
  <c r="IFN49" i="79"/>
  <c r="IFM49" i="79"/>
  <c r="IFL49" i="79"/>
  <c r="IFK49" i="79"/>
  <c r="IFJ49" i="79"/>
  <c r="IFI49" i="79"/>
  <c r="IFH49" i="79"/>
  <c r="IFG49" i="79"/>
  <c r="IFF49" i="79"/>
  <c r="IFE49" i="79"/>
  <c r="IFD49" i="79"/>
  <c r="IFC49" i="79"/>
  <c r="IFB49" i="79"/>
  <c r="IFA49" i="79"/>
  <c r="IEZ49" i="79"/>
  <c r="IEY49" i="79"/>
  <c r="IEX49" i="79"/>
  <c r="IEW49" i="79"/>
  <c r="IEV49" i="79"/>
  <c r="IEU49" i="79"/>
  <c r="IET49" i="79"/>
  <c r="IES49" i="79"/>
  <c r="IER49" i="79"/>
  <c r="IEQ49" i="79"/>
  <c r="IEP49" i="79"/>
  <c r="IEO49" i="79"/>
  <c r="IEN49" i="79"/>
  <c r="IEM49" i="79"/>
  <c r="IEL49" i="79"/>
  <c r="IEK49" i="79"/>
  <c r="IEJ49" i="79"/>
  <c r="IEI49" i="79"/>
  <c r="IEH49" i="79"/>
  <c r="IEG49" i="79"/>
  <c r="IEF49" i="79"/>
  <c r="IEE49" i="79"/>
  <c r="IED49" i="79"/>
  <c r="IEC49" i="79"/>
  <c r="IEB49" i="79"/>
  <c r="IEA49" i="79"/>
  <c r="IDZ49" i="79"/>
  <c r="IDY49" i="79"/>
  <c r="IDX49" i="79"/>
  <c r="IDW49" i="79"/>
  <c r="IDV49" i="79"/>
  <c r="IDU49" i="79"/>
  <c r="IDT49" i="79"/>
  <c r="IDS49" i="79"/>
  <c r="IDR49" i="79"/>
  <c r="IDQ49" i="79"/>
  <c r="IDP49" i="79"/>
  <c r="IDO49" i="79"/>
  <c r="IDN49" i="79"/>
  <c r="IDM49" i="79"/>
  <c r="IDL49" i="79"/>
  <c r="IDK49" i="79"/>
  <c r="IDJ49" i="79"/>
  <c r="IDI49" i="79"/>
  <c r="IDH49" i="79"/>
  <c r="IDG49" i="79"/>
  <c r="IDF49" i="79"/>
  <c r="IDE49" i="79"/>
  <c r="IDD49" i="79"/>
  <c r="IDC49" i="79"/>
  <c r="IDB49" i="79"/>
  <c r="IDA49" i="79"/>
  <c r="ICZ49" i="79"/>
  <c r="ICY49" i="79"/>
  <c r="ICX49" i="79"/>
  <c r="ICW49" i="79"/>
  <c r="ICV49" i="79"/>
  <c r="ICU49" i="79"/>
  <c r="ICT49" i="79"/>
  <c r="ICS49" i="79"/>
  <c r="ICR49" i="79"/>
  <c r="ICQ49" i="79"/>
  <c r="ICP49" i="79"/>
  <c r="ICO49" i="79"/>
  <c r="ICN49" i="79"/>
  <c r="ICM49" i="79"/>
  <c r="ICL49" i="79"/>
  <c r="ICK49" i="79"/>
  <c r="ICJ49" i="79"/>
  <c r="ICI49" i="79"/>
  <c r="ICH49" i="79"/>
  <c r="ICG49" i="79"/>
  <c r="ICF49" i="79"/>
  <c r="ICE49" i="79"/>
  <c r="ICD49" i="79"/>
  <c r="ICC49" i="79"/>
  <c r="ICB49" i="79"/>
  <c r="ICA49" i="79"/>
  <c r="IBZ49" i="79"/>
  <c r="IBY49" i="79"/>
  <c r="IBX49" i="79"/>
  <c r="IBW49" i="79"/>
  <c r="IBV49" i="79"/>
  <c r="IBU49" i="79"/>
  <c r="IBT49" i="79"/>
  <c r="IBS49" i="79"/>
  <c r="IBR49" i="79"/>
  <c r="IBQ49" i="79"/>
  <c r="IBP49" i="79"/>
  <c r="IBO49" i="79"/>
  <c r="IBN49" i="79"/>
  <c r="IBM49" i="79"/>
  <c r="IBL49" i="79"/>
  <c r="IBK49" i="79"/>
  <c r="IBJ49" i="79"/>
  <c r="IBI49" i="79"/>
  <c r="IBH49" i="79"/>
  <c r="IBG49" i="79"/>
  <c r="IBF49" i="79"/>
  <c r="IBE49" i="79"/>
  <c r="IBD49" i="79"/>
  <c r="IBC49" i="79"/>
  <c r="IBB49" i="79"/>
  <c r="IBA49" i="79"/>
  <c r="IAZ49" i="79"/>
  <c r="IAY49" i="79"/>
  <c r="IAX49" i="79"/>
  <c r="IAW49" i="79"/>
  <c r="IAV49" i="79"/>
  <c r="IAU49" i="79"/>
  <c r="IAT49" i="79"/>
  <c r="IAS49" i="79"/>
  <c r="IAR49" i="79"/>
  <c r="IAQ49" i="79"/>
  <c r="IAP49" i="79"/>
  <c r="IAO49" i="79"/>
  <c r="IAN49" i="79"/>
  <c r="IAM49" i="79"/>
  <c r="IAL49" i="79"/>
  <c r="IAK49" i="79"/>
  <c r="IAJ49" i="79"/>
  <c r="IAI49" i="79"/>
  <c r="IAH49" i="79"/>
  <c r="IAG49" i="79"/>
  <c r="IAF49" i="79"/>
  <c r="IAE49" i="79"/>
  <c r="IAD49" i="79"/>
  <c r="IAC49" i="79"/>
  <c r="IAB49" i="79"/>
  <c r="IAA49" i="79"/>
  <c r="HZZ49" i="79"/>
  <c r="HZY49" i="79"/>
  <c r="HZX49" i="79"/>
  <c r="HZW49" i="79"/>
  <c r="HZV49" i="79"/>
  <c r="HZU49" i="79"/>
  <c r="HZT49" i="79"/>
  <c r="HZS49" i="79"/>
  <c r="HZR49" i="79"/>
  <c r="HZQ49" i="79"/>
  <c r="HZP49" i="79"/>
  <c r="HZO49" i="79"/>
  <c r="HZN49" i="79"/>
  <c r="HZM49" i="79"/>
  <c r="HZL49" i="79"/>
  <c r="HZK49" i="79"/>
  <c r="HZJ49" i="79"/>
  <c r="HZI49" i="79"/>
  <c r="HZH49" i="79"/>
  <c r="HZG49" i="79"/>
  <c r="HZF49" i="79"/>
  <c r="HZE49" i="79"/>
  <c r="HZD49" i="79"/>
  <c r="HZC49" i="79"/>
  <c r="HZB49" i="79"/>
  <c r="HZA49" i="79"/>
  <c r="HYZ49" i="79"/>
  <c r="HYY49" i="79"/>
  <c r="HYX49" i="79"/>
  <c r="HYW49" i="79"/>
  <c r="HYV49" i="79"/>
  <c r="HYU49" i="79"/>
  <c r="HYT49" i="79"/>
  <c r="HYS49" i="79"/>
  <c r="HYR49" i="79"/>
  <c r="HYQ49" i="79"/>
  <c r="HYP49" i="79"/>
  <c r="HYO49" i="79"/>
  <c r="HYN49" i="79"/>
  <c r="HYM49" i="79"/>
  <c r="HYL49" i="79"/>
  <c r="HYK49" i="79"/>
  <c r="HYJ49" i="79"/>
  <c r="HYI49" i="79"/>
  <c r="HYH49" i="79"/>
  <c r="HYG49" i="79"/>
  <c r="HYF49" i="79"/>
  <c r="HYE49" i="79"/>
  <c r="HYD49" i="79"/>
  <c r="HYC49" i="79"/>
  <c r="HYB49" i="79"/>
  <c r="HYA49" i="79"/>
  <c r="HXZ49" i="79"/>
  <c r="HXY49" i="79"/>
  <c r="HXX49" i="79"/>
  <c r="HXW49" i="79"/>
  <c r="HXV49" i="79"/>
  <c r="HXU49" i="79"/>
  <c r="HXT49" i="79"/>
  <c r="HXS49" i="79"/>
  <c r="HXR49" i="79"/>
  <c r="HXQ49" i="79"/>
  <c r="HXP49" i="79"/>
  <c r="HXO49" i="79"/>
  <c r="HXN49" i="79"/>
  <c r="HXM49" i="79"/>
  <c r="HXL49" i="79"/>
  <c r="HXK49" i="79"/>
  <c r="HXJ49" i="79"/>
  <c r="HXI49" i="79"/>
  <c r="HXH49" i="79"/>
  <c r="HXG49" i="79"/>
  <c r="HXF49" i="79"/>
  <c r="HXE49" i="79"/>
  <c r="HXD49" i="79"/>
  <c r="HXC49" i="79"/>
  <c r="HXB49" i="79"/>
  <c r="HXA49" i="79"/>
  <c r="HWZ49" i="79"/>
  <c r="HWY49" i="79"/>
  <c r="HWX49" i="79"/>
  <c r="HWW49" i="79"/>
  <c r="HWV49" i="79"/>
  <c r="HWU49" i="79"/>
  <c r="HWT49" i="79"/>
  <c r="HWS49" i="79"/>
  <c r="HWR49" i="79"/>
  <c r="HWQ49" i="79"/>
  <c r="HWP49" i="79"/>
  <c r="HWO49" i="79"/>
  <c r="HWN49" i="79"/>
  <c r="HWM49" i="79"/>
  <c r="HWL49" i="79"/>
  <c r="HWK49" i="79"/>
  <c r="HWJ49" i="79"/>
  <c r="HWI49" i="79"/>
  <c r="HWH49" i="79"/>
  <c r="HWG49" i="79"/>
  <c r="HWF49" i="79"/>
  <c r="HWE49" i="79"/>
  <c r="HWD49" i="79"/>
  <c r="HWC49" i="79"/>
  <c r="HWB49" i="79"/>
  <c r="HWA49" i="79"/>
  <c r="HVZ49" i="79"/>
  <c r="HVY49" i="79"/>
  <c r="HVX49" i="79"/>
  <c r="HVW49" i="79"/>
  <c r="HVV49" i="79"/>
  <c r="HVU49" i="79"/>
  <c r="HVT49" i="79"/>
  <c r="HVS49" i="79"/>
  <c r="HVR49" i="79"/>
  <c r="HVQ49" i="79"/>
  <c r="HVP49" i="79"/>
  <c r="HVO49" i="79"/>
  <c r="HVN49" i="79"/>
  <c r="HVM49" i="79"/>
  <c r="HVL49" i="79"/>
  <c r="HVK49" i="79"/>
  <c r="HVJ49" i="79"/>
  <c r="HVI49" i="79"/>
  <c r="HVH49" i="79"/>
  <c r="HVG49" i="79"/>
  <c r="HVF49" i="79"/>
  <c r="HVE49" i="79"/>
  <c r="HVD49" i="79"/>
  <c r="HVC49" i="79"/>
  <c r="HVB49" i="79"/>
  <c r="HVA49" i="79"/>
  <c r="HUZ49" i="79"/>
  <c r="HUY49" i="79"/>
  <c r="HUX49" i="79"/>
  <c r="HUW49" i="79"/>
  <c r="HUV49" i="79"/>
  <c r="HUU49" i="79"/>
  <c r="HUT49" i="79"/>
  <c r="HUS49" i="79"/>
  <c r="HUR49" i="79"/>
  <c r="HUQ49" i="79"/>
  <c r="HUP49" i="79"/>
  <c r="HUO49" i="79"/>
  <c r="HUN49" i="79"/>
  <c r="HUM49" i="79"/>
  <c r="HUL49" i="79"/>
  <c r="HUK49" i="79"/>
  <c r="HUJ49" i="79"/>
  <c r="HUI49" i="79"/>
  <c r="HUH49" i="79"/>
  <c r="HUG49" i="79"/>
  <c r="HUF49" i="79"/>
  <c r="HUE49" i="79"/>
  <c r="HUD49" i="79"/>
  <c r="HUC49" i="79"/>
  <c r="HUB49" i="79"/>
  <c r="HUA49" i="79"/>
  <c r="HTZ49" i="79"/>
  <c r="HTY49" i="79"/>
  <c r="HTX49" i="79"/>
  <c r="HTW49" i="79"/>
  <c r="HTV49" i="79"/>
  <c r="HTU49" i="79"/>
  <c r="HTT49" i="79"/>
  <c r="HTS49" i="79"/>
  <c r="HTR49" i="79"/>
  <c r="HTQ49" i="79"/>
  <c r="HTP49" i="79"/>
  <c r="HTO49" i="79"/>
  <c r="HTN49" i="79"/>
  <c r="HTM49" i="79"/>
  <c r="HTL49" i="79"/>
  <c r="HTK49" i="79"/>
  <c r="HTJ49" i="79"/>
  <c r="HTI49" i="79"/>
  <c r="HTH49" i="79"/>
  <c r="HTG49" i="79"/>
  <c r="HTF49" i="79"/>
  <c r="HTE49" i="79"/>
  <c r="HTD49" i="79"/>
  <c r="HTC49" i="79"/>
  <c r="HTB49" i="79"/>
  <c r="HTA49" i="79"/>
  <c r="HSZ49" i="79"/>
  <c r="HSY49" i="79"/>
  <c r="HSX49" i="79"/>
  <c r="HSW49" i="79"/>
  <c r="HSV49" i="79"/>
  <c r="HSU49" i="79"/>
  <c r="HST49" i="79"/>
  <c r="HSS49" i="79"/>
  <c r="HSR49" i="79"/>
  <c r="HSQ49" i="79"/>
  <c r="HSP49" i="79"/>
  <c r="HSO49" i="79"/>
  <c r="HSN49" i="79"/>
  <c r="HSM49" i="79"/>
  <c r="HSL49" i="79"/>
  <c r="HSK49" i="79"/>
  <c r="HSJ49" i="79"/>
  <c r="HSI49" i="79"/>
  <c r="HSH49" i="79"/>
  <c r="HSG49" i="79"/>
  <c r="HSF49" i="79"/>
  <c r="HSE49" i="79"/>
  <c r="HSD49" i="79"/>
  <c r="HSC49" i="79"/>
  <c r="HSB49" i="79"/>
  <c r="HSA49" i="79"/>
  <c r="HRZ49" i="79"/>
  <c r="HRY49" i="79"/>
  <c r="HRX49" i="79"/>
  <c r="HRW49" i="79"/>
  <c r="HRV49" i="79"/>
  <c r="HRU49" i="79"/>
  <c r="HRT49" i="79"/>
  <c r="HRS49" i="79"/>
  <c r="HRR49" i="79"/>
  <c r="HRQ49" i="79"/>
  <c r="HRP49" i="79"/>
  <c r="HRO49" i="79"/>
  <c r="HRN49" i="79"/>
  <c r="HRM49" i="79"/>
  <c r="HRL49" i="79"/>
  <c r="HRK49" i="79"/>
  <c r="HRJ49" i="79"/>
  <c r="HRI49" i="79"/>
  <c r="HRH49" i="79"/>
  <c r="HRG49" i="79"/>
  <c r="HRF49" i="79"/>
  <c r="HRE49" i="79"/>
  <c r="HRD49" i="79"/>
  <c r="HRC49" i="79"/>
  <c r="HRB49" i="79"/>
  <c r="HRA49" i="79"/>
  <c r="HQZ49" i="79"/>
  <c r="HQY49" i="79"/>
  <c r="HQX49" i="79"/>
  <c r="HQW49" i="79"/>
  <c r="HQV49" i="79"/>
  <c r="HQU49" i="79"/>
  <c r="HQT49" i="79"/>
  <c r="HQS49" i="79"/>
  <c r="HQR49" i="79"/>
  <c r="HQQ49" i="79"/>
  <c r="HQP49" i="79"/>
  <c r="HQO49" i="79"/>
  <c r="HQN49" i="79"/>
  <c r="HQM49" i="79"/>
  <c r="HQL49" i="79"/>
  <c r="HQK49" i="79"/>
  <c r="HQJ49" i="79"/>
  <c r="HQI49" i="79"/>
  <c r="HQH49" i="79"/>
  <c r="HQG49" i="79"/>
  <c r="HQF49" i="79"/>
  <c r="HQE49" i="79"/>
  <c r="HQD49" i="79"/>
  <c r="HQC49" i="79"/>
  <c r="HQB49" i="79"/>
  <c r="HQA49" i="79"/>
  <c r="HPZ49" i="79"/>
  <c r="HPY49" i="79"/>
  <c r="HPX49" i="79"/>
  <c r="HPW49" i="79"/>
  <c r="HPV49" i="79"/>
  <c r="HPU49" i="79"/>
  <c r="HPT49" i="79"/>
  <c r="HPS49" i="79"/>
  <c r="HPR49" i="79"/>
  <c r="HPQ49" i="79"/>
  <c r="HPP49" i="79"/>
  <c r="HPO49" i="79"/>
  <c r="HPN49" i="79"/>
  <c r="HPM49" i="79"/>
  <c r="HPL49" i="79"/>
  <c r="HPK49" i="79"/>
  <c r="HPJ49" i="79"/>
  <c r="HPI49" i="79"/>
  <c r="HPH49" i="79"/>
  <c r="HPG49" i="79"/>
  <c r="HPF49" i="79"/>
  <c r="HPE49" i="79"/>
  <c r="HPD49" i="79"/>
  <c r="HPC49" i="79"/>
  <c r="HPB49" i="79"/>
  <c r="HPA49" i="79"/>
  <c r="HOZ49" i="79"/>
  <c r="HOY49" i="79"/>
  <c r="HOX49" i="79"/>
  <c r="HOW49" i="79"/>
  <c r="HOV49" i="79"/>
  <c r="HOU49" i="79"/>
  <c r="HOT49" i="79"/>
  <c r="HOS49" i="79"/>
  <c r="HOR49" i="79"/>
  <c r="HOQ49" i="79"/>
  <c r="HOP49" i="79"/>
  <c r="HOO49" i="79"/>
  <c r="HON49" i="79"/>
  <c r="HOM49" i="79"/>
  <c r="HOL49" i="79"/>
  <c r="HOK49" i="79"/>
  <c r="HOJ49" i="79"/>
  <c r="HOI49" i="79"/>
  <c r="HOH49" i="79"/>
  <c r="HOG49" i="79"/>
  <c r="HOF49" i="79"/>
  <c r="HOE49" i="79"/>
  <c r="HOD49" i="79"/>
  <c r="HOC49" i="79"/>
  <c r="HOB49" i="79"/>
  <c r="HOA49" i="79"/>
  <c r="HNZ49" i="79"/>
  <c r="HNY49" i="79"/>
  <c r="HNX49" i="79"/>
  <c r="HNW49" i="79"/>
  <c r="HNV49" i="79"/>
  <c r="HNU49" i="79"/>
  <c r="HNT49" i="79"/>
  <c r="HNS49" i="79"/>
  <c r="HNR49" i="79"/>
  <c r="HNQ49" i="79"/>
  <c r="HNP49" i="79"/>
  <c r="HNO49" i="79"/>
  <c r="HNN49" i="79"/>
  <c r="HNM49" i="79"/>
  <c r="HNL49" i="79"/>
  <c r="HNK49" i="79"/>
  <c r="HNJ49" i="79"/>
  <c r="HNI49" i="79"/>
  <c r="HNH49" i="79"/>
  <c r="HNG49" i="79"/>
  <c r="HNF49" i="79"/>
  <c r="HNE49" i="79"/>
  <c r="HND49" i="79"/>
  <c r="HNC49" i="79"/>
  <c r="HNB49" i="79"/>
  <c r="HNA49" i="79"/>
  <c r="HMZ49" i="79"/>
  <c r="HMY49" i="79"/>
  <c r="HMX49" i="79"/>
  <c r="HMW49" i="79"/>
  <c r="HMV49" i="79"/>
  <c r="HMU49" i="79"/>
  <c r="HMT49" i="79"/>
  <c r="HMS49" i="79"/>
  <c r="HMR49" i="79"/>
  <c r="HMQ49" i="79"/>
  <c r="HMP49" i="79"/>
  <c r="HMO49" i="79"/>
  <c r="HMN49" i="79"/>
  <c r="HMM49" i="79"/>
  <c r="HML49" i="79"/>
  <c r="HMK49" i="79"/>
  <c r="HMJ49" i="79"/>
  <c r="HMI49" i="79"/>
  <c r="HMH49" i="79"/>
  <c r="HMG49" i="79"/>
  <c r="HMF49" i="79"/>
  <c r="HME49" i="79"/>
  <c r="HMD49" i="79"/>
  <c r="HMC49" i="79"/>
  <c r="HMB49" i="79"/>
  <c r="HMA49" i="79"/>
  <c r="HLZ49" i="79"/>
  <c r="HLY49" i="79"/>
  <c r="HLX49" i="79"/>
  <c r="HLW49" i="79"/>
  <c r="HLV49" i="79"/>
  <c r="HLU49" i="79"/>
  <c r="HLT49" i="79"/>
  <c r="HLS49" i="79"/>
  <c r="HLR49" i="79"/>
  <c r="HLQ49" i="79"/>
  <c r="HLP49" i="79"/>
  <c r="HLO49" i="79"/>
  <c r="HLN49" i="79"/>
  <c r="HLM49" i="79"/>
  <c r="HLL49" i="79"/>
  <c r="HLK49" i="79"/>
  <c r="HLJ49" i="79"/>
  <c r="HLI49" i="79"/>
  <c r="HLH49" i="79"/>
  <c r="HLG49" i="79"/>
  <c r="HLF49" i="79"/>
  <c r="HLE49" i="79"/>
  <c r="HLD49" i="79"/>
  <c r="HLC49" i="79"/>
  <c r="HLB49" i="79"/>
  <c r="HLA49" i="79"/>
  <c r="HKZ49" i="79"/>
  <c r="HKY49" i="79"/>
  <c r="HKX49" i="79"/>
  <c r="HKW49" i="79"/>
  <c r="HKV49" i="79"/>
  <c r="HKU49" i="79"/>
  <c r="HKT49" i="79"/>
  <c r="HKS49" i="79"/>
  <c r="HKR49" i="79"/>
  <c r="HKQ49" i="79"/>
  <c r="HKP49" i="79"/>
  <c r="HKO49" i="79"/>
  <c r="HKN49" i="79"/>
  <c r="HKM49" i="79"/>
  <c r="HKL49" i="79"/>
  <c r="HKK49" i="79"/>
  <c r="HKJ49" i="79"/>
  <c r="HKI49" i="79"/>
  <c r="HKH49" i="79"/>
  <c r="HKG49" i="79"/>
  <c r="HKF49" i="79"/>
  <c r="HKE49" i="79"/>
  <c r="HKD49" i="79"/>
  <c r="HKC49" i="79"/>
  <c r="HKB49" i="79"/>
  <c r="HKA49" i="79"/>
  <c r="HJZ49" i="79"/>
  <c r="HJY49" i="79"/>
  <c r="HJX49" i="79"/>
  <c r="HJW49" i="79"/>
  <c r="HJV49" i="79"/>
  <c r="HJU49" i="79"/>
  <c r="HJT49" i="79"/>
  <c r="HJS49" i="79"/>
  <c r="HJR49" i="79"/>
  <c r="HJQ49" i="79"/>
  <c r="HJP49" i="79"/>
  <c r="HJO49" i="79"/>
  <c r="HJN49" i="79"/>
  <c r="HJM49" i="79"/>
  <c r="HJL49" i="79"/>
  <c r="HJK49" i="79"/>
  <c r="HJJ49" i="79"/>
  <c r="HJI49" i="79"/>
  <c r="HJH49" i="79"/>
  <c r="HJG49" i="79"/>
  <c r="HJF49" i="79"/>
  <c r="HJE49" i="79"/>
  <c r="HJD49" i="79"/>
  <c r="HJC49" i="79"/>
  <c r="HJB49" i="79"/>
  <c r="HJA49" i="79"/>
  <c r="HIZ49" i="79"/>
  <c r="HIY49" i="79"/>
  <c r="HIX49" i="79"/>
  <c r="HIW49" i="79"/>
  <c r="HIV49" i="79"/>
  <c r="HIU49" i="79"/>
  <c r="HIT49" i="79"/>
  <c r="HIS49" i="79"/>
  <c r="HIR49" i="79"/>
  <c r="HIQ49" i="79"/>
  <c r="HIP49" i="79"/>
  <c r="HIO49" i="79"/>
  <c r="HIN49" i="79"/>
  <c r="HIM49" i="79"/>
  <c r="HIL49" i="79"/>
  <c r="HIK49" i="79"/>
  <c r="HIJ49" i="79"/>
  <c r="HII49" i="79"/>
  <c r="HIH49" i="79"/>
  <c r="HIG49" i="79"/>
  <c r="HIF49" i="79"/>
  <c r="HIE49" i="79"/>
  <c r="HID49" i="79"/>
  <c r="HIC49" i="79"/>
  <c r="HIB49" i="79"/>
  <c r="HIA49" i="79"/>
  <c r="HHZ49" i="79"/>
  <c r="HHY49" i="79"/>
  <c r="HHX49" i="79"/>
  <c r="HHW49" i="79"/>
  <c r="HHV49" i="79"/>
  <c r="HHU49" i="79"/>
  <c r="HHT49" i="79"/>
  <c r="HHS49" i="79"/>
  <c r="HHR49" i="79"/>
  <c r="HHQ49" i="79"/>
  <c r="HHP49" i="79"/>
  <c r="HHO49" i="79"/>
  <c r="HHN49" i="79"/>
  <c r="HHM49" i="79"/>
  <c r="HHL49" i="79"/>
  <c r="HHK49" i="79"/>
  <c r="HHJ49" i="79"/>
  <c r="HHI49" i="79"/>
  <c r="HHH49" i="79"/>
  <c r="HHG49" i="79"/>
  <c r="HHF49" i="79"/>
  <c r="HHE49" i="79"/>
  <c r="HHD49" i="79"/>
  <c r="HHC49" i="79"/>
  <c r="HHB49" i="79"/>
  <c r="HHA49" i="79"/>
  <c r="HGZ49" i="79"/>
  <c r="HGY49" i="79"/>
  <c r="HGX49" i="79"/>
  <c r="HGW49" i="79"/>
  <c r="HGV49" i="79"/>
  <c r="HGU49" i="79"/>
  <c r="HGT49" i="79"/>
  <c r="HGS49" i="79"/>
  <c r="HGR49" i="79"/>
  <c r="HGQ49" i="79"/>
  <c r="HGP49" i="79"/>
  <c r="HGO49" i="79"/>
  <c r="HGN49" i="79"/>
  <c r="HGM49" i="79"/>
  <c r="HGL49" i="79"/>
  <c r="HGK49" i="79"/>
  <c r="HGJ49" i="79"/>
  <c r="HGI49" i="79"/>
  <c r="HGH49" i="79"/>
  <c r="HGG49" i="79"/>
  <c r="HGF49" i="79"/>
  <c r="HGE49" i="79"/>
  <c r="HGD49" i="79"/>
  <c r="HGC49" i="79"/>
  <c r="HGB49" i="79"/>
  <c r="HGA49" i="79"/>
  <c r="HFZ49" i="79"/>
  <c r="HFY49" i="79"/>
  <c r="HFX49" i="79"/>
  <c r="HFW49" i="79"/>
  <c r="HFV49" i="79"/>
  <c r="HFU49" i="79"/>
  <c r="HFT49" i="79"/>
  <c r="HFS49" i="79"/>
  <c r="HFR49" i="79"/>
  <c r="HFQ49" i="79"/>
  <c r="HFP49" i="79"/>
  <c r="HFO49" i="79"/>
  <c r="HFN49" i="79"/>
  <c r="HFM49" i="79"/>
  <c r="HFL49" i="79"/>
  <c r="HFK49" i="79"/>
  <c r="HFJ49" i="79"/>
  <c r="HFI49" i="79"/>
  <c r="HFH49" i="79"/>
  <c r="HFG49" i="79"/>
  <c r="HFF49" i="79"/>
  <c r="HFE49" i="79"/>
  <c r="HFD49" i="79"/>
  <c r="HFC49" i="79"/>
  <c r="HFB49" i="79"/>
  <c r="HFA49" i="79"/>
  <c r="HEZ49" i="79"/>
  <c r="HEY49" i="79"/>
  <c r="HEX49" i="79"/>
  <c r="HEW49" i="79"/>
  <c r="HEV49" i="79"/>
  <c r="HEU49" i="79"/>
  <c r="HET49" i="79"/>
  <c r="HES49" i="79"/>
  <c r="HER49" i="79"/>
  <c r="HEQ49" i="79"/>
  <c r="HEP49" i="79"/>
  <c r="HEO49" i="79"/>
  <c r="HEN49" i="79"/>
  <c r="HEM49" i="79"/>
  <c r="HEL49" i="79"/>
  <c r="HEK49" i="79"/>
  <c r="HEJ49" i="79"/>
  <c r="HEI49" i="79"/>
  <c r="HEH49" i="79"/>
  <c r="HEG49" i="79"/>
  <c r="HEF49" i="79"/>
  <c r="HEE49" i="79"/>
  <c r="HED49" i="79"/>
  <c r="HEC49" i="79"/>
  <c r="HEB49" i="79"/>
  <c r="HEA49" i="79"/>
  <c r="HDZ49" i="79"/>
  <c r="HDY49" i="79"/>
  <c r="HDX49" i="79"/>
  <c r="HDW49" i="79"/>
  <c r="HDV49" i="79"/>
  <c r="HDU49" i="79"/>
  <c r="HDT49" i="79"/>
  <c r="HDS49" i="79"/>
  <c r="HDR49" i="79"/>
  <c r="HDQ49" i="79"/>
  <c r="HDP49" i="79"/>
  <c r="HDO49" i="79"/>
  <c r="HDN49" i="79"/>
  <c r="HDM49" i="79"/>
  <c r="HDL49" i="79"/>
  <c r="HDK49" i="79"/>
  <c r="HDJ49" i="79"/>
  <c r="HDI49" i="79"/>
  <c r="HDH49" i="79"/>
  <c r="HDG49" i="79"/>
  <c r="HDF49" i="79"/>
  <c r="HDE49" i="79"/>
  <c r="HDD49" i="79"/>
  <c r="HDC49" i="79"/>
  <c r="HDB49" i="79"/>
  <c r="HDA49" i="79"/>
  <c r="HCZ49" i="79"/>
  <c r="HCY49" i="79"/>
  <c r="HCX49" i="79"/>
  <c r="HCW49" i="79"/>
  <c r="HCV49" i="79"/>
  <c r="HCU49" i="79"/>
  <c r="HCT49" i="79"/>
  <c r="HCS49" i="79"/>
  <c r="HCR49" i="79"/>
  <c r="HCQ49" i="79"/>
  <c r="HCP49" i="79"/>
  <c r="HCO49" i="79"/>
  <c r="HCN49" i="79"/>
  <c r="HCM49" i="79"/>
  <c r="HCL49" i="79"/>
  <c r="HCK49" i="79"/>
  <c r="HCJ49" i="79"/>
  <c r="HCI49" i="79"/>
  <c r="HCH49" i="79"/>
  <c r="HCG49" i="79"/>
  <c r="HCF49" i="79"/>
  <c r="HCE49" i="79"/>
  <c r="HCD49" i="79"/>
  <c r="HCC49" i="79"/>
  <c r="HCB49" i="79"/>
  <c r="HCA49" i="79"/>
  <c r="HBZ49" i="79"/>
  <c r="HBY49" i="79"/>
  <c r="HBX49" i="79"/>
  <c r="HBW49" i="79"/>
  <c r="HBV49" i="79"/>
  <c r="HBU49" i="79"/>
  <c r="HBT49" i="79"/>
  <c r="HBS49" i="79"/>
  <c r="HBR49" i="79"/>
  <c r="HBQ49" i="79"/>
  <c r="HBP49" i="79"/>
  <c r="HBO49" i="79"/>
  <c r="HBN49" i="79"/>
  <c r="HBM49" i="79"/>
  <c r="HBL49" i="79"/>
  <c r="HBK49" i="79"/>
  <c r="HBJ49" i="79"/>
  <c r="HBI49" i="79"/>
  <c r="HBH49" i="79"/>
  <c r="HBG49" i="79"/>
  <c r="HBF49" i="79"/>
  <c r="HBE49" i="79"/>
  <c r="HBD49" i="79"/>
  <c r="HBC49" i="79"/>
  <c r="HBB49" i="79"/>
  <c r="HBA49" i="79"/>
  <c r="HAZ49" i="79"/>
  <c r="HAY49" i="79"/>
  <c r="HAX49" i="79"/>
  <c r="HAW49" i="79"/>
  <c r="HAV49" i="79"/>
  <c r="HAU49" i="79"/>
  <c r="HAT49" i="79"/>
  <c r="HAS49" i="79"/>
  <c r="HAR49" i="79"/>
  <c r="HAQ49" i="79"/>
  <c r="HAP49" i="79"/>
  <c r="HAO49" i="79"/>
  <c r="HAN49" i="79"/>
  <c r="HAM49" i="79"/>
  <c r="HAL49" i="79"/>
  <c r="HAK49" i="79"/>
  <c r="HAJ49" i="79"/>
  <c r="HAI49" i="79"/>
  <c r="HAH49" i="79"/>
  <c r="HAG49" i="79"/>
  <c r="HAF49" i="79"/>
  <c r="HAE49" i="79"/>
  <c r="HAD49" i="79"/>
  <c r="HAC49" i="79"/>
  <c r="HAB49" i="79"/>
  <c r="HAA49" i="79"/>
  <c r="GZZ49" i="79"/>
  <c r="GZY49" i="79"/>
  <c r="GZX49" i="79"/>
  <c r="GZW49" i="79"/>
  <c r="GZV49" i="79"/>
  <c r="GZU49" i="79"/>
  <c r="GZT49" i="79"/>
  <c r="GZS49" i="79"/>
  <c r="GZR49" i="79"/>
  <c r="GZQ49" i="79"/>
  <c r="GZP49" i="79"/>
  <c r="GZO49" i="79"/>
  <c r="GZN49" i="79"/>
  <c r="GZM49" i="79"/>
  <c r="GZL49" i="79"/>
  <c r="GZK49" i="79"/>
  <c r="GZJ49" i="79"/>
  <c r="GZI49" i="79"/>
  <c r="GZH49" i="79"/>
  <c r="GZG49" i="79"/>
  <c r="GZF49" i="79"/>
  <c r="GZE49" i="79"/>
  <c r="GZD49" i="79"/>
  <c r="GZC49" i="79"/>
  <c r="GZB49" i="79"/>
  <c r="GZA49" i="79"/>
  <c r="GYZ49" i="79"/>
  <c r="GYY49" i="79"/>
  <c r="GYX49" i="79"/>
  <c r="GYW49" i="79"/>
  <c r="GYV49" i="79"/>
  <c r="GYU49" i="79"/>
  <c r="GYT49" i="79"/>
  <c r="GYS49" i="79"/>
  <c r="GYR49" i="79"/>
  <c r="GYQ49" i="79"/>
  <c r="GYP49" i="79"/>
  <c r="GYO49" i="79"/>
  <c r="GYN49" i="79"/>
  <c r="GYM49" i="79"/>
  <c r="GYL49" i="79"/>
  <c r="GYK49" i="79"/>
  <c r="GYJ49" i="79"/>
  <c r="GYI49" i="79"/>
  <c r="GYH49" i="79"/>
  <c r="GYG49" i="79"/>
  <c r="GYF49" i="79"/>
  <c r="GYE49" i="79"/>
  <c r="GYD49" i="79"/>
  <c r="GYC49" i="79"/>
  <c r="GYB49" i="79"/>
  <c r="GYA49" i="79"/>
  <c r="GXZ49" i="79"/>
  <c r="GXY49" i="79"/>
  <c r="GXX49" i="79"/>
  <c r="GXW49" i="79"/>
  <c r="GXV49" i="79"/>
  <c r="GXU49" i="79"/>
  <c r="GXT49" i="79"/>
  <c r="GXS49" i="79"/>
  <c r="GXR49" i="79"/>
  <c r="GXQ49" i="79"/>
  <c r="GXP49" i="79"/>
  <c r="GXO49" i="79"/>
  <c r="GXN49" i="79"/>
  <c r="GXM49" i="79"/>
  <c r="GXL49" i="79"/>
  <c r="GXK49" i="79"/>
  <c r="GXJ49" i="79"/>
  <c r="GXI49" i="79"/>
  <c r="GXH49" i="79"/>
  <c r="GXG49" i="79"/>
  <c r="GXF49" i="79"/>
  <c r="GXE49" i="79"/>
  <c r="GXD49" i="79"/>
  <c r="GXC49" i="79"/>
  <c r="GXB49" i="79"/>
  <c r="GXA49" i="79"/>
  <c r="GWZ49" i="79"/>
  <c r="GWY49" i="79"/>
  <c r="GWX49" i="79"/>
  <c r="GWW49" i="79"/>
  <c r="GWV49" i="79"/>
  <c r="GWU49" i="79"/>
  <c r="GWT49" i="79"/>
  <c r="GWS49" i="79"/>
  <c r="GWR49" i="79"/>
  <c r="GWQ49" i="79"/>
  <c r="GWP49" i="79"/>
  <c r="GWO49" i="79"/>
  <c r="GWN49" i="79"/>
  <c r="GWM49" i="79"/>
  <c r="GWL49" i="79"/>
  <c r="GWK49" i="79"/>
  <c r="GWJ49" i="79"/>
  <c r="GWI49" i="79"/>
  <c r="GWH49" i="79"/>
  <c r="GWG49" i="79"/>
  <c r="GWF49" i="79"/>
  <c r="GWE49" i="79"/>
  <c r="GWD49" i="79"/>
  <c r="GWC49" i="79"/>
  <c r="GWB49" i="79"/>
  <c r="GWA49" i="79"/>
  <c r="GVZ49" i="79"/>
  <c r="GVY49" i="79"/>
  <c r="GVX49" i="79"/>
  <c r="GVW49" i="79"/>
  <c r="GVV49" i="79"/>
  <c r="GVU49" i="79"/>
  <c r="GVT49" i="79"/>
  <c r="GVS49" i="79"/>
  <c r="GVR49" i="79"/>
  <c r="GVQ49" i="79"/>
  <c r="GVP49" i="79"/>
  <c r="GVO49" i="79"/>
  <c r="GVN49" i="79"/>
  <c r="GVM49" i="79"/>
  <c r="GVL49" i="79"/>
  <c r="GVK49" i="79"/>
  <c r="GVJ49" i="79"/>
  <c r="GVI49" i="79"/>
  <c r="GVH49" i="79"/>
  <c r="GVG49" i="79"/>
  <c r="GVF49" i="79"/>
  <c r="GVE49" i="79"/>
  <c r="GVD49" i="79"/>
  <c r="GVC49" i="79"/>
  <c r="GVB49" i="79"/>
  <c r="GVA49" i="79"/>
  <c r="GUZ49" i="79"/>
  <c r="GUY49" i="79"/>
  <c r="GUX49" i="79"/>
  <c r="GUW49" i="79"/>
  <c r="GUV49" i="79"/>
  <c r="GUU49" i="79"/>
  <c r="GUT49" i="79"/>
  <c r="GUS49" i="79"/>
  <c r="GUR49" i="79"/>
  <c r="GUQ49" i="79"/>
  <c r="GUP49" i="79"/>
  <c r="GUO49" i="79"/>
  <c r="GUN49" i="79"/>
  <c r="GUM49" i="79"/>
  <c r="GUL49" i="79"/>
  <c r="GUK49" i="79"/>
  <c r="GUJ49" i="79"/>
  <c r="GUI49" i="79"/>
  <c r="GUH49" i="79"/>
  <c r="GUG49" i="79"/>
  <c r="GUF49" i="79"/>
  <c r="GUE49" i="79"/>
  <c r="GUD49" i="79"/>
  <c r="GUC49" i="79"/>
  <c r="GUB49" i="79"/>
  <c r="GUA49" i="79"/>
  <c r="GTZ49" i="79"/>
  <c r="GTY49" i="79"/>
  <c r="GTX49" i="79"/>
  <c r="GTW49" i="79"/>
  <c r="GTV49" i="79"/>
  <c r="GTU49" i="79"/>
  <c r="GTT49" i="79"/>
  <c r="GTS49" i="79"/>
  <c r="GTR49" i="79"/>
  <c r="GTQ49" i="79"/>
  <c r="GTP49" i="79"/>
  <c r="GTO49" i="79"/>
  <c r="GTN49" i="79"/>
  <c r="GTM49" i="79"/>
  <c r="GTL49" i="79"/>
  <c r="GTK49" i="79"/>
  <c r="GTJ49" i="79"/>
  <c r="GTI49" i="79"/>
  <c r="GTH49" i="79"/>
  <c r="GTG49" i="79"/>
  <c r="GTF49" i="79"/>
  <c r="GTE49" i="79"/>
  <c r="GTD49" i="79"/>
  <c r="GTC49" i="79"/>
  <c r="GTB49" i="79"/>
  <c r="GTA49" i="79"/>
  <c r="GSZ49" i="79"/>
  <c r="GSY49" i="79"/>
  <c r="GSX49" i="79"/>
  <c r="GSW49" i="79"/>
  <c r="GSV49" i="79"/>
  <c r="GSU49" i="79"/>
  <c r="GST49" i="79"/>
  <c r="GSS49" i="79"/>
  <c r="GSR49" i="79"/>
  <c r="GSQ49" i="79"/>
  <c r="GSP49" i="79"/>
  <c r="GSO49" i="79"/>
  <c r="GSN49" i="79"/>
  <c r="GSM49" i="79"/>
  <c r="GSL49" i="79"/>
  <c r="GSK49" i="79"/>
  <c r="GSJ49" i="79"/>
  <c r="GSI49" i="79"/>
  <c r="GSH49" i="79"/>
  <c r="GSG49" i="79"/>
  <c r="GSF49" i="79"/>
  <c r="GSE49" i="79"/>
  <c r="GSD49" i="79"/>
  <c r="GSC49" i="79"/>
  <c r="GSB49" i="79"/>
  <c r="GSA49" i="79"/>
  <c r="GRZ49" i="79"/>
  <c r="GRY49" i="79"/>
  <c r="GRX49" i="79"/>
  <c r="GRW49" i="79"/>
  <c r="GRV49" i="79"/>
  <c r="GRU49" i="79"/>
  <c r="GRT49" i="79"/>
  <c r="GRS49" i="79"/>
  <c r="GRR49" i="79"/>
  <c r="GRQ49" i="79"/>
  <c r="GRP49" i="79"/>
  <c r="GRO49" i="79"/>
  <c r="GRN49" i="79"/>
  <c r="GRM49" i="79"/>
  <c r="GRL49" i="79"/>
  <c r="GRK49" i="79"/>
  <c r="GRJ49" i="79"/>
  <c r="GRI49" i="79"/>
  <c r="GRH49" i="79"/>
  <c r="GRG49" i="79"/>
  <c r="GRF49" i="79"/>
  <c r="GRE49" i="79"/>
  <c r="GRD49" i="79"/>
  <c r="GRC49" i="79"/>
  <c r="GRB49" i="79"/>
  <c r="GRA49" i="79"/>
  <c r="GQZ49" i="79"/>
  <c r="GQY49" i="79"/>
  <c r="GQX49" i="79"/>
  <c r="GQW49" i="79"/>
  <c r="GQV49" i="79"/>
  <c r="GQU49" i="79"/>
  <c r="GQT49" i="79"/>
  <c r="GQS49" i="79"/>
  <c r="GQR49" i="79"/>
  <c r="GQQ49" i="79"/>
  <c r="GQP49" i="79"/>
  <c r="GQO49" i="79"/>
  <c r="GQN49" i="79"/>
  <c r="GQM49" i="79"/>
  <c r="GQL49" i="79"/>
  <c r="GQK49" i="79"/>
  <c r="GQJ49" i="79"/>
  <c r="GQI49" i="79"/>
  <c r="GQH49" i="79"/>
  <c r="GQG49" i="79"/>
  <c r="GQF49" i="79"/>
  <c r="GQE49" i="79"/>
  <c r="GQD49" i="79"/>
  <c r="GQC49" i="79"/>
  <c r="GQB49" i="79"/>
  <c r="GQA49" i="79"/>
  <c r="GPZ49" i="79"/>
  <c r="GPY49" i="79"/>
  <c r="GPX49" i="79"/>
  <c r="GPW49" i="79"/>
  <c r="GPV49" i="79"/>
  <c r="GPU49" i="79"/>
  <c r="GPT49" i="79"/>
  <c r="GPS49" i="79"/>
  <c r="GPR49" i="79"/>
  <c r="GPQ49" i="79"/>
  <c r="GPP49" i="79"/>
  <c r="GPO49" i="79"/>
  <c r="GPN49" i="79"/>
  <c r="GPM49" i="79"/>
  <c r="GPL49" i="79"/>
  <c r="GPK49" i="79"/>
  <c r="GPJ49" i="79"/>
  <c r="GPI49" i="79"/>
  <c r="GPH49" i="79"/>
  <c r="GPG49" i="79"/>
  <c r="GPF49" i="79"/>
  <c r="GPE49" i="79"/>
  <c r="GPD49" i="79"/>
  <c r="GPC49" i="79"/>
  <c r="GPB49" i="79"/>
  <c r="GPA49" i="79"/>
  <c r="GOZ49" i="79"/>
  <c r="GOY49" i="79"/>
  <c r="GOX49" i="79"/>
  <c r="GOW49" i="79"/>
  <c r="GOV49" i="79"/>
  <c r="GOU49" i="79"/>
  <c r="GOT49" i="79"/>
  <c r="GOS49" i="79"/>
  <c r="GOR49" i="79"/>
  <c r="GOQ49" i="79"/>
  <c r="GOP49" i="79"/>
  <c r="GOO49" i="79"/>
  <c r="GON49" i="79"/>
  <c r="GOM49" i="79"/>
  <c r="GOL49" i="79"/>
  <c r="GOK49" i="79"/>
  <c r="GOJ49" i="79"/>
  <c r="GOI49" i="79"/>
  <c r="GOH49" i="79"/>
  <c r="GOG49" i="79"/>
  <c r="GOF49" i="79"/>
  <c r="GOE49" i="79"/>
  <c r="GOD49" i="79"/>
  <c r="GOC49" i="79"/>
  <c r="GOB49" i="79"/>
  <c r="GOA49" i="79"/>
  <c r="GNZ49" i="79"/>
  <c r="GNY49" i="79"/>
  <c r="GNX49" i="79"/>
  <c r="GNW49" i="79"/>
  <c r="GNV49" i="79"/>
  <c r="GNU49" i="79"/>
  <c r="GNT49" i="79"/>
  <c r="GNS49" i="79"/>
  <c r="GNR49" i="79"/>
  <c r="GNQ49" i="79"/>
  <c r="GNP49" i="79"/>
  <c r="GNO49" i="79"/>
  <c r="GNN49" i="79"/>
  <c r="GNM49" i="79"/>
  <c r="GNL49" i="79"/>
  <c r="GNK49" i="79"/>
  <c r="GNJ49" i="79"/>
  <c r="GNI49" i="79"/>
  <c r="GNH49" i="79"/>
  <c r="GNG49" i="79"/>
  <c r="GNF49" i="79"/>
  <c r="GNE49" i="79"/>
  <c r="GND49" i="79"/>
  <c r="GNC49" i="79"/>
  <c r="GNB49" i="79"/>
  <c r="GNA49" i="79"/>
  <c r="GMZ49" i="79"/>
  <c r="GMY49" i="79"/>
  <c r="GMX49" i="79"/>
  <c r="GMW49" i="79"/>
  <c r="GMV49" i="79"/>
  <c r="GMU49" i="79"/>
  <c r="GMT49" i="79"/>
  <c r="GMS49" i="79"/>
  <c r="GMR49" i="79"/>
  <c r="GMQ49" i="79"/>
  <c r="GMP49" i="79"/>
  <c r="GMO49" i="79"/>
  <c r="GMN49" i="79"/>
  <c r="GMM49" i="79"/>
  <c r="GML49" i="79"/>
  <c r="GMK49" i="79"/>
  <c r="GMJ49" i="79"/>
  <c r="GMI49" i="79"/>
  <c r="GMH49" i="79"/>
  <c r="GMG49" i="79"/>
  <c r="GMF49" i="79"/>
  <c r="GME49" i="79"/>
  <c r="GMD49" i="79"/>
  <c r="GMC49" i="79"/>
  <c r="GMB49" i="79"/>
  <c r="GMA49" i="79"/>
  <c r="GLZ49" i="79"/>
  <c r="GLY49" i="79"/>
  <c r="GLX49" i="79"/>
  <c r="GLW49" i="79"/>
  <c r="GLV49" i="79"/>
  <c r="GLU49" i="79"/>
  <c r="GLT49" i="79"/>
  <c r="GLS49" i="79"/>
  <c r="GLR49" i="79"/>
  <c r="GLQ49" i="79"/>
  <c r="GLP49" i="79"/>
  <c r="GLO49" i="79"/>
  <c r="GLN49" i="79"/>
  <c r="GLM49" i="79"/>
  <c r="GLL49" i="79"/>
  <c r="GLK49" i="79"/>
  <c r="GLJ49" i="79"/>
  <c r="GLI49" i="79"/>
  <c r="GLH49" i="79"/>
  <c r="GLG49" i="79"/>
  <c r="GLF49" i="79"/>
  <c r="GLE49" i="79"/>
  <c r="GLD49" i="79"/>
  <c r="GLC49" i="79"/>
  <c r="GLB49" i="79"/>
  <c r="GLA49" i="79"/>
  <c r="GKZ49" i="79"/>
  <c r="GKY49" i="79"/>
  <c r="GKX49" i="79"/>
  <c r="GKW49" i="79"/>
  <c r="GKV49" i="79"/>
  <c r="GKU49" i="79"/>
  <c r="GKT49" i="79"/>
  <c r="GKS49" i="79"/>
  <c r="GKR49" i="79"/>
  <c r="GKQ49" i="79"/>
  <c r="GKP49" i="79"/>
  <c r="GKO49" i="79"/>
  <c r="GKN49" i="79"/>
  <c r="GKM49" i="79"/>
  <c r="GKL49" i="79"/>
  <c r="GKK49" i="79"/>
  <c r="GKJ49" i="79"/>
  <c r="GKI49" i="79"/>
  <c r="GKH49" i="79"/>
  <c r="GKG49" i="79"/>
  <c r="GKF49" i="79"/>
  <c r="GKE49" i="79"/>
  <c r="GKD49" i="79"/>
  <c r="GKC49" i="79"/>
  <c r="GKB49" i="79"/>
  <c r="GKA49" i="79"/>
  <c r="GJZ49" i="79"/>
  <c r="GJY49" i="79"/>
  <c r="GJX49" i="79"/>
  <c r="GJW49" i="79"/>
  <c r="GJV49" i="79"/>
  <c r="GJU49" i="79"/>
  <c r="GJT49" i="79"/>
  <c r="GJS49" i="79"/>
  <c r="GJR49" i="79"/>
  <c r="GJQ49" i="79"/>
  <c r="GJP49" i="79"/>
  <c r="GJO49" i="79"/>
  <c r="GJN49" i="79"/>
  <c r="GJM49" i="79"/>
  <c r="GJL49" i="79"/>
  <c r="GJK49" i="79"/>
  <c r="GJJ49" i="79"/>
  <c r="GJI49" i="79"/>
  <c r="GJH49" i="79"/>
  <c r="GJG49" i="79"/>
  <c r="GJF49" i="79"/>
  <c r="GJE49" i="79"/>
  <c r="GJD49" i="79"/>
  <c r="GJC49" i="79"/>
  <c r="GJB49" i="79"/>
  <c r="GJA49" i="79"/>
  <c r="GIZ49" i="79"/>
  <c r="GIY49" i="79"/>
  <c r="GIX49" i="79"/>
  <c r="GIW49" i="79"/>
  <c r="GIV49" i="79"/>
  <c r="GIU49" i="79"/>
  <c r="GIT49" i="79"/>
  <c r="GIS49" i="79"/>
  <c r="GIR49" i="79"/>
  <c r="GIQ49" i="79"/>
  <c r="GIP49" i="79"/>
  <c r="GIO49" i="79"/>
  <c r="GIN49" i="79"/>
  <c r="GIM49" i="79"/>
  <c r="GIL49" i="79"/>
  <c r="GIK49" i="79"/>
  <c r="GIJ49" i="79"/>
  <c r="GII49" i="79"/>
  <c r="GIH49" i="79"/>
  <c r="GIG49" i="79"/>
  <c r="GIF49" i="79"/>
  <c r="GIE49" i="79"/>
  <c r="GID49" i="79"/>
  <c r="GIC49" i="79"/>
  <c r="GIB49" i="79"/>
  <c r="GIA49" i="79"/>
  <c r="GHZ49" i="79"/>
  <c r="GHY49" i="79"/>
  <c r="GHX49" i="79"/>
  <c r="GHW49" i="79"/>
  <c r="GHV49" i="79"/>
  <c r="GHU49" i="79"/>
  <c r="GHT49" i="79"/>
  <c r="GHS49" i="79"/>
  <c r="GHR49" i="79"/>
  <c r="GHQ49" i="79"/>
  <c r="GHP49" i="79"/>
  <c r="GHO49" i="79"/>
  <c r="GHN49" i="79"/>
  <c r="GHM49" i="79"/>
  <c r="GHL49" i="79"/>
  <c r="GHK49" i="79"/>
  <c r="GHJ49" i="79"/>
  <c r="GHI49" i="79"/>
  <c r="GHH49" i="79"/>
  <c r="GHG49" i="79"/>
  <c r="GHF49" i="79"/>
  <c r="GHE49" i="79"/>
  <c r="GHD49" i="79"/>
  <c r="GHC49" i="79"/>
  <c r="GHB49" i="79"/>
  <c r="GHA49" i="79"/>
  <c r="GGZ49" i="79"/>
  <c r="GGY49" i="79"/>
  <c r="GGX49" i="79"/>
  <c r="GGW49" i="79"/>
  <c r="GGV49" i="79"/>
  <c r="GGU49" i="79"/>
  <c r="GGT49" i="79"/>
  <c r="GGS49" i="79"/>
  <c r="GGR49" i="79"/>
  <c r="GGQ49" i="79"/>
  <c r="GGP49" i="79"/>
  <c r="GGO49" i="79"/>
  <c r="GGN49" i="79"/>
  <c r="GGM49" i="79"/>
  <c r="GGL49" i="79"/>
  <c r="GGK49" i="79"/>
  <c r="GGJ49" i="79"/>
  <c r="GGI49" i="79"/>
  <c r="GGH49" i="79"/>
  <c r="GGG49" i="79"/>
  <c r="GGF49" i="79"/>
  <c r="GGE49" i="79"/>
  <c r="GGD49" i="79"/>
  <c r="GGC49" i="79"/>
  <c r="GGB49" i="79"/>
  <c r="GGA49" i="79"/>
  <c r="GFZ49" i="79"/>
  <c r="GFY49" i="79"/>
  <c r="GFX49" i="79"/>
  <c r="GFW49" i="79"/>
  <c r="GFV49" i="79"/>
  <c r="GFU49" i="79"/>
  <c r="GFT49" i="79"/>
  <c r="GFS49" i="79"/>
  <c r="GFR49" i="79"/>
  <c r="GFQ49" i="79"/>
  <c r="GFP49" i="79"/>
  <c r="GFO49" i="79"/>
  <c r="GFN49" i="79"/>
  <c r="GFM49" i="79"/>
  <c r="GFL49" i="79"/>
  <c r="GFK49" i="79"/>
  <c r="GFJ49" i="79"/>
  <c r="GFI49" i="79"/>
  <c r="GFH49" i="79"/>
  <c r="GFG49" i="79"/>
  <c r="GFF49" i="79"/>
  <c r="GFE49" i="79"/>
  <c r="GFD49" i="79"/>
  <c r="GFC49" i="79"/>
  <c r="GFB49" i="79"/>
  <c r="GFA49" i="79"/>
  <c r="GEZ49" i="79"/>
  <c r="GEY49" i="79"/>
  <c r="GEX49" i="79"/>
  <c r="GEW49" i="79"/>
  <c r="GEV49" i="79"/>
  <c r="GEU49" i="79"/>
  <c r="GET49" i="79"/>
  <c r="GES49" i="79"/>
  <c r="GER49" i="79"/>
  <c r="GEQ49" i="79"/>
  <c r="GEP49" i="79"/>
  <c r="GEO49" i="79"/>
  <c r="GEN49" i="79"/>
  <c r="GEM49" i="79"/>
  <c r="GEL49" i="79"/>
  <c r="GEK49" i="79"/>
  <c r="GEJ49" i="79"/>
  <c r="GEI49" i="79"/>
  <c r="GEH49" i="79"/>
  <c r="GEG49" i="79"/>
  <c r="GEF49" i="79"/>
  <c r="GEE49" i="79"/>
  <c r="GED49" i="79"/>
  <c r="GEC49" i="79"/>
  <c r="GEB49" i="79"/>
  <c r="GEA49" i="79"/>
  <c r="GDZ49" i="79"/>
  <c r="GDY49" i="79"/>
  <c r="GDX49" i="79"/>
  <c r="GDW49" i="79"/>
  <c r="GDV49" i="79"/>
  <c r="GDU49" i="79"/>
  <c r="GDT49" i="79"/>
  <c r="GDS49" i="79"/>
  <c r="GDR49" i="79"/>
  <c r="GDQ49" i="79"/>
  <c r="GDP49" i="79"/>
  <c r="GDO49" i="79"/>
  <c r="GDN49" i="79"/>
  <c r="GDM49" i="79"/>
  <c r="GDL49" i="79"/>
  <c r="GDK49" i="79"/>
  <c r="GDJ49" i="79"/>
  <c r="GDI49" i="79"/>
  <c r="GDH49" i="79"/>
  <c r="GDG49" i="79"/>
  <c r="GDF49" i="79"/>
  <c r="GDE49" i="79"/>
  <c r="GDD49" i="79"/>
  <c r="GDC49" i="79"/>
  <c r="GDB49" i="79"/>
  <c r="GDA49" i="79"/>
  <c r="GCZ49" i="79"/>
  <c r="GCY49" i="79"/>
  <c r="GCX49" i="79"/>
  <c r="GCW49" i="79"/>
  <c r="GCV49" i="79"/>
  <c r="GCU49" i="79"/>
  <c r="GCT49" i="79"/>
  <c r="GCS49" i="79"/>
  <c r="GCR49" i="79"/>
  <c r="GCQ49" i="79"/>
  <c r="GCP49" i="79"/>
  <c r="GCO49" i="79"/>
  <c r="GCN49" i="79"/>
  <c r="GCM49" i="79"/>
  <c r="GCL49" i="79"/>
  <c r="GCK49" i="79"/>
  <c r="GCJ49" i="79"/>
  <c r="GCI49" i="79"/>
  <c r="GCH49" i="79"/>
  <c r="GCG49" i="79"/>
  <c r="GCF49" i="79"/>
  <c r="GCE49" i="79"/>
  <c r="GCD49" i="79"/>
  <c r="GCC49" i="79"/>
  <c r="GCB49" i="79"/>
  <c r="GCA49" i="79"/>
  <c r="GBZ49" i="79"/>
  <c r="GBY49" i="79"/>
  <c r="GBX49" i="79"/>
  <c r="GBW49" i="79"/>
  <c r="GBV49" i="79"/>
  <c r="GBU49" i="79"/>
  <c r="GBT49" i="79"/>
  <c r="GBS49" i="79"/>
  <c r="GBR49" i="79"/>
  <c r="GBQ49" i="79"/>
  <c r="GBP49" i="79"/>
  <c r="GBO49" i="79"/>
  <c r="GBN49" i="79"/>
  <c r="GBM49" i="79"/>
  <c r="GBL49" i="79"/>
  <c r="GBK49" i="79"/>
  <c r="GBJ49" i="79"/>
  <c r="GBI49" i="79"/>
  <c r="GBH49" i="79"/>
  <c r="GBG49" i="79"/>
  <c r="GBF49" i="79"/>
  <c r="GBE49" i="79"/>
  <c r="GBD49" i="79"/>
  <c r="GBC49" i="79"/>
  <c r="GBB49" i="79"/>
  <c r="GBA49" i="79"/>
  <c r="GAZ49" i="79"/>
  <c r="GAY49" i="79"/>
  <c r="GAX49" i="79"/>
  <c r="GAW49" i="79"/>
  <c r="GAV49" i="79"/>
  <c r="GAU49" i="79"/>
  <c r="GAT49" i="79"/>
  <c r="GAS49" i="79"/>
  <c r="GAR49" i="79"/>
  <c r="GAQ49" i="79"/>
  <c r="GAP49" i="79"/>
  <c r="GAO49" i="79"/>
  <c r="GAN49" i="79"/>
  <c r="GAM49" i="79"/>
  <c r="GAL49" i="79"/>
  <c r="GAK49" i="79"/>
  <c r="GAJ49" i="79"/>
  <c r="GAI49" i="79"/>
  <c r="GAH49" i="79"/>
  <c r="GAG49" i="79"/>
  <c r="GAF49" i="79"/>
  <c r="GAE49" i="79"/>
  <c r="GAD49" i="79"/>
  <c r="GAC49" i="79"/>
  <c r="GAB49" i="79"/>
  <c r="GAA49" i="79"/>
  <c r="FZZ49" i="79"/>
  <c r="FZY49" i="79"/>
  <c r="FZX49" i="79"/>
  <c r="FZW49" i="79"/>
  <c r="FZV49" i="79"/>
  <c r="FZU49" i="79"/>
  <c r="FZT49" i="79"/>
  <c r="FZS49" i="79"/>
  <c r="FZR49" i="79"/>
  <c r="FZQ49" i="79"/>
  <c r="FZP49" i="79"/>
  <c r="FZO49" i="79"/>
  <c r="FZN49" i="79"/>
  <c r="FZM49" i="79"/>
  <c r="FZL49" i="79"/>
  <c r="FZK49" i="79"/>
  <c r="FZJ49" i="79"/>
  <c r="FZI49" i="79"/>
  <c r="FZH49" i="79"/>
  <c r="FZG49" i="79"/>
  <c r="FZF49" i="79"/>
  <c r="FZE49" i="79"/>
  <c r="FZD49" i="79"/>
  <c r="FZC49" i="79"/>
  <c r="FZB49" i="79"/>
  <c r="FZA49" i="79"/>
  <c r="FYZ49" i="79"/>
  <c r="FYY49" i="79"/>
  <c r="FYX49" i="79"/>
  <c r="FYW49" i="79"/>
  <c r="FYV49" i="79"/>
  <c r="FYU49" i="79"/>
  <c r="FYT49" i="79"/>
  <c r="FYS49" i="79"/>
  <c r="FYR49" i="79"/>
  <c r="FYQ49" i="79"/>
  <c r="FYP49" i="79"/>
  <c r="FYO49" i="79"/>
  <c r="FYN49" i="79"/>
  <c r="FYM49" i="79"/>
  <c r="FYL49" i="79"/>
  <c r="FYK49" i="79"/>
  <c r="FYJ49" i="79"/>
  <c r="FYI49" i="79"/>
  <c r="FYH49" i="79"/>
  <c r="FYG49" i="79"/>
  <c r="FYF49" i="79"/>
  <c r="FYE49" i="79"/>
  <c r="FYD49" i="79"/>
  <c r="FYC49" i="79"/>
  <c r="FYB49" i="79"/>
  <c r="FYA49" i="79"/>
  <c r="FXZ49" i="79"/>
  <c r="FXY49" i="79"/>
  <c r="FXX49" i="79"/>
  <c r="FXW49" i="79"/>
  <c r="FXV49" i="79"/>
  <c r="FXU49" i="79"/>
  <c r="FXT49" i="79"/>
  <c r="FXS49" i="79"/>
  <c r="FXR49" i="79"/>
  <c r="FXQ49" i="79"/>
  <c r="FXP49" i="79"/>
  <c r="FXO49" i="79"/>
  <c r="FXN49" i="79"/>
  <c r="FXM49" i="79"/>
  <c r="FXL49" i="79"/>
  <c r="FXK49" i="79"/>
  <c r="FXJ49" i="79"/>
  <c r="FXI49" i="79"/>
  <c r="FXH49" i="79"/>
  <c r="FXG49" i="79"/>
  <c r="FXF49" i="79"/>
  <c r="FXE49" i="79"/>
  <c r="FXD49" i="79"/>
  <c r="FXC49" i="79"/>
  <c r="FXB49" i="79"/>
  <c r="FXA49" i="79"/>
  <c r="FWZ49" i="79"/>
  <c r="FWY49" i="79"/>
  <c r="FWX49" i="79"/>
  <c r="FWW49" i="79"/>
  <c r="FWV49" i="79"/>
  <c r="FWU49" i="79"/>
  <c r="FWT49" i="79"/>
  <c r="FWS49" i="79"/>
  <c r="FWR49" i="79"/>
  <c r="FWQ49" i="79"/>
  <c r="FWP49" i="79"/>
  <c r="FWO49" i="79"/>
  <c r="FWN49" i="79"/>
  <c r="FWM49" i="79"/>
  <c r="FWL49" i="79"/>
  <c r="FWK49" i="79"/>
  <c r="FWJ49" i="79"/>
  <c r="FWI49" i="79"/>
  <c r="FWH49" i="79"/>
  <c r="FWG49" i="79"/>
  <c r="FWF49" i="79"/>
  <c r="FWE49" i="79"/>
  <c r="FWD49" i="79"/>
  <c r="FWC49" i="79"/>
  <c r="FWB49" i="79"/>
  <c r="FWA49" i="79"/>
  <c r="FVZ49" i="79"/>
  <c r="FVY49" i="79"/>
  <c r="FVX49" i="79"/>
  <c r="FVW49" i="79"/>
  <c r="FVV49" i="79"/>
  <c r="FVU49" i="79"/>
  <c r="FVT49" i="79"/>
  <c r="FVS49" i="79"/>
  <c r="FVR49" i="79"/>
  <c r="FVQ49" i="79"/>
  <c r="FVP49" i="79"/>
  <c r="FVO49" i="79"/>
  <c r="FVN49" i="79"/>
  <c r="FVM49" i="79"/>
  <c r="FVL49" i="79"/>
  <c r="FVK49" i="79"/>
  <c r="FVJ49" i="79"/>
  <c r="FVI49" i="79"/>
  <c r="FVH49" i="79"/>
  <c r="FVG49" i="79"/>
  <c r="FVF49" i="79"/>
  <c r="FVE49" i="79"/>
  <c r="FVD49" i="79"/>
  <c r="FVC49" i="79"/>
  <c r="FVB49" i="79"/>
  <c r="FVA49" i="79"/>
  <c r="FUZ49" i="79"/>
  <c r="FUY49" i="79"/>
  <c r="FUX49" i="79"/>
  <c r="FUW49" i="79"/>
  <c r="FUV49" i="79"/>
  <c r="FUU49" i="79"/>
  <c r="FUT49" i="79"/>
  <c r="FUS49" i="79"/>
  <c r="FUR49" i="79"/>
  <c r="FUQ49" i="79"/>
  <c r="FUP49" i="79"/>
  <c r="FUO49" i="79"/>
  <c r="FUN49" i="79"/>
  <c r="FUM49" i="79"/>
  <c r="FUL49" i="79"/>
  <c r="FUK49" i="79"/>
  <c r="FUJ49" i="79"/>
  <c r="FUI49" i="79"/>
  <c r="FUH49" i="79"/>
  <c r="FUG49" i="79"/>
  <c r="FUF49" i="79"/>
  <c r="FUE49" i="79"/>
  <c r="FUD49" i="79"/>
  <c r="FUC49" i="79"/>
  <c r="FUB49" i="79"/>
  <c r="FUA49" i="79"/>
  <c r="FTZ49" i="79"/>
  <c r="FTY49" i="79"/>
  <c r="FTX49" i="79"/>
  <c r="FTW49" i="79"/>
  <c r="FTV49" i="79"/>
  <c r="FTU49" i="79"/>
  <c r="FTT49" i="79"/>
  <c r="FTS49" i="79"/>
  <c r="FTR49" i="79"/>
  <c r="FTQ49" i="79"/>
  <c r="FTP49" i="79"/>
  <c r="FTO49" i="79"/>
  <c r="FTN49" i="79"/>
  <c r="FTM49" i="79"/>
  <c r="FTL49" i="79"/>
  <c r="FTK49" i="79"/>
  <c r="FTJ49" i="79"/>
  <c r="FTI49" i="79"/>
  <c r="FTH49" i="79"/>
  <c r="FTG49" i="79"/>
  <c r="FTF49" i="79"/>
  <c r="FTE49" i="79"/>
  <c r="FTD49" i="79"/>
  <c r="FTC49" i="79"/>
  <c r="FTB49" i="79"/>
  <c r="FTA49" i="79"/>
  <c r="FSZ49" i="79"/>
  <c r="FSY49" i="79"/>
  <c r="FSX49" i="79"/>
  <c r="FSW49" i="79"/>
  <c r="FSV49" i="79"/>
  <c r="FSU49" i="79"/>
  <c r="FST49" i="79"/>
  <c r="FSS49" i="79"/>
  <c r="FSR49" i="79"/>
  <c r="FSQ49" i="79"/>
  <c r="FSP49" i="79"/>
  <c r="FSO49" i="79"/>
  <c r="FSN49" i="79"/>
  <c r="FSM49" i="79"/>
  <c r="FSL49" i="79"/>
  <c r="FSK49" i="79"/>
  <c r="FSJ49" i="79"/>
  <c r="FSI49" i="79"/>
  <c r="FSH49" i="79"/>
  <c r="FSG49" i="79"/>
  <c r="FSF49" i="79"/>
  <c r="FSE49" i="79"/>
  <c r="FSD49" i="79"/>
  <c r="FSC49" i="79"/>
  <c r="FSB49" i="79"/>
  <c r="FSA49" i="79"/>
  <c r="FRZ49" i="79"/>
  <c r="FRY49" i="79"/>
  <c r="FRX49" i="79"/>
  <c r="FRW49" i="79"/>
  <c r="FRV49" i="79"/>
  <c r="FRU49" i="79"/>
  <c r="FRT49" i="79"/>
  <c r="FRS49" i="79"/>
  <c r="FRR49" i="79"/>
  <c r="FRQ49" i="79"/>
  <c r="FRP49" i="79"/>
  <c r="FRO49" i="79"/>
  <c r="FRN49" i="79"/>
  <c r="FRM49" i="79"/>
  <c r="FRL49" i="79"/>
  <c r="FRK49" i="79"/>
  <c r="FRJ49" i="79"/>
  <c r="FRI49" i="79"/>
  <c r="FRH49" i="79"/>
  <c r="FRG49" i="79"/>
  <c r="FRF49" i="79"/>
  <c r="FRE49" i="79"/>
  <c r="FRD49" i="79"/>
  <c r="FRC49" i="79"/>
  <c r="FRB49" i="79"/>
  <c r="FRA49" i="79"/>
  <c r="FQZ49" i="79"/>
  <c r="FQY49" i="79"/>
  <c r="FQX49" i="79"/>
  <c r="FQW49" i="79"/>
  <c r="FQV49" i="79"/>
  <c r="FQU49" i="79"/>
  <c r="FQT49" i="79"/>
  <c r="FQS49" i="79"/>
  <c r="FQR49" i="79"/>
  <c r="FQQ49" i="79"/>
  <c r="FQP49" i="79"/>
  <c r="FQO49" i="79"/>
  <c r="FQN49" i="79"/>
  <c r="FQM49" i="79"/>
  <c r="FQL49" i="79"/>
  <c r="FQK49" i="79"/>
  <c r="FQJ49" i="79"/>
  <c r="FQI49" i="79"/>
  <c r="FQH49" i="79"/>
  <c r="FQG49" i="79"/>
  <c r="FQF49" i="79"/>
  <c r="FQE49" i="79"/>
  <c r="FQD49" i="79"/>
  <c r="FQC49" i="79"/>
  <c r="FQB49" i="79"/>
  <c r="FQA49" i="79"/>
  <c r="FPZ49" i="79"/>
  <c r="FPY49" i="79"/>
  <c r="FPX49" i="79"/>
  <c r="FPW49" i="79"/>
  <c r="FPV49" i="79"/>
  <c r="FPU49" i="79"/>
  <c r="FPT49" i="79"/>
  <c r="FPS49" i="79"/>
  <c r="FPR49" i="79"/>
  <c r="FPQ49" i="79"/>
  <c r="FPP49" i="79"/>
  <c r="FPO49" i="79"/>
  <c r="FPN49" i="79"/>
  <c r="FPM49" i="79"/>
  <c r="FPL49" i="79"/>
  <c r="FPK49" i="79"/>
  <c r="FPJ49" i="79"/>
  <c r="FPI49" i="79"/>
  <c r="FPH49" i="79"/>
  <c r="FPG49" i="79"/>
  <c r="FPF49" i="79"/>
  <c r="FPE49" i="79"/>
  <c r="FPD49" i="79"/>
  <c r="FPC49" i="79"/>
  <c r="FPB49" i="79"/>
  <c r="FPA49" i="79"/>
  <c r="FOZ49" i="79"/>
  <c r="FOY49" i="79"/>
  <c r="FOX49" i="79"/>
  <c r="FOW49" i="79"/>
  <c r="FOV49" i="79"/>
  <c r="FOU49" i="79"/>
  <c r="FOT49" i="79"/>
  <c r="FOS49" i="79"/>
  <c r="FOR49" i="79"/>
  <c r="FOQ49" i="79"/>
  <c r="FOP49" i="79"/>
  <c r="FOO49" i="79"/>
  <c r="FON49" i="79"/>
  <c r="FOM49" i="79"/>
  <c r="FOL49" i="79"/>
  <c r="FOK49" i="79"/>
  <c r="FOJ49" i="79"/>
  <c r="FOI49" i="79"/>
  <c r="FOH49" i="79"/>
  <c r="FOG49" i="79"/>
  <c r="FOF49" i="79"/>
  <c r="FOE49" i="79"/>
  <c r="FOD49" i="79"/>
  <c r="FOC49" i="79"/>
  <c r="FOB49" i="79"/>
  <c r="FOA49" i="79"/>
  <c r="FNZ49" i="79"/>
  <c r="FNY49" i="79"/>
  <c r="FNX49" i="79"/>
  <c r="FNW49" i="79"/>
  <c r="FNV49" i="79"/>
  <c r="FNU49" i="79"/>
  <c r="FNT49" i="79"/>
  <c r="FNS49" i="79"/>
  <c r="FNR49" i="79"/>
  <c r="FNQ49" i="79"/>
  <c r="FNP49" i="79"/>
  <c r="FNO49" i="79"/>
  <c r="FNN49" i="79"/>
  <c r="FNM49" i="79"/>
  <c r="FNL49" i="79"/>
  <c r="FNK49" i="79"/>
  <c r="FNJ49" i="79"/>
  <c r="FNI49" i="79"/>
  <c r="FNH49" i="79"/>
  <c r="FNG49" i="79"/>
  <c r="FNF49" i="79"/>
  <c r="FNE49" i="79"/>
  <c r="FND49" i="79"/>
  <c r="FNC49" i="79"/>
  <c r="FNB49" i="79"/>
  <c r="FNA49" i="79"/>
  <c r="FMZ49" i="79"/>
  <c r="FMY49" i="79"/>
  <c r="FMX49" i="79"/>
  <c r="FMW49" i="79"/>
  <c r="FMV49" i="79"/>
  <c r="FMU49" i="79"/>
  <c r="FMT49" i="79"/>
  <c r="FMS49" i="79"/>
  <c r="FMR49" i="79"/>
  <c r="FMQ49" i="79"/>
  <c r="FMP49" i="79"/>
  <c r="FMO49" i="79"/>
  <c r="FMN49" i="79"/>
  <c r="FMM49" i="79"/>
  <c r="FML49" i="79"/>
  <c r="FMK49" i="79"/>
  <c r="FMJ49" i="79"/>
  <c r="FMI49" i="79"/>
  <c r="FMH49" i="79"/>
  <c r="FMG49" i="79"/>
  <c r="FMF49" i="79"/>
  <c r="FME49" i="79"/>
  <c r="FMD49" i="79"/>
  <c r="FMC49" i="79"/>
  <c r="FMB49" i="79"/>
  <c r="FMA49" i="79"/>
  <c r="FLZ49" i="79"/>
  <c r="FLY49" i="79"/>
  <c r="FLX49" i="79"/>
  <c r="FLW49" i="79"/>
  <c r="FLV49" i="79"/>
  <c r="FLU49" i="79"/>
  <c r="FLT49" i="79"/>
  <c r="FLS49" i="79"/>
  <c r="FLR49" i="79"/>
  <c r="FLQ49" i="79"/>
  <c r="FLP49" i="79"/>
  <c r="FLO49" i="79"/>
  <c r="FLN49" i="79"/>
  <c r="FLM49" i="79"/>
  <c r="FLL49" i="79"/>
  <c r="FLK49" i="79"/>
  <c r="FLJ49" i="79"/>
  <c r="FLI49" i="79"/>
  <c r="FLH49" i="79"/>
  <c r="FLG49" i="79"/>
  <c r="FLF49" i="79"/>
  <c r="FLE49" i="79"/>
  <c r="FLD49" i="79"/>
  <c r="FLC49" i="79"/>
  <c r="FLB49" i="79"/>
  <c r="FLA49" i="79"/>
  <c r="FKZ49" i="79"/>
  <c r="FKY49" i="79"/>
  <c r="FKX49" i="79"/>
  <c r="FKW49" i="79"/>
  <c r="FKV49" i="79"/>
  <c r="FKU49" i="79"/>
  <c r="FKT49" i="79"/>
  <c r="FKS49" i="79"/>
  <c r="FKR49" i="79"/>
  <c r="FKQ49" i="79"/>
  <c r="FKP49" i="79"/>
  <c r="FKO49" i="79"/>
  <c r="FKN49" i="79"/>
  <c r="FKM49" i="79"/>
  <c r="FKL49" i="79"/>
  <c r="FKK49" i="79"/>
  <c r="FKJ49" i="79"/>
  <c r="FKI49" i="79"/>
  <c r="FKH49" i="79"/>
  <c r="FKG49" i="79"/>
  <c r="FKF49" i="79"/>
  <c r="FKE49" i="79"/>
  <c r="FKD49" i="79"/>
  <c r="FKC49" i="79"/>
  <c r="FKB49" i="79"/>
  <c r="FKA49" i="79"/>
  <c r="FJZ49" i="79"/>
  <c r="FJY49" i="79"/>
  <c r="FJX49" i="79"/>
  <c r="FJW49" i="79"/>
  <c r="FJV49" i="79"/>
  <c r="FJU49" i="79"/>
  <c r="FJT49" i="79"/>
  <c r="FJS49" i="79"/>
  <c r="FJR49" i="79"/>
  <c r="FJQ49" i="79"/>
  <c r="FJP49" i="79"/>
  <c r="FJO49" i="79"/>
  <c r="FJN49" i="79"/>
  <c r="FJM49" i="79"/>
  <c r="FJL49" i="79"/>
  <c r="FJK49" i="79"/>
  <c r="FJJ49" i="79"/>
  <c r="FJI49" i="79"/>
  <c r="FJH49" i="79"/>
  <c r="FJG49" i="79"/>
  <c r="FJF49" i="79"/>
  <c r="FJE49" i="79"/>
  <c r="FJD49" i="79"/>
  <c r="FJC49" i="79"/>
  <c r="FJB49" i="79"/>
  <c r="FJA49" i="79"/>
  <c r="FIZ49" i="79"/>
  <c r="FIY49" i="79"/>
  <c r="FIX49" i="79"/>
  <c r="FIW49" i="79"/>
  <c r="FIV49" i="79"/>
  <c r="FIU49" i="79"/>
  <c r="FIT49" i="79"/>
  <c r="FIS49" i="79"/>
  <c r="FIR49" i="79"/>
  <c r="FIQ49" i="79"/>
  <c r="FIP49" i="79"/>
  <c r="FIO49" i="79"/>
  <c r="FIN49" i="79"/>
  <c r="FIM49" i="79"/>
  <c r="FIL49" i="79"/>
  <c r="FIK49" i="79"/>
  <c r="FIJ49" i="79"/>
  <c r="FII49" i="79"/>
  <c r="FIH49" i="79"/>
  <c r="FIG49" i="79"/>
  <c r="FIF49" i="79"/>
  <c r="FIE49" i="79"/>
  <c r="FID49" i="79"/>
  <c r="FIC49" i="79"/>
  <c r="FIB49" i="79"/>
  <c r="FIA49" i="79"/>
  <c r="FHZ49" i="79"/>
  <c r="FHY49" i="79"/>
  <c r="FHX49" i="79"/>
  <c r="FHW49" i="79"/>
  <c r="FHV49" i="79"/>
  <c r="FHU49" i="79"/>
  <c r="FHT49" i="79"/>
  <c r="FHS49" i="79"/>
  <c r="FHR49" i="79"/>
  <c r="FHQ49" i="79"/>
  <c r="FHP49" i="79"/>
  <c r="FHO49" i="79"/>
  <c r="FHN49" i="79"/>
  <c r="FHM49" i="79"/>
  <c r="FHL49" i="79"/>
  <c r="FHK49" i="79"/>
  <c r="FHJ49" i="79"/>
  <c r="FHI49" i="79"/>
  <c r="FHH49" i="79"/>
  <c r="FHG49" i="79"/>
  <c r="FHF49" i="79"/>
  <c r="FHE49" i="79"/>
  <c r="FHD49" i="79"/>
  <c r="FHC49" i="79"/>
  <c r="FHB49" i="79"/>
  <c r="FHA49" i="79"/>
  <c r="FGZ49" i="79"/>
  <c r="FGY49" i="79"/>
  <c r="FGX49" i="79"/>
  <c r="FGW49" i="79"/>
  <c r="FGV49" i="79"/>
  <c r="FGU49" i="79"/>
  <c r="FGT49" i="79"/>
  <c r="FGS49" i="79"/>
  <c r="FGR49" i="79"/>
  <c r="FGQ49" i="79"/>
  <c r="FGP49" i="79"/>
  <c r="FGO49" i="79"/>
  <c r="FGN49" i="79"/>
  <c r="FGM49" i="79"/>
  <c r="FGL49" i="79"/>
  <c r="FGK49" i="79"/>
  <c r="FGJ49" i="79"/>
  <c r="FGI49" i="79"/>
  <c r="FGH49" i="79"/>
  <c r="FGG49" i="79"/>
  <c r="FGF49" i="79"/>
  <c r="FGE49" i="79"/>
  <c r="FGD49" i="79"/>
  <c r="FGC49" i="79"/>
  <c r="FGB49" i="79"/>
  <c r="FGA49" i="79"/>
  <c r="FFZ49" i="79"/>
  <c r="FFY49" i="79"/>
  <c r="FFX49" i="79"/>
  <c r="FFW49" i="79"/>
  <c r="FFV49" i="79"/>
  <c r="FFU49" i="79"/>
  <c r="FFT49" i="79"/>
  <c r="FFS49" i="79"/>
  <c r="FFR49" i="79"/>
  <c r="FFQ49" i="79"/>
  <c r="FFP49" i="79"/>
  <c r="FFO49" i="79"/>
  <c r="FFN49" i="79"/>
  <c r="FFM49" i="79"/>
  <c r="FFL49" i="79"/>
  <c r="FFK49" i="79"/>
  <c r="FFJ49" i="79"/>
  <c r="FFI49" i="79"/>
  <c r="FFH49" i="79"/>
  <c r="FFG49" i="79"/>
  <c r="FFF49" i="79"/>
  <c r="FFE49" i="79"/>
  <c r="FFD49" i="79"/>
  <c r="FFC49" i="79"/>
  <c r="FFB49" i="79"/>
  <c r="FFA49" i="79"/>
  <c r="FEZ49" i="79"/>
  <c r="FEY49" i="79"/>
  <c r="FEX49" i="79"/>
  <c r="FEW49" i="79"/>
  <c r="FEV49" i="79"/>
  <c r="FEU49" i="79"/>
  <c r="FET49" i="79"/>
  <c r="FES49" i="79"/>
  <c r="FER49" i="79"/>
  <c r="FEQ49" i="79"/>
  <c r="FEP49" i="79"/>
  <c r="FEO49" i="79"/>
  <c r="FEN49" i="79"/>
  <c r="FEM49" i="79"/>
  <c r="FEL49" i="79"/>
  <c r="FEK49" i="79"/>
  <c r="FEJ49" i="79"/>
  <c r="FEI49" i="79"/>
  <c r="FEH49" i="79"/>
  <c r="FEG49" i="79"/>
  <c r="FEF49" i="79"/>
  <c r="FEE49" i="79"/>
  <c r="FED49" i="79"/>
  <c r="FEC49" i="79"/>
  <c r="FEB49" i="79"/>
  <c r="FEA49" i="79"/>
  <c r="FDZ49" i="79"/>
  <c r="FDY49" i="79"/>
  <c r="FDX49" i="79"/>
  <c r="FDW49" i="79"/>
  <c r="FDV49" i="79"/>
  <c r="FDU49" i="79"/>
  <c r="FDT49" i="79"/>
  <c r="FDS49" i="79"/>
  <c r="FDR49" i="79"/>
  <c r="FDQ49" i="79"/>
  <c r="FDP49" i="79"/>
  <c r="FDO49" i="79"/>
  <c r="FDN49" i="79"/>
  <c r="FDM49" i="79"/>
  <c r="FDL49" i="79"/>
  <c r="FDK49" i="79"/>
  <c r="FDJ49" i="79"/>
  <c r="FDI49" i="79"/>
  <c r="FDH49" i="79"/>
  <c r="FDG49" i="79"/>
  <c r="FDF49" i="79"/>
  <c r="FDE49" i="79"/>
  <c r="FDD49" i="79"/>
  <c r="FDC49" i="79"/>
  <c r="FDB49" i="79"/>
  <c r="FDA49" i="79"/>
  <c r="FCZ49" i="79"/>
  <c r="FCY49" i="79"/>
  <c r="FCX49" i="79"/>
  <c r="FCW49" i="79"/>
  <c r="FCV49" i="79"/>
  <c r="FCU49" i="79"/>
  <c r="FCT49" i="79"/>
  <c r="FCS49" i="79"/>
  <c r="FCR49" i="79"/>
  <c r="FCQ49" i="79"/>
  <c r="FCP49" i="79"/>
  <c r="FCO49" i="79"/>
  <c r="FCN49" i="79"/>
  <c r="FCM49" i="79"/>
  <c r="FCL49" i="79"/>
  <c r="FCK49" i="79"/>
  <c r="FCJ49" i="79"/>
  <c r="FCI49" i="79"/>
  <c r="FCH49" i="79"/>
  <c r="FCG49" i="79"/>
  <c r="FCF49" i="79"/>
  <c r="FCE49" i="79"/>
  <c r="FCD49" i="79"/>
  <c r="FCC49" i="79"/>
  <c r="FCB49" i="79"/>
  <c r="FCA49" i="79"/>
  <c r="FBZ49" i="79"/>
  <c r="FBY49" i="79"/>
  <c r="FBX49" i="79"/>
  <c r="FBW49" i="79"/>
  <c r="FBV49" i="79"/>
  <c r="FBU49" i="79"/>
  <c r="FBT49" i="79"/>
  <c r="FBS49" i="79"/>
  <c r="FBR49" i="79"/>
  <c r="FBQ49" i="79"/>
  <c r="FBP49" i="79"/>
  <c r="FBO49" i="79"/>
  <c r="FBN49" i="79"/>
  <c r="FBM49" i="79"/>
  <c r="FBL49" i="79"/>
  <c r="FBK49" i="79"/>
  <c r="FBJ49" i="79"/>
  <c r="FBI49" i="79"/>
  <c r="FBH49" i="79"/>
  <c r="FBG49" i="79"/>
  <c r="FBF49" i="79"/>
  <c r="FBE49" i="79"/>
  <c r="FBD49" i="79"/>
  <c r="FBC49" i="79"/>
  <c r="FBB49" i="79"/>
  <c r="FBA49" i="79"/>
  <c r="FAZ49" i="79"/>
  <c r="FAY49" i="79"/>
  <c r="FAX49" i="79"/>
  <c r="FAW49" i="79"/>
  <c r="FAV49" i="79"/>
  <c r="FAU49" i="79"/>
  <c r="FAT49" i="79"/>
  <c r="FAS49" i="79"/>
  <c r="FAR49" i="79"/>
  <c r="FAQ49" i="79"/>
  <c r="FAP49" i="79"/>
  <c r="FAO49" i="79"/>
  <c r="FAN49" i="79"/>
  <c r="FAM49" i="79"/>
  <c r="FAL49" i="79"/>
  <c r="FAK49" i="79"/>
  <c r="FAJ49" i="79"/>
  <c r="FAI49" i="79"/>
  <c r="FAH49" i="79"/>
  <c r="FAG49" i="79"/>
  <c r="FAF49" i="79"/>
  <c r="FAE49" i="79"/>
  <c r="FAD49" i="79"/>
  <c r="FAC49" i="79"/>
  <c r="FAB49" i="79"/>
  <c r="FAA49" i="79"/>
  <c r="EZZ49" i="79"/>
  <c r="EZY49" i="79"/>
  <c r="EZX49" i="79"/>
  <c r="EZW49" i="79"/>
  <c r="EZV49" i="79"/>
  <c r="EZU49" i="79"/>
  <c r="EZT49" i="79"/>
  <c r="EZS49" i="79"/>
  <c r="EZR49" i="79"/>
  <c r="EZQ49" i="79"/>
  <c r="EZP49" i="79"/>
  <c r="EZO49" i="79"/>
  <c r="EZN49" i="79"/>
  <c r="EZM49" i="79"/>
  <c r="EZL49" i="79"/>
  <c r="EZK49" i="79"/>
  <c r="EZJ49" i="79"/>
  <c r="EZI49" i="79"/>
  <c r="EZH49" i="79"/>
  <c r="EZG49" i="79"/>
  <c r="EZF49" i="79"/>
  <c r="EZE49" i="79"/>
  <c r="EZD49" i="79"/>
  <c r="EZC49" i="79"/>
  <c r="EZB49" i="79"/>
  <c r="EZA49" i="79"/>
  <c r="EYZ49" i="79"/>
  <c r="EYY49" i="79"/>
  <c r="EYX49" i="79"/>
  <c r="EYW49" i="79"/>
  <c r="EYV49" i="79"/>
  <c r="EYU49" i="79"/>
  <c r="EYT49" i="79"/>
  <c r="EYS49" i="79"/>
  <c r="EYR49" i="79"/>
  <c r="EYQ49" i="79"/>
  <c r="EYP49" i="79"/>
  <c r="EYO49" i="79"/>
  <c r="EYN49" i="79"/>
  <c r="EYM49" i="79"/>
  <c r="EYL49" i="79"/>
  <c r="EYK49" i="79"/>
  <c r="EYJ49" i="79"/>
  <c r="EYI49" i="79"/>
  <c r="EYH49" i="79"/>
  <c r="EYG49" i="79"/>
  <c r="EYF49" i="79"/>
  <c r="EYE49" i="79"/>
  <c r="EYD49" i="79"/>
  <c r="EYC49" i="79"/>
  <c r="EYB49" i="79"/>
  <c r="EYA49" i="79"/>
  <c r="EXZ49" i="79"/>
  <c r="EXY49" i="79"/>
  <c r="EXX49" i="79"/>
  <c r="EXW49" i="79"/>
  <c r="EXV49" i="79"/>
  <c r="EXU49" i="79"/>
  <c r="EXT49" i="79"/>
  <c r="EXS49" i="79"/>
  <c r="EXR49" i="79"/>
  <c r="EXQ49" i="79"/>
  <c r="EXP49" i="79"/>
  <c r="EXO49" i="79"/>
  <c r="EXN49" i="79"/>
  <c r="EXM49" i="79"/>
  <c r="EXL49" i="79"/>
  <c r="EXK49" i="79"/>
  <c r="EXJ49" i="79"/>
  <c r="EXI49" i="79"/>
  <c r="EXH49" i="79"/>
  <c r="EXG49" i="79"/>
  <c r="EXF49" i="79"/>
  <c r="EXE49" i="79"/>
  <c r="EXD49" i="79"/>
  <c r="EXC49" i="79"/>
  <c r="EXB49" i="79"/>
  <c r="EXA49" i="79"/>
  <c r="EWZ49" i="79"/>
  <c r="EWY49" i="79"/>
  <c r="EWX49" i="79"/>
  <c r="EWW49" i="79"/>
  <c r="EWV49" i="79"/>
  <c r="EWU49" i="79"/>
  <c r="EWT49" i="79"/>
  <c r="EWS49" i="79"/>
  <c r="EWR49" i="79"/>
  <c r="EWQ49" i="79"/>
  <c r="EWP49" i="79"/>
  <c r="EWO49" i="79"/>
  <c r="EWN49" i="79"/>
  <c r="EWM49" i="79"/>
  <c r="EWL49" i="79"/>
  <c r="EWK49" i="79"/>
  <c r="EWJ49" i="79"/>
  <c r="EWI49" i="79"/>
  <c r="EWH49" i="79"/>
  <c r="EWG49" i="79"/>
  <c r="EWF49" i="79"/>
  <c r="EWE49" i="79"/>
  <c r="EWD49" i="79"/>
  <c r="EWC49" i="79"/>
  <c r="EWB49" i="79"/>
  <c r="EWA49" i="79"/>
  <c r="EVZ49" i="79"/>
  <c r="EVY49" i="79"/>
  <c r="EVX49" i="79"/>
  <c r="EVW49" i="79"/>
  <c r="EVV49" i="79"/>
  <c r="EVU49" i="79"/>
  <c r="EVT49" i="79"/>
  <c r="EVS49" i="79"/>
  <c r="EVR49" i="79"/>
  <c r="EVQ49" i="79"/>
  <c r="EVP49" i="79"/>
  <c r="EVO49" i="79"/>
  <c r="EVN49" i="79"/>
  <c r="EVM49" i="79"/>
  <c r="EVL49" i="79"/>
  <c r="EVK49" i="79"/>
  <c r="EVJ49" i="79"/>
  <c r="EVI49" i="79"/>
  <c r="EVH49" i="79"/>
  <c r="EVG49" i="79"/>
  <c r="EVF49" i="79"/>
  <c r="EVE49" i="79"/>
  <c r="EVD49" i="79"/>
  <c r="EVC49" i="79"/>
  <c r="EVB49" i="79"/>
  <c r="EVA49" i="79"/>
  <c r="EUZ49" i="79"/>
  <c r="EUY49" i="79"/>
  <c r="EUX49" i="79"/>
  <c r="EUW49" i="79"/>
  <c r="EUV49" i="79"/>
  <c r="EUU49" i="79"/>
  <c r="EUT49" i="79"/>
  <c r="EUS49" i="79"/>
  <c r="EUR49" i="79"/>
  <c r="EUQ49" i="79"/>
  <c r="EUP49" i="79"/>
  <c r="EUO49" i="79"/>
  <c r="EUN49" i="79"/>
  <c r="EUM49" i="79"/>
  <c r="EUL49" i="79"/>
  <c r="EUK49" i="79"/>
  <c r="EUJ49" i="79"/>
  <c r="EUI49" i="79"/>
  <c r="EUH49" i="79"/>
  <c r="EUG49" i="79"/>
  <c r="EUF49" i="79"/>
  <c r="EUE49" i="79"/>
  <c r="EUD49" i="79"/>
  <c r="EUC49" i="79"/>
  <c r="EUB49" i="79"/>
  <c r="EUA49" i="79"/>
  <c r="ETZ49" i="79"/>
  <c r="ETY49" i="79"/>
  <c r="ETX49" i="79"/>
  <c r="ETW49" i="79"/>
  <c r="ETV49" i="79"/>
  <c r="ETU49" i="79"/>
  <c r="ETT49" i="79"/>
  <c r="ETS49" i="79"/>
  <c r="ETR49" i="79"/>
  <c r="ETQ49" i="79"/>
  <c r="ETP49" i="79"/>
  <c r="ETO49" i="79"/>
  <c r="ETN49" i="79"/>
  <c r="ETM49" i="79"/>
  <c r="ETL49" i="79"/>
  <c r="ETK49" i="79"/>
  <c r="ETJ49" i="79"/>
  <c r="ETI49" i="79"/>
  <c r="ETH49" i="79"/>
  <c r="ETG49" i="79"/>
  <c r="ETF49" i="79"/>
  <c r="ETE49" i="79"/>
  <c r="ETD49" i="79"/>
  <c r="ETC49" i="79"/>
  <c r="ETB49" i="79"/>
  <c r="ETA49" i="79"/>
  <c r="ESZ49" i="79"/>
  <c r="ESY49" i="79"/>
  <c r="ESX49" i="79"/>
  <c r="ESW49" i="79"/>
  <c r="ESV49" i="79"/>
  <c r="ESU49" i="79"/>
  <c r="EST49" i="79"/>
  <c r="ESS49" i="79"/>
  <c r="ESR49" i="79"/>
  <c r="ESQ49" i="79"/>
  <c r="ESP49" i="79"/>
  <c r="ESO49" i="79"/>
  <c r="ESN49" i="79"/>
  <c r="ESM49" i="79"/>
  <c r="ESL49" i="79"/>
  <c r="ESK49" i="79"/>
  <c r="ESJ49" i="79"/>
  <c r="ESI49" i="79"/>
  <c r="ESH49" i="79"/>
  <c r="ESG49" i="79"/>
  <c r="ESF49" i="79"/>
  <c r="ESE49" i="79"/>
  <c r="ESD49" i="79"/>
  <c r="ESC49" i="79"/>
  <c r="ESB49" i="79"/>
  <c r="ESA49" i="79"/>
  <c r="ERZ49" i="79"/>
  <c r="ERY49" i="79"/>
  <c r="ERX49" i="79"/>
  <c r="ERW49" i="79"/>
  <c r="ERV49" i="79"/>
  <c r="ERU49" i="79"/>
  <c r="ERT49" i="79"/>
  <c r="ERS49" i="79"/>
  <c r="ERR49" i="79"/>
  <c r="ERQ49" i="79"/>
  <c r="ERP49" i="79"/>
  <c r="ERO49" i="79"/>
  <c r="ERN49" i="79"/>
  <c r="ERM49" i="79"/>
  <c r="ERL49" i="79"/>
  <c r="ERK49" i="79"/>
  <c r="ERJ49" i="79"/>
  <c r="ERI49" i="79"/>
  <c r="ERH49" i="79"/>
  <c r="ERG49" i="79"/>
  <c r="ERF49" i="79"/>
  <c r="ERE49" i="79"/>
  <c r="ERD49" i="79"/>
  <c r="ERC49" i="79"/>
  <c r="ERB49" i="79"/>
  <c r="ERA49" i="79"/>
  <c r="EQZ49" i="79"/>
  <c r="EQY49" i="79"/>
  <c r="EQX49" i="79"/>
  <c r="EQW49" i="79"/>
  <c r="EQV49" i="79"/>
  <c r="EQU49" i="79"/>
  <c r="EQT49" i="79"/>
  <c r="EQS49" i="79"/>
  <c r="EQR49" i="79"/>
  <c r="EQQ49" i="79"/>
  <c r="EQP49" i="79"/>
  <c r="EQO49" i="79"/>
  <c r="EQN49" i="79"/>
  <c r="EQM49" i="79"/>
  <c r="EQL49" i="79"/>
  <c r="EQK49" i="79"/>
  <c r="EQJ49" i="79"/>
  <c r="EQI49" i="79"/>
  <c r="EQH49" i="79"/>
  <c r="EQG49" i="79"/>
  <c r="EQF49" i="79"/>
  <c r="EQE49" i="79"/>
  <c r="EQD49" i="79"/>
  <c r="EQC49" i="79"/>
  <c r="EQB49" i="79"/>
  <c r="EQA49" i="79"/>
  <c r="EPZ49" i="79"/>
  <c r="EPY49" i="79"/>
  <c r="EPX49" i="79"/>
  <c r="EPW49" i="79"/>
  <c r="EPV49" i="79"/>
  <c r="EPU49" i="79"/>
  <c r="EPT49" i="79"/>
  <c r="EPS49" i="79"/>
  <c r="EPR49" i="79"/>
  <c r="EPQ49" i="79"/>
  <c r="EPP49" i="79"/>
  <c r="EPO49" i="79"/>
  <c r="EPN49" i="79"/>
  <c r="EPM49" i="79"/>
  <c r="EPL49" i="79"/>
  <c r="EPK49" i="79"/>
  <c r="EPJ49" i="79"/>
  <c r="EPI49" i="79"/>
  <c r="EPH49" i="79"/>
  <c r="EPG49" i="79"/>
  <c r="EPF49" i="79"/>
  <c r="EPE49" i="79"/>
  <c r="EPD49" i="79"/>
  <c r="EPC49" i="79"/>
  <c r="EPB49" i="79"/>
  <c r="EPA49" i="79"/>
  <c r="EOZ49" i="79"/>
  <c r="EOY49" i="79"/>
  <c r="EOX49" i="79"/>
  <c r="EOW49" i="79"/>
  <c r="EOV49" i="79"/>
  <c r="EOU49" i="79"/>
  <c r="EOT49" i="79"/>
  <c r="EOS49" i="79"/>
  <c r="EOR49" i="79"/>
  <c r="EOQ49" i="79"/>
  <c r="EOP49" i="79"/>
  <c r="EOO49" i="79"/>
  <c r="EON49" i="79"/>
  <c r="EOM49" i="79"/>
  <c r="EOL49" i="79"/>
  <c r="EOK49" i="79"/>
  <c r="EOJ49" i="79"/>
  <c r="EOI49" i="79"/>
  <c r="EOH49" i="79"/>
  <c r="EOG49" i="79"/>
  <c r="EOF49" i="79"/>
  <c r="EOE49" i="79"/>
  <c r="EOD49" i="79"/>
  <c r="EOC49" i="79"/>
  <c r="EOB49" i="79"/>
  <c r="EOA49" i="79"/>
  <c r="ENZ49" i="79"/>
  <c r="ENY49" i="79"/>
  <c r="ENX49" i="79"/>
  <c r="ENW49" i="79"/>
  <c r="ENV49" i="79"/>
  <c r="ENU49" i="79"/>
  <c r="ENT49" i="79"/>
  <c r="ENS49" i="79"/>
  <c r="ENR49" i="79"/>
  <c r="ENQ49" i="79"/>
  <c r="ENP49" i="79"/>
  <c r="ENO49" i="79"/>
  <c r="ENN49" i="79"/>
  <c r="ENM49" i="79"/>
  <c r="ENL49" i="79"/>
  <c r="ENK49" i="79"/>
  <c r="ENJ49" i="79"/>
  <c r="ENI49" i="79"/>
  <c r="ENH49" i="79"/>
  <c r="ENG49" i="79"/>
  <c r="ENF49" i="79"/>
  <c r="ENE49" i="79"/>
  <c r="END49" i="79"/>
  <c r="ENC49" i="79"/>
  <c r="ENB49" i="79"/>
  <c r="ENA49" i="79"/>
  <c r="EMZ49" i="79"/>
  <c r="EMY49" i="79"/>
  <c r="EMX49" i="79"/>
  <c r="EMW49" i="79"/>
  <c r="EMV49" i="79"/>
  <c r="EMU49" i="79"/>
  <c r="EMT49" i="79"/>
  <c r="EMS49" i="79"/>
  <c r="EMR49" i="79"/>
  <c r="EMQ49" i="79"/>
  <c r="EMP49" i="79"/>
  <c r="EMO49" i="79"/>
  <c r="EMN49" i="79"/>
  <c r="EMM49" i="79"/>
  <c r="EML49" i="79"/>
  <c r="EMK49" i="79"/>
  <c r="EMJ49" i="79"/>
  <c r="EMI49" i="79"/>
  <c r="EMH49" i="79"/>
  <c r="EMG49" i="79"/>
  <c r="EMF49" i="79"/>
  <c r="EME49" i="79"/>
  <c r="EMD49" i="79"/>
  <c r="EMC49" i="79"/>
  <c r="EMB49" i="79"/>
  <c r="EMA49" i="79"/>
  <c r="ELZ49" i="79"/>
  <c r="ELY49" i="79"/>
  <c r="ELX49" i="79"/>
  <c r="ELW49" i="79"/>
  <c r="ELV49" i="79"/>
  <c r="ELU49" i="79"/>
  <c r="ELT49" i="79"/>
  <c r="ELS49" i="79"/>
  <c r="ELR49" i="79"/>
  <c r="ELQ49" i="79"/>
  <c r="ELP49" i="79"/>
  <c r="ELO49" i="79"/>
  <c r="ELN49" i="79"/>
  <c r="ELM49" i="79"/>
  <c r="ELL49" i="79"/>
  <c r="ELK49" i="79"/>
  <c r="ELJ49" i="79"/>
  <c r="ELI49" i="79"/>
  <c r="ELH49" i="79"/>
  <c r="ELG49" i="79"/>
  <c r="ELF49" i="79"/>
  <c r="ELE49" i="79"/>
  <c r="ELD49" i="79"/>
  <c r="ELC49" i="79"/>
  <c r="ELB49" i="79"/>
  <c r="ELA49" i="79"/>
  <c r="EKZ49" i="79"/>
  <c r="EKY49" i="79"/>
  <c r="EKX49" i="79"/>
  <c r="EKW49" i="79"/>
  <c r="EKV49" i="79"/>
  <c r="EKU49" i="79"/>
  <c r="EKT49" i="79"/>
  <c r="EKS49" i="79"/>
  <c r="EKR49" i="79"/>
  <c r="EKQ49" i="79"/>
  <c r="EKP49" i="79"/>
  <c r="EKO49" i="79"/>
  <c r="EKN49" i="79"/>
  <c r="EKM49" i="79"/>
  <c r="EKL49" i="79"/>
  <c r="EKK49" i="79"/>
  <c r="EKJ49" i="79"/>
  <c r="EKI49" i="79"/>
  <c r="EKH49" i="79"/>
  <c r="EKG49" i="79"/>
  <c r="EKF49" i="79"/>
  <c r="EKE49" i="79"/>
  <c r="EKD49" i="79"/>
  <c r="EKC49" i="79"/>
  <c r="EKB49" i="79"/>
  <c r="EKA49" i="79"/>
  <c r="EJZ49" i="79"/>
  <c r="EJY49" i="79"/>
  <c r="EJX49" i="79"/>
  <c r="EJW49" i="79"/>
  <c r="EJV49" i="79"/>
  <c r="EJU49" i="79"/>
  <c r="EJT49" i="79"/>
  <c r="EJS49" i="79"/>
  <c r="EJR49" i="79"/>
  <c r="EJQ49" i="79"/>
  <c r="EJP49" i="79"/>
  <c r="EJO49" i="79"/>
  <c r="EJN49" i="79"/>
  <c r="EJM49" i="79"/>
  <c r="EJL49" i="79"/>
  <c r="EJK49" i="79"/>
  <c r="EJJ49" i="79"/>
  <c r="EJI49" i="79"/>
  <c r="EJH49" i="79"/>
  <c r="EJG49" i="79"/>
  <c r="EJF49" i="79"/>
  <c r="EJE49" i="79"/>
  <c r="EJD49" i="79"/>
  <c r="EJC49" i="79"/>
  <c r="EJB49" i="79"/>
  <c r="EJA49" i="79"/>
  <c r="EIZ49" i="79"/>
  <c r="EIY49" i="79"/>
  <c r="EIX49" i="79"/>
  <c r="EIW49" i="79"/>
  <c r="EIV49" i="79"/>
  <c r="EIU49" i="79"/>
  <c r="EIT49" i="79"/>
  <c r="EIS49" i="79"/>
  <c r="EIR49" i="79"/>
  <c r="EIQ49" i="79"/>
  <c r="EIP49" i="79"/>
  <c r="EIO49" i="79"/>
  <c r="EIN49" i="79"/>
  <c r="EIM49" i="79"/>
  <c r="EIL49" i="79"/>
  <c r="EIK49" i="79"/>
  <c r="EIJ49" i="79"/>
  <c r="EII49" i="79"/>
  <c r="EIH49" i="79"/>
  <c r="EIG49" i="79"/>
  <c r="EIF49" i="79"/>
  <c r="EIE49" i="79"/>
  <c r="EID49" i="79"/>
  <c r="EIC49" i="79"/>
  <c r="EIB49" i="79"/>
  <c r="EIA49" i="79"/>
  <c r="EHZ49" i="79"/>
  <c r="EHY49" i="79"/>
  <c r="EHX49" i="79"/>
  <c r="EHW49" i="79"/>
  <c r="EHV49" i="79"/>
  <c r="EHU49" i="79"/>
  <c r="EHT49" i="79"/>
  <c r="EHS49" i="79"/>
  <c r="EHR49" i="79"/>
  <c r="EHQ49" i="79"/>
  <c r="EHP49" i="79"/>
  <c r="EHO49" i="79"/>
  <c r="EHN49" i="79"/>
  <c r="EHM49" i="79"/>
  <c r="EHL49" i="79"/>
  <c r="EHK49" i="79"/>
  <c r="EHJ49" i="79"/>
  <c r="EHI49" i="79"/>
  <c r="EHH49" i="79"/>
  <c r="EHG49" i="79"/>
  <c r="EHF49" i="79"/>
  <c r="EHE49" i="79"/>
  <c r="EHD49" i="79"/>
  <c r="EHC49" i="79"/>
  <c r="EHB49" i="79"/>
  <c r="EHA49" i="79"/>
  <c r="EGZ49" i="79"/>
  <c r="EGY49" i="79"/>
  <c r="EGX49" i="79"/>
  <c r="EGW49" i="79"/>
  <c r="EGV49" i="79"/>
  <c r="EGU49" i="79"/>
  <c r="EGT49" i="79"/>
  <c r="EGS49" i="79"/>
  <c r="EGR49" i="79"/>
  <c r="EGQ49" i="79"/>
  <c r="EGP49" i="79"/>
  <c r="EGO49" i="79"/>
  <c r="EGN49" i="79"/>
  <c r="EGM49" i="79"/>
  <c r="EGL49" i="79"/>
  <c r="EGK49" i="79"/>
  <c r="EGJ49" i="79"/>
  <c r="EGI49" i="79"/>
  <c r="EGH49" i="79"/>
  <c r="EGG49" i="79"/>
  <c r="EGF49" i="79"/>
  <c r="EGE49" i="79"/>
  <c r="EGD49" i="79"/>
  <c r="EGC49" i="79"/>
  <c r="EGB49" i="79"/>
  <c r="EGA49" i="79"/>
  <c r="EFZ49" i="79"/>
  <c r="EFY49" i="79"/>
  <c r="EFX49" i="79"/>
  <c r="EFW49" i="79"/>
  <c r="EFV49" i="79"/>
  <c r="EFU49" i="79"/>
  <c r="EFT49" i="79"/>
  <c r="EFS49" i="79"/>
  <c r="EFR49" i="79"/>
  <c r="EFQ49" i="79"/>
  <c r="EFP49" i="79"/>
  <c r="EFO49" i="79"/>
  <c r="EFN49" i="79"/>
  <c r="EFM49" i="79"/>
  <c r="EFL49" i="79"/>
  <c r="EFK49" i="79"/>
  <c r="EFJ49" i="79"/>
  <c r="EFI49" i="79"/>
  <c r="EFH49" i="79"/>
  <c r="EFG49" i="79"/>
  <c r="EFF49" i="79"/>
  <c r="EFE49" i="79"/>
  <c r="EFD49" i="79"/>
  <c r="EFC49" i="79"/>
  <c r="EFB49" i="79"/>
  <c r="EFA49" i="79"/>
  <c r="EEZ49" i="79"/>
  <c r="EEY49" i="79"/>
  <c r="EEX49" i="79"/>
  <c r="EEW49" i="79"/>
  <c r="EEV49" i="79"/>
  <c r="EEU49" i="79"/>
  <c r="EET49" i="79"/>
  <c r="EES49" i="79"/>
  <c r="EER49" i="79"/>
  <c r="EEQ49" i="79"/>
  <c r="EEP49" i="79"/>
  <c r="EEO49" i="79"/>
  <c r="EEN49" i="79"/>
  <c r="EEM49" i="79"/>
  <c r="EEL49" i="79"/>
  <c r="EEK49" i="79"/>
  <c r="EEJ49" i="79"/>
  <c r="EEI49" i="79"/>
  <c r="EEH49" i="79"/>
  <c r="EEG49" i="79"/>
  <c r="EEF49" i="79"/>
  <c r="EEE49" i="79"/>
  <c r="EED49" i="79"/>
  <c r="EEC49" i="79"/>
  <c r="EEB49" i="79"/>
  <c r="EEA49" i="79"/>
  <c r="EDZ49" i="79"/>
  <c r="EDY49" i="79"/>
  <c r="EDX49" i="79"/>
  <c r="EDW49" i="79"/>
  <c r="EDV49" i="79"/>
  <c r="EDU49" i="79"/>
  <c r="EDT49" i="79"/>
  <c r="EDS49" i="79"/>
  <c r="EDR49" i="79"/>
  <c r="EDQ49" i="79"/>
  <c r="EDP49" i="79"/>
  <c r="EDO49" i="79"/>
  <c r="EDN49" i="79"/>
  <c r="EDM49" i="79"/>
  <c r="EDL49" i="79"/>
  <c r="EDK49" i="79"/>
  <c r="EDJ49" i="79"/>
  <c r="EDI49" i="79"/>
  <c r="EDH49" i="79"/>
  <c r="EDG49" i="79"/>
  <c r="EDF49" i="79"/>
  <c r="EDE49" i="79"/>
  <c r="EDD49" i="79"/>
  <c r="EDC49" i="79"/>
  <c r="EDB49" i="79"/>
  <c r="EDA49" i="79"/>
  <c r="ECZ49" i="79"/>
  <c r="ECY49" i="79"/>
  <c r="ECX49" i="79"/>
  <c r="ECW49" i="79"/>
  <c r="ECV49" i="79"/>
  <c r="ECU49" i="79"/>
  <c r="ECT49" i="79"/>
  <c r="ECS49" i="79"/>
  <c r="ECR49" i="79"/>
  <c r="ECQ49" i="79"/>
  <c r="ECP49" i="79"/>
  <c r="ECO49" i="79"/>
  <c r="ECN49" i="79"/>
  <c r="ECM49" i="79"/>
  <c r="ECL49" i="79"/>
  <c r="ECK49" i="79"/>
  <c r="ECJ49" i="79"/>
  <c r="ECI49" i="79"/>
  <c r="ECH49" i="79"/>
  <c r="ECG49" i="79"/>
  <c r="ECF49" i="79"/>
  <c r="ECE49" i="79"/>
  <c r="ECD49" i="79"/>
  <c r="ECC49" i="79"/>
  <c r="ECB49" i="79"/>
  <c r="ECA49" i="79"/>
  <c r="EBZ49" i="79"/>
  <c r="EBY49" i="79"/>
  <c r="EBX49" i="79"/>
  <c r="EBW49" i="79"/>
  <c r="EBV49" i="79"/>
  <c r="EBU49" i="79"/>
  <c r="EBT49" i="79"/>
  <c r="EBS49" i="79"/>
  <c r="EBR49" i="79"/>
  <c r="EBQ49" i="79"/>
  <c r="EBP49" i="79"/>
  <c r="EBO49" i="79"/>
  <c r="EBN49" i="79"/>
  <c r="EBM49" i="79"/>
  <c r="EBL49" i="79"/>
  <c r="EBK49" i="79"/>
  <c r="EBJ49" i="79"/>
  <c r="EBI49" i="79"/>
  <c r="EBH49" i="79"/>
  <c r="EBG49" i="79"/>
  <c r="EBF49" i="79"/>
  <c r="EBE49" i="79"/>
  <c r="EBD49" i="79"/>
  <c r="EBC49" i="79"/>
  <c r="EBB49" i="79"/>
  <c r="EBA49" i="79"/>
  <c r="EAZ49" i="79"/>
  <c r="EAY49" i="79"/>
  <c r="EAX49" i="79"/>
  <c r="EAW49" i="79"/>
  <c r="EAV49" i="79"/>
  <c r="EAU49" i="79"/>
  <c r="EAT49" i="79"/>
  <c r="EAS49" i="79"/>
  <c r="EAR49" i="79"/>
  <c r="EAQ49" i="79"/>
  <c r="EAP49" i="79"/>
  <c r="EAO49" i="79"/>
  <c r="EAN49" i="79"/>
  <c r="EAM49" i="79"/>
  <c r="EAL49" i="79"/>
  <c r="EAK49" i="79"/>
  <c r="EAJ49" i="79"/>
  <c r="EAI49" i="79"/>
  <c r="EAH49" i="79"/>
  <c r="EAG49" i="79"/>
  <c r="EAF49" i="79"/>
  <c r="EAE49" i="79"/>
  <c r="EAD49" i="79"/>
  <c r="EAC49" i="79"/>
  <c r="EAB49" i="79"/>
  <c r="EAA49" i="79"/>
  <c r="DZZ49" i="79"/>
  <c r="DZY49" i="79"/>
  <c r="DZX49" i="79"/>
  <c r="DZW49" i="79"/>
  <c r="DZV49" i="79"/>
  <c r="DZU49" i="79"/>
  <c r="DZT49" i="79"/>
  <c r="DZS49" i="79"/>
  <c r="DZR49" i="79"/>
  <c r="DZQ49" i="79"/>
  <c r="DZP49" i="79"/>
  <c r="DZO49" i="79"/>
  <c r="DZN49" i="79"/>
  <c r="DZM49" i="79"/>
  <c r="DZL49" i="79"/>
  <c r="DZK49" i="79"/>
  <c r="DZJ49" i="79"/>
  <c r="DZI49" i="79"/>
  <c r="DZH49" i="79"/>
  <c r="DZG49" i="79"/>
  <c r="DZF49" i="79"/>
  <c r="DZE49" i="79"/>
  <c r="DZD49" i="79"/>
  <c r="DZC49" i="79"/>
  <c r="DZB49" i="79"/>
  <c r="DZA49" i="79"/>
  <c r="DYZ49" i="79"/>
  <c r="DYY49" i="79"/>
  <c r="DYX49" i="79"/>
  <c r="DYW49" i="79"/>
  <c r="DYV49" i="79"/>
  <c r="DYU49" i="79"/>
  <c r="DYT49" i="79"/>
  <c r="DYS49" i="79"/>
  <c r="DYR49" i="79"/>
  <c r="DYQ49" i="79"/>
  <c r="DYP49" i="79"/>
  <c r="DYO49" i="79"/>
  <c r="DYN49" i="79"/>
  <c r="DYM49" i="79"/>
  <c r="DYL49" i="79"/>
  <c r="DYK49" i="79"/>
  <c r="DYJ49" i="79"/>
  <c r="DYI49" i="79"/>
  <c r="DYH49" i="79"/>
  <c r="DYG49" i="79"/>
  <c r="DYF49" i="79"/>
  <c r="DYE49" i="79"/>
  <c r="DYD49" i="79"/>
  <c r="DYC49" i="79"/>
  <c r="DYB49" i="79"/>
  <c r="DYA49" i="79"/>
  <c r="DXZ49" i="79"/>
  <c r="DXY49" i="79"/>
  <c r="DXX49" i="79"/>
  <c r="DXW49" i="79"/>
  <c r="DXV49" i="79"/>
  <c r="DXU49" i="79"/>
  <c r="DXT49" i="79"/>
  <c r="DXS49" i="79"/>
  <c r="DXR49" i="79"/>
  <c r="DXQ49" i="79"/>
  <c r="DXP49" i="79"/>
  <c r="DXO49" i="79"/>
  <c r="DXN49" i="79"/>
  <c r="DXM49" i="79"/>
  <c r="DXL49" i="79"/>
  <c r="DXK49" i="79"/>
  <c r="DXJ49" i="79"/>
  <c r="DXI49" i="79"/>
  <c r="DXH49" i="79"/>
  <c r="DXG49" i="79"/>
  <c r="DXF49" i="79"/>
  <c r="DXE49" i="79"/>
  <c r="DXD49" i="79"/>
  <c r="DXC49" i="79"/>
  <c r="DXB49" i="79"/>
  <c r="DXA49" i="79"/>
  <c r="DWZ49" i="79"/>
  <c r="DWY49" i="79"/>
  <c r="DWX49" i="79"/>
  <c r="DWW49" i="79"/>
  <c r="DWV49" i="79"/>
  <c r="DWU49" i="79"/>
  <c r="DWT49" i="79"/>
  <c r="DWS49" i="79"/>
  <c r="DWR49" i="79"/>
  <c r="DWQ49" i="79"/>
  <c r="DWP49" i="79"/>
  <c r="DWO49" i="79"/>
  <c r="DWN49" i="79"/>
  <c r="DWM49" i="79"/>
  <c r="DWL49" i="79"/>
  <c r="DWK49" i="79"/>
  <c r="DWJ49" i="79"/>
  <c r="DWI49" i="79"/>
  <c r="DWH49" i="79"/>
  <c r="DWG49" i="79"/>
  <c r="DWF49" i="79"/>
  <c r="DWE49" i="79"/>
  <c r="DWD49" i="79"/>
  <c r="DWC49" i="79"/>
  <c r="DWB49" i="79"/>
  <c r="DWA49" i="79"/>
  <c r="DVZ49" i="79"/>
  <c r="DVY49" i="79"/>
  <c r="DVX49" i="79"/>
  <c r="DVW49" i="79"/>
  <c r="DVV49" i="79"/>
  <c r="DVU49" i="79"/>
  <c r="DVT49" i="79"/>
  <c r="DVS49" i="79"/>
  <c r="DVR49" i="79"/>
  <c r="DVQ49" i="79"/>
  <c r="DVP49" i="79"/>
  <c r="DVO49" i="79"/>
  <c r="DVN49" i="79"/>
  <c r="DVM49" i="79"/>
  <c r="DVL49" i="79"/>
  <c r="DVK49" i="79"/>
  <c r="DVJ49" i="79"/>
  <c r="DVI49" i="79"/>
  <c r="DVH49" i="79"/>
  <c r="DVG49" i="79"/>
  <c r="DVF49" i="79"/>
  <c r="DVE49" i="79"/>
  <c r="DVD49" i="79"/>
  <c r="DVC49" i="79"/>
  <c r="DVB49" i="79"/>
  <c r="DVA49" i="79"/>
  <c r="DUZ49" i="79"/>
  <c r="DUY49" i="79"/>
  <c r="DUX49" i="79"/>
  <c r="DUW49" i="79"/>
  <c r="DUV49" i="79"/>
  <c r="DUU49" i="79"/>
  <c r="DUT49" i="79"/>
  <c r="DUS49" i="79"/>
  <c r="DUR49" i="79"/>
  <c r="DUQ49" i="79"/>
  <c r="DUP49" i="79"/>
  <c r="DUO49" i="79"/>
  <c r="DUN49" i="79"/>
  <c r="DUM49" i="79"/>
  <c r="DUL49" i="79"/>
  <c r="DUK49" i="79"/>
  <c r="DUJ49" i="79"/>
  <c r="DUI49" i="79"/>
  <c r="DUH49" i="79"/>
  <c r="DUG49" i="79"/>
  <c r="DUF49" i="79"/>
  <c r="DUE49" i="79"/>
  <c r="DUD49" i="79"/>
  <c r="DUC49" i="79"/>
  <c r="DUB49" i="79"/>
  <c r="DUA49" i="79"/>
  <c r="DTZ49" i="79"/>
  <c r="DTY49" i="79"/>
  <c r="DTX49" i="79"/>
  <c r="DTW49" i="79"/>
  <c r="DTV49" i="79"/>
  <c r="DTU49" i="79"/>
  <c r="DTT49" i="79"/>
  <c r="DTS49" i="79"/>
  <c r="DTR49" i="79"/>
  <c r="DTQ49" i="79"/>
  <c r="DTP49" i="79"/>
  <c r="DTO49" i="79"/>
  <c r="DTN49" i="79"/>
  <c r="DTM49" i="79"/>
  <c r="DTL49" i="79"/>
  <c r="DTK49" i="79"/>
  <c r="DTJ49" i="79"/>
  <c r="DTI49" i="79"/>
  <c r="DTH49" i="79"/>
  <c r="DTG49" i="79"/>
  <c r="DTF49" i="79"/>
  <c r="DTE49" i="79"/>
  <c r="DTD49" i="79"/>
  <c r="DTC49" i="79"/>
  <c r="DTB49" i="79"/>
  <c r="DTA49" i="79"/>
  <c r="DSZ49" i="79"/>
  <c r="DSY49" i="79"/>
  <c r="DSX49" i="79"/>
  <c r="DSW49" i="79"/>
  <c r="DSV49" i="79"/>
  <c r="DSU49" i="79"/>
  <c r="DST49" i="79"/>
  <c r="DSS49" i="79"/>
  <c r="DSR49" i="79"/>
  <c r="DSQ49" i="79"/>
  <c r="DSP49" i="79"/>
  <c r="DSO49" i="79"/>
  <c r="DSN49" i="79"/>
  <c r="DSM49" i="79"/>
  <c r="DSL49" i="79"/>
  <c r="DSK49" i="79"/>
  <c r="DSJ49" i="79"/>
  <c r="DSI49" i="79"/>
  <c r="DSH49" i="79"/>
  <c r="DSG49" i="79"/>
  <c r="DSF49" i="79"/>
  <c r="DSE49" i="79"/>
  <c r="DSD49" i="79"/>
  <c r="DSC49" i="79"/>
  <c r="DSB49" i="79"/>
  <c r="DSA49" i="79"/>
  <c r="DRZ49" i="79"/>
  <c r="DRY49" i="79"/>
  <c r="DRX49" i="79"/>
  <c r="DRW49" i="79"/>
  <c r="DRV49" i="79"/>
  <c r="DRU49" i="79"/>
  <c r="DRT49" i="79"/>
  <c r="DRS49" i="79"/>
  <c r="DRR49" i="79"/>
  <c r="DRQ49" i="79"/>
  <c r="DRP49" i="79"/>
  <c r="DRO49" i="79"/>
  <c r="DRN49" i="79"/>
  <c r="DRM49" i="79"/>
  <c r="DRL49" i="79"/>
  <c r="DRK49" i="79"/>
  <c r="DRJ49" i="79"/>
  <c r="DRI49" i="79"/>
  <c r="DRH49" i="79"/>
  <c r="DRG49" i="79"/>
  <c r="DRF49" i="79"/>
  <c r="DRE49" i="79"/>
  <c r="DRD49" i="79"/>
  <c r="DRC49" i="79"/>
  <c r="DRB49" i="79"/>
  <c r="DRA49" i="79"/>
  <c r="DQZ49" i="79"/>
  <c r="DQY49" i="79"/>
  <c r="DQX49" i="79"/>
  <c r="DQW49" i="79"/>
  <c r="DQV49" i="79"/>
  <c r="DQU49" i="79"/>
  <c r="DQT49" i="79"/>
  <c r="DQS49" i="79"/>
  <c r="DQR49" i="79"/>
  <c r="DQQ49" i="79"/>
  <c r="DQP49" i="79"/>
  <c r="DQO49" i="79"/>
  <c r="DQN49" i="79"/>
  <c r="DQM49" i="79"/>
  <c r="DQL49" i="79"/>
  <c r="DQK49" i="79"/>
  <c r="DQJ49" i="79"/>
  <c r="DQI49" i="79"/>
  <c r="DQH49" i="79"/>
  <c r="DQG49" i="79"/>
  <c r="DQF49" i="79"/>
  <c r="DQE49" i="79"/>
  <c r="DQD49" i="79"/>
  <c r="DQC49" i="79"/>
  <c r="DQB49" i="79"/>
  <c r="DQA49" i="79"/>
  <c r="DPZ49" i="79"/>
  <c r="DPY49" i="79"/>
  <c r="DPX49" i="79"/>
  <c r="DPW49" i="79"/>
  <c r="DPV49" i="79"/>
  <c r="DPU49" i="79"/>
  <c r="DPT49" i="79"/>
  <c r="DPS49" i="79"/>
  <c r="DPR49" i="79"/>
  <c r="DPQ49" i="79"/>
  <c r="DPP49" i="79"/>
  <c r="DPO49" i="79"/>
  <c r="DPN49" i="79"/>
  <c r="DPM49" i="79"/>
  <c r="DPL49" i="79"/>
  <c r="DPK49" i="79"/>
  <c r="DPJ49" i="79"/>
  <c r="DPI49" i="79"/>
  <c r="DPH49" i="79"/>
  <c r="DPG49" i="79"/>
  <c r="DPF49" i="79"/>
  <c r="DPE49" i="79"/>
  <c r="DPD49" i="79"/>
  <c r="DPC49" i="79"/>
  <c r="DPB49" i="79"/>
  <c r="DPA49" i="79"/>
  <c r="DOZ49" i="79"/>
  <c r="DOY49" i="79"/>
  <c r="DOX49" i="79"/>
  <c r="DOW49" i="79"/>
  <c r="DOV49" i="79"/>
  <c r="DOU49" i="79"/>
  <c r="DOT49" i="79"/>
  <c r="DOS49" i="79"/>
  <c r="DOR49" i="79"/>
  <c r="DOQ49" i="79"/>
  <c r="DOP49" i="79"/>
  <c r="DOO49" i="79"/>
  <c r="DON49" i="79"/>
  <c r="DOM49" i="79"/>
  <c r="DOL49" i="79"/>
  <c r="DOK49" i="79"/>
  <c r="DOJ49" i="79"/>
  <c r="DOI49" i="79"/>
  <c r="DOH49" i="79"/>
  <c r="DOG49" i="79"/>
  <c r="DOF49" i="79"/>
  <c r="DOE49" i="79"/>
  <c r="DOD49" i="79"/>
  <c r="DOC49" i="79"/>
  <c r="DOB49" i="79"/>
  <c r="DOA49" i="79"/>
  <c r="DNZ49" i="79"/>
  <c r="DNY49" i="79"/>
  <c r="DNX49" i="79"/>
  <c r="DNW49" i="79"/>
  <c r="DNV49" i="79"/>
  <c r="DNU49" i="79"/>
  <c r="DNT49" i="79"/>
  <c r="DNS49" i="79"/>
  <c r="DNR49" i="79"/>
  <c r="DNQ49" i="79"/>
  <c r="DNP49" i="79"/>
  <c r="DNO49" i="79"/>
  <c r="DNN49" i="79"/>
  <c r="DNM49" i="79"/>
  <c r="DNL49" i="79"/>
  <c r="DNK49" i="79"/>
  <c r="DNJ49" i="79"/>
  <c r="DNI49" i="79"/>
  <c r="DNH49" i="79"/>
  <c r="DNG49" i="79"/>
  <c r="DNF49" i="79"/>
  <c r="DNE49" i="79"/>
  <c r="DND49" i="79"/>
  <c r="DNC49" i="79"/>
  <c r="DNB49" i="79"/>
  <c r="DNA49" i="79"/>
  <c r="DMZ49" i="79"/>
  <c r="DMY49" i="79"/>
  <c r="DMX49" i="79"/>
  <c r="DMW49" i="79"/>
  <c r="DMV49" i="79"/>
  <c r="DMU49" i="79"/>
  <c r="DMT49" i="79"/>
  <c r="DMS49" i="79"/>
  <c r="DMR49" i="79"/>
  <c r="DMQ49" i="79"/>
  <c r="DMP49" i="79"/>
  <c r="DMO49" i="79"/>
  <c r="DMN49" i="79"/>
  <c r="DMM49" i="79"/>
  <c r="DML49" i="79"/>
  <c r="DMK49" i="79"/>
  <c r="DMJ49" i="79"/>
  <c r="DMI49" i="79"/>
  <c r="DMH49" i="79"/>
  <c r="DMG49" i="79"/>
  <c r="DMF49" i="79"/>
  <c r="DME49" i="79"/>
  <c r="DMD49" i="79"/>
  <c r="DMC49" i="79"/>
  <c r="DMB49" i="79"/>
  <c r="DMA49" i="79"/>
  <c r="DLZ49" i="79"/>
  <c r="DLY49" i="79"/>
  <c r="DLX49" i="79"/>
  <c r="DLW49" i="79"/>
  <c r="DLV49" i="79"/>
  <c r="DLU49" i="79"/>
  <c r="DLT49" i="79"/>
  <c r="DLS49" i="79"/>
  <c r="DLR49" i="79"/>
  <c r="DLQ49" i="79"/>
  <c r="DLP49" i="79"/>
  <c r="DLO49" i="79"/>
  <c r="DLN49" i="79"/>
  <c r="DLM49" i="79"/>
  <c r="DLL49" i="79"/>
  <c r="DLK49" i="79"/>
  <c r="DLJ49" i="79"/>
  <c r="DLI49" i="79"/>
  <c r="DLH49" i="79"/>
  <c r="DLG49" i="79"/>
  <c r="DLF49" i="79"/>
  <c r="DLE49" i="79"/>
  <c r="DLD49" i="79"/>
  <c r="DLC49" i="79"/>
  <c r="DLB49" i="79"/>
  <c r="DLA49" i="79"/>
  <c r="DKZ49" i="79"/>
  <c r="DKY49" i="79"/>
  <c r="DKX49" i="79"/>
  <c r="DKW49" i="79"/>
  <c r="DKV49" i="79"/>
  <c r="DKU49" i="79"/>
  <c r="DKT49" i="79"/>
  <c r="DKS49" i="79"/>
  <c r="DKR49" i="79"/>
  <c r="DKQ49" i="79"/>
  <c r="DKP49" i="79"/>
  <c r="DKO49" i="79"/>
  <c r="DKN49" i="79"/>
  <c r="DKM49" i="79"/>
  <c r="DKL49" i="79"/>
  <c r="DKK49" i="79"/>
  <c r="DKJ49" i="79"/>
  <c r="DKI49" i="79"/>
  <c r="DKH49" i="79"/>
  <c r="DKG49" i="79"/>
  <c r="DKF49" i="79"/>
  <c r="DKE49" i="79"/>
  <c r="DKD49" i="79"/>
  <c r="DKC49" i="79"/>
  <c r="DKB49" i="79"/>
  <c r="DKA49" i="79"/>
  <c r="DJZ49" i="79"/>
  <c r="DJY49" i="79"/>
  <c r="DJX49" i="79"/>
  <c r="DJW49" i="79"/>
  <c r="DJV49" i="79"/>
  <c r="DJU49" i="79"/>
  <c r="DJT49" i="79"/>
  <c r="DJS49" i="79"/>
  <c r="DJR49" i="79"/>
  <c r="DJQ49" i="79"/>
  <c r="DJP49" i="79"/>
  <c r="DJO49" i="79"/>
  <c r="DJN49" i="79"/>
  <c r="DJM49" i="79"/>
  <c r="DJL49" i="79"/>
  <c r="DJK49" i="79"/>
  <c r="DJJ49" i="79"/>
  <c r="DJI49" i="79"/>
  <c r="DJH49" i="79"/>
  <c r="DJG49" i="79"/>
  <c r="DJF49" i="79"/>
  <c r="DJE49" i="79"/>
  <c r="DJD49" i="79"/>
  <c r="DJC49" i="79"/>
  <c r="DJB49" i="79"/>
  <c r="DJA49" i="79"/>
  <c r="DIZ49" i="79"/>
  <c r="DIY49" i="79"/>
  <c r="DIX49" i="79"/>
  <c r="DIW49" i="79"/>
  <c r="DIV49" i="79"/>
  <c r="DIU49" i="79"/>
  <c r="DIT49" i="79"/>
  <c r="DIS49" i="79"/>
  <c r="DIR49" i="79"/>
  <c r="DIQ49" i="79"/>
  <c r="DIP49" i="79"/>
  <c r="DIO49" i="79"/>
  <c r="DIN49" i="79"/>
  <c r="DIM49" i="79"/>
  <c r="DIL49" i="79"/>
  <c r="DIK49" i="79"/>
  <c r="DIJ49" i="79"/>
  <c r="DII49" i="79"/>
  <c r="DIH49" i="79"/>
  <c r="DIG49" i="79"/>
  <c r="DIF49" i="79"/>
  <c r="DIE49" i="79"/>
  <c r="DID49" i="79"/>
  <c r="DIC49" i="79"/>
  <c r="DIB49" i="79"/>
  <c r="DIA49" i="79"/>
  <c r="DHZ49" i="79"/>
  <c r="DHY49" i="79"/>
  <c r="DHX49" i="79"/>
  <c r="DHW49" i="79"/>
  <c r="DHV49" i="79"/>
  <c r="DHU49" i="79"/>
  <c r="DHT49" i="79"/>
  <c r="DHS49" i="79"/>
  <c r="DHR49" i="79"/>
  <c r="DHQ49" i="79"/>
  <c r="DHP49" i="79"/>
  <c r="DHO49" i="79"/>
  <c r="DHN49" i="79"/>
  <c r="DHM49" i="79"/>
  <c r="DHL49" i="79"/>
  <c r="DHK49" i="79"/>
  <c r="DHJ49" i="79"/>
  <c r="DHI49" i="79"/>
  <c r="DHH49" i="79"/>
  <c r="DHG49" i="79"/>
  <c r="DHF49" i="79"/>
  <c r="DHE49" i="79"/>
  <c r="DHD49" i="79"/>
  <c r="DHC49" i="79"/>
  <c r="DHB49" i="79"/>
  <c r="DHA49" i="79"/>
  <c r="DGZ49" i="79"/>
  <c r="DGY49" i="79"/>
  <c r="DGX49" i="79"/>
  <c r="DGW49" i="79"/>
  <c r="DGV49" i="79"/>
  <c r="DGU49" i="79"/>
  <c r="DGT49" i="79"/>
  <c r="DGS49" i="79"/>
  <c r="DGR49" i="79"/>
  <c r="DGQ49" i="79"/>
  <c r="DGP49" i="79"/>
  <c r="DGO49" i="79"/>
  <c r="DGN49" i="79"/>
  <c r="DGM49" i="79"/>
  <c r="DGL49" i="79"/>
  <c r="DGK49" i="79"/>
  <c r="DGJ49" i="79"/>
  <c r="DGI49" i="79"/>
  <c r="DGH49" i="79"/>
  <c r="DGG49" i="79"/>
  <c r="DGF49" i="79"/>
  <c r="DGE49" i="79"/>
  <c r="DGD49" i="79"/>
  <c r="DGC49" i="79"/>
  <c r="DGB49" i="79"/>
  <c r="DGA49" i="79"/>
  <c r="DFZ49" i="79"/>
  <c r="DFY49" i="79"/>
  <c r="DFX49" i="79"/>
  <c r="DFW49" i="79"/>
  <c r="DFV49" i="79"/>
  <c r="DFU49" i="79"/>
  <c r="DFT49" i="79"/>
  <c r="DFS49" i="79"/>
  <c r="DFR49" i="79"/>
  <c r="DFQ49" i="79"/>
  <c r="DFP49" i="79"/>
  <c r="DFO49" i="79"/>
  <c r="DFN49" i="79"/>
  <c r="DFM49" i="79"/>
  <c r="DFL49" i="79"/>
  <c r="DFK49" i="79"/>
  <c r="DFJ49" i="79"/>
  <c r="DFI49" i="79"/>
  <c r="DFH49" i="79"/>
  <c r="DFG49" i="79"/>
  <c r="DFF49" i="79"/>
  <c r="DFE49" i="79"/>
  <c r="DFD49" i="79"/>
  <c r="DFC49" i="79"/>
  <c r="DFB49" i="79"/>
  <c r="DFA49" i="79"/>
  <c r="DEZ49" i="79"/>
  <c r="DEY49" i="79"/>
  <c r="DEX49" i="79"/>
  <c r="DEW49" i="79"/>
  <c r="DEV49" i="79"/>
  <c r="DEU49" i="79"/>
  <c r="DET49" i="79"/>
  <c r="DES49" i="79"/>
  <c r="DER49" i="79"/>
  <c r="DEQ49" i="79"/>
  <c r="DEP49" i="79"/>
  <c r="DEO49" i="79"/>
  <c r="DEN49" i="79"/>
  <c r="DEM49" i="79"/>
  <c r="DEL49" i="79"/>
  <c r="DEK49" i="79"/>
  <c r="DEJ49" i="79"/>
  <c r="DEI49" i="79"/>
  <c r="DEH49" i="79"/>
  <c r="DEG49" i="79"/>
  <c r="DEF49" i="79"/>
  <c r="DEE49" i="79"/>
  <c r="DED49" i="79"/>
  <c r="DEC49" i="79"/>
  <c r="DEB49" i="79"/>
  <c r="DEA49" i="79"/>
  <c r="DDZ49" i="79"/>
  <c r="DDY49" i="79"/>
  <c r="DDX49" i="79"/>
  <c r="DDW49" i="79"/>
  <c r="DDV49" i="79"/>
  <c r="DDU49" i="79"/>
  <c r="DDT49" i="79"/>
  <c r="DDS49" i="79"/>
  <c r="DDR49" i="79"/>
  <c r="DDQ49" i="79"/>
  <c r="DDP49" i="79"/>
  <c r="DDO49" i="79"/>
  <c r="DDN49" i="79"/>
  <c r="DDM49" i="79"/>
  <c r="DDL49" i="79"/>
  <c r="DDK49" i="79"/>
  <c r="DDJ49" i="79"/>
  <c r="DDI49" i="79"/>
  <c r="DDH49" i="79"/>
  <c r="DDG49" i="79"/>
  <c r="DDF49" i="79"/>
  <c r="DDE49" i="79"/>
  <c r="DDD49" i="79"/>
  <c r="DDC49" i="79"/>
  <c r="DDB49" i="79"/>
  <c r="DDA49" i="79"/>
  <c r="DCZ49" i="79"/>
  <c r="DCY49" i="79"/>
  <c r="DCX49" i="79"/>
  <c r="DCW49" i="79"/>
  <c r="DCV49" i="79"/>
  <c r="DCU49" i="79"/>
  <c r="DCT49" i="79"/>
  <c r="DCS49" i="79"/>
  <c r="DCR49" i="79"/>
  <c r="DCQ49" i="79"/>
  <c r="DCP49" i="79"/>
  <c r="DCO49" i="79"/>
  <c r="DCN49" i="79"/>
  <c r="DCM49" i="79"/>
  <c r="DCL49" i="79"/>
  <c r="DCK49" i="79"/>
  <c r="DCJ49" i="79"/>
  <c r="DCI49" i="79"/>
  <c r="DCH49" i="79"/>
  <c r="DCG49" i="79"/>
  <c r="DCF49" i="79"/>
  <c r="DCE49" i="79"/>
  <c r="DCD49" i="79"/>
  <c r="DCC49" i="79"/>
  <c r="DCB49" i="79"/>
  <c r="DCA49" i="79"/>
  <c r="DBZ49" i="79"/>
  <c r="DBY49" i="79"/>
  <c r="DBX49" i="79"/>
  <c r="DBW49" i="79"/>
  <c r="DBV49" i="79"/>
  <c r="DBU49" i="79"/>
  <c r="DBT49" i="79"/>
  <c r="DBS49" i="79"/>
  <c r="DBR49" i="79"/>
  <c r="DBQ49" i="79"/>
  <c r="DBP49" i="79"/>
  <c r="DBO49" i="79"/>
  <c r="DBN49" i="79"/>
  <c r="DBM49" i="79"/>
  <c r="DBL49" i="79"/>
  <c r="DBK49" i="79"/>
  <c r="DBJ49" i="79"/>
  <c r="DBI49" i="79"/>
  <c r="DBH49" i="79"/>
  <c r="DBG49" i="79"/>
  <c r="DBF49" i="79"/>
  <c r="DBE49" i="79"/>
  <c r="DBD49" i="79"/>
  <c r="DBC49" i="79"/>
  <c r="DBB49" i="79"/>
  <c r="DBA49" i="79"/>
  <c r="DAZ49" i="79"/>
  <c r="DAY49" i="79"/>
  <c r="DAX49" i="79"/>
  <c r="DAW49" i="79"/>
  <c r="DAV49" i="79"/>
  <c r="DAU49" i="79"/>
  <c r="DAT49" i="79"/>
  <c r="DAS49" i="79"/>
  <c r="DAR49" i="79"/>
  <c r="DAQ49" i="79"/>
  <c r="DAP49" i="79"/>
  <c r="DAO49" i="79"/>
  <c r="DAN49" i="79"/>
  <c r="DAM49" i="79"/>
  <c r="DAL49" i="79"/>
  <c r="DAK49" i="79"/>
  <c r="DAJ49" i="79"/>
  <c r="DAI49" i="79"/>
  <c r="DAH49" i="79"/>
  <c r="DAG49" i="79"/>
  <c r="DAF49" i="79"/>
  <c r="DAE49" i="79"/>
  <c r="DAD49" i="79"/>
  <c r="DAC49" i="79"/>
  <c r="DAB49" i="79"/>
  <c r="DAA49" i="79"/>
  <c r="CZZ49" i="79"/>
  <c r="CZY49" i="79"/>
  <c r="CZX49" i="79"/>
  <c r="CZW49" i="79"/>
  <c r="CZV49" i="79"/>
  <c r="CZU49" i="79"/>
  <c r="CZT49" i="79"/>
  <c r="CZS49" i="79"/>
  <c r="CZR49" i="79"/>
  <c r="CZQ49" i="79"/>
  <c r="CZP49" i="79"/>
  <c r="CZO49" i="79"/>
  <c r="CZN49" i="79"/>
  <c r="CZM49" i="79"/>
  <c r="CZL49" i="79"/>
  <c r="CZK49" i="79"/>
  <c r="CZJ49" i="79"/>
  <c r="CZI49" i="79"/>
  <c r="CZH49" i="79"/>
  <c r="CZG49" i="79"/>
  <c r="CZF49" i="79"/>
  <c r="CZE49" i="79"/>
  <c r="CZD49" i="79"/>
  <c r="CZC49" i="79"/>
  <c r="CZB49" i="79"/>
  <c r="CZA49" i="79"/>
  <c r="CYZ49" i="79"/>
  <c r="CYY49" i="79"/>
  <c r="CYX49" i="79"/>
  <c r="CYW49" i="79"/>
  <c r="CYV49" i="79"/>
  <c r="CYU49" i="79"/>
  <c r="CYT49" i="79"/>
  <c r="CYS49" i="79"/>
  <c r="CYR49" i="79"/>
  <c r="CYQ49" i="79"/>
  <c r="CYP49" i="79"/>
  <c r="CYO49" i="79"/>
  <c r="CYN49" i="79"/>
  <c r="CYM49" i="79"/>
  <c r="CYL49" i="79"/>
  <c r="CYK49" i="79"/>
  <c r="CYJ49" i="79"/>
  <c r="CYI49" i="79"/>
  <c r="CYH49" i="79"/>
  <c r="CYG49" i="79"/>
  <c r="CYF49" i="79"/>
  <c r="CYE49" i="79"/>
  <c r="CYD49" i="79"/>
  <c r="CYC49" i="79"/>
  <c r="CYB49" i="79"/>
  <c r="CYA49" i="79"/>
  <c r="CXZ49" i="79"/>
  <c r="CXY49" i="79"/>
  <c r="CXX49" i="79"/>
  <c r="CXW49" i="79"/>
  <c r="CXV49" i="79"/>
  <c r="CXU49" i="79"/>
  <c r="CXT49" i="79"/>
  <c r="CXS49" i="79"/>
  <c r="CXR49" i="79"/>
  <c r="CXQ49" i="79"/>
  <c r="CXP49" i="79"/>
  <c r="CXO49" i="79"/>
  <c r="CXN49" i="79"/>
  <c r="CXM49" i="79"/>
  <c r="CXL49" i="79"/>
  <c r="CXK49" i="79"/>
  <c r="CXJ49" i="79"/>
  <c r="CXI49" i="79"/>
  <c r="CXH49" i="79"/>
  <c r="CXG49" i="79"/>
  <c r="CXF49" i="79"/>
  <c r="CXE49" i="79"/>
  <c r="CXD49" i="79"/>
  <c r="CXC49" i="79"/>
  <c r="CXB49" i="79"/>
  <c r="CXA49" i="79"/>
  <c r="CWZ49" i="79"/>
  <c r="CWY49" i="79"/>
  <c r="CWX49" i="79"/>
  <c r="CWW49" i="79"/>
  <c r="CWV49" i="79"/>
  <c r="CWU49" i="79"/>
  <c r="CWT49" i="79"/>
  <c r="CWS49" i="79"/>
  <c r="CWR49" i="79"/>
  <c r="CWQ49" i="79"/>
  <c r="CWP49" i="79"/>
  <c r="CWO49" i="79"/>
  <c r="CWN49" i="79"/>
  <c r="CWM49" i="79"/>
  <c r="CWL49" i="79"/>
  <c r="CWK49" i="79"/>
  <c r="CWJ49" i="79"/>
  <c r="CWI49" i="79"/>
  <c r="CWH49" i="79"/>
  <c r="CWG49" i="79"/>
  <c r="CWF49" i="79"/>
  <c r="CWE49" i="79"/>
  <c r="CWD49" i="79"/>
  <c r="CWC49" i="79"/>
  <c r="CWB49" i="79"/>
  <c r="CWA49" i="79"/>
  <c r="CVZ49" i="79"/>
  <c r="CVY49" i="79"/>
  <c r="CVX49" i="79"/>
  <c r="CVW49" i="79"/>
  <c r="CVV49" i="79"/>
  <c r="CVU49" i="79"/>
  <c r="CVT49" i="79"/>
  <c r="CVS49" i="79"/>
  <c r="CVR49" i="79"/>
  <c r="CVQ49" i="79"/>
  <c r="CVP49" i="79"/>
  <c r="CVO49" i="79"/>
  <c r="CVN49" i="79"/>
  <c r="CVM49" i="79"/>
  <c r="CVL49" i="79"/>
  <c r="CVK49" i="79"/>
  <c r="CVJ49" i="79"/>
  <c r="CVI49" i="79"/>
  <c r="CVH49" i="79"/>
  <c r="CVG49" i="79"/>
  <c r="CVF49" i="79"/>
  <c r="CVE49" i="79"/>
  <c r="CVD49" i="79"/>
  <c r="CVC49" i="79"/>
  <c r="CVB49" i="79"/>
  <c r="CVA49" i="79"/>
  <c r="CUZ49" i="79"/>
  <c r="CUY49" i="79"/>
  <c r="CUX49" i="79"/>
  <c r="CUW49" i="79"/>
  <c r="CUV49" i="79"/>
  <c r="CUU49" i="79"/>
  <c r="CUT49" i="79"/>
  <c r="CUS49" i="79"/>
  <c r="CUR49" i="79"/>
  <c r="CUQ49" i="79"/>
  <c r="CUP49" i="79"/>
  <c r="CUO49" i="79"/>
  <c r="CUN49" i="79"/>
  <c r="CUM49" i="79"/>
  <c r="CUL49" i="79"/>
  <c r="CUK49" i="79"/>
  <c r="CUJ49" i="79"/>
  <c r="CUI49" i="79"/>
  <c r="CUH49" i="79"/>
  <c r="CUG49" i="79"/>
  <c r="CUF49" i="79"/>
  <c r="CUE49" i="79"/>
  <c r="CUD49" i="79"/>
  <c r="CUC49" i="79"/>
  <c r="CUB49" i="79"/>
  <c r="CUA49" i="79"/>
  <c r="CTZ49" i="79"/>
  <c r="CTY49" i="79"/>
  <c r="CTX49" i="79"/>
  <c r="CTW49" i="79"/>
  <c r="CTV49" i="79"/>
  <c r="CTU49" i="79"/>
  <c r="CTT49" i="79"/>
  <c r="CTS49" i="79"/>
  <c r="CTR49" i="79"/>
  <c r="CTQ49" i="79"/>
  <c r="CTP49" i="79"/>
  <c r="CTO49" i="79"/>
  <c r="CTN49" i="79"/>
  <c r="CTM49" i="79"/>
  <c r="CTL49" i="79"/>
  <c r="CTK49" i="79"/>
  <c r="CTJ49" i="79"/>
  <c r="CTI49" i="79"/>
  <c r="CTH49" i="79"/>
  <c r="CTG49" i="79"/>
  <c r="CTF49" i="79"/>
  <c r="CTE49" i="79"/>
  <c r="CTD49" i="79"/>
  <c r="CTC49" i="79"/>
  <c r="CTB49" i="79"/>
  <c r="CTA49" i="79"/>
  <c r="CSZ49" i="79"/>
  <c r="CSY49" i="79"/>
  <c r="CSX49" i="79"/>
  <c r="CSW49" i="79"/>
  <c r="CSV49" i="79"/>
  <c r="CSU49" i="79"/>
  <c r="CST49" i="79"/>
  <c r="CSS49" i="79"/>
  <c r="CSR49" i="79"/>
  <c r="CSQ49" i="79"/>
  <c r="CSP49" i="79"/>
  <c r="CSO49" i="79"/>
  <c r="CSN49" i="79"/>
  <c r="CSM49" i="79"/>
  <c r="CSL49" i="79"/>
  <c r="CSK49" i="79"/>
  <c r="CSJ49" i="79"/>
  <c r="CSI49" i="79"/>
  <c r="CSH49" i="79"/>
  <c r="CSG49" i="79"/>
  <c r="CSF49" i="79"/>
  <c r="CSE49" i="79"/>
  <c r="CSD49" i="79"/>
  <c r="CSC49" i="79"/>
  <c r="CSB49" i="79"/>
  <c r="CSA49" i="79"/>
  <c r="CRZ49" i="79"/>
  <c r="CRY49" i="79"/>
  <c r="CRX49" i="79"/>
  <c r="CRW49" i="79"/>
  <c r="CRV49" i="79"/>
  <c r="CRU49" i="79"/>
  <c r="CRT49" i="79"/>
  <c r="CRS49" i="79"/>
  <c r="CRR49" i="79"/>
  <c r="CRQ49" i="79"/>
  <c r="CRP49" i="79"/>
  <c r="CRO49" i="79"/>
  <c r="CRN49" i="79"/>
  <c r="CRM49" i="79"/>
  <c r="CRL49" i="79"/>
  <c r="CRK49" i="79"/>
  <c r="CRJ49" i="79"/>
  <c r="CRI49" i="79"/>
  <c r="CRH49" i="79"/>
  <c r="CRG49" i="79"/>
  <c r="CRF49" i="79"/>
  <c r="CRE49" i="79"/>
  <c r="CRD49" i="79"/>
  <c r="CRC49" i="79"/>
  <c r="CRB49" i="79"/>
  <c r="CRA49" i="79"/>
  <c r="CQZ49" i="79"/>
  <c r="CQY49" i="79"/>
  <c r="CQX49" i="79"/>
  <c r="CQW49" i="79"/>
  <c r="CQV49" i="79"/>
  <c r="CQU49" i="79"/>
  <c r="CQT49" i="79"/>
  <c r="CQS49" i="79"/>
  <c r="CQR49" i="79"/>
  <c r="CQQ49" i="79"/>
  <c r="CQP49" i="79"/>
  <c r="CQO49" i="79"/>
  <c r="CQN49" i="79"/>
  <c r="CQM49" i="79"/>
  <c r="CQL49" i="79"/>
  <c r="CQK49" i="79"/>
  <c r="CQJ49" i="79"/>
  <c r="CQI49" i="79"/>
  <c r="CQH49" i="79"/>
  <c r="CQG49" i="79"/>
  <c r="CQF49" i="79"/>
  <c r="CQE49" i="79"/>
  <c r="CQD49" i="79"/>
  <c r="CQC49" i="79"/>
  <c r="CQB49" i="79"/>
  <c r="CQA49" i="79"/>
  <c r="CPZ49" i="79"/>
  <c r="CPY49" i="79"/>
  <c r="CPX49" i="79"/>
  <c r="CPW49" i="79"/>
  <c r="CPV49" i="79"/>
  <c r="CPU49" i="79"/>
  <c r="CPT49" i="79"/>
  <c r="CPS49" i="79"/>
  <c r="CPR49" i="79"/>
  <c r="CPQ49" i="79"/>
  <c r="CPP49" i="79"/>
  <c r="CPO49" i="79"/>
  <c r="CPN49" i="79"/>
  <c r="CPM49" i="79"/>
  <c r="CPL49" i="79"/>
  <c r="CPK49" i="79"/>
  <c r="CPJ49" i="79"/>
  <c r="CPI49" i="79"/>
  <c r="CPH49" i="79"/>
  <c r="CPG49" i="79"/>
  <c r="CPF49" i="79"/>
  <c r="CPE49" i="79"/>
  <c r="CPD49" i="79"/>
  <c r="CPC49" i="79"/>
  <c r="CPB49" i="79"/>
  <c r="CPA49" i="79"/>
  <c r="COZ49" i="79"/>
  <c r="COY49" i="79"/>
  <c r="COX49" i="79"/>
  <c r="COW49" i="79"/>
  <c r="COV49" i="79"/>
  <c r="COU49" i="79"/>
  <c r="COT49" i="79"/>
  <c r="COS49" i="79"/>
  <c r="COR49" i="79"/>
  <c r="COQ49" i="79"/>
  <c r="COP49" i="79"/>
  <c r="COO49" i="79"/>
  <c r="CON49" i="79"/>
  <c r="COM49" i="79"/>
  <c r="COL49" i="79"/>
  <c r="COK49" i="79"/>
  <c r="COJ49" i="79"/>
  <c r="COI49" i="79"/>
  <c r="COH49" i="79"/>
  <c r="COG49" i="79"/>
  <c r="COF49" i="79"/>
  <c r="COE49" i="79"/>
  <c r="COD49" i="79"/>
  <c r="COC49" i="79"/>
  <c r="COB49" i="79"/>
  <c r="COA49" i="79"/>
  <c r="CNZ49" i="79"/>
  <c r="CNY49" i="79"/>
  <c r="CNX49" i="79"/>
  <c r="CNW49" i="79"/>
  <c r="CNV49" i="79"/>
  <c r="CNU49" i="79"/>
  <c r="CNT49" i="79"/>
  <c r="CNS49" i="79"/>
  <c r="CNR49" i="79"/>
  <c r="CNQ49" i="79"/>
  <c r="CNP49" i="79"/>
  <c r="CNO49" i="79"/>
  <c r="CNN49" i="79"/>
  <c r="CNM49" i="79"/>
  <c r="CNL49" i="79"/>
  <c r="CNK49" i="79"/>
  <c r="CNJ49" i="79"/>
  <c r="CNI49" i="79"/>
  <c r="CNH49" i="79"/>
  <c r="CNG49" i="79"/>
  <c r="CNF49" i="79"/>
  <c r="CNE49" i="79"/>
  <c r="CND49" i="79"/>
  <c r="CNC49" i="79"/>
  <c r="CNB49" i="79"/>
  <c r="CNA49" i="79"/>
  <c r="CMZ49" i="79"/>
  <c r="CMY49" i="79"/>
  <c r="CMX49" i="79"/>
  <c r="CMW49" i="79"/>
  <c r="CMV49" i="79"/>
  <c r="CMU49" i="79"/>
  <c r="CMT49" i="79"/>
  <c r="CMS49" i="79"/>
  <c r="CMR49" i="79"/>
  <c r="CMQ49" i="79"/>
  <c r="CMP49" i="79"/>
  <c r="CMO49" i="79"/>
  <c r="CMN49" i="79"/>
  <c r="CMM49" i="79"/>
  <c r="CML49" i="79"/>
  <c r="CMK49" i="79"/>
  <c r="CMJ49" i="79"/>
  <c r="CMI49" i="79"/>
  <c r="CMH49" i="79"/>
  <c r="CMG49" i="79"/>
  <c r="CMF49" i="79"/>
  <c r="CME49" i="79"/>
  <c r="CMD49" i="79"/>
  <c r="CMC49" i="79"/>
  <c r="CMB49" i="79"/>
  <c r="CMA49" i="79"/>
  <c r="CLZ49" i="79"/>
  <c r="CLY49" i="79"/>
  <c r="CLX49" i="79"/>
  <c r="CLW49" i="79"/>
  <c r="CLV49" i="79"/>
  <c r="CLU49" i="79"/>
  <c r="CLT49" i="79"/>
  <c r="CLS49" i="79"/>
  <c r="CLR49" i="79"/>
  <c r="CLQ49" i="79"/>
  <c r="CLP49" i="79"/>
  <c r="CLO49" i="79"/>
  <c r="CLN49" i="79"/>
  <c r="CLM49" i="79"/>
  <c r="CLL49" i="79"/>
  <c r="CLK49" i="79"/>
  <c r="CLJ49" i="79"/>
  <c r="CLI49" i="79"/>
  <c r="CLH49" i="79"/>
  <c r="CLG49" i="79"/>
  <c r="CLF49" i="79"/>
  <c r="CLE49" i="79"/>
  <c r="CLD49" i="79"/>
  <c r="CLC49" i="79"/>
  <c r="CLB49" i="79"/>
  <c r="CLA49" i="79"/>
  <c r="CKZ49" i="79"/>
  <c r="CKY49" i="79"/>
  <c r="CKX49" i="79"/>
  <c r="CKW49" i="79"/>
  <c r="CKV49" i="79"/>
  <c r="CKU49" i="79"/>
  <c r="CKT49" i="79"/>
  <c r="CKS49" i="79"/>
  <c r="CKR49" i="79"/>
  <c r="CKQ49" i="79"/>
  <c r="CKP49" i="79"/>
  <c r="CKO49" i="79"/>
  <c r="CKN49" i="79"/>
  <c r="CKM49" i="79"/>
  <c r="CKL49" i="79"/>
  <c r="CKK49" i="79"/>
  <c r="CKJ49" i="79"/>
  <c r="CKI49" i="79"/>
  <c r="CKH49" i="79"/>
  <c r="CKG49" i="79"/>
  <c r="CKF49" i="79"/>
  <c r="CKE49" i="79"/>
  <c r="CKD49" i="79"/>
  <c r="CKC49" i="79"/>
  <c r="CKB49" i="79"/>
  <c r="CKA49" i="79"/>
  <c r="CJZ49" i="79"/>
  <c r="CJY49" i="79"/>
  <c r="CJX49" i="79"/>
  <c r="CJW49" i="79"/>
  <c r="CJV49" i="79"/>
  <c r="CJU49" i="79"/>
  <c r="CJT49" i="79"/>
  <c r="CJS49" i="79"/>
  <c r="CJR49" i="79"/>
  <c r="CJQ49" i="79"/>
  <c r="CJP49" i="79"/>
  <c r="CJO49" i="79"/>
  <c r="CJN49" i="79"/>
  <c r="CJM49" i="79"/>
  <c r="CJL49" i="79"/>
  <c r="CJK49" i="79"/>
  <c r="CJJ49" i="79"/>
  <c r="CJI49" i="79"/>
  <c r="CJH49" i="79"/>
  <c r="CJG49" i="79"/>
  <c r="CJF49" i="79"/>
  <c r="CJE49" i="79"/>
  <c r="CJD49" i="79"/>
  <c r="CJC49" i="79"/>
  <c r="CJB49" i="79"/>
  <c r="CJA49" i="79"/>
  <c r="CIZ49" i="79"/>
  <c r="CIY49" i="79"/>
  <c r="CIX49" i="79"/>
  <c r="CIW49" i="79"/>
  <c r="CIV49" i="79"/>
  <c r="CIU49" i="79"/>
  <c r="CIT49" i="79"/>
  <c r="CIS49" i="79"/>
  <c r="CIR49" i="79"/>
  <c r="CIQ49" i="79"/>
  <c r="CIP49" i="79"/>
  <c r="CIO49" i="79"/>
  <c r="CIN49" i="79"/>
  <c r="CIM49" i="79"/>
  <c r="CIL49" i="79"/>
  <c r="CIK49" i="79"/>
  <c r="CIJ49" i="79"/>
  <c r="CII49" i="79"/>
  <c r="CIH49" i="79"/>
  <c r="CIG49" i="79"/>
  <c r="CIF49" i="79"/>
  <c r="CIE49" i="79"/>
  <c r="CID49" i="79"/>
  <c r="CIC49" i="79"/>
  <c r="CIB49" i="79"/>
  <c r="CIA49" i="79"/>
  <c r="CHZ49" i="79"/>
  <c r="CHY49" i="79"/>
  <c r="CHX49" i="79"/>
  <c r="CHW49" i="79"/>
  <c r="CHV49" i="79"/>
  <c r="CHU49" i="79"/>
  <c r="CHT49" i="79"/>
  <c r="CHS49" i="79"/>
  <c r="CHR49" i="79"/>
  <c r="CHQ49" i="79"/>
  <c r="CHP49" i="79"/>
  <c r="CHO49" i="79"/>
  <c r="CHN49" i="79"/>
  <c r="CHM49" i="79"/>
  <c r="CHL49" i="79"/>
  <c r="CHK49" i="79"/>
  <c r="CHJ49" i="79"/>
  <c r="CHI49" i="79"/>
  <c r="CHH49" i="79"/>
  <c r="CHG49" i="79"/>
  <c r="CHF49" i="79"/>
  <c r="CHE49" i="79"/>
  <c r="CHD49" i="79"/>
  <c r="CHC49" i="79"/>
  <c r="CHB49" i="79"/>
  <c r="CHA49" i="79"/>
  <c r="CGZ49" i="79"/>
  <c r="CGY49" i="79"/>
  <c r="CGX49" i="79"/>
  <c r="CGW49" i="79"/>
  <c r="CGV49" i="79"/>
  <c r="CGU49" i="79"/>
  <c r="CGT49" i="79"/>
  <c r="CGS49" i="79"/>
  <c r="CGR49" i="79"/>
  <c r="CGQ49" i="79"/>
  <c r="CGP49" i="79"/>
  <c r="CGO49" i="79"/>
  <c r="CGN49" i="79"/>
  <c r="CGM49" i="79"/>
  <c r="CGL49" i="79"/>
  <c r="CGK49" i="79"/>
  <c r="CGJ49" i="79"/>
  <c r="CGI49" i="79"/>
  <c r="CGH49" i="79"/>
  <c r="CGG49" i="79"/>
  <c r="CGF49" i="79"/>
  <c r="CGE49" i="79"/>
  <c r="CGD49" i="79"/>
  <c r="CGC49" i="79"/>
  <c r="CGB49" i="79"/>
  <c r="CGA49" i="79"/>
  <c r="CFZ49" i="79"/>
  <c r="CFY49" i="79"/>
  <c r="CFX49" i="79"/>
  <c r="CFW49" i="79"/>
  <c r="CFV49" i="79"/>
  <c r="CFU49" i="79"/>
  <c r="CFT49" i="79"/>
  <c r="CFS49" i="79"/>
  <c r="CFR49" i="79"/>
  <c r="CFQ49" i="79"/>
  <c r="CFP49" i="79"/>
  <c r="CFO49" i="79"/>
  <c r="CFN49" i="79"/>
  <c r="CFM49" i="79"/>
  <c r="CFL49" i="79"/>
  <c r="CFK49" i="79"/>
  <c r="CFJ49" i="79"/>
  <c r="CFI49" i="79"/>
  <c r="CFH49" i="79"/>
  <c r="CFG49" i="79"/>
  <c r="CFF49" i="79"/>
  <c r="CFE49" i="79"/>
  <c r="CFD49" i="79"/>
  <c r="CFC49" i="79"/>
  <c r="CFB49" i="79"/>
  <c r="CFA49" i="79"/>
  <c r="CEZ49" i="79"/>
  <c r="CEY49" i="79"/>
  <c r="CEX49" i="79"/>
  <c r="CEW49" i="79"/>
  <c r="CEV49" i="79"/>
  <c r="CEU49" i="79"/>
  <c r="CET49" i="79"/>
  <c r="CES49" i="79"/>
  <c r="CER49" i="79"/>
  <c r="CEQ49" i="79"/>
  <c r="CEP49" i="79"/>
  <c r="CEO49" i="79"/>
  <c r="CEN49" i="79"/>
  <c r="CEM49" i="79"/>
  <c r="CEL49" i="79"/>
  <c r="CEK49" i="79"/>
  <c r="CEJ49" i="79"/>
  <c r="CEI49" i="79"/>
  <c r="CEH49" i="79"/>
  <c r="CEG49" i="79"/>
  <c r="CEF49" i="79"/>
  <c r="CEE49" i="79"/>
  <c r="CED49" i="79"/>
  <c r="CEC49" i="79"/>
  <c r="CEB49" i="79"/>
  <c r="CEA49" i="79"/>
  <c r="CDZ49" i="79"/>
  <c r="CDY49" i="79"/>
  <c r="CDX49" i="79"/>
  <c r="CDW49" i="79"/>
  <c r="CDV49" i="79"/>
  <c r="CDU49" i="79"/>
  <c r="CDT49" i="79"/>
  <c r="CDS49" i="79"/>
  <c r="CDR49" i="79"/>
  <c r="CDQ49" i="79"/>
  <c r="CDP49" i="79"/>
  <c r="CDO49" i="79"/>
  <c r="CDN49" i="79"/>
  <c r="CDM49" i="79"/>
  <c r="CDL49" i="79"/>
  <c r="CDK49" i="79"/>
  <c r="CDJ49" i="79"/>
  <c r="CDI49" i="79"/>
  <c r="CDH49" i="79"/>
  <c r="CDG49" i="79"/>
  <c r="CDF49" i="79"/>
  <c r="CDE49" i="79"/>
  <c r="CDD49" i="79"/>
  <c r="CDC49" i="79"/>
  <c r="CDB49" i="79"/>
  <c r="CDA49" i="79"/>
  <c r="CCZ49" i="79"/>
  <c r="CCY49" i="79"/>
  <c r="CCX49" i="79"/>
  <c r="CCW49" i="79"/>
  <c r="CCV49" i="79"/>
  <c r="CCU49" i="79"/>
  <c r="CCT49" i="79"/>
  <c r="CCS49" i="79"/>
  <c r="CCR49" i="79"/>
  <c r="CCQ49" i="79"/>
  <c r="CCP49" i="79"/>
  <c r="CCO49" i="79"/>
  <c r="CCN49" i="79"/>
  <c r="CCM49" i="79"/>
  <c r="CCL49" i="79"/>
  <c r="CCK49" i="79"/>
  <c r="CCJ49" i="79"/>
  <c r="CCI49" i="79"/>
  <c r="CCH49" i="79"/>
  <c r="CCG49" i="79"/>
  <c r="CCF49" i="79"/>
  <c r="CCE49" i="79"/>
  <c r="CCD49" i="79"/>
  <c r="CCC49" i="79"/>
  <c r="CCB49" i="79"/>
  <c r="CCA49" i="79"/>
  <c r="CBZ49" i="79"/>
  <c r="CBY49" i="79"/>
  <c r="CBX49" i="79"/>
  <c r="CBW49" i="79"/>
  <c r="CBV49" i="79"/>
  <c r="CBU49" i="79"/>
  <c r="CBT49" i="79"/>
  <c r="CBS49" i="79"/>
  <c r="CBR49" i="79"/>
  <c r="CBQ49" i="79"/>
  <c r="CBP49" i="79"/>
  <c r="CBO49" i="79"/>
  <c r="CBN49" i="79"/>
  <c r="CBM49" i="79"/>
  <c r="CBL49" i="79"/>
  <c r="CBK49" i="79"/>
  <c r="CBJ49" i="79"/>
  <c r="CBI49" i="79"/>
  <c r="CBH49" i="79"/>
  <c r="CBG49" i="79"/>
  <c r="CBF49" i="79"/>
  <c r="CBE49" i="79"/>
  <c r="CBD49" i="79"/>
  <c r="CBC49" i="79"/>
  <c r="CBB49" i="79"/>
  <c r="CBA49" i="79"/>
  <c r="CAZ49" i="79"/>
  <c r="CAY49" i="79"/>
  <c r="CAX49" i="79"/>
  <c r="CAW49" i="79"/>
  <c r="CAV49" i="79"/>
  <c r="CAU49" i="79"/>
  <c r="CAT49" i="79"/>
  <c r="CAS49" i="79"/>
  <c r="CAR49" i="79"/>
  <c r="CAQ49" i="79"/>
  <c r="CAP49" i="79"/>
  <c r="CAO49" i="79"/>
  <c r="CAN49" i="79"/>
  <c r="CAM49" i="79"/>
  <c r="CAL49" i="79"/>
  <c r="CAK49" i="79"/>
  <c r="CAJ49" i="79"/>
  <c r="CAI49" i="79"/>
  <c r="CAH49" i="79"/>
  <c r="CAG49" i="79"/>
  <c r="CAF49" i="79"/>
  <c r="CAE49" i="79"/>
  <c r="CAD49" i="79"/>
  <c r="CAC49" i="79"/>
  <c r="CAB49" i="79"/>
  <c r="CAA49" i="79"/>
  <c r="BZZ49" i="79"/>
  <c r="BZY49" i="79"/>
  <c r="BZX49" i="79"/>
  <c r="BZW49" i="79"/>
  <c r="BZV49" i="79"/>
  <c r="BZU49" i="79"/>
  <c r="BZT49" i="79"/>
  <c r="BZS49" i="79"/>
  <c r="BZR49" i="79"/>
  <c r="BZQ49" i="79"/>
  <c r="BZP49" i="79"/>
  <c r="BZO49" i="79"/>
  <c r="BZN49" i="79"/>
  <c r="BZM49" i="79"/>
  <c r="BZL49" i="79"/>
  <c r="BZK49" i="79"/>
  <c r="BZJ49" i="79"/>
  <c r="BZI49" i="79"/>
  <c r="BZH49" i="79"/>
  <c r="BZG49" i="79"/>
  <c r="BZF49" i="79"/>
  <c r="BZE49" i="79"/>
  <c r="BZD49" i="79"/>
  <c r="BZC49" i="79"/>
  <c r="BZB49" i="79"/>
  <c r="BZA49" i="79"/>
  <c r="BYZ49" i="79"/>
  <c r="BYY49" i="79"/>
  <c r="BYX49" i="79"/>
  <c r="BYW49" i="79"/>
  <c r="BYV49" i="79"/>
  <c r="BYU49" i="79"/>
  <c r="BYT49" i="79"/>
  <c r="BYS49" i="79"/>
  <c r="BYR49" i="79"/>
  <c r="BYQ49" i="79"/>
  <c r="BYP49" i="79"/>
  <c r="BYO49" i="79"/>
  <c r="BYN49" i="79"/>
  <c r="BYM49" i="79"/>
  <c r="BYL49" i="79"/>
  <c r="BYK49" i="79"/>
  <c r="BYJ49" i="79"/>
  <c r="BYI49" i="79"/>
  <c r="BYH49" i="79"/>
  <c r="BYG49" i="79"/>
  <c r="BYF49" i="79"/>
  <c r="BYE49" i="79"/>
  <c r="BYD49" i="79"/>
  <c r="BYC49" i="79"/>
  <c r="BYB49" i="79"/>
  <c r="BYA49" i="79"/>
  <c r="BXZ49" i="79"/>
  <c r="BXY49" i="79"/>
  <c r="BXX49" i="79"/>
  <c r="BXW49" i="79"/>
  <c r="BXV49" i="79"/>
  <c r="BXU49" i="79"/>
  <c r="BXT49" i="79"/>
  <c r="BXS49" i="79"/>
  <c r="BXR49" i="79"/>
  <c r="BXQ49" i="79"/>
  <c r="BXP49" i="79"/>
  <c r="BXO49" i="79"/>
  <c r="BXN49" i="79"/>
  <c r="BXM49" i="79"/>
  <c r="BXL49" i="79"/>
  <c r="BXK49" i="79"/>
  <c r="BXJ49" i="79"/>
  <c r="BXI49" i="79"/>
  <c r="BXH49" i="79"/>
  <c r="BXG49" i="79"/>
  <c r="BXF49" i="79"/>
  <c r="BXE49" i="79"/>
  <c r="BXD49" i="79"/>
  <c r="BXC49" i="79"/>
  <c r="BXB49" i="79"/>
  <c r="BXA49" i="79"/>
  <c r="BWZ49" i="79"/>
  <c r="BWY49" i="79"/>
  <c r="BWX49" i="79"/>
  <c r="BWW49" i="79"/>
  <c r="BWV49" i="79"/>
  <c r="BWU49" i="79"/>
  <c r="BWT49" i="79"/>
  <c r="BWS49" i="79"/>
  <c r="BWR49" i="79"/>
  <c r="BWQ49" i="79"/>
  <c r="BWP49" i="79"/>
  <c r="BWO49" i="79"/>
  <c r="BWN49" i="79"/>
  <c r="BWM49" i="79"/>
  <c r="BWL49" i="79"/>
  <c r="BWK49" i="79"/>
  <c r="BWJ49" i="79"/>
  <c r="BWI49" i="79"/>
  <c r="BWH49" i="79"/>
  <c r="BWG49" i="79"/>
  <c r="BWF49" i="79"/>
  <c r="BWE49" i="79"/>
  <c r="BWD49" i="79"/>
  <c r="BWC49" i="79"/>
  <c r="BWB49" i="79"/>
  <c r="BWA49" i="79"/>
  <c r="BVZ49" i="79"/>
  <c r="BVY49" i="79"/>
  <c r="BVX49" i="79"/>
  <c r="BVW49" i="79"/>
  <c r="BVV49" i="79"/>
  <c r="BVU49" i="79"/>
  <c r="BVT49" i="79"/>
  <c r="BVS49" i="79"/>
  <c r="BVR49" i="79"/>
  <c r="BVQ49" i="79"/>
  <c r="BVP49" i="79"/>
  <c r="BVO49" i="79"/>
  <c r="BVN49" i="79"/>
  <c r="BVM49" i="79"/>
  <c r="BVL49" i="79"/>
  <c r="BVK49" i="79"/>
  <c r="BVJ49" i="79"/>
  <c r="BVI49" i="79"/>
  <c r="BVH49" i="79"/>
  <c r="BVG49" i="79"/>
  <c r="BVF49" i="79"/>
  <c r="BVE49" i="79"/>
  <c r="BVD49" i="79"/>
  <c r="BVC49" i="79"/>
  <c r="BVB49" i="79"/>
  <c r="BVA49" i="79"/>
  <c r="BUZ49" i="79"/>
  <c r="BUY49" i="79"/>
  <c r="BUX49" i="79"/>
  <c r="BUW49" i="79"/>
  <c r="BUV49" i="79"/>
  <c r="BUU49" i="79"/>
  <c r="BUT49" i="79"/>
  <c r="BUS49" i="79"/>
  <c r="BUR49" i="79"/>
  <c r="BUQ49" i="79"/>
  <c r="BUP49" i="79"/>
  <c r="BUO49" i="79"/>
  <c r="BUN49" i="79"/>
  <c r="BUM49" i="79"/>
  <c r="BUL49" i="79"/>
  <c r="BUK49" i="79"/>
  <c r="BUJ49" i="79"/>
  <c r="BUI49" i="79"/>
  <c r="BUH49" i="79"/>
  <c r="BUG49" i="79"/>
  <c r="BUF49" i="79"/>
  <c r="BUE49" i="79"/>
  <c r="BUD49" i="79"/>
  <c r="BUC49" i="79"/>
  <c r="BUB49" i="79"/>
  <c r="BUA49" i="79"/>
  <c r="BTZ49" i="79"/>
  <c r="BTY49" i="79"/>
  <c r="BTX49" i="79"/>
  <c r="BTW49" i="79"/>
  <c r="BTV49" i="79"/>
  <c r="BTU49" i="79"/>
  <c r="BTT49" i="79"/>
  <c r="BTS49" i="79"/>
  <c r="BTR49" i="79"/>
  <c r="BTQ49" i="79"/>
  <c r="BTP49" i="79"/>
  <c r="BTO49" i="79"/>
  <c r="BTN49" i="79"/>
  <c r="BTM49" i="79"/>
  <c r="BTL49" i="79"/>
  <c r="BTK49" i="79"/>
  <c r="BTJ49" i="79"/>
  <c r="BTI49" i="79"/>
  <c r="BTH49" i="79"/>
  <c r="BTG49" i="79"/>
  <c r="BTF49" i="79"/>
  <c r="BTE49" i="79"/>
  <c r="BTD49" i="79"/>
  <c r="BTC49" i="79"/>
  <c r="BTB49" i="79"/>
  <c r="BTA49" i="79"/>
  <c r="BSZ49" i="79"/>
  <c r="BSY49" i="79"/>
  <c r="BSX49" i="79"/>
  <c r="BSW49" i="79"/>
  <c r="BSV49" i="79"/>
  <c r="BSU49" i="79"/>
  <c r="BST49" i="79"/>
  <c r="BSS49" i="79"/>
  <c r="BSR49" i="79"/>
  <c r="BSQ49" i="79"/>
  <c r="BSP49" i="79"/>
  <c r="BSO49" i="79"/>
  <c r="BSN49" i="79"/>
  <c r="BSM49" i="79"/>
  <c r="BSL49" i="79"/>
  <c r="BSK49" i="79"/>
  <c r="BSJ49" i="79"/>
  <c r="BSI49" i="79"/>
  <c r="BSH49" i="79"/>
  <c r="BSG49" i="79"/>
  <c r="BSF49" i="79"/>
  <c r="BSE49" i="79"/>
  <c r="BSD49" i="79"/>
  <c r="BSC49" i="79"/>
  <c r="BSB49" i="79"/>
  <c r="BSA49" i="79"/>
  <c r="BRZ49" i="79"/>
  <c r="BRY49" i="79"/>
  <c r="BRX49" i="79"/>
  <c r="BRW49" i="79"/>
  <c r="BRV49" i="79"/>
  <c r="BRU49" i="79"/>
  <c r="BRT49" i="79"/>
  <c r="BRS49" i="79"/>
  <c r="BRR49" i="79"/>
  <c r="BRQ49" i="79"/>
  <c r="BRP49" i="79"/>
  <c r="BRO49" i="79"/>
  <c r="BRN49" i="79"/>
  <c r="BRM49" i="79"/>
  <c r="BRL49" i="79"/>
  <c r="BRK49" i="79"/>
  <c r="BRJ49" i="79"/>
  <c r="BRI49" i="79"/>
  <c r="BRH49" i="79"/>
  <c r="BRG49" i="79"/>
  <c r="BRF49" i="79"/>
  <c r="BRE49" i="79"/>
  <c r="BRD49" i="79"/>
  <c r="BRC49" i="79"/>
  <c r="BRB49" i="79"/>
  <c r="BRA49" i="79"/>
  <c r="BQZ49" i="79"/>
  <c r="BQY49" i="79"/>
  <c r="BQX49" i="79"/>
  <c r="BQW49" i="79"/>
  <c r="BQV49" i="79"/>
  <c r="BQU49" i="79"/>
  <c r="BQT49" i="79"/>
  <c r="BQS49" i="79"/>
  <c r="BQR49" i="79"/>
  <c r="BQQ49" i="79"/>
  <c r="BQP49" i="79"/>
  <c r="BQO49" i="79"/>
  <c r="BQN49" i="79"/>
  <c r="BQM49" i="79"/>
  <c r="BQL49" i="79"/>
  <c r="BQK49" i="79"/>
  <c r="BQJ49" i="79"/>
  <c r="BQI49" i="79"/>
  <c r="BQH49" i="79"/>
  <c r="BQG49" i="79"/>
  <c r="BQF49" i="79"/>
  <c r="BQE49" i="79"/>
  <c r="BQD49" i="79"/>
  <c r="BQC49" i="79"/>
  <c r="BQB49" i="79"/>
  <c r="BQA49" i="79"/>
  <c r="BPZ49" i="79"/>
  <c r="BPY49" i="79"/>
  <c r="BPX49" i="79"/>
  <c r="BPW49" i="79"/>
  <c r="BPV49" i="79"/>
  <c r="BPU49" i="79"/>
  <c r="BPT49" i="79"/>
  <c r="BPS49" i="79"/>
  <c r="BPR49" i="79"/>
  <c r="BPQ49" i="79"/>
  <c r="BPP49" i="79"/>
  <c r="BPO49" i="79"/>
  <c r="BPN49" i="79"/>
  <c r="BPM49" i="79"/>
  <c r="BPL49" i="79"/>
  <c r="BPK49" i="79"/>
  <c r="BPJ49" i="79"/>
  <c r="BPI49" i="79"/>
  <c r="BPH49" i="79"/>
  <c r="BPG49" i="79"/>
  <c r="BPF49" i="79"/>
  <c r="BPE49" i="79"/>
  <c r="BPD49" i="79"/>
  <c r="BPC49" i="79"/>
  <c r="BPB49" i="79"/>
  <c r="BPA49" i="79"/>
  <c r="BOZ49" i="79"/>
  <c r="BOY49" i="79"/>
  <c r="BOX49" i="79"/>
  <c r="BOW49" i="79"/>
  <c r="BOV49" i="79"/>
  <c r="BOU49" i="79"/>
  <c r="BOT49" i="79"/>
  <c r="BOS49" i="79"/>
  <c r="BOR49" i="79"/>
  <c r="BOQ49" i="79"/>
  <c r="BOP49" i="79"/>
  <c r="BOO49" i="79"/>
  <c r="BON49" i="79"/>
  <c r="BOM49" i="79"/>
  <c r="BOL49" i="79"/>
  <c r="BOK49" i="79"/>
  <c r="BOJ49" i="79"/>
  <c r="BOI49" i="79"/>
  <c r="BOH49" i="79"/>
  <c r="BOG49" i="79"/>
  <c r="BOF49" i="79"/>
  <c r="BOE49" i="79"/>
  <c r="BOD49" i="79"/>
  <c r="BOC49" i="79"/>
  <c r="BOB49" i="79"/>
  <c r="BOA49" i="79"/>
  <c r="BNZ49" i="79"/>
  <c r="BNY49" i="79"/>
  <c r="BNX49" i="79"/>
  <c r="BNW49" i="79"/>
  <c r="BNV49" i="79"/>
  <c r="BNU49" i="79"/>
  <c r="BNT49" i="79"/>
  <c r="BNS49" i="79"/>
  <c r="BNR49" i="79"/>
  <c r="BNQ49" i="79"/>
  <c r="BNP49" i="79"/>
  <c r="BNO49" i="79"/>
  <c r="BNN49" i="79"/>
  <c r="BNM49" i="79"/>
  <c r="BNL49" i="79"/>
  <c r="BNK49" i="79"/>
  <c r="BNJ49" i="79"/>
  <c r="BNI49" i="79"/>
  <c r="BNH49" i="79"/>
  <c r="BNG49" i="79"/>
  <c r="BNF49" i="79"/>
  <c r="BNE49" i="79"/>
  <c r="BND49" i="79"/>
  <c r="BNC49" i="79"/>
  <c r="BNB49" i="79"/>
  <c r="BNA49" i="79"/>
  <c r="BMZ49" i="79"/>
  <c r="BMY49" i="79"/>
  <c r="BMX49" i="79"/>
  <c r="BMW49" i="79"/>
  <c r="BMV49" i="79"/>
  <c r="BMU49" i="79"/>
  <c r="BMT49" i="79"/>
  <c r="BMS49" i="79"/>
  <c r="BMR49" i="79"/>
  <c r="BMQ49" i="79"/>
  <c r="BMP49" i="79"/>
  <c r="BMO49" i="79"/>
  <c r="BMN49" i="79"/>
  <c r="BMM49" i="79"/>
  <c r="BML49" i="79"/>
  <c r="BMK49" i="79"/>
  <c r="BMJ49" i="79"/>
  <c r="BMI49" i="79"/>
  <c r="BMH49" i="79"/>
  <c r="BMG49" i="79"/>
  <c r="BMF49" i="79"/>
  <c r="BME49" i="79"/>
  <c r="BMD49" i="79"/>
  <c r="BMC49" i="79"/>
  <c r="BMB49" i="79"/>
  <c r="BMA49" i="79"/>
  <c r="BLZ49" i="79"/>
  <c r="BLY49" i="79"/>
  <c r="BLX49" i="79"/>
  <c r="BLW49" i="79"/>
  <c r="BLV49" i="79"/>
  <c r="BLU49" i="79"/>
  <c r="BLT49" i="79"/>
  <c r="BLS49" i="79"/>
  <c r="BLR49" i="79"/>
  <c r="BLQ49" i="79"/>
  <c r="BLP49" i="79"/>
  <c r="BLO49" i="79"/>
  <c r="BLN49" i="79"/>
  <c r="BLM49" i="79"/>
  <c r="BLL49" i="79"/>
  <c r="BLK49" i="79"/>
  <c r="BLJ49" i="79"/>
  <c r="BLI49" i="79"/>
  <c r="BLH49" i="79"/>
  <c r="BLG49" i="79"/>
  <c r="BLF49" i="79"/>
  <c r="BLE49" i="79"/>
  <c r="BLD49" i="79"/>
  <c r="BLC49" i="79"/>
  <c r="BLB49" i="79"/>
  <c r="BLA49" i="79"/>
  <c r="BKZ49" i="79"/>
  <c r="BKY49" i="79"/>
  <c r="BKX49" i="79"/>
  <c r="BKW49" i="79"/>
  <c r="BKV49" i="79"/>
  <c r="BKU49" i="79"/>
  <c r="BKT49" i="79"/>
  <c r="BKS49" i="79"/>
  <c r="BKR49" i="79"/>
  <c r="BKQ49" i="79"/>
  <c r="BKP49" i="79"/>
  <c r="BKO49" i="79"/>
  <c r="BKN49" i="79"/>
  <c r="BKM49" i="79"/>
  <c r="BKL49" i="79"/>
  <c r="BKK49" i="79"/>
  <c r="BKJ49" i="79"/>
  <c r="BKI49" i="79"/>
  <c r="BKH49" i="79"/>
  <c r="BKG49" i="79"/>
  <c r="BKF49" i="79"/>
  <c r="BKE49" i="79"/>
  <c r="BKD49" i="79"/>
  <c r="BKC49" i="79"/>
  <c r="BKB49" i="79"/>
  <c r="BKA49" i="79"/>
  <c r="BJZ49" i="79"/>
  <c r="BJY49" i="79"/>
  <c r="BJX49" i="79"/>
  <c r="BJW49" i="79"/>
  <c r="BJV49" i="79"/>
  <c r="BJU49" i="79"/>
  <c r="BJT49" i="79"/>
  <c r="BJS49" i="79"/>
  <c r="BJR49" i="79"/>
  <c r="BJQ49" i="79"/>
  <c r="BJP49" i="79"/>
  <c r="BJO49" i="79"/>
  <c r="BJN49" i="79"/>
  <c r="BJM49" i="79"/>
  <c r="BJL49" i="79"/>
  <c r="BJK49" i="79"/>
  <c r="BJJ49" i="79"/>
  <c r="BJI49" i="79"/>
  <c r="BJH49" i="79"/>
  <c r="BJG49" i="79"/>
  <c r="BJF49" i="79"/>
  <c r="BJE49" i="79"/>
  <c r="BJD49" i="79"/>
  <c r="BJC49" i="79"/>
  <c r="BJB49" i="79"/>
  <c r="BJA49" i="79"/>
  <c r="BIZ49" i="79"/>
  <c r="BIY49" i="79"/>
  <c r="BIX49" i="79"/>
  <c r="BIW49" i="79"/>
  <c r="BIV49" i="79"/>
  <c r="BIU49" i="79"/>
  <c r="BIT49" i="79"/>
  <c r="BIS49" i="79"/>
  <c r="BIR49" i="79"/>
  <c r="BIQ49" i="79"/>
  <c r="BIP49" i="79"/>
  <c r="BIO49" i="79"/>
  <c r="BIN49" i="79"/>
  <c r="BIM49" i="79"/>
  <c r="BIL49" i="79"/>
  <c r="BIK49" i="79"/>
  <c r="BIJ49" i="79"/>
  <c r="BII49" i="79"/>
  <c r="BIH49" i="79"/>
  <c r="BIG49" i="79"/>
  <c r="BIF49" i="79"/>
  <c r="BIE49" i="79"/>
  <c r="BID49" i="79"/>
  <c r="BIC49" i="79"/>
  <c r="BIB49" i="79"/>
  <c r="BIA49" i="79"/>
  <c r="BHZ49" i="79"/>
  <c r="BHY49" i="79"/>
  <c r="BHX49" i="79"/>
  <c r="BHW49" i="79"/>
  <c r="BHV49" i="79"/>
  <c r="BHU49" i="79"/>
  <c r="BHT49" i="79"/>
  <c r="BHS49" i="79"/>
  <c r="BHR49" i="79"/>
  <c r="BHQ49" i="79"/>
  <c r="BHP49" i="79"/>
  <c r="BHO49" i="79"/>
  <c r="BHN49" i="79"/>
  <c r="BHM49" i="79"/>
  <c r="BHL49" i="79"/>
  <c r="BHK49" i="79"/>
  <c r="BHJ49" i="79"/>
  <c r="BHI49" i="79"/>
  <c r="BHH49" i="79"/>
  <c r="BHG49" i="79"/>
  <c r="BHF49" i="79"/>
  <c r="BHE49" i="79"/>
  <c r="BHD49" i="79"/>
  <c r="BHC49" i="79"/>
  <c r="BHB49" i="79"/>
  <c r="BHA49" i="79"/>
  <c r="BGZ49" i="79"/>
  <c r="BGY49" i="79"/>
  <c r="BGX49" i="79"/>
  <c r="BGW49" i="79"/>
  <c r="BGV49" i="79"/>
  <c r="BGU49" i="79"/>
  <c r="BGT49" i="79"/>
  <c r="BGS49" i="79"/>
  <c r="BGR49" i="79"/>
  <c r="BGQ49" i="79"/>
  <c r="BGP49" i="79"/>
  <c r="BGO49" i="79"/>
  <c r="BGN49" i="79"/>
  <c r="BGM49" i="79"/>
  <c r="BGL49" i="79"/>
  <c r="BGK49" i="79"/>
  <c r="BGJ49" i="79"/>
  <c r="BGI49" i="79"/>
  <c r="BGH49" i="79"/>
  <c r="BGG49" i="79"/>
  <c r="BGF49" i="79"/>
  <c r="BGE49" i="79"/>
  <c r="BGD49" i="79"/>
  <c r="BGC49" i="79"/>
  <c r="BGB49" i="79"/>
  <c r="BGA49" i="79"/>
  <c r="BFZ49" i="79"/>
  <c r="BFY49" i="79"/>
  <c r="BFX49" i="79"/>
  <c r="BFW49" i="79"/>
  <c r="BFV49" i="79"/>
  <c r="BFU49" i="79"/>
  <c r="BFT49" i="79"/>
  <c r="BFS49" i="79"/>
  <c r="BFR49" i="79"/>
  <c r="BFQ49" i="79"/>
  <c r="BFP49" i="79"/>
  <c r="BFO49" i="79"/>
  <c r="BFN49" i="79"/>
  <c r="BFM49" i="79"/>
  <c r="BFL49" i="79"/>
  <c r="BFK49" i="79"/>
  <c r="BFJ49" i="79"/>
  <c r="BFI49" i="79"/>
  <c r="BFH49" i="79"/>
  <c r="BFG49" i="79"/>
  <c r="BFF49" i="79"/>
  <c r="BFE49" i="79"/>
  <c r="BFD49" i="79"/>
  <c r="BFC49" i="79"/>
  <c r="BFB49" i="79"/>
  <c r="BFA49" i="79"/>
  <c r="BEZ49" i="79"/>
  <c r="BEY49" i="79"/>
  <c r="BEX49" i="79"/>
  <c r="BEW49" i="79"/>
  <c r="BEV49" i="79"/>
  <c r="BEU49" i="79"/>
  <c r="BET49" i="79"/>
  <c r="BES49" i="79"/>
  <c r="BER49" i="79"/>
  <c r="BEQ49" i="79"/>
  <c r="BEP49" i="79"/>
  <c r="BEO49" i="79"/>
  <c r="BEN49" i="79"/>
  <c r="BEM49" i="79"/>
  <c r="BEL49" i="79"/>
  <c r="BEK49" i="79"/>
  <c r="BEJ49" i="79"/>
  <c r="BEI49" i="79"/>
  <c r="BEH49" i="79"/>
  <c r="BEG49" i="79"/>
  <c r="BEF49" i="79"/>
  <c r="BEE49" i="79"/>
  <c r="BED49" i="79"/>
  <c r="BEC49" i="79"/>
  <c r="BEB49" i="79"/>
  <c r="BEA49" i="79"/>
  <c r="BDZ49" i="79"/>
  <c r="BDY49" i="79"/>
  <c r="BDX49" i="79"/>
  <c r="BDW49" i="79"/>
  <c r="BDV49" i="79"/>
  <c r="BDU49" i="79"/>
  <c r="BDT49" i="79"/>
  <c r="BDS49" i="79"/>
  <c r="BDR49" i="79"/>
  <c r="BDQ49" i="79"/>
  <c r="BDP49" i="79"/>
  <c r="BDO49" i="79"/>
  <c r="BDN49" i="79"/>
  <c r="BDM49" i="79"/>
  <c r="BDL49" i="79"/>
  <c r="BDK49" i="79"/>
  <c r="BDJ49" i="79"/>
  <c r="BDI49" i="79"/>
  <c r="BDH49" i="79"/>
  <c r="BDG49" i="79"/>
  <c r="BDF49" i="79"/>
  <c r="BDE49" i="79"/>
  <c r="BDD49" i="79"/>
  <c r="BDC49" i="79"/>
  <c r="BDB49" i="79"/>
  <c r="BDA49" i="79"/>
  <c r="BCZ49" i="79"/>
  <c r="BCY49" i="79"/>
  <c r="BCX49" i="79"/>
  <c r="BCW49" i="79"/>
  <c r="BCV49" i="79"/>
  <c r="BCU49" i="79"/>
  <c r="BCT49" i="79"/>
  <c r="BCS49" i="79"/>
  <c r="BCR49" i="79"/>
  <c r="BCQ49" i="79"/>
  <c r="BCP49" i="79"/>
  <c r="BCO49" i="79"/>
  <c r="BCN49" i="79"/>
  <c r="BCM49" i="79"/>
  <c r="BCL49" i="79"/>
  <c r="BCK49" i="79"/>
  <c r="BCJ49" i="79"/>
  <c r="BCI49" i="79"/>
  <c r="BCH49" i="79"/>
  <c r="BCG49" i="79"/>
  <c r="BCF49" i="79"/>
  <c r="BCE49" i="79"/>
  <c r="BCD49" i="79"/>
  <c r="BCC49" i="79"/>
  <c r="BCB49" i="79"/>
  <c r="BCA49" i="79"/>
  <c r="BBZ49" i="79"/>
  <c r="BBY49" i="79"/>
  <c r="BBX49" i="79"/>
  <c r="BBW49" i="79"/>
  <c r="BBV49" i="79"/>
  <c r="BBU49" i="79"/>
  <c r="BBT49" i="79"/>
  <c r="BBS49" i="79"/>
  <c r="BBR49" i="79"/>
  <c r="BBQ49" i="79"/>
  <c r="BBP49" i="79"/>
  <c r="BBO49" i="79"/>
  <c r="BBN49" i="79"/>
  <c r="BBM49" i="79"/>
  <c r="BBL49" i="79"/>
  <c r="BBK49" i="79"/>
  <c r="BBJ49" i="79"/>
  <c r="BBI49" i="79"/>
  <c r="BBH49" i="79"/>
  <c r="BBG49" i="79"/>
  <c r="BBF49" i="79"/>
  <c r="BBE49" i="79"/>
  <c r="BBD49" i="79"/>
  <c r="BBC49" i="79"/>
  <c r="BBB49" i="79"/>
  <c r="BBA49" i="79"/>
  <c r="BAZ49" i="79"/>
  <c r="BAY49" i="79"/>
  <c r="BAX49" i="79"/>
  <c r="BAW49" i="79"/>
  <c r="BAV49" i="79"/>
  <c r="BAU49" i="79"/>
  <c r="BAT49" i="79"/>
  <c r="BAS49" i="79"/>
  <c r="BAR49" i="79"/>
  <c r="BAQ49" i="79"/>
  <c r="BAP49" i="79"/>
  <c r="BAO49" i="79"/>
  <c r="BAN49" i="79"/>
  <c r="BAM49" i="79"/>
  <c r="BAL49" i="79"/>
  <c r="BAK49" i="79"/>
  <c r="BAJ49" i="79"/>
  <c r="BAI49" i="79"/>
  <c r="BAH49" i="79"/>
  <c r="BAG49" i="79"/>
  <c r="BAF49" i="79"/>
  <c r="BAE49" i="79"/>
  <c r="BAD49" i="79"/>
  <c r="BAC49" i="79"/>
  <c r="BAB49" i="79"/>
  <c r="BAA49" i="79"/>
  <c r="AZZ49" i="79"/>
  <c r="AZY49" i="79"/>
  <c r="AZX49" i="79"/>
  <c r="AZW49" i="79"/>
  <c r="AZV49" i="79"/>
  <c r="AZU49" i="79"/>
  <c r="AZT49" i="79"/>
  <c r="AZS49" i="79"/>
  <c r="AZR49" i="79"/>
  <c r="AZQ49" i="79"/>
  <c r="AZP49" i="79"/>
  <c r="AZO49" i="79"/>
  <c r="AZN49" i="79"/>
  <c r="AZM49" i="79"/>
  <c r="AZL49" i="79"/>
  <c r="AZK49" i="79"/>
  <c r="AZJ49" i="79"/>
  <c r="AZI49" i="79"/>
  <c r="AZH49" i="79"/>
  <c r="AZG49" i="79"/>
  <c r="AZF49" i="79"/>
  <c r="AZE49" i="79"/>
  <c r="AZD49" i="79"/>
  <c r="AZC49" i="79"/>
  <c r="AZB49" i="79"/>
  <c r="AZA49" i="79"/>
  <c r="AYZ49" i="79"/>
  <c r="AYY49" i="79"/>
  <c r="AYX49" i="79"/>
  <c r="AYW49" i="79"/>
  <c r="AYV49" i="79"/>
  <c r="AYU49" i="79"/>
  <c r="AYT49" i="79"/>
  <c r="AYS49" i="79"/>
  <c r="AYR49" i="79"/>
  <c r="AYQ49" i="79"/>
  <c r="AYP49" i="79"/>
  <c r="AYO49" i="79"/>
  <c r="AYN49" i="79"/>
  <c r="AYM49" i="79"/>
  <c r="AYL49" i="79"/>
  <c r="AYK49" i="79"/>
  <c r="AYJ49" i="79"/>
  <c r="AYI49" i="79"/>
  <c r="AYH49" i="79"/>
  <c r="AYG49" i="79"/>
  <c r="AYF49" i="79"/>
  <c r="AYE49" i="79"/>
  <c r="AYD49" i="79"/>
  <c r="AYC49" i="79"/>
  <c r="AYB49" i="79"/>
  <c r="AYA49" i="79"/>
  <c r="AXZ49" i="79"/>
  <c r="AXY49" i="79"/>
  <c r="AXX49" i="79"/>
  <c r="AXW49" i="79"/>
  <c r="AXV49" i="79"/>
  <c r="AXU49" i="79"/>
  <c r="AXT49" i="79"/>
  <c r="AXS49" i="79"/>
  <c r="AXR49" i="79"/>
  <c r="AXQ49" i="79"/>
  <c r="AXP49" i="79"/>
  <c r="AXO49" i="79"/>
  <c r="AXN49" i="79"/>
  <c r="AXM49" i="79"/>
  <c r="AXL49" i="79"/>
  <c r="AXK49" i="79"/>
  <c r="AXJ49" i="79"/>
  <c r="AXI49" i="79"/>
  <c r="AXH49" i="79"/>
  <c r="AXG49" i="79"/>
  <c r="AXF49" i="79"/>
  <c r="AXE49" i="79"/>
  <c r="AXD49" i="79"/>
  <c r="AXC49" i="79"/>
  <c r="AXB49" i="79"/>
  <c r="AXA49" i="79"/>
  <c r="AWZ49" i="79"/>
  <c r="AWY49" i="79"/>
  <c r="AWX49" i="79"/>
  <c r="AWW49" i="79"/>
  <c r="AWV49" i="79"/>
  <c r="AWU49" i="79"/>
  <c r="AWT49" i="79"/>
  <c r="AWS49" i="79"/>
  <c r="AWR49" i="79"/>
  <c r="AWQ49" i="79"/>
  <c r="AWP49" i="79"/>
  <c r="AWO49" i="79"/>
  <c r="AWN49" i="79"/>
  <c r="AWM49" i="79"/>
  <c r="AWL49" i="79"/>
  <c r="AWK49" i="79"/>
  <c r="AWJ49" i="79"/>
  <c r="AWI49" i="79"/>
  <c r="AWH49" i="79"/>
  <c r="AWG49" i="79"/>
  <c r="AWF49" i="79"/>
  <c r="AWE49" i="79"/>
  <c r="AWD49" i="79"/>
  <c r="AWC49" i="79"/>
  <c r="AWB49" i="79"/>
  <c r="AWA49" i="79"/>
  <c r="AVZ49" i="79"/>
  <c r="AVY49" i="79"/>
  <c r="AVX49" i="79"/>
  <c r="AVW49" i="79"/>
  <c r="AVV49" i="79"/>
  <c r="AVU49" i="79"/>
  <c r="AVT49" i="79"/>
  <c r="AVS49" i="79"/>
  <c r="AVR49" i="79"/>
  <c r="AVQ49" i="79"/>
  <c r="AVP49" i="79"/>
  <c r="AVO49" i="79"/>
  <c r="AVN49" i="79"/>
  <c r="AVM49" i="79"/>
  <c r="AVL49" i="79"/>
  <c r="AVK49" i="79"/>
  <c r="AVJ49" i="79"/>
  <c r="AVI49" i="79"/>
  <c r="AVH49" i="79"/>
  <c r="AVG49" i="79"/>
  <c r="AVF49" i="79"/>
  <c r="AVE49" i="79"/>
  <c r="AVD49" i="79"/>
  <c r="AVC49" i="79"/>
  <c r="AVB49" i="79"/>
  <c r="AVA49" i="79"/>
  <c r="AUZ49" i="79"/>
  <c r="AUY49" i="79"/>
  <c r="AUX49" i="79"/>
  <c r="AUW49" i="79"/>
  <c r="AUV49" i="79"/>
  <c r="AUU49" i="79"/>
  <c r="AUT49" i="79"/>
  <c r="AUS49" i="79"/>
  <c r="AUR49" i="79"/>
  <c r="AUQ49" i="79"/>
  <c r="AUP49" i="79"/>
  <c r="AUO49" i="79"/>
  <c r="AUN49" i="79"/>
  <c r="AUM49" i="79"/>
  <c r="AUL49" i="79"/>
  <c r="AUK49" i="79"/>
  <c r="AUJ49" i="79"/>
  <c r="AUI49" i="79"/>
  <c r="AUH49" i="79"/>
  <c r="AUG49" i="79"/>
  <c r="AUF49" i="79"/>
  <c r="AUE49" i="79"/>
  <c r="AUD49" i="79"/>
  <c r="AUC49" i="79"/>
  <c r="AUB49" i="79"/>
  <c r="AUA49" i="79"/>
  <c r="ATZ49" i="79"/>
  <c r="ATY49" i="79"/>
  <c r="ATX49" i="79"/>
  <c r="ATW49" i="79"/>
  <c r="ATV49" i="79"/>
  <c r="ATU49" i="79"/>
  <c r="ATT49" i="79"/>
  <c r="ATS49" i="79"/>
  <c r="ATR49" i="79"/>
  <c r="ATQ49" i="79"/>
  <c r="ATP49" i="79"/>
  <c r="ATO49" i="79"/>
  <c r="ATN49" i="79"/>
  <c r="ATM49" i="79"/>
  <c r="ATL49" i="79"/>
  <c r="ATK49" i="79"/>
  <c r="ATJ49" i="79"/>
  <c r="ATI49" i="79"/>
  <c r="ATH49" i="79"/>
  <c r="ATG49" i="79"/>
  <c r="ATF49" i="79"/>
  <c r="ATE49" i="79"/>
  <c r="ATD49" i="79"/>
  <c r="ATC49" i="79"/>
  <c r="ATB49" i="79"/>
  <c r="ATA49" i="79"/>
  <c r="ASZ49" i="79"/>
  <c r="ASY49" i="79"/>
  <c r="ASX49" i="79"/>
  <c r="ASW49" i="79"/>
  <c r="ASV49" i="79"/>
  <c r="ASU49" i="79"/>
  <c r="AST49" i="79"/>
  <c r="ASS49" i="79"/>
  <c r="ASR49" i="79"/>
  <c r="ASQ49" i="79"/>
  <c r="ASP49" i="79"/>
  <c r="ASO49" i="79"/>
  <c r="ASN49" i="79"/>
  <c r="ASM49" i="79"/>
  <c r="ASL49" i="79"/>
  <c r="ASK49" i="79"/>
  <c r="ASJ49" i="79"/>
  <c r="ASI49" i="79"/>
  <c r="ASH49" i="79"/>
  <c r="ASG49" i="79"/>
  <c r="ASF49" i="79"/>
  <c r="ASE49" i="79"/>
  <c r="ASD49" i="79"/>
  <c r="ASC49" i="79"/>
  <c r="ASB49" i="79"/>
  <c r="ASA49" i="79"/>
  <c r="ARZ49" i="79"/>
  <c r="ARY49" i="79"/>
  <c r="ARX49" i="79"/>
  <c r="ARW49" i="79"/>
  <c r="ARV49" i="79"/>
  <c r="ARU49" i="79"/>
  <c r="ART49" i="79"/>
  <c r="ARS49" i="79"/>
  <c r="ARR49" i="79"/>
  <c r="ARQ49" i="79"/>
  <c r="ARP49" i="79"/>
  <c r="ARO49" i="79"/>
  <c r="ARN49" i="79"/>
  <c r="ARM49" i="79"/>
  <c r="ARL49" i="79"/>
  <c r="ARK49" i="79"/>
  <c r="ARJ49" i="79"/>
  <c r="ARI49" i="79"/>
  <c r="ARH49" i="79"/>
  <c r="ARG49" i="79"/>
  <c r="ARF49" i="79"/>
  <c r="ARE49" i="79"/>
  <c r="ARD49" i="79"/>
  <c r="ARC49" i="79"/>
  <c r="ARB49" i="79"/>
  <c r="ARA49" i="79"/>
  <c r="AQZ49" i="79"/>
  <c r="AQY49" i="79"/>
  <c r="AQX49" i="79"/>
  <c r="AQW49" i="79"/>
  <c r="AQV49" i="79"/>
  <c r="AQU49" i="79"/>
  <c r="AQT49" i="79"/>
  <c r="AQS49" i="79"/>
  <c r="AQR49" i="79"/>
  <c r="AQQ49" i="79"/>
  <c r="AQP49" i="79"/>
  <c r="AQO49" i="79"/>
  <c r="AQN49" i="79"/>
  <c r="AQM49" i="79"/>
  <c r="AQL49" i="79"/>
  <c r="AQK49" i="79"/>
  <c r="AQJ49" i="79"/>
  <c r="AQI49" i="79"/>
  <c r="AQH49" i="79"/>
  <c r="AQG49" i="79"/>
  <c r="AQF49" i="79"/>
  <c r="AQE49" i="79"/>
  <c r="AQD49" i="79"/>
  <c r="AQC49" i="79"/>
  <c r="AQB49" i="79"/>
  <c r="AQA49" i="79"/>
  <c r="APZ49" i="79"/>
  <c r="APY49" i="79"/>
  <c r="APX49" i="79"/>
  <c r="APW49" i="79"/>
  <c r="APV49" i="79"/>
  <c r="APU49" i="79"/>
  <c r="APT49" i="79"/>
  <c r="APS49" i="79"/>
  <c r="APR49" i="79"/>
  <c r="APQ49" i="79"/>
  <c r="APP49" i="79"/>
  <c r="APO49" i="79"/>
  <c r="APN49" i="79"/>
  <c r="APM49" i="79"/>
  <c r="APL49" i="79"/>
  <c r="APK49" i="79"/>
  <c r="APJ49" i="79"/>
  <c r="API49" i="79"/>
  <c r="APH49" i="79"/>
  <c r="APG49" i="79"/>
  <c r="APF49" i="79"/>
  <c r="APE49" i="79"/>
  <c r="APD49" i="79"/>
  <c r="APC49" i="79"/>
  <c r="APB49" i="79"/>
  <c r="APA49" i="79"/>
  <c r="AOZ49" i="79"/>
  <c r="AOY49" i="79"/>
  <c r="AOX49" i="79"/>
  <c r="AOW49" i="79"/>
  <c r="AOV49" i="79"/>
  <c r="AOU49" i="79"/>
  <c r="AOT49" i="79"/>
  <c r="AOS49" i="79"/>
  <c r="AOR49" i="79"/>
  <c r="AOQ49" i="79"/>
  <c r="AOP49" i="79"/>
  <c r="AOO49" i="79"/>
  <c r="AON49" i="79"/>
  <c r="AOM49" i="79"/>
  <c r="AOL49" i="79"/>
  <c r="AOK49" i="79"/>
  <c r="AOJ49" i="79"/>
  <c r="AOI49" i="79"/>
  <c r="AOH49" i="79"/>
  <c r="AOG49" i="79"/>
  <c r="AOF49" i="79"/>
  <c r="AOE49" i="79"/>
  <c r="AOD49" i="79"/>
  <c r="AOC49" i="79"/>
  <c r="AOB49" i="79"/>
  <c r="AOA49" i="79"/>
  <c r="ANZ49" i="79"/>
  <c r="ANY49" i="79"/>
  <c r="ANX49" i="79"/>
  <c r="ANW49" i="79"/>
  <c r="ANV49" i="79"/>
  <c r="ANU49" i="79"/>
  <c r="ANT49" i="79"/>
  <c r="ANS49" i="79"/>
  <c r="ANR49" i="79"/>
  <c r="ANQ49" i="79"/>
  <c r="ANP49" i="79"/>
  <c r="ANO49" i="79"/>
  <c r="ANN49" i="79"/>
  <c r="ANM49" i="79"/>
  <c r="ANL49" i="79"/>
  <c r="ANK49" i="79"/>
  <c r="ANJ49" i="79"/>
  <c r="ANI49" i="79"/>
  <c r="ANH49" i="79"/>
  <c r="ANG49" i="79"/>
  <c r="ANF49" i="79"/>
  <c r="ANE49" i="79"/>
  <c r="AND49" i="79"/>
  <c r="ANC49" i="79"/>
  <c r="ANB49" i="79"/>
  <c r="ANA49" i="79"/>
  <c r="AMZ49" i="79"/>
  <c r="AMY49" i="79"/>
  <c r="AMX49" i="79"/>
  <c r="AMW49" i="79"/>
  <c r="AMV49" i="79"/>
  <c r="AMU49" i="79"/>
  <c r="AMT49" i="79"/>
  <c r="AMS49" i="79"/>
  <c r="AMR49" i="79"/>
  <c r="AMQ49" i="79"/>
  <c r="AMP49" i="79"/>
  <c r="AMO49" i="79"/>
  <c r="AMN49" i="79"/>
  <c r="AMM49" i="79"/>
  <c r="AML49" i="79"/>
  <c r="AMK49" i="79"/>
  <c r="AMJ49" i="79"/>
  <c r="AMI49" i="79"/>
  <c r="AMH49" i="79"/>
  <c r="AMG49" i="79"/>
  <c r="AMF49" i="79"/>
  <c r="AME49" i="79"/>
  <c r="AMD49" i="79"/>
  <c r="AMC49" i="79"/>
  <c r="AMB49" i="79"/>
  <c r="AMA49" i="79"/>
  <c r="ALZ49" i="79"/>
  <c r="ALY49" i="79"/>
  <c r="ALX49" i="79"/>
  <c r="ALW49" i="79"/>
  <c r="ALV49" i="79"/>
  <c r="ALU49" i="79"/>
  <c r="ALT49" i="79"/>
  <c r="ALS49" i="79"/>
  <c r="ALR49" i="79"/>
  <c r="ALQ49" i="79"/>
  <c r="ALP49" i="79"/>
  <c r="ALO49" i="79"/>
  <c r="ALN49" i="79"/>
  <c r="ALM49" i="79"/>
  <c r="ALL49" i="79"/>
  <c r="ALK49" i="79"/>
  <c r="ALJ49" i="79"/>
  <c r="ALI49" i="79"/>
  <c r="ALH49" i="79"/>
  <c r="ALG49" i="79"/>
  <c r="ALF49" i="79"/>
  <c r="ALE49" i="79"/>
  <c r="ALD49" i="79"/>
  <c r="ALC49" i="79"/>
  <c r="ALB49" i="79"/>
  <c r="ALA49" i="79"/>
  <c r="AKZ49" i="79"/>
  <c r="AKY49" i="79"/>
  <c r="AKX49" i="79"/>
  <c r="AKW49" i="79"/>
  <c r="AKV49" i="79"/>
  <c r="AKU49" i="79"/>
  <c r="AKT49" i="79"/>
  <c r="AKS49" i="79"/>
  <c r="AKR49" i="79"/>
  <c r="AKQ49" i="79"/>
  <c r="AKP49" i="79"/>
  <c r="AKO49" i="79"/>
  <c r="AKN49" i="79"/>
  <c r="AKM49" i="79"/>
  <c r="AKL49" i="79"/>
  <c r="AKK49" i="79"/>
  <c r="AKJ49" i="79"/>
  <c r="AKI49" i="79"/>
  <c r="AKH49" i="79"/>
  <c r="AKG49" i="79"/>
  <c r="AKF49" i="79"/>
  <c r="AKE49" i="79"/>
  <c r="AKD49" i="79"/>
  <c r="AKC49" i="79"/>
  <c r="AKB49" i="79"/>
  <c r="AKA49" i="79"/>
  <c r="AJZ49" i="79"/>
  <c r="AJY49" i="79"/>
  <c r="AJX49" i="79"/>
  <c r="AJW49" i="79"/>
  <c r="AJV49" i="79"/>
  <c r="AJU49" i="79"/>
  <c r="AJT49" i="79"/>
  <c r="AJS49" i="79"/>
  <c r="AJR49" i="79"/>
  <c r="AJQ49" i="79"/>
  <c r="AJP49" i="79"/>
  <c r="AJO49" i="79"/>
  <c r="AJN49" i="79"/>
  <c r="AJM49" i="79"/>
  <c r="AJL49" i="79"/>
  <c r="AJK49" i="79"/>
  <c r="AJJ49" i="79"/>
  <c r="AJI49" i="79"/>
  <c r="AJH49" i="79"/>
  <c r="AJG49" i="79"/>
  <c r="AJF49" i="79"/>
  <c r="AJE49" i="79"/>
  <c r="AJD49" i="79"/>
  <c r="AJC49" i="79"/>
  <c r="AJB49" i="79"/>
  <c r="AJA49" i="79"/>
  <c r="AIZ49" i="79"/>
  <c r="AIY49" i="79"/>
  <c r="AIX49" i="79"/>
  <c r="AIW49" i="79"/>
  <c r="AIV49" i="79"/>
  <c r="AIU49" i="79"/>
  <c r="AIT49" i="79"/>
  <c r="AIS49" i="79"/>
  <c r="AIR49" i="79"/>
  <c r="AIQ49" i="79"/>
  <c r="AIP49" i="79"/>
  <c r="AIO49" i="79"/>
  <c r="AIN49" i="79"/>
  <c r="AIM49" i="79"/>
  <c r="AIL49" i="79"/>
  <c r="AIK49" i="79"/>
  <c r="AIJ49" i="79"/>
  <c r="AII49" i="79"/>
  <c r="AIH49" i="79"/>
  <c r="AIG49" i="79"/>
  <c r="AIF49" i="79"/>
  <c r="AIE49" i="79"/>
  <c r="AID49" i="79"/>
  <c r="AIC49" i="79"/>
  <c r="AIB49" i="79"/>
  <c r="AIA49" i="79"/>
  <c r="AHZ49" i="79"/>
  <c r="AHY49" i="79"/>
  <c r="AHX49" i="79"/>
  <c r="AHW49" i="79"/>
  <c r="AHV49" i="79"/>
  <c r="AHU49" i="79"/>
  <c r="AHT49" i="79"/>
  <c r="AHS49" i="79"/>
  <c r="AHR49" i="79"/>
  <c r="AHQ49" i="79"/>
  <c r="AHP49" i="79"/>
  <c r="AHO49" i="79"/>
  <c r="AHN49" i="79"/>
  <c r="AHM49" i="79"/>
  <c r="AHL49" i="79"/>
  <c r="AHK49" i="79"/>
  <c r="AHJ49" i="79"/>
  <c r="AHI49" i="79"/>
  <c r="AHH49" i="79"/>
  <c r="AHG49" i="79"/>
  <c r="AHF49" i="79"/>
  <c r="AHE49" i="79"/>
  <c r="AHD49" i="79"/>
  <c r="AHC49" i="79"/>
  <c r="AHB49" i="79"/>
  <c r="AHA49" i="79"/>
  <c r="AGZ49" i="79"/>
  <c r="AGY49" i="79"/>
  <c r="AGX49" i="79"/>
  <c r="AGW49" i="79"/>
  <c r="AGV49" i="79"/>
  <c r="AGU49" i="79"/>
  <c r="AGT49" i="79"/>
  <c r="AGS49" i="79"/>
  <c r="AGR49" i="79"/>
  <c r="AGQ49" i="79"/>
  <c r="AGP49" i="79"/>
  <c r="AGO49" i="79"/>
  <c r="AGN49" i="79"/>
  <c r="AGM49" i="79"/>
  <c r="AGL49" i="79"/>
  <c r="AGK49" i="79"/>
  <c r="AGJ49" i="79"/>
  <c r="AGI49" i="79"/>
  <c r="AGH49" i="79"/>
  <c r="AGG49" i="79"/>
  <c r="AGF49" i="79"/>
  <c r="AGE49" i="79"/>
  <c r="AGD49" i="79"/>
  <c r="AGC49" i="79"/>
  <c r="AGB49" i="79"/>
  <c r="AGA49" i="79"/>
  <c r="AFZ49" i="79"/>
  <c r="AFY49" i="79"/>
  <c r="AFX49" i="79"/>
  <c r="AFW49" i="79"/>
  <c r="AFV49" i="79"/>
  <c r="AFU49" i="79"/>
  <c r="AFT49" i="79"/>
  <c r="AFS49" i="79"/>
  <c r="AFR49" i="79"/>
  <c r="AFQ49" i="79"/>
  <c r="AFP49" i="79"/>
  <c r="AFO49" i="79"/>
  <c r="AFN49" i="79"/>
  <c r="AFM49" i="79"/>
  <c r="AFL49" i="79"/>
  <c r="AFK49" i="79"/>
  <c r="AFJ49" i="79"/>
  <c r="AFI49" i="79"/>
  <c r="AFH49" i="79"/>
  <c r="AFG49" i="79"/>
  <c r="AFF49" i="79"/>
  <c r="AFE49" i="79"/>
  <c r="AFD49" i="79"/>
  <c r="AFC49" i="79"/>
  <c r="AFB49" i="79"/>
  <c r="AFA49" i="79"/>
  <c r="AEZ49" i="79"/>
  <c r="AEY49" i="79"/>
  <c r="AEX49" i="79"/>
  <c r="AEW49" i="79"/>
  <c r="AEV49" i="79"/>
  <c r="AEU49" i="79"/>
  <c r="AET49" i="79"/>
  <c r="AES49" i="79"/>
  <c r="AER49" i="79"/>
  <c r="AEQ49" i="79"/>
  <c r="AEP49" i="79"/>
  <c r="AEO49" i="79"/>
  <c r="AEN49" i="79"/>
  <c r="AEM49" i="79"/>
  <c r="AEL49" i="79"/>
  <c r="AEK49" i="79"/>
  <c r="AEJ49" i="79"/>
  <c r="AEI49" i="79"/>
  <c r="AEH49" i="79"/>
  <c r="AEG49" i="79"/>
  <c r="AEF49" i="79"/>
  <c r="AEE49" i="79"/>
  <c r="AED49" i="79"/>
  <c r="AEC49" i="79"/>
  <c r="AEB49" i="79"/>
  <c r="AEA49" i="79"/>
  <c r="ADZ49" i="79"/>
  <c r="ADY49" i="79"/>
  <c r="ADX49" i="79"/>
  <c r="ADW49" i="79"/>
  <c r="ADV49" i="79"/>
  <c r="ADU49" i="79"/>
  <c r="ADT49" i="79"/>
  <c r="ADS49" i="79"/>
  <c r="ADR49" i="79"/>
  <c r="ADQ49" i="79"/>
  <c r="ADP49" i="79"/>
  <c r="ADO49" i="79"/>
  <c r="ADN49" i="79"/>
  <c r="ADM49" i="79"/>
  <c r="ADL49" i="79"/>
  <c r="ADK49" i="79"/>
  <c r="ADJ49" i="79"/>
  <c r="ADI49" i="79"/>
  <c r="ADH49" i="79"/>
  <c r="ADG49" i="79"/>
  <c r="ADF49" i="79"/>
  <c r="ADE49" i="79"/>
  <c r="ADD49" i="79"/>
  <c r="ADC49" i="79"/>
  <c r="ADB49" i="79"/>
  <c r="ADA49" i="79"/>
  <c r="ACZ49" i="79"/>
  <c r="ACY49" i="79"/>
  <c r="ACX49" i="79"/>
  <c r="ACW49" i="79"/>
  <c r="ACV49" i="79"/>
  <c r="ACU49" i="79"/>
  <c r="ACT49" i="79"/>
  <c r="ACS49" i="79"/>
  <c r="ACR49" i="79"/>
  <c r="ACQ49" i="79"/>
  <c r="ACP49" i="79"/>
  <c r="ACO49" i="79"/>
  <c r="ACN49" i="79"/>
  <c r="ACM49" i="79"/>
  <c r="ACL49" i="79"/>
  <c r="ACK49" i="79"/>
  <c r="ACJ49" i="79"/>
  <c r="ACI49" i="79"/>
  <c r="ACH49" i="79"/>
  <c r="ACG49" i="79"/>
  <c r="ACF49" i="79"/>
  <c r="ACE49" i="79"/>
  <c r="ACD49" i="79"/>
  <c r="ACC49" i="79"/>
  <c r="ACB49" i="79"/>
  <c r="ACA49" i="79"/>
  <c r="ABZ49" i="79"/>
  <c r="ABY49" i="79"/>
  <c r="ABX49" i="79"/>
  <c r="ABW49" i="79"/>
  <c r="ABV49" i="79"/>
  <c r="ABU49" i="79"/>
  <c r="ABT49" i="79"/>
  <c r="ABS49" i="79"/>
  <c r="ABR49" i="79"/>
  <c r="ABQ49" i="79"/>
  <c r="ABP49" i="79"/>
  <c r="ABO49" i="79"/>
  <c r="ABN49" i="79"/>
  <c r="ABM49" i="79"/>
  <c r="ABL49" i="79"/>
  <c r="ABK49" i="79"/>
  <c r="ABJ49" i="79"/>
  <c r="ABI49" i="79"/>
  <c r="ABH49" i="79"/>
  <c r="ABG49" i="79"/>
  <c r="ABF49" i="79"/>
  <c r="ABE49" i="79"/>
  <c r="ABD49" i="79"/>
  <c r="ABC49" i="79"/>
  <c r="ABB49" i="79"/>
  <c r="ABA49" i="79"/>
  <c r="AAZ49" i="79"/>
  <c r="AAY49" i="79"/>
  <c r="AAX49" i="79"/>
  <c r="AAW49" i="79"/>
  <c r="AAV49" i="79"/>
  <c r="AAU49" i="79"/>
  <c r="AAT49" i="79"/>
  <c r="AAS49" i="79"/>
  <c r="AAR49" i="79"/>
  <c r="AAQ49" i="79"/>
  <c r="AAP49" i="79"/>
  <c r="AAO49" i="79"/>
  <c r="AAN49" i="79"/>
  <c r="AAM49" i="79"/>
  <c r="AAL49" i="79"/>
  <c r="AAK49" i="79"/>
  <c r="AAJ49" i="79"/>
  <c r="AAI49" i="79"/>
  <c r="AAH49" i="79"/>
  <c r="AAG49" i="79"/>
  <c r="AAF49" i="79"/>
  <c r="AAE49" i="79"/>
  <c r="AAD49" i="79"/>
  <c r="AAC49" i="79"/>
  <c r="AAB49" i="79"/>
  <c r="AAA49" i="79"/>
  <c r="ZZ49" i="79"/>
  <c r="ZY49" i="79"/>
  <c r="ZX49" i="79"/>
  <c r="ZW49" i="79"/>
  <c r="ZV49" i="79"/>
  <c r="ZU49" i="79"/>
  <c r="ZT49" i="79"/>
  <c r="ZS49" i="79"/>
  <c r="ZR49" i="79"/>
  <c r="ZQ49" i="79"/>
  <c r="ZP49" i="79"/>
  <c r="ZO49" i="79"/>
  <c r="ZN49" i="79"/>
  <c r="ZM49" i="79"/>
  <c r="ZL49" i="79"/>
  <c r="ZK49" i="79"/>
  <c r="ZJ49" i="79"/>
  <c r="ZI49" i="79"/>
  <c r="ZH49" i="79"/>
  <c r="ZG49" i="79"/>
  <c r="ZF49" i="79"/>
  <c r="ZE49" i="79"/>
  <c r="ZD49" i="79"/>
  <c r="ZC49" i="79"/>
  <c r="ZB49" i="79"/>
  <c r="ZA49" i="79"/>
  <c r="YZ49" i="79"/>
  <c r="YY49" i="79"/>
  <c r="YX49" i="79"/>
  <c r="YW49" i="79"/>
  <c r="YV49" i="79"/>
  <c r="YU49" i="79"/>
  <c r="YT49" i="79"/>
  <c r="YS49" i="79"/>
  <c r="YR49" i="79"/>
  <c r="YQ49" i="79"/>
  <c r="YP49" i="79"/>
  <c r="YO49" i="79"/>
  <c r="YN49" i="79"/>
  <c r="YM49" i="79"/>
  <c r="YL49" i="79"/>
  <c r="YK49" i="79"/>
  <c r="YJ49" i="79"/>
  <c r="YI49" i="79"/>
  <c r="YH49" i="79"/>
  <c r="YG49" i="79"/>
  <c r="YF49" i="79"/>
  <c r="YE49" i="79"/>
  <c r="YD49" i="79"/>
  <c r="YC49" i="79"/>
  <c r="YB49" i="79"/>
  <c r="YA49" i="79"/>
  <c r="XZ49" i="79"/>
  <c r="XY49" i="79"/>
  <c r="XX49" i="79"/>
  <c r="XW49" i="79"/>
  <c r="XV49" i="79"/>
  <c r="XU49" i="79"/>
  <c r="XT49" i="79"/>
  <c r="XS49" i="79"/>
  <c r="XR49" i="79"/>
  <c r="XQ49" i="79"/>
  <c r="XP49" i="79"/>
  <c r="XO49" i="79"/>
  <c r="XN49" i="79"/>
  <c r="XM49" i="79"/>
  <c r="XL49" i="79"/>
  <c r="XK49" i="79"/>
  <c r="XJ49" i="79"/>
  <c r="XI49" i="79"/>
  <c r="XH49" i="79"/>
  <c r="XG49" i="79"/>
  <c r="XF49" i="79"/>
  <c r="XE49" i="79"/>
  <c r="XD49" i="79"/>
  <c r="XC49" i="79"/>
  <c r="XB49" i="79"/>
  <c r="XA49" i="79"/>
  <c r="WZ49" i="79"/>
  <c r="WY49" i="79"/>
  <c r="WX49" i="79"/>
  <c r="WW49" i="79"/>
  <c r="WV49" i="79"/>
  <c r="WU49" i="79"/>
  <c r="WT49" i="79"/>
  <c r="WS49" i="79"/>
  <c r="WR49" i="79"/>
  <c r="WQ49" i="79"/>
  <c r="WP49" i="79"/>
  <c r="WO49" i="79"/>
  <c r="WN49" i="79"/>
  <c r="WM49" i="79"/>
  <c r="WL49" i="79"/>
  <c r="WK49" i="79"/>
  <c r="WJ49" i="79"/>
  <c r="WI49" i="79"/>
  <c r="WH49" i="79"/>
  <c r="WG49" i="79"/>
  <c r="WF49" i="79"/>
  <c r="WE49" i="79"/>
  <c r="WD49" i="79"/>
  <c r="WC49" i="79"/>
  <c r="WB49" i="79"/>
  <c r="WA49" i="79"/>
  <c r="VZ49" i="79"/>
  <c r="VY49" i="79"/>
  <c r="VX49" i="79"/>
  <c r="VW49" i="79"/>
  <c r="VV49" i="79"/>
  <c r="VU49" i="79"/>
  <c r="VT49" i="79"/>
  <c r="VS49" i="79"/>
  <c r="VR49" i="79"/>
  <c r="VQ49" i="79"/>
  <c r="VP49" i="79"/>
  <c r="VO49" i="79"/>
  <c r="VN49" i="79"/>
  <c r="VM49" i="79"/>
  <c r="VL49" i="79"/>
  <c r="VK49" i="79"/>
  <c r="VJ49" i="79"/>
  <c r="VI49" i="79"/>
  <c r="VH49" i="79"/>
  <c r="VG49" i="79"/>
  <c r="VF49" i="79"/>
  <c r="VE49" i="79"/>
  <c r="VD49" i="79"/>
  <c r="VC49" i="79"/>
  <c r="VB49" i="79"/>
  <c r="VA49" i="79"/>
  <c r="UZ49" i="79"/>
  <c r="UY49" i="79"/>
  <c r="UX49" i="79"/>
  <c r="UW49" i="79"/>
  <c r="UV49" i="79"/>
  <c r="UU49" i="79"/>
  <c r="UT49" i="79"/>
  <c r="US49" i="79"/>
  <c r="UR49" i="79"/>
  <c r="UQ49" i="79"/>
  <c r="UP49" i="79"/>
  <c r="UO49" i="79"/>
  <c r="UN49" i="79"/>
  <c r="UM49" i="79"/>
  <c r="UL49" i="79"/>
  <c r="UK49" i="79"/>
  <c r="UJ49" i="79"/>
  <c r="UI49" i="79"/>
  <c r="UH49" i="79"/>
  <c r="UG49" i="79"/>
  <c r="UF49" i="79"/>
  <c r="UE49" i="79"/>
  <c r="UD49" i="79"/>
  <c r="UC49" i="79"/>
  <c r="UB49" i="79"/>
  <c r="UA49" i="79"/>
  <c r="TZ49" i="79"/>
  <c r="TY49" i="79"/>
  <c r="TX49" i="79"/>
  <c r="TW49" i="79"/>
  <c r="TV49" i="79"/>
  <c r="TU49" i="79"/>
  <c r="TT49" i="79"/>
  <c r="TS49" i="79"/>
  <c r="TR49" i="79"/>
  <c r="TQ49" i="79"/>
  <c r="TP49" i="79"/>
  <c r="TO49" i="79"/>
  <c r="TN49" i="79"/>
  <c r="TM49" i="79"/>
  <c r="TL49" i="79"/>
  <c r="TK49" i="79"/>
  <c r="TJ49" i="79"/>
  <c r="TI49" i="79"/>
  <c r="TH49" i="79"/>
  <c r="TG49" i="79"/>
  <c r="TF49" i="79"/>
  <c r="TE49" i="79"/>
  <c r="TD49" i="79"/>
  <c r="TC49" i="79"/>
  <c r="TB49" i="79"/>
  <c r="TA49" i="79"/>
  <c r="SZ49" i="79"/>
  <c r="SY49" i="79"/>
  <c r="SX49" i="79"/>
  <c r="SW49" i="79"/>
  <c r="SV49" i="79"/>
  <c r="SU49" i="79"/>
  <c r="ST49" i="79"/>
  <c r="SS49" i="79"/>
  <c r="SR49" i="79"/>
  <c r="SQ49" i="79"/>
  <c r="SP49" i="79"/>
  <c r="SO49" i="79"/>
  <c r="SN49" i="79"/>
  <c r="SM49" i="79"/>
  <c r="SL49" i="79"/>
  <c r="SK49" i="79"/>
  <c r="SJ49" i="79"/>
  <c r="SI49" i="79"/>
  <c r="SH49" i="79"/>
  <c r="SG49" i="79"/>
  <c r="SF49" i="79"/>
  <c r="SE49" i="79"/>
  <c r="SD49" i="79"/>
  <c r="SC49" i="79"/>
  <c r="SB49" i="79"/>
  <c r="SA49" i="79"/>
  <c r="RZ49" i="79"/>
  <c r="RY49" i="79"/>
  <c r="RX49" i="79"/>
  <c r="RW49" i="79"/>
  <c r="RV49" i="79"/>
  <c r="RU49" i="79"/>
  <c r="RT49" i="79"/>
  <c r="RS49" i="79"/>
  <c r="RR49" i="79"/>
  <c r="RQ49" i="79"/>
  <c r="RP49" i="79"/>
  <c r="RO49" i="79"/>
  <c r="RN49" i="79"/>
  <c r="RM49" i="79"/>
  <c r="RL49" i="79"/>
  <c r="RK49" i="79"/>
  <c r="RJ49" i="79"/>
  <c r="RI49" i="79"/>
  <c r="RH49" i="79"/>
  <c r="RG49" i="79"/>
  <c r="RF49" i="79"/>
  <c r="RE49" i="79"/>
  <c r="RD49" i="79"/>
  <c r="RC49" i="79"/>
  <c r="RB49" i="79"/>
  <c r="RA49" i="79"/>
  <c r="QZ49" i="79"/>
  <c r="QY49" i="79"/>
  <c r="QX49" i="79"/>
  <c r="QW49" i="79"/>
  <c r="QV49" i="79"/>
  <c r="QU49" i="79"/>
  <c r="QT49" i="79"/>
  <c r="QS49" i="79"/>
  <c r="QR49" i="79"/>
  <c r="QQ49" i="79"/>
  <c r="QP49" i="79"/>
  <c r="QO49" i="79"/>
  <c r="QN49" i="79"/>
  <c r="QM49" i="79"/>
  <c r="QL49" i="79"/>
  <c r="QK49" i="79"/>
  <c r="QJ49" i="79"/>
  <c r="QI49" i="79"/>
  <c r="QH49" i="79"/>
  <c r="QG49" i="79"/>
  <c r="QF49" i="79"/>
  <c r="QE49" i="79"/>
  <c r="QD49" i="79"/>
  <c r="QC49" i="79"/>
  <c r="QB49" i="79"/>
  <c r="QA49" i="79"/>
  <c r="PZ49" i="79"/>
  <c r="PY49" i="79"/>
  <c r="PX49" i="79"/>
  <c r="PW49" i="79"/>
  <c r="PV49" i="79"/>
  <c r="PU49" i="79"/>
  <c r="PT49" i="79"/>
  <c r="PS49" i="79"/>
  <c r="PR49" i="79"/>
  <c r="PQ49" i="79"/>
  <c r="PP49" i="79"/>
  <c r="PO49" i="79"/>
  <c r="PN49" i="79"/>
  <c r="PM49" i="79"/>
  <c r="PL49" i="79"/>
  <c r="PK49" i="79"/>
  <c r="PJ49" i="79"/>
  <c r="PI49" i="79"/>
  <c r="PH49" i="79"/>
  <c r="PG49" i="79"/>
  <c r="PF49" i="79"/>
  <c r="PE49" i="79"/>
  <c r="PD49" i="79"/>
  <c r="PC49" i="79"/>
  <c r="PB49" i="79"/>
  <c r="PA49" i="79"/>
  <c r="OZ49" i="79"/>
  <c r="OY49" i="79"/>
  <c r="OX49" i="79"/>
  <c r="OW49" i="79"/>
  <c r="OV49" i="79"/>
  <c r="OU49" i="79"/>
  <c r="OT49" i="79"/>
  <c r="OS49" i="79"/>
  <c r="OR49" i="79"/>
  <c r="OQ49" i="79"/>
  <c r="OP49" i="79"/>
  <c r="OO49" i="79"/>
  <c r="ON49" i="79"/>
  <c r="OM49" i="79"/>
  <c r="OL49" i="79"/>
  <c r="OK49" i="79"/>
  <c r="OJ49" i="79"/>
  <c r="OI49" i="79"/>
  <c r="OH49" i="79"/>
  <c r="OG49" i="79"/>
  <c r="OF49" i="79"/>
  <c r="OE49" i="79"/>
  <c r="OD49" i="79"/>
  <c r="OC49" i="79"/>
  <c r="OB49" i="79"/>
  <c r="OA49" i="79"/>
  <c r="NZ49" i="79"/>
  <c r="NY49" i="79"/>
  <c r="NX49" i="79"/>
  <c r="NW49" i="79"/>
  <c r="NV49" i="79"/>
  <c r="NU49" i="79"/>
  <c r="NT49" i="79"/>
  <c r="NS49" i="79"/>
  <c r="NR49" i="79"/>
  <c r="NQ49" i="79"/>
  <c r="NP49" i="79"/>
  <c r="NO49" i="79"/>
  <c r="NN49" i="79"/>
  <c r="NM49" i="79"/>
  <c r="NL49" i="79"/>
  <c r="NK49" i="79"/>
  <c r="NJ49" i="79"/>
  <c r="NI49" i="79"/>
  <c r="NH49" i="79"/>
  <c r="NG49" i="79"/>
  <c r="NF49" i="79"/>
  <c r="NE49" i="79"/>
  <c r="ND49" i="79"/>
  <c r="NC49" i="79"/>
  <c r="NB49" i="79"/>
  <c r="NA49" i="79"/>
  <c r="MZ49" i="79"/>
  <c r="MY49" i="79"/>
  <c r="MX49" i="79"/>
  <c r="MW49" i="79"/>
  <c r="MV49" i="79"/>
  <c r="MU49" i="79"/>
  <c r="MT49" i="79"/>
  <c r="MS49" i="79"/>
  <c r="MR49" i="79"/>
  <c r="MQ49" i="79"/>
  <c r="MP49" i="79"/>
  <c r="MO49" i="79"/>
  <c r="MN49" i="79"/>
  <c r="MM49" i="79"/>
  <c r="ML49" i="79"/>
  <c r="MK49" i="79"/>
  <c r="MJ49" i="79"/>
  <c r="MI49" i="79"/>
  <c r="MH49" i="79"/>
  <c r="MG49" i="79"/>
  <c r="MF49" i="79"/>
  <c r="ME49" i="79"/>
  <c r="MD49" i="79"/>
  <c r="MC49" i="79"/>
  <c r="MB49" i="79"/>
  <c r="MA49" i="79"/>
  <c r="LZ49" i="79"/>
  <c r="LY49" i="79"/>
  <c r="LX49" i="79"/>
  <c r="LW49" i="79"/>
  <c r="LV49" i="79"/>
  <c r="LU49" i="79"/>
  <c r="LT49" i="79"/>
  <c r="LS49" i="79"/>
  <c r="LR49" i="79"/>
  <c r="LQ49" i="79"/>
  <c r="LP49" i="79"/>
  <c r="LO49" i="79"/>
  <c r="LN49" i="79"/>
  <c r="LM49" i="79"/>
  <c r="LL49" i="79"/>
  <c r="LK49" i="79"/>
  <c r="LJ49" i="79"/>
  <c r="LI49" i="79"/>
  <c r="LH49" i="79"/>
  <c r="LG49" i="79"/>
  <c r="LF49" i="79"/>
  <c r="LE49" i="79"/>
  <c r="LD49" i="79"/>
  <c r="LC49" i="79"/>
  <c r="LB49" i="79"/>
  <c r="LA49" i="79"/>
  <c r="KZ49" i="79"/>
  <c r="KY49" i="79"/>
  <c r="KX49" i="79"/>
  <c r="KW49" i="79"/>
  <c r="KV49" i="79"/>
  <c r="KU49" i="79"/>
  <c r="KT49" i="79"/>
  <c r="KS49" i="79"/>
  <c r="KR49" i="79"/>
  <c r="KQ49" i="79"/>
  <c r="KP49" i="79"/>
  <c r="KO49" i="79"/>
  <c r="KN49" i="79"/>
  <c r="KM49" i="79"/>
  <c r="KL49" i="79"/>
  <c r="KK49" i="79"/>
  <c r="KJ49" i="79"/>
  <c r="KI49" i="79"/>
  <c r="KH49" i="79"/>
  <c r="KG49" i="79"/>
  <c r="KF49" i="79"/>
  <c r="KE49" i="79"/>
  <c r="KD49" i="79"/>
  <c r="KC49" i="79"/>
  <c r="KB49" i="79"/>
  <c r="KA49" i="79"/>
  <c r="JZ49" i="79"/>
  <c r="JY49" i="79"/>
  <c r="JX49" i="79"/>
  <c r="JW49" i="79"/>
  <c r="JV49" i="79"/>
  <c r="JU49" i="79"/>
  <c r="JT49" i="79"/>
  <c r="JS49" i="79"/>
  <c r="JR49" i="79"/>
  <c r="JQ49" i="79"/>
  <c r="JP49" i="79"/>
  <c r="JO49" i="79"/>
  <c r="JN49" i="79"/>
  <c r="JM49" i="79"/>
  <c r="JL49" i="79"/>
  <c r="JK49" i="79"/>
  <c r="JJ49" i="79"/>
  <c r="JI49" i="79"/>
  <c r="JH49" i="79"/>
  <c r="JG49" i="79"/>
  <c r="JF49" i="79"/>
  <c r="JE49" i="79"/>
  <c r="JD49" i="79"/>
  <c r="JC49" i="79"/>
  <c r="JB49" i="79"/>
  <c r="JA49" i="79"/>
  <c r="IZ49" i="79"/>
  <c r="IY49" i="79"/>
  <c r="IX49" i="79"/>
  <c r="IW49" i="79"/>
  <c r="IV49" i="79"/>
  <c r="IU49" i="79"/>
  <c r="IT49" i="79"/>
  <c r="IS49" i="79"/>
  <c r="IR49" i="79"/>
  <c r="IQ49" i="79"/>
  <c r="IP49" i="79"/>
  <c r="IO49" i="79"/>
  <c r="IN49" i="79"/>
  <c r="IM49" i="79"/>
  <c r="IL49" i="79"/>
  <c r="IK49" i="79"/>
  <c r="IJ49" i="79"/>
  <c r="II49" i="79"/>
  <c r="IH49" i="79"/>
  <c r="IG49" i="79"/>
  <c r="IF49" i="79"/>
  <c r="IE49" i="79"/>
  <c r="ID49" i="79"/>
  <c r="IC49" i="79"/>
  <c r="IB49" i="79"/>
  <c r="IA49" i="79"/>
  <c r="HZ49" i="79"/>
  <c r="HY49" i="79"/>
  <c r="HX49" i="79"/>
  <c r="HW49" i="79"/>
  <c r="HV49" i="79"/>
  <c r="HU49" i="79"/>
  <c r="HT49" i="79"/>
  <c r="HS49" i="79"/>
  <c r="HR49" i="79"/>
  <c r="HQ49" i="79"/>
  <c r="HP49" i="79"/>
  <c r="HO49" i="79"/>
  <c r="HN49" i="79"/>
  <c r="HM49" i="79"/>
  <c r="HL49" i="79"/>
  <c r="HK49" i="79"/>
  <c r="HJ49" i="79"/>
  <c r="HI49" i="79"/>
  <c r="HH49" i="79"/>
  <c r="HG49" i="79"/>
  <c r="HF49" i="79"/>
  <c r="HE49" i="79"/>
  <c r="HD49" i="79"/>
  <c r="HC49" i="79"/>
  <c r="HB49" i="79"/>
  <c r="HA49" i="79"/>
  <c r="GZ49" i="79"/>
  <c r="GY49" i="79"/>
  <c r="GX49" i="79"/>
  <c r="GW49" i="79"/>
  <c r="GV49" i="79"/>
  <c r="GU49" i="79"/>
  <c r="GT49" i="79"/>
  <c r="GS49" i="79"/>
  <c r="GR49" i="79"/>
  <c r="GQ49" i="79"/>
  <c r="GP49" i="79"/>
  <c r="GO49" i="79"/>
  <c r="GN49" i="79"/>
  <c r="GM49" i="79"/>
  <c r="GL49" i="79"/>
  <c r="GK49" i="79"/>
  <c r="GJ49" i="79"/>
  <c r="GI49" i="79"/>
  <c r="GH49" i="79"/>
  <c r="GG49" i="79"/>
  <c r="GF49" i="79"/>
  <c r="GE49" i="79"/>
  <c r="GD49" i="79"/>
  <c r="GC49" i="79"/>
  <c r="GB49" i="79"/>
  <c r="GA49" i="79"/>
  <c r="FZ49" i="79"/>
  <c r="FY49" i="79"/>
  <c r="FX49" i="79"/>
  <c r="FW49" i="79"/>
  <c r="FV49" i="79"/>
  <c r="FU49" i="79"/>
  <c r="FT49" i="79"/>
  <c r="FS49" i="79"/>
  <c r="FR49" i="79"/>
  <c r="FQ49" i="79"/>
  <c r="FP49" i="79"/>
  <c r="FO49" i="79"/>
  <c r="FN49" i="79"/>
  <c r="FM49" i="79"/>
  <c r="FL49" i="79"/>
  <c r="FK49" i="79"/>
  <c r="FJ49" i="79"/>
  <c r="FI49" i="79"/>
  <c r="FH49" i="79"/>
  <c r="FG49" i="79"/>
  <c r="FF49" i="79"/>
  <c r="FE49" i="79"/>
  <c r="FD49" i="79"/>
  <c r="FC49" i="79"/>
  <c r="FB49" i="79"/>
  <c r="FA49" i="79"/>
  <c r="EZ49" i="79"/>
  <c r="EY49" i="79"/>
  <c r="EX49" i="79"/>
  <c r="EW49" i="79"/>
  <c r="EV49" i="79"/>
  <c r="EU49" i="79"/>
  <c r="ET49" i="79"/>
  <c r="ES49" i="79"/>
  <c r="ER49" i="79"/>
  <c r="EQ49" i="79"/>
  <c r="EP49" i="79"/>
  <c r="EO49" i="79"/>
  <c r="EN49" i="79"/>
  <c r="EM49" i="79"/>
  <c r="EL49" i="79"/>
  <c r="EK49" i="79"/>
  <c r="EJ49" i="79"/>
  <c r="EI49" i="79"/>
  <c r="EH49" i="79"/>
  <c r="EG49" i="79"/>
  <c r="EF49" i="79"/>
  <c r="EE49" i="79"/>
  <c r="ED49" i="79"/>
  <c r="EC49" i="79"/>
  <c r="EB49" i="79"/>
  <c r="EA49" i="79"/>
  <c r="DZ49" i="79"/>
  <c r="DY49" i="79"/>
  <c r="DX49" i="79"/>
  <c r="DW49" i="79"/>
  <c r="DV49" i="79"/>
  <c r="DU49" i="79"/>
  <c r="DT49" i="79"/>
  <c r="DS49" i="79"/>
  <c r="DR49" i="79"/>
  <c r="DQ49" i="79"/>
  <c r="DP49" i="79"/>
  <c r="DO49" i="79"/>
  <c r="DN49" i="79"/>
  <c r="DM49" i="79"/>
  <c r="DL49" i="79"/>
  <c r="DK49" i="79"/>
  <c r="DJ49" i="79"/>
  <c r="DI49" i="79"/>
  <c r="DH49" i="79"/>
  <c r="DG49" i="79"/>
  <c r="DF49" i="79"/>
  <c r="DE49" i="79"/>
  <c r="DD49" i="79"/>
  <c r="DC49" i="79"/>
  <c r="DB49" i="79"/>
  <c r="DA49" i="79"/>
  <c r="CZ49" i="79"/>
  <c r="CY49" i="79"/>
  <c r="CX49" i="79"/>
  <c r="CW49" i="79"/>
  <c r="CV49" i="79"/>
  <c r="CU49" i="79"/>
  <c r="CT49" i="79"/>
  <c r="CS49" i="79"/>
  <c r="CR49" i="79"/>
  <c r="CQ49" i="79"/>
  <c r="CP49" i="79"/>
  <c r="CO49" i="79"/>
  <c r="CN49" i="79"/>
  <c r="CM49" i="79"/>
  <c r="CL49" i="79"/>
  <c r="CK49" i="79"/>
  <c r="CJ49" i="79"/>
  <c r="CI49" i="79"/>
  <c r="CH49" i="79"/>
  <c r="CG49" i="79"/>
  <c r="CF49" i="79"/>
  <c r="CE49" i="79"/>
  <c r="CD49" i="79"/>
  <c r="CC49" i="79"/>
  <c r="CB49" i="79"/>
  <c r="CA49" i="79"/>
  <c r="BZ49" i="79"/>
  <c r="BY49" i="79"/>
  <c r="BX49" i="79"/>
  <c r="BW49" i="79"/>
  <c r="BV49" i="79"/>
  <c r="BU49" i="79"/>
  <c r="BT49" i="79"/>
  <c r="BS49" i="79"/>
  <c r="BR49" i="79"/>
  <c r="BQ49" i="79"/>
  <c r="BP49" i="79"/>
  <c r="BO49" i="79"/>
  <c r="BN49" i="79"/>
  <c r="BM49" i="79"/>
  <c r="BL49" i="79"/>
  <c r="BK49" i="79"/>
  <c r="BJ49" i="79"/>
  <c r="BI49" i="79"/>
  <c r="BH49" i="79"/>
  <c r="BG49" i="79"/>
  <c r="BF49" i="79"/>
  <c r="BE49" i="79"/>
  <c r="BD49" i="79"/>
  <c r="BC49" i="79"/>
  <c r="BB49" i="79"/>
  <c r="BA49" i="79"/>
  <c r="AZ49" i="79"/>
  <c r="AY49" i="79"/>
  <c r="AX49" i="79"/>
  <c r="AW49" i="79"/>
  <c r="AV49" i="79"/>
  <c r="AU49" i="79"/>
  <c r="AT49" i="79"/>
  <c r="AS49" i="79"/>
  <c r="AR49" i="79"/>
  <c r="AQ49" i="79"/>
  <c r="AP49" i="79"/>
  <c r="AO49" i="79"/>
  <c r="AN49" i="79"/>
  <c r="AM49" i="79"/>
  <c r="AL49" i="79"/>
  <c r="AK49" i="79"/>
  <c r="AJ49" i="79"/>
  <c r="AI49" i="79"/>
  <c r="AH49" i="79"/>
  <c r="AG49" i="79"/>
  <c r="AF49" i="79"/>
  <c r="AE49" i="79"/>
  <c r="AD49" i="79"/>
  <c r="AC49" i="79"/>
  <c r="AB49" i="79"/>
  <c r="AA49" i="79"/>
  <c r="Z49" i="79"/>
  <c r="M49" i="79"/>
  <c r="I49" i="79"/>
  <c r="E49" i="79"/>
  <c r="R40" i="79" l="1"/>
  <c r="R34" i="79" s="1"/>
  <c r="R67" i="79"/>
  <c r="R61" i="79" s="1"/>
  <c r="R66" i="79"/>
  <c r="R60" i="79" s="1"/>
  <c r="R65" i="79"/>
  <c r="R59" i="79" s="1"/>
  <c r="R41" i="79"/>
  <c r="R35" i="79" s="1"/>
  <c r="R42" i="79"/>
  <c r="R36" i="79" s="1"/>
  <c r="M6" i="96"/>
  <c r="M5" i="96"/>
  <c r="M4" i="96" l="1"/>
  <c r="B12" i="23" l="1"/>
  <c r="I28" i="23"/>
  <c r="G27" i="23"/>
  <c r="D29" i="23"/>
  <c r="G28" i="92" l="1"/>
  <c r="D13" i="80" l="1"/>
  <c r="D12" i="80"/>
  <c r="D11" i="80"/>
  <c r="D10" i="80"/>
  <c r="D9" i="80"/>
  <c r="D8" i="80"/>
  <c r="D7" i="80"/>
  <c r="D6" i="80"/>
  <c r="D5" i="80"/>
  <c r="D4" i="80"/>
  <c r="Q4" i="80" a="1"/>
  <c r="Q4" i="80" l="1"/>
  <c r="C5" i="95" l="1"/>
  <c r="C6" i="95"/>
  <c r="C7" i="95"/>
  <c r="C8" i="95"/>
  <c r="C9" i="95"/>
  <c r="C10" i="95"/>
  <c r="C11" i="95"/>
  <c r="C12" i="95"/>
  <c r="C13" i="95"/>
  <c r="C4" i="95"/>
  <c r="G28" i="23" l="1"/>
  <c r="H28" i="23"/>
  <c r="E28" i="23"/>
  <c r="G29" i="51"/>
  <c r="R10" i="80" a="1"/>
  <c r="R6" i="80" a="1"/>
  <c r="R11" i="80" a="1"/>
  <c r="Q5" i="80" a="1"/>
  <c r="R4" i="80" a="1"/>
  <c r="R7" i="80" a="1"/>
  <c r="Q13" i="80" a="1"/>
  <c r="R9" i="80" a="1"/>
  <c r="Q10" i="80" a="1"/>
  <c r="Q6" i="80" a="1"/>
  <c r="Q8" i="80" a="1"/>
  <c r="Q12" i="80" a="1"/>
  <c r="R8" i="80" a="1"/>
  <c r="R13" i="80" a="1"/>
  <c r="Q9" i="80" a="1"/>
  <c r="Q11" i="80" a="1"/>
  <c r="R5" i="80" a="1"/>
  <c r="R12" i="80" a="1"/>
  <c r="Q7" i="80" a="1"/>
  <c r="R13" i="80" l="1"/>
  <c r="Q13" i="80"/>
  <c r="Q11" i="80"/>
  <c r="Q10" i="80"/>
  <c r="Q8" i="80"/>
  <c r="Q7" i="80"/>
  <c r="Q6" i="80"/>
  <c r="R11" i="80"/>
  <c r="R6" i="80"/>
  <c r="R12" i="80"/>
  <c r="R10" i="80"/>
  <c r="R9" i="80"/>
  <c r="R8" i="80"/>
  <c r="R7" i="80"/>
  <c r="R5" i="80"/>
  <c r="Q12" i="80"/>
  <c r="Q9" i="80"/>
  <c r="Q5" i="80"/>
  <c r="R4" i="80"/>
  <c r="A45" i="91" l="1"/>
  <c r="A44" i="91"/>
  <c r="A43" i="91"/>
  <c r="A42" i="91"/>
  <c r="F12" i="94" l="1"/>
  <c r="E12" i="94"/>
  <c r="D12" i="94"/>
  <c r="C12" i="94"/>
  <c r="B12" i="94"/>
  <c r="D12" i="90" l="1"/>
  <c r="C12" i="90"/>
  <c r="B12" i="90"/>
  <c r="D12" i="88" l="1"/>
  <c r="C12" i="88"/>
  <c r="B12" i="88"/>
  <c r="D12" i="93" l="1"/>
  <c r="C12" i="93"/>
  <c r="B12" i="93"/>
  <c r="D12" i="87" l="1"/>
  <c r="C12" i="87"/>
  <c r="B12" i="87"/>
  <c r="D12" i="91" l="1"/>
  <c r="C12" i="91"/>
  <c r="B12" i="91"/>
  <c r="B42" i="91" l="1"/>
  <c r="C42" i="91" s="1"/>
  <c r="B43" i="91"/>
  <c r="C43" i="91" s="1"/>
  <c r="B44" i="91"/>
  <c r="C44" i="91" s="1"/>
  <c r="B45" i="91"/>
  <c r="C45" i="91" s="1"/>
  <c r="F12" i="92"/>
  <c r="E12" i="92"/>
  <c r="D12" i="92"/>
  <c r="C12" i="92"/>
  <c r="B12" i="92"/>
  <c r="D12" i="89" l="1"/>
  <c r="C12" i="89"/>
  <c r="B12" i="89"/>
  <c r="F12" i="50" l="1"/>
  <c r="E12" i="50"/>
  <c r="D12" i="50"/>
  <c r="C12" i="50"/>
  <c r="B12" i="50"/>
  <c r="F12" i="51" l="1"/>
  <c r="E12" i="51"/>
  <c r="D12" i="51"/>
  <c r="C12" i="51"/>
  <c r="B12" i="51"/>
  <c r="A45" i="23" l="1"/>
  <c r="A40" i="23"/>
  <c r="H27" i="23"/>
  <c r="H29" i="23" s="1"/>
  <c r="A47" i="90" l="1"/>
  <c r="A48" i="90" s="1"/>
  <c r="A49" i="90" s="1"/>
  <c r="A50" i="90" s="1"/>
  <c r="A43" i="90"/>
  <c r="A44" i="90" s="1"/>
  <c r="A45" i="90" s="1"/>
  <c r="A46" i="90" s="1"/>
  <c r="A42" i="90"/>
  <c r="A43" i="50"/>
  <c r="A44" i="50" s="1"/>
  <c r="A45" i="50" s="1"/>
  <c r="A46" i="50" s="1"/>
  <c r="A47" i="50" s="1"/>
  <c r="F12" i="90" l="1"/>
  <c r="G9" i="90"/>
  <c r="D9" i="90"/>
  <c r="B9" i="90"/>
  <c r="A21" i="90"/>
  <c r="A22" i="90" s="1"/>
  <c r="F14" i="90"/>
  <c r="B29" i="90" l="1"/>
  <c r="B37" i="90"/>
  <c r="B22" i="90"/>
  <c r="C22" i="90" s="1"/>
  <c r="B30" i="90"/>
  <c r="B38" i="90"/>
  <c r="B46" i="90"/>
  <c r="B23" i="90"/>
  <c r="B31" i="90"/>
  <c r="B39" i="90"/>
  <c r="B21" i="90"/>
  <c r="C21" i="90" s="1"/>
  <c r="B24" i="90"/>
  <c r="B32" i="90"/>
  <c r="B40" i="90"/>
  <c r="B47" i="90"/>
  <c r="B25" i="90"/>
  <c r="B33" i="90"/>
  <c r="B41" i="90"/>
  <c r="B48" i="90"/>
  <c r="B26" i="90"/>
  <c r="B34" i="90"/>
  <c r="B42" i="90"/>
  <c r="B49" i="90"/>
  <c r="B27" i="90"/>
  <c r="B35" i="90"/>
  <c r="B43" i="90"/>
  <c r="B50" i="90"/>
  <c r="B28" i="90"/>
  <c r="B36" i="90"/>
  <c r="B44" i="90"/>
  <c r="B45" i="90"/>
  <c r="H9" i="90"/>
  <c r="I9" i="90" s="1"/>
  <c r="G12" i="90"/>
  <c r="E9" i="90"/>
  <c r="F9" i="90" s="1"/>
  <c r="A23" i="90"/>
  <c r="A24" i="90" l="1"/>
  <c r="C23" i="90"/>
  <c r="C24" i="90" l="1"/>
  <c r="A25" i="90"/>
  <c r="C25" i="90" l="1"/>
  <c r="A26" i="90"/>
  <c r="A27" i="90" l="1"/>
  <c r="C26" i="90"/>
  <c r="C27" i="90" l="1"/>
  <c r="A28" i="90"/>
  <c r="C28" i="90" l="1"/>
  <c r="A29" i="90"/>
  <c r="A30" i="90" l="1"/>
  <c r="C29" i="90"/>
  <c r="C30" i="90" l="1"/>
  <c r="A31" i="90"/>
  <c r="A32" i="90" l="1"/>
  <c r="C31" i="90"/>
  <c r="C32" i="90" l="1"/>
  <c r="A33" i="90"/>
  <c r="A34" i="90" l="1"/>
  <c r="C33" i="90"/>
  <c r="A35" i="90" l="1"/>
  <c r="C34" i="90"/>
  <c r="C35" i="90" l="1"/>
  <c r="A36" i="90"/>
  <c r="C36" i="90" l="1"/>
  <c r="A37" i="90"/>
  <c r="A38" i="90" l="1"/>
  <c r="C37" i="90"/>
  <c r="A39" i="90" l="1"/>
  <c r="C38" i="90"/>
  <c r="A40" i="90" l="1"/>
  <c r="C39" i="90"/>
  <c r="C40" i="90" l="1"/>
  <c r="A41" i="90"/>
  <c r="C41" i="90" s="1"/>
  <c r="L12" i="80"/>
  <c r="F12" i="88" l="1"/>
  <c r="G9" i="88"/>
  <c r="D9" i="88"/>
  <c r="B9" i="88"/>
  <c r="A21" i="88"/>
  <c r="A22" i="88" s="1"/>
  <c r="F14" i="88"/>
  <c r="H9" i="88" l="1"/>
  <c r="I9" i="88" s="1"/>
  <c r="E9" i="88"/>
  <c r="F9" i="88" s="1"/>
  <c r="G12" i="88"/>
  <c r="B22" i="88"/>
  <c r="C22" i="88" s="1"/>
  <c r="A23" i="88"/>
  <c r="B21" i="88"/>
  <c r="C21" i="88" s="1"/>
  <c r="A24" i="88" l="1"/>
  <c r="B23" i="88"/>
  <c r="C23" i="88" s="1"/>
  <c r="A25" i="88" l="1"/>
  <c r="B24" i="88"/>
  <c r="C24" i="88" s="1"/>
  <c r="B25" i="88" l="1"/>
  <c r="C25" i="88" s="1"/>
  <c r="E25" i="88" s="1"/>
  <c r="A26" i="88"/>
  <c r="A27" i="88" l="1"/>
  <c r="B26" i="88"/>
  <c r="C26" i="88" s="1"/>
  <c r="B27" i="88" l="1"/>
  <c r="C27" i="88" s="1"/>
  <c r="A28" i="88"/>
  <c r="E27" i="88" l="1"/>
  <c r="A29" i="88"/>
  <c r="B28" i="88"/>
  <c r="C28" i="88" s="1"/>
  <c r="A30" i="88" l="1"/>
  <c r="B29" i="88"/>
  <c r="C29" i="88" s="1"/>
  <c r="B30" i="88" l="1"/>
  <c r="C30" i="88" s="1"/>
  <c r="A31" i="88"/>
  <c r="A32" i="88" l="1"/>
  <c r="B31" i="88"/>
  <c r="C31" i="88" s="1"/>
  <c r="L11" i="80"/>
  <c r="A33" i="88" l="1"/>
  <c r="B32" i="88"/>
  <c r="C32" i="88" s="1"/>
  <c r="A34" i="88" l="1"/>
  <c r="B33" i="88"/>
  <c r="C33" i="88" s="1"/>
  <c r="A35" i="88" l="1"/>
  <c r="B34" i="88"/>
  <c r="C34" i="88" s="1"/>
  <c r="B35" i="88" l="1"/>
  <c r="C35" i="88" s="1"/>
  <c r="A36" i="88"/>
  <c r="A37" i="88" l="1"/>
  <c r="B36" i="88"/>
  <c r="C36" i="88" s="1"/>
  <c r="A38" i="88" l="1"/>
  <c r="B37" i="88"/>
  <c r="C37" i="88" s="1"/>
  <c r="B38" i="88" l="1"/>
  <c r="C38" i="88" s="1"/>
  <c r="A39" i="88"/>
  <c r="A40" i="88" l="1"/>
  <c r="B39" i="88"/>
  <c r="C39" i="88" s="1"/>
  <c r="A41" i="88" l="1"/>
  <c r="B41" i="88" s="1"/>
  <c r="C41" i="88" s="1"/>
  <c r="B40" i="88"/>
  <c r="C40" i="88" s="1"/>
  <c r="F12" i="93" l="1"/>
  <c r="G12" i="93"/>
  <c r="G9" i="93"/>
  <c r="D9" i="93"/>
  <c r="B9" i="93"/>
  <c r="A21" i="93"/>
  <c r="A22" i="93" s="1"/>
  <c r="F14" i="93"/>
  <c r="E9" i="93" l="1"/>
  <c r="F9" i="93" s="1"/>
  <c r="H9" i="93"/>
  <c r="I9" i="93" s="1"/>
  <c r="B22" i="93"/>
  <c r="C22" i="93" s="1"/>
  <c r="A23" i="93"/>
  <c r="B21" i="93"/>
  <c r="C21" i="93" s="1"/>
  <c r="L10" i="80"/>
  <c r="A24" i="93" l="1"/>
  <c r="B23" i="93"/>
  <c r="C23" i="93" s="1"/>
  <c r="A25" i="93" l="1"/>
  <c r="B24" i="93"/>
  <c r="C24" i="93" s="1"/>
  <c r="B25" i="93" l="1"/>
  <c r="C25" i="93" s="1"/>
  <c r="A26" i="93"/>
  <c r="A27" i="93" l="1"/>
  <c r="B26" i="93"/>
  <c r="C26" i="93" s="1"/>
  <c r="A28" i="93" l="1"/>
  <c r="B27" i="93"/>
  <c r="C27" i="93" s="1"/>
  <c r="A29" i="93" l="1"/>
  <c r="B28" i="93"/>
  <c r="C28" i="93" s="1"/>
  <c r="B29" i="93" l="1"/>
  <c r="C29" i="93" s="1"/>
  <c r="A30" i="93"/>
  <c r="B30" i="93" l="1"/>
  <c r="C30" i="93" s="1"/>
  <c r="A31" i="93"/>
  <c r="A32" i="93" l="1"/>
  <c r="B31" i="93"/>
  <c r="C31" i="93" s="1"/>
  <c r="A33" i="93" l="1"/>
  <c r="B32" i="93"/>
  <c r="C32" i="93" s="1"/>
  <c r="B33" i="93" l="1"/>
  <c r="C33" i="93" s="1"/>
  <c r="A34" i="93"/>
  <c r="A35" i="93" l="1"/>
  <c r="B34" i="93"/>
  <c r="C34" i="93" s="1"/>
  <c r="A36" i="93" l="1"/>
  <c r="B35" i="93"/>
  <c r="C35" i="93" s="1"/>
  <c r="B36" i="93" l="1"/>
  <c r="C36" i="93" s="1"/>
  <c r="A37" i="93"/>
  <c r="B37" i="93" l="1"/>
  <c r="C37" i="93" s="1"/>
  <c r="A38" i="93"/>
  <c r="B38" i="93" l="1"/>
  <c r="C38" i="93" s="1"/>
  <c r="A39" i="93"/>
  <c r="A40" i="93" l="1"/>
  <c r="B39" i="93"/>
  <c r="C39" i="93" s="1"/>
  <c r="A41" i="93" l="1"/>
  <c r="B41" i="93" s="1"/>
  <c r="C41" i="93" s="1"/>
  <c r="B40" i="93"/>
  <c r="C40" i="93" s="1"/>
  <c r="F12" i="87" l="1"/>
  <c r="G9" i="87" l="1"/>
  <c r="H9" i="87" s="1"/>
  <c r="D9" i="87"/>
  <c r="E9" i="87" s="1"/>
  <c r="B9" i="87"/>
  <c r="A21" i="87"/>
  <c r="A22" i="87" s="1"/>
  <c r="F14" i="87"/>
  <c r="G12" i="87"/>
  <c r="B22" i="87" l="1"/>
  <c r="C22" i="87" s="1"/>
  <c r="A23" i="87"/>
  <c r="B21" i="87"/>
  <c r="C21" i="87" s="1"/>
  <c r="I9" i="87"/>
  <c r="F9" i="87"/>
  <c r="F12" i="91"/>
  <c r="D9" i="91"/>
  <c r="G12" i="91"/>
  <c r="G9" i="91"/>
  <c r="B9" i="91"/>
  <c r="A21" i="91"/>
  <c r="A22" i="91" s="1"/>
  <c r="F14" i="91"/>
  <c r="H9" i="91" l="1"/>
  <c r="I9" i="91" s="1"/>
  <c r="E9" i="91"/>
  <c r="F9" i="91" s="1"/>
  <c r="A24" i="87"/>
  <c r="B23" i="87"/>
  <c r="C23" i="87" s="1"/>
  <c r="B22" i="91"/>
  <c r="C22" i="91" s="1"/>
  <c r="A23" i="91"/>
  <c r="B21" i="91"/>
  <c r="C21" i="91" s="1"/>
  <c r="B24" i="87" l="1"/>
  <c r="C24" i="87" s="1"/>
  <c r="A25" i="87"/>
  <c r="A24" i="91"/>
  <c r="B23" i="91"/>
  <c r="C23" i="91" s="1"/>
  <c r="B25" i="87" l="1"/>
  <c r="C25" i="87" s="1"/>
  <c r="A26" i="87"/>
  <c r="A25" i="91"/>
  <c r="B24" i="91"/>
  <c r="C24" i="91" s="1"/>
  <c r="A27" i="87" l="1"/>
  <c r="B26" i="87"/>
  <c r="C26" i="87" s="1"/>
  <c r="B25" i="91"/>
  <c r="C25" i="91" s="1"/>
  <c r="A26" i="91"/>
  <c r="A28" i="87" l="1"/>
  <c r="B27" i="87"/>
  <c r="C27" i="87" s="1"/>
  <c r="A27" i="91"/>
  <c r="B26" i="91"/>
  <c r="C26" i="91" s="1"/>
  <c r="A29" i="87" l="1"/>
  <c r="B28" i="87"/>
  <c r="C28" i="87" s="1"/>
  <c r="B27" i="91"/>
  <c r="C27" i="91" s="1"/>
  <c r="A28" i="91"/>
  <c r="A30" i="87" l="1"/>
  <c r="B29" i="87"/>
  <c r="C29" i="87" s="1"/>
  <c r="B28" i="91"/>
  <c r="C28" i="91" s="1"/>
  <c r="A29" i="91"/>
  <c r="B30" i="87" l="1"/>
  <c r="C30" i="87" s="1"/>
  <c r="A31" i="87"/>
  <c r="A30" i="91"/>
  <c r="B29" i="91"/>
  <c r="C29" i="91" s="1"/>
  <c r="A32" i="87" l="1"/>
  <c r="B31" i="87"/>
  <c r="C31" i="87" s="1"/>
  <c r="B30" i="91"/>
  <c r="C30" i="91" s="1"/>
  <c r="A31" i="91"/>
  <c r="A33" i="87" l="1"/>
  <c r="B32" i="87"/>
  <c r="C32" i="87" s="1"/>
  <c r="A32" i="91"/>
  <c r="B31" i="91"/>
  <c r="C31" i="91" s="1"/>
  <c r="B33" i="87" l="1"/>
  <c r="C33" i="87" s="1"/>
  <c r="A34" i="87"/>
  <c r="A33" i="91"/>
  <c r="B32" i="91"/>
  <c r="C32" i="91" s="1"/>
  <c r="A35" i="87" l="1"/>
  <c r="B34" i="87"/>
  <c r="C34" i="87" s="1"/>
  <c r="B33" i="91"/>
  <c r="C33" i="91" s="1"/>
  <c r="A34" i="91"/>
  <c r="A36" i="87" l="1"/>
  <c r="B35" i="87"/>
  <c r="C35" i="87" s="1"/>
  <c r="A35" i="91"/>
  <c r="B34" i="91"/>
  <c r="C34" i="91" s="1"/>
  <c r="A37" i="87" l="1"/>
  <c r="B36" i="87"/>
  <c r="C36" i="87" s="1"/>
  <c r="B35" i="91"/>
  <c r="C35" i="91" s="1"/>
  <c r="A36" i="91"/>
  <c r="A38" i="87" l="1"/>
  <c r="B37" i="87"/>
  <c r="C37" i="87" s="1"/>
  <c r="A37" i="91"/>
  <c r="B36" i="91"/>
  <c r="C36" i="91" s="1"/>
  <c r="B38" i="87" l="1"/>
  <c r="C38" i="87" s="1"/>
  <c r="A39" i="87"/>
  <c r="A38" i="91"/>
  <c r="B37" i="91"/>
  <c r="C37" i="91" s="1"/>
  <c r="B39" i="87" l="1"/>
  <c r="C39" i="87" s="1"/>
  <c r="A40" i="87"/>
  <c r="B38" i="91"/>
  <c r="C38" i="91" s="1"/>
  <c r="A39" i="91"/>
  <c r="A41" i="87" l="1"/>
  <c r="B41" i="87" s="1"/>
  <c r="C41" i="87" s="1"/>
  <c r="B40" i="87"/>
  <c r="C40" i="87" s="1"/>
  <c r="A40" i="91"/>
  <c r="B39" i="91"/>
  <c r="C39" i="91" s="1"/>
  <c r="L9" i="80"/>
  <c r="L8" i="80"/>
  <c r="A41" i="91" l="1"/>
  <c r="B41" i="91" s="1"/>
  <c r="C41" i="91" s="1"/>
  <c r="B40" i="91"/>
  <c r="C40" i="91" s="1"/>
  <c r="I33" i="23" l="1"/>
  <c r="G33" i="23"/>
  <c r="F33" i="23"/>
  <c r="G9" i="89"/>
  <c r="F12" i="89"/>
  <c r="D9" i="89"/>
  <c r="E14" i="90" l="1"/>
  <c r="E14" i="88"/>
  <c r="E14" i="93"/>
  <c r="E14" i="87"/>
  <c r="E14" i="91"/>
  <c r="F14" i="89"/>
  <c r="E14" i="89"/>
  <c r="B9" i="89"/>
  <c r="B9" i="51"/>
  <c r="B27" i="89" l="1"/>
  <c r="C27" i="89" s="1"/>
  <c r="H9" i="89"/>
  <c r="E9" i="89"/>
  <c r="B21" i="89"/>
  <c r="B34" i="89"/>
  <c r="C34" i="89" s="1"/>
  <c r="B26" i="89"/>
  <c r="C26" i="89" s="1"/>
  <c r="B41" i="89"/>
  <c r="C41" i="89" s="1"/>
  <c r="B33" i="89"/>
  <c r="C33" i="89" s="1"/>
  <c r="B25" i="89"/>
  <c r="C25" i="89" s="1"/>
  <c r="B40" i="89"/>
  <c r="C40" i="89" s="1"/>
  <c r="B32" i="89"/>
  <c r="C32" i="89" s="1"/>
  <c r="B24" i="89"/>
  <c r="C24" i="89" s="1"/>
  <c r="B39" i="89"/>
  <c r="C39" i="89" s="1"/>
  <c r="B31" i="89"/>
  <c r="C31" i="89" s="1"/>
  <c r="B23" i="89"/>
  <c r="C23" i="89" s="1"/>
  <c r="B38" i="89"/>
  <c r="C38" i="89" s="1"/>
  <c r="B30" i="89"/>
  <c r="C30" i="89" s="1"/>
  <c r="B22" i="89"/>
  <c r="C22" i="89" s="1"/>
  <c r="B37" i="89"/>
  <c r="C37" i="89" s="1"/>
  <c r="B29" i="89"/>
  <c r="C29" i="89" s="1"/>
  <c r="B36" i="89"/>
  <c r="C36" i="89" s="1"/>
  <c r="B28" i="89"/>
  <c r="C28" i="89" s="1"/>
  <c r="B35" i="89"/>
  <c r="C35" i="89" s="1"/>
  <c r="L6" i="80"/>
  <c r="A21" i="89" l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G12" i="89" l="1"/>
  <c r="I9" i="89"/>
  <c r="C21" i="89"/>
  <c r="C9" i="89" l="1"/>
  <c r="C9" i="91"/>
  <c r="C9" i="87"/>
  <c r="C9" i="93"/>
  <c r="C9" i="88"/>
  <c r="C9" i="90"/>
  <c r="C9" i="51"/>
  <c r="C13" i="80" l="1"/>
  <c r="B8" i="79" l="1"/>
  <c r="B9" i="79"/>
  <c r="B10" i="79"/>
  <c r="B11" i="79"/>
  <c r="B12" i="79"/>
  <c r="B13" i="79"/>
  <c r="B14" i="79"/>
  <c r="B15" i="79"/>
  <c r="B16" i="79"/>
  <c r="B32" i="79" l="1"/>
  <c r="B57" i="79" s="1"/>
  <c r="C32" i="79"/>
  <c r="E27" i="23"/>
  <c r="J9" i="23" s="1"/>
  <c r="D13" i="95" l="1"/>
  <c r="C57" i="79"/>
  <c r="I27" i="23"/>
  <c r="H45" i="23" l="1"/>
  <c r="D45" i="23"/>
  <c r="C45" i="23"/>
  <c r="B45" i="23"/>
  <c r="I12" i="94"/>
  <c r="I12" i="92"/>
  <c r="G9" i="94"/>
  <c r="D9" i="94"/>
  <c r="G9" i="92"/>
  <c r="D9" i="92"/>
  <c r="C9" i="94"/>
  <c r="B9" i="94"/>
  <c r="K26" i="23"/>
  <c r="M26" i="23" s="1"/>
  <c r="K25" i="23"/>
  <c r="M25" i="23" s="1"/>
  <c r="K24" i="23"/>
  <c r="M24" i="23" s="1"/>
  <c r="K23" i="23"/>
  <c r="M23" i="23" s="1"/>
  <c r="K22" i="23"/>
  <c r="M22" i="23" s="1"/>
  <c r="K21" i="23"/>
  <c r="M21" i="23" s="1"/>
  <c r="K20" i="23"/>
  <c r="M20" i="23" s="1"/>
  <c r="K19" i="23"/>
  <c r="M19" i="23" s="1"/>
  <c r="K18" i="23"/>
  <c r="M18" i="23" s="1"/>
  <c r="K17" i="23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H14" i="94"/>
  <c r="G14" i="94"/>
  <c r="G12" i="94"/>
  <c r="O12" i="94"/>
  <c r="N12" i="94"/>
  <c r="C6" i="94"/>
  <c r="B6" i="94"/>
  <c r="A22" i="92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H14" i="92"/>
  <c r="G14" i="92"/>
  <c r="G12" i="92"/>
  <c r="H12" i="92" s="1"/>
  <c r="O12" i="92"/>
  <c r="N12" i="92"/>
  <c r="C6" i="92"/>
  <c r="B6" i="92"/>
  <c r="K28" i="23" l="1"/>
  <c r="M28" i="23" s="1"/>
  <c r="K45" i="23"/>
  <c r="M45" i="23" s="1"/>
  <c r="Z16" i="79"/>
  <c r="AA16" i="79" s="1"/>
  <c r="M17" i="23"/>
  <c r="K27" i="23"/>
  <c r="M27" i="23" s="1"/>
  <c r="L12" i="94"/>
  <c r="M12" i="94" s="1"/>
  <c r="P12" i="94" s="1"/>
  <c r="Q12" i="94" s="1"/>
  <c r="H12" i="94"/>
  <c r="L12" i="92"/>
  <c r="M12" i="92" s="1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39" i="81"/>
  <c r="C38" i="81"/>
  <c r="C37" i="81"/>
  <c r="C36" i="81"/>
  <c r="C35" i="81"/>
  <c r="C34" i="81"/>
  <c r="C33" i="81"/>
  <c r="C32" i="81"/>
  <c r="C31" i="81"/>
  <c r="L13" i="81"/>
  <c r="L12" i="81"/>
  <c r="L11" i="81"/>
  <c r="L10" i="81"/>
  <c r="L9" i="81"/>
  <c r="L8" i="81"/>
  <c r="L7" i="81"/>
  <c r="L6" i="81"/>
  <c r="L5" i="81"/>
  <c r="L27" i="81"/>
  <c r="L26" i="81"/>
  <c r="L25" i="81"/>
  <c r="L24" i="81"/>
  <c r="L23" i="81"/>
  <c r="L22" i="81"/>
  <c r="L21" i="81"/>
  <c r="L20" i="81"/>
  <c r="L19" i="81"/>
  <c r="C27" i="81"/>
  <c r="C26" i="81"/>
  <c r="C25" i="81"/>
  <c r="C24" i="81"/>
  <c r="C23" i="81"/>
  <c r="C22" i="81"/>
  <c r="C21" i="81"/>
  <c r="C20" i="81"/>
  <c r="C19" i="81"/>
  <c r="C13" i="81"/>
  <c r="C12" i="81"/>
  <c r="C11" i="81"/>
  <c r="C10" i="81"/>
  <c r="C9" i="81"/>
  <c r="C8" i="81"/>
  <c r="C7" i="81"/>
  <c r="C6" i="81"/>
  <c r="C5" i="81"/>
  <c r="C12" i="80"/>
  <c r="C11" i="80"/>
  <c r="C10" i="80"/>
  <c r="C9" i="80"/>
  <c r="C8" i="80"/>
  <c r="C7" i="80"/>
  <c r="C6" i="80"/>
  <c r="C5" i="80"/>
  <c r="C4" i="80"/>
  <c r="D14" i="80" l="1"/>
  <c r="G32" i="79"/>
  <c r="G57" i="79" s="1"/>
  <c r="F32" i="79"/>
  <c r="F57" i="79" s="1"/>
  <c r="K32" i="79"/>
  <c r="K57" i="79" s="1"/>
  <c r="J32" i="79"/>
  <c r="J57" i="79" s="1"/>
  <c r="O32" i="79"/>
  <c r="O57" i="79" s="1"/>
  <c r="N32" i="79"/>
  <c r="N57" i="79" s="1"/>
  <c r="R12" i="94"/>
  <c r="B33" i="94" s="1"/>
  <c r="P12" i="92"/>
  <c r="Q12" i="92" s="1"/>
  <c r="R12" i="92"/>
  <c r="B25" i="94" l="1"/>
  <c r="E25" i="94" s="1"/>
  <c r="H9" i="94"/>
  <c r="I9" i="94" s="1"/>
  <c r="J9" i="94" s="1"/>
  <c r="B30" i="94"/>
  <c r="E30" i="94" s="1"/>
  <c r="B24" i="94"/>
  <c r="E24" i="94" s="1"/>
  <c r="B22" i="94"/>
  <c r="E22" i="94" s="1"/>
  <c r="B42" i="94"/>
  <c r="E42" i="94" s="1"/>
  <c r="E9" i="94"/>
  <c r="F9" i="94" s="1"/>
  <c r="J26" i="23" s="1"/>
  <c r="I45" i="23" s="1"/>
  <c r="J45" i="23" s="1"/>
  <c r="B36" i="94"/>
  <c r="C36" i="94" s="1"/>
  <c r="B27" i="94"/>
  <c r="C27" i="94" s="1"/>
  <c r="B23" i="94"/>
  <c r="C23" i="94" s="1"/>
  <c r="B34" i="94"/>
  <c r="E34" i="94" s="1"/>
  <c r="B31" i="94"/>
  <c r="E31" i="94" s="1"/>
  <c r="B29" i="94"/>
  <c r="E29" i="94" s="1"/>
  <c r="B39" i="94"/>
  <c r="E39" i="94" s="1"/>
  <c r="B35" i="94"/>
  <c r="C35" i="94" s="1"/>
  <c r="B41" i="94"/>
  <c r="C41" i="94" s="1"/>
  <c r="B38" i="94"/>
  <c r="E38" i="94" s="1"/>
  <c r="B28" i="94"/>
  <c r="C28" i="94" s="1"/>
  <c r="B26" i="94"/>
  <c r="C26" i="94" s="1"/>
  <c r="B32" i="94"/>
  <c r="E32" i="94" s="1"/>
  <c r="B37" i="94"/>
  <c r="E37" i="94" s="1"/>
  <c r="B40" i="94"/>
  <c r="E40" i="94" s="1"/>
  <c r="C25" i="94"/>
  <c r="E27" i="94"/>
  <c r="E33" i="94"/>
  <c r="C33" i="94"/>
  <c r="J23" i="23"/>
  <c r="B33" i="92"/>
  <c r="B31" i="92"/>
  <c r="B40" i="92"/>
  <c r="B28" i="92"/>
  <c r="B36" i="92"/>
  <c r="B38" i="92"/>
  <c r="B26" i="92"/>
  <c r="B35" i="92"/>
  <c r="B23" i="92"/>
  <c r="B42" i="92"/>
  <c r="B30" i="92"/>
  <c r="H9" i="92"/>
  <c r="I9" i="92" s="1"/>
  <c r="B37" i="92"/>
  <c r="B25" i="92"/>
  <c r="B32" i="92"/>
  <c r="B39" i="92"/>
  <c r="B27" i="92"/>
  <c r="B22" i="92"/>
  <c r="E9" i="92"/>
  <c r="F9" i="92" s="1"/>
  <c r="J20" i="23" s="1"/>
  <c r="B24" i="92"/>
  <c r="B34" i="92"/>
  <c r="B41" i="92"/>
  <c r="B29" i="92"/>
  <c r="J21" i="23"/>
  <c r="J25" i="23"/>
  <c r="J24" i="23"/>
  <c r="J22" i="23"/>
  <c r="N21" i="79"/>
  <c r="J21" i="79"/>
  <c r="B24" i="79"/>
  <c r="B49" i="79" s="1"/>
  <c r="B25" i="79"/>
  <c r="B50" i="79" s="1"/>
  <c r="B26" i="79"/>
  <c r="B51" i="79" s="1"/>
  <c r="B27" i="79"/>
  <c r="B52" i="79" s="1"/>
  <c r="B28" i="79"/>
  <c r="B53" i="79" s="1"/>
  <c r="B29" i="79"/>
  <c r="B54" i="79" s="1"/>
  <c r="B30" i="79"/>
  <c r="B55" i="79" s="1"/>
  <c r="B31" i="79"/>
  <c r="B56" i="79" s="1"/>
  <c r="B7" i="79"/>
  <c r="C24" i="94" l="1"/>
  <c r="D25" i="94"/>
  <c r="C22" i="94"/>
  <c r="C31" i="94"/>
  <c r="D31" i="94"/>
  <c r="C37" i="94"/>
  <c r="C39" i="94"/>
  <c r="C42" i="94"/>
  <c r="E28" i="94"/>
  <c r="D23" i="94"/>
  <c r="E23" i="94"/>
  <c r="D38" i="94"/>
  <c r="C38" i="94"/>
  <c r="H32" i="79"/>
  <c r="L32" i="79"/>
  <c r="P32" i="79"/>
  <c r="D33" i="94"/>
  <c r="D28" i="94"/>
  <c r="C17" i="79"/>
  <c r="W17" i="79" s="1"/>
  <c r="W33" i="79" s="1"/>
  <c r="W58" i="79" s="1"/>
  <c r="D39" i="94"/>
  <c r="D24" i="94"/>
  <c r="D26" i="94"/>
  <c r="C34" i="94"/>
  <c r="C29" i="94"/>
  <c r="F26" i="23"/>
  <c r="E26" i="94"/>
  <c r="D34" i="94"/>
  <c r="D29" i="94"/>
  <c r="C30" i="94"/>
  <c r="D27" i="94"/>
  <c r="D30" i="94"/>
  <c r="D40" i="94"/>
  <c r="AB16" i="79"/>
  <c r="C25" i="79"/>
  <c r="C27" i="79"/>
  <c r="C26" i="79"/>
  <c r="C28" i="79"/>
  <c r="C29" i="79"/>
  <c r="C30" i="79"/>
  <c r="C31" i="79"/>
  <c r="C24" i="79"/>
  <c r="D35" i="94"/>
  <c r="C32" i="94"/>
  <c r="D37" i="94"/>
  <c r="E41" i="94"/>
  <c r="E36" i="94"/>
  <c r="D41" i="94"/>
  <c r="D32" i="94"/>
  <c r="D36" i="94"/>
  <c r="D42" i="94"/>
  <c r="E35" i="94"/>
  <c r="C40" i="94"/>
  <c r="J9" i="92"/>
  <c r="F20" i="23"/>
  <c r="L20" i="23" s="1"/>
  <c r="N20" i="23" s="1"/>
  <c r="F23" i="23"/>
  <c r="L23" i="23" s="1"/>
  <c r="N23" i="23" s="1"/>
  <c r="F21" i="23"/>
  <c r="F24" i="23"/>
  <c r="F25" i="23"/>
  <c r="L25" i="23" s="1"/>
  <c r="N25" i="23" s="1"/>
  <c r="F22" i="23"/>
  <c r="L22" i="23" s="1"/>
  <c r="N22" i="23" s="1"/>
  <c r="F19" i="23"/>
  <c r="E30" i="92"/>
  <c r="D30" i="92"/>
  <c r="C30" i="92"/>
  <c r="E41" i="92"/>
  <c r="D41" i="92"/>
  <c r="C41" i="92"/>
  <c r="E42" i="92"/>
  <c r="D42" i="92"/>
  <c r="C42" i="92"/>
  <c r="E29" i="92"/>
  <c r="D29" i="92"/>
  <c r="C29" i="92"/>
  <c r="E34" i="92"/>
  <c r="D34" i="92"/>
  <c r="C34" i="92"/>
  <c r="D23" i="92"/>
  <c r="E23" i="92"/>
  <c r="C23" i="92"/>
  <c r="E24" i="92"/>
  <c r="C24" i="92"/>
  <c r="D24" i="92"/>
  <c r="D35" i="92"/>
  <c r="E35" i="92"/>
  <c r="C35" i="92"/>
  <c r="D26" i="92"/>
  <c r="E26" i="92"/>
  <c r="C26" i="92"/>
  <c r="E22" i="92"/>
  <c r="C22" i="92"/>
  <c r="D38" i="92"/>
  <c r="C38" i="92"/>
  <c r="E38" i="92"/>
  <c r="E27" i="92"/>
  <c r="D27" i="92"/>
  <c r="C27" i="92"/>
  <c r="E36" i="92"/>
  <c r="D36" i="92"/>
  <c r="C36" i="92"/>
  <c r="E39" i="92"/>
  <c r="D39" i="92"/>
  <c r="C39" i="92"/>
  <c r="C28" i="92"/>
  <c r="E28" i="92"/>
  <c r="D28" i="92"/>
  <c r="E32" i="92"/>
  <c r="D32" i="92"/>
  <c r="C32" i="92"/>
  <c r="C40" i="92"/>
  <c r="E40" i="92"/>
  <c r="D40" i="92"/>
  <c r="E25" i="92"/>
  <c r="D25" i="92"/>
  <c r="C25" i="92"/>
  <c r="E31" i="92"/>
  <c r="C31" i="92"/>
  <c r="D31" i="92"/>
  <c r="E37" i="92"/>
  <c r="D37" i="92"/>
  <c r="C37" i="92"/>
  <c r="E33" i="92"/>
  <c r="C33" i="92"/>
  <c r="D33" i="92"/>
  <c r="L13" i="80"/>
  <c r="L7" i="80"/>
  <c r="C8" i="97" l="1"/>
  <c r="S17" i="79"/>
  <c r="S33" i="79" s="1"/>
  <c r="S58" i="79" s="1"/>
  <c r="D12" i="95"/>
  <c r="C56" i="79"/>
  <c r="D7" i="95"/>
  <c r="C51" i="79"/>
  <c r="D11" i="95"/>
  <c r="C55" i="79"/>
  <c r="D8" i="95"/>
  <c r="C52" i="79"/>
  <c r="D10" i="95"/>
  <c r="C54" i="79"/>
  <c r="D6" i="95"/>
  <c r="C50" i="79"/>
  <c r="D5" i="95"/>
  <c r="C49" i="79"/>
  <c r="D9" i="95"/>
  <c r="C53" i="79"/>
  <c r="H6" i="96"/>
  <c r="I6" i="96" s="1"/>
  <c r="L57" i="79"/>
  <c r="F6" i="96"/>
  <c r="G6" i="96" s="1"/>
  <c r="H57" i="79"/>
  <c r="J6" i="96"/>
  <c r="K6" i="96" s="1"/>
  <c r="P57" i="79"/>
  <c r="C33" i="79"/>
  <c r="F28" i="92"/>
  <c r="G29" i="92" s="1"/>
  <c r="L24" i="23"/>
  <c r="N24" i="23" s="1"/>
  <c r="E11" i="80"/>
  <c r="I11" i="80" s="1"/>
  <c r="F21" i="80" s="1"/>
  <c r="F45" i="23"/>
  <c r="G45" i="23" s="1"/>
  <c r="F13" i="80" s="1"/>
  <c r="E13" i="80"/>
  <c r="L26" i="23"/>
  <c r="N26" i="23" s="1"/>
  <c r="L21" i="23"/>
  <c r="N21" i="23" s="1"/>
  <c r="C14" i="97" l="1"/>
  <c r="E8" i="97"/>
  <c r="E7" i="97"/>
  <c r="C7" i="97" s="1"/>
  <c r="C13" i="97" s="1"/>
  <c r="E6" i="97"/>
  <c r="C6" i="97" s="1"/>
  <c r="C12" i="97" s="1"/>
  <c r="D14" i="95"/>
  <c r="C58" i="79"/>
  <c r="J11" i="80"/>
  <c r="K11" i="80" s="1"/>
  <c r="J13" i="80"/>
  <c r="K13" i="80" s="1"/>
  <c r="I13" i="80"/>
  <c r="F25" i="80" s="1"/>
  <c r="G13" i="80"/>
  <c r="O45" i="23"/>
  <c r="L45" i="23"/>
  <c r="N45" i="23" s="1"/>
  <c r="H13" i="80"/>
  <c r="E8" i="80"/>
  <c r="E13" i="97" l="1"/>
  <c r="E12" i="97"/>
  <c r="J8" i="80"/>
  <c r="K8" i="80" s="1"/>
  <c r="I8" i="80"/>
  <c r="F24" i="80" s="1"/>
  <c r="D32" i="79"/>
  <c r="D57" i="79" s="1"/>
  <c r="H8" i="80"/>
  <c r="I40" i="23"/>
  <c r="J40" i="23" s="1"/>
  <c r="H40" i="23"/>
  <c r="F40" i="23"/>
  <c r="D40" i="23"/>
  <c r="C40" i="23"/>
  <c r="B40" i="23"/>
  <c r="B41" i="23"/>
  <c r="B42" i="23"/>
  <c r="B43" i="23"/>
  <c r="B44" i="23"/>
  <c r="A32" i="79" l="1"/>
  <c r="D6" i="96"/>
  <c r="E6" i="96" s="1"/>
  <c r="H27" i="79"/>
  <c r="H52" i="79" s="1"/>
  <c r="L27" i="79"/>
  <c r="L52" i="79" s="1"/>
  <c r="P27" i="79"/>
  <c r="P52" i="79" s="1"/>
  <c r="G27" i="79"/>
  <c r="G52" i="79" s="1"/>
  <c r="G40" i="23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G23" i="81"/>
  <c r="P23" i="81" s="1"/>
  <c r="I23" i="81"/>
  <c r="R23" i="81" s="1"/>
  <c r="E23" i="81"/>
  <c r="N23" i="81" s="1"/>
  <c r="R9" i="81"/>
  <c r="P9" i="81"/>
  <c r="E9" i="81"/>
  <c r="N9" i="81" s="1"/>
  <c r="Z11" i="79"/>
  <c r="AA11" i="79" s="1"/>
  <c r="F23" i="81"/>
  <c r="O23" i="81" s="1"/>
  <c r="G35" i="81" s="1"/>
  <c r="O9" i="81"/>
  <c r="E35" i="81" s="1"/>
  <c r="D9" i="81"/>
  <c r="M9" i="81" s="1"/>
  <c r="H23" i="81"/>
  <c r="Q23" i="81" s="1"/>
  <c r="H35" i="81" s="1"/>
  <c r="D23" i="81"/>
  <c r="M23" i="81" s="1"/>
  <c r="D35" i="81" s="1"/>
  <c r="Q9" i="81"/>
  <c r="F35" i="81" s="1"/>
  <c r="K40" i="23"/>
  <c r="M40" i="23" s="1"/>
  <c r="L40" i="23" l="1"/>
  <c r="N40" i="23" s="1"/>
  <c r="F8" i="80"/>
  <c r="O40" i="23"/>
  <c r="O27" i="79"/>
  <c r="O52" i="79" s="1"/>
  <c r="N27" i="79"/>
  <c r="N52" i="79" s="1"/>
  <c r="K27" i="79"/>
  <c r="K52" i="79" s="1"/>
  <c r="J27" i="79"/>
  <c r="J52" i="79" s="1"/>
  <c r="F27" i="79"/>
  <c r="F52" i="79" s="1"/>
  <c r="H14" i="48"/>
  <c r="G14" i="48"/>
  <c r="D27" i="79" l="1"/>
  <c r="G8" i="80"/>
  <c r="E9" i="80"/>
  <c r="I9" i="80" s="1"/>
  <c r="F20" i="80" s="1"/>
  <c r="A27" i="79" l="1"/>
  <c r="D52" i="79"/>
  <c r="J9" i="80"/>
  <c r="K9" i="80" s="1"/>
  <c r="H9" i="80"/>
  <c r="F38" i="23" l="1"/>
  <c r="E6" i="80"/>
  <c r="J6" i="80" l="1"/>
  <c r="K6" i="80" s="1"/>
  <c r="I6" i="80"/>
  <c r="F23" i="80" s="1"/>
  <c r="H6" i="80"/>
  <c r="O35" i="81" l="1"/>
  <c r="O34" i="81"/>
  <c r="O33" i="81"/>
  <c r="O32" i="81"/>
  <c r="O31" i="81"/>
  <c r="F20" i="79"/>
  <c r="F21" i="79"/>
  <c r="B23" i="79"/>
  <c r="B48" i="79" s="1"/>
  <c r="C23" i="79" l="1"/>
  <c r="B3" i="79"/>
  <c r="D14" i="78"/>
  <c r="D13" i="78"/>
  <c r="D12" i="78"/>
  <c r="D4" i="95" l="1"/>
  <c r="C48" i="79"/>
  <c r="C8" i="78"/>
  <c r="E6" i="78" l="1"/>
  <c r="C6" i="78" s="1"/>
  <c r="E8" i="78"/>
  <c r="C14" i="78"/>
  <c r="E7" i="78"/>
  <c r="C7" i="78" s="1"/>
  <c r="E10" i="80" l="1"/>
  <c r="J10" i="80" l="1"/>
  <c r="K10" i="80" s="1"/>
  <c r="I10" i="80"/>
  <c r="F18" i="80" s="1"/>
  <c r="H10" i="80"/>
  <c r="E12" i="80" l="1"/>
  <c r="J12" i="80" l="1"/>
  <c r="K12" i="80" s="1"/>
  <c r="I12" i="80"/>
  <c r="H12" i="80"/>
  <c r="H11" i="80"/>
  <c r="D12" i="23" l="1"/>
  <c r="C6" i="48" l="1"/>
  <c r="B6" i="48"/>
  <c r="C6" i="50"/>
  <c r="B6" i="50"/>
  <c r="C6" i="51"/>
  <c r="B6" i="51"/>
  <c r="C44" i="23" l="1"/>
  <c r="D44" i="23"/>
  <c r="H44" i="23"/>
  <c r="C38" i="23"/>
  <c r="D38" i="23"/>
  <c r="H38" i="23"/>
  <c r="C39" i="23"/>
  <c r="D39" i="23"/>
  <c r="H39" i="23"/>
  <c r="C41" i="23"/>
  <c r="D41" i="23"/>
  <c r="H41" i="23"/>
  <c r="C42" i="23"/>
  <c r="D42" i="23"/>
  <c r="H42" i="23"/>
  <c r="C43" i="23"/>
  <c r="D43" i="23"/>
  <c r="H43" i="23"/>
  <c r="G25" i="79" l="1"/>
  <c r="G50" i="79" s="1"/>
  <c r="G29" i="79"/>
  <c r="G54" i="79" s="1"/>
  <c r="K30" i="79"/>
  <c r="K55" i="79" s="1"/>
  <c r="O30" i="79"/>
  <c r="O55" i="79" s="1"/>
  <c r="G28" i="79"/>
  <c r="G53" i="79" s="1"/>
  <c r="G31" i="79"/>
  <c r="G56" i="79" s="1"/>
  <c r="G26" i="79"/>
  <c r="G51" i="79" s="1"/>
  <c r="G30" i="79"/>
  <c r="G55" i="79" s="1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H24" i="81"/>
  <c r="Q24" i="81" s="1"/>
  <c r="H36" i="81" s="1"/>
  <c r="P34" i="81" s="1"/>
  <c r="D24" i="81"/>
  <c r="M24" i="81" s="1"/>
  <c r="D36" i="81" s="1"/>
  <c r="P33" i="81" s="1"/>
  <c r="Q10" i="81"/>
  <c r="F36" i="81" s="1"/>
  <c r="P35" i="81" s="1"/>
  <c r="O10" i="81"/>
  <c r="E36" i="81" s="1"/>
  <c r="P31" i="81" s="1"/>
  <c r="D10" i="81"/>
  <c r="M10" i="81" s="1"/>
  <c r="F24" i="81"/>
  <c r="O24" i="81" s="1"/>
  <c r="G36" i="81" s="1"/>
  <c r="P32" i="81" s="1"/>
  <c r="Z13" i="79"/>
  <c r="AA13" i="79" s="1"/>
  <c r="O11" i="81"/>
  <c r="E37" i="81" s="1"/>
  <c r="Q31" i="81" s="1"/>
  <c r="D11" i="81"/>
  <c r="M11" i="81" s="1"/>
  <c r="F25" i="81"/>
  <c r="O25" i="81" s="1"/>
  <c r="G37" i="81" s="1"/>
  <c r="Q32" i="81" s="1"/>
  <c r="H25" i="81"/>
  <c r="Q25" i="81" s="1"/>
  <c r="H37" i="81" s="1"/>
  <c r="Q34" i="81" s="1"/>
  <c r="D25" i="81"/>
  <c r="M25" i="81" s="1"/>
  <c r="D37" i="81" s="1"/>
  <c r="Q33" i="81" s="1"/>
  <c r="Q11" i="81"/>
  <c r="F37" i="81" s="1"/>
  <c r="Q35" i="81" s="1"/>
  <c r="Z15" i="79"/>
  <c r="AA15" i="79" s="1"/>
  <c r="F27" i="81"/>
  <c r="O27" i="81" s="1"/>
  <c r="G39" i="81" s="1"/>
  <c r="S32" i="81" s="1"/>
  <c r="O13" i="81"/>
  <c r="E39" i="81" s="1"/>
  <c r="S31" i="81" s="1"/>
  <c r="D13" i="81"/>
  <c r="M13" i="81" s="1"/>
  <c r="H27" i="81"/>
  <c r="Q27" i="81" s="1"/>
  <c r="H39" i="81" s="1"/>
  <c r="S34" i="81" s="1"/>
  <c r="D27" i="81"/>
  <c r="M27" i="81" s="1"/>
  <c r="D39" i="81" s="1"/>
  <c r="S33" i="81" s="1"/>
  <c r="Q13" i="81"/>
  <c r="F39" i="81" s="1"/>
  <c r="S35" i="81" s="1"/>
  <c r="Z14" i="79"/>
  <c r="AA14" i="79" s="1"/>
  <c r="H26" i="81"/>
  <c r="Q26" i="81" s="1"/>
  <c r="H38" i="81" s="1"/>
  <c r="R34" i="81" s="1"/>
  <c r="D26" i="81"/>
  <c r="M26" i="81" s="1"/>
  <c r="D38" i="81" s="1"/>
  <c r="R33" i="81" s="1"/>
  <c r="Q12" i="81"/>
  <c r="F38" i="81" s="1"/>
  <c r="R35" i="81" s="1"/>
  <c r="F26" i="81"/>
  <c r="O26" i="81" s="1"/>
  <c r="G38" i="81" s="1"/>
  <c r="R32" i="81" s="1"/>
  <c r="O12" i="81"/>
  <c r="E38" i="81" s="1"/>
  <c r="R31" i="81" s="1"/>
  <c r="D12" i="81"/>
  <c r="M12" i="81" s="1"/>
  <c r="Z9" i="79"/>
  <c r="AA9" i="79" s="1"/>
  <c r="O7" i="81"/>
  <c r="E33" i="81" s="1"/>
  <c r="M31" i="81" s="1"/>
  <c r="D7" i="81"/>
  <c r="M7" i="81" s="1"/>
  <c r="F21" i="81"/>
  <c r="O21" i="81" s="1"/>
  <c r="G33" i="81" s="1"/>
  <c r="M32" i="81" s="1"/>
  <c r="H21" i="81"/>
  <c r="Q21" i="81" s="1"/>
  <c r="H33" i="81" s="1"/>
  <c r="M34" i="81" s="1"/>
  <c r="D21" i="81"/>
  <c r="M21" i="81" s="1"/>
  <c r="D33" i="81" s="1"/>
  <c r="M33" i="81" s="1"/>
  <c r="Q7" i="81"/>
  <c r="F33" i="81" s="1"/>
  <c r="M35" i="81" s="1"/>
  <c r="Z10" i="79"/>
  <c r="AA10" i="79" s="1"/>
  <c r="H22" i="81"/>
  <c r="Q22" i="81" s="1"/>
  <c r="H34" i="81" s="1"/>
  <c r="N34" i="81" s="1"/>
  <c r="D22" i="81"/>
  <c r="M22" i="81" s="1"/>
  <c r="D34" i="81" s="1"/>
  <c r="N33" i="81" s="1"/>
  <c r="Q8" i="81"/>
  <c r="F34" i="81" s="1"/>
  <c r="N35" i="81" s="1"/>
  <c r="F22" i="81"/>
  <c r="O22" i="81" s="1"/>
  <c r="G34" i="81" s="1"/>
  <c r="N32" i="81" s="1"/>
  <c r="O8" i="81"/>
  <c r="E34" i="81" s="1"/>
  <c r="N31" i="81" s="1"/>
  <c r="D8" i="81"/>
  <c r="M8" i="81" s="1"/>
  <c r="K41" i="23"/>
  <c r="M41" i="23" s="1"/>
  <c r="K44" i="23"/>
  <c r="M44" i="23" s="1"/>
  <c r="K43" i="23"/>
  <c r="M43" i="23" s="1"/>
  <c r="K39" i="23"/>
  <c r="M39" i="23" s="1"/>
  <c r="K42" i="23"/>
  <c r="M42" i="23" s="1"/>
  <c r="K38" i="23"/>
  <c r="M38" i="23" s="1"/>
  <c r="N30" i="79" l="1"/>
  <c r="N55" i="79" s="1"/>
  <c r="K31" i="79"/>
  <c r="K56" i="79" s="1"/>
  <c r="J31" i="79"/>
  <c r="J56" i="79" s="1"/>
  <c r="K28" i="79"/>
  <c r="K53" i="79" s="1"/>
  <c r="J28" i="79"/>
  <c r="J53" i="79" s="1"/>
  <c r="J30" i="79"/>
  <c r="J55" i="79" s="1"/>
  <c r="F30" i="79"/>
  <c r="F55" i="79" s="1"/>
  <c r="O31" i="79"/>
  <c r="O56" i="79" s="1"/>
  <c r="N31" i="79"/>
  <c r="N56" i="79" s="1"/>
  <c r="F26" i="79"/>
  <c r="F51" i="79" s="1"/>
  <c r="F25" i="79"/>
  <c r="F50" i="79" s="1"/>
  <c r="F29" i="79"/>
  <c r="F54" i="79" s="1"/>
  <c r="O26" i="79"/>
  <c r="O51" i="79" s="1"/>
  <c r="N26" i="79"/>
  <c r="N51" i="79" s="1"/>
  <c r="O25" i="79"/>
  <c r="O50" i="79" s="1"/>
  <c r="N25" i="79"/>
  <c r="N50" i="79" s="1"/>
  <c r="F31" i="79"/>
  <c r="F56" i="79" s="1"/>
  <c r="K26" i="79"/>
  <c r="K51" i="79" s="1"/>
  <c r="J26" i="79"/>
  <c r="J51" i="79" s="1"/>
  <c r="K25" i="79"/>
  <c r="K50" i="79" s="1"/>
  <c r="J25" i="79"/>
  <c r="J50" i="79" s="1"/>
  <c r="F28" i="79"/>
  <c r="F53" i="79" s="1"/>
  <c r="O29" i="79"/>
  <c r="O54" i="79" s="1"/>
  <c r="N29" i="79"/>
  <c r="N54" i="79" s="1"/>
  <c r="O28" i="79"/>
  <c r="O53" i="79" s="1"/>
  <c r="N28" i="79"/>
  <c r="N53" i="79" s="1"/>
  <c r="K29" i="79"/>
  <c r="K54" i="79" s="1"/>
  <c r="J29" i="79"/>
  <c r="J54" i="79" s="1"/>
  <c r="G9" i="50"/>
  <c r="G9" i="51"/>
  <c r="C9" i="92" l="1"/>
  <c r="B9" i="92"/>
  <c r="I43" i="23" l="1"/>
  <c r="I42" i="23"/>
  <c r="I41" i="23" l="1"/>
  <c r="I39" i="23"/>
  <c r="J39" i="23" s="1"/>
  <c r="E7" i="80"/>
  <c r="F42" i="23"/>
  <c r="F43" i="23"/>
  <c r="J7" i="80" l="1"/>
  <c r="K7" i="80" s="1"/>
  <c r="I7" i="80"/>
  <c r="F22" i="80" s="1"/>
  <c r="L26" i="79"/>
  <c r="L51" i="79" s="1"/>
  <c r="H26" i="79"/>
  <c r="H51" i="79" s="1"/>
  <c r="P26" i="79"/>
  <c r="P51" i="79" s="1"/>
  <c r="H7" i="80"/>
  <c r="F27" i="80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I22" i="81"/>
  <c r="R22" i="81" s="1"/>
  <c r="E22" i="81"/>
  <c r="N22" i="81" s="1"/>
  <c r="R8" i="81"/>
  <c r="G22" i="81"/>
  <c r="P22" i="81" s="1"/>
  <c r="P8" i="81"/>
  <c r="E8" i="81"/>
  <c r="N8" i="81" s="1"/>
  <c r="F39" i="23"/>
  <c r="F41" i="23"/>
  <c r="A44" i="23"/>
  <c r="A42" i="23"/>
  <c r="A43" i="23"/>
  <c r="A38" i="23"/>
  <c r="B38" i="23"/>
  <c r="A39" i="23"/>
  <c r="B39" i="23"/>
  <c r="A41" i="23"/>
  <c r="H37" i="23" l="1"/>
  <c r="H36" i="23"/>
  <c r="C37" i="23"/>
  <c r="D37" i="23"/>
  <c r="B37" i="23"/>
  <c r="B36" i="23"/>
  <c r="A37" i="23"/>
  <c r="A36" i="23"/>
  <c r="G24" i="79" l="1"/>
  <c r="G49" i="79" s="1"/>
  <c r="G23" i="79"/>
  <c r="G48" i="79" s="1"/>
  <c r="H46" i="23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O5" i="81"/>
  <c r="E31" i="81" s="1"/>
  <c r="K31" i="81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H20" i="81"/>
  <c r="Q20" i="81" s="1"/>
  <c r="H32" i="81" s="1"/>
  <c r="L34" i="81" s="1"/>
  <c r="D20" i="81"/>
  <c r="M20" i="81" s="1"/>
  <c r="D32" i="81" s="1"/>
  <c r="L33" i="81" s="1"/>
  <c r="Q6" i="81"/>
  <c r="F32" i="81" s="1"/>
  <c r="L35" i="81" s="1"/>
  <c r="O6" i="81"/>
  <c r="E32" i="81" s="1"/>
  <c r="L31" i="81" s="1"/>
  <c r="D6" i="81"/>
  <c r="M6" i="81" s="1"/>
  <c r="F20" i="81"/>
  <c r="O20" i="81" s="1"/>
  <c r="G32" i="81" s="1"/>
  <c r="L32" i="81" s="1"/>
  <c r="F19" i="81"/>
  <c r="O19" i="81" s="1"/>
  <c r="G31" i="81" s="1"/>
  <c r="K32" i="81" s="1"/>
  <c r="Q5" i="81"/>
  <c r="F31" i="81" s="1"/>
  <c r="K35" i="81" s="1"/>
  <c r="D5" i="81"/>
  <c r="M5" i="81" s="1"/>
  <c r="H19" i="81"/>
  <c r="Q19" i="81" s="1"/>
  <c r="H31" i="81" s="1"/>
  <c r="K34" i="81" s="1"/>
  <c r="D19" i="81"/>
  <c r="M19" i="81" s="1"/>
  <c r="D31" i="81" s="1"/>
  <c r="K33" i="81" s="1"/>
  <c r="K37" i="23"/>
  <c r="M37" i="23" s="1"/>
  <c r="Z17" i="79" l="1"/>
  <c r="AA17" i="79" s="1"/>
  <c r="F24" i="79"/>
  <c r="F49" i="79" s="1"/>
  <c r="J18" i="79"/>
  <c r="J23" i="79"/>
  <c r="J48" i="79" s="1"/>
  <c r="O24" i="79"/>
  <c r="O49" i="79" s="1"/>
  <c r="N24" i="79"/>
  <c r="N49" i="79" s="1"/>
  <c r="F17" i="79"/>
  <c r="K24" i="79"/>
  <c r="K49" i="79" s="1"/>
  <c r="J24" i="79"/>
  <c r="J49" i="79" s="1"/>
  <c r="O23" i="79"/>
  <c r="O48" i="79" s="1"/>
  <c r="N17" i="79"/>
  <c r="N23" i="79"/>
  <c r="N48" i="79" s="1"/>
  <c r="F23" i="79"/>
  <c r="F48" i="79" s="1"/>
  <c r="K23" i="79"/>
  <c r="K48" i="79" s="1"/>
  <c r="J42" i="23"/>
  <c r="J43" i="23"/>
  <c r="J41" i="23"/>
  <c r="G41" i="23"/>
  <c r="F9" i="80" s="1"/>
  <c r="G42" i="23"/>
  <c r="G39" i="23"/>
  <c r="F7" i="80" s="1"/>
  <c r="G43" i="23"/>
  <c r="F11" i="80" s="1"/>
  <c r="K33" i="79" l="1"/>
  <c r="K58" i="79" s="1"/>
  <c r="O17" i="79"/>
  <c r="O33" i="79" s="1"/>
  <c r="O58" i="79" s="1"/>
  <c r="F10" i="80"/>
  <c r="G10" i="80" s="1"/>
  <c r="O43" i="23"/>
  <c r="D50" i="23"/>
  <c r="O42" i="23"/>
  <c r="O41" i="23"/>
  <c r="O39" i="23"/>
  <c r="L30" i="79"/>
  <c r="L55" i="79" s="1"/>
  <c r="P30" i="79"/>
  <c r="P55" i="79" s="1"/>
  <c r="H29" i="79"/>
  <c r="H54" i="79" s="1"/>
  <c r="L29" i="79"/>
  <c r="L54" i="79" s="1"/>
  <c r="P29" i="79"/>
  <c r="P54" i="79" s="1"/>
  <c r="P28" i="79"/>
  <c r="P53" i="79" s="1"/>
  <c r="H28" i="79"/>
  <c r="H53" i="79" s="1"/>
  <c r="L28" i="79"/>
  <c r="L53" i="79" s="1"/>
  <c r="G17" i="79"/>
  <c r="G33" i="79" s="1"/>
  <c r="G58" i="79" s="1"/>
  <c r="F33" i="79"/>
  <c r="F58" i="79" s="1"/>
  <c r="G11" i="80"/>
  <c r="J33" i="79"/>
  <c r="J58" i="79" s="1"/>
  <c r="H30" i="79"/>
  <c r="H55" i="79" s="1"/>
  <c r="N33" i="79"/>
  <c r="N58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I24" i="81"/>
  <c r="R24" i="81" s="1"/>
  <c r="E24" i="81"/>
  <c r="N24" i="81" s="1"/>
  <c r="R10" i="81"/>
  <c r="P10" i="81"/>
  <c r="E10" i="81"/>
  <c r="N10" i="81" s="1"/>
  <c r="G24" i="81"/>
  <c r="P24" i="81" s="1"/>
  <c r="AB14" i="79"/>
  <c r="I26" i="81"/>
  <c r="R26" i="81" s="1"/>
  <c r="E26" i="81"/>
  <c r="N26" i="81" s="1"/>
  <c r="R12" i="81"/>
  <c r="G26" i="81"/>
  <c r="P26" i="81" s="1"/>
  <c r="P12" i="81"/>
  <c r="E12" i="81"/>
  <c r="N12" i="81" s="1"/>
  <c r="AB13" i="79"/>
  <c r="G25" i="81"/>
  <c r="P25" i="81" s="1"/>
  <c r="P11" i="81"/>
  <c r="E11" i="81"/>
  <c r="N11" i="81" s="1"/>
  <c r="I25" i="81"/>
  <c r="R25" i="81" s="1"/>
  <c r="E25" i="81"/>
  <c r="N25" i="81" s="1"/>
  <c r="R11" i="81"/>
  <c r="L39" i="23"/>
  <c r="N39" i="23" s="1"/>
  <c r="L43" i="23"/>
  <c r="N43" i="23" s="1"/>
  <c r="L41" i="23"/>
  <c r="N41" i="23" s="1"/>
  <c r="L42" i="23"/>
  <c r="N42" i="23" s="1"/>
  <c r="I44" i="23"/>
  <c r="J44" i="23" s="1"/>
  <c r="F44" i="23"/>
  <c r="D30" i="79" l="1"/>
  <c r="D29" i="79"/>
  <c r="C13" i="78"/>
  <c r="E13" i="78" s="1"/>
  <c r="C12" i="78"/>
  <c r="D26" i="79"/>
  <c r="G9" i="80"/>
  <c r="L31" i="79"/>
  <c r="L56" i="79" s="1"/>
  <c r="P31" i="79"/>
  <c r="P56" i="79" s="1"/>
  <c r="H31" i="79"/>
  <c r="H56" i="79" s="1"/>
  <c r="D28" i="79"/>
  <c r="G44" i="23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B15" i="79"/>
  <c r="G27" i="81"/>
  <c r="P27" i="81" s="1"/>
  <c r="I27" i="81"/>
  <c r="R27" i="81" s="1"/>
  <c r="E27" i="81"/>
  <c r="N27" i="81" s="1"/>
  <c r="R13" i="81"/>
  <c r="P13" i="81"/>
  <c r="E13" i="81"/>
  <c r="N13" i="81" s="1"/>
  <c r="A29" i="79" l="1"/>
  <c r="D54" i="79"/>
  <c r="A28" i="79"/>
  <c r="D53" i="79"/>
  <c r="A26" i="79"/>
  <c r="D51" i="79"/>
  <c r="A30" i="79"/>
  <c r="D55" i="79"/>
  <c r="E12" i="78"/>
  <c r="F12" i="80"/>
  <c r="G12" i="80" s="1"/>
  <c r="L44" i="23"/>
  <c r="N44" i="23" s="1"/>
  <c r="O44" i="23"/>
  <c r="C12" i="23"/>
  <c r="D31" i="79" l="1"/>
  <c r="G9" i="48"/>
  <c r="D9" i="48"/>
  <c r="I12" i="48"/>
  <c r="I12" i="50"/>
  <c r="I12" i="51"/>
  <c r="D9" i="50"/>
  <c r="D9" i="51"/>
  <c r="G12" i="51"/>
  <c r="A31" i="79" l="1"/>
  <c r="D56" i="79"/>
  <c r="A22" i="5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F17" i="23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L17" i="23" l="1"/>
  <c r="G38" i="23"/>
  <c r="F6" i="80" s="1"/>
  <c r="I36" i="23"/>
  <c r="J9" i="48"/>
  <c r="J9" i="51"/>
  <c r="E4" i="80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L4" i="80"/>
  <c r="J4" i="80" l="1"/>
  <c r="K4" i="80" s="1"/>
  <c r="I4" i="80"/>
  <c r="G28" i="51"/>
  <c r="G30" i="51" s="1"/>
  <c r="G6" i="80"/>
  <c r="N17" i="23"/>
  <c r="H4" i="80"/>
  <c r="F36" i="23"/>
  <c r="J36" i="23"/>
  <c r="H25" i="79" l="1"/>
  <c r="H50" i="79" s="1"/>
  <c r="L25" i="79"/>
  <c r="L50" i="79" s="1"/>
  <c r="P25" i="79"/>
  <c r="P50" i="79" s="1"/>
  <c r="G36" i="23"/>
  <c r="F4" i="80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P5" i="81"/>
  <c r="P7" i="81"/>
  <c r="R7" i="81"/>
  <c r="D25" i="79"/>
  <c r="C3" i="79"/>
  <c r="I19" i="81"/>
  <c r="R19" i="81" s="1"/>
  <c r="E19" i="81"/>
  <c r="N19" i="81" s="1"/>
  <c r="R5" i="81"/>
  <c r="E5" i="81"/>
  <c r="N5" i="81" s="1"/>
  <c r="G19" i="81"/>
  <c r="P19" i="81" s="1"/>
  <c r="A25" i="79" l="1"/>
  <c r="D50" i="79"/>
  <c r="O36" i="23"/>
  <c r="G4" i="80"/>
  <c r="P23" i="79"/>
  <c r="L23" i="79"/>
  <c r="H23" i="79"/>
  <c r="J4" i="96" l="1"/>
  <c r="K4" i="96" s="1"/>
  <c r="P48" i="79"/>
  <c r="H4" i="96"/>
  <c r="I4" i="96" s="1"/>
  <c r="L48" i="79"/>
  <c r="F4" i="96"/>
  <c r="G4" i="96" s="1"/>
  <c r="H48" i="79"/>
  <c r="D23" i="79"/>
  <c r="D48" i="79" s="1"/>
  <c r="B9" i="50"/>
  <c r="B9" i="48"/>
  <c r="C9" i="50"/>
  <c r="C9" i="48"/>
  <c r="A23" i="79" l="1"/>
  <c r="D4" i="96"/>
  <c r="E4" i="96" s="1"/>
  <c r="G14" i="51"/>
  <c r="D36" i="23"/>
  <c r="D46" i="23" s="1"/>
  <c r="C34" i="23"/>
  <c r="C35" i="23"/>
  <c r="C36" i="23"/>
  <c r="G14" i="50" l="1"/>
  <c r="K36" i="23"/>
  <c r="M36" i="23" l="1"/>
  <c r="K46" i="23"/>
  <c r="M46" i="23" s="1"/>
  <c r="L36" i="23"/>
  <c r="N36" i="23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F12" i="5" l="1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1" i="5"/>
  <c r="B37" i="5"/>
  <c r="B29" i="5"/>
  <c r="B45" i="5"/>
  <c r="B47" i="5"/>
  <c r="B32" i="5"/>
  <c r="E9" i="5"/>
  <c r="B39" i="5"/>
  <c r="B36" i="5"/>
  <c r="B44" i="5"/>
  <c r="B35" i="5"/>
  <c r="B30" i="5"/>
  <c r="B31" i="5"/>
  <c r="B33" i="5"/>
  <c r="B38" i="5"/>
  <c r="B34" i="5"/>
  <c r="B28" i="5"/>
  <c r="B42" i="5"/>
  <c r="B43" i="5"/>
  <c r="B46" i="5"/>
  <c r="B40" i="5"/>
  <c r="B27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B44" i="50" l="1"/>
  <c r="B46" i="50"/>
  <c r="B43" i="50"/>
  <c r="B45" i="50"/>
  <c r="B47" i="50"/>
  <c r="H9" i="50"/>
  <c r="I9" i="50" s="1"/>
  <c r="F18" i="23" s="1"/>
  <c r="F27" i="23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F28" i="23" l="1"/>
  <c r="L18" i="23"/>
  <c r="E42" i="50"/>
  <c r="D42" i="50"/>
  <c r="C42" i="50"/>
  <c r="E22" i="50"/>
  <c r="C22" i="50"/>
  <c r="D29" i="50"/>
  <c r="E29" i="50"/>
  <c r="C29" i="50"/>
  <c r="I37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J9" i="50"/>
  <c r="L5" i="80"/>
  <c r="N18" i="23" l="1"/>
  <c r="E5" i="80"/>
  <c r="I5" i="80" s="1"/>
  <c r="F19" i="80" s="1"/>
  <c r="F37" i="23"/>
  <c r="F46" i="23" s="1"/>
  <c r="J37" i="23"/>
  <c r="J5" i="80" l="1"/>
  <c r="K5" i="80" s="1"/>
  <c r="K14" i="80" s="1"/>
  <c r="E14" i="80"/>
  <c r="I14" i="80" s="1"/>
  <c r="J14" i="80"/>
  <c r="H5" i="80"/>
  <c r="H14" i="80" s="1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I20" i="81"/>
  <c r="R20" i="81" s="1"/>
  <c r="E20" i="81"/>
  <c r="N20" i="81" s="1"/>
  <c r="R6" i="81"/>
  <c r="P6" i="81"/>
  <c r="E6" i="81"/>
  <c r="N6" i="81" s="1"/>
  <c r="G20" i="81"/>
  <c r="P20" i="81" s="1"/>
  <c r="G37" i="23"/>
  <c r="F5" i="80" l="1"/>
  <c r="F14" i="80" s="1"/>
  <c r="O37" i="23"/>
  <c r="F26" i="80"/>
  <c r="H24" i="79"/>
  <c r="H17" i="79"/>
  <c r="G8" i="97" s="1"/>
  <c r="P24" i="79"/>
  <c r="P17" i="79"/>
  <c r="G6" i="97" s="1"/>
  <c r="L24" i="79"/>
  <c r="G7" i="97"/>
  <c r="G46" i="23"/>
  <c r="G49" i="23" s="1"/>
  <c r="L37" i="23"/>
  <c r="K6" i="97" l="1"/>
  <c r="F12" i="97"/>
  <c r="H12" i="97" s="1"/>
  <c r="H6" i="97"/>
  <c r="H8" i="97"/>
  <c r="L8" i="97" s="1"/>
  <c r="K8" i="97"/>
  <c r="K7" i="97"/>
  <c r="H7" i="97"/>
  <c r="F13" i="97"/>
  <c r="H13" i="97" s="1"/>
  <c r="F5" i="96"/>
  <c r="G5" i="96" s="1"/>
  <c r="H49" i="79"/>
  <c r="H5" i="96"/>
  <c r="I5" i="96" s="1"/>
  <c r="L49" i="79"/>
  <c r="J5" i="96"/>
  <c r="K5" i="96" s="1"/>
  <c r="P49" i="79"/>
  <c r="D17" i="79"/>
  <c r="G5" i="80"/>
  <c r="G14" i="80"/>
  <c r="N37" i="23"/>
  <c r="D24" i="79"/>
  <c r="D49" i="79" s="1"/>
  <c r="L13" i="23"/>
  <c r="L33" i="79"/>
  <c r="G7" i="78"/>
  <c r="H7" i="78" s="1"/>
  <c r="G6" i="78"/>
  <c r="H6" i="78" s="1"/>
  <c r="P33" i="79"/>
  <c r="H33" i="79"/>
  <c r="G8" i="78"/>
  <c r="H8" i="78" s="1"/>
  <c r="L8" i="78" s="1"/>
  <c r="L7" i="97" l="1"/>
  <c r="G13" i="97"/>
  <c r="I13" i="97" s="1"/>
  <c r="L6" i="97"/>
  <c r="G12" i="97"/>
  <c r="I12" i="97" s="1"/>
  <c r="F8" i="78"/>
  <c r="F8" i="97"/>
  <c r="H58" i="79"/>
  <c r="F42" i="79"/>
  <c r="F36" i="79" s="1"/>
  <c r="L58" i="79"/>
  <c r="J42" i="79"/>
  <c r="J36" i="79" s="1"/>
  <c r="P58" i="79"/>
  <c r="N42" i="79"/>
  <c r="N36" i="79" s="1"/>
  <c r="A24" i="79"/>
  <c r="D5" i="96"/>
  <c r="E5" i="96" s="1"/>
  <c r="N40" i="79"/>
  <c r="N34" i="79" s="1"/>
  <c r="N41" i="79"/>
  <c r="N35" i="79" s="1"/>
  <c r="F41" i="79"/>
  <c r="F35" i="79" s="1"/>
  <c r="F40" i="79"/>
  <c r="F34" i="79" s="1"/>
  <c r="J41" i="79"/>
  <c r="J35" i="79" s="1"/>
  <c r="J40" i="79"/>
  <c r="J34" i="79" s="1"/>
  <c r="G12" i="78"/>
  <c r="I12" i="78" s="1"/>
  <c r="L6" i="78"/>
  <c r="G13" i="78"/>
  <c r="I13" i="78" s="1"/>
  <c r="L7" i="78"/>
  <c r="D18" i="79"/>
  <c r="D33" i="79"/>
  <c r="K6" i="78"/>
  <c r="F13" i="78"/>
  <c r="H13" i="78" s="1"/>
  <c r="K8" i="78"/>
  <c r="K7" i="78"/>
  <c r="F12" i="78"/>
  <c r="H12" i="78" s="1"/>
  <c r="T37" i="79" l="1"/>
  <c r="T39" i="79" s="1"/>
  <c r="T40" i="79" s="1"/>
  <c r="X37" i="79"/>
  <c r="T38" i="79"/>
  <c r="I8" i="97"/>
  <c r="J8" i="97"/>
  <c r="I6" i="97"/>
  <c r="I7" i="97"/>
  <c r="J7" i="97"/>
  <c r="J6" i="97"/>
  <c r="J67" i="79"/>
  <c r="J61" i="79" s="1"/>
  <c r="J65" i="79"/>
  <c r="J59" i="79" s="1"/>
  <c r="J66" i="79"/>
  <c r="J60" i="79" s="1"/>
  <c r="N66" i="79"/>
  <c r="N60" i="79" s="1"/>
  <c r="N67" i="79"/>
  <c r="N61" i="79" s="1"/>
  <c r="N65" i="79"/>
  <c r="N59" i="79" s="1"/>
  <c r="F67" i="79"/>
  <c r="F61" i="79" s="1"/>
  <c r="F66" i="79"/>
  <c r="F60" i="79" s="1"/>
  <c r="F65" i="79"/>
  <c r="F59" i="79" s="1"/>
  <c r="D58" i="79"/>
  <c r="X62" i="79" s="1"/>
  <c r="C42" i="79"/>
  <c r="C36" i="79" s="1"/>
  <c r="C41" i="79"/>
  <c r="C35" i="79" s="1"/>
  <c r="C40" i="79"/>
  <c r="C34" i="79" s="1"/>
  <c r="H37" i="79"/>
  <c r="I7" i="78"/>
  <c r="L37" i="79"/>
  <c r="P37" i="79"/>
  <c r="J6" i="78"/>
  <c r="J7" i="78"/>
  <c r="J8" i="78"/>
  <c r="I6" i="78"/>
  <c r="I8" i="78"/>
  <c r="F9" i="89"/>
  <c r="J19" i="23" s="1"/>
  <c r="T41" i="79" l="1"/>
  <c r="T42" i="79" s="1"/>
  <c r="X41" i="79"/>
  <c r="X42" i="79" s="1"/>
  <c r="X38" i="79"/>
  <c r="X39" i="79"/>
  <c r="X40" i="79" s="1"/>
  <c r="X66" i="79"/>
  <c r="X67" i="79" s="1"/>
  <c r="X64" i="79"/>
  <c r="X65" i="79" s="1"/>
  <c r="X63" i="79"/>
  <c r="H62" i="79"/>
  <c r="H63" i="79" s="1"/>
  <c r="T62" i="79"/>
  <c r="C65" i="79"/>
  <c r="C59" i="79" s="1"/>
  <c r="C67" i="79"/>
  <c r="C61" i="79" s="1"/>
  <c r="C66" i="79"/>
  <c r="C60" i="79" s="1"/>
  <c r="P62" i="79"/>
  <c r="L62" i="79"/>
  <c r="P38" i="79"/>
  <c r="P41" i="79"/>
  <c r="P42" i="79" s="1"/>
  <c r="P39" i="79"/>
  <c r="P40" i="79" s="1"/>
  <c r="L41" i="79"/>
  <c r="L42" i="79" s="1"/>
  <c r="L39" i="79"/>
  <c r="L40" i="79" s="1"/>
  <c r="L38" i="79"/>
  <c r="H38" i="79"/>
  <c r="H39" i="79"/>
  <c r="H40" i="79" s="1"/>
  <c r="H41" i="79"/>
  <c r="H42" i="79" s="1"/>
  <c r="I38" i="23"/>
  <c r="I46" i="23" s="1"/>
  <c r="J28" i="23"/>
  <c r="J27" i="23"/>
  <c r="L19" i="23"/>
  <c r="L28" i="23" s="1"/>
  <c r="N28" i="23" s="1"/>
  <c r="H66" i="79" l="1"/>
  <c r="H67" i="79" s="1"/>
  <c r="H64" i="79"/>
  <c r="H65" i="79" s="1"/>
  <c r="T66" i="79"/>
  <c r="T67" i="79" s="1"/>
  <c r="T63" i="79"/>
  <c r="T64" i="79"/>
  <c r="T65" i="79" s="1"/>
  <c r="L63" i="79"/>
  <c r="L66" i="79"/>
  <c r="L67" i="79" s="1"/>
  <c r="L64" i="79"/>
  <c r="L65" i="79" s="1"/>
  <c r="P63" i="79"/>
  <c r="P66" i="79"/>
  <c r="P67" i="79" s="1"/>
  <c r="P64" i="79"/>
  <c r="P65" i="79" s="1"/>
  <c r="J38" i="23"/>
  <c r="O38" i="23" s="1"/>
  <c r="L27" i="23"/>
  <c r="N27" i="23" s="1"/>
  <c r="N19" i="23"/>
  <c r="B9" i="23"/>
  <c r="E21" i="81" l="1"/>
  <c r="N21" i="81" s="1"/>
  <c r="I21" i="81"/>
  <c r="R21" i="81" s="1"/>
  <c r="E7" i="86"/>
  <c r="N7" i="86" s="1"/>
  <c r="J46" i="23"/>
  <c r="M13" i="23" s="1"/>
  <c r="AB9" i="79"/>
  <c r="AB17" i="79" s="1"/>
  <c r="I21" i="86"/>
  <c r="R21" i="86" s="1"/>
  <c r="E21" i="86"/>
  <c r="N21" i="86" s="1"/>
  <c r="I7" i="86"/>
  <c r="R7" i="86" s="1"/>
  <c r="E7" i="81"/>
  <c r="N7" i="81" s="1"/>
  <c r="L38" i="23"/>
  <c r="N38" i="23" s="1"/>
  <c r="G21" i="86"/>
  <c r="P21" i="86" s="1"/>
  <c r="G21" i="81"/>
  <c r="P21" i="81" s="1"/>
  <c r="G7" i="86"/>
  <c r="P7" i="86" s="1"/>
  <c r="J49" i="23" l="1"/>
  <c r="L46" i="23"/>
  <c r="N46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<sst xmlns="http://schemas.openxmlformats.org/spreadsheetml/2006/main" count="1299" uniqueCount="329">
  <si>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</si>
  <si>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</si>
  <si>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</si>
  <si>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</si>
  <si>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</si>
  <si>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</si>
  <si>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</si>
  <si>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</si>
  <si>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</si>
  <si>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</si>
  <si>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</si>
  <si>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</si>
  <si>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</si>
  <si>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</si>
  <si>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</si>
  <si>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</si>
  <si>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</si>
  <si>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</si>
  <si>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</si>
  <si>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</si>
  <si>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</si>
  <si>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</si>
  <si>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</si>
  <si>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</si>
  <si>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</si>
  <si>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</si>
  <si>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</si>
  <si>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</si>
  <si>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</si>
  <si>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</si>
  <si>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</si>
  <si>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</si>
  <si>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</si>
  <si>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</si>
  <si>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</si>
  <si>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</si>
  <si>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</si>
  <si>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</si>
  <si>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</si>
  <si>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</si>
  <si>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</si>
  <si>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</si>
  <si>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</si>
  <si>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</si>
  <si>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</si>
  <si>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</si>
  <si>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</si>
  <si>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</si>
  <si>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</si>
  <si>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</si>
  <si>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</si>
  <si>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</si>
  <si>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</si>
  <si>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</si>
  <si>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</si>
  <si>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</si>
  <si>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</si>
  <si>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</si>
  <si>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</si>
  <si>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</si>
  <si>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</si>
  <si>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</si>
  <si>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</si>
  <si>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</si>
  <si>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</si>
  <si>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</si>
  <si>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</si>
  <si>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</si>
  <si>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</si>
  <si>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</si>
  <si>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</si>
  <si>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</si>
  <si>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</si>
  <si>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</si>
  <si>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</si>
  <si>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</si>
  <si>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</si>
  <si>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</si>
  <si>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</si>
  <si>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</si>
  <si>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</si>
  <si>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</si>
  <si>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</si>
  <si>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</si>
  <si>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</si>
  <si>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</si>
  <si>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</si>
  <si>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</si>
  <si>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</si>
  <si>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</si>
  <si>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</si>
  <si>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</si>
  <si>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</si>
  <si>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</si>
  <si>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</si>
  <si>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</si>
  <si>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</si>
  <si>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</si>
  <si>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</si>
  <si>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</si>
  <si>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</si>
  <si>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</si>
  <si>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</si>
  <si>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</si>
  <si>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</si>
  <si>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</si>
  <si>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</si>
  <si>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</si>
  <si>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</si>
  <si>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</si>
  <si>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</si>
  <si>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</si>
  <si>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</si>
  <si>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</si>
  <si>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</si>
  <si>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</si>
  <si>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</si>
  <si>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</si>
  <si>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</si>
  <si>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</si>
  <si>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</si>
  <si>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</si>
  <si>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</si>
  <si>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</si>
  <si>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</si>
  <si>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</si>
  <si>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</si>
  <si>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</si>
  <si>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</si>
  <si>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</si>
  <si>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</si>
  <si>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</si>
  <si>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</si>
  <si>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</si>
  <si>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</si>
  <si>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</si>
  <si>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</si>
  <si>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</si>
  <si>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</si>
  <si>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</si>
  <si>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</si>
  <si>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</si>
  <si>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</si>
  <si>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</si>
  <si>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</si>
  <si>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</si>
  <si>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</si>
  <si>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</si>
  <si>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</si>
  <si>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</si>
  <si>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</si>
  <si>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</si>
  <si>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</si>
  <si>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</si>
  <si>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</si>
  <si>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</si>
  <si>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</si>
  <si>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</si>
  <si>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</si>
  <si>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</si>
  <si>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</si>
  <si>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Doses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</si>
  <si>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</si>
  <si>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</si>
  <si>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</si>
  <si>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</si>
  <si>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</si>
  <si>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</si>
  <si>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</si>
  <si>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</si>
  <si>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</si>
  <si>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</si>
  <si>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</si>
  <si>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</si>
  <si>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</si>
  <si>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</si>
  <si>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</si>
  <si>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</si>
  <si>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</si>
  <si>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</si>
  <si>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</si>
  <si>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</si>
  <si>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</si>
  <si>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</si>
  <si>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</si>
  <si>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</si>
  <si>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</si>
  <si>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</si>
  <si>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</si>
  <si>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</si>
  <si>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</si>
  <si>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</si>
  <si>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</si>
  <si>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</si>
  <si>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InScope Promotion</t>
  </si>
  <si>
    <t>Spend</t>
  </si>
  <si>
    <t>% Change from current</t>
  </si>
  <si>
    <t>Expected pre-tax NPV (MM)</t>
  </si>
  <si>
    <t>Total InScope Budget</t>
  </si>
  <si>
    <t>Spend (MM)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</si>
  <si>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</si>
  <si>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</si>
  <si>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</si>
  <si>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</si>
  <si>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</si>
  <si>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</si>
  <si>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</si>
  <si>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</si>
  <si>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</si>
  <si>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</si>
  <si>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</si>
  <si>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</si>
  <si>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</si>
  <si>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</si>
  <si>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</si>
  <si>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</si>
  <si>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</si>
  <si>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</si>
  <si>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</si>
  <si>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HCC Online Video</t>
  </si>
  <si>
    <t>Online Video</t>
  </si>
  <si>
    <t>HCC Streaming Video</t>
  </si>
  <si>
    <t>Formula Template</t>
  </si>
  <si>
    <t>Gardasil Adults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</si>
  <si>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</si>
  <si>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</si>
  <si>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2021 Planned Spend ($)</t>
  </si>
  <si>
    <t>2021 Optimal Spend ($)</t>
  </si>
  <si>
    <t>HCC InOffice</t>
  </si>
  <si>
    <t>HCC Linear TV</t>
  </si>
  <si>
    <t>HCC Pharmacy</t>
  </si>
  <si>
    <t>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</si>
  <si>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</si>
  <si>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Adults: HCC InOffice, HCC Pharmacy, HCC Streaming TV, HCP MCM, HCC Digital, HCC Linear TV</t>
  </si>
  <si>
    <t>All Vaccines: Gardasil Adult</t>
  </si>
  <si>
    <t>Power</t>
  </si>
  <si>
    <t xml:space="preserve">Note : </t>
  </si>
  <si>
    <t>Pre Tax PGM ($)</t>
  </si>
  <si>
    <t>3-yr pre tax NPV</t>
  </si>
  <si>
    <t>3-yr pre-tax Incr. Rev.</t>
  </si>
  <si>
    <t>Gardasil Adult Social. Given a set of X and Y values, a power function (i.e., a smooth continuous curve) is fit for each pair of values</t>
  </si>
  <si>
    <t>Gardasil Adult Streaming. Given a set of X and Y values, a power function (i.e., a smooth continuous curve) is fit for each pair of values</t>
  </si>
  <si>
    <t>Gardasil Adultdisplay.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</si>
  <si>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</si>
  <si>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</si>
  <si>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psrch. Given a set of X and Y values, a power function (i.e., a smooth continuous curve) is fit for each pair of values</t>
  </si>
  <si>
    <t>HCC psrch</t>
  </si>
  <si>
    <t>Gardasil Adult audio. Given a set of X and Y values, a power function (i.e., a smooth continuous curve) is fit for each pair of values</t>
  </si>
  <si>
    <t>HCC audio</t>
  </si>
  <si>
    <t>Gardasil Adult linear tv. Given a set of X and Y values, a power function (i.e., a smooth continuous curve) is fit for each pair of values</t>
  </si>
  <si>
    <t>HCC linear tv</t>
  </si>
  <si>
    <t>Estimated Contribution to Private Sales</t>
  </si>
  <si>
    <t>Estimated Contribution to total G9 Sales</t>
  </si>
  <si>
    <t>BASE Case: Vary promotion type spend by + or - 30%. Keep global spend constant.</t>
  </si>
  <si>
    <t>2023 Projected Promotion Efficiency</t>
  </si>
  <si>
    <t>2023 projected</t>
  </si>
  <si>
    <t>Current 2023 Baseline</t>
  </si>
  <si>
    <t>GINOFF</t>
  </si>
  <si>
    <t>GMCM</t>
  </si>
  <si>
    <t>GSOCIAL</t>
  </si>
  <si>
    <t>GOLV</t>
  </si>
  <si>
    <t>GSTRTV</t>
  </si>
  <si>
    <t>GDISP</t>
  </si>
  <si>
    <t>GPDSRCH</t>
  </si>
  <si>
    <t>GAUDIO</t>
  </si>
  <si>
    <t>GLINEARTV</t>
  </si>
  <si>
    <t>GPHRMCY</t>
  </si>
  <si>
    <t>Maximum Spend</t>
  </si>
  <si>
    <t>Total In Scope Budget</t>
  </si>
  <si>
    <t>In Scope Promotion</t>
  </si>
  <si>
    <t>Minimum Spend</t>
  </si>
  <si>
    <t>Custom Scenario</t>
  </si>
  <si>
    <t>Expected pre-tax Revenue($MM)</t>
  </si>
  <si>
    <t>Custom Scenario (Private Doses)</t>
  </si>
  <si>
    <t>Custom Scenario (Adult Doses)</t>
  </si>
  <si>
    <t>HCP</t>
  </si>
  <si>
    <t>Doses vol</t>
  </si>
  <si>
    <t>% Contribution</t>
  </si>
  <si>
    <t>2024 projected</t>
  </si>
  <si>
    <t>Current Optimal ($69MM)</t>
  </si>
  <si>
    <t>Optimal channel spend allowed to vary based on custom limits  for 2024 channel spend</t>
  </si>
  <si>
    <t>+$6 (2.6%)</t>
  </si>
  <si>
    <t>+$7 (2.6%)</t>
  </si>
  <si>
    <t>+$5 (2.6%)</t>
  </si>
  <si>
    <t>+$24 (11.0%)</t>
  </si>
  <si>
    <t>+$30 (11.0%)</t>
  </si>
  <si>
    <t>+$19 (11.0%)</t>
  </si>
  <si>
    <t>+$35 (16.3%)</t>
  </si>
  <si>
    <t>+$44 (16.3%)</t>
  </si>
  <si>
    <t>+$28 (16.3%)</t>
  </si>
  <si>
    <t>Expected Incr. Doses (K)</t>
  </si>
  <si>
    <t>2024 Current Baseline ($MM)</t>
  </si>
  <si>
    <t>+25 (2.6%)</t>
  </si>
  <si>
    <t>+32 (2.6%)</t>
  </si>
  <si>
    <t>+20 (2.6%)</t>
  </si>
  <si>
    <t>+106 (11.0%)</t>
  </si>
  <si>
    <t>+132 (11.0%)</t>
  </si>
  <si>
    <t>+84 (11.0%)</t>
  </si>
  <si>
    <t>+157 (16.3%)</t>
  </si>
  <si>
    <t>+196 (16.3%)</t>
  </si>
  <si>
    <t>+125 (16.3%)</t>
  </si>
  <si>
    <t>Δ Pre-tax Revenue w.r.t 2024 Current baseline</t>
  </si>
  <si>
    <t>Δ Pre-tax Projected Revenue w.r.t 2024 Current baseline</t>
  </si>
  <si>
    <t>Δ Pre-tax Adult Revenue w.r.t 2024 Current baseline</t>
  </si>
  <si>
    <t>Δ Pre-tax Incr. Doses w.r.t 2024 Current baseline</t>
  </si>
  <si>
    <t>Δ Pre-tax Projected Incr. Doses w.r.t 2024 Current baseline</t>
  </si>
  <si>
    <t>Δ Pre-tax Adult Incr. Doses w.r.t 2024 Current baseline</t>
  </si>
  <si>
    <t xml:space="preserve"> 20M Increase in Spend ($89M) (Extreme Max)</t>
  </si>
  <si>
    <t xml:space="preserve"> 20M Increase in Spend ($89M)    (Stretch Max)</t>
  </si>
  <si>
    <t>+238 (24.8%)</t>
  </si>
  <si>
    <t>+297 (24.8%)</t>
  </si>
  <si>
    <t>+190 (24.8%)</t>
  </si>
  <si>
    <t>+$54 (24.8%)</t>
  </si>
  <si>
    <t>+$67 (24.8%)</t>
  </si>
  <si>
    <t>+$43 (24.8%)</t>
  </si>
  <si>
    <t xml:space="preserve">Custom Constraints </t>
  </si>
  <si>
    <t>2024 Spend (MM)</t>
  </si>
  <si>
    <t xml:space="preserve"> 10M Increase in Spend ($79MM)</t>
  </si>
  <si>
    <t xml:space="preserve"> 20M Increase in Spend ($89MM)</t>
  </si>
  <si>
    <t>2024 Spend ($MM)</t>
  </si>
  <si>
    <t>2024 Estimated Incr. Doses ('000)</t>
  </si>
  <si>
    <t>2024 Estimated Pre-Tax NPV</t>
  </si>
  <si>
    <t>2024 Estimated Pre-tax ROI</t>
  </si>
  <si>
    <t xml:space="preserve"> 10M Increase in Spend ($79M) with OLV and socail 40% cap</t>
  </si>
  <si>
    <t xml:space="preserve"> 20M Increase in Spend ($89M) with OLV and socail 40% cap</t>
  </si>
  <si>
    <t>Estimate</t>
  </si>
  <si>
    <t>StdErr</t>
  </si>
  <si>
    <t>15% Increase in Budget (Social, OLV &amp; Display) ($74.4MM)</t>
  </si>
  <si>
    <t>25% Increase in Budget (Social, OLV &amp; Display) ($75.5MM)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</si>
</sst>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0,\ &quot;K&quot;"/>
    <numFmt numFmtId="174" formatCode="#,"/>
    <numFmt numFmtId="175" formatCode="&quot;$&quot;#.0,,"/>
    <numFmt numFmtId="176" formatCode="&quot;$&quot;0.0,,\ "/>
    <numFmt numFmtId="177" formatCode="&quot;$&quot;0.0,,"/>
    <numFmt numFmtId="178" formatCode="#,##0.000000"/>
    <numFmt numFmtId="179" formatCode="#,##0.000"/>
  </numFmts>
  <fonts count="5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0"/>
      <name val="Arial"/>
      <family val="2"/>
    </font>
    <font>
      <sz val="9.5"/>
      <color theme="1"/>
      <name val="Arial"/>
      <family val="2"/>
    </font>
    <font>
      <b/>
      <sz val="10"/>
      <color rgb="FF00B050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9.5"/>
      <color rgb="FFFF0000"/>
      <name val="Arial"/>
      <family val="2"/>
    </font>
    <font>
      <b/>
      <sz val="11"/>
      <color theme="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14996795556505021"/>
      </right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08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166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8" fillId="46" borderId="48" xfId="0" applyFont="1" applyFill="1" applyBorder="1" applyAlignment="1">
      <alignment horizontal="center" vertical="center" wrapText="1"/>
    </xf>
    <xf numFmtId="0" fontId="38" fillId="46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left" indent="1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39" fillId="0" borderId="0" xfId="0" applyFont="1"/>
    <xf numFmtId="0" fontId="2" fillId="8" borderId="89" xfId="0" applyFont="1" applyFill="1" applyBorder="1" applyAlignment="1">
      <alignment horizontal="center" vertical="center" wrapText="1"/>
    </xf>
    <xf numFmtId="0" fontId="2" fillId="8" borderId="90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1" xfId="4" applyNumberFormat="1" applyFont="1" applyBorder="1"/>
    <xf numFmtId="164" fontId="0" fillId="0" borderId="92" xfId="4" applyNumberFormat="1" applyFont="1" applyBorder="1"/>
    <xf numFmtId="0" fontId="36" fillId="0" borderId="0" xfId="0" applyFont="1"/>
    <xf numFmtId="170" fontId="0" fillId="0" borderId="91" xfId="4" applyNumberFormat="1" applyFont="1" applyBorder="1" applyAlignment="1">
      <alignment horizontal="center"/>
    </xf>
    <xf numFmtId="170" fontId="0" fillId="0" borderId="92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3" xfId="4" applyNumberFormat="1" applyFont="1" applyBorder="1"/>
    <xf numFmtId="164" fontId="0" fillId="0" borderId="94" xfId="4" applyNumberFormat="1" applyFont="1" applyBorder="1"/>
    <xf numFmtId="170" fontId="0" fillId="0" borderId="93" xfId="4" applyNumberFormat="1" applyFont="1" applyBorder="1" applyAlignment="1">
      <alignment horizontal="center"/>
    </xf>
    <xf numFmtId="170" fontId="0" fillId="0" borderId="94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3" fontId="1" fillId="2" borderId="12" xfId="2" applyNumberFormat="1" applyFont="1" applyFill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9" borderId="12" xfId="0" applyNumberFormat="1" applyFont="1" applyFill="1" applyBorder="1" applyAlignment="1">
      <alignment horizontal="center"/>
    </xf>
    <xf numFmtId="166" fontId="1" fillId="9" borderId="37" xfId="0" applyNumberFormat="1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7" fontId="0" fillId="0" borderId="0" xfId="0" applyNumberFormat="1"/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8" fontId="1" fillId="9" borderId="2" xfId="4" applyNumberFormat="1" applyFont="1" applyFill="1" applyBorder="1"/>
    <xf numFmtId="0" fontId="28" fillId="47" borderId="0" xfId="0" applyFont="1" applyFill="1" applyAlignment="1">
      <alignment horizontal="center"/>
    </xf>
    <xf numFmtId="44" fontId="1" fillId="0" borderId="0" xfId="0" applyNumberFormat="1" applyFont="1"/>
    <xf numFmtId="166" fontId="1" fillId="2" borderId="40" xfId="4" applyNumberFormat="1" applyFont="1" applyFill="1" applyBorder="1" applyAlignment="1">
      <alignment horizontal="center"/>
    </xf>
    <xf numFmtId="166" fontId="12" fillId="8" borderId="49" xfId="2" applyNumberFormat="1" applyFont="1" applyFill="1" applyBorder="1" applyAlignment="1">
      <alignment horizontal="center"/>
    </xf>
    <xf numFmtId="9" fontId="1" fillId="0" borderId="12" xfId="0" applyNumberFormat="1" applyFont="1" applyBorder="1" applyAlignment="1">
      <alignment horizontal="center"/>
    </xf>
    <xf numFmtId="0" fontId="0" fillId="0" borderId="0" xfId="0" applyAlignment="1"/>
    <xf numFmtId="3" fontId="0" fillId="43" borderId="0" xfId="0" applyNumberFormat="1" applyFill="1"/>
    <xf numFmtId="9" fontId="0" fillId="0" borderId="0" xfId="3" applyFont="1"/>
    <xf numFmtId="0" fontId="1" fillId="0" borderId="48" xfId="0" applyFont="1" applyBorder="1" applyAlignment="1"/>
    <xf numFmtId="0" fontId="1" fillId="0" borderId="0" xfId="0" applyFont="1" applyBorder="1" applyAlignment="1"/>
    <xf numFmtId="2" fontId="0" fillId="0" borderId="0" xfId="0" applyNumberFormat="1"/>
    <xf numFmtId="3" fontId="1" fillId="0" borderId="0" xfId="0" applyNumberFormat="1" applyFont="1"/>
    <xf numFmtId="0" fontId="40" fillId="0" borderId="0" xfId="0" applyFont="1"/>
    <xf numFmtId="0" fontId="41" fillId="0" borderId="0" xfId="0" applyFont="1"/>
    <xf numFmtId="0" fontId="40" fillId="0" borderId="70" xfId="0" applyFont="1" applyBorder="1" applyAlignment="1">
      <alignment horizontal="center" vertical="center"/>
    </xf>
    <xf numFmtId="0" fontId="40" fillId="0" borderId="70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40" fillId="0" borderId="74" xfId="0" applyFont="1" applyBorder="1" applyAlignment="1">
      <alignment horizontal="center" vertical="center" wrapText="1"/>
    </xf>
    <xf numFmtId="0" fontId="40" fillId="0" borderId="70" xfId="0" applyFont="1" applyBorder="1" applyAlignment="1">
      <alignment horizontal="left" vertical="center" wrapText="1" indent="1"/>
    </xf>
    <xf numFmtId="170" fontId="40" fillId="0" borderId="70" xfId="0" applyNumberFormat="1" applyFont="1" applyBorder="1" applyAlignment="1">
      <alignment horizontal="center" vertical="center"/>
    </xf>
    <xf numFmtId="170" fontId="40" fillId="0" borderId="95" xfId="0" applyNumberFormat="1" applyFont="1" applyBorder="1" applyAlignment="1">
      <alignment horizontal="center" vertical="center"/>
    </xf>
    <xf numFmtId="0" fontId="40" fillId="0" borderId="71" xfId="0" applyFont="1" applyBorder="1" applyAlignment="1">
      <alignment horizontal="left" vertical="center" indent="1"/>
    </xf>
    <xf numFmtId="170" fontId="40" fillId="0" borderId="0" xfId="0" applyNumberFormat="1" applyFont="1" applyBorder="1" applyAlignment="1">
      <alignment horizontal="center" vertical="center"/>
    </xf>
    <xf numFmtId="170" fontId="41" fillId="47" borderId="84" xfId="0" applyNumberFormat="1" applyFont="1" applyFill="1" applyBorder="1" applyAlignment="1">
      <alignment horizontal="center" vertical="center"/>
    </xf>
    <xf numFmtId="170" fontId="41" fillId="47" borderId="86" xfId="4" applyNumberFormat="1" applyFont="1" applyFill="1" applyBorder="1" applyAlignment="1">
      <alignment horizontal="center" vertical="center" wrapText="1"/>
    </xf>
    <xf numFmtId="9" fontId="41" fillId="47" borderId="87" xfId="3" applyFont="1" applyFill="1" applyBorder="1" applyAlignment="1">
      <alignment horizontal="center" vertical="center"/>
    </xf>
    <xf numFmtId="0" fontId="45" fillId="46" borderId="47" xfId="0" applyFont="1" applyFill="1" applyBorder="1" applyAlignment="1">
      <alignment horizontal="center" vertical="center" wrapText="1"/>
    </xf>
    <xf numFmtId="0" fontId="45" fillId="46" borderId="48" xfId="0" applyFont="1" applyFill="1" applyBorder="1" applyAlignment="1">
      <alignment horizontal="center" vertical="center" wrapText="1"/>
    </xf>
    <xf numFmtId="0" fontId="45" fillId="46" borderId="49" xfId="0" applyFont="1" applyFill="1" applyBorder="1" applyAlignment="1">
      <alignment horizontal="center" vertical="center" wrapText="1"/>
    </xf>
    <xf numFmtId="3" fontId="44" fillId="0" borderId="42" xfId="0" applyNumberFormat="1" applyFont="1" applyBorder="1" applyAlignment="1">
      <alignment horizontal="center" vertical="center"/>
    </xf>
    <xf numFmtId="169" fontId="44" fillId="0" borderId="42" xfId="0" applyNumberFormat="1" applyFont="1" applyBorder="1" applyAlignment="1">
      <alignment horizontal="center" vertical="center"/>
    </xf>
    <xf numFmtId="171" fontId="44" fillId="0" borderId="42" xfId="0" applyNumberFormat="1" applyFont="1" applyBorder="1" applyAlignment="1">
      <alignment horizontal="center" vertical="center"/>
    </xf>
    <xf numFmtId="166" fontId="44" fillId="0" borderId="42" xfId="4" applyNumberFormat="1" applyFont="1" applyBorder="1" applyAlignment="1">
      <alignment horizontal="center" vertical="center"/>
    </xf>
    <xf numFmtId="171" fontId="44" fillId="0" borderId="42" xfId="3" applyNumberFormat="1" applyFont="1" applyBorder="1" applyAlignment="1">
      <alignment horizontal="center" vertical="center"/>
    </xf>
    <xf numFmtId="172" fontId="44" fillId="0" borderId="13" xfId="0" applyNumberFormat="1" applyFont="1" applyBorder="1" applyAlignment="1">
      <alignment horizontal="center" vertical="center"/>
    </xf>
    <xf numFmtId="0" fontId="41" fillId="0" borderId="41" xfId="0" applyFont="1" applyBorder="1" applyAlignment="1">
      <alignment vertical="center"/>
    </xf>
    <xf numFmtId="0" fontId="41" fillId="0" borderId="42" xfId="0" applyFont="1" applyFill="1" applyBorder="1" applyAlignment="1">
      <alignment vertical="center"/>
    </xf>
    <xf numFmtId="0" fontId="40" fillId="0" borderId="47" xfId="0" applyFont="1" applyBorder="1" applyAlignment="1">
      <alignment horizontal="left" vertical="center"/>
    </xf>
    <xf numFmtId="0" fontId="40" fillId="0" borderId="48" xfId="0" applyFont="1" applyBorder="1" applyAlignment="1">
      <alignment horizontal="left" vertical="center"/>
    </xf>
    <xf numFmtId="3" fontId="43" fillId="0" borderId="48" xfId="0" applyNumberFormat="1" applyFont="1" applyBorder="1" applyAlignment="1">
      <alignment horizontal="center" vertical="center"/>
    </xf>
    <xf numFmtId="166" fontId="43" fillId="0" borderId="48" xfId="0" applyNumberFormat="1" applyFont="1" applyBorder="1" applyAlignment="1">
      <alignment horizontal="center" vertical="center"/>
    </xf>
    <xf numFmtId="169" fontId="43" fillId="0" borderId="48" xfId="0" applyNumberFormat="1" applyFont="1" applyBorder="1" applyAlignment="1">
      <alignment horizontal="center" vertical="center"/>
    </xf>
    <xf numFmtId="171" fontId="43" fillId="0" borderId="48" xfId="3" applyNumberFormat="1" applyFont="1" applyBorder="1" applyAlignment="1">
      <alignment horizontal="center" vertical="center"/>
    </xf>
    <xf numFmtId="10" fontId="43" fillId="0" borderId="0" xfId="3" applyNumberFormat="1" applyFont="1" applyBorder="1" applyAlignment="1">
      <alignment horizontal="center" vertical="center"/>
    </xf>
    <xf numFmtId="0" fontId="40" fillId="0" borderId="40" xfId="0" applyFont="1" applyBorder="1" applyAlignment="1">
      <alignment horizontal="left" vertical="center"/>
    </xf>
    <xf numFmtId="0" fontId="40" fillId="0" borderId="0" xfId="0" applyFont="1" applyBorder="1" applyAlignment="1">
      <alignment horizontal="left" vertical="center"/>
    </xf>
    <xf numFmtId="3" fontId="43" fillId="0" borderId="0" xfId="0" applyNumberFormat="1" applyFont="1" applyBorder="1" applyAlignment="1">
      <alignment horizontal="center" vertical="center"/>
    </xf>
    <xf numFmtId="169" fontId="43" fillId="0" borderId="0" xfId="0" applyNumberFormat="1" applyFont="1" applyBorder="1" applyAlignment="1">
      <alignment horizontal="center" vertical="center"/>
    </xf>
    <xf numFmtId="171" fontId="43" fillId="0" borderId="0" xfId="3" applyNumberFormat="1" applyFont="1" applyBorder="1" applyAlignment="1">
      <alignment horizontal="center" vertical="center"/>
    </xf>
    <xf numFmtId="0" fontId="41" fillId="47" borderId="83" xfId="0" applyFont="1" applyFill="1" applyBorder="1" applyAlignment="1">
      <alignment horizontal="left" vertical="center" wrapText="1"/>
    </xf>
    <xf numFmtId="170" fontId="41" fillId="47" borderId="85" xfId="0" applyNumberFormat="1" applyFont="1" applyFill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170" fontId="41" fillId="47" borderId="88" xfId="4" applyNumberFormat="1" applyFont="1" applyFill="1" applyBorder="1" applyAlignment="1">
      <alignment horizontal="center" vertical="center" wrapText="1"/>
    </xf>
    <xf numFmtId="0" fontId="40" fillId="0" borderId="0" xfId="0" applyFont="1" applyAlignment="1">
      <alignment vertical="center"/>
    </xf>
    <xf numFmtId="0" fontId="46" fillId="0" borderId="71" xfId="0" applyFont="1" applyBorder="1" applyAlignment="1">
      <alignment horizontal="left" vertical="center" indent="1"/>
    </xf>
    <xf numFmtId="170" fontId="46" fillId="0" borderId="75" xfId="4" applyNumberFormat="1" applyFont="1" applyBorder="1" applyAlignment="1">
      <alignment horizontal="center" vertical="center"/>
    </xf>
    <xf numFmtId="170" fontId="46" fillId="0" borderId="76" xfId="4" applyNumberFormat="1" applyFont="1" applyBorder="1" applyAlignment="1">
      <alignment horizontal="center" vertical="center"/>
    </xf>
    <xf numFmtId="166" fontId="46" fillId="0" borderId="0" xfId="4" applyNumberFormat="1" applyFont="1" applyAlignment="1">
      <alignment horizontal="center" vertical="center"/>
    </xf>
    <xf numFmtId="170" fontId="46" fillId="0" borderId="77" xfId="4" applyNumberFormat="1" applyFont="1" applyBorder="1" applyAlignment="1">
      <alignment horizontal="center" vertical="center"/>
    </xf>
    <xf numFmtId="9" fontId="46" fillId="0" borderId="75" xfId="3" applyFont="1" applyBorder="1" applyAlignment="1">
      <alignment horizontal="center" vertical="center"/>
    </xf>
    <xf numFmtId="170" fontId="46" fillId="0" borderId="78" xfId="4" applyNumberFormat="1" applyFont="1" applyBorder="1" applyAlignment="1">
      <alignment horizontal="center" vertical="center"/>
    </xf>
    <xf numFmtId="0" fontId="46" fillId="0" borderId="0" xfId="0" applyFont="1"/>
    <xf numFmtId="170" fontId="46" fillId="0" borderId="79" xfId="4" applyNumberFormat="1" applyFont="1" applyBorder="1" applyAlignment="1">
      <alignment horizontal="center" vertical="center"/>
    </xf>
    <xf numFmtId="170" fontId="46" fillId="0" borderId="80" xfId="4" applyNumberFormat="1" applyFont="1" applyBorder="1" applyAlignment="1">
      <alignment horizontal="center" vertical="center"/>
    </xf>
    <xf numFmtId="170" fontId="46" fillId="0" borderId="81" xfId="4" applyNumberFormat="1" applyFont="1" applyBorder="1" applyAlignment="1">
      <alignment horizontal="center" vertical="center"/>
    </xf>
    <xf numFmtId="9" fontId="46" fillId="0" borderId="79" xfId="3" applyFont="1" applyBorder="1" applyAlignment="1">
      <alignment horizontal="center" vertical="center"/>
    </xf>
    <xf numFmtId="170" fontId="46" fillId="0" borderId="82" xfId="4" applyNumberFormat="1" applyFont="1" applyBorder="1" applyAlignment="1">
      <alignment horizontal="center" vertical="center"/>
    </xf>
    <xf numFmtId="9" fontId="46" fillId="0" borderId="79" xfId="3" applyFont="1" applyFill="1" applyBorder="1" applyAlignment="1">
      <alignment horizontal="center" vertical="center"/>
    </xf>
    <xf numFmtId="0" fontId="42" fillId="0" borderId="0" xfId="0" applyFont="1" applyFill="1" applyAlignment="1">
      <alignment horizontal="center"/>
    </xf>
    <xf numFmtId="166" fontId="47" fillId="47" borderId="88" xfId="4" quotePrefix="1" applyNumberFormat="1" applyFont="1" applyFill="1" applyBorder="1" applyAlignment="1">
      <alignment horizontal="center" vertical="center" wrapText="1"/>
    </xf>
    <xf numFmtId="166" fontId="41" fillId="47" borderId="88" xfId="4" applyNumberFormat="1" applyFont="1" applyFill="1" applyBorder="1" applyAlignment="1">
      <alignment horizontal="center" vertical="center" wrapText="1"/>
    </xf>
    <xf numFmtId="171" fontId="40" fillId="0" borderId="0" xfId="3" applyNumberFormat="1" applyFont="1" applyAlignment="1">
      <alignment horizontal="center"/>
    </xf>
    <xf numFmtId="0" fontId="48" fillId="0" borderId="0" xfId="0" applyFont="1"/>
    <xf numFmtId="5" fontId="1" fillId="0" borderId="0" xfId="0" applyNumberFormat="1" applyFont="1"/>
    <xf numFmtId="168" fontId="46" fillId="0" borderId="79" xfId="4" applyNumberFormat="1" applyFont="1" applyBorder="1" applyAlignment="1">
      <alignment horizontal="center" vertical="center"/>
    </xf>
    <xf numFmtId="168" fontId="46" fillId="0" borderId="81" xfId="4" applyNumberFormat="1" applyFont="1" applyBorder="1" applyAlignment="1">
      <alignment horizontal="center" vertical="center"/>
    </xf>
    <xf numFmtId="10" fontId="44" fillId="0" borderId="42" xfId="3" applyNumberFormat="1" applyFont="1" applyBorder="1" applyAlignment="1">
      <alignment horizontal="center" vertical="center"/>
    </xf>
    <xf numFmtId="0" fontId="43" fillId="0" borderId="0" xfId="0" applyFont="1"/>
    <xf numFmtId="0" fontId="43" fillId="0" borderId="70" xfId="0" applyFont="1" applyBorder="1" applyAlignment="1">
      <alignment horizontal="center" vertical="center"/>
    </xf>
    <xf numFmtId="0" fontId="43" fillId="0" borderId="70" xfId="0" applyFont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/>
    </xf>
    <xf numFmtId="9" fontId="41" fillId="47" borderId="0" xfId="3" applyFont="1" applyFill="1" applyBorder="1" applyAlignment="1">
      <alignment horizontal="center" vertical="center"/>
    </xf>
    <xf numFmtId="164" fontId="28" fillId="0" borderId="0" xfId="0" quotePrefix="1" applyNumberFormat="1" applyFont="1" applyAlignment="1">
      <alignment horizontal="center" vertical="center" wrapText="1"/>
    </xf>
    <xf numFmtId="2" fontId="40" fillId="0" borderId="0" xfId="0" applyNumberFormat="1" applyFont="1" applyAlignment="1">
      <alignment horizontal="center" vertical="center"/>
    </xf>
    <xf numFmtId="0" fontId="2" fillId="8" borderId="1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3" fontId="0" fillId="43" borderId="2" xfId="0" applyNumberFormat="1" applyFill="1" applyBorder="1" applyAlignment="1">
      <alignment horizontal="center" vertical="center"/>
    </xf>
    <xf numFmtId="171" fontId="0" fillId="0" borderId="2" xfId="3" applyNumberFormat="1" applyFont="1" applyBorder="1" applyAlignment="1">
      <alignment horizontal="center" vertical="center"/>
    </xf>
    <xf numFmtId="173" fontId="0" fillId="0" borderId="2" xfId="0" applyNumberFormat="1" applyBorder="1" applyAlignment="1">
      <alignment horizontal="center" vertical="center"/>
    </xf>
    <xf numFmtId="165" fontId="40" fillId="0" borderId="0" xfId="2" applyNumberFormat="1" applyFont="1"/>
    <xf numFmtId="174" fontId="46" fillId="0" borderId="76" xfId="4" applyNumberFormat="1" applyFont="1" applyBorder="1" applyAlignment="1">
      <alignment horizontal="center" vertical="center"/>
    </xf>
    <xf numFmtId="174" fontId="46" fillId="0" borderId="80" xfId="4" applyNumberFormat="1" applyFont="1" applyBorder="1" applyAlignment="1">
      <alignment horizontal="center" vertical="center"/>
    </xf>
    <xf numFmtId="174" fontId="41" fillId="47" borderId="85" xfId="0" applyNumberFormat="1" applyFont="1" applyFill="1" applyBorder="1" applyAlignment="1">
      <alignment horizontal="center" vertical="center"/>
    </xf>
    <xf numFmtId="0" fontId="25" fillId="49" borderId="2" xfId="0" applyFont="1" applyFill="1" applyBorder="1" applyAlignment="1">
      <alignment horizontal="center" vertical="center"/>
    </xf>
    <xf numFmtId="175" fontId="40" fillId="0" borderId="70" xfId="0" applyNumberFormat="1" applyFont="1" applyBorder="1" applyAlignment="1">
      <alignment horizontal="center" vertical="center"/>
    </xf>
    <xf numFmtId="0" fontId="44" fillId="47" borderId="83" xfId="0" applyFont="1" applyFill="1" applyBorder="1" applyAlignment="1">
      <alignment horizontal="left" vertical="center" wrapText="1" indent="1"/>
    </xf>
    <xf numFmtId="170" fontId="44" fillId="47" borderId="84" xfId="0" applyNumberFormat="1" applyFont="1" applyFill="1" applyBorder="1" applyAlignment="1">
      <alignment horizontal="center" vertical="center"/>
    </xf>
    <xf numFmtId="175" fontId="44" fillId="47" borderId="85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50" fillId="48" borderId="2" xfId="0" applyFont="1" applyFill="1" applyBorder="1" applyAlignment="1">
      <alignment horizontal="center" vertical="center"/>
    </xf>
    <xf numFmtId="0" fontId="40" fillId="0" borderId="2" xfId="0" applyFont="1" applyBorder="1" applyAlignment="1">
      <alignment horizontal="center" vertical="center"/>
    </xf>
    <xf numFmtId="173" fontId="40" fillId="0" borderId="2" xfId="0" applyNumberFormat="1" applyFont="1" applyBorder="1" applyAlignment="1">
      <alignment horizontal="center" vertical="center"/>
    </xf>
    <xf numFmtId="171" fontId="40" fillId="0" borderId="2" xfId="3" applyNumberFormat="1" applyFont="1" applyBorder="1" applyAlignment="1">
      <alignment horizontal="center" vertical="center"/>
    </xf>
    <xf numFmtId="176" fontId="43" fillId="0" borderId="0" xfId="0" applyNumberFormat="1" applyFont="1" applyBorder="1" applyAlignment="1">
      <alignment horizontal="center" vertical="center"/>
    </xf>
    <xf numFmtId="176" fontId="44" fillId="0" borderId="42" xfId="0" applyNumberFormat="1" applyFont="1" applyBorder="1" applyAlignment="1">
      <alignment horizontal="center" vertical="center"/>
    </xf>
    <xf numFmtId="177" fontId="43" fillId="0" borderId="0" xfId="0" applyNumberFormat="1" applyFont="1" applyBorder="1" applyAlignment="1">
      <alignment horizontal="center" vertical="center"/>
    </xf>
    <xf numFmtId="177" fontId="44" fillId="0" borderId="42" xfId="0" applyNumberFormat="1" applyFont="1" applyBorder="1" applyAlignment="1">
      <alignment horizontal="center" vertical="center"/>
    </xf>
    <xf numFmtId="169" fontId="43" fillId="0" borderId="96" xfId="3" applyNumberFormat="1" applyFont="1" applyBorder="1" applyAlignment="1">
      <alignment horizontal="center" vertical="center"/>
    </xf>
    <xf numFmtId="0" fontId="42" fillId="49" borderId="0" xfId="0" applyFont="1" applyFill="1" applyBorder="1" applyAlignment="1">
      <alignment horizontal="center" vertical="center" wrapText="1"/>
    </xf>
    <xf numFmtId="170" fontId="46" fillId="0" borderId="0" xfId="4" applyNumberFormat="1" applyFont="1" applyBorder="1" applyAlignment="1">
      <alignment horizontal="center" vertical="center"/>
    </xf>
    <xf numFmtId="170" fontId="41" fillId="47" borderId="0" xfId="4" applyNumberFormat="1" applyFont="1" applyFill="1" applyBorder="1" applyAlignment="1">
      <alignment horizontal="center" vertical="center" wrapText="1"/>
    </xf>
    <xf numFmtId="166" fontId="47" fillId="47" borderId="0" xfId="4" quotePrefix="1" applyNumberFormat="1" applyFont="1" applyFill="1" applyBorder="1" applyAlignment="1">
      <alignment horizontal="center" vertical="center" wrapText="1"/>
    </xf>
    <xf numFmtId="166" fontId="41" fillId="47" borderId="0" xfId="4" applyNumberFormat="1" applyFont="1" applyFill="1" applyBorder="1" applyAlignment="1">
      <alignment horizontal="center" vertical="center" wrapText="1"/>
    </xf>
    <xf numFmtId="0" fontId="40" fillId="0" borderId="0" xfId="0" applyFont="1" applyBorder="1" applyAlignment="1">
      <alignment horizontal="center" vertical="center" wrapText="1"/>
    </xf>
    <xf numFmtId="174" fontId="46" fillId="0" borderId="0" xfId="4" applyNumberFormat="1" applyFont="1" applyBorder="1" applyAlignment="1">
      <alignment horizontal="center" vertical="center"/>
    </xf>
    <xf numFmtId="174" fontId="41" fillId="47" borderId="0" xfId="0" applyNumberFormat="1" applyFont="1" applyFill="1" applyBorder="1" applyAlignment="1">
      <alignment horizontal="center" vertical="center"/>
    </xf>
    <xf numFmtId="0" fontId="43" fillId="0" borderId="2" xfId="0" applyFont="1" applyBorder="1" applyAlignment="1">
      <alignment horizontal="center" vertical="center" wrapText="1"/>
    </xf>
    <xf numFmtId="178" fontId="40" fillId="0" borderId="70" xfId="0" applyNumberFormat="1" applyFont="1" applyBorder="1" applyAlignment="1">
      <alignment horizontal="center" vertical="center"/>
    </xf>
    <xf numFmtId="179" fontId="1" fillId="0" borderId="0" xfId="0" applyNumberFormat="1" applyFont="1"/>
    <xf numFmtId="166" fontId="1" fillId="6" borderId="40" xfId="4" applyNumberFormat="1" applyFont="1" applyFill="1" applyBorder="1" applyAlignment="1">
      <alignment horizontal="center"/>
    </xf>
    <xf numFmtId="166" fontId="1" fillId="6" borderId="37" xfId="4" applyNumberFormat="1" applyFont="1" applyFill="1" applyBorder="1" applyAlignment="1">
      <alignment horizontal="center"/>
    </xf>
    <xf numFmtId="166" fontId="1" fillId="6" borderId="32" xfId="4" applyNumberFormat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47" borderId="0" xfId="0" applyFont="1" applyFill="1" applyAlignment="1">
      <alignment horizontal="center"/>
    </xf>
    <xf numFmtId="0" fontId="26" fillId="0" borderId="0" xfId="0" applyFont="1" applyAlignment="1">
      <alignment horizontal="center" vertical="center"/>
    </xf>
    <xf numFmtId="0" fontId="25" fillId="46" borderId="67" xfId="0" applyFont="1" applyFill="1" applyBorder="1" applyAlignment="1">
      <alignment horizontal="center" vertical="center"/>
    </xf>
    <xf numFmtId="0" fontId="25" fillId="46" borderId="68" xfId="0" applyFont="1" applyFill="1" applyBorder="1" applyAlignment="1">
      <alignment horizontal="center" vertical="center"/>
    </xf>
    <xf numFmtId="0" fontId="25" fillId="46" borderId="69" xfId="0" applyFont="1" applyFill="1" applyBorder="1" applyAlignment="1">
      <alignment horizontal="center" vertical="center"/>
    </xf>
    <xf numFmtId="0" fontId="42" fillId="46" borderId="67" xfId="0" applyFont="1" applyFill="1" applyBorder="1" applyAlignment="1">
      <alignment horizontal="center" vertical="center"/>
    </xf>
    <xf numFmtId="0" fontId="42" fillId="46" borderId="68" xfId="0" applyFont="1" applyFill="1" applyBorder="1" applyAlignment="1">
      <alignment horizontal="center" vertical="center"/>
    </xf>
    <xf numFmtId="0" fontId="42" fillId="46" borderId="69" xfId="0" applyFont="1" applyFill="1" applyBorder="1" applyAlignment="1">
      <alignment horizontal="center" vertical="center"/>
    </xf>
    <xf numFmtId="0" fontId="49" fillId="0" borderId="97" xfId="0" applyFont="1" applyBorder="1" applyAlignment="1">
      <alignment horizontal="center" vertical="center"/>
    </xf>
    <xf numFmtId="0" fontId="49" fillId="0" borderId="95" xfId="0" applyFont="1" applyBorder="1" applyAlignment="1">
      <alignment horizontal="center" vertical="center"/>
    </xf>
    <xf numFmtId="0" fontId="49" fillId="0" borderId="98" xfId="0" applyFont="1" applyBorder="1" applyAlignment="1">
      <alignment horizontal="center" vertical="center"/>
    </xf>
    <xf numFmtId="0" fontId="25" fillId="46" borderId="67" xfId="0" applyFont="1" applyFill="1" applyBorder="1" applyAlignment="1">
      <alignment horizontal="center" vertical="center" wrapText="1"/>
    </xf>
    <xf numFmtId="0" fontId="25" fillId="46" borderId="68" xfId="0" applyFont="1" applyFill="1" applyBorder="1" applyAlignment="1">
      <alignment horizontal="center" vertical="center" wrapText="1"/>
    </xf>
    <xf numFmtId="0" fontId="25" fillId="46" borderId="69" xfId="0" applyFont="1" applyFill="1" applyBorder="1" applyAlignment="1">
      <alignment horizontal="center" vertical="center" wrapText="1"/>
    </xf>
    <xf numFmtId="0" fontId="42" fillId="46" borderId="67" xfId="0" applyFont="1" applyFill="1" applyBorder="1" applyAlignment="1">
      <alignment horizontal="center" vertical="center" wrapText="1"/>
    </xf>
    <xf numFmtId="0" fontId="42" fillId="46" borderId="68" xfId="0" applyFont="1" applyFill="1" applyBorder="1" applyAlignment="1">
      <alignment horizontal="center" vertical="center" wrapText="1"/>
    </xf>
    <xf numFmtId="0" fontId="42" fillId="46" borderId="69" xfId="0" applyFont="1" applyFill="1" applyBorder="1" applyAlignment="1">
      <alignment horizontal="center" vertical="center" wrapText="1"/>
    </xf>
    <xf numFmtId="0" fontId="42" fillId="49" borderId="67" xfId="0" applyFont="1" applyFill="1" applyBorder="1" applyAlignment="1">
      <alignment horizontal="center" vertical="center" wrapText="1"/>
    </xf>
    <xf numFmtId="0" fontId="42" fillId="49" borderId="68" xfId="0" applyFont="1" applyFill="1" applyBorder="1" applyAlignment="1">
      <alignment horizontal="center" vertical="center" wrapText="1"/>
    </xf>
    <xf numFmtId="0" fontId="42" fillId="49" borderId="69" xfId="0" applyFont="1" applyFill="1" applyBorder="1" applyAlignment="1">
      <alignment horizontal="center" vertical="center" wrapText="1"/>
    </xf>
    <xf numFmtId="0" fontId="41" fillId="0" borderId="72" xfId="0" applyFont="1" applyBorder="1" applyAlignment="1">
      <alignment horizontal="center" vertical="center" wrapText="1"/>
    </xf>
    <xf numFmtId="0" fontId="41" fillId="0" borderId="73" xfId="0" applyFont="1" applyBorder="1" applyAlignment="1">
      <alignment horizontal="center" vertical="center" wrapText="1"/>
    </xf>
    <xf numFmtId="0" fontId="50" fillId="48" borderId="2" xfId="0" applyFont="1" applyFill="1" applyBorder="1" applyAlignment="1">
      <alignment horizontal="center" vertical="center" wrapText="1"/>
    </xf>
    <xf numFmtId="0" fontId="25" fillId="49" borderId="2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0" fillId="46" borderId="9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57"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8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3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6.xml"/><Relationship Id="rId37" Type="http://schemas.openxmlformats.org/officeDocument/2006/relationships/theme" Target="theme/theme1.xml"/><Relationship Id="rId40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36" Type="http://schemas.openxmlformats.org/officeDocument/2006/relationships/externalLink" Target="externalLinks/externalLink10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externalLink" Target="externalLinks/externalLink4.xml"/><Relationship Id="rId35" Type="http://schemas.openxmlformats.org/officeDocument/2006/relationships/externalLink" Target="externalLinks/externalLink9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7.xml"/><Relationship Id="rId38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21.864999999999998</c:v>
                </c:pt>
                <c:pt idx="1">
                  <c:v>21.864999999999998</c:v>
                </c:pt>
                <c:pt idx="2">
                  <c:v>21.864999999999998</c:v>
                </c:pt>
                <c:pt idx="3">
                  <c:v>21.864999999999998</c:v>
                </c:pt>
                <c:pt idx="4">
                  <c:v>21.864999999999998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3.9187500000000002</c:v>
                </c:pt>
                <c:pt idx="1">
                  <c:v>3.9187500000000002</c:v>
                </c:pt>
                <c:pt idx="2">
                  <c:v>3.9187500000000002</c:v>
                </c:pt>
                <c:pt idx="3">
                  <c:v>3.9187500000000002</c:v>
                </c:pt>
                <c:pt idx="4">
                  <c:v>3.9187500000000002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3.4562499999999998</c:v>
                </c:pt>
                <c:pt idx="1">
                  <c:v>3.4562499999999998</c:v>
                </c:pt>
                <c:pt idx="2">
                  <c:v>3.4562499999999998</c:v>
                </c:pt>
                <c:pt idx="3">
                  <c:v>3.4562499999999998</c:v>
                </c:pt>
                <c:pt idx="4">
                  <c:v>3.4562499999999998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7.5668825899999996</c:v>
                </c:pt>
                <c:pt idx="1">
                  <c:v>7.5668825899999996</c:v>
                </c:pt>
                <c:pt idx="2">
                  <c:v>7.5668825899999996</c:v>
                </c:pt>
                <c:pt idx="3">
                  <c:v>7.5668825899999996</c:v>
                </c:pt>
                <c:pt idx="4">
                  <c:v>7.5668825899999996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5.8125000000000009</c:v>
                </c:pt>
                <c:pt idx="1">
                  <c:v>5.8125000000000009</c:v>
                </c:pt>
                <c:pt idx="2">
                  <c:v>5.8125000000000009</c:v>
                </c:pt>
                <c:pt idx="3">
                  <c:v>5.8125000000000009</c:v>
                </c:pt>
                <c:pt idx="4">
                  <c:v>5.8125000000000009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2.31</c:v>
                </c:pt>
                <c:pt idx="1">
                  <c:v>2.31</c:v>
                </c:pt>
                <c:pt idx="2">
                  <c:v>2.31</c:v>
                </c:pt>
                <c:pt idx="3">
                  <c:v>2.31</c:v>
                </c:pt>
                <c:pt idx="4">
                  <c:v>2.31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Custom Scenario (Private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7772154544711521E-2"/>
                  <c:y val="2.90881038518833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0.16091768654140956"/>
                  <c:y val="-1.187741238227580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0.15094714777083473"/>
                  <c:y val="-2.82352941176471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0-4032-861D-70D3A5842C23}"/>
                </c:ext>
              </c:extLst>
            </c:dLbl>
            <c:dLbl>
              <c:idx val="3"/>
              <c:layout>
                <c:manualLayout>
                  <c:x val="-0.14312034030916118"/>
                  <c:y val="-4.200375688333075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0795477147328428"/>
                  <c:y val="4.549928858881448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summary'!$C$6:$C$8</c:f>
              <c:numCache>
                <c:formatCode>_("$"* #,##0_);_("$"* \(#,##0\);_("$"* "-"??_);_(@_)</c:formatCode>
                <c:ptCount val="3"/>
                <c:pt idx="0">
                  <c:v>93974304.481697485</c:v>
                </c:pt>
                <c:pt idx="1">
                  <c:v>83404189.807415545</c:v>
                </c:pt>
                <c:pt idx="2">
                  <c:v>72834075.290000007</c:v>
                </c:pt>
              </c:numCache>
            </c:numRef>
          </c:xVal>
          <c:yVal>
            <c:numRef>
              <c:f>'Scenario summary'!$G$6:$G$8</c:f>
              <c:numCache>
                <c:formatCode>_("$"* #,##0_);_("$"* \(#,##0\);_("$"* "-"??_);_(@_)</c:formatCode>
                <c:ptCount val="3"/>
                <c:pt idx="0">
                  <c:v>252078108.19319174</c:v>
                </c:pt>
                <c:pt idx="1">
                  <c:v>238569754.92192909</c:v>
                </c:pt>
                <c:pt idx="2">
                  <c:v>236647013.59052369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  <c:pt idx="0">
                  <c:v>Custom Scenario (Adult Doses)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dLbl>
              <c:idx val="4"/>
              <c:layout>
                <c:manualLayout>
                  <c:x val="-7.6130039349874029E-2"/>
                  <c:y val="-4.7297297297297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0-4032-861D-70D3A5842C23}"/>
                </c:ext>
              </c:extLst>
            </c:dLbl>
            <c:dLbl>
              <c:idx val="5"/>
              <c:layout>
                <c:manualLayout>
                  <c:x val="-7.8475350177491993E-2"/>
                  <c:y val="6.08108108108108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0-4032-861D-70D3A5842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summary'!$C$6:$C$8</c:f>
              <c:numCache>
                <c:formatCode>_("$"* #,##0_);_("$"* \(#,##0\);_("$"* "-"??_);_(@_)</c:formatCode>
                <c:ptCount val="3"/>
                <c:pt idx="0">
                  <c:v>93974304.481697485</c:v>
                </c:pt>
                <c:pt idx="1">
                  <c:v>83404189.807415545</c:v>
                </c:pt>
                <c:pt idx="2">
                  <c:v>72834075.290000007</c:v>
                </c:pt>
              </c:numCache>
            </c:numRef>
          </c:xVal>
          <c:yVal>
            <c:numRef>
              <c:f>'Scenario summary'!$H$6:$H$8</c:f>
              <c:numCache>
                <c:formatCode>_("$"* #,##0_);_("$"* \(#,##0\);_("$"* "-"??_);_(@_)</c:formatCode>
                <c:ptCount val="3"/>
                <c:pt idx="0">
                  <c:v>201662486.55455339</c:v>
                </c:pt>
                <c:pt idx="1">
                  <c:v>190855803.93754327</c:v>
                </c:pt>
                <c:pt idx="2">
                  <c:v>189317610.87241897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72834075.290000007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233568875.05072653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  <c:extLst/>
      </c:scatterChart>
      <c:valAx>
        <c:axId val="831722088"/>
        <c:scaling>
          <c:orientation val="minMax"/>
          <c:min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summary_incr_doses'!$G$5</c:f>
              <c:strCache>
                <c:ptCount val="1"/>
                <c:pt idx="0">
                  <c:v>Custom Scenario (Private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7772154544711521E-2"/>
                  <c:y val="2.90881038518833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55F-466B-AD55-13C581E2E29F}"/>
                </c:ext>
              </c:extLst>
            </c:dLbl>
            <c:dLbl>
              <c:idx val="1"/>
              <c:layout>
                <c:manualLayout>
                  <c:x val="-0.16091768654140956"/>
                  <c:y val="-1.187741238227580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55F-466B-AD55-13C581E2E29F}"/>
                </c:ext>
              </c:extLst>
            </c:dLbl>
            <c:dLbl>
              <c:idx val="2"/>
              <c:layout>
                <c:manualLayout>
                  <c:x val="-0.15094714777083473"/>
                  <c:y val="-2.82352941176471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55F-466B-AD55-13C581E2E29F}"/>
                </c:ext>
              </c:extLst>
            </c:dLbl>
            <c:dLbl>
              <c:idx val="3"/>
              <c:layout>
                <c:manualLayout>
                  <c:x val="-0.14312034030916118"/>
                  <c:y val="-4.200375688333075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5F-466B-AD55-13C581E2E29F}"/>
                </c:ext>
              </c:extLst>
            </c:dLbl>
            <c:dLbl>
              <c:idx val="4"/>
              <c:layout>
                <c:manualLayout>
                  <c:x val="-0.10795477147328428"/>
                  <c:y val="4.549928858881448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55F-466B-AD55-13C581E2E2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summary_incr_doses'!$C$6:$C$8</c:f>
              <c:numCache>
                <c:formatCode>_("$"* #,##0_);_("$"* \(#,##0\);_("$"* "-"??_);_(@_)</c:formatCode>
                <c:ptCount val="3"/>
                <c:pt idx="0">
                  <c:v>93974304.481697485</c:v>
                </c:pt>
                <c:pt idx="1">
                  <c:v>83404189.807415545</c:v>
                </c:pt>
                <c:pt idx="2">
                  <c:v>72834075.290000007</c:v>
                </c:pt>
              </c:numCache>
            </c:numRef>
          </c:xVal>
          <c:yVal>
            <c:numRef>
              <c:f>'Scenario summary_incr_doses'!$G$6:$G$8</c:f>
              <c:numCache>
                <c:formatCode>_("$"* #,##0_);_("$"* \(#,##0\);_("$"* "-"??_);_(@_)</c:formatCode>
                <c:ptCount val="3"/>
                <c:pt idx="0">
                  <c:v>1115686.0591006097</c:v>
                </c:pt>
                <c:pt idx="1">
                  <c:v>1055898.7117019079</c:v>
                </c:pt>
                <c:pt idx="2">
                  <c:v>1047388.7474131349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55F-466B-AD55-13C581E2E29F}"/>
            </c:ext>
          </c:extLst>
        </c:ser>
        <c:ser>
          <c:idx val="1"/>
          <c:order val="1"/>
          <c:tx>
            <c:strRef>
              <c:f>'Scenario summary_incr_doses'!$H$5</c:f>
              <c:strCache>
                <c:ptCount val="1"/>
                <c:pt idx="0">
                  <c:v>Custom Scenario (Adult Doses)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F55F-466B-AD55-13C581E2E29F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55F-466B-AD55-13C581E2E29F}"/>
                </c:ext>
              </c:extLst>
            </c:dLbl>
            <c:dLbl>
              <c:idx val="4"/>
              <c:layout>
                <c:manualLayout>
                  <c:x val="-7.6130039349874029E-2"/>
                  <c:y val="-4.7297297297297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55F-466B-AD55-13C581E2E29F}"/>
                </c:ext>
              </c:extLst>
            </c:dLbl>
            <c:dLbl>
              <c:idx val="5"/>
              <c:layout>
                <c:manualLayout>
                  <c:x val="-7.8475350177491993E-2"/>
                  <c:y val="6.08108108108108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55F-466B-AD55-13C581E2E2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summary_incr_doses'!$C$6:$C$8</c:f>
              <c:numCache>
                <c:formatCode>_("$"* #,##0_);_("$"* \(#,##0\);_("$"* "-"??_);_(@_)</c:formatCode>
                <c:ptCount val="3"/>
                <c:pt idx="0">
                  <c:v>93974304.481697485</c:v>
                </c:pt>
                <c:pt idx="1">
                  <c:v>83404189.807415545</c:v>
                </c:pt>
                <c:pt idx="2">
                  <c:v>72834075.290000007</c:v>
                </c:pt>
              </c:numCache>
            </c:numRef>
          </c:xVal>
          <c:yVal>
            <c:numRef>
              <c:f>'Scenario summary_incr_doses'!$H$6:$H$8</c:f>
              <c:numCache>
                <c:formatCode>_("$"* #,##0_);_("$"* \(#,##0\);_("$"* "-"??_);_(@_)</c:formatCode>
                <c:ptCount val="3"/>
                <c:pt idx="0">
                  <c:v>892548.84728048788</c:v>
                </c:pt>
                <c:pt idx="1">
                  <c:v>844718.96936152643</c:v>
                </c:pt>
                <c:pt idx="2">
                  <c:v>837910.99793050799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F55F-466B-AD55-13C581E2E29F}"/>
            </c:ext>
          </c:extLst>
        </c:ser>
        <c:ser>
          <c:idx val="2"/>
          <c:order val="2"/>
          <c:tx>
            <c:strRef>
              <c:f>'Scenario summary_incr_doses'!$F$5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55F-466B-AD55-13C581E2E2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summary_incr_doses'!$C$8</c:f>
              <c:numCache>
                <c:formatCode>_("$"* #,##0_);_("$"* \(#,##0\);_("$"* "-"??_);_(@_)</c:formatCode>
                <c:ptCount val="1"/>
                <c:pt idx="0">
                  <c:v>72834075.290000007</c:v>
                </c:pt>
              </c:numCache>
            </c:numRef>
          </c:xVal>
          <c:yVal>
            <c:numRef>
              <c:f>'Scenario summary_incr_doses'!$F$8</c:f>
              <c:numCache>
                <c:formatCode>_("$"* #,##0_);_("$"* \(#,##0\);_("$"* "-"??_);_(@_)</c:formatCode>
                <c:ptCount val="1"/>
                <c:pt idx="0">
                  <c:v>1033765.0484674097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55F-466B-AD55-13C581E2E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  <c:extLst/>
      </c:scatterChart>
      <c:valAx>
        <c:axId val="831722088"/>
        <c:scaling>
          <c:orientation val="minMax"/>
          <c:min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1402319998944855E-2"/>
                  <c:y val="2.0748090345209091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1706.7793306829408</c:v>
                </c:pt>
                <c:pt idx="2">
                  <c:v>3212.0774911278859</c:v>
                </c:pt>
                <c:pt idx="3">
                  <c:v>4539.5701164426282</c:v>
                </c:pt>
                <c:pt idx="4">
                  <c:v>5710.1750087123364</c:v>
                </c:pt>
                <c:pt idx="5">
                  <c:v>6742.3679651152343</c:v>
                </c:pt>
                <c:pt idx="6">
                  <c:v>7652.4636531248689</c:v>
                </c:pt>
                <c:pt idx="7">
                  <c:v>8454.8651248225942</c:v>
                </c:pt>
                <c:pt idx="8">
                  <c:v>9162.2852577054873</c:v>
                </c:pt>
                <c:pt idx="9">
                  <c:v>9785.9431144567207</c:v>
                </c:pt>
                <c:pt idx="10">
                  <c:v>10335.737933591008</c:v>
                </c:pt>
                <c:pt idx="11">
                  <c:v>10820.403199190274</c:v>
                </c:pt>
                <c:pt idx="12">
                  <c:v>11247.64299300313</c:v>
                </c:pt>
                <c:pt idx="13">
                  <c:v>11624.252606132999</c:v>
                </c:pt>
                <c:pt idx="14">
                  <c:v>11956.225180637091</c:v>
                </c:pt>
                <c:pt idx="15">
                  <c:v>12248.845962864347</c:v>
                </c:pt>
                <c:pt idx="16">
                  <c:v>12506.775579451583</c:v>
                </c:pt>
                <c:pt idx="17">
                  <c:v>12734.123592615128</c:v>
                </c:pt>
                <c:pt idx="18">
                  <c:v>12934.513452414423</c:v>
                </c:pt>
                <c:pt idx="19">
                  <c:v>13111.139839037322</c:v>
                </c:pt>
                <c:pt idx="20">
                  <c:v>13266.819276439957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  <c:extLst xmlns:c15="http://schemas.microsoft.com/office/drawing/2012/chart"/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  <c:extLst xmlns:c15="http://schemas.microsoft.com/office/drawing/2012/chart"/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6"/>
              <c:tx>
                <c:rich>
                  <a:bodyPr/>
                  <a:lstStyle/>
                  <a:p>
                    <a:fld id="{2E0208B3-1175-4AC1-9BD5-D18DED4B7310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  <c:extLst xmlns:c15="http://schemas.microsoft.com/office/drawing/2012/chart"/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2.2439742270360528E-2"/>
                  <c:y val="-7.4945516647271393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GAUDIO!$A$21:$A$41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GAUDIO!$B$21:$B$41</c:f>
              <c:numCache>
                <c:formatCode>#,##0</c:formatCode>
                <c:ptCount val="21"/>
                <c:pt idx="0">
                  <c:v>0</c:v>
                </c:pt>
                <c:pt idx="1">
                  <c:v>15757.683313448728</c:v>
                </c:pt>
                <c:pt idx="2">
                  <c:v>20792.387787549629</c:v>
                </c:pt>
                <c:pt idx="3">
                  <c:v>24453.49110513533</c:v>
                </c:pt>
                <c:pt idx="4">
                  <c:v>27435.720169529453</c:v>
                </c:pt>
                <c:pt idx="5">
                  <c:v>29997.175904684151</c:v>
                </c:pt>
                <c:pt idx="6">
                  <c:v>32266.574959240672</c:v>
                </c:pt>
                <c:pt idx="7">
                  <c:v>34318.759723325085</c:v>
                </c:pt>
                <c:pt idx="8">
                  <c:v>36201.649801445565</c:v>
                </c:pt>
                <c:pt idx="9">
                  <c:v>37948.041938282877</c:v>
                </c:pt>
                <c:pt idx="10">
                  <c:v>39581.510907076787</c:v>
                </c:pt>
                <c:pt idx="11">
                  <c:v>41119.653101601129</c:v>
                </c:pt>
                <c:pt idx="12">
                  <c:v>42576.000912264644</c:v>
                </c:pt>
                <c:pt idx="13">
                  <c:v>43961.217233910902</c:v>
                </c:pt>
                <c:pt idx="14">
                  <c:v>45283.874942841634</c:v>
                </c:pt>
                <c:pt idx="15">
                  <c:v>46550.984657644571</c:v>
                </c:pt>
                <c:pt idx="16">
                  <c:v>47768.363296037402</c:v>
                </c:pt>
                <c:pt idx="17">
                  <c:v>48940.898319309759</c:v>
                </c:pt>
                <c:pt idx="18">
                  <c:v>50072.741535905814</c:v>
                </c:pt>
                <c:pt idx="19">
                  <c:v>51167.454079337178</c:v>
                </c:pt>
                <c:pt idx="20">
                  <c:v>52228.116762231417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8116094637361378E-2"/>
                  <c:y val="5.8685850449115189E-3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GSOCIAL!$A$21:$A$41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GSOCIAL!$B$21:$B$41</c:f>
              <c:numCache>
                <c:formatCode>#,##0</c:formatCode>
                <c:ptCount val="21"/>
                <c:pt idx="0">
                  <c:v>0</c:v>
                </c:pt>
                <c:pt idx="1">
                  <c:v>7408.6901640745618</c:v>
                </c:pt>
                <c:pt idx="2">
                  <c:v>11229.474417830452</c:v>
                </c:pt>
                <c:pt idx="3">
                  <c:v>14322.346801651498</c:v>
                </c:pt>
                <c:pt idx="4">
                  <c:v>17020.700408310324</c:v>
                </c:pt>
                <c:pt idx="5">
                  <c:v>19459.130710154546</c:v>
                </c:pt>
                <c:pt idx="6">
                  <c:v>21708.618318570392</c:v>
                </c:pt>
                <c:pt idx="7">
                  <c:v>23812.240308184086</c:v>
                </c:pt>
                <c:pt idx="8">
                  <c:v>25798.557582486257</c:v>
                </c:pt>
                <c:pt idx="9">
                  <c:v>27687.703678238533</c:v>
                </c:pt>
                <c:pt idx="10">
                  <c:v>29494.526787272491</c:v>
                </c:pt>
                <c:pt idx="11">
                  <c:v>31230.363834281474</c:v>
                </c:pt>
                <c:pt idx="12">
                  <c:v>32904.112421508238</c:v>
                </c:pt>
                <c:pt idx="13">
                  <c:v>34522.913816809414</c:v>
                </c:pt>
                <c:pt idx="14">
                  <c:v>36092.607120841283</c:v>
                </c:pt>
                <c:pt idx="15">
                  <c:v>37618.042098851023</c:v>
                </c:pt>
                <c:pt idx="16">
                  <c:v>39103.301119846867</c:v>
                </c:pt>
                <c:pt idx="17">
                  <c:v>40551.860621591703</c:v>
                </c:pt>
                <c:pt idx="18">
                  <c:v>41966.711153737037</c:v>
                </c:pt>
                <c:pt idx="19">
                  <c:v>43350.448326913778</c:v>
                </c:pt>
                <c:pt idx="20">
                  <c:v>44705.342872853616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5.1600042584225729E-2"/>
                  <c:y val="-4.693407086110397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4BDEBA-9B06-45A1-AB3C-42050E7978A3}" type="SERIESNAME">
                      <a:rPr lang="en-US"/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207101505560213"/>
                      <c:h val="4.911814046276844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GOLV!$C$22:$C$42</c:f>
              <c:numCache>
                <c:formatCode>#,##0</c:formatCode>
                <c:ptCount val="21"/>
                <c:pt idx="0">
                  <c:v>0</c:v>
                </c:pt>
                <c:pt idx="1">
                  <c:v>5065.481471193023</c:v>
                </c:pt>
                <c:pt idx="2">
                  <c:v>9542.5948201725259</c:v>
                </c:pt>
                <c:pt idx="3">
                  <c:v>13498.725633110851</c:v>
                </c:pt>
                <c:pt idx="4">
                  <c:v>16993.753048531711</c:v>
                </c:pt>
                <c:pt idx="5">
                  <c:v>20080.838937839493</c:v>
                </c:pt>
                <c:pt idx="6">
                  <c:v>22807.144754493609</c:v>
                </c:pt>
                <c:pt idx="7">
                  <c:v>25214.480166974477</c:v>
                </c:pt>
                <c:pt idx="8">
                  <c:v>27339.888026596978</c:v>
                </c:pt>
                <c:pt idx="9">
                  <c:v>29216.170419393107</c:v>
                </c:pt>
                <c:pt idx="10">
                  <c:v>30872.360575452447</c:v>
                </c:pt>
                <c:pt idx="11">
                  <c:v>32334.145309553482</c:v>
                </c:pt>
                <c:pt idx="12">
                  <c:v>33624.242482229136</c:v>
                </c:pt>
                <c:pt idx="13">
                  <c:v>34762.737730371766</c:v>
                </c:pt>
                <c:pt idx="14">
                  <c:v>35767.38444339484</c:v>
                </c:pt>
                <c:pt idx="15">
                  <c:v>36653.870671447366</c:v>
                </c:pt>
                <c:pt idx="16">
                  <c:v>37436.056358373724</c:v>
                </c:pt>
                <c:pt idx="17">
                  <c:v>38126.18400260713</c:v>
                </c:pt>
                <c:pt idx="18">
                  <c:v>38735.06556990277</c:v>
                </c:pt>
                <c:pt idx="19">
                  <c:v>39272.248216656968</c:v>
                </c:pt>
                <c:pt idx="20">
                  <c:v>39746.161133962683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2.3458027065746751E-2"/>
                  <c:y val="-7.6552561448053155E-2"/>
                </c:manualLayout>
              </c:layout>
              <c:tx>
                <c:rich>
                  <a:bodyPr/>
                  <a:lstStyle/>
                  <a:p>
                    <a:fld id="{7CC4D443-51A2-4020-9932-C4F44931BB7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10-4072-B641-26FD8F4D8D36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GDISP!$B$21:$B$41</c:f>
              <c:numCache>
                <c:formatCode>#,##0</c:formatCode>
                <c:ptCount val="21"/>
                <c:pt idx="0">
                  <c:v>0</c:v>
                </c:pt>
                <c:pt idx="1">
                  <c:v>17627.127824775001</c:v>
                </c:pt>
                <c:pt idx="2">
                  <c:v>26717.729664007864</c:v>
                </c:pt>
                <c:pt idx="3">
                  <c:v>34076.447014572113</c:v>
                </c:pt>
                <c:pt idx="4">
                  <c:v>40496.50547128301</c:v>
                </c:pt>
                <c:pt idx="5">
                  <c:v>46298.141343550837</c:v>
                </c:pt>
                <c:pt idx="6">
                  <c:v>51650.235267800737</c:v>
                </c:pt>
                <c:pt idx="7">
                  <c:v>56655.278384023426</c:v>
                </c:pt>
                <c:pt idx="8">
                  <c:v>61381.22422860263</c:v>
                </c:pt>
                <c:pt idx="9">
                  <c:v>65875.975523639368</c:v>
                </c:pt>
                <c:pt idx="10">
                  <c:v>70174.859833059978</c:v>
                </c:pt>
                <c:pt idx="11">
                  <c:v>74304.850537621896</c:v>
                </c:pt>
                <c:pt idx="12">
                  <c:v>78287.117259565202</c:v>
                </c:pt>
                <c:pt idx="13">
                  <c:v>82138.650862126422</c:v>
                </c:pt>
                <c:pt idx="14">
                  <c:v>85873.344026922772</c:v>
                </c:pt>
                <c:pt idx="15">
                  <c:v>89502.735559065375</c:v>
                </c:pt>
                <c:pt idx="16">
                  <c:v>93036.538435982438</c:v>
                </c:pt>
                <c:pt idx="17">
                  <c:v>96483.023973043382</c:v>
                </c:pt>
                <c:pt idx="18">
                  <c:v>99849.307436213683</c:v>
                </c:pt>
                <c:pt idx="19">
                  <c:v>103141.56443270072</c:v>
                </c:pt>
                <c:pt idx="2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300000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2483.0652365162969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300000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2483.0652365162969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21865000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479070.85863623861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21865000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479070.85863623861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26842192.700000003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173193.09831584877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8-ED10-4072-B641-26FD8F4D8D36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26842192.700000003</c:v>
                </c:pt>
              </c:numCache>
              <c:extLst xmlns:c15="http://schemas.microsoft.com/office/drawing/2012/chart"/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173193.09831584877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200000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79531.473375019181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200000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79531.473375019181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2310000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38349.628090983118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2310000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38349.628090983118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VAC_Optim_Scenario!$D$39</c:f>
              <c:numCache>
                <c:formatCode>_("$"* #,##0_);_("$"* \(#,##0\);_("$"* "-"??_);_(@_)</c:formatCode>
                <c:ptCount val="1"/>
                <c:pt idx="0">
                  <c:v>2765000</c:v>
                </c:pt>
              </c:numCache>
            </c:numRef>
          </c:xVal>
          <c:yVal>
            <c:numRef>
              <c:f>VAC_Optim_Scenario!$F$39</c:f>
              <c:numCache>
                <c:formatCode>#,##0</c:formatCode>
                <c:ptCount val="1"/>
                <c:pt idx="0">
                  <c:v>35600.519694157876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VAC_Optim_Scenario!$H$39</c:f>
              <c:numCache>
                <c:formatCode>_("$"* #,##0_);_("$"* \(#,##0\);_("$"* "-"??_);_(@_)</c:formatCode>
                <c:ptCount val="1"/>
                <c:pt idx="0">
                  <c:v>3456250</c:v>
                </c:pt>
              </c:numCache>
            </c:numRef>
          </c:xVal>
          <c:yVal>
            <c:numRef>
              <c:f>VAC_Optim_Scenario!$I$39</c:f>
              <c:numCache>
                <c:formatCode>#,##0</c:formatCode>
                <c:ptCount val="1"/>
                <c:pt idx="0">
                  <c:v>38305.20955498796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4650000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101833.18338855471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5812500.0000000009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116422.07304356989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</c:formatCode>
                <c:ptCount val="1"/>
                <c:pt idx="0">
                  <c:v>3135000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33784.691267997114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3918750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38624.774986650264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7566882.5899999999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67506.221019185497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7566882.5899999999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67506.221019185497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ser>
          <c:idx val="28"/>
          <c:order val="28"/>
          <c:tx>
            <c:v>HCC Streaming TV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2814070351758797E-3"/>
                  <c:y val="3.9024516554264796E-2"/>
                </c:manualLayout>
              </c:layout>
              <c:tx>
                <c:rich>
                  <a:bodyPr/>
                  <a:lstStyle/>
                  <a:p>
                    <a:fld id="{26B47073-4184-4455-9B05-4CD7BD825AD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GSTRTV!$A$22:$A$45</c:f>
              <c:numCache>
                <c:formatCode>"$"#,##0</c:formatCode>
                <c:ptCount val="24"/>
                <c:pt idx="0">
                  <c:v>750000</c:v>
                </c:pt>
                <c:pt idx="1">
                  <c:v>1500000</c:v>
                </c:pt>
                <c:pt idx="2">
                  <c:v>2250000</c:v>
                </c:pt>
                <c:pt idx="3">
                  <c:v>3000000</c:v>
                </c:pt>
                <c:pt idx="4">
                  <c:v>3750000</c:v>
                </c:pt>
                <c:pt idx="5">
                  <c:v>4500000</c:v>
                </c:pt>
                <c:pt idx="6">
                  <c:v>5250000</c:v>
                </c:pt>
                <c:pt idx="7">
                  <c:v>6000000</c:v>
                </c:pt>
                <c:pt idx="8">
                  <c:v>6750000</c:v>
                </c:pt>
                <c:pt idx="9">
                  <c:v>7500000</c:v>
                </c:pt>
                <c:pt idx="10">
                  <c:v>8250000</c:v>
                </c:pt>
                <c:pt idx="11">
                  <c:v>9000000</c:v>
                </c:pt>
                <c:pt idx="12">
                  <c:v>9750000</c:v>
                </c:pt>
                <c:pt idx="13">
                  <c:v>10500000</c:v>
                </c:pt>
                <c:pt idx="14">
                  <c:v>11250000</c:v>
                </c:pt>
                <c:pt idx="15">
                  <c:v>12000000</c:v>
                </c:pt>
                <c:pt idx="16">
                  <c:v>12750000</c:v>
                </c:pt>
                <c:pt idx="17">
                  <c:v>13500000</c:v>
                </c:pt>
                <c:pt idx="18">
                  <c:v>14250000</c:v>
                </c:pt>
                <c:pt idx="19">
                  <c:v>15000000</c:v>
                </c:pt>
                <c:pt idx="20">
                  <c:v>15750000</c:v>
                </c:pt>
                <c:pt idx="21">
                  <c:v>16500000</c:v>
                </c:pt>
                <c:pt idx="22">
                  <c:v>17250000</c:v>
                </c:pt>
                <c:pt idx="23">
                  <c:v>18000000</c:v>
                </c:pt>
              </c:numCache>
            </c:numRef>
          </c:xVal>
          <c:yVal>
            <c:numRef>
              <c:f>GSTRTV!$B$22:$B$45</c:f>
              <c:numCache>
                <c:formatCode>#,##0</c:formatCode>
                <c:ptCount val="24"/>
                <c:pt idx="0">
                  <c:v>13385.813954759049</c:v>
                </c:pt>
                <c:pt idx="1">
                  <c:v>21745.318923863546</c:v>
                </c:pt>
                <c:pt idx="2">
                  <c:v>28882.159557638814</c:v>
                </c:pt>
                <c:pt idx="3">
                  <c:v>35325.374810877525</c:v>
                </c:pt>
                <c:pt idx="4">
                  <c:v>41297.502450781918</c:v>
                </c:pt>
                <c:pt idx="5">
                  <c:v>46919.206625270555</c:v>
                </c:pt>
                <c:pt idx="6">
                  <c:v>52265.295791567616</c:v>
                </c:pt>
                <c:pt idx="7">
                  <c:v>57386.24068463494</c:v>
                </c:pt>
                <c:pt idx="8">
                  <c:v>62318.148416841854</c:v>
                </c:pt>
                <c:pt idx="9">
                  <c:v>67087.990658350245</c:v>
                </c:pt>
                <c:pt idx="10">
                  <c:v>71716.595411188333</c:v>
                </c:pt>
                <c:pt idx="11">
                  <c:v>76220.476033018742</c:v>
                </c:pt>
                <c:pt idx="12">
                  <c:v>80613.00882564421</c:v>
                </c:pt>
                <c:pt idx="13">
                  <c:v>84905.223505936534</c:v>
                </c:pt>
                <c:pt idx="14">
                  <c:v>89106.352377727613</c:v>
                </c:pt>
                <c:pt idx="15">
                  <c:v>93224.223027940854</c:v>
                </c:pt>
                <c:pt idx="16">
                  <c:v>97265.546113132033</c:v>
                </c:pt>
                <c:pt idx="17">
                  <c:v>101236.13077612668</c:v>
                </c:pt>
                <c:pt idx="18">
                  <c:v>105141.04889375818</c:v>
                </c:pt>
                <c:pt idx="19">
                  <c:v>108984.76235793946</c:v>
                </c:pt>
                <c:pt idx="20">
                  <c:v>112771.22313825082</c:v>
                </c:pt>
                <c:pt idx="21">
                  <c:v>116503.95296249664</c:v>
                </c:pt>
                <c:pt idx="22">
                  <c:v>120186.10750238127</c:v>
                </c:pt>
                <c:pt idx="23">
                  <c:v>123820.52861846496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4072-B641-26FD8F4D8D36}"/>
            </c:ext>
          </c:extLst>
        </c:ser>
        <c:ser>
          <c:idx val="29"/>
          <c:order val="29"/>
          <c:tx>
            <c:v>HCC Pharmacy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79-4C58-9527-66A9946C93DB}"/>
              </c:ext>
            </c:extLst>
          </c:dPt>
          <c:dLbls>
            <c:dLbl>
              <c:idx val="20"/>
              <c:layout>
                <c:manualLayout>
                  <c:x val="0.10951177052541435"/>
                  <c:y val="9.3835554945867131E-17"/>
                </c:manualLayout>
              </c:layout>
              <c:tx>
                <c:rich>
                  <a:bodyPr/>
                  <a:lstStyle/>
                  <a:p>
                    <a:fld id="{23334CD9-ECF6-4541-91D1-DBD5DDFDEDBD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GPHRMCY!$A$22:$A$42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GPHRMCY!$B$22:$B$42</c:f>
              <c:numCache>
                <c:formatCode>#,##0</c:formatCode>
                <c:ptCount val="21"/>
                <c:pt idx="0">
                  <c:v>0</c:v>
                </c:pt>
                <c:pt idx="1">
                  <c:v>1884.0989294061437</c:v>
                </c:pt>
                <c:pt idx="2">
                  <c:v>3690.9075000444427</c:v>
                </c:pt>
                <c:pt idx="3">
                  <c:v>5423.5391706861556</c:v>
                </c:pt>
                <c:pt idx="4">
                  <c:v>7084.9866262534633</c:v>
                </c:pt>
                <c:pt idx="5">
                  <c:v>8678.126083179377</c:v>
                </c:pt>
                <c:pt idx="6">
                  <c:v>10205.721472941339</c:v>
                </c:pt>
                <c:pt idx="7">
                  <c:v>11670.428504428826</c:v>
                </c:pt>
                <c:pt idx="8">
                  <c:v>13074.798606074415</c:v>
                </c:pt>
                <c:pt idx="9">
                  <c:v>14421.282748956233</c:v>
                </c:pt>
                <c:pt idx="10">
                  <c:v>15712.235152327456</c:v>
                </c:pt>
                <c:pt idx="11">
                  <c:v>16949.916873184033</c:v>
                </c:pt>
                <c:pt idx="12">
                  <c:v>18136.499281739816</c:v>
                </c:pt>
                <c:pt idx="13">
                  <c:v>19274.06742475275</c:v>
                </c:pt>
                <c:pt idx="14">
                  <c:v>20364.623278812505</c:v>
                </c:pt>
                <c:pt idx="15">
                  <c:v>21410.088895815425</c:v>
                </c:pt>
                <c:pt idx="16">
                  <c:v>22412.309442908503</c:v>
                </c:pt>
                <c:pt idx="17">
                  <c:v>23373.056139308028</c:v>
                </c:pt>
                <c:pt idx="18">
                  <c:v>24294.029092384502</c:v>
                </c:pt>
                <c:pt idx="19">
                  <c:v>25176.860035532154</c:v>
                </c:pt>
                <c:pt idx="20">
                  <c:v>26023.114970291033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10-4072-B641-26FD8F4D8D36}"/>
            </c:ext>
          </c:extLst>
        </c:ser>
        <c:ser>
          <c:idx val="30"/>
          <c:order val="30"/>
          <c:tx>
            <c:v>Pharmacy 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VAC_Optim_Scenario!$I$26</c:f>
              <c:numCache>
                <c:formatCode>"$"#,##0</c:formatCode>
                <c:ptCount val="1"/>
                <c:pt idx="0">
                  <c:v>3200000</c:v>
                </c:pt>
              </c:numCache>
            </c:numRef>
          </c:xVal>
          <c:yVal>
            <c:numRef>
              <c:f>VAC_Optim_Scenario!$J$26</c:f>
              <c:numCache>
                <c:formatCode>#,##0</c:formatCode>
                <c:ptCount val="1"/>
                <c:pt idx="0">
                  <c:v>22412.309442908503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79-4C58-9527-66A9946C93DB}"/>
            </c:ext>
          </c:extLst>
        </c:ser>
        <c:ser>
          <c:idx val="31"/>
          <c:order val="31"/>
          <c:tx>
            <c:v>Pharmacy c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66675">
                  <a:noFill/>
                </a:ln>
                <a:effectLst/>
              </c:spPr>
            </c:marker>
            <c:bubble3D val="0"/>
            <c:spPr>
              <a:ln w="349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9-4C58-9527-66A9946C93DB}"/>
              </c:ext>
            </c:extLst>
          </c:dPt>
          <c:xVal>
            <c:numRef>
              <c:f>VAC_Optim_Scenario!$E$26</c:f>
              <c:numCache>
                <c:formatCode>"$"#,##0</c:formatCode>
                <c:ptCount val="1"/>
                <c:pt idx="0">
                  <c:v>3200000</c:v>
                </c:pt>
              </c:numCache>
            </c:numRef>
          </c:xVal>
          <c:yVal>
            <c:numRef>
              <c:f>VAC_Optim_Scenario!$F$26</c:f>
              <c:numCache>
                <c:formatCode>#,##0</c:formatCode>
                <c:ptCount val="1"/>
                <c:pt idx="0">
                  <c:v>22412.309442908503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79-4C58-9527-66A9946C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6-6AB9-4CEC-969C-111DFC7AEA4C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6AB9-4CEC-969C-111DFC7AEA4C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37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97-4C44-8735-1C17283D2F5E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97-4C44-8735-1C17283D2F5E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97-4C44-8735-1C17283D2F5E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3611797623983451E-2"/>
                  <c:y val="0.20845085693939958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97-4C44-8735-1C17283D2F5E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21865000</c:v>
                </c:pt>
              </c:numCache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479070.85863623861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97-4C44-8735-1C17283D2F5E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21865000</c:v>
                </c:pt>
              </c:numCache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479070.85863623861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97-4C44-8735-1C17283D2F5E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26842192.700000003</c:v>
                </c:pt>
              </c:numCache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173193.09831584877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897-4C44-8735-1C17283D2F5E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3897-4C44-8735-1C17283D2F5E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26842192.700000003</c:v>
                </c:pt>
              </c:numCache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173193.09831584877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897-4C44-8735-1C17283D2F5E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200000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79531.473375019181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897-4C44-8735-1C17283D2F5E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200000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79531.473375019181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897-4C44-8735-1C17283D2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HCC InOffice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1.1402319998944855E-2"/>
                        <c:y val="2.074809034520909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F094F515-7299-4E1E-ADDB-95653710ADE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GINOFF!$A$22:$A$42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GINOFF!$B$22:$B$42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1706.7793306829408</c:v>
                      </c:pt>
                      <c:pt idx="2">
                        <c:v>3212.0774911278859</c:v>
                      </c:pt>
                      <c:pt idx="3">
                        <c:v>4539.5701164426282</c:v>
                      </c:pt>
                      <c:pt idx="4">
                        <c:v>5710.1750087123364</c:v>
                      </c:pt>
                      <c:pt idx="5">
                        <c:v>6742.3679651152343</c:v>
                      </c:pt>
                      <c:pt idx="6">
                        <c:v>7652.4636531248689</c:v>
                      </c:pt>
                      <c:pt idx="7">
                        <c:v>8454.8651248225942</c:v>
                      </c:pt>
                      <c:pt idx="8">
                        <c:v>9162.2852577054873</c:v>
                      </c:pt>
                      <c:pt idx="9">
                        <c:v>9785.9431144567207</c:v>
                      </c:pt>
                      <c:pt idx="10">
                        <c:v>10335.737933591008</c:v>
                      </c:pt>
                      <c:pt idx="11">
                        <c:v>10820.403199190274</c:v>
                      </c:pt>
                      <c:pt idx="12">
                        <c:v>11247.64299300313</c:v>
                      </c:pt>
                      <c:pt idx="13">
                        <c:v>11624.252606132999</c:v>
                      </c:pt>
                      <c:pt idx="14">
                        <c:v>11956.225180637091</c:v>
                      </c:pt>
                      <c:pt idx="15">
                        <c:v>12248.845962864347</c:v>
                      </c:pt>
                      <c:pt idx="16">
                        <c:v>12506.775579451583</c:v>
                      </c:pt>
                      <c:pt idx="17">
                        <c:v>12734.123592615128</c:v>
                      </c:pt>
                      <c:pt idx="18">
                        <c:v>12934.513452414423</c:v>
                      </c:pt>
                      <c:pt idx="19">
                        <c:v>13111.139839037322</c:v>
                      </c:pt>
                      <c:pt idx="20">
                        <c:v>13266.819276439957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3897-4C44-8735-1C17283D2F5E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HCC Radio</c:v>
                </c:tx>
                <c:spPr>
                  <a:ln w="19050" cap="rnd">
                    <a:solidFill>
                      <a:srgbClr val="FFC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-4.3499650483388108E-2"/>
                        <c:y val="-4.935371867754198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CF4A86DC-D7B7-4F1B-B689-942091BC637A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15757.683313448728</c:v>
                      </c:pt>
                      <c:pt idx="2">
                        <c:v>20792.387787549629</c:v>
                      </c:pt>
                      <c:pt idx="3">
                        <c:v>24453.49110513533</c:v>
                      </c:pt>
                      <c:pt idx="4">
                        <c:v>27435.720169529453</c:v>
                      </c:pt>
                      <c:pt idx="5">
                        <c:v>29997.175904684151</c:v>
                      </c:pt>
                      <c:pt idx="6">
                        <c:v>32266.574959240672</c:v>
                      </c:pt>
                      <c:pt idx="7">
                        <c:v>34318.759723325085</c:v>
                      </c:pt>
                      <c:pt idx="8">
                        <c:v>36201.649801445565</c:v>
                      </c:pt>
                      <c:pt idx="9">
                        <c:v>37948.041938282877</c:v>
                      </c:pt>
                      <c:pt idx="10">
                        <c:v>39581.510907076787</c:v>
                      </c:pt>
                      <c:pt idx="11">
                        <c:v>41119.653101601129</c:v>
                      </c:pt>
                      <c:pt idx="12">
                        <c:v>42576.000912264644</c:v>
                      </c:pt>
                      <c:pt idx="13">
                        <c:v>43961.217233910902</c:v>
                      </c:pt>
                      <c:pt idx="14">
                        <c:v>45283.874942841634</c:v>
                      </c:pt>
                      <c:pt idx="15">
                        <c:v>46550.984657644571</c:v>
                      </c:pt>
                      <c:pt idx="16">
                        <c:v>47768.363296037402</c:v>
                      </c:pt>
                      <c:pt idx="17">
                        <c:v>48940.898319309759</c:v>
                      </c:pt>
                      <c:pt idx="18">
                        <c:v>50072.741535905814</c:v>
                      </c:pt>
                      <c:pt idx="19">
                        <c:v>51167.454079337178</c:v>
                      </c:pt>
                      <c:pt idx="20">
                        <c:v>52228.116762231417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97-4C44-8735-1C17283D2F5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HCC Social</c:v>
                </c:tx>
                <c:spPr>
                  <a:ln w="19050" cap="rnd">
                    <a:solidFill>
                      <a:srgbClr val="00B0F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3.356002453210933E-2"/>
                        <c:y val="1.354613184562692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C0CC0C-A75D-4BD0-8D73-B22B731B5F9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B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7408.6901640745618</c:v>
                      </c:pt>
                      <c:pt idx="2">
                        <c:v>11229.474417830452</c:v>
                      </c:pt>
                      <c:pt idx="3">
                        <c:v>14322.346801651498</c:v>
                      </c:pt>
                      <c:pt idx="4">
                        <c:v>17020.700408310324</c:v>
                      </c:pt>
                      <c:pt idx="5">
                        <c:v>19459.130710154546</c:v>
                      </c:pt>
                      <c:pt idx="6">
                        <c:v>21708.618318570392</c:v>
                      </c:pt>
                      <c:pt idx="7">
                        <c:v>23812.240308184086</c:v>
                      </c:pt>
                      <c:pt idx="8">
                        <c:v>25798.557582486257</c:v>
                      </c:pt>
                      <c:pt idx="9">
                        <c:v>27687.703678238533</c:v>
                      </c:pt>
                      <c:pt idx="10">
                        <c:v>29494.526787272491</c:v>
                      </c:pt>
                      <c:pt idx="11">
                        <c:v>31230.363834281474</c:v>
                      </c:pt>
                      <c:pt idx="12">
                        <c:v>32904.112421508238</c:v>
                      </c:pt>
                      <c:pt idx="13">
                        <c:v>34522.913816809414</c:v>
                      </c:pt>
                      <c:pt idx="14">
                        <c:v>36092.607120841283</c:v>
                      </c:pt>
                      <c:pt idx="15">
                        <c:v>37618.042098851023</c:v>
                      </c:pt>
                      <c:pt idx="16">
                        <c:v>39103.301119846867</c:v>
                      </c:pt>
                      <c:pt idx="17">
                        <c:v>40551.860621591703</c:v>
                      </c:pt>
                      <c:pt idx="18">
                        <c:v>41966.711153737037</c:v>
                      </c:pt>
                      <c:pt idx="19">
                        <c:v>43350.448326913778</c:v>
                      </c:pt>
                      <c:pt idx="20">
                        <c:v>44705.342872853616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897-4C44-8735-1C17283D2F5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HCC Online Video</c:v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9"/>
                    <c:layout>
                      <c:manualLayout>
                        <c:x val="1.0562161199699283E-3"/>
                        <c:y val="-0.12626861104245377"/>
                      </c:manualLayout>
                    </c:layout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noAutofit/>
                        </a:bodyPr>
                        <a:lstStyle/>
                        <a:p>
                          <a:pPr>
                            <a:defRPr sz="1100" b="0" i="0" u="none" strike="noStrike" kern="1200" baseline="0">
                              <a:solidFill>
                                <a:schemeClr val="tx1">
                                  <a:lumMod val="75000"/>
                                  <a:lumOff val="25000"/>
                                </a:schemeClr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pPr>
                          <a:fld id="{114BDEBA-9B06-45A1-AB3C-42050E7978A3}" type="SERIESNAME">
                            <a:rPr lang="en-US"/>
                            <a:pPr>
                              <a:defRPr/>
                            </a:pPr>
                            <a:t>[SERIES NAME]</a:t>
                          </a:fld>
                          <a:endParaRPr lang="en-US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noAutofit/>
                      </a:bodyPr>
                      <a:lstStyle/>
                      <a:p>
                        <a:pPr>
                          <a:defRPr sz="1100" b="0" i="0" u="none" strike="noStrike" kern="1200" baseline="0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layout>
                          <c:manualLayout>
                            <c:w val="0.22350284889011984"/>
                            <c:h val="4.9118086696562036E-2"/>
                          </c:manualLayout>
                        </c15:layout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D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GOLV!$C$22:$C$42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5065.481471193023</c:v>
                      </c:pt>
                      <c:pt idx="2">
                        <c:v>9542.5948201725259</c:v>
                      </c:pt>
                      <c:pt idx="3">
                        <c:v>13498.725633110851</c:v>
                      </c:pt>
                      <c:pt idx="4">
                        <c:v>16993.753048531711</c:v>
                      </c:pt>
                      <c:pt idx="5">
                        <c:v>20080.838937839493</c:v>
                      </c:pt>
                      <c:pt idx="6">
                        <c:v>22807.144754493609</c:v>
                      </c:pt>
                      <c:pt idx="7">
                        <c:v>25214.480166974477</c:v>
                      </c:pt>
                      <c:pt idx="8">
                        <c:v>27339.888026596978</c:v>
                      </c:pt>
                      <c:pt idx="9">
                        <c:v>29216.170419393107</c:v>
                      </c:pt>
                      <c:pt idx="10">
                        <c:v>30872.360575452447</c:v>
                      </c:pt>
                      <c:pt idx="11">
                        <c:v>32334.145309553482</c:v>
                      </c:pt>
                      <c:pt idx="12">
                        <c:v>33624.242482229136</c:v>
                      </c:pt>
                      <c:pt idx="13">
                        <c:v>34762.737730371766</c:v>
                      </c:pt>
                      <c:pt idx="14">
                        <c:v>35767.38444339484</c:v>
                      </c:pt>
                      <c:pt idx="15">
                        <c:v>36653.870671447366</c:v>
                      </c:pt>
                      <c:pt idx="16">
                        <c:v>37436.056358373724</c:v>
                      </c:pt>
                      <c:pt idx="17">
                        <c:v>38126.18400260713</c:v>
                      </c:pt>
                      <c:pt idx="18">
                        <c:v>38735.06556990277</c:v>
                      </c:pt>
                      <c:pt idx="19">
                        <c:v>39272.248216656968</c:v>
                      </c:pt>
                      <c:pt idx="20">
                        <c:v>39746.161133962683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897-4C44-8735-1C17283D2F5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HCC Display</c:v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8.3245754976059821E-2"/>
                        <c:y val="-0.11494027737895526"/>
                      </c:manualLayout>
                    </c:layout>
                    <c:tx>
                      <c:rich>
                        <a:bodyPr/>
                        <a:lstStyle/>
                        <a:p>
                          <a:fld id="{7CC4D443-51A2-4020-9932-C4F44931BB75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F-3897-4C44-8735-1C17283D2F5E}"/>
                      </c:ext>
                    </c:extLst>
                  </c:dLbl>
                  <c:dLbl>
                    <c:idx val="22"/>
                    <c:layout>
                      <c:manualLayout>
                        <c:x val="1.4886758487880437E-2"/>
                        <c:y val="-9.888565470219577E-3"/>
                      </c:manualLayout>
                    </c:layout>
                    <c:tx>
                      <c:rich>
                        <a:bodyPr/>
                        <a:lstStyle/>
                        <a:p>
                          <a:fld id="{699C7380-DAE2-4DF1-A917-6B52F8ECC1E7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1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17627.127824775001</c:v>
                      </c:pt>
                      <c:pt idx="2">
                        <c:v>26717.729664007864</c:v>
                      </c:pt>
                      <c:pt idx="3">
                        <c:v>34076.447014572113</c:v>
                      </c:pt>
                      <c:pt idx="4">
                        <c:v>40496.50547128301</c:v>
                      </c:pt>
                      <c:pt idx="5">
                        <c:v>46298.141343550837</c:v>
                      </c:pt>
                      <c:pt idx="6">
                        <c:v>51650.235267800737</c:v>
                      </c:pt>
                      <c:pt idx="7">
                        <c:v>56655.278384023426</c:v>
                      </c:pt>
                      <c:pt idx="8">
                        <c:v>61381.22422860263</c:v>
                      </c:pt>
                      <c:pt idx="9">
                        <c:v>65875.975523639368</c:v>
                      </c:pt>
                      <c:pt idx="10">
                        <c:v>70174.859833059978</c:v>
                      </c:pt>
                      <c:pt idx="11">
                        <c:v>74304.850537621896</c:v>
                      </c:pt>
                      <c:pt idx="12">
                        <c:v>78287.117259565202</c:v>
                      </c:pt>
                      <c:pt idx="13">
                        <c:v>82138.650862126422</c:v>
                      </c:pt>
                      <c:pt idx="14">
                        <c:v>85873.344026922772</c:v>
                      </c:pt>
                      <c:pt idx="15">
                        <c:v>89502.735559065375</c:v>
                      </c:pt>
                      <c:pt idx="16">
                        <c:v>93036.538435982438</c:v>
                      </c:pt>
                      <c:pt idx="17">
                        <c:v>96483.023973043382</c:v>
                      </c:pt>
                      <c:pt idx="18">
                        <c:v>99849.307436213683</c:v>
                      </c:pt>
                      <c:pt idx="19">
                        <c:v>103141.56443270072</c:v>
                      </c:pt>
                      <c:pt idx="20">
                        <c:v>106365.19760151411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897-4C44-8735-1C17283D2F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HCC Print</c:v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897-4C44-8735-1C17283D2F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HCC InOffice C:</c:v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300000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2483.0652365162969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897-4C44-8735-1C17283D2F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HCC InOffice O:</c:v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300000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2483.0652365162969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897-4C44-8735-1C17283D2F5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HCC Radio C:</c:v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2310000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38349.628090983118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897-4C44-8735-1C17283D2F5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HCC Radio O:</c:v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2310000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38349.628090983118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897-4C44-8735-1C17283D2F5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HCC Online Video C:</c:v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2765000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35600.519694157876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897-4C44-8735-1C17283D2F5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v>HCC Online Video O:</c:v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3456250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38305.20955498796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897-4C44-8735-1C17283D2F5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v>HCC Display C:</c:v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4650000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101833.18338855471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897-4C44-8735-1C17283D2F5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v>HCC Display O:</c:v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dLbls>
                  <c:dLbl>
                    <c:idx val="0"/>
                    <c:delete val="1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1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5812500.0000000009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116422.07304356989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897-4C44-8735-1C17283D2F5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3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897-4C44-8735-1C17283D2F5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v>Social C:</c:v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3135000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33784.691267997114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897-4C44-8735-1C17283D2F5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v>Social O:</c:v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3918750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38624.774986650264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897-4C44-8735-1C17283D2F5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v>Streaming C:</c:v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7566882.5899999999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67506.221019185497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897-4C44-8735-1C17283D2F5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v>Streaming O:</c:v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7566882.5899999999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67506.221019185497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897-4C44-8735-1C17283D2F5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v>HCC Streaming TV</c:v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8"/>
                    <c:layout>
                      <c:manualLayout>
                        <c:x val="6.2814070351758797E-3"/>
                        <c:y val="3.902451655426479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B47073-4184-4455-9B05-4CD7BD825AD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GSTRTV!$A$22:$A$45</c15:sqref>
                        </c15:formulaRef>
                      </c:ext>
                    </c:extLst>
                    <c:numCache>
                      <c:formatCode>"$"#,##0</c:formatCode>
                      <c:ptCount val="24"/>
                      <c:pt idx="0">
                        <c:v>750000</c:v>
                      </c:pt>
                      <c:pt idx="1">
                        <c:v>1500000</c:v>
                      </c:pt>
                      <c:pt idx="2">
                        <c:v>2250000</c:v>
                      </c:pt>
                      <c:pt idx="3">
                        <c:v>3000000</c:v>
                      </c:pt>
                      <c:pt idx="4">
                        <c:v>3750000</c:v>
                      </c:pt>
                      <c:pt idx="5">
                        <c:v>4500000</c:v>
                      </c:pt>
                      <c:pt idx="6">
                        <c:v>5250000</c:v>
                      </c:pt>
                      <c:pt idx="7">
                        <c:v>6000000</c:v>
                      </c:pt>
                      <c:pt idx="8">
                        <c:v>6750000</c:v>
                      </c:pt>
                      <c:pt idx="9">
                        <c:v>7500000</c:v>
                      </c:pt>
                      <c:pt idx="10">
                        <c:v>8250000</c:v>
                      </c:pt>
                      <c:pt idx="11">
                        <c:v>9000000</c:v>
                      </c:pt>
                      <c:pt idx="12">
                        <c:v>9750000</c:v>
                      </c:pt>
                      <c:pt idx="13">
                        <c:v>10500000</c:v>
                      </c:pt>
                      <c:pt idx="14">
                        <c:v>11250000</c:v>
                      </c:pt>
                      <c:pt idx="15">
                        <c:v>12000000</c:v>
                      </c:pt>
                      <c:pt idx="16">
                        <c:v>12750000</c:v>
                      </c:pt>
                      <c:pt idx="17">
                        <c:v>13500000</c:v>
                      </c:pt>
                      <c:pt idx="18">
                        <c:v>14250000</c:v>
                      </c:pt>
                      <c:pt idx="19">
                        <c:v>15000000</c:v>
                      </c:pt>
                      <c:pt idx="20">
                        <c:v>15750000</c:v>
                      </c:pt>
                      <c:pt idx="21">
                        <c:v>16500000</c:v>
                      </c:pt>
                      <c:pt idx="22">
                        <c:v>17250000</c:v>
                      </c:pt>
                      <c:pt idx="23">
                        <c:v>18000000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GSTRTV!$B$22:$B$45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13385.813954759049</c:v>
                      </c:pt>
                      <c:pt idx="1">
                        <c:v>21745.318923863546</c:v>
                      </c:pt>
                      <c:pt idx="2">
                        <c:v>28882.159557638814</c:v>
                      </c:pt>
                      <c:pt idx="3">
                        <c:v>35325.374810877525</c:v>
                      </c:pt>
                      <c:pt idx="4">
                        <c:v>41297.502450781918</c:v>
                      </c:pt>
                      <c:pt idx="5">
                        <c:v>46919.206625270555</c:v>
                      </c:pt>
                      <c:pt idx="6">
                        <c:v>52265.295791567616</c:v>
                      </c:pt>
                      <c:pt idx="7">
                        <c:v>57386.24068463494</c:v>
                      </c:pt>
                      <c:pt idx="8">
                        <c:v>62318.148416841854</c:v>
                      </c:pt>
                      <c:pt idx="9">
                        <c:v>67087.990658350245</c:v>
                      </c:pt>
                      <c:pt idx="10">
                        <c:v>71716.595411188333</c:v>
                      </c:pt>
                      <c:pt idx="11">
                        <c:v>76220.476033018742</c:v>
                      </c:pt>
                      <c:pt idx="12">
                        <c:v>80613.00882564421</c:v>
                      </c:pt>
                      <c:pt idx="13">
                        <c:v>84905.223505936534</c:v>
                      </c:pt>
                      <c:pt idx="14">
                        <c:v>89106.352377727613</c:v>
                      </c:pt>
                      <c:pt idx="15">
                        <c:v>93224.223027940854</c:v>
                      </c:pt>
                      <c:pt idx="16">
                        <c:v>97265.546113132033</c:v>
                      </c:pt>
                      <c:pt idx="17">
                        <c:v>101236.13077612668</c:v>
                      </c:pt>
                      <c:pt idx="18">
                        <c:v>105141.04889375818</c:v>
                      </c:pt>
                      <c:pt idx="19">
                        <c:v>108984.76235793946</c:v>
                      </c:pt>
                      <c:pt idx="20">
                        <c:v>112771.22313825082</c:v>
                      </c:pt>
                      <c:pt idx="21">
                        <c:v>116503.95296249664</c:v>
                      </c:pt>
                      <c:pt idx="22">
                        <c:v>120186.10750238127</c:v>
                      </c:pt>
                      <c:pt idx="23">
                        <c:v>123820.52861846496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897-4C44-8735-1C17283D2F5E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v>HCC Pharmacy</c:v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6"/>
                  <c:marker>
                    <c:symbol val="circle"/>
                    <c:size val="5"/>
                    <c:spPr>
                      <a:solidFill>
                        <a:srgbClr val="00B050"/>
                      </a:solidFill>
                      <a:ln w="9525">
                        <a:solidFill>
                          <a:srgbClr val="00B050"/>
                        </a:solidFill>
                      </a:ln>
                      <a:effectLst/>
                    </c:spPr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GPHRMCY!$A$22:$A$41</c15:sqref>
                        </c15:formulaRef>
                      </c:ext>
                    </c:extLst>
                    <c:numCache>
                      <c:formatCode>"$"#,##0</c:formatCode>
                      <c:ptCount val="20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GPHRMCY!$B$22:$B$41</c15:sqref>
                        </c15:formulaRef>
                      </c:ext>
                    </c:extLst>
                    <c:numCache>
                      <c:formatCode>#,##0</c:formatCode>
                      <c:ptCount val="20"/>
                      <c:pt idx="0">
                        <c:v>0</c:v>
                      </c:pt>
                      <c:pt idx="1">
                        <c:v>1884.0989294061437</c:v>
                      </c:pt>
                      <c:pt idx="2">
                        <c:v>3690.9075000444427</c:v>
                      </c:pt>
                      <c:pt idx="3">
                        <c:v>5423.5391706861556</c:v>
                      </c:pt>
                      <c:pt idx="4">
                        <c:v>7084.9866262534633</c:v>
                      </c:pt>
                      <c:pt idx="5">
                        <c:v>8678.126083179377</c:v>
                      </c:pt>
                      <c:pt idx="6">
                        <c:v>10205.721472941339</c:v>
                      </c:pt>
                      <c:pt idx="7">
                        <c:v>11670.428504428826</c:v>
                      </c:pt>
                      <c:pt idx="8">
                        <c:v>13074.798606074415</c:v>
                      </c:pt>
                      <c:pt idx="9">
                        <c:v>14421.282748956233</c:v>
                      </c:pt>
                      <c:pt idx="10">
                        <c:v>15712.235152327456</c:v>
                      </c:pt>
                      <c:pt idx="11">
                        <c:v>16949.916873184033</c:v>
                      </c:pt>
                      <c:pt idx="12">
                        <c:v>18136.499281739816</c:v>
                      </c:pt>
                      <c:pt idx="13">
                        <c:v>19274.06742475275</c:v>
                      </c:pt>
                      <c:pt idx="14">
                        <c:v>20364.623278812505</c:v>
                      </c:pt>
                      <c:pt idx="15">
                        <c:v>21410.088895815425</c:v>
                      </c:pt>
                      <c:pt idx="16">
                        <c:v>22412.309442908503</c:v>
                      </c:pt>
                      <c:pt idx="17">
                        <c:v>23373.056139308028</c:v>
                      </c:pt>
                      <c:pt idx="18">
                        <c:v>24294.029092384502</c:v>
                      </c:pt>
                      <c:pt idx="19">
                        <c:v>25176.860035532154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897-4C44-8735-1C17283D2F5E}"/>
                  </c:ext>
                </c:extLst>
              </c15:ser>
            </c15:filteredScatterSeries>
            <c15:filteredScatterSeries>
              <c15:ser>
                <c:idx val="30"/>
                <c:order val="30"/>
                <c:tx>
                  <c:v>pharmacy o</c:v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GPHRMCY!$D$9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3200000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GPHRMCY!$E$9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22412.309442908503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897-4C44-8735-1C17283D2F5E}"/>
                  </c:ext>
                </c:extLst>
              </c15:ser>
            </c15:filteredScatterSeries>
            <c15:filteredScatterSeries>
              <c15:ser>
                <c:idx val="31"/>
                <c:order val="31"/>
                <c:tx>
                  <c:v>pharmacy c</c:v>
                </c:tx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dPt>
                  <c:idx val="0"/>
                  <c:marker>
                    <c:symbol val="diamond"/>
                    <c:size val="7"/>
                    <c:spPr>
                      <a:solidFill>
                        <a:srgbClr val="FF0000"/>
                      </a:solidFill>
                      <a:ln w="66675">
                        <a:noFill/>
                      </a:ln>
                      <a:effectLst/>
                    </c:spPr>
                  </c:marker>
                  <c:bubble3D val="0"/>
                  <c:spPr>
                    <a:ln w="34925" cap="rnd">
                      <a:solidFill>
                        <a:srgbClr val="FF0000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VAC_Optim_Scenario!$E$26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3200000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22412.309442908503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897-4C44-8735-1C17283D2F5E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80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Sensitivity!$K$30</c:f>
              <c:strCache>
                <c:ptCount val="1"/>
                <c:pt idx="0">
                  <c:v>HCC Streaming TV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Sensitivity!$K$31:$K$35</c:f>
              <c:numCache>
                <c:formatCode>"$"#,##0.0</c:formatCode>
                <c:ptCount val="5"/>
                <c:pt idx="0">
                  <c:v>2.3045999176017213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8-4960-8115-2C1B880A411C}"/>
            </c:ext>
          </c:extLst>
        </c:ser>
        <c:ser>
          <c:idx val="2"/>
          <c:order val="1"/>
          <c:tx>
            <c:strRef>
              <c:f>Sensitivity!$L$30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Sensitivity!$L$31:$L$35</c:f>
              <c:numCache>
                <c:formatCode>"$"#,##0.0</c:formatCode>
                <c:ptCount val="5"/>
                <c:pt idx="0">
                  <c:v>5.9808212879999996</c:v>
                </c:pt>
                <c:pt idx="1">
                  <c:v>21.864999999999998</c:v>
                </c:pt>
                <c:pt idx="2">
                  <c:v>21.864999999999998</c:v>
                </c:pt>
                <c:pt idx="3">
                  <c:v>21.864999999999998</c:v>
                </c:pt>
                <c:pt idx="4">
                  <c:v>5.9808212879999996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8-4960-8115-2C1B880A411C}"/>
            </c:ext>
          </c:extLst>
        </c:ser>
        <c:ser>
          <c:idx val="3"/>
          <c:order val="2"/>
          <c:tx>
            <c:strRef>
              <c:f>Sensitivity!$M$30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Sensitivity!$M$31:$M$35</c:f>
              <c:numCache>
                <c:formatCode>"$"#,##0.0</c:formatCode>
                <c:ptCount val="5"/>
                <c:pt idx="0">
                  <c:v>2.3684232000000001</c:v>
                </c:pt>
                <c:pt idx="1">
                  <c:v>3.9187500000000002</c:v>
                </c:pt>
                <c:pt idx="2">
                  <c:v>3.9187500000000002</c:v>
                </c:pt>
                <c:pt idx="3">
                  <c:v>3.9187500000000002</c:v>
                </c:pt>
                <c:pt idx="4">
                  <c:v>2.3684232000000001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F8-4960-8115-2C1B880A411C}"/>
            </c:ext>
          </c:extLst>
        </c:ser>
        <c:ser>
          <c:idx val="4"/>
          <c:order val="3"/>
          <c:tx>
            <c:strRef>
              <c:f>Sensitivity!$N$30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Sensitivity!$N$31:$N$35</c:f>
              <c:numCache>
                <c:formatCode>"$"#,##0.0</c:formatCode>
                <c:ptCount val="5"/>
                <c:pt idx="0">
                  <c:v>0.46872000002084274</c:v>
                </c:pt>
                <c:pt idx="1">
                  <c:v>3.4562499999999998</c:v>
                </c:pt>
                <c:pt idx="2">
                  <c:v>3.4562499999999998</c:v>
                </c:pt>
                <c:pt idx="3">
                  <c:v>3.4562499999999998</c:v>
                </c:pt>
                <c:pt idx="4">
                  <c:v>0.87048000000000003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6F8-4960-8115-2C1B880A411C}"/>
            </c:ext>
          </c:extLst>
        </c:ser>
        <c:ser>
          <c:idx val="5"/>
          <c:order val="4"/>
          <c:tx>
            <c:strRef>
              <c:f>Sensitivity!$O$30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Sensitivity!$O$31:$O$35</c:f>
              <c:numCache>
                <c:formatCode>"$"#,##0.0</c:formatCode>
                <c:ptCount val="5"/>
                <c:pt idx="0">
                  <c:v>5.4997572028695698</c:v>
                </c:pt>
                <c:pt idx="1">
                  <c:v>7.5668825899999996</c:v>
                </c:pt>
                <c:pt idx="2">
                  <c:v>7.5668825899999996</c:v>
                </c:pt>
                <c:pt idx="3">
                  <c:v>7.5668825899999996</c:v>
                </c:pt>
                <c:pt idx="4">
                  <c:v>10.213834800000001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8-4960-8115-2C1B880A411C}"/>
            </c:ext>
          </c:extLst>
        </c:ser>
        <c:ser>
          <c:idx val="6"/>
          <c:order val="5"/>
          <c:tx>
            <c:strRef>
              <c:f>Sensitivity!$P$30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Sensitivity!$P$31:$P$35</c:f>
              <c:numCache>
                <c:formatCode>"$"#,##0.0</c:formatCode>
                <c:ptCount val="5"/>
                <c:pt idx="0">
                  <c:v>2.2477582947281389</c:v>
                </c:pt>
                <c:pt idx="1">
                  <c:v>5.8125000000000009</c:v>
                </c:pt>
                <c:pt idx="2">
                  <c:v>5.8125000000000009</c:v>
                </c:pt>
                <c:pt idx="3">
                  <c:v>5.8125000000000009</c:v>
                </c:pt>
                <c:pt idx="4">
                  <c:v>2.7142868999999998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6F8-4960-8115-2C1B880A411C}"/>
            </c:ext>
          </c:extLst>
        </c:ser>
        <c:ser>
          <c:idx val="7"/>
          <c:order val="6"/>
          <c:tx>
            <c:strRef>
              <c:f>Sensitivity!$Q$30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Sensitivity!$Q$31:$Q$35</c:f>
              <c:numCache>
                <c:formatCode>"$"#,##0.0</c:formatCode>
                <c:ptCount val="5"/>
                <c:pt idx="0">
                  <c:v>1.5030225591430741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1.7915768000000001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6F8-4960-8115-2C1B880A411C}"/>
            </c:ext>
          </c:extLst>
        </c:ser>
        <c:ser>
          <c:idx val="8"/>
          <c:order val="7"/>
          <c:tx>
            <c:strRef>
              <c:f>Sensitivity!$R$30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Sensitivity!$R$31:$R$35</c:f>
              <c:numCache>
                <c:formatCode>"$"#,##0.0</c:formatCode>
                <c:ptCount val="5"/>
                <c:pt idx="0">
                  <c:v>0.85561189999999998</c:v>
                </c:pt>
                <c:pt idx="1">
                  <c:v>2.31</c:v>
                </c:pt>
                <c:pt idx="2">
                  <c:v>2.31</c:v>
                </c:pt>
                <c:pt idx="3">
                  <c:v>2.31</c:v>
                </c:pt>
                <c:pt idx="4">
                  <c:v>0.85561189999999998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6F8-4960-8115-2C1B880A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Sensitivity!$S$30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Sensitivity!$S$31:$S$35</c:f>
              <c:numCache>
                <c:formatCode>"$"#,##0.0</c:formatCode>
                <c:ptCount val="5"/>
                <c:pt idx="0">
                  <c:v>15.717664872</c:v>
                </c:pt>
                <c:pt idx="1">
                  <c:v>26.842192700000002</c:v>
                </c:pt>
                <c:pt idx="2">
                  <c:v>26.842192700000002</c:v>
                </c:pt>
                <c:pt idx="3">
                  <c:v>26.842192700000002</c:v>
                </c:pt>
                <c:pt idx="4">
                  <c:v>21.525379182791276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5-4224-9A4F-154E505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390784"/>
        <c:axId val="923386192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valAx>
        <c:axId val="923386192"/>
        <c:scaling>
          <c:orientation val="minMax"/>
        </c:scaling>
        <c:delete val="0"/>
        <c:axPos val="r"/>
        <c:numFmt formatCode="&quot;$&quot;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90784"/>
        <c:crosses val="max"/>
        <c:crossBetween val="between"/>
      </c:valAx>
      <c:catAx>
        <c:axId val="92339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92338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layout>
        <c:manualLayout>
          <c:xMode val="edge"/>
          <c:yMode val="edge"/>
          <c:x val="0.31281422737853559"/>
          <c:y val="2.4204384106423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ROI'!$F$17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ROI'!$E$18:$E$27</c:f>
              <c:strCache>
                <c:ptCount val="10"/>
                <c:pt idx="0">
                  <c:v>HCC Paid Search</c:v>
                </c:pt>
                <c:pt idx="1">
                  <c:v>HCP MCM</c:v>
                </c:pt>
                <c:pt idx="2">
                  <c:v>HCC Display</c:v>
                </c:pt>
                <c:pt idx="3">
                  <c:v>HCC Radio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Pharmacy</c:v>
                </c:pt>
                <c:pt idx="8">
                  <c:v>HCC InOffice</c:v>
                </c:pt>
                <c:pt idx="9">
                  <c:v>HCC Linear TV</c:v>
                </c:pt>
              </c:strCache>
            </c:strRef>
          </c:cat>
          <c:val>
            <c:numRef>
              <c:f>'Contribution, promo eff, ROI'!$F$18:$F$27</c:f>
              <c:numCache>
                <c:formatCode>"$"#,##0</c:formatCode>
                <c:ptCount val="10"/>
                <c:pt idx="0">
                  <c:v>2.5147277110902859</c:v>
                </c:pt>
                <c:pt idx="1">
                  <c:v>45.640430023739405</c:v>
                </c:pt>
                <c:pt idx="2">
                  <c:v>45.662915026995272</c:v>
                </c:pt>
                <c:pt idx="3">
                  <c:v>60.235264720680156</c:v>
                </c:pt>
                <c:pt idx="4">
                  <c:v>77.667405525367727</c:v>
                </c:pt>
                <c:pt idx="5">
                  <c:v>92.79350742416463</c:v>
                </c:pt>
                <c:pt idx="6">
                  <c:v>112.0916335673636</c:v>
                </c:pt>
                <c:pt idx="7">
                  <c:v>142.77868187352351</c:v>
                </c:pt>
                <c:pt idx="8">
                  <c:v>120.81841249603876</c:v>
                </c:pt>
                <c:pt idx="9">
                  <c:v>154.98419371797621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260351</xdr:colOff>
      <xdr:row>15</xdr:row>
      <xdr:rowOff>149225</xdr:rowOff>
    </xdr:from>
    <xdr:to>
      <xdr:col>9</xdr:col>
      <xdr:colOff>406400</xdr:colOff>
      <xdr:row>36</xdr:row>
      <xdr:rowOff>34925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260351</xdr:colOff>
      <xdr:row>15</xdr:row>
      <xdr:rowOff>149225</xdr:rowOff>
    </xdr:from>
    <xdr:to>
      <xdr:col>9</xdr:col>
      <xdr:colOff>406400</xdr:colOff>
      <xdr:row>36</xdr:row>
      <xdr:rowOff>34925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189CA5-245E-4849-8EEE-91132789FC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335280</xdr:colOff>
      <xdr:row>3</xdr:row>
      <xdr:rowOff>136524</xdr:rowOff>
    </xdr:from>
    <xdr:to>
      <xdr:col>18</xdr:col>
      <xdr:colOff>190500</xdr:colOff>
      <xdr:row>29</xdr:row>
      <xdr:rowOff>146049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</xdr:colOff>
      <xdr:row>41</xdr:row>
      <xdr:rowOff>0</xdr:rowOff>
    </xdr:from>
    <xdr:to>
      <xdr:col>14</xdr:col>
      <xdr:colOff>165653</xdr:colOff>
      <xdr:row>58</xdr:row>
      <xdr:rowOff>173935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A098A4-215C-4DF7-B597-C27582E4C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3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10</xdr:col>
      <xdr:colOff>28575</xdr:colOff>
      <xdr:row>73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63373-7BEB-4BDF-AD47-33EA075D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713901</xdr:colOff>
      <xdr:row>50</xdr:row>
      <xdr:rowOff>71746</xdr:rowOff>
    </xdr:from>
    <xdr:to>
      <xdr:col>5</xdr:col>
      <xdr:colOff>721483</xdr:colOff>
      <xdr:row>69</xdr:row>
      <xdr:rowOff>33835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A7CC4FB-08EB-4C2D-845C-9CCE9D2F67FF}"/>
            </a:ext>
          </a:extLst>
        </xdr:cNvPr>
        <xdr:cNvCxnSpPr/>
      </xdr:nvCxnSpPr>
      <xdr:spPr>
        <a:xfrm flipH="1" flipV="1">
          <a:off x="5362101" y="10225396"/>
          <a:ext cx="7582" cy="340061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275165</xdr:colOff>
      <xdr:row>14</xdr:row>
      <xdr:rowOff>63500</xdr:rowOff>
    </xdr:from>
    <xdr:to>
      <xdr:col>17</xdr:col>
      <xdr:colOff>107033</xdr:colOff>
      <xdr:row>29</xdr:row>
      <xdr:rowOff>57856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C3E0255-855E-4EED-9519-AA0E88A9BAB2}">
  <we:reference id="f9d83b14-4e6f-42a7-9129-3d6070647a4c" version="2.8.0.0" store="EXCatalog" storeType="EXCatalog"/>
  <we:alternateReferences>
    <we:reference id="WA200000421" version="2.8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F5" sqref="F5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185" t="s">
        <v>209</v>
      </c>
    </row>
    <row r="2" spans="2:20" ht="15.75" thickBot="1" x14ac:dyDescent="0.3"/>
    <row r="3" spans="2:20" ht="30.2" customHeight="1" x14ac:dyDescent="0.25">
      <c r="B3" s="408" t="s">
        <v>2</v>
      </c>
      <c r="C3" s="410" t="s">
        <v>3</v>
      </c>
      <c r="D3" s="411" t="s">
        <v>210</v>
      </c>
      <c r="E3" s="412"/>
      <c r="F3" s="411" t="s">
        <v>211</v>
      </c>
      <c r="G3" s="412"/>
      <c r="H3" s="411" t="s">
        <v>212</v>
      </c>
      <c r="I3" s="412"/>
      <c r="K3" s="408" t="s">
        <v>2</v>
      </c>
      <c r="L3" s="410" t="s">
        <v>3</v>
      </c>
      <c r="M3" s="411" t="s">
        <v>210</v>
      </c>
      <c r="N3" s="412"/>
      <c r="O3" s="411" t="s">
        <v>211</v>
      </c>
      <c r="P3" s="412"/>
      <c r="Q3" s="411" t="s">
        <v>212</v>
      </c>
      <c r="R3" s="412"/>
    </row>
    <row r="4" spans="2:20" ht="25.5" x14ac:dyDescent="0.25">
      <c r="B4" s="409"/>
      <c r="C4" s="409"/>
      <c r="D4" s="186" t="s">
        <v>213</v>
      </c>
      <c r="E4" s="187" t="s">
        <v>214</v>
      </c>
      <c r="F4" s="186" t="s">
        <v>213</v>
      </c>
      <c r="G4" s="187" t="s">
        <v>214</v>
      </c>
      <c r="H4" s="186" t="s">
        <v>213</v>
      </c>
      <c r="I4" s="187" t="s">
        <v>214</v>
      </c>
      <c r="K4" s="409"/>
      <c r="L4" s="409"/>
      <c r="M4" s="186" t="s">
        <v>213</v>
      </c>
      <c r="N4" s="187" t="s">
        <v>214</v>
      </c>
      <c r="O4" s="186" t="s">
        <v>213</v>
      </c>
      <c r="P4" s="187" t="s">
        <v>214</v>
      </c>
      <c r="Q4" s="186" t="s">
        <v>213</v>
      </c>
      <c r="R4" s="187" t="s">
        <v>214</v>
      </c>
    </row>
    <row r="5" spans="2:20" x14ac:dyDescent="0.25">
      <c r="B5" s="53" t="s">
        <v>154</v>
      </c>
      <c r="C5" s="188" t="str">
        <f>VAC_Optim_Scenario!B17</f>
        <v>HCC InOffice</v>
      </c>
      <c r="D5" s="189">
        <f>VAC_Optim_Scenario!$H36</f>
        <v>300000</v>
      </c>
      <c r="E5" s="190">
        <f>VAC_Optim_Scenario!$J36</f>
        <v>561023.75953849207</v>
      </c>
      <c r="F5" s="189">
        <f>VAC_Optim_Scenario!$H36</f>
        <v>300000</v>
      </c>
      <c r="G5" s="190">
        <f>VAC_Optim_Scenario!$J36</f>
        <v>561023.75953849207</v>
      </c>
      <c r="H5" s="189">
        <f>VAC_Optim_Scenario!$H36</f>
        <v>300000</v>
      </c>
      <c r="I5" s="190">
        <f>VAC_Optim_Scenario!$J36</f>
        <v>561023.75953849207</v>
      </c>
      <c r="J5" s="191"/>
      <c r="K5" s="53" t="s">
        <v>154</v>
      </c>
      <c r="L5" s="53" t="str">
        <f>VAC_Optim_Scenario!B17</f>
        <v>HCC InOffice</v>
      </c>
      <c r="M5" s="192">
        <f>D5/1000000</f>
        <v>0.3</v>
      </c>
      <c r="N5" s="193">
        <f t="shared" ref="N5:R13" si="0">E5/1000000</f>
        <v>0.56102375953849204</v>
      </c>
      <c r="O5" s="192">
        <f t="shared" si="0"/>
        <v>0.3</v>
      </c>
      <c r="P5" s="193">
        <f t="shared" si="0"/>
        <v>0.56102375953849204</v>
      </c>
      <c r="Q5" s="192">
        <f t="shared" si="0"/>
        <v>0.3</v>
      </c>
      <c r="R5" s="193">
        <f t="shared" si="0"/>
        <v>0.56102375953849204</v>
      </c>
    </row>
    <row r="6" spans="2:20" x14ac:dyDescent="0.25">
      <c r="B6" s="54" t="s">
        <v>154</v>
      </c>
      <c r="C6" s="194" t="str">
        <f>VAC_Optim_Scenario!B18</f>
        <v>HCP MCM</v>
      </c>
      <c r="D6" s="195">
        <f>VAC_Optim_Scenario!$H37</f>
        <v>21865000</v>
      </c>
      <c r="E6" s="196">
        <f>VAC_Optim_Scenario!$J37</f>
        <v>108241269.80027175</v>
      </c>
      <c r="F6" s="195">
        <f>VAC_Optim_Scenario!$H37</f>
        <v>21865000</v>
      </c>
      <c r="G6" s="196">
        <f>VAC_Optim_Scenario!$J37</f>
        <v>108241269.80027175</v>
      </c>
      <c r="H6" s="195">
        <f>VAC_Optim_Scenario!$H37</f>
        <v>21865000</v>
      </c>
      <c r="I6" s="196">
        <f>VAC_Optim_Scenario!$J37</f>
        <v>108241269.80027175</v>
      </c>
      <c r="J6" s="191"/>
      <c r="K6" s="54" t="s">
        <v>154</v>
      </c>
      <c r="L6" s="54" t="str">
        <f>VAC_Optim_Scenario!B18</f>
        <v>HCP MCM</v>
      </c>
      <c r="M6" s="197">
        <f t="shared" ref="M6:M13" si="1">D6/1000000</f>
        <v>21.864999999999998</v>
      </c>
      <c r="N6" s="198">
        <f t="shared" si="0"/>
        <v>108.24126980027175</v>
      </c>
      <c r="O6" s="197">
        <f t="shared" si="0"/>
        <v>21.864999999999998</v>
      </c>
      <c r="P6" s="198">
        <f t="shared" si="0"/>
        <v>108.24126980027175</v>
      </c>
      <c r="Q6" s="197">
        <f t="shared" si="0"/>
        <v>21.864999999999998</v>
      </c>
      <c r="R6" s="198">
        <f t="shared" si="0"/>
        <v>108.24126980027175</v>
      </c>
    </row>
    <row r="7" spans="2:20" x14ac:dyDescent="0.25">
      <c r="B7" s="54" t="s">
        <v>154</v>
      </c>
      <c r="C7" s="194" t="str">
        <f>VAC_Optim_Scenario!B19</f>
        <v>HCC Social</v>
      </c>
      <c r="D7" s="195">
        <f>VAC_Optim_Scenario!$H38</f>
        <v>3918750</v>
      </c>
      <c r="E7" s="196">
        <f>VAC_Optim_Scenario!$J38</f>
        <v>8726881.6604837608</v>
      </c>
      <c r="F7" s="195">
        <f>VAC_Optim_Scenario!$H38</f>
        <v>3918750</v>
      </c>
      <c r="G7" s="196">
        <f>VAC_Optim_Scenario!$J38</f>
        <v>8726881.6604837608</v>
      </c>
      <c r="H7" s="195">
        <f>VAC_Optim_Scenario!$H38</f>
        <v>3918750</v>
      </c>
      <c r="I7" s="196">
        <f>VAC_Optim_Scenario!$J38</f>
        <v>8726881.6604837608</v>
      </c>
      <c r="J7" s="199"/>
      <c r="K7" s="54" t="s">
        <v>154</v>
      </c>
      <c r="L7" s="54" t="str">
        <f>VAC_Optim_Scenario!B19</f>
        <v>HCC Social</v>
      </c>
      <c r="M7" s="197">
        <f t="shared" si="1"/>
        <v>3.9187500000000002</v>
      </c>
      <c r="N7" s="198">
        <f t="shared" si="0"/>
        <v>8.7268816604837607</v>
      </c>
      <c r="O7" s="197">
        <f t="shared" si="0"/>
        <v>3.9187500000000002</v>
      </c>
      <c r="P7" s="198">
        <f t="shared" si="0"/>
        <v>8.7268816604837607</v>
      </c>
      <c r="Q7" s="197">
        <f t="shared" si="0"/>
        <v>3.9187500000000002</v>
      </c>
      <c r="R7" s="198">
        <f t="shared" si="0"/>
        <v>8.7268816604837607</v>
      </c>
    </row>
    <row r="8" spans="2:20" x14ac:dyDescent="0.25">
      <c r="B8" s="54" t="s">
        <v>154</v>
      </c>
      <c r="C8" s="194" t="str">
        <f>VAC_Optim_Scenario!B20</f>
        <v>HCC Online Video</v>
      </c>
      <c r="D8" s="195">
        <f>VAC_Optim_Scenario!$H39</f>
        <v>3456250</v>
      </c>
      <c r="E8" s="196">
        <f>VAC_Optim_Scenario!$J39</f>
        <v>8654679.04685398</v>
      </c>
      <c r="F8" s="195">
        <f>VAC_Optim_Scenario!$H39</f>
        <v>3456250</v>
      </c>
      <c r="G8" s="196">
        <f>VAC_Optim_Scenario!$J39</f>
        <v>8654679.04685398</v>
      </c>
      <c r="H8" s="195">
        <f>VAC_Optim_Scenario!$H39</f>
        <v>3456250</v>
      </c>
      <c r="I8" s="196">
        <f>VAC_Optim_Scenario!$J39</f>
        <v>8654679.04685398</v>
      </c>
      <c r="J8" s="191"/>
      <c r="K8" s="54" t="s">
        <v>154</v>
      </c>
      <c r="L8" s="54" t="str">
        <f>VAC_Optim_Scenario!B20</f>
        <v>HCC Online Video</v>
      </c>
      <c r="M8" s="197">
        <f t="shared" si="1"/>
        <v>3.4562499999999998</v>
      </c>
      <c r="N8" s="198">
        <f t="shared" si="0"/>
        <v>8.65467904685398</v>
      </c>
      <c r="O8" s="197">
        <f t="shared" si="0"/>
        <v>3.4562499999999998</v>
      </c>
      <c r="P8" s="198">
        <f t="shared" si="0"/>
        <v>8.65467904685398</v>
      </c>
      <c r="Q8" s="197">
        <f t="shared" si="0"/>
        <v>3.4562499999999998</v>
      </c>
      <c r="R8" s="198">
        <f t="shared" si="0"/>
        <v>8.65467904685398</v>
      </c>
    </row>
    <row r="9" spans="2:20" x14ac:dyDescent="0.25">
      <c r="B9" s="54" t="s">
        <v>154</v>
      </c>
      <c r="C9" s="194" t="str">
        <f>VAC_Optim_Scenario!B21</f>
        <v>HCC Streaming Video</v>
      </c>
      <c r="D9" s="195">
        <f>VAC_Optim_Scenario!$H40</f>
        <v>7566882.5899999999</v>
      </c>
      <c r="E9" s="196">
        <f>VAC_Optim_Scenario!$J40</f>
        <v>15252355.577074772</v>
      </c>
      <c r="F9" s="195">
        <f>VAC_Optim_Scenario!$H40</f>
        <v>7566882.5899999999</v>
      </c>
      <c r="G9" s="196">
        <f>VAC_Optim_Scenario!$J40</f>
        <v>15252355.577074772</v>
      </c>
      <c r="H9" s="195">
        <f>VAC_Optim_Scenario!$H40</f>
        <v>7566882.5899999999</v>
      </c>
      <c r="I9" s="196">
        <f>VAC_Optim_Scenario!$J40</f>
        <v>15252355.577074772</v>
      </c>
      <c r="J9" s="199"/>
      <c r="K9" s="54" t="s">
        <v>154</v>
      </c>
      <c r="L9" s="54" t="str">
        <f>VAC_Optim_Scenario!B21</f>
        <v>HCC Streaming Video</v>
      </c>
      <c r="M9" s="197">
        <f t="shared" si="1"/>
        <v>7.5668825899999996</v>
      </c>
      <c r="N9" s="198">
        <f t="shared" si="0"/>
        <v>15.252355577074772</v>
      </c>
      <c r="O9" s="197">
        <f t="shared" si="0"/>
        <v>7.5668825899999996</v>
      </c>
      <c r="P9" s="198">
        <f t="shared" si="0"/>
        <v>15.252355577074772</v>
      </c>
      <c r="Q9" s="197">
        <f t="shared" si="0"/>
        <v>7.5668825899999996</v>
      </c>
      <c r="R9" s="198">
        <f t="shared" si="0"/>
        <v>15.252355577074772</v>
      </c>
    </row>
    <row r="10" spans="2:20" x14ac:dyDescent="0.25">
      <c r="B10" s="54" t="s">
        <v>154</v>
      </c>
      <c r="C10" s="194" t="str">
        <f>VAC_Optim_Scenario!B22</f>
        <v>HCC Display</v>
      </c>
      <c r="D10" s="195">
        <f>VAC_Optim_Scenario!$H41</f>
        <v>5812500.0000000009</v>
      </c>
      <c r="E10" s="196">
        <f>VAC_Optim_Scenario!$J41</f>
        <v>26304403.183464181</v>
      </c>
      <c r="F10" s="195">
        <f>VAC_Optim_Scenario!$H41</f>
        <v>5812500.0000000009</v>
      </c>
      <c r="G10" s="196">
        <f>VAC_Optim_Scenario!$J41</f>
        <v>26304403.183464181</v>
      </c>
      <c r="H10" s="195">
        <f>VAC_Optim_Scenario!$H41</f>
        <v>5812500.0000000009</v>
      </c>
      <c r="I10" s="196">
        <f>VAC_Optim_Scenario!$J41</f>
        <v>26304403.183464181</v>
      </c>
      <c r="J10" s="199"/>
      <c r="K10" s="54" t="s">
        <v>154</v>
      </c>
      <c r="L10" s="54" t="str">
        <f>VAC_Optim_Scenario!B22</f>
        <v>HCC Display</v>
      </c>
      <c r="M10" s="197">
        <f t="shared" si="1"/>
        <v>5.8125000000000009</v>
      </c>
      <c r="N10" s="198">
        <f t="shared" si="0"/>
        <v>26.304403183464181</v>
      </c>
      <c r="O10" s="197">
        <f t="shared" si="0"/>
        <v>5.8125000000000009</v>
      </c>
      <c r="P10" s="198">
        <f t="shared" si="0"/>
        <v>26.304403183464181</v>
      </c>
      <c r="Q10" s="197">
        <f t="shared" si="0"/>
        <v>5.8125000000000009</v>
      </c>
      <c r="R10" s="198">
        <f t="shared" si="0"/>
        <v>26.304403183464181</v>
      </c>
    </row>
    <row r="11" spans="2:20" x14ac:dyDescent="0.25">
      <c r="B11" s="54" t="s">
        <v>154</v>
      </c>
      <c r="C11" s="194" t="str">
        <f>VAC_Optim_Scenario!B23</f>
        <v>HCC Paid Search</v>
      </c>
      <c r="D11" s="195">
        <f>VAC_Optim_Scenario!$H42</f>
        <v>200000</v>
      </c>
      <c r="E11" s="196">
        <f>VAC_Optim_Scenario!$J42</f>
        <v>17969341.094351832</v>
      </c>
      <c r="F11" s="195">
        <f>VAC_Optim_Scenario!$H42</f>
        <v>200000</v>
      </c>
      <c r="G11" s="196">
        <f>VAC_Optim_Scenario!$J42</f>
        <v>17969341.094351832</v>
      </c>
      <c r="H11" s="195">
        <f>VAC_Optim_Scenario!$H42</f>
        <v>200000</v>
      </c>
      <c r="I11" s="196">
        <f>VAC_Optim_Scenario!$J42</f>
        <v>17969341.094351832</v>
      </c>
      <c r="J11" s="191"/>
      <c r="K11" s="54" t="s">
        <v>154</v>
      </c>
      <c r="L11" s="54" t="str">
        <f>VAC_Optim_Scenario!B23</f>
        <v>HCC Paid Search</v>
      </c>
      <c r="M11" s="197">
        <f t="shared" si="1"/>
        <v>0.2</v>
      </c>
      <c r="N11" s="198">
        <f t="shared" si="0"/>
        <v>17.969341094351833</v>
      </c>
      <c r="O11" s="197">
        <f t="shared" si="0"/>
        <v>0.2</v>
      </c>
      <c r="P11" s="198">
        <f t="shared" si="0"/>
        <v>17.969341094351833</v>
      </c>
      <c r="Q11" s="197">
        <f t="shared" si="0"/>
        <v>0.2</v>
      </c>
      <c r="R11" s="198">
        <f t="shared" si="0"/>
        <v>17.969341094351833</v>
      </c>
    </row>
    <row r="12" spans="2:20" x14ac:dyDescent="0.25">
      <c r="B12" s="54" t="s">
        <v>154</v>
      </c>
      <c r="C12" s="194" t="str">
        <f>VAC_Optim_Scenario!B24</f>
        <v>HCC Radio</v>
      </c>
      <c r="D12" s="195">
        <f>VAC_Optim_Scenario!$H43</f>
        <v>2310000</v>
      </c>
      <c r="E12" s="196">
        <f>VAC_Optim_Scenario!$J43</f>
        <v>8664714.9708767254</v>
      </c>
      <c r="F12" s="195">
        <f>VAC_Optim_Scenario!$H43</f>
        <v>2310000</v>
      </c>
      <c r="G12" s="196">
        <f>VAC_Optim_Scenario!$J43</f>
        <v>8664714.9708767254</v>
      </c>
      <c r="H12" s="195">
        <f>VAC_Optim_Scenario!$H43</f>
        <v>2310000</v>
      </c>
      <c r="I12" s="196">
        <f>VAC_Optim_Scenario!$J43</f>
        <v>8664714.9708767254</v>
      </c>
      <c r="J12" s="191"/>
      <c r="K12" s="54" t="s">
        <v>154</v>
      </c>
      <c r="L12" s="54" t="str">
        <f>VAC_Optim_Scenario!B24</f>
        <v>HCC Radio</v>
      </c>
      <c r="M12" s="197">
        <f t="shared" si="1"/>
        <v>2.31</v>
      </c>
      <c r="N12" s="198">
        <f t="shared" si="0"/>
        <v>8.6647149708767248</v>
      </c>
      <c r="O12" s="197">
        <f t="shared" si="0"/>
        <v>2.31</v>
      </c>
      <c r="P12" s="198">
        <f t="shared" si="0"/>
        <v>8.6647149708767248</v>
      </c>
      <c r="Q12" s="197">
        <f t="shared" si="0"/>
        <v>2.31</v>
      </c>
      <c r="R12" s="198">
        <f t="shared" si="0"/>
        <v>8.6647149708767248</v>
      </c>
    </row>
    <row r="13" spans="2:20" x14ac:dyDescent="0.25">
      <c r="B13" s="208" t="s">
        <v>154</v>
      </c>
      <c r="C13" s="182" t="str">
        <f>VAC_Optim_Scenario!B25</f>
        <v>HCC Linear TV</v>
      </c>
      <c r="D13" s="209">
        <f>VAC_Optim_Scenario!$H44</f>
        <v>26842192.700000003</v>
      </c>
      <c r="E13" s="209">
        <f>VAC_Optim_Scenario!$J44</f>
        <v>39131248.633482866</v>
      </c>
      <c r="F13" s="209">
        <f>VAC_Optim_Scenario!$H44</f>
        <v>26842192.700000003</v>
      </c>
      <c r="G13" s="209">
        <f>VAC_Optim_Scenario!$J44</f>
        <v>39131248.633482866</v>
      </c>
      <c r="H13" s="209">
        <f>VAC_Optim_Scenario!$H44</f>
        <v>26842192.700000003</v>
      </c>
      <c r="I13" s="209">
        <f>VAC_Optim_Scenario!$J44</f>
        <v>39131248.633482866</v>
      </c>
      <c r="J13" s="191"/>
      <c r="K13" s="208" t="s">
        <v>154</v>
      </c>
      <c r="L13" s="208" t="str">
        <f>VAC_Optim_Scenario!B25</f>
        <v>HCC Linear TV</v>
      </c>
      <c r="M13" s="202">
        <f t="shared" si="1"/>
        <v>26.842192700000002</v>
      </c>
      <c r="N13" s="202">
        <f t="shared" si="0"/>
        <v>39.131248633482869</v>
      </c>
      <c r="O13" s="202">
        <f t="shared" si="0"/>
        <v>26.842192700000002</v>
      </c>
      <c r="P13" s="202">
        <f t="shared" si="0"/>
        <v>39.131248633482869</v>
      </c>
      <c r="Q13" s="202">
        <f t="shared" si="0"/>
        <v>26.842192700000002</v>
      </c>
      <c r="R13" s="202">
        <f t="shared" si="0"/>
        <v>39.131248633482869</v>
      </c>
    </row>
    <row r="14" spans="2:20" x14ac:dyDescent="0.25">
      <c r="T14" s="243"/>
    </row>
    <row r="15" spans="2:20" x14ac:dyDescent="0.25">
      <c r="C15" s="185" t="s">
        <v>215</v>
      </c>
    </row>
    <row r="17" spans="2:19" ht="38.1" customHeight="1" x14ac:dyDescent="0.25">
      <c r="C17" s="410" t="s">
        <v>3</v>
      </c>
      <c r="D17" s="411" t="s">
        <v>210</v>
      </c>
      <c r="E17" s="412"/>
      <c r="F17" s="411" t="s">
        <v>216</v>
      </c>
      <c r="G17" s="412"/>
      <c r="H17" s="411" t="s">
        <v>217</v>
      </c>
      <c r="I17" s="412"/>
      <c r="L17" s="410" t="s">
        <v>3</v>
      </c>
      <c r="M17" s="411" t="s">
        <v>210</v>
      </c>
      <c r="N17" s="412"/>
      <c r="O17" s="411" t="s">
        <v>216</v>
      </c>
      <c r="P17" s="412"/>
      <c r="Q17" s="411" t="s">
        <v>217</v>
      </c>
      <c r="R17" s="412"/>
    </row>
    <row r="18" spans="2:19" ht="25.5" x14ac:dyDescent="0.25">
      <c r="C18" s="409"/>
      <c r="D18" s="55" t="s">
        <v>213</v>
      </c>
      <c r="E18" s="55" t="s">
        <v>214</v>
      </c>
      <c r="F18" s="55" t="s">
        <v>213</v>
      </c>
      <c r="G18" s="55" t="s">
        <v>214</v>
      </c>
      <c r="H18" s="55" t="s">
        <v>213</v>
      </c>
      <c r="I18" s="55" t="s">
        <v>214</v>
      </c>
      <c r="L18" s="409"/>
      <c r="M18" s="55" t="s">
        <v>213</v>
      </c>
      <c r="N18" s="55" t="s">
        <v>214</v>
      </c>
      <c r="O18" s="55" t="s">
        <v>213</v>
      </c>
      <c r="P18" s="55" t="s">
        <v>214</v>
      </c>
      <c r="Q18" s="55" t="s">
        <v>213</v>
      </c>
      <c r="R18" s="55" t="s">
        <v>214</v>
      </c>
    </row>
    <row r="19" spans="2:19" x14ac:dyDescent="0.25">
      <c r="B19" s="53" t="s">
        <v>154</v>
      </c>
      <c r="C19" s="188" t="str">
        <f>VAC_Optim_Scenario!B17</f>
        <v>HCC InOffice</v>
      </c>
      <c r="D19" s="189">
        <f>VAC_Optim_Scenario!$H36</f>
        <v>300000</v>
      </c>
      <c r="E19" s="190">
        <f>VAC_Optim_Scenario!$J36</f>
        <v>561023.75953849207</v>
      </c>
      <c r="F19" s="189">
        <f>VAC_Optim_Scenario!$H36</f>
        <v>300000</v>
      </c>
      <c r="G19" s="190">
        <f>VAC_Optim_Scenario!$J36</f>
        <v>561023.75953849207</v>
      </c>
      <c r="H19" s="189">
        <f>VAC_Optim_Scenario!$H36</f>
        <v>300000</v>
      </c>
      <c r="I19" s="190">
        <f>VAC_Optim_Scenario!$J36</f>
        <v>561023.75953849207</v>
      </c>
      <c r="J19" s="191"/>
      <c r="K19" s="53" t="s">
        <v>154</v>
      </c>
      <c r="L19" s="188" t="str">
        <f>VAC_Optim_Scenario!B17</f>
        <v>HCC InOffice</v>
      </c>
      <c r="M19" s="192">
        <f>D19/1000000</f>
        <v>0.3</v>
      </c>
      <c r="N19" s="193">
        <f t="shared" ref="N19:R27" si="2">E19/1000000</f>
        <v>0.56102375953849204</v>
      </c>
      <c r="O19" s="192">
        <f t="shared" si="2"/>
        <v>0.3</v>
      </c>
      <c r="P19" s="193">
        <f t="shared" si="2"/>
        <v>0.56102375953849204</v>
      </c>
      <c r="Q19" s="192">
        <f t="shared" si="2"/>
        <v>0.3</v>
      </c>
      <c r="R19" s="193">
        <f t="shared" si="2"/>
        <v>0.56102375953849204</v>
      </c>
    </row>
    <row r="20" spans="2:19" x14ac:dyDescent="0.25">
      <c r="B20" s="54" t="s">
        <v>154</v>
      </c>
      <c r="C20" s="194" t="str">
        <f>VAC_Optim_Scenario!B18</f>
        <v>HCP MCM</v>
      </c>
      <c r="D20" s="195">
        <f>VAC_Optim_Scenario!$H37</f>
        <v>21865000</v>
      </c>
      <c r="E20" s="196">
        <f>VAC_Optim_Scenario!$J37</f>
        <v>108241269.80027175</v>
      </c>
      <c r="F20" s="195">
        <f>VAC_Optim_Scenario!$H37</f>
        <v>21865000</v>
      </c>
      <c r="G20" s="196">
        <f>VAC_Optim_Scenario!$J37</f>
        <v>108241269.80027175</v>
      </c>
      <c r="H20" s="195">
        <f>VAC_Optim_Scenario!$H37</f>
        <v>21865000</v>
      </c>
      <c r="I20" s="196">
        <f>VAC_Optim_Scenario!$J37</f>
        <v>108241269.80027175</v>
      </c>
      <c r="J20" s="191"/>
      <c r="K20" s="54" t="s">
        <v>154</v>
      </c>
      <c r="L20" s="194" t="str">
        <f>VAC_Optim_Scenario!B18</f>
        <v>HCP MCM</v>
      </c>
      <c r="M20" s="197">
        <f t="shared" ref="M20:M27" si="3">D20/1000000</f>
        <v>21.864999999999998</v>
      </c>
      <c r="N20" s="198">
        <f t="shared" si="2"/>
        <v>108.24126980027175</v>
      </c>
      <c r="O20" s="197">
        <f t="shared" si="2"/>
        <v>21.864999999999998</v>
      </c>
      <c r="P20" s="198">
        <f t="shared" si="2"/>
        <v>108.24126980027175</v>
      </c>
      <c r="Q20" s="197">
        <f t="shared" si="2"/>
        <v>21.864999999999998</v>
      </c>
      <c r="R20" s="198">
        <f t="shared" si="2"/>
        <v>108.24126980027175</v>
      </c>
    </row>
    <row r="21" spans="2:19" x14ac:dyDescent="0.25">
      <c r="B21" s="54" t="s">
        <v>154</v>
      </c>
      <c r="C21" s="194" t="str">
        <f>VAC_Optim_Scenario!B19</f>
        <v>HCC Social</v>
      </c>
      <c r="D21" s="195">
        <f>VAC_Optim_Scenario!$H38</f>
        <v>3918750</v>
      </c>
      <c r="E21" s="196">
        <f>VAC_Optim_Scenario!$J38</f>
        <v>8726881.6604837608</v>
      </c>
      <c r="F21" s="195">
        <f>VAC_Optim_Scenario!$H38</f>
        <v>3918750</v>
      </c>
      <c r="G21" s="196">
        <f>VAC_Optim_Scenario!$J38</f>
        <v>8726881.6604837608</v>
      </c>
      <c r="H21" s="195">
        <f>VAC_Optim_Scenario!$H38</f>
        <v>3918750</v>
      </c>
      <c r="I21" s="196">
        <f>VAC_Optim_Scenario!$J38</f>
        <v>8726881.6604837608</v>
      </c>
      <c r="J21" s="199"/>
      <c r="K21" s="54" t="s">
        <v>154</v>
      </c>
      <c r="L21" s="194" t="str">
        <f>VAC_Optim_Scenario!B19</f>
        <v>HCC Social</v>
      </c>
      <c r="M21" s="197">
        <f t="shared" si="3"/>
        <v>3.9187500000000002</v>
      </c>
      <c r="N21" s="198">
        <f t="shared" si="2"/>
        <v>8.7268816604837607</v>
      </c>
      <c r="O21" s="197">
        <f t="shared" si="2"/>
        <v>3.9187500000000002</v>
      </c>
      <c r="P21" s="198">
        <f t="shared" si="2"/>
        <v>8.7268816604837607</v>
      </c>
      <c r="Q21" s="197">
        <f t="shared" si="2"/>
        <v>3.9187500000000002</v>
      </c>
      <c r="R21" s="198">
        <f t="shared" si="2"/>
        <v>8.7268816604837607</v>
      </c>
    </row>
    <row r="22" spans="2:19" x14ac:dyDescent="0.25">
      <c r="B22" s="54" t="s">
        <v>154</v>
      </c>
      <c r="C22" s="194" t="str">
        <f>VAC_Optim_Scenario!B20</f>
        <v>HCC Online Video</v>
      </c>
      <c r="D22" s="195">
        <f>VAC_Optim_Scenario!$H39</f>
        <v>3456250</v>
      </c>
      <c r="E22" s="196">
        <f>VAC_Optim_Scenario!$J39</f>
        <v>8654679.04685398</v>
      </c>
      <c r="F22" s="195">
        <f>VAC_Optim_Scenario!$H39</f>
        <v>3456250</v>
      </c>
      <c r="G22" s="196">
        <f>VAC_Optim_Scenario!$J39</f>
        <v>8654679.04685398</v>
      </c>
      <c r="H22" s="195">
        <f>VAC_Optim_Scenario!$H39</f>
        <v>3456250</v>
      </c>
      <c r="I22" s="196">
        <f>VAC_Optim_Scenario!$J39</f>
        <v>8654679.04685398</v>
      </c>
      <c r="J22" s="191"/>
      <c r="K22" s="54" t="s">
        <v>154</v>
      </c>
      <c r="L22" s="194" t="str">
        <f>VAC_Optim_Scenario!B20</f>
        <v>HCC Online Video</v>
      </c>
      <c r="M22" s="197">
        <f t="shared" si="3"/>
        <v>3.4562499999999998</v>
      </c>
      <c r="N22" s="198">
        <f t="shared" si="2"/>
        <v>8.65467904685398</v>
      </c>
      <c r="O22" s="197">
        <f t="shared" si="2"/>
        <v>3.4562499999999998</v>
      </c>
      <c r="P22" s="198">
        <f t="shared" si="2"/>
        <v>8.65467904685398</v>
      </c>
      <c r="Q22" s="197">
        <f t="shared" si="2"/>
        <v>3.4562499999999998</v>
      </c>
      <c r="R22" s="198">
        <f t="shared" si="2"/>
        <v>8.65467904685398</v>
      </c>
    </row>
    <row r="23" spans="2:19" x14ac:dyDescent="0.25">
      <c r="B23" s="54" t="s">
        <v>154</v>
      </c>
      <c r="C23" s="194" t="str">
        <f>VAC_Optim_Scenario!B21</f>
        <v>HCC Streaming Video</v>
      </c>
      <c r="D23" s="195">
        <f>VAC_Optim_Scenario!$H40</f>
        <v>7566882.5899999999</v>
      </c>
      <c r="E23" s="196">
        <f>VAC_Optim_Scenario!$J40</f>
        <v>15252355.577074772</v>
      </c>
      <c r="F23" s="195">
        <f>VAC_Optim_Scenario!$H40</f>
        <v>7566882.5899999999</v>
      </c>
      <c r="G23" s="196">
        <f>VAC_Optim_Scenario!$J40</f>
        <v>15252355.577074772</v>
      </c>
      <c r="H23" s="195">
        <f>VAC_Optim_Scenario!$H40</f>
        <v>7566882.5899999999</v>
      </c>
      <c r="I23" s="196">
        <f>VAC_Optim_Scenario!$J40</f>
        <v>15252355.577074772</v>
      </c>
      <c r="J23" s="199"/>
      <c r="K23" s="54" t="s">
        <v>154</v>
      </c>
      <c r="L23" s="194" t="str">
        <f>VAC_Optim_Scenario!B21</f>
        <v>HCC Streaming Video</v>
      </c>
      <c r="M23" s="197">
        <f t="shared" si="3"/>
        <v>7.5668825899999996</v>
      </c>
      <c r="N23" s="198">
        <f t="shared" si="2"/>
        <v>15.252355577074772</v>
      </c>
      <c r="O23" s="197">
        <f t="shared" si="2"/>
        <v>7.5668825899999996</v>
      </c>
      <c r="P23" s="198">
        <f t="shared" si="2"/>
        <v>15.252355577074772</v>
      </c>
      <c r="Q23" s="197">
        <f t="shared" si="2"/>
        <v>7.5668825899999996</v>
      </c>
      <c r="R23" s="198">
        <f t="shared" si="2"/>
        <v>15.252355577074772</v>
      </c>
    </row>
    <row r="24" spans="2:19" x14ac:dyDescent="0.25">
      <c r="B24" s="54" t="s">
        <v>154</v>
      </c>
      <c r="C24" s="194" t="str">
        <f>VAC_Optim_Scenario!B22</f>
        <v>HCC Display</v>
      </c>
      <c r="D24" s="195">
        <f>VAC_Optim_Scenario!$H41</f>
        <v>5812500.0000000009</v>
      </c>
      <c r="E24" s="196">
        <f>VAC_Optim_Scenario!$J41</f>
        <v>26304403.183464181</v>
      </c>
      <c r="F24" s="195">
        <f>VAC_Optim_Scenario!$H41</f>
        <v>5812500.0000000009</v>
      </c>
      <c r="G24" s="196">
        <f>VAC_Optim_Scenario!$J41</f>
        <v>26304403.183464181</v>
      </c>
      <c r="H24" s="195">
        <f>VAC_Optim_Scenario!$H41</f>
        <v>5812500.0000000009</v>
      </c>
      <c r="I24" s="196">
        <f>VAC_Optim_Scenario!$J41</f>
        <v>26304403.183464181</v>
      </c>
      <c r="J24" s="199"/>
      <c r="K24" s="54" t="s">
        <v>154</v>
      </c>
      <c r="L24" s="194" t="str">
        <f>VAC_Optim_Scenario!B22</f>
        <v>HCC Display</v>
      </c>
      <c r="M24" s="197">
        <f t="shared" si="3"/>
        <v>5.8125000000000009</v>
      </c>
      <c r="N24" s="198">
        <f t="shared" si="2"/>
        <v>26.304403183464181</v>
      </c>
      <c r="O24" s="197">
        <f t="shared" si="2"/>
        <v>5.8125000000000009</v>
      </c>
      <c r="P24" s="198">
        <f t="shared" si="2"/>
        <v>26.304403183464181</v>
      </c>
      <c r="Q24" s="197">
        <f t="shared" si="2"/>
        <v>5.8125000000000009</v>
      </c>
      <c r="R24" s="198">
        <f t="shared" si="2"/>
        <v>26.304403183464181</v>
      </c>
    </row>
    <row r="25" spans="2:19" x14ac:dyDescent="0.25">
      <c r="B25" s="54" t="s">
        <v>154</v>
      </c>
      <c r="C25" s="194" t="str">
        <f>VAC_Optim_Scenario!B23</f>
        <v>HCC Paid Search</v>
      </c>
      <c r="D25" s="195">
        <f>VAC_Optim_Scenario!$H42</f>
        <v>200000</v>
      </c>
      <c r="E25" s="196">
        <f>VAC_Optim_Scenario!$J42</f>
        <v>17969341.094351832</v>
      </c>
      <c r="F25" s="195">
        <f>VAC_Optim_Scenario!$H42</f>
        <v>200000</v>
      </c>
      <c r="G25" s="196">
        <f>VAC_Optim_Scenario!$J42</f>
        <v>17969341.094351832</v>
      </c>
      <c r="H25" s="195">
        <f>VAC_Optim_Scenario!$H42</f>
        <v>200000</v>
      </c>
      <c r="I25" s="196">
        <f>VAC_Optim_Scenario!$J42</f>
        <v>17969341.094351832</v>
      </c>
      <c r="J25" s="199"/>
      <c r="K25" s="54" t="s">
        <v>154</v>
      </c>
      <c r="L25" s="194" t="str">
        <f>VAC_Optim_Scenario!B23</f>
        <v>HCC Paid Search</v>
      </c>
      <c r="M25" s="197">
        <f t="shared" si="3"/>
        <v>0.2</v>
      </c>
      <c r="N25" s="198">
        <f t="shared" si="2"/>
        <v>17.969341094351833</v>
      </c>
      <c r="O25" s="197">
        <f t="shared" si="2"/>
        <v>0.2</v>
      </c>
      <c r="P25" s="198">
        <f t="shared" si="2"/>
        <v>17.969341094351833</v>
      </c>
      <c r="Q25" s="197">
        <f t="shared" si="2"/>
        <v>0.2</v>
      </c>
      <c r="R25" s="198">
        <f t="shared" si="2"/>
        <v>17.969341094351833</v>
      </c>
    </row>
    <row r="26" spans="2:19" x14ac:dyDescent="0.25">
      <c r="B26" s="54" t="s">
        <v>154</v>
      </c>
      <c r="C26" s="194" t="str">
        <f>VAC_Optim_Scenario!B24</f>
        <v>HCC Radio</v>
      </c>
      <c r="D26" s="195">
        <f>VAC_Optim_Scenario!$H43</f>
        <v>2310000</v>
      </c>
      <c r="E26" s="196">
        <f>VAC_Optim_Scenario!$J43</f>
        <v>8664714.9708767254</v>
      </c>
      <c r="F26" s="195">
        <f>VAC_Optim_Scenario!$H43</f>
        <v>2310000</v>
      </c>
      <c r="G26" s="196">
        <f>VAC_Optim_Scenario!$J43</f>
        <v>8664714.9708767254</v>
      </c>
      <c r="H26" s="195">
        <f>VAC_Optim_Scenario!$H43</f>
        <v>2310000</v>
      </c>
      <c r="I26" s="196">
        <f>VAC_Optim_Scenario!$J43</f>
        <v>8664714.9708767254</v>
      </c>
      <c r="J26" s="199"/>
      <c r="K26" s="54" t="s">
        <v>154</v>
      </c>
      <c r="L26" s="194" t="str">
        <f>VAC_Optim_Scenario!B24</f>
        <v>HCC Radio</v>
      </c>
      <c r="M26" s="197">
        <f t="shared" si="3"/>
        <v>2.31</v>
      </c>
      <c r="N26" s="198">
        <f t="shared" si="2"/>
        <v>8.6647149708767248</v>
      </c>
      <c r="O26" s="197">
        <f t="shared" si="2"/>
        <v>2.31</v>
      </c>
      <c r="P26" s="198">
        <f t="shared" si="2"/>
        <v>8.6647149708767248</v>
      </c>
      <c r="Q26" s="197">
        <f t="shared" si="2"/>
        <v>2.31</v>
      </c>
      <c r="R26" s="198">
        <f t="shared" si="2"/>
        <v>8.6647149708767248</v>
      </c>
    </row>
    <row r="27" spans="2:19" x14ac:dyDescent="0.25">
      <c r="B27" s="208" t="s">
        <v>154</v>
      </c>
      <c r="C27" s="182" t="str">
        <f>VAC_Optim_Scenario!B25</f>
        <v>HCC Linear TV</v>
      </c>
      <c r="D27" s="209">
        <f>VAC_Optim_Scenario!$H44</f>
        <v>26842192.700000003</v>
      </c>
      <c r="E27" s="209">
        <f>VAC_Optim_Scenario!$J44</f>
        <v>39131248.633482866</v>
      </c>
      <c r="F27" s="209">
        <f>VAC_Optim_Scenario!$H44</f>
        <v>26842192.700000003</v>
      </c>
      <c r="G27" s="209">
        <f>VAC_Optim_Scenario!$J44</f>
        <v>39131248.633482866</v>
      </c>
      <c r="H27" s="209">
        <f>VAC_Optim_Scenario!$H44</f>
        <v>26842192.700000003</v>
      </c>
      <c r="I27" s="209">
        <f>VAC_Optim_Scenario!$J44</f>
        <v>39131248.633482866</v>
      </c>
      <c r="J27" s="199"/>
      <c r="K27" s="208" t="s">
        <v>154</v>
      </c>
      <c r="L27" s="182" t="str">
        <f>VAC_Optim_Scenario!B25</f>
        <v>HCC Linear TV</v>
      </c>
      <c r="M27" s="202">
        <f t="shared" si="3"/>
        <v>26.842192700000002</v>
      </c>
      <c r="N27" s="202">
        <f t="shared" si="2"/>
        <v>39.131248633482869</v>
      </c>
      <c r="O27" s="202">
        <f t="shared" si="2"/>
        <v>26.842192700000002</v>
      </c>
      <c r="P27" s="202">
        <f t="shared" si="2"/>
        <v>39.131248633482869</v>
      </c>
      <c r="Q27" s="202">
        <f t="shared" si="2"/>
        <v>26.842192700000002</v>
      </c>
      <c r="R27" s="202">
        <f t="shared" si="2"/>
        <v>39.131248633482869</v>
      </c>
    </row>
    <row r="30" spans="2:19" ht="34.35" customHeight="1" x14ac:dyDescent="0.25">
      <c r="C30" s="227" t="s">
        <v>3</v>
      </c>
      <c r="D30" s="228" t="s">
        <v>218</v>
      </c>
      <c r="E30" s="200">
        <v>-0.5</v>
      </c>
      <c r="F30" s="200">
        <v>2</v>
      </c>
      <c r="G30" s="200">
        <v>-0.4</v>
      </c>
      <c r="H30" s="200">
        <v>0.4</v>
      </c>
      <c r="J30" s="97" t="s">
        <v>3</v>
      </c>
      <c r="K30" s="97" t="s">
        <v>203</v>
      </c>
      <c r="L30" s="97" t="s">
        <v>204</v>
      </c>
      <c r="M30" s="97" t="s">
        <v>205</v>
      </c>
      <c r="N30" s="97" t="s">
        <v>219</v>
      </c>
      <c r="O30" s="97" t="s">
        <v>221</v>
      </c>
      <c r="P30" s="97" t="s">
        <v>206</v>
      </c>
      <c r="Q30" s="97" t="s">
        <v>207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244" t="str">
        <f>VAC_Optim_Scenario!B17</f>
        <v>HCC InOffice</v>
      </c>
      <c r="D31" s="192">
        <f>M19</f>
        <v>0.3</v>
      </c>
      <c r="E31" s="192">
        <f>O5</f>
        <v>0.3</v>
      </c>
      <c r="F31" s="192">
        <f>Q5</f>
        <v>0.3</v>
      </c>
      <c r="G31" s="192">
        <f>O19</f>
        <v>0.3</v>
      </c>
      <c r="H31" s="192">
        <f>Q19</f>
        <v>0.3</v>
      </c>
      <c r="J31" s="201">
        <v>-0.5</v>
      </c>
      <c r="K31" s="202">
        <f>E$31</f>
        <v>0.3</v>
      </c>
      <c r="L31" s="202">
        <f>E$32</f>
        <v>21.864999999999998</v>
      </c>
      <c r="M31" s="202">
        <f>E$33</f>
        <v>3.9187500000000002</v>
      </c>
      <c r="N31" s="202">
        <f>E$34</f>
        <v>3.4562499999999998</v>
      </c>
      <c r="O31" s="202">
        <f>E$35</f>
        <v>7.5668825899999996</v>
      </c>
      <c r="P31" s="202">
        <f>E$36</f>
        <v>5.8125000000000009</v>
      </c>
      <c r="Q31" s="202">
        <f>E$37</f>
        <v>0.2</v>
      </c>
      <c r="R31" s="202">
        <f>E$38</f>
        <v>2.31</v>
      </c>
      <c r="S31" s="202">
        <f>E$39</f>
        <v>26.842192700000002</v>
      </c>
    </row>
    <row r="32" spans="2:19" x14ac:dyDescent="0.25">
      <c r="B32" s="54" t="s">
        <v>154</v>
      </c>
      <c r="C32" s="245" t="str">
        <f>VAC_Optim_Scenario!B18</f>
        <v>HCP MCM</v>
      </c>
      <c r="D32" s="197">
        <f t="shared" ref="D32:D39" si="4">M20</f>
        <v>21.864999999999998</v>
      </c>
      <c r="E32" s="197">
        <f t="shared" ref="E32:E39" si="5">O6</f>
        <v>21.864999999999998</v>
      </c>
      <c r="F32" s="197">
        <f t="shared" ref="F32:F39" si="6">Q6</f>
        <v>21.864999999999998</v>
      </c>
      <c r="G32" s="197">
        <f t="shared" ref="G32:G39" si="7">O20</f>
        <v>21.864999999999998</v>
      </c>
      <c r="H32" s="197">
        <f t="shared" ref="H32:H39" si="8">Q20</f>
        <v>21.864999999999998</v>
      </c>
      <c r="J32" s="201">
        <v>-0.4</v>
      </c>
      <c r="K32" s="202">
        <f>G$31</f>
        <v>0.3</v>
      </c>
      <c r="L32" s="202">
        <f>G$32</f>
        <v>21.864999999999998</v>
      </c>
      <c r="M32" s="202">
        <f>G$33</f>
        <v>3.9187500000000002</v>
      </c>
      <c r="N32" s="202">
        <f>G$34</f>
        <v>3.4562499999999998</v>
      </c>
      <c r="O32" s="202">
        <f>G$35</f>
        <v>7.5668825899999996</v>
      </c>
      <c r="P32" s="202">
        <f>G$36</f>
        <v>5.8125000000000009</v>
      </c>
      <c r="Q32" s="202">
        <f>G$37</f>
        <v>0.2</v>
      </c>
      <c r="R32" s="202">
        <f>G$38</f>
        <v>2.31</v>
      </c>
      <c r="S32" s="202">
        <f>G$39</f>
        <v>26.842192700000002</v>
      </c>
    </row>
    <row r="33" spans="2:22" x14ac:dyDescent="0.25">
      <c r="B33" s="54" t="s">
        <v>154</v>
      </c>
      <c r="C33" s="245" t="str">
        <f>VAC_Optim_Scenario!B19</f>
        <v>HCC Social</v>
      </c>
      <c r="D33" s="197">
        <f t="shared" si="4"/>
        <v>3.9187500000000002</v>
      </c>
      <c r="E33" s="197">
        <f t="shared" si="5"/>
        <v>3.9187500000000002</v>
      </c>
      <c r="F33" s="197">
        <f t="shared" si="6"/>
        <v>3.9187500000000002</v>
      </c>
      <c r="G33" s="197">
        <f t="shared" si="7"/>
        <v>3.9187500000000002</v>
      </c>
      <c r="H33" s="197">
        <f t="shared" si="8"/>
        <v>3.9187500000000002</v>
      </c>
      <c r="J33" s="201" t="s">
        <v>218</v>
      </c>
      <c r="K33" s="202">
        <f>D$31</f>
        <v>0.3</v>
      </c>
      <c r="L33" s="202">
        <f>D$32</f>
        <v>21.864999999999998</v>
      </c>
      <c r="M33" s="202">
        <f>D$33</f>
        <v>3.9187500000000002</v>
      </c>
      <c r="N33" s="202">
        <f>D$34</f>
        <v>3.4562499999999998</v>
      </c>
      <c r="O33" s="202">
        <f>D$35</f>
        <v>7.5668825899999996</v>
      </c>
      <c r="P33" s="202">
        <f>D$36</f>
        <v>5.8125000000000009</v>
      </c>
      <c r="Q33" s="202">
        <f>D$37</f>
        <v>0.2</v>
      </c>
      <c r="R33" s="202">
        <f>D$38</f>
        <v>2.31</v>
      </c>
      <c r="S33" s="202">
        <f>D$39</f>
        <v>26.842192700000002</v>
      </c>
    </row>
    <row r="34" spans="2:22" x14ac:dyDescent="0.25">
      <c r="B34" s="54" t="s">
        <v>154</v>
      </c>
      <c r="C34" s="245" t="str">
        <f>VAC_Optim_Scenario!B20</f>
        <v>HCC Online Video</v>
      </c>
      <c r="D34" s="197">
        <f t="shared" si="4"/>
        <v>3.4562499999999998</v>
      </c>
      <c r="E34" s="197">
        <f t="shared" si="5"/>
        <v>3.4562499999999998</v>
      </c>
      <c r="F34" s="197">
        <f t="shared" si="6"/>
        <v>3.4562499999999998</v>
      </c>
      <c r="G34" s="197">
        <f t="shared" si="7"/>
        <v>3.4562499999999998</v>
      </c>
      <c r="H34" s="197">
        <f t="shared" si="8"/>
        <v>3.4562499999999998</v>
      </c>
      <c r="J34" s="201">
        <v>0.4</v>
      </c>
      <c r="K34" s="202">
        <f>H$31</f>
        <v>0.3</v>
      </c>
      <c r="L34" s="202">
        <f>H$32</f>
        <v>21.864999999999998</v>
      </c>
      <c r="M34" s="202">
        <f>H$33</f>
        <v>3.9187500000000002</v>
      </c>
      <c r="N34" s="202">
        <f>H$34</f>
        <v>3.4562499999999998</v>
      </c>
      <c r="O34" s="202">
        <f>H$35</f>
        <v>7.5668825899999996</v>
      </c>
      <c r="P34" s="202">
        <f>H$36</f>
        <v>5.8125000000000009</v>
      </c>
      <c r="Q34" s="202">
        <f>H$37</f>
        <v>0.2</v>
      </c>
      <c r="R34" s="202">
        <f>H$38</f>
        <v>2.31</v>
      </c>
      <c r="S34" s="202">
        <f>H$39</f>
        <v>26.842192700000002</v>
      </c>
    </row>
    <row r="35" spans="2:22" x14ac:dyDescent="0.25">
      <c r="B35" s="54" t="s">
        <v>154</v>
      </c>
      <c r="C35" s="245" t="str">
        <f>VAC_Optim_Scenario!B21</f>
        <v>HCC Streaming Video</v>
      </c>
      <c r="D35" s="197">
        <f t="shared" si="4"/>
        <v>7.5668825899999996</v>
      </c>
      <c r="E35" s="197">
        <f t="shared" si="5"/>
        <v>7.5668825899999996</v>
      </c>
      <c r="F35" s="197">
        <f t="shared" si="6"/>
        <v>7.5668825899999996</v>
      </c>
      <c r="G35" s="197">
        <f t="shared" si="7"/>
        <v>7.5668825899999996</v>
      </c>
      <c r="H35" s="197">
        <f t="shared" si="8"/>
        <v>7.5668825899999996</v>
      </c>
      <c r="J35" s="200">
        <v>2</v>
      </c>
      <c r="K35" s="202">
        <f>F$31</f>
        <v>0.3</v>
      </c>
      <c r="L35" s="202">
        <f>F$32</f>
        <v>21.864999999999998</v>
      </c>
      <c r="M35" s="202">
        <f>F$33</f>
        <v>3.9187500000000002</v>
      </c>
      <c r="N35" s="202">
        <f>F$34</f>
        <v>3.4562499999999998</v>
      </c>
      <c r="O35" s="202">
        <f>F$35</f>
        <v>7.5668825899999996</v>
      </c>
      <c r="P35" s="202">
        <f>F$36</f>
        <v>5.8125000000000009</v>
      </c>
      <c r="Q35" s="202">
        <f>F$37</f>
        <v>0.2</v>
      </c>
      <c r="R35" s="202">
        <f>F$38</f>
        <v>2.31</v>
      </c>
      <c r="S35" s="202">
        <f>F$39</f>
        <v>26.842192700000002</v>
      </c>
    </row>
    <row r="36" spans="2:22" x14ac:dyDescent="0.25">
      <c r="B36" s="54" t="s">
        <v>154</v>
      </c>
      <c r="C36" s="245" t="str">
        <f>VAC_Optim_Scenario!B22</f>
        <v>HCC Display</v>
      </c>
      <c r="D36" s="197">
        <f t="shared" si="4"/>
        <v>5.8125000000000009</v>
      </c>
      <c r="E36" s="197">
        <f t="shared" si="5"/>
        <v>5.8125000000000009</v>
      </c>
      <c r="F36" s="197">
        <f t="shared" si="6"/>
        <v>5.8125000000000009</v>
      </c>
      <c r="G36" s="197">
        <f t="shared" si="7"/>
        <v>5.8125000000000009</v>
      </c>
      <c r="H36" s="197">
        <f t="shared" si="8"/>
        <v>5.8125000000000009</v>
      </c>
    </row>
    <row r="37" spans="2:22" x14ac:dyDescent="0.25">
      <c r="B37" s="54" t="s">
        <v>154</v>
      </c>
      <c r="C37" s="245" t="str">
        <f>VAC_Optim_Scenario!B23</f>
        <v>HCC Paid Search</v>
      </c>
      <c r="D37" s="197">
        <f t="shared" si="4"/>
        <v>0.2</v>
      </c>
      <c r="E37" s="197">
        <f t="shared" si="5"/>
        <v>0.2</v>
      </c>
      <c r="F37" s="197">
        <f t="shared" si="6"/>
        <v>0.2</v>
      </c>
      <c r="G37" s="197">
        <f t="shared" si="7"/>
        <v>0.2</v>
      </c>
      <c r="H37" s="197">
        <f t="shared" si="8"/>
        <v>0.2</v>
      </c>
      <c r="J37" s="218"/>
      <c r="K37" s="203"/>
      <c r="L37" s="203"/>
      <c r="M37" s="203"/>
      <c r="N37" s="203"/>
      <c r="O37" s="203"/>
      <c r="P37" s="203"/>
      <c r="Q37" s="203"/>
      <c r="R37" s="203"/>
    </row>
    <row r="38" spans="2:22" x14ac:dyDescent="0.25">
      <c r="B38" s="54" t="s">
        <v>154</v>
      </c>
      <c r="C38" s="245" t="str">
        <f>VAC_Optim_Scenario!B24</f>
        <v>HCC Radio</v>
      </c>
      <c r="D38" s="197">
        <f t="shared" si="4"/>
        <v>2.31</v>
      </c>
      <c r="E38" s="197">
        <f t="shared" si="5"/>
        <v>2.31</v>
      </c>
      <c r="F38" s="197">
        <f t="shared" si="6"/>
        <v>2.31</v>
      </c>
      <c r="G38" s="197">
        <f t="shared" si="7"/>
        <v>2.31</v>
      </c>
      <c r="H38" s="197">
        <f t="shared" si="8"/>
        <v>2.31</v>
      </c>
      <c r="J38" s="219"/>
      <c r="K38" s="204"/>
      <c r="L38" s="204"/>
      <c r="M38" s="204"/>
      <c r="N38" s="204"/>
      <c r="O38" s="204"/>
      <c r="P38" s="204"/>
      <c r="Q38" s="204"/>
      <c r="R38" s="204"/>
    </row>
    <row r="39" spans="2:22" x14ac:dyDescent="0.25">
      <c r="B39" s="97" t="s">
        <v>154</v>
      </c>
      <c r="C39" s="246" t="str">
        <f>VAC_Optim_Scenario!B25</f>
        <v>HCC Linear TV</v>
      </c>
      <c r="D39" s="197">
        <f t="shared" si="4"/>
        <v>26.842192700000002</v>
      </c>
      <c r="E39" s="197">
        <f t="shared" si="5"/>
        <v>26.842192700000002</v>
      </c>
      <c r="F39" s="197">
        <f t="shared" si="6"/>
        <v>26.842192700000002</v>
      </c>
      <c r="G39" s="197">
        <f t="shared" si="7"/>
        <v>26.842192700000002</v>
      </c>
      <c r="H39" s="197">
        <f t="shared" si="8"/>
        <v>26.842192700000002</v>
      </c>
      <c r="J39" s="218"/>
      <c r="K39" s="203"/>
      <c r="L39" s="203"/>
      <c r="M39" s="203"/>
      <c r="N39" s="203"/>
      <c r="O39" s="203"/>
      <c r="P39" s="203"/>
      <c r="Q39" s="203"/>
      <c r="R39" s="203"/>
    </row>
    <row r="40" spans="2:22" x14ac:dyDescent="0.25">
      <c r="L40" s="167"/>
      <c r="M40" s="167"/>
      <c r="O40" s="167"/>
      <c r="P40" s="167"/>
    </row>
    <row r="41" spans="2:22" x14ac:dyDescent="0.25">
      <c r="L41" s="202"/>
      <c r="M41" s="202"/>
      <c r="N41" s="202"/>
      <c r="O41" s="202"/>
      <c r="P41" s="202"/>
    </row>
    <row r="42" spans="2:22" x14ac:dyDescent="0.25">
      <c r="L42" s="202"/>
      <c r="M42" s="202"/>
      <c r="N42" s="202"/>
      <c r="O42" s="202"/>
      <c r="P42" s="202"/>
    </row>
    <row r="43" spans="2:22" x14ac:dyDescent="0.25">
      <c r="L43" s="202"/>
      <c r="M43" s="202"/>
      <c r="N43" s="202"/>
      <c r="O43" s="202"/>
      <c r="P43" s="202"/>
    </row>
    <row r="44" spans="2:22" x14ac:dyDescent="0.25">
      <c r="L44" s="202"/>
      <c r="M44" s="202"/>
      <c r="N44" s="202"/>
      <c r="O44" s="202"/>
      <c r="P44" s="202"/>
      <c r="S44" s="205"/>
      <c r="T44" s="205"/>
      <c r="V44" s="205"/>
    </row>
    <row r="45" spans="2:22" x14ac:dyDescent="0.25">
      <c r="L45" s="202"/>
      <c r="M45" s="202"/>
      <c r="N45" s="202"/>
      <c r="O45" s="202"/>
      <c r="P45" s="206"/>
      <c r="S45" s="207"/>
      <c r="T45" s="207"/>
      <c r="U45" s="207"/>
      <c r="V45" s="207"/>
    </row>
    <row r="46" spans="2:22" x14ac:dyDescent="0.25">
      <c r="L46" s="202"/>
      <c r="M46" s="202"/>
      <c r="N46" s="202"/>
      <c r="O46" s="202"/>
      <c r="P46" s="202"/>
      <c r="S46" s="207"/>
      <c r="T46" s="207"/>
      <c r="U46" s="207"/>
      <c r="V46" s="207"/>
    </row>
    <row r="47" spans="2:22" x14ac:dyDescent="0.25">
      <c r="L47" s="202"/>
      <c r="M47" s="202"/>
      <c r="N47" s="202"/>
      <c r="O47" s="202"/>
      <c r="P47" s="202"/>
    </row>
    <row r="48" spans="2:22" x14ac:dyDescent="0.25">
      <c r="L48" s="202"/>
      <c r="M48" s="202"/>
      <c r="N48" s="202"/>
      <c r="O48" s="202"/>
      <c r="P48" s="202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58"/>
  <sheetViews>
    <sheetView workbookViewId="0">
      <selection activeCell="C6" sqref="C6:L8"/>
    </sheetView>
  </sheetViews>
  <sheetFormatPr defaultColWidth="8.85546875" defaultRowHeight="15" x14ac:dyDescent="0.25"/>
  <cols>
    <col min="1" max="1" width="4.5703125" style="97" customWidth="1"/>
    <col min="2" max="2" width="12.140625" style="97" customWidth="1"/>
    <col min="3" max="3" width="13.7109375" style="97" bestFit="1" customWidth="1"/>
    <col min="4" max="4" width="12.140625" style="97" customWidth="1"/>
    <col min="5" max="5" width="16.5703125" style="97" bestFit="1" customWidth="1"/>
    <col min="6" max="6" width="13.7109375" style="97" bestFit="1" customWidth="1"/>
    <col min="7" max="7" width="18.85546875" style="97" customWidth="1"/>
    <col min="8" max="8" width="22.140625" style="97" customWidth="1"/>
    <col min="9" max="9" width="13.85546875" style="97" customWidth="1"/>
    <col min="10" max="10" width="14.42578125" style="97" customWidth="1"/>
    <col min="11" max="11" width="17.42578125" style="97" customWidth="1"/>
    <col min="12" max="15" width="12.140625" style="97" customWidth="1"/>
    <col min="16" max="16" width="11.85546875" style="97" bestFit="1" customWidth="1"/>
    <col min="17" max="17" width="0.5703125" style="97" customWidth="1"/>
    <col min="18" max="18" width="11.140625" style="97" bestFit="1" customWidth="1"/>
    <col min="19" max="19" width="8.85546875" style="97"/>
    <col min="20" max="20" width="11.85546875" style="97" bestFit="1" customWidth="1"/>
    <col min="21" max="16384" width="8.85546875" style="97"/>
  </cols>
  <sheetData>
    <row r="3" spans="2:13" x14ac:dyDescent="0.25">
      <c r="G3" s="160"/>
    </row>
    <row r="4" spans="2:13" ht="34.35" customHeight="1" x14ac:dyDescent="0.25">
      <c r="G4" s="413" t="s">
        <v>185</v>
      </c>
      <c r="H4" s="413"/>
      <c r="I4" s="414" t="s">
        <v>186</v>
      </c>
      <c r="J4" s="414"/>
      <c r="K4" s="415" t="s">
        <v>187</v>
      </c>
      <c r="L4" s="415"/>
    </row>
    <row r="5" spans="2:13" ht="42.75" customHeight="1" x14ac:dyDescent="0.25">
      <c r="B5" s="173"/>
      <c r="C5" s="216" t="s">
        <v>188</v>
      </c>
      <c r="D5" s="216" t="s">
        <v>189</v>
      </c>
      <c r="E5" s="158" t="s">
        <v>190</v>
      </c>
      <c r="F5" s="216" t="s">
        <v>256</v>
      </c>
      <c r="G5" s="238" t="s">
        <v>273</v>
      </c>
      <c r="H5" s="238" t="s">
        <v>274</v>
      </c>
      <c r="I5" s="238" t="s">
        <v>271</v>
      </c>
      <c r="J5" s="238"/>
      <c r="K5" s="238" t="s">
        <v>271</v>
      </c>
      <c r="L5" s="238"/>
      <c r="M5" s="239"/>
    </row>
    <row r="6" spans="2:13" x14ac:dyDescent="0.25">
      <c r="C6" s="160">
        <f>$C$8+E6</f>
        <v>93974304.481697485</v>
      </c>
      <c r="D6" s="161">
        <v>0.29025190623378444</v>
      </c>
      <c r="E6" s="162">
        <f t="shared" ref="E6:E8" si="0">D6*$C$8</f>
        <v>21140229.191697478</v>
      </c>
      <c r="F6" s="160"/>
      <c r="G6" s="160">
        <f>'Scenario deep dive'!P17</f>
        <v>252078108.19319174</v>
      </c>
      <c r="H6" s="365">
        <f t="shared" ref="H6:H8" si="1">0.8*G6</f>
        <v>201662486.55455339</v>
      </c>
      <c r="I6" s="160">
        <f t="shared" ref="I6:J8" si="2">G6-$F$8</f>
        <v>18509233.142465204</v>
      </c>
      <c r="J6" s="160">
        <f t="shared" si="2"/>
        <v>-31906388.496173143</v>
      </c>
      <c r="K6" s="163">
        <f t="shared" ref="K6:L8" si="3">G6/$C6</f>
        <v>2.6824152579100673</v>
      </c>
      <c r="L6" s="163">
        <f t="shared" si="3"/>
        <v>2.1459322063280539</v>
      </c>
    </row>
    <row r="7" spans="2:13" x14ac:dyDescent="0.25">
      <c r="B7" s="166"/>
      <c r="C7" s="160">
        <f>$C$8+E7</f>
        <v>83404189.807415545</v>
      </c>
      <c r="D7" s="161">
        <v>0.14512595204001724</v>
      </c>
      <c r="E7" s="162">
        <f t="shared" si="0"/>
        <v>10570114.517415546</v>
      </c>
      <c r="F7" s="160"/>
      <c r="G7" s="160">
        <f>'Scenario deep dive'!L17</f>
        <v>238569754.92192909</v>
      </c>
      <c r="H7" s="365">
        <f t="shared" si="1"/>
        <v>190855803.93754327</v>
      </c>
      <c r="I7" s="160">
        <f t="shared" si="2"/>
        <v>5000879.8712025583</v>
      </c>
      <c r="J7" s="160">
        <f t="shared" si="2"/>
        <v>-42713071.11318326</v>
      </c>
      <c r="K7" s="163">
        <f t="shared" si="3"/>
        <v>2.8604049205777144</v>
      </c>
      <c r="L7" s="163">
        <f t="shared" si="3"/>
        <v>2.2883239364621715</v>
      </c>
    </row>
    <row r="8" spans="2:13" x14ac:dyDescent="0.25">
      <c r="B8" s="164"/>
      <c r="C8" s="160">
        <f>'Scenario deep dive'!C17</f>
        <v>72834075.290000007</v>
      </c>
      <c r="D8" s="161">
        <v>0</v>
      </c>
      <c r="E8" s="162">
        <f t="shared" si="0"/>
        <v>0</v>
      </c>
      <c r="F8" s="160">
        <f>'Scenario deep dive'!D17</f>
        <v>233568875.05072653</v>
      </c>
      <c r="G8" s="160">
        <f>'Scenario deep dive'!H17</f>
        <v>236647013.59052369</v>
      </c>
      <c r="H8" s="365">
        <f t="shared" si="1"/>
        <v>189317610.87241897</v>
      </c>
      <c r="I8" s="160">
        <f t="shared" si="2"/>
        <v>3078138.539797157</v>
      </c>
      <c r="J8" s="160">
        <f t="shared" si="2"/>
        <v>-44251264.178307563</v>
      </c>
      <c r="K8" s="163">
        <f t="shared" si="3"/>
        <v>3.2491249823420896</v>
      </c>
      <c r="L8" s="163">
        <f t="shared" si="3"/>
        <v>2.5992999858736718</v>
      </c>
    </row>
    <row r="9" spans="2:13" x14ac:dyDescent="0.25">
      <c r="D9" s="165"/>
      <c r="E9" s="165"/>
    </row>
    <row r="10" spans="2:13" x14ac:dyDescent="0.25">
      <c r="F10" s="416" t="s">
        <v>191</v>
      </c>
      <c r="G10" s="416"/>
      <c r="H10" s="416" t="s">
        <v>192</v>
      </c>
      <c r="I10" s="416"/>
    </row>
    <row r="11" spans="2:13" ht="30" x14ac:dyDescent="0.25">
      <c r="C11" s="157" t="s">
        <v>188</v>
      </c>
      <c r="D11" s="157" t="s">
        <v>189</v>
      </c>
      <c r="E11" s="97" t="s">
        <v>193</v>
      </c>
      <c r="F11" s="238" t="s">
        <v>271</v>
      </c>
      <c r="G11" s="159"/>
      <c r="H11" s="238" t="s">
        <v>271</v>
      </c>
      <c r="I11" s="159"/>
    </row>
    <row r="12" spans="2:13" x14ac:dyDescent="0.25">
      <c r="C12" s="166">
        <f t="shared" ref="C12:D14" si="4">C6</f>
        <v>93974304.481697485</v>
      </c>
      <c r="D12" s="167">
        <f t="shared" si="4"/>
        <v>0.29025190623378444</v>
      </c>
      <c r="E12" s="166">
        <f>C12-C13</f>
        <v>10570114.67428194</v>
      </c>
      <c r="F12" s="168">
        <f>G6-G7</f>
        <v>13508353.271262646</v>
      </c>
      <c r="G12" s="168">
        <f>H6-H7</f>
        <v>10806682.617010117</v>
      </c>
      <c r="H12" s="163">
        <f t="shared" ref="H12:I13" si="5">F12/$E12</f>
        <v>1.2779760378692684</v>
      </c>
      <c r="I12" s="163">
        <f t="shared" si="5"/>
        <v>1.0223808302954147</v>
      </c>
    </row>
    <row r="13" spans="2:13" x14ac:dyDescent="0.25">
      <c r="C13" s="166">
        <f t="shared" si="4"/>
        <v>83404189.807415545</v>
      </c>
      <c r="D13" s="167">
        <f t="shared" si="4"/>
        <v>0.14512595204001724</v>
      </c>
      <c r="E13" s="166">
        <f>C13-C14</f>
        <v>10570114.517415538</v>
      </c>
      <c r="F13" s="168">
        <f>G7-G8</f>
        <v>1922741.3314054012</v>
      </c>
      <c r="G13" s="168">
        <f>H7-H8</f>
        <v>1538193.0651243031</v>
      </c>
      <c r="H13" s="163">
        <f t="shared" si="5"/>
        <v>0.18190354780333298</v>
      </c>
      <c r="I13" s="163">
        <f t="shared" si="5"/>
        <v>0.14552283824266468</v>
      </c>
    </row>
    <row r="14" spans="2:13" x14ac:dyDescent="0.25">
      <c r="C14" s="166">
        <f t="shared" si="4"/>
        <v>72834075.290000007</v>
      </c>
      <c r="D14" s="167">
        <f t="shared" si="4"/>
        <v>0</v>
      </c>
      <c r="E14" s="166"/>
      <c r="F14" s="168"/>
      <c r="G14" s="168"/>
      <c r="H14" s="163"/>
      <c r="I14" s="163"/>
    </row>
    <row r="15" spans="2:13" x14ac:dyDescent="0.25">
      <c r="H15" s="163"/>
    </row>
    <row r="51" spans="21:22" x14ac:dyDescent="0.25">
      <c r="U51" s="169"/>
      <c r="V51" s="169"/>
    </row>
    <row r="52" spans="21:22" x14ac:dyDescent="0.25">
      <c r="U52" s="169"/>
      <c r="V52" s="169"/>
    </row>
    <row r="53" spans="21:22" x14ac:dyDescent="0.25">
      <c r="U53" s="169"/>
      <c r="V53" s="169"/>
    </row>
    <row r="54" spans="21:22" x14ac:dyDescent="0.25">
      <c r="U54" s="169"/>
      <c r="V54" s="169"/>
    </row>
    <row r="55" spans="21:22" x14ac:dyDescent="0.25">
      <c r="U55" s="169"/>
      <c r="V55" s="169"/>
    </row>
    <row r="56" spans="21:22" x14ac:dyDescent="0.25">
      <c r="U56" s="169"/>
      <c r="V56" s="169"/>
    </row>
    <row r="57" spans="21:22" x14ac:dyDescent="0.25">
      <c r="U57" s="169"/>
      <c r="V57" s="169"/>
    </row>
    <row r="58" spans="21:22" x14ac:dyDescent="0.25">
      <c r="U58" s="169"/>
      <c r="V58" s="169"/>
    </row>
  </sheetData>
  <mergeCells count="5">
    <mergeCell ref="G4:H4"/>
    <mergeCell ref="I4:J4"/>
    <mergeCell ref="K4:L4"/>
    <mergeCell ref="F10:G10"/>
    <mergeCell ref="H10:I10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0381A-97C6-4CDF-B706-2487E56896B7}">
  <sheetPr>
    <tabColor theme="3" tint="0.79998168889431442"/>
    <pageSetUpPr autoPageBreaks="0"/>
  </sheetPr>
  <dimension ref="B3:V58"/>
  <sheetViews>
    <sheetView workbookViewId="0">
      <selection activeCell="C8" sqref="C8"/>
    </sheetView>
  </sheetViews>
  <sheetFormatPr defaultColWidth="8.85546875" defaultRowHeight="15" x14ac:dyDescent="0.25"/>
  <cols>
    <col min="1" max="1" width="4.5703125" style="97" customWidth="1"/>
    <col min="2" max="2" width="12.140625" style="97" customWidth="1"/>
    <col min="3" max="3" width="13.7109375" style="97" bestFit="1" customWidth="1"/>
    <col min="4" max="4" width="12.140625" style="97" customWidth="1"/>
    <col min="5" max="5" width="16.5703125" style="97" bestFit="1" customWidth="1"/>
    <col min="6" max="6" width="13.7109375" style="97" bestFit="1" customWidth="1"/>
    <col min="7" max="7" width="18.85546875" style="97" customWidth="1"/>
    <col min="8" max="8" width="22.140625" style="97" customWidth="1"/>
    <col min="9" max="9" width="14.42578125" style="97" bestFit="1" customWidth="1"/>
    <col min="10" max="10" width="14.42578125" style="97" customWidth="1"/>
    <col min="11" max="11" width="17.42578125" style="97" customWidth="1"/>
    <col min="12" max="15" width="12.140625" style="97" customWidth="1"/>
    <col min="16" max="16" width="11.85546875" style="97" bestFit="1" customWidth="1"/>
    <col min="17" max="17" width="0.5703125" style="97" customWidth="1"/>
    <col min="18" max="18" width="11.140625" style="97" bestFit="1" customWidth="1"/>
    <col min="19" max="19" width="8.85546875" style="97"/>
    <col min="20" max="20" width="11.85546875" style="97" bestFit="1" customWidth="1"/>
    <col min="21" max="16384" width="8.85546875" style="97"/>
  </cols>
  <sheetData>
    <row r="3" spans="2:13" x14ac:dyDescent="0.25">
      <c r="G3" s="160"/>
    </row>
    <row r="4" spans="2:13" ht="34.35" customHeight="1" x14ac:dyDescent="0.25">
      <c r="G4" s="413" t="s">
        <v>185</v>
      </c>
      <c r="H4" s="413"/>
      <c r="I4" s="414" t="s">
        <v>186</v>
      </c>
      <c r="J4" s="414"/>
      <c r="K4" s="415" t="s">
        <v>187</v>
      </c>
      <c r="L4" s="415"/>
    </row>
    <row r="5" spans="2:13" ht="42.75" customHeight="1" x14ac:dyDescent="0.25">
      <c r="B5" s="173"/>
      <c r="C5" s="216" t="s">
        <v>188</v>
      </c>
      <c r="D5" s="216" t="s">
        <v>189</v>
      </c>
      <c r="E5" s="158" t="s">
        <v>190</v>
      </c>
      <c r="F5" s="216" t="s">
        <v>256</v>
      </c>
      <c r="G5" s="238" t="s">
        <v>273</v>
      </c>
      <c r="H5" s="238" t="s">
        <v>274</v>
      </c>
      <c r="I5" s="238" t="s">
        <v>271</v>
      </c>
      <c r="J5" s="238"/>
      <c r="K5" s="238" t="s">
        <v>271</v>
      </c>
      <c r="L5" s="238"/>
      <c r="M5" s="239"/>
    </row>
    <row r="6" spans="2:13" x14ac:dyDescent="0.25">
      <c r="C6" s="160">
        <f>$C$8+E6</f>
        <v>93974304.481697485</v>
      </c>
      <c r="D6" s="161">
        <v>0.29025190623378444</v>
      </c>
      <c r="E6" s="162">
        <f t="shared" ref="E6:E8" si="0">D6*$C$8</f>
        <v>21140229.191697478</v>
      </c>
      <c r="F6" s="160"/>
      <c r="G6" s="160">
        <f>'Scenario deep dive'!P17/VAC_Optim_Scenario!$E$33</f>
        <v>1115686.0591006097</v>
      </c>
      <c r="H6" s="365">
        <f t="shared" ref="H6:H8" si="1">0.8*G6</f>
        <v>892548.84728048788</v>
      </c>
      <c r="I6" s="160">
        <f t="shared" ref="I6:J8" si="2">G6-$F$8</f>
        <v>81921.010633200058</v>
      </c>
      <c r="J6" s="160">
        <f t="shared" si="2"/>
        <v>-141216.2011869218</v>
      </c>
      <c r="K6" s="163">
        <f>G6*VAC_Optim_Scenario!$E$33/$C6</f>
        <v>2.6824152579100673</v>
      </c>
      <c r="L6" s="163">
        <f>H6*VAC_Optim_Scenario!$E$33/$C6</f>
        <v>2.1459322063280539</v>
      </c>
    </row>
    <row r="7" spans="2:13" x14ac:dyDescent="0.25">
      <c r="B7" s="166"/>
      <c r="C7" s="160">
        <f>$C$8+E7</f>
        <v>83404189.807415545</v>
      </c>
      <c r="D7" s="161">
        <v>0.14512595204001724</v>
      </c>
      <c r="E7" s="162">
        <f t="shared" si="0"/>
        <v>10570114.517415546</v>
      </c>
      <c r="F7" s="160"/>
      <c r="G7" s="160">
        <f>'Scenario deep dive'!L17/VAC_Optim_Scenario!$E$33</f>
        <v>1055898.7117019079</v>
      </c>
      <c r="H7" s="365">
        <f t="shared" si="1"/>
        <v>844718.96936152643</v>
      </c>
      <c r="I7" s="160">
        <f t="shared" si="2"/>
        <v>22133.663234498235</v>
      </c>
      <c r="J7" s="160">
        <f t="shared" si="2"/>
        <v>-189046.07910588325</v>
      </c>
      <c r="K7" s="163">
        <f>G7*VAC_Optim_Scenario!$E$33/$C7</f>
        <v>2.860404920577714</v>
      </c>
      <c r="L7" s="163">
        <f>H7*VAC_Optim_Scenario!$E$33/$C7</f>
        <v>2.2883239364621715</v>
      </c>
    </row>
    <row r="8" spans="2:13" x14ac:dyDescent="0.25">
      <c r="B8" s="164"/>
      <c r="C8" s="160">
        <f>'Scenario deep dive'!C17</f>
        <v>72834075.290000007</v>
      </c>
      <c r="D8" s="161">
        <v>0</v>
      </c>
      <c r="E8" s="162">
        <f t="shared" si="0"/>
        <v>0</v>
      </c>
      <c r="F8" s="160">
        <f>'Scenario deep dive'!D17/VAC_Optim_Scenario!$E$33</f>
        <v>1033765.0484674097</v>
      </c>
      <c r="G8" s="160">
        <f>'Scenario deep dive'!H17/VAC_Optim_Scenario!$E$33</f>
        <v>1047388.7474131349</v>
      </c>
      <c r="H8" s="365">
        <f t="shared" si="1"/>
        <v>837910.99793050799</v>
      </c>
      <c r="I8" s="160">
        <f t="shared" si="2"/>
        <v>13623.69894572522</v>
      </c>
      <c r="J8" s="160">
        <f t="shared" si="2"/>
        <v>-195854.05053690169</v>
      </c>
      <c r="K8" s="163">
        <f>G8*VAC_Optim_Scenario!$E$33/$C8</f>
        <v>3.2491249823420896</v>
      </c>
      <c r="L8" s="163">
        <f>H8*VAC_Optim_Scenario!$E$33/$C8</f>
        <v>2.5992999858736718</v>
      </c>
    </row>
    <row r="9" spans="2:13" x14ac:dyDescent="0.25">
      <c r="D9" s="368"/>
      <c r="E9" s="368"/>
    </row>
    <row r="10" spans="2:13" x14ac:dyDescent="0.25">
      <c r="F10" s="416" t="s">
        <v>191</v>
      </c>
      <c r="G10" s="416"/>
      <c r="H10" s="416" t="s">
        <v>192</v>
      </c>
      <c r="I10" s="416"/>
    </row>
    <row r="11" spans="2:13" ht="30" x14ac:dyDescent="0.25">
      <c r="C11" s="157" t="s">
        <v>188</v>
      </c>
      <c r="D11" s="157" t="s">
        <v>189</v>
      </c>
      <c r="E11" s="97" t="s">
        <v>193</v>
      </c>
      <c r="F11" s="238" t="s">
        <v>271</v>
      </c>
      <c r="G11" s="159"/>
      <c r="H11" s="238" t="s">
        <v>271</v>
      </c>
      <c r="I11" s="159"/>
    </row>
    <row r="12" spans="2:13" x14ac:dyDescent="0.25">
      <c r="C12" s="166">
        <f t="shared" ref="C12:D14" si="3">C6</f>
        <v>93974304.481697485</v>
      </c>
      <c r="D12" s="167">
        <f t="shared" si="3"/>
        <v>0.29025190623378444</v>
      </c>
      <c r="E12" s="166">
        <f>C12-C13</f>
        <v>10570114.67428194</v>
      </c>
      <c r="F12" s="168">
        <f>G6-G7</f>
        <v>59787.347398701822</v>
      </c>
      <c r="G12" s="168">
        <f>H6-H7</f>
        <v>47829.877918961458</v>
      </c>
      <c r="H12" s="163">
        <f t="shared" ref="H12:I13" si="4">F12/$E12</f>
        <v>5.6562628922248058E-3</v>
      </c>
      <c r="I12" s="163">
        <f t="shared" si="4"/>
        <v>4.5250103137798444E-3</v>
      </c>
    </row>
    <row r="13" spans="2:13" x14ac:dyDescent="0.25">
      <c r="C13" s="166">
        <f t="shared" si="3"/>
        <v>83404189.807415545</v>
      </c>
      <c r="D13" s="167">
        <f t="shared" si="3"/>
        <v>0.14512595204001724</v>
      </c>
      <c r="E13" s="166">
        <f>C13-C14</f>
        <v>10570114.517415538</v>
      </c>
      <c r="F13" s="168">
        <f>G7-G8</f>
        <v>8509.9642887730151</v>
      </c>
      <c r="G13" s="168">
        <f>H7-H8</f>
        <v>6807.9714310184354</v>
      </c>
      <c r="H13" s="163">
        <f t="shared" si="4"/>
        <v>8.0509669736802025E-4</v>
      </c>
      <c r="I13" s="163">
        <f t="shared" si="4"/>
        <v>6.4407735789441837E-4</v>
      </c>
    </row>
    <row r="14" spans="2:13" x14ac:dyDescent="0.25">
      <c r="C14" s="166">
        <f t="shared" si="3"/>
        <v>72834075.290000007</v>
      </c>
      <c r="D14" s="167">
        <f t="shared" si="3"/>
        <v>0</v>
      </c>
      <c r="E14" s="166"/>
      <c r="F14" s="168"/>
      <c r="G14" s="168"/>
      <c r="H14" s="163"/>
      <c r="I14" s="163"/>
    </row>
    <row r="15" spans="2:13" x14ac:dyDescent="0.25">
      <c r="H15" s="163"/>
    </row>
    <row r="51" spans="21:22" x14ac:dyDescent="0.25">
      <c r="U51" s="169"/>
      <c r="V51" s="169"/>
    </row>
    <row r="52" spans="21:22" x14ac:dyDescent="0.25">
      <c r="U52" s="169"/>
      <c r="V52" s="169"/>
    </row>
    <row r="53" spans="21:22" x14ac:dyDescent="0.25">
      <c r="U53" s="169"/>
      <c r="V53" s="169"/>
    </row>
    <row r="54" spans="21:22" x14ac:dyDescent="0.25">
      <c r="U54" s="169"/>
      <c r="V54" s="169"/>
    </row>
    <row r="55" spans="21:22" x14ac:dyDescent="0.25">
      <c r="U55" s="169"/>
      <c r="V55" s="169"/>
    </row>
    <row r="56" spans="21:22" x14ac:dyDescent="0.25">
      <c r="U56" s="169"/>
      <c r="V56" s="169"/>
    </row>
    <row r="57" spans="21:22" x14ac:dyDescent="0.25">
      <c r="U57" s="169"/>
      <c r="V57" s="169"/>
    </row>
    <row r="58" spans="21:22" x14ac:dyDescent="0.25">
      <c r="U58" s="169"/>
      <c r="V58" s="169"/>
    </row>
  </sheetData>
  <mergeCells count="5">
    <mergeCell ref="G4:H4"/>
    <mergeCell ref="I4:J4"/>
    <mergeCell ref="K4:L4"/>
    <mergeCell ref="F10:G10"/>
    <mergeCell ref="H10:I10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zoomScale="75" zoomScaleNormal="75" workbookViewId="0">
      <selection activeCell="C12" sqref="C12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BE83-A784-447A-8BA0-AA83322D52B1}">
  <sheetPr>
    <tabColor theme="7" tint="-0.249977111117893"/>
  </sheetPr>
  <dimension ref="B1:V48"/>
  <sheetViews>
    <sheetView topLeftCell="A9" zoomScale="80" zoomScaleNormal="80" workbookViewId="0">
      <selection activeCell="F18" sqref="F18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3.425781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185" t="s">
        <v>209</v>
      </c>
    </row>
    <row r="2" spans="2:20" ht="15.75" thickBot="1" x14ac:dyDescent="0.3"/>
    <row r="3" spans="2:20" ht="30.2" customHeight="1" x14ac:dyDescent="0.25">
      <c r="B3" s="408" t="s">
        <v>2</v>
      </c>
      <c r="C3" s="410" t="s">
        <v>3</v>
      </c>
      <c r="D3" s="411" t="s">
        <v>210</v>
      </c>
      <c r="E3" s="412"/>
      <c r="F3" s="411" t="s">
        <v>211</v>
      </c>
      <c r="G3" s="412"/>
      <c r="H3" s="411" t="s">
        <v>212</v>
      </c>
      <c r="I3" s="412"/>
      <c r="K3" s="408" t="s">
        <v>2</v>
      </c>
      <c r="L3" s="410" t="s">
        <v>3</v>
      </c>
      <c r="M3" s="411" t="s">
        <v>210</v>
      </c>
      <c r="N3" s="412"/>
      <c r="O3" s="411" t="s">
        <v>211</v>
      </c>
      <c r="P3" s="412"/>
      <c r="Q3" s="411" t="s">
        <v>212</v>
      </c>
      <c r="R3" s="412"/>
    </row>
    <row r="4" spans="2:20" ht="25.5" x14ac:dyDescent="0.25">
      <c r="B4" s="409"/>
      <c r="C4" s="409"/>
      <c r="D4" s="186" t="s">
        <v>213</v>
      </c>
      <c r="E4" s="187" t="s">
        <v>214</v>
      </c>
      <c r="F4" s="186" t="s">
        <v>213</v>
      </c>
      <c r="G4" s="187" t="s">
        <v>214</v>
      </c>
      <c r="H4" s="186" t="s">
        <v>213</v>
      </c>
      <c r="I4" s="187" t="s">
        <v>214</v>
      </c>
      <c r="K4" s="409"/>
      <c r="L4" s="409"/>
      <c r="M4" s="186" t="s">
        <v>213</v>
      </c>
      <c r="N4" s="187" t="s">
        <v>214</v>
      </c>
      <c r="O4" s="186" t="s">
        <v>213</v>
      </c>
      <c r="P4" s="187" t="s">
        <v>214</v>
      </c>
      <c r="Q4" s="186" t="s">
        <v>213</v>
      </c>
      <c r="R4" s="187" t="s">
        <v>214</v>
      </c>
    </row>
    <row r="5" spans="2:20" x14ac:dyDescent="0.25">
      <c r="B5" s="53" t="s">
        <v>154</v>
      </c>
      <c r="C5" s="188" t="str">
        <f>VAC_Optim_Scenario!B17</f>
        <v>HCC InOffice</v>
      </c>
      <c r="D5" s="189">
        <f>VAC_Optim_Scenario!$H36</f>
        <v>300000</v>
      </c>
      <c r="E5" s="190">
        <f>VAC_Optim_Scenario!$J36</f>
        <v>561023.75953849207</v>
      </c>
      <c r="F5" s="189">
        <v>2304599.9176017214</v>
      </c>
      <c r="G5" s="190">
        <v>5246917.9893056815</v>
      </c>
      <c r="H5" s="189">
        <v>2340000</v>
      </c>
      <c r="I5" s="190">
        <v>21257821.983019568</v>
      </c>
      <c r="J5" s="191"/>
      <c r="K5" s="53" t="s">
        <v>154</v>
      </c>
      <c r="L5" s="53" t="str">
        <f>VAC_Optim_Scenario!B17</f>
        <v>HCC InOffice</v>
      </c>
      <c r="M5" s="192">
        <f>D5/1000000</f>
        <v>0.3</v>
      </c>
      <c r="N5" s="193">
        <f t="shared" ref="N5:R5" si="0">E5/1000000</f>
        <v>0.56102375953849204</v>
      </c>
      <c r="O5" s="192">
        <f t="shared" si="0"/>
        <v>2.3045999176017213</v>
      </c>
      <c r="P5" s="193">
        <f t="shared" si="0"/>
        <v>5.2469179893056817</v>
      </c>
      <c r="Q5" s="192">
        <f t="shared" si="0"/>
        <v>2.34</v>
      </c>
      <c r="R5" s="193">
        <f t="shared" si="0"/>
        <v>21.257821983019568</v>
      </c>
    </row>
    <row r="6" spans="2:20" x14ac:dyDescent="0.25">
      <c r="B6" s="54" t="s">
        <v>154</v>
      </c>
      <c r="C6" s="194" t="str">
        <f>VAC_Optim_Scenario!B18</f>
        <v>HCP MCM</v>
      </c>
      <c r="D6" s="195">
        <f>VAC_Optim_Scenario!$H37</f>
        <v>21865000</v>
      </c>
      <c r="E6" s="196">
        <f>VAC_Optim_Scenario!$J37</f>
        <v>108241269.80027175</v>
      </c>
      <c r="F6" s="195">
        <v>5980821.2879999997</v>
      </c>
      <c r="G6" s="196">
        <v>43271084.653430037</v>
      </c>
      <c r="H6" s="195">
        <v>5980821.2879999997</v>
      </c>
      <c r="I6" s="196">
        <v>173084338.61372015</v>
      </c>
      <c r="J6" s="191"/>
      <c r="K6" s="54" t="s">
        <v>154</v>
      </c>
      <c r="L6" s="54" t="str">
        <f>VAC_Optim_Scenario!B18</f>
        <v>HCP MCM</v>
      </c>
      <c r="M6" s="197">
        <f t="shared" ref="M6:M13" si="1">D6/1000000</f>
        <v>21.864999999999998</v>
      </c>
      <c r="N6" s="198">
        <f t="shared" ref="N6:N13" si="2">E6/1000000</f>
        <v>108.24126980027175</v>
      </c>
      <c r="O6" s="197">
        <f t="shared" ref="O6:O13" si="3">F6/1000000</f>
        <v>5.9808212879999996</v>
      </c>
      <c r="P6" s="198">
        <f t="shared" ref="P6:P13" si="4">G6/1000000</f>
        <v>43.271084653430037</v>
      </c>
      <c r="Q6" s="197">
        <f t="shared" ref="Q6:Q13" si="5">H6/1000000</f>
        <v>5.9808212879999996</v>
      </c>
      <c r="R6" s="198">
        <f t="shared" ref="R6:R13" si="6">I6/1000000</f>
        <v>173.08433861372015</v>
      </c>
    </row>
    <row r="7" spans="2:20" x14ac:dyDescent="0.25">
      <c r="B7" s="54" t="s">
        <v>154</v>
      </c>
      <c r="C7" s="194" t="str">
        <f>VAC_Optim_Scenario!B19</f>
        <v>HCC Social</v>
      </c>
      <c r="D7" s="195">
        <f>VAC_Optim_Scenario!$H38</f>
        <v>3918750</v>
      </c>
      <c r="E7" s="196">
        <f>VAC_Optim_Scenario!$J38</f>
        <v>8726881.6604837608</v>
      </c>
      <c r="F7" s="195">
        <v>2368423.2000000002</v>
      </c>
      <c r="G7" s="196">
        <v>10014038.796038335</v>
      </c>
      <c r="H7" s="195">
        <v>2368423.2000000002</v>
      </c>
      <c r="I7" s="196">
        <v>40056155.184153341</v>
      </c>
      <c r="J7" s="199"/>
      <c r="K7" s="54" t="s">
        <v>154</v>
      </c>
      <c r="L7" s="54" t="str">
        <f>VAC_Optim_Scenario!B19</f>
        <v>HCC Social</v>
      </c>
      <c r="M7" s="197">
        <f t="shared" si="1"/>
        <v>3.9187500000000002</v>
      </c>
      <c r="N7" s="198">
        <f t="shared" si="2"/>
        <v>8.7268816604837607</v>
      </c>
      <c r="O7" s="197">
        <f t="shared" si="3"/>
        <v>2.3684232000000001</v>
      </c>
      <c r="P7" s="198">
        <f t="shared" si="4"/>
        <v>10.014038796038335</v>
      </c>
      <c r="Q7" s="197">
        <f t="shared" si="5"/>
        <v>2.3684232000000001</v>
      </c>
      <c r="R7" s="198">
        <f t="shared" si="6"/>
        <v>40.05615518415334</v>
      </c>
    </row>
    <row r="8" spans="2:20" x14ac:dyDescent="0.25">
      <c r="B8" s="54" t="s">
        <v>154</v>
      </c>
      <c r="C8" s="194" t="str">
        <f>VAC_Optim_Scenario!B20</f>
        <v>HCC Online Video</v>
      </c>
      <c r="D8" s="195">
        <f>VAC_Optim_Scenario!$H39</f>
        <v>3456250</v>
      </c>
      <c r="E8" s="196">
        <f>VAC_Optim_Scenario!$J39</f>
        <v>8654679.04685398</v>
      </c>
      <c r="F8" s="195">
        <v>468720.00002084277</v>
      </c>
      <c r="G8" s="196">
        <v>434197.29403638421</v>
      </c>
      <c r="H8" s="195">
        <v>870480</v>
      </c>
      <c r="I8" s="196">
        <v>3181635.2333120089</v>
      </c>
      <c r="J8" s="191"/>
      <c r="K8" s="54" t="s">
        <v>154</v>
      </c>
      <c r="L8" s="54" t="str">
        <f>VAC_Optim_Scenario!B20</f>
        <v>HCC Online Video</v>
      </c>
      <c r="M8" s="197">
        <f t="shared" si="1"/>
        <v>3.4562499999999998</v>
      </c>
      <c r="N8" s="198">
        <f t="shared" si="2"/>
        <v>8.65467904685398</v>
      </c>
      <c r="O8" s="197">
        <f t="shared" si="3"/>
        <v>0.46872000002084274</v>
      </c>
      <c r="P8" s="198">
        <f t="shared" si="4"/>
        <v>0.43419729403638418</v>
      </c>
      <c r="Q8" s="197">
        <f t="shared" si="5"/>
        <v>0.87048000000000003</v>
      </c>
      <c r="R8" s="198">
        <f t="shared" si="6"/>
        <v>3.1816352333120088</v>
      </c>
    </row>
    <row r="9" spans="2:20" x14ac:dyDescent="0.25">
      <c r="B9" s="54" t="s">
        <v>154</v>
      </c>
      <c r="C9" s="194" t="str">
        <f>VAC_Optim_Scenario!B21</f>
        <v>HCC Streaming Video</v>
      </c>
      <c r="D9" s="195">
        <f>VAC_Optim_Scenario!$H40</f>
        <v>7566882.5899999999</v>
      </c>
      <c r="E9" s="196">
        <f>VAC_Optim_Scenario!$J40</f>
        <v>15252355.577074772</v>
      </c>
      <c r="F9" s="195">
        <v>5499757.2028695699</v>
      </c>
      <c r="G9" s="196">
        <v>7382876.6944708871</v>
      </c>
      <c r="H9" s="195">
        <v>10213834.800000001</v>
      </c>
      <c r="I9" s="196">
        <v>42814688.994375341</v>
      </c>
      <c r="J9" s="199"/>
      <c r="K9" s="54" t="s">
        <v>154</v>
      </c>
      <c r="L9" s="54" t="str">
        <f>VAC_Optim_Scenario!B21</f>
        <v>HCC Streaming Video</v>
      </c>
      <c r="M9" s="197">
        <f t="shared" si="1"/>
        <v>7.5668825899999996</v>
      </c>
      <c r="N9" s="198">
        <f t="shared" si="2"/>
        <v>15.252355577074772</v>
      </c>
      <c r="O9" s="197">
        <f t="shared" si="3"/>
        <v>5.4997572028695698</v>
      </c>
      <c r="P9" s="198">
        <f t="shared" si="4"/>
        <v>7.3828766944708875</v>
      </c>
      <c r="Q9" s="197">
        <f t="shared" si="5"/>
        <v>10.213834800000001</v>
      </c>
      <c r="R9" s="198">
        <f t="shared" si="6"/>
        <v>42.814688994375338</v>
      </c>
    </row>
    <row r="10" spans="2:20" x14ac:dyDescent="0.25">
      <c r="B10" s="54" t="s">
        <v>154</v>
      </c>
      <c r="C10" s="194" t="str">
        <f>VAC_Optim_Scenario!B22</f>
        <v>HCC Display</v>
      </c>
      <c r="D10" s="195">
        <f>VAC_Optim_Scenario!$H41</f>
        <v>5812500.0000000009</v>
      </c>
      <c r="E10" s="196">
        <f>VAC_Optim_Scenario!$J41</f>
        <v>26304403.183464181</v>
      </c>
      <c r="F10" s="195">
        <v>2247758.2947281389</v>
      </c>
      <c r="G10" s="196">
        <v>8494262.302786056</v>
      </c>
      <c r="H10" s="195">
        <v>2714286.9</v>
      </c>
      <c r="I10" s="196">
        <v>37336940.701959558</v>
      </c>
      <c r="J10" s="199"/>
      <c r="K10" s="54" t="s">
        <v>154</v>
      </c>
      <c r="L10" s="54" t="str">
        <f>VAC_Optim_Scenario!B22</f>
        <v>HCC Display</v>
      </c>
      <c r="M10" s="197">
        <f t="shared" si="1"/>
        <v>5.8125000000000009</v>
      </c>
      <c r="N10" s="198">
        <f t="shared" si="2"/>
        <v>26.304403183464181</v>
      </c>
      <c r="O10" s="197">
        <f t="shared" si="3"/>
        <v>2.2477582947281389</v>
      </c>
      <c r="P10" s="198">
        <f t="shared" si="4"/>
        <v>8.4942623027860567</v>
      </c>
      <c r="Q10" s="197">
        <f t="shared" si="5"/>
        <v>2.7142868999999998</v>
      </c>
      <c r="R10" s="198">
        <f t="shared" si="6"/>
        <v>37.336940701959556</v>
      </c>
    </row>
    <row r="11" spans="2:20" x14ac:dyDescent="0.25">
      <c r="B11" s="54" t="s">
        <v>154</v>
      </c>
      <c r="C11" s="194" t="str">
        <f>VAC_Optim_Scenario!B23</f>
        <v>HCC Paid Search</v>
      </c>
      <c r="D11" s="195">
        <f>VAC_Optim_Scenario!$H42</f>
        <v>200000</v>
      </c>
      <c r="E11" s="196">
        <f>VAC_Optim_Scenario!$J42</f>
        <v>17969341.094351832</v>
      </c>
      <c r="F11" s="195">
        <v>1503022.5591430741</v>
      </c>
      <c r="G11" s="196">
        <v>5708578.4926482635</v>
      </c>
      <c r="H11" s="195">
        <v>1791576.8</v>
      </c>
      <c r="I11" s="196">
        <v>24930037.611909606</v>
      </c>
      <c r="J11" s="191"/>
      <c r="K11" s="54" t="s">
        <v>154</v>
      </c>
      <c r="L11" s="54" t="str">
        <f>VAC_Optim_Scenario!B23</f>
        <v>HCC Paid Search</v>
      </c>
      <c r="M11" s="197">
        <f t="shared" si="1"/>
        <v>0.2</v>
      </c>
      <c r="N11" s="198">
        <f t="shared" si="2"/>
        <v>17.969341094351833</v>
      </c>
      <c r="O11" s="197">
        <f t="shared" si="3"/>
        <v>1.5030225591430741</v>
      </c>
      <c r="P11" s="198">
        <f t="shared" si="4"/>
        <v>5.7085784926482637</v>
      </c>
      <c r="Q11" s="197">
        <f t="shared" si="5"/>
        <v>1.7915768000000001</v>
      </c>
      <c r="R11" s="198">
        <f t="shared" si="6"/>
        <v>24.930037611909604</v>
      </c>
    </row>
    <row r="12" spans="2:20" x14ac:dyDescent="0.25">
      <c r="B12" s="54" t="s">
        <v>154</v>
      </c>
      <c r="C12" s="194" t="str">
        <f>VAC_Optim_Scenario!B24</f>
        <v>HCC Radio</v>
      </c>
      <c r="D12" s="195">
        <f>VAC_Optim_Scenario!$H43</f>
        <v>2310000</v>
      </c>
      <c r="E12" s="196">
        <f>VAC_Optim_Scenario!$J43</f>
        <v>8664714.9708767254</v>
      </c>
      <c r="F12" s="195">
        <v>855611.9</v>
      </c>
      <c r="G12" s="196">
        <v>4509891.717737359</v>
      </c>
      <c r="H12" s="195">
        <v>855611.9</v>
      </c>
      <c r="I12" s="196">
        <v>18039566.870949436</v>
      </c>
      <c r="J12" s="191"/>
      <c r="K12" s="54" t="s">
        <v>154</v>
      </c>
      <c r="L12" s="54" t="str">
        <f>VAC_Optim_Scenario!B24</f>
        <v>HCC Radio</v>
      </c>
      <c r="M12" s="197">
        <f t="shared" si="1"/>
        <v>2.31</v>
      </c>
      <c r="N12" s="198">
        <f t="shared" si="2"/>
        <v>8.6647149708767248</v>
      </c>
      <c r="O12" s="197">
        <f t="shared" si="3"/>
        <v>0.85561189999999998</v>
      </c>
      <c r="P12" s="198">
        <f t="shared" si="4"/>
        <v>4.509891717737359</v>
      </c>
      <c r="Q12" s="197">
        <f t="shared" si="5"/>
        <v>0.85561189999999998</v>
      </c>
      <c r="R12" s="198">
        <f t="shared" si="6"/>
        <v>18.039566870949436</v>
      </c>
    </row>
    <row r="13" spans="2:20" x14ac:dyDescent="0.25">
      <c r="B13" s="208" t="s">
        <v>154</v>
      </c>
      <c r="C13" s="182" t="str">
        <f>VAC_Optim_Scenario!B25</f>
        <v>HCC Linear TV</v>
      </c>
      <c r="D13" s="209">
        <f>VAC_Optim_Scenario!$H44</f>
        <v>26842192.700000003</v>
      </c>
      <c r="E13" s="209">
        <f>VAC_Optim_Scenario!$J44</f>
        <v>39131248.633482866</v>
      </c>
      <c r="F13" s="209">
        <v>15717664.872</v>
      </c>
      <c r="G13" s="209">
        <v>44549150.696473777</v>
      </c>
      <c r="H13" s="209">
        <v>21525379.182791278</v>
      </c>
      <c r="I13" s="209">
        <v>202080559.00711048</v>
      </c>
      <c r="J13" s="191"/>
      <c r="K13" s="208" t="s">
        <v>154</v>
      </c>
      <c r="L13" s="208" t="str">
        <f>VAC_Optim_Scenario!B25</f>
        <v>HCC Linear TV</v>
      </c>
      <c r="M13" s="202">
        <f t="shared" si="1"/>
        <v>26.842192700000002</v>
      </c>
      <c r="N13" s="202">
        <f t="shared" si="2"/>
        <v>39.131248633482869</v>
      </c>
      <c r="O13" s="202">
        <f t="shared" si="3"/>
        <v>15.717664872</v>
      </c>
      <c r="P13" s="202">
        <f t="shared" si="4"/>
        <v>44.549150696473774</v>
      </c>
      <c r="Q13" s="202">
        <f t="shared" si="5"/>
        <v>21.525379182791276</v>
      </c>
      <c r="R13" s="202">
        <f t="shared" si="6"/>
        <v>202.08055900711048</v>
      </c>
    </row>
    <row r="14" spans="2:20" x14ac:dyDescent="0.25">
      <c r="T14" s="243"/>
    </row>
    <row r="15" spans="2:20" x14ac:dyDescent="0.25">
      <c r="C15" s="185" t="s">
        <v>215</v>
      </c>
    </row>
    <row r="17" spans="2:19" ht="38.1" customHeight="1" x14ac:dyDescent="0.25">
      <c r="C17" s="410" t="s">
        <v>3</v>
      </c>
      <c r="D17" s="411" t="s">
        <v>210</v>
      </c>
      <c r="E17" s="412"/>
      <c r="F17" s="411" t="s">
        <v>216</v>
      </c>
      <c r="G17" s="412"/>
      <c r="H17" s="411" t="s">
        <v>217</v>
      </c>
      <c r="I17" s="412"/>
      <c r="L17" s="410" t="s">
        <v>3</v>
      </c>
      <c r="M17" s="411" t="s">
        <v>210</v>
      </c>
      <c r="N17" s="412"/>
      <c r="O17" s="411" t="s">
        <v>216</v>
      </c>
      <c r="P17" s="412"/>
      <c r="Q17" s="411" t="s">
        <v>217</v>
      </c>
      <c r="R17" s="412"/>
    </row>
    <row r="18" spans="2:19" ht="25.5" x14ac:dyDescent="0.25">
      <c r="C18" s="409"/>
      <c r="D18" s="55" t="s">
        <v>213</v>
      </c>
      <c r="E18" s="55" t="s">
        <v>214</v>
      </c>
      <c r="F18" s="55" t="s">
        <v>213</v>
      </c>
      <c r="G18" s="55" t="s">
        <v>214</v>
      </c>
      <c r="H18" s="55" t="s">
        <v>213</v>
      </c>
      <c r="I18" s="55" t="s">
        <v>214</v>
      </c>
      <c r="L18" s="409"/>
      <c r="M18" s="55" t="s">
        <v>213</v>
      </c>
      <c r="N18" s="55" t="s">
        <v>214</v>
      </c>
      <c r="O18" s="55" t="s">
        <v>213</v>
      </c>
      <c r="P18" s="55" t="s">
        <v>214</v>
      </c>
      <c r="Q18" s="55" t="s">
        <v>213</v>
      </c>
      <c r="R18" s="55" t="s">
        <v>214</v>
      </c>
    </row>
    <row r="19" spans="2:19" x14ac:dyDescent="0.25">
      <c r="B19" s="53" t="s">
        <v>154</v>
      </c>
      <c r="C19" s="188" t="str">
        <f>VAC_Optim_Scenario!B17</f>
        <v>HCC InOffice</v>
      </c>
      <c r="D19" s="189">
        <f>VAC_Optim_Scenario!$H36</f>
        <v>300000</v>
      </c>
      <c r="E19" s="190">
        <f>VAC_Optim_Scenario!$J36</f>
        <v>561023.75953849207</v>
      </c>
      <c r="F19" s="189">
        <f>VAC_Optim_Scenario!$H36</f>
        <v>300000</v>
      </c>
      <c r="G19" s="190">
        <f>VAC_Optim_Scenario!$J36</f>
        <v>561023.75953849207</v>
      </c>
      <c r="H19" s="189">
        <f>VAC_Optim_Scenario!$H36</f>
        <v>300000</v>
      </c>
      <c r="I19" s="190">
        <f>VAC_Optim_Scenario!$J36</f>
        <v>561023.75953849207</v>
      </c>
      <c r="J19" s="191"/>
      <c r="K19" s="53" t="s">
        <v>154</v>
      </c>
      <c r="L19" s="188" t="str">
        <f>VAC_Optim_Scenario!B17</f>
        <v>HCC InOffice</v>
      </c>
      <c r="M19" s="192">
        <f>D19/1000000</f>
        <v>0.3</v>
      </c>
      <c r="N19" s="193">
        <f t="shared" ref="N19:R19" si="7">E19/1000000</f>
        <v>0.56102375953849204</v>
      </c>
      <c r="O19" s="192">
        <f t="shared" si="7"/>
        <v>0.3</v>
      </c>
      <c r="P19" s="193">
        <f t="shared" si="7"/>
        <v>0.56102375953849204</v>
      </c>
      <c r="Q19" s="192">
        <f t="shared" si="7"/>
        <v>0.3</v>
      </c>
      <c r="R19" s="193">
        <f t="shared" si="7"/>
        <v>0.56102375953849204</v>
      </c>
    </row>
    <row r="20" spans="2:19" x14ac:dyDescent="0.25">
      <c r="B20" s="54" t="s">
        <v>154</v>
      </c>
      <c r="C20" s="194" t="str">
        <f>VAC_Optim_Scenario!B18</f>
        <v>HCP MCM</v>
      </c>
      <c r="D20" s="195">
        <f>VAC_Optim_Scenario!$H37</f>
        <v>21865000</v>
      </c>
      <c r="E20" s="196">
        <f>VAC_Optim_Scenario!$J37</f>
        <v>108241269.80027175</v>
      </c>
      <c r="F20" s="195">
        <f>VAC_Optim_Scenario!$H37</f>
        <v>21865000</v>
      </c>
      <c r="G20" s="196">
        <f>VAC_Optim_Scenario!$J37</f>
        <v>108241269.80027175</v>
      </c>
      <c r="H20" s="195">
        <f>VAC_Optim_Scenario!$H37</f>
        <v>21865000</v>
      </c>
      <c r="I20" s="196">
        <f>VAC_Optim_Scenario!$J37</f>
        <v>108241269.80027175</v>
      </c>
      <c r="J20" s="191"/>
      <c r="K20" s="54" t="s">
        <v>154</v>
      </c>
      <c r="L20" s="194" t="str">
        <f>VAC_Optim_Scenario!B18</f>
        <v>HCP MCM</v>
      </c>
      <c r="M20" s="197">
        <f t="shared" ref="M20:M27" si="8">D20/1000000</f>
        <v>21.864999999999998</v>
      </c>
      <c r="N20" s="198">
        <f t="shared" ref="N20:N27" si="9">E20/1000000</f>
        <v>108.24126980027175</v>
      </c>
      <c r="O20" s="197">
        <f t="shared" ref="O20:O27" si="10">F20/1000000</f>
        <v>21.864999999999998</v>
      </c>
      <c r="P20" s="198">
        <f t="shared" ref="P20:P27" si="11">G20/1000000</f>
        <v>108.24126980027175</v>
      </c>
      <c r="Q20" s="197">
        <f t="shared" ref="Q20:Q27" si="12">H20/1000000</f>
        <v>21.864999999999998</v>
      </c>
      <c r="R20" s="198">
        <f t="shared" ref="R20:R27" si="13">I20/1000000</f>
        <v>108.24126980027175</v>
      </c>
    </row>
    <row r="21" spans="2:19" x14ac:dyDescent="0.25">
      <c r="B21" s="54" t="s">
        <v>154</v>
      </c>
      <c r="C21" s="194" t="str">
        <f>VAC_Optim_Scenario!B19</f>
        <v>HCC Social</v>
      </c>
      <c r="D21" s="195">
        <f>VAC_Optim_Scenario!$H38</f>
        <v>3918750</v>
      </c>
      <c r="E21" s="196">
        <f>VAC_Optim_Scenario!$J38</f>
        <v>8726881.6604837608</v>
      </c>
      <c r="F21" s="195">
        <f>VAC_Optim_Scenario!$H38</f>
        <v>3918750</v>
      </c>
      <c r="G21" s="196">
        <f>VAC_Optim_Scenario!$J38</f>
        <v>8726881.6604837608</v>
      </c>
      <c r="H21" s="195">
        <f>VAC_Optim_Scenario!$H38</f>
        <v>3918750</v>
      </c>
      <c r="I21" s="196">
        <f>VAC_Optim_Scenario!$J38</f>
        <v>8726881.6604837608</v>
      </c>
      <c r="J21" s="199"/>
      <c r="K21" s="54" t="s">
        <v>154</v>
      </c>
      <c r="L21" s="194" t="str">
        <f>VAC_Optim_Scenario!B19</f>
        <v>HCC Social</v>
      </c>
      <c r="M21" s="197">
        <f t="shared" si="8"/>
        <v>3.9187500000000002</v>
      </c>
      <c r="N21" s="198">
        <f t="shared" si="9"/>
        <v>8.7268816604837607</v>
      </c>
      <c r="O21" s="197">
        <f t="shared" si="10"/>
        <v>3.9187500000000002</v>
      </c>
      <c r="P21" s="198">
        <f t="shared" si="11"/>
        <v>8.7268816604837607</v>
      </c>
      <c r="Q21" s="197">
        <f t="shared" si="12"/>
        <v>3.9187500000000002</v>
      </c>
      <c r="R21" s="198">
        <f t="shared" si="13"/>
        <v>8.7268816604837607</v>
      </c>
    </row>
    <row r="22" spans="2:19" x14ac:dyDescent="0.25">
      <c r="B22" s="54" t="s">
        <v>154</v>
      </c>
      <c r="C22" s="194" t="str">
        <f>VAC_Optim_Scenario!B20</f>
        <v>HCC Online Video</v>
      </c>
      <c r="D22" s="195">
        <f>VAC_Optim_Scenario!$H39</f>
        <v>3456250</v>
      </c>
      <c r="E22" s="196">
        <f>VAC_Optim_Scenario!$J39</f>
        <v>8654679.04685398</v>
      </c>
      <c r="F22" s="195">
        <f>VAC_Optim_Scenario!$H39</f>
        <v>3456250</v>
      </c>
      <c r="G22" s="196">
        <f>VAC_Optim_Scenario!$J39</f>
        <v>8654679.04685398</v>
      </c>
      <c r="H22" s="195">
        <f>VAC_Optim_Scenario!$H39</f>
        <v>3456250</v>
      </c>
      <c r="I22" s="196">
        <f>VAC_Optim_Scenario!$J39</f>
        <v>8654679.04685398</v>
      </c>
      <c r="J22" s="191"/>
      <c r="K22" s="54" t="s">
        <v>154</v>
      </c>
      <c r="L22" s="194" t="str">
        <f>VAC_Optim_Scenario!B20</f>
        <v>HCC Online Video</v>
      </c>
      <c r="M22" s="197">
        <f t="shared" si="8"/>
        <v>3.4562499999999998</v>
      </c>
      <c r="N22" s="198">
        <f t="shared" si="9"/>
        <v>8.65467904685398</v>
      </c>
      <c r="O22" s="197">
        <f t="shared" si="10"/>
        <v>3.4562499999999998</v>
      </c>
      <c r="P22" s="198">
        <f t="shared" si="11"/>
        <v>8.65467904685398</v>
      </c>
      <c r="Q22" s="197">
        <f t="shared" si="12"/>
        <v>3.4562499999999998</v>
      </c>
      <c r="R22" s="198">
        <f t="shared" si="13"/>
        <v>8.65467904685398</v>
      </c>
    </row>
    <row r="23" spans="2:19" x14ac:dyDescent="0.25">
      <c r="B23" s="54" t="s">
        <v>154</v>
      </c>
      <c r="C23" s="194" t="str">
        <f>VAC_Optim_Scenario!B21</f>
        <v>HCC Streaming Video</v>
      </c>
      <c r="D23" s="195">
        <f>VAC_Optim_Scenario!$H40</f>
        <v>7566882.5899999999</v>
      </c>
      <c r="E23" s="196">
        <f>VAC_Optim_Scenario!$J40</f>
        <v>15252355.577074772</v>
      </c>
      <c r="F23" s="195">
        <f>VAC_Optim_Scenario!$H40</f>
        <v>7566882.5899999999</v>
      </c>
      <c r="G23" s="196">
        <f>VAC_Optim_Scenario!$J40</f>
        <v>15252355.577074772</v>
      </c>
      <c r="H23" s="195">
        <f>VAC_Optim_Scenario!$H40</f>
        <v>7566882.5899999999</v>
      </c>
      <c r="I23" s="196">
        <f>VAC_Optim_Scenario!$J40</f>
        <v>15252355.577074772</v>
      </c>
      <c r="J23" s="199"/>
      <c r="K23" s="54" t="s">
        <v>154</v>
      </c>
      <c r="L23" s="194" t="str">
        <f>VAC_Optim_Scenario!B21</f>
        <v>HCC Streaming Video</v>
      </c>
      <c r="M23" s="197">
        <f t="shared" si="8"/>
        <v>7.5668825899999996</v>
      </c>
      <c r="N23" s="198">
        <f t="shared" si="9"/>
        <v>15.252355577074772</v>
      </c>
      <c r="O23" s="197">
        <f t="shared" si="10"/>
        <v>7.5668825899999996</v>
      </c>
      <c r="P23" s="198">
        <f t="shared" si="11"/>
        <v>15.252355577074772</v>
      </c>
      <c r="Q23" s="197">
        <f t="shared" si="12"/>
        <v>7.5668825899999996</v>
      </c>
      <c r="R23" s="198">
        <f t="shared" si="13"/>
        <v>15.252355577074772</v>
      </c>
    </row>
    <row r="24" spans="2:19" x14ac:dyDescent="0.25">
      <c r="B24" s="54" t="s">
        <v>154</v>
      </c>
      <c r="C24" s="194" t="str">
        <f>VAC_Optim_Scenario!B22</f>
        <v>HCC Display</v>
      </c>
      <c r="D24" s="195">
        <f>VAC_Optim_Scenario!$H41</f>
        <v>5812500.0000000009</v>
      </c>
      <c r="E24" s="196">
        <f>VAC_Optim_Scenario!$J41</f>
        <v>26304403.183464181</v>
      </c>
      <c r="F24" s="195">
        <f>VAC_Optim_Scenario!$H41</f>
        <v>5812500.0000000009</v>
      </c>
      <c r="G24" s="196">
        <f>VAC_Optim_Scenario!$J41</f>
        <v>26304403.183464181</v>
      </c>
      <c r="H24" s="195">
        <f>VAC_Optim_Scenario!$H41</f>
        <v>5812500.0000000009</v>
      </c>
      <c r="I24" s="196">
        <f>VAC_Optim_Scenario!$J41</f>
        <v>26304403.183464181</v>
      </c>
      <c r="J24" s="199"/>
      <c r="K24" s="54" t="s">
        <v>154</v>
      </c>
      <c r="L24" s="194" t="str">
        <f>VAC_Optim_Scenario!B22</f>
        <v>HCC Display</v>
      </c>
      <c r="M24" s="197">
        <f t="shared" si="8"/>
        <v>5.8125000000000009</v>
      </c>
      <c r="N24" s="198">
        <f t="shared" si="9"/>
        <v>26.304403183464181</v>
      </c>
      <c r="O24" s="197">
        <f t="shared" si="10"/>
        <v>5.8125000000000009</v>
      </c>
      <c r="P24" s="198">
        <f t="shared" si="11"/>
        <v>26.304403183464181</v>
      </c>
      <c r="Q24" s="197">
        <f t="shared" si="12"/>
        <v>5.8125000000000009</v>
      </c>
      <c r="R24" s="198">
        <f t="shared" si="13"/>
        <v>26.304403183464181</v>
      </c>
    </row>
    <row r="25" spans="2:19" x14ac:dyDescent="0.25">
      <c r="B25" s="54" t="s">
        <v>154</v>
      </c>
      <c r="C25" s="194" t="str">
        <f>VAC_Optim_Scenario!B23</f>
        <v>HCC Paid Search</v>
      </c>
      <c r="D25" s="195">
        <f>VAC_Optim_Scenario!$H42</f>
        <v>200000</v>
      </c>
      <c r="E25" s="196">
        <f>VAC_Optim_Scenario!$J42</f>
        <v>17969341.094351832</v>
      </c>
      <c r="F25" s="195">
        <f>VAC_Optim_Scenario!$H42</f>
        <v>200000</v>
      </c>
      <c r="G25" s="196">
        <f>VAC_Optim_Scenario!$J42</f>
        <v>17969341.094351832</v>
      </c>
      <c r="H25" s="195">
        <f>VAC_Optim_Scenario!$H42</f>
        <v>200000</v>
      </c>
      <c r="I25" s="196">
        <f>VAC_Optim_Scenario!$J42</f>
        <v>17969341.094351832</v>
      </c>
      <c r="J25" s="199"/>
      <c r="K25" s="54" t="s">
        <v>154</v>
      </c>
      <c r="L25" s="194" t="str">
        <f>VAC_Optim_Scenario!B23</f>
        <v>HCC Paid Search</v>
      </c>
      <c r="M25" s="197">
        <f t="shared" si="8"/>
        <v>0.2</v>
      </c>
      <c r="N25" s="198">
        <f t="shared" si="9"/>
        <v>17.969341094351833</v>
      </c>
      <c r="O25" s="197">
        <f t="shared" si="10"/>
        <v>0.2</v>
      </c>
      <c r="P25" s="198">
        <f t="shared" si="11"/>
        <v>17.969341094351833</v>
      </c>
      <c r="Q25" s="197">
        <f t="shared" si="12"/>
        <v>0.2</v>
      </c>
      <c r="R25" s="198">
        <f t="shared" si="13"/>
        <v>17.969341094351833</v>
      </c>
    </row>
    <row r="26" spans="2:19" x14ac:dyDescent="0.25">
      <c r="B26" s="54" t="s">
        <v>154</v>
      </c>
      <c r="C26" s="194" t="str">
        <f>VAC_Optim_Scenario!B24</f>
        <v>HCC Radio</v>
      </c>
      <c r="D26" s="195">
        <f>VAC_Optim_Scenario!$H43</f>
        <v>2310000</v>
      </c>
      <c r="E26" s="196">
        <f>VAC_Optim_Scenario!$J43</f>
        <v>8664714.9708767254</v>
      </c>
      <c r="F26" s="195">
        <f>VAC_Optim_Scenario!$H43</f>
        <v>2310000</v>
      </c>
      <c r="G26" s="196">
        <f>VAC_Optim_Scenario!$J43</f>
        <v>8664714.9708767254</v>
      </c>
      <c r="H26" s="195">
        <f>VAC_Optim_Scenario!$H43</f>
        <v>2310000</v>
      </c>
      <c r="I26" s="196">
        <f>VAC_Optim_Scenario!$J43</f>
        <v>8664714.9708767254</v>
      </c>
      <c r="J26" s="199"/>
      <c r="K26" s="54" t="s">
        <v>154</v>
      </c>
      <c r="L26" s="194" t="str">
        <f>VAC_Optim_Scenario!B24</f>
        <v>HCC Radio</v>
      </c>
      <c r="M26" s="197">
        <f t="shared" si="8"/>
        <v>2.31</v>
      </c>
      <c r="N26" s="198">
        <f t="shared" si="9"/>
        <v>8.6647149708767248</v>
      </c>
      <c r="O26" s="197">
        <f t="shared" si="10"/>
        <v>2.31</v>
      </c>
      <c r="P26" s="198">
        <f t="shared" si="11"/>
        <v>8.6647149708767248</v>
      </c>
      <c r="Q26" s="197">
        <f t="shared" si="12"/>
        <v>2.31</v>
      </c>
      <c r="R26" s="198">
        <f t="shared" si="13"/>
        <v>8.6647149708767248</v>
      </c>
    </row>
    <row r="27" spans="2:19" x14ac:dyDescent="0.25">
      <c r="B27" s="208" t="s">
        <v>154</v>
      </c>
      <c r="C27" s="182" t="str">
        <f>VAC_Optim_Scenario!B25</f>
        <v>HCC Linear TV</v>
      </c>
      <c r="D27" s="209">
        <f>VAC_Optim_Scenario!$H44</f>
        <v>26842192.700000003</v>
      </c>
      <c r="E27" s="209">
        <f>VAC_Optim_Scenario!$J44</f>
        <v>39131248.633482866</v>
      </c>
      <c r="F27" s="209">
        <f>VAC_Optim_Scenario!$H44</f>
        <v>26842192.700000003</v>
      </c>
      <c r="G27" s="209">
        <f>VAC_Optim_Scenario!$J44</f>
        <v>39131248.633482866</v>
      </c>
      <c r="H27" s="209">
        <f>VAC_Optim_Scenario!$H44</f>
        <v>26842192.700000003</v>
      </c>
      <c r="I27" s="209">
        <f>VAC_Optim_Scenario!$J44</f>
        <v>39131248.633482866</v>
      </c>
      <c r="J27" s="199"/>
      <c r="K27" s="208" t="s">
        <v>154</v>
      </c>
      <c r="L27" s="182" t="str">
        <f>VAC_Optim_Scenario!B25</f>
        <v>HCC Linear TV</v>
      </c>
      <c r="M27" s="202">
        <f t="shared" si="8"/>
        <v>26.842192700000002</v>
      </c>
      <c r="N27" s="202">
        <f t="shared" si="9"/>
        <v>39.131248633482869</v>
      </c>
      <c r="O27" s="202">
        <f t="shared" si="10"/>
        <v>26.842192700000002</v>
      </c>
      <c r="P27" s="202">
        <f t="shared" si="11"/>
        <v>39.131248633482869</v>
      </c>
      <c r="Q27" s="202">
        <f t="shared" si="12"/>
        <v>26.842192700000002</v>
      </c>
      <c r="R27" s="202">
        <f t="shared" si="13"/>
        <v>39.131248633482869</v>
      </c>
    </row>
    <row r="30" spans="2:19" ht="34.35" customHeight="1" x14ac:dyDescent="0.25">
      <c r="C30" s="141" t="s">
        <v>3</v>
      </c>
      <c r="D30" s="142" t="s">
        <v>218</v>
      </c>
      <c r="E30" s="200">
        <v>-0.5</v>
      </c>
      <c r="F30" s="200">
        <v>2</v>
      </c>
      <c r="G30" s="200">
        <v>-0.4</v>
      </c>
      <c r="H30" s="200">
        <v>0.4</v>
      </c>
      <c r="J30" s="97" t="s">
        <v>3</v>
      </c>
      <c r="K30" s="97" t="s">
        <v>224</v>
      </c>
      <c r="L30" s="97" t="s">
        <v>204</v>
      </c>
      <c r="M30" s="97" t="s">
        <v>205</v>
      </c>
      <c r="N30" s="97" t="s">
        <v>219</v>
      </c>
      <c r="O30" s="97" t="s">
        <v>221</v>
      </c>
      <c r="P30" s="97" t="s">
        <v>206</v>
      </c>
      <c r="Q30" s="97" t="s">
        <v>207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244" t="str">
        <f>VAC_Optim_Scenario!B17</f>
        <v>HCC InOffice</v>
      </c>
      <c r="D31" s="192">
        <f>M19</f>
        <v>0.3</v>
      </c>
      <c r="E31" s="192">
        <f>O5</f>
        <v>2.3045999176017213</v>
      </c>
      <c r="F31" s="192">
        <f>Q5</f>
        <v>2.34</v>
      </c>
      <c r="G31" s="192">
        <f>O19</f>
        <v>0.3</v>
      </c>
      <c r="H31" s="192">
        <f>Q19</f>
        <v>0.3</v>
      </c>
      <c r="J31" s="201">
        <v>-0.5</v>
      </c>
      <c r="K31" s="202">
        <f>E$31</f>
        <v>2.3045999176017213</v>
      </c>
      <c r="L31" s="202">
        <f>E$32</f>
        <v>5.9808212879999996</v>
      </c>
      <c r="M31" s="202">
        <f>E$33</f>
        <v>2.3684232000000001</v>
      </c>
      <c r="N31" s="202">
        <f>E$34</f>
        <v>0.46872000002084274</v>
      </c>
      <c r="O31" s="202">
        <f>E$35</f>
        <v>5.4997572028695698</v>
      </c>
      <c r="P31" s="202">
        <f>E$36</f>
        <v>2.2477582947281389</v>
      </c>
      <c r="Q31" s="202">
        <f>E$37</f>
        <v>1.5030225591430741</v>
      </c>
      <c r="R31" s="202">
        <f>E$38</f>
        <v>0.85561189999999998</v>
      </c>
      <c r="S31" s="202">
        <f>E$39</f>
        <v>15.717664872</v>
      </c>
    </row>
    <row r="32" spans="2:19" x14ac:dyDescent="0.25">
      <c r="B32" s="54" t="s">
        <v>154</v>
      </c>
      <c r="C32" s="245" t="str">
        <f>VAC_Optim_Scenario!B18</f>
        <v>HCP MCM</v>
      </c>
      <c r="D32" s="197">
        <f t="shared" ref="D32:D39" si="14">M20</f>
        <v>21.864999999999998</v>
      </c>
      <c r="E32" s="197">
        <f t="shared" ref="E32:E39" si="15">O6</f>
        <v>5.9808212879999996</v>
      </c>
      <c r="F32" s="197">
        <f t="shared" ref="F32:F39" si="16">Q6</f>
        <v>5.9808212879999996</v>
      </c>
      <c r="G32" s="197">
        <f t="shared" ref="G32:G39" si="17">O20</f>
        <v>21.864999999999998</v>
      </c>
      <c r="H32" s="197">
        <f t="shared" ref="H32:H39" si="18">Q20</f>
        <v>21.864999999999998</v>
      </c>
      <c r="J32" s="201">
        <v>-0.4</v>
      </c>
      <c r="K32" s="202">
        <f>G$31</f>
        <v>0.3</v>
      </c>
      <c r="L32" s="202">
        <f>G$32</f>
        <v>21.864999999999998</v>
      </c>
      <c r="M32" s="202">
        <f>G$33</f>
        <v>3.9187500000000002</v>
      </c>
      <c r="N32" s="202">
        <f>G$34</f>
        <v>3.4562499999999998</v>
      </c>
      <c r="O32" s="202">
        <f>G$35</f>
        <v>7.5668825899999996</v>
      </c>
      <c r="P32" s="202">
        <f>G$36</f>
        <v>5.8125000000000009</v>
      </c>
      <c r="Q32" s="202">
        <f>G$37</f>
        <v>0.2</v>
      </c>
      <c r="R32" s="202">
        <f>G$38</f>
        <v>2.31</v>
      </c>
      <c r="S32" s="202">
        <f>G$39</f>
        <v>26.842192700000002</v>
      </c>
    </row>
    <row r="33" spans="2:22" x14ac:dyDescent="0.25">
      <c r="B33" s="54" t="s">
        <v>154</v>
      </c>
      <c r="C33" s="245" t="str">
        <f>VAC_Optim_Scenario!B19</f>
        <v>HCC Social</v>
      </c>
      <c r="D33" s="197">
        <f t="shared" si="14"/>
        <v>3.9187500000000002</v>
      </c>
      <c r="E33" s="197">
        <f t="shared" si="15"/>
        <v>2.3684232000000001</v>
      </c>
      <c r="F33" s="197">
        <f t="shared" si="16"/>
        <v>2.3684232000000001</v>
      </c>
      <c r="G33" s="197">
        <f t="shared" si="17"/>
        <v>3.9187500000000002</v>
      </c>
      <c r="H33" s="197">
        <f t="shared" si="18"/>
        <v>3.9187500000000002</v>
      </c>
      <c r="J33" s="201" t="s">
        <v>218</v>
      </c>
      <c r="K33" s="202">
        <f>D$31</f>
        <v>0.3</v>
      </c>
      <c r="L33" s="202">
        <f>D$32</f>
        <v>21.864999999999998</v>
      </c>
      <c r="M33" s="202">
        <f>D$33</f>
        <v>3.9187500000000002</v>
      </c>
      <c r="N33" s="202">
        <f>D$34</f>
        <v>3.4562499999999998</v>
      </c>
      <c r="O33" s="202">
        <f>D$35</f>
        <v>7.5668825899999996</v>
      </c>
      <c r="P33" s="202">
        <f>D$36</f>
        <v>5.8125000000000009</v>
      </c>
      <c r="Q33" s="202">
        <f>D$37</f>
        <v>0.2</v>
      </c>
      <c r="R33" s="202">
        <f>D$38</f>
        <v>2.31</v>
      </c>
      <c r="S33" s="202">
        <f>D$39</f>
        <v>26.842192700000002</v>
      </c>
    </row>
    <row r="34" spans="2:22" x14ac:dyDescent="0.25">
      <c r="B34" s="54" t="s">
        <v>154</v>
      </c>
      <c r="C34" s="245" t="str">
        <f>VAC_Optim_Scenario!B20</f>
        <v>HCC Online Video</v>
      </c>
      <c r="D34" s="197">
        <f t="shared" si="14"/>
        <v>3.4562499999999998</v>
      </c>
      <c r="E34" s="197">
        <f t="shared" si="15"/>
        <v>0.46872000002084274</v>
      </c>
      <c r="F34" s="197">
        <f t="shared" si="16"/>
        <v>0.87048000000000003</v>
      </c>
      <c r="G34" s="197">
        <f t="shared" si="17"/>
        <v>3.4562499999999998</v>
      </c>
      <c r="H34" s="197">
        <f t="shared" si="18"/>
        <v>3.4562499999999998</v>
      </c>
      <c r="J34" s="201">
        <v>0.4</v>
      </c>
      <c r="K34" s="202">
        <f>H$31</f>
        <v>0.3</v>
      </c>
      <c r="L34" s="202">
        <f>H$32</f>
        <v>21.864999999999998</v>
      </c>
      <c r="M34" s="202">
        <f>H$33</f>
        <v>3.9187500000000002</v>
      </c>
      <c r="N34" s="202">
        <f>H$34</f>
        <v>3.4562499999999998</v>
      </c>
      <c r="O34" s="202">
        <f>H$35</f>
        <v>7.5668825899999996</v>
      </c>
      <c r="P34" s="202">
        <f>H$36</f>
        <v>5.8125000000000009</v>
      </c>
      <c r="Q34" s="202">
        <f>H$37</f>
        <v>0.2</v>
      </c>
      <c r="R34" s="202">
        <f>H$38</f>
        <v>2.31</v>
      </c>
      <c r="S34" s="202">
        <f>H$39</f>
        <v>26.842192700000002</v>
      </c>
    </row>
    <row r="35" spans="2:22" x14ac:dyDescent="0.25">
      <c r="B35" s="54" t="s">
        <v>154</v>
      </c>
      <c r="C35" s="245" t="str">
        <f>VAC_Optim_Scenario!B21</f>
        <v>HCC Streaming Video</v>
      </c>
      <c r="D35" s="197">
        <f t="shared" si="14"/>
        <v>7.5668825899999996</v>
      </c>
      <c r="E35" s="197">
        <f t="shared" si="15"/>
        <v>5.4997572028695698</v>
      </c>
      <c r="F35" s="197">
        <f t="shared" si="16"/>
        <v>10.213834800000001</v>
      </c>
      <c r="G35" s="197">
        <f t="shared" si="17"/>
        <v>7.5668825899999996</v>
      </c>
      <c r="H35" s="197">
        <f t="shared" si="18"/>
        <v>7.5668825899999996</v>
      </c>
      <c r="J35" s="200">
        <v>2</v>
      </c>
      <c r="K35" s="202">
        <f>F$31</f>
        <v>2.34</v>
      </c>
      <c r="L35" s="202">
        <f>F$32</f>
        <v>5.9808212879999996</v>
      </c>
      <c r="M35" s="202">
        <f>F$33</f>
        <v>2.3684232000000001</v>
      </c>
      <c r="N35" s="202">
        <f>F$34</f>
        <v>0.87048000000000003</v>
      </c>
      <c r="O35" s="202">
        <f>F$35</f>
        <v>10.213834800000001</v>
      </c>
      <c r="P35" s="202">
        <f>F$36</f>
        <v>2.7142868999999998</v>
      </c>
      <c r="Q35" s="202">
        <f>F$37</f>
        <v>1.7915768000000001</v>
      </c>
      <c r="R35" s="202">
        <f>F$38</f>
        <v>0.85561189999999998</v>
      </c>
      <c r="S35" s="202">
        <f>F$39</f>
        <v>21.525379182791276</v>
      </c>
    </row>
    <row r="36" spans="2:22" x14ac:dyDescent="0.25">
      <c r="B36" s="54" t="s">
        <v>154</v>
      </c>
      <c r="C36" s="245" t="str">
        <f>VAC_Optim_Scenario!B22</f>
        <v>HCC Display</v>
      </c>
      <c r="D36" s="197">
        <f t="shared" si="14"/>
        <v>5.8125000000000009</v>
      </c>
      <c r="E36" s="197">
        <f t="shared" si="15"/>
        <v>2.2477582947281389</v>
      </c>
      <c r="F36" s="197">
        <f t="shared" si="16"/>
        <v>2.7142868999999998</v>
      </c>
      <c r="G36" s="197">
        <f t="shared" si="17"/>
        <v>5.8125000000000009</v>
      </c>
      <c r="H36" s="197">
        <f t="shared" si="18"/>
        <v>5.8125000000000009</v>
      </c>
    </row>
    <row r="37" spans="2:22" x14ac:dyDescent="0.25">
      <c r="B37" s="54" t="s">
        <v>154</v>
      </c>
      <c r="C37" s="245" t="str">
        <f>VAC_Optim_Scenario!B23</f>
        <v>HCC Paid Search</v>
      </c>
      <c r="D37" s="197">
        <f t="shared" si="14"/>
        <v>0.2</v>
      </c>
      <c r="E37" s="197">
        <f t="shared" si="15"/>
        <v>1.5030225591430741</v>
      </c>
      <c r="F37" s="197">
        <f t="shared" si="16"/>
        <v>1.7915768000000001</v>
      </c>
      <c r="G37" s="197">
        <f t="shared" si="17"/>
        <v>0.2</v>
      </c>
      <c r="H37" s="197">
        <f t="shared" si="18"/>
        <v>0.2</v>
      </c>
      <c r="J37" s="218"/>
      <c r="K37" s="203"/>
      <c r="L37" s="203"/>
      <c r="M37" s="203"/>
      <c r="N37" s="203"/>
      <c r="O37" s="203"/>
      <c r="P37" s="203"/>
      <c r="Q37" s="203"/>
      <c r="R37" s="203"/>
    </row>
    <row r="38" spans="2:22" x14ac:dyDescent="0.25">
      <c r="B38" s="54" t="s">
        <v>154</v>
      </c>
      <c r="C38" s="245" t="str">
        <f>VAC_Optim_Scenario!B24</f>
        <v>HCC Radio</v>
      </c>
      <c r="D38" s="197">
        <f t="shared" si="14"/>
        <v>2.31</v>
      </c>
      <c r="E38" s="197">
        <f t="shared" si="15"/>
        <v>0.85561189999999998</v>
      </c>
      <c r="F38" s="197">
        <f t="shared" si="16"/>
        <v>0.85561189999999998</v>
      </c>
      <c r="G38" s="197">
        <f t="shared" si="17"/>
        <v>2.31</v>
      </c>
      <c r="H38" s="197">
        <f t="shared" si="18"/>
        <v>2.31</v>
      </c>
      <c r="J38" s="219"/>
      <c r="K38" s="204"/>
      <c r="L38" s="204"/>
      <c r="M38" s="204"/>
      <c r="N38" s="204"/>
      <c r="O38" s="204"/>
      <c r="P38" s="204"/>
      <c r="Q38" s="204"/>
      <c r="R38" s="204"/>
    </row>
    <row r="39" spans="2:22" x14ac:dyDescent="0.25">
      <c r="B39" s="97" t="s">
        <v>154</v>
      </c>
      <c r="C39" s="246" t="str">
        <f>VAC_Optim_Scenario!B25</f>
        <v>HCC Linear TV</v>
      </c>
      <c r="D39" s="197">
        <f t="shared" si="14"/>
        <v>26.842192700000002</v>
      </c>
      <c r="E39" s="197">
        <f t="shared" si="15"/>
        <v>15.717664872</v>
      </c>
      <c r="F39" s="197">
        <f t="shared" si="16"/>
        <v>21.525379182791276</v>
      </c>
      <c r="G39" s="197">
        <f t="shared" si="17"/>
        <v>26.842192700000002</v>
      </c>
      <c r="H39" s="197">
        <f t="shared" si="18"/>
        <v>26.842192700000002</v>
      </c>
      <c r="J39" s="218"/>
      <c r="K39" s="203"/>
      <c r="L39" s="203"/>
      <c r="M39" s="203"/>
      <c r="N39" s="203"/>
      <c r="O39" s="203"/>
      <c r="P39" s="203"/>
      <c r="Q39" s="203"/>
      <c r="R39" s="203"/>
    </row>
    <row r="40" spans="2:22" x14ac:dyDescent="0.25">
      <c r="L40" s="167"/>
      <c r="M40" s="167"/>
      <c r="O40" s="167"/>
      <c r="P40" s="167"/>
    </row>
    <row r="41" spans="2:22" x14ac:dyDescent="0.25">
      <c r="L41" s="202"/>
      <c r="M41" s="202"/>
      <c r="N41" s="202"/>
      <c r="O41" s="202"/>
      <c r="P41" s="202"/>
    </row>
    <row r="42" spans="2:22" x14ac:dyDescent="0.25">
      <c r="L42" s="202"/>
      <c r="M42" s="202"/>
      <c r="N42" s="202"/>
      <c r="O42" s="202"/>
      <c r="P42" s="202"/>
    </row>
    <row r="43" spans="2:22" x14ac:dyDescent="0.25">
      <c r="L43" s="202"/>
      <c r="M43" s="202"/>
      <c r="N43" s="202"/>
      <c r="O43" s="202"/>
      <c r="P43" s="202"/>
    </row>
    <row r="44" spans="2:22" x14ac:dyDescent="0.25">
      <c r="L44" s="202"/>
      <c r="M44" s="202"/>
      <c r="N44" s="202"/>
      <c r="O44" s="202"/>
      <c r="P44" s="202"/>
      <c r="S44" s="205"/>
      <c r="T44" s="205"/>
      <c r="V44" s="205"/>
    </row>
    <row r="45" spans="2:22" x14ac:dyDescent="0.25">
      <c r="L45" s="202"/>
      <c r="M45" s="202"/>
      <c r="N45" s="202"/>
      <c r="O45" s="202"/>
      <c r="P45" s="206"/>
      <c r="S45" s="207"/>
      <c r="T45" s="207"/>
      <c r="U45" s="207"/>
      <c r="V45" s="207"/>
    </row>
    <row r="46" spans="2:22" x14ac:dyDescent="0.25">
      <c r="L46" s="202"/>
      <c r="M46" s="202"/>
      <c r="N46" s="202"/>
      <c r="O46" s="202"/>
      <c r="P46" s="202"/>
      <c r="S46" s="207"/>
      <c r="T46" s="207"/>
      <c r="U46" s="207"/>
      <c r="V46" s="207"/>
    </row>
    <row r="47" spans="2:22" x14ac:dyDescent="0.25">
      <c r="L47" s="202"/>
      <c r="M47" s="202"/>
      <c r="N47" s="202"/>
      <c r="O47" s="202"/>
      <c r="P47" s="202"/>
    </row>
    <row r="48" spans="2:22" x14ac:dyDescent="0.25">
      <c r="L48" s="202"/>
      <c r="M48" s="202"/>
      <c r="N48" s="202"/>
      <c r="O48" s="202"/>
      <c r="P48" s="202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T27"/>
  <sheetViews>
    <sheetView showGridLines="0" zoomScale="80" zoomScaleNormal="80" workbookViewId="0">
      <selection activeCell="C24" sqref="C24"/>
    </sheetView>
  </sheetViews>
  <sheetFormatPr defaultColWidth="8.85546875" defaultRowHeight="15" x14ac:dyDescent="0.25"/>
  <cols>
    <col min="1" max="1" width="8.85546875" style="97"/>
    <col min="2" max="2" width="15.85546875" style="97" bestFit="1" customWidth="1"/>
    <col min="3" max="3" width="21.85546875" style="97" bestFit="1" customWidth="1"/>
    <col min="4" max="4" width="14.28515625" style="97" bestFit="1" customWidth="1"/>
    <col min="5" max="5" width="20.42578125" style="97" bestFit="1" customWidth="1"/>
    <col min="6" max="6" width="18.42578125" style="97" bestFit="1" customWidth="1"/>
    <col min="7" max="7" width="9.42578125" style="97" bestFit="1" customWidth="1"/>
    <col min="8" max="8" width="10.85546875" style="97" hidden="1" customWidth="1"/>
    <col min="9" max="9" width="16" style="97" bestFit="1" customWidth="1"/>
    <col min="10" max="11" width="15.28515625" style="97" bestFit="1" customWidth="1"/>
    <col min="12" max="12" width="11.42578125" style="97" customWidth="1"/>
    <col min="13" max="13" width="8.85546875" style="97"/>
    <col min="14" max="14" width="14.28515625" style="97" bestFit="1" customWidth="1"/>
    <col min="15" max="15" width="9.85546875" style="97" bestFit="1" customWidth="1"/>
    <col min="16" max="16" width="8.85546875" style="97"/>
    <col min="17" max="18" width="10" style="97" bestFit="1" customWidth="1"/>
    <col min="19" max="16384" width="8.85546875" style="97"/>
  </cols>
  <sheetData>
    <row r="2" spans="1:20" x14ac:dyDescent="0.25">
      <c r="D2" s="417">
        <v>2023</v>
      </c>
      <c r="E2" s="417"/>
      <c r="F2" s="417"/>
      <c r="G2" s="417"/>
      <c r="H2" s="417"/>
      <c r="I2" s="417"/>
      <c r="J2" s="283"/>
      <c r="K2" s="283"/>
      <c r="N2" s="97" t="s">
        <v>255</v>
      </c>
    </row>
    <row r="3" spans="1:20" ht="63" x14ac:dyDescent="0.25">
      <c r="B3" s="309" t="s">
        <v>2</v>
      </c>
      <c r="C3" s="310" t="s">
        <v>3</v>
      </c>
      <c r="D3" s="310" t="s">
        <v>319</v>
      </c>
      <c r="E3" s="310" t="s">
        <v>320</v>
      </c>
      <c r="F3" s="310" t="s">
        <v>321</v>
      </c>
      <c r="G3" s="310" t="s">
        <v>322</v>
      </c>
      <c r="H3" s="310" t="s">
        <v>201</v>
      </c>
      <c r="I3" s="310" t="s">
        <v>202</v>
      </c>
      <c r="J3" s="310" t="s">
        <v>251</v>
      </c>
      <c r="K3" s="310" t="s">
        <v>252</v>
      </c>
      <c r="L3" s="311" t="s">
        <v>192</v>
      </c>
      <c r="N3" s="289">
        <v>4647854</v>
      </c>
      <c r="O3"/>
    </row>
    <row r="4" spans="1:20" x14ac:dyDescent="0.25">
      <c r="A4" s="97" t="s">
        <v>257</v>
      </c>
      <c r="B4" s="320" t="s">
        <v>223</v>
      </c>
      <c r="C4" s="321" t="str">
        <f>VAC_Optim_Scenario!B17</f>
        <v>HCC InOffice</v>
      </c>
      <c r="D4" s="389">
        <f>VAC_Optim_Scenario!E17</f>
        <v>300000</v>
      </c>
      <c r="E4" s="322">
        <f>VAC_Optim_Scenario!F17</f>
        <v>2483.0652365162969</v>
      </c>
      <c r="F4" s="391">
        <f>VAC_Optim_Scenario!G36</f>
        <v>561023.75953849207</v>
      </c>
      <c r="G4" s="324">
        <f t="shared" ref="G4:G12" si="0">F4/D4</f>
        <v>1.8700791984616403</v>
      </c>
      <c r="H4" s="325" t="e">
        <f>E4/#REF!</f>
        <v>#REF!</v>
      </c>
      <c r="I4" s="323">
        <f>(D4/E4)</f>
        <v>120.81841249603876</v>
      </c>
      <c r="J4" s="326">
        <f>E4/N$3</f>
        <v>5.3423907818883653E-4</v>
      </c>
      <c r="K4" s="326">
        <f>J4*0.54</f>
        <v>2.8848910222197173E-4</v>
      </c>
      <c r="L4" s="393">
        <f ca="1">(VLOOKUP($Q4,INDIRECT("'"&amp;A4&amp;"'!"&amp;"A20:E42"),5,0)-VLOOKUP($R4,INDIRECT("'"&amp;A4&amp;"'!"&amp;"A20:E42"),5,0))/(Q4-R4)</f>
        <v>1.7005353318546541</v>
      </c>
      <c r="M4"/>
      <c r="O4" s="97">
        <v>0</v>
      </c>
      <c r="P4" s="97">
        <v>200000</v>
      </c>
      <c r="Q4" s="355" cm="1">
        <f t="array" aca="1" ref="Q4" ca="1">MAX(_xlfn._xlws.FILTER(INDIRECT("'"&amp;A4&amp;"'!"&amp;"A20:A42"),INDIRECT("'"&amp;A4&amp;"'!"&amp;"A20:A42")&lt;$D4))</f>
        <v>200000</v>
      </c>
      <c r="R4" s="355" cm="1">
        <f t="array" aca="1" ref="R4" ca="1">MIN(_xlfn._xlws.FILTER(INDIRECT("'"&amp;A4&amp;"'!"&amp;"A20:A42"),INDIRECT("'"&amp;A4&amp;"'!"&amp;"A20:A42")&gt;=$D4))</f>
        <v>400000</v>
      </c>
      <c r="S4" s="355"/>
      <c r="T4" s="355"/>
    </row>
    <row r="5" spans="1:20" x14ac:dyDescent="0.25">
      <c r="A5" s="97" t="s">
        <v>258</v>
      </c>
      <c r="B5" s="327" t="s">
        <v>223</v>
      </c>
      <c r="C5" s="328" t="str">
        <f>VAC_Optim_Scenario!B18</f>
        <v>HCP MCM</v>
      </c>
      <c r="D5" s="389">
        <f>VAC_Optim_Scenario!E18</f>
        <v>21865000</v>
      </c>
      <c r="E5" s="329">
        <f>VAC_Optim_Scenario!F18</f>
        <v>479070.85863623861</v>
      </c>
      <c r="F5" s="391">
        <f>VAC_Optim_Scenario!G37</f>
        <v>108241269.80027175</v>
      </c>
      <c r="G5" s="330">
        <f t="shared" si="0"/>
        <v>4.9504353899049507</v>
      </c>
      <c r="H5" s="331" t="e">
        <f>E5/#REF!</f>
        <v>#REF!</v>
      </c>
      <c r="I5" s="323">
        <f t="shared" ref="I5:I13" si="1">(D5/E5)</f>
        <v>45.640430023739405</v>
      </c>
      <c r="J5" s="326">
        <f t="shared" ref="J5:J13" si="2">E5/N$3</f>
        <v>0.10307356010671562</v>
      </c>
      <c r="K5" s="326">
        <f t="shared" ref="K5:K13" si="3">J5*0.54</f>
        <v>5.5659722457626438E-2</v>
      </c>
      <c r="L5" s="393">
        <f ca="1">(VLOOKUP($Q5,INDIRECT("'"&amp;A5&amp;"'!"&amp;"A20:E42"),5,0)-VLOOKUP($R5,INDIRECT("'"&amp;A5&amp;"'!"&amp;"A20:E42"),5,0))/(Q5-R5)</f>
        <v>5.9586080709351945</v>
      </c>
      <c r="M5"/>
      <c r="N5" s="290"/>
      <c r="O5" s="97">
        <v>0</v>
      </c>
      <c r="P5" s="97">
        <v>625000</v>
      </c>
      <c r="Q5" s="355" cm="1">
        <f t="array" aca="1" ref="Q5" ca="1">MAX(_xlfn._xlws.FILTER(INDIRECT("'"&amp;A5&amp;"'!"&amp;"A20:A42"),INDIRECT("'"&amp;A5&amp;"'!"&amp;"A20:A42")&lt;$D5))</f>
        <v>12500000</v>
      </c>
      <c r="R5" s="355" cm="1">
        <f t="array" aca="1" ref="R5" ca="1">MIN(_xlfn._xlws.FILTER(INDIRECT("'"&amp;A5&amp;"'!"&amp;"A20:A42"),INDIRECT("'"&amp;A5&amp;"'!"&amp;"A20:A42")&gt;=$D5))</f>
        <v>0</v>
      </c>
      <c r="S5" s="355"/>
      <c r="T5" s="355"/>
    </row>
    <row r="6" spans="1:20" x14ac:dyDescent="0.25">
      <c r="A6" s="97" t="s">
        <v>259</v>
      </c>
      <c r="B6" s="327" t="s">
        <v>223</v>
      </c>
      <c r="C6" s="328" t="str">
        <f>VAC_Optim_Scenario!B19</f>
        <v>HCC Social</v>
      </c>
      <c r="D6" s="389">
        <f>VAC_Optim_Scenario!E19</f>
        <v>3135000</v>
      </c>
      <c r="E6" s="329">
        <f>VAC_Optim_Scenario!F19</f>
        <v>33784.691267997114</v>
      </c>
      <c r="F6" s="391">
        <f>VAC_Optim_Scenario!G38</f>
        <v>7633313.1450912682</v>
      </c>
      <c r="G6" s="330">
        <f t="shared" si="0"/>
        <v>2.4348686268233712</v>
      </c>
      <c r="H6" s="331" t="e">
        <f>E6/#REF!</f>
        <v>#REF!</v>
      </c>
      <c r="I6" s="323">
        <f t="shared" si="1"/>
        <v>92.79350742416463</v>
      </c>
      <c r="J6" s="326">
        <f t="shared" si="2"/>
        <v>7.2688796309000056E-3</v>
      </c>
      <c r="K6" s="326">
        <f t="shared" si="3"/>
        <v>3.9251950006860036E-3</v>
      </c>
      <c r="L6" s="393">
        <f t="shared" ref="L6:L12" ca="1" si="4">(VLOOKUP($Q6,INDIRECT("'"&amp;A6&amp;"'!"&amp;"A20:E42"),3,0)-VLOOKUP($R6,INDIRECT("'"&amp;A6&amp;"'!"&amp;"A20:E42"),3,0))/(Q6-R6)</f>
        <v>1.4630079490173906</v>
      </c>
      <c r="M6"/>
      <c r="O6" s="97">
        <v>0</v>
      </c>
      <c r="P6" s="97">
        <v>250000</v>
      </c>
      <c r="Q6" s="355" cm="1">
        <f t="array" aca="1" ref="Q6" ca="1">MAX(_xlfn._xlws.FILTER(INDIRECT("'"&amp;A6&amp;"'!"&amp;"A20:A42"),INDIRECT("'"&amp;A6&amp;"'!"&amp;"A20:A42")&lt;$D6))</f>
        <v>3000000</v>
      </c>
      <c r="R6" s="355" cm="1">
        <f t="array" aca="1" ref="R6" ca="1">MIN(_xlfn._xlws.FILTER(INDIRECT("'"&amp;A6&amp;"'!"&amp;"A20:A42"),INDIRECT("'"&amp;A6&amp;"'!"&amp;"A20:A42")&gt;=$D6))</f>
        <v>3250000</v>
      </c>
      <c r="S6" s="355"/>
      <c r="T6" s="355"/>
    </row>
    <row r="7" spans="1:20" x14ac:dyDescent="0.25">
      <c r="A7" s="218" t="s">
        <v>260</v>
      </c>
      <c r="B7" s="327" t="s">
        <v>223</v>
      </c>
      <c r="C7" s="328" t="str">
        <f>VAC_Optim_Scenario!B20</f>
        <v>HCC Online Video</v>
      </c>
      <c r="D7" s="389">
        <f>VAC_Optim_Scenario!E20</f>
        <v>2765000</v>
      </c>
      <c r="E7" s="329">
        <f>VAC_Optim_Scenario!F20</f>
        <v>35600.519694157876</v>
      </c>
      <c r="F7" s="391">
        <f>VAC_Optim_Scenario!G39</f>
        <v>8043581.4196980307</v>
      </c>
      <c r="G7" s="330">
        <f t="shared" si="0"/>
        <v>2.9090710378654721</v>
      </c>
      <c r="H7" s="331" t="e">
        <f>E7/#REF!</f>
        <v>#REF!</v>
      </c>
      <c r="I7" s="323">
        <f t="shared" si="1"/>
        <v>77.667405525367727</v>
      </c>
      <c r="J7" s="326">
        <f t="shared" si="2"/>
        <v>7.6595606691083401E-3</v>
      </c>
      <c r="K7" s="326">
        <f t="shared" si="3"/>
        <v>4.1361627613185036E-3</v>
      </c>
      <c r="L7" s="393">
        <f ca="1">(VLOOKUP($Q7,INDIRECT("'"&amp;A7&amp;"'!"&amp;"A20:E42"),5,0)-VLOOKUP($R7,INDIRECT("'"&amp;A7&amp;"'!"&amp;"A20:E42"),5,0))/(Q7-R7)</f>
        <v>1.1349493917021667</v>
      </c>
      <c r="M7"/>
      <c r="O7" s="97">
        <v>0</v>
      </c>
      <c r="P7" s="97">
        <v>200000</v>
      </c>
      <c r="Q7" s="355" cm="1">
        <f t="array" aca="1" ref="Q7" ca="1">MAX(_xlfn._xlws.FILTER(INDIRECT("'"&amp;A7&amp;"'!"&amp;"A20:A42"),INDIRECT("'"&amp;A7&amp;"'!"&amp;"A20:A42")&lt;$D7))</f>
        <v>2600000</v>
      </c>
      <c r="R7" s="355" cm="1">
        <f t="array" aca="1" ref="R7" ca="1">MIN(_xlfn._xlws.FILTER(INDIRECT("'"&amp;A7&amp;"'!"&amp;"A20:A42"),INDIRECT("'"&amp;A7&amp;"'!"&amp;"A20:A42")&gt;=$D7))</f>
        <v>2800000</v>
      </c>
      <c r="S7" s="355"/>
      <c r="T7" s="355"/>
    </row>
    <row r="8" spans="1:20" x14ac:dyDescent="0.25">
      <c r="A8" s="218" t="s">
        <v>261</v>
      </c>
      <c r="B8" s="327" t="s">
        <v>223</v>
      </c>
      <c r="C8" s="328" t="str">
        <f>VAC_Optim_Scenario!B21</f>
        <v>HCC Streaming Video</v>
      </c>
      <c r="D8" s="389">
        <f>VAC_Optim_Scenario!E21</f>
        <v>7566882.5899999999</v>
      </c>
      <c r="E8" s="329">
        <f>VAC_Optim_Scenario!F21</f>
        <v>67506.221019185497</v>
      </c>
      <c r="F8" s="391">
        <f>VAC_Optim_Scenario!G40</f>
        <v>15252355.577074772</v>
      </c>
      <c r="G8" s="330">
        <f t="shared" si="0"/>
        <v>2.0156722924750405</v>
      </c>
      <c r="H8" s="331" t="e">
        <f>E8/#REF!</f>
        <v>#REF!</v>
      </c>
      <c r="I8" s="323">
        <f t="shared" si="1"/>
        <v>112.0916335673636</v>
      </c>
      <c r="J8" s="326">
        <f t="shared" si="2"/>
        <v>1.4524169868327512E-2</v>
      </c>
      <c r="K8" s="326">
        <f t="shared" si="3"/>
        <v>7.843051728896858E-3</v>
      </c>
      <c r="L8" s="393">
        <f t="shared" ca="1" si="4"/>
        <v>1.3943826104749839</v>
      </c>
      <c r="M8"/>
      <c r="O8" s="97">
        <v>0</v>
      </c>
      <c r="P8" s="97">
        <v>750000</v>
      </c>
      <c r="Q8" s="355" cm="1">
        <f t="array" aca="1" ref="Q8" ca="1">MAX(_xlfn._xlws.FILTER(INDIRECT("'"&amp;A8&amp;"'!"&amp;"A20:A42"),INDIRECT("'"&amp;A8&amp;"'!"&amp;"A20:A42")&lt;$D8))</f>
        <v>7500000</v>
      </c>
      <c r="R8" s="355" cm="1">
        <f t="array" aca="1" ref="R8" ca="1">MIN(_xlfn._xlws.FILTER(INDIRECT("'"&amp;A8&amp;"'!"&amp;"A20:A42"),INDIRECT("'"&amp;A8&amp;"'!"&amp;"A20:A42")&gt;=$D8))</f>
        <v>8250000</v>
      </c>
      <c r="S8" s="355"/>
      <c r="T8" s="355"/>
    </row>
    <row r="9" spans="1:20" x14ac:dyDescent="0.25">
      <c r="A9" s="218" t="s">
        <v>262</v>
      </c>
      <c r="B9" s="327" t="s">
        <v>223</v>
      </c>
      <c r="C9" s="328" t="str">
        <f>VAC_Optim_Scenario!B22</f>
        <v>HCC Display</v>
      </c>
      <c r="D9" s="389">
        <f>VAC_Optim_Scenario!E22</f>
        <v>4650000</v>
      </c>
      <c r="E9" s="329">
        <f>VAC_Optim_Scenario!F22</f>
        <v>101833.18338855471</v>
      </c>
      <c r="F9" s="391">
        <f>VAC_Optim_Scenario!G41</f>
        <v>23008189.454810049</v>
      </c>
      <c r="G9" s="330">
        <f t="shared" si="0"/>
        <v>4.9479977322172148</v>
      </c>
      <c r="H9" s="331" t="e">
        <f>E9/#REF!</f>
        <v>#REF!</v>
      </c>
      <c r="I9" s="323">
        <f t="shared" si="1"/>
        <v>45.662915026995272</v>
      </c>
      <c r="J9" s="326">
        <f t="shared" si="2"/>
        <v>2.1909720784808368E-2</v>
      </c>
      <c r="K9" s="326">
        <f t="shared" si="3"/>
        <v>1.183124922379652E-2</v>
      </c>
      <c r="L9" s="393">
        <f t="shared" ca="1" si="4"/>
        <v>2.975410183145121</v>
      </c>
      <c r="M9"/>
      <c r="O9" s="97">
        <v>0</v>
      </c>
      <c r="P9" s="97">
        <v>250000</v>
      </c>
      <c r="Q9" s="355" cm="1">
        <f t="array" aca="1" ref="Q9" ca="1">MAX(_xlfn._xlws.FILTER(INDIRECT("'"&amp;A9&amp;"'!"&amp;"A20:A42"),INDIRECT("'"&amp;A9&amp;"'!"&amp;"A20:A42")&lt;$D9))</f>
        <v>4500000</v>
      </c>
      <c r="R9" s="355" cm="1">
        <f t="array" aca="1" ref="R9" ca="1">MIN(_xlfn._xlws.FILTER(INDIRECT("'"&amp;A9&amp;"'!"&amp;"A20:A42"),INDIRECT("'"&amp;A9&amp;"'!"&amp;"A20:A42")&gt;=$D9))</f>
        <v>4750000</v>
      </c>
      <c r="S9" s="355"/>
      <c r="T9" s="355"/>
    </row>
    <row r="10" spans="1:20" x14ac:dyDescent="0.25">
      <c r="A10" s="97" t="s">
        <v>263</v>
      </c>
      <c r="B10" s="327" t="s">
        <v>223</v>
      </c>
      <c r="C10" s="328" t="str">
        <f>VAC_Optim_Scenario!B23</f>
        <v>HCC Paid Search</v>
      </c>
      <c r="D10" s="389">
        <f>VAC_Optim_Scenario!E23</f>
        <v>200000</v>
      </c>
      <c r="E10" s="329">
        <f>VAC_Optim_Scenario!F23</f>
        <v>79531.473375019181</v>
      </c>
      <c r="F10" s="391">
        <f>VAC_Optim_Scenario!G42</f>
        <v>17969341.094351832</v>
      </c>
      <c r="G10" s="330">
        <f t="shared" si="0"/>
        <v>89.846705471759165</v>
      </c>
      <c r="H10" s="331" t="e">
        <f>E10/#REF!</f>
        <v>#REF!</v>
      </c>
      <c r="I10" s="323">
        <f t="shared" si="1"/>
        <v>2.5147277110902859</v>
      </c>
      <c r="J10" s="326">
        <f t="shared" si="2"/>
        <v>1.7111439682705003E-2</v>
      </c>
      <c r="K10" s="326">
        <f t="shared" si="3"/>
        <v>9.2401774286607029E-3</v>
      </c>
      <c r="L10" s="393">
        <f t="shared" ca="1" si="4"/>
        <v>84.028991834438983</v>
      </c>
      <c r="M10"/>
      <c r="O10" s="97">
        <v>0</v>
      </c>
      <c r="P10" s="97">
        <v>250000</v>
      </c>
      <c r="Q10" s="355" cm="1">
        <f t="array" aca="1" ref="Q10" ca="1">MAX(_xlfn._xlws.FILTER(INDIRECT("'"&amp;A10&amp;"'!"&amp;"A20:A42"),INDIRECT("'"&amp;A10&amp;"'!"&amp;"A20:A42")&lt;$D10))</f>
        <v>0</v>
      </c>
      <c r="R10" s="355" cm="1">
        <f t="array" aca="1" ref="R10" ca="1">MIN(_xlfn._xlws.FILTER(INDIRECT("'"&amp;A10&amp;"'!"&amp;"A20:A42"),INDIRECT("'"&amp;A10&amp;"'!"&amp;"A20:A42")&gt;=$D10))</f>
        <v>250000</v>
      </c>
      <c r="S10" s="355"/>
      <c r="T10" s="355"/>
    </row>
    <row r="11" spans="1:20" x14ac:dyDescent="0.25">
      <c r="A11" s="97" t="s">
        <v>264</v>
      </c>
      <c r="B11" s="327" t="s">
        <v>223</v>
      </c>
      <c r="C11" s="328" t="str">
        <f>VAC_Optim_Scenario!B24</f>
        <v>HCC Radio</v>
      </c>
      <c r="D11" s="389">
        <f>VAC_Optim_Scenario!E24</f>
        <v>2310000</v>
      </c>
      <c r="E11" s="329">
        <f>VAC_Optim_Scenario!F24</f>
        <v>38349.628090983118</v>
      </c>
      <c r="F11" s="391">
        <f>VAC_Optim_Scenario!G43</f>
        <v>8664714.9708767254</v>
      </c>
      <c r="G11" s="330">
        <f t="shared" si="0"/>
        <v>3.7509588618513963</v>
      </c>
      <c r="H11" s="331" t="e">
        <f>E11/#REF!</f>
        <v>#REF!</v>
      </c>
      <c r="I11" s="323">
        <f t="shared" si="1"/>
        <v>60.235264720680156</v>
      </c>
      <c r="J11" s="326">
        <f t="shared" si="2"/>
        <v>8.2510397467267949E-3</v>
      </c>
      <c r="K11" s="326">
        <f t="shared" si="3"/>
        <v>4.4555614632324691E-3</v>
      </c>
      <c r="L11" s="393">
        <f t="shared" ca="1" si="4"/>
        <v>1.4762639152371884</v>
      </c>
      <c r="M11"/>
      <c r="O11" s="97">
        <v>0</v>
      </c>
      <c r="P11" s="97">
        <v>250000</v>
      </c>
      <c r="Q11" s="355" cm="1">
        <f t="array" aca="1" ref="Q11" ca="1">MAX(_xlfn._xlws.FILTER(INDIRECT("'"&amp;A11&amp;"'!"&amp;"A20:A42"),INDIRECT("'"&amp;A11&amp;"'!"&amp;"A20:A42")&lt;$D11))</f>
        <v>2250000</v>
      </c>
      <c r="R11" s="355" cm="1">
        <f t="array" aca="1" ref="R11" ca="1">MIN(_xlfn._xlws.FILTER(INDIRECT("'"&amp;A11&amp;"'!"&amp;"A20:A42"),INDIRECT("'"&amp;A11&amp;"'!"&amp;"A20:A42")&gt;=$D11))</f>
        <v>2500000</v>
      </c>
      <c r="S11" s="355"/>
      <c r="T11" s="355"/>
    </row>
    <row r="12" spans="1:20" x14ac:dyDescent="0.25">
      <c r="A12" s="97" t="s">
        <v>265</v>
      </c>
      <c r="B12" s="327" t="s">
        <v>223</v>
      </c>
      <c r="C12" s="328" t="str">
        <f>VAC_Optim_Scenario!B25</f>
        <v>HCC Linear TV</v>
      </c>
      <c r="D12" s="389">
        <f>VAC_Optim_Scenario!E25</f>
        <v>26842192.700000003</v>
      </c>
      <c r="E12" s="329">
        <f>VAC_Optim_Scenario!F25</f>
        <v>173193.09831584877</v>
      </c>
      <c r="F12" s="391">
        <f>VAC_Optim_Scenario!G44</f>
        <v>39131248.633482866</v>
      </c>
      <c r="G12" s="330">
        <f t="shared" si="0"/>
        <v>1.4578260826464771</v>
      </c>
      <c r="H12" s="331" t="e">
        <f>E12/#REF!</f>
        <v>#REF!</v>
      </c>
      <c r="I12" s="323">
        <f t="shared" si="1"/>
        <v>154.98419371797621</v>
      </c>
      <c r="J12" s="326">
        <f t="shared" si="2"/>
        <v>3.7263024681035324E-2</v>
      </c>
      <c r="K12" s="326">
        <f t="shared" si="3"/>
        <v>2.0122033327759078E-2</v>
      </c>
      <c r="L12" s="393">
        <f t="shared" ca="1" si="4"/>
        <v>1.0273854514533429</v>
      </c>
      <c r="M12"/>
      <c r="O12" s="97">
        <v>0</v>
      </c>
      <c r="P12" s="97">
        <v>1500000</v>
      </c>
      <c r="Q12" s="355" cm="1">
        <f t="array" aca="1" ref="Q12" ca="1">MAX(_xlfn._xlws.FILTER(INDIRECT("'"&amp;A12&amp;"'!"&amp;"A20:A42"),INDIRECT("'"&amp;A12&amp;"'!"&amp;"A20:A42")&lt;$D12))</f>
        <v>25500000</v>
      </c>
      <c r="R12" s="355" cm="1">
        <f t="array" aca="1" ref="R12" ca="1">MIN(_xlfn._xlws.FILTER(INDIRECT("'"&amp;A12&amp;"'!"&amp;"A20:A42"),INDIRECT("'"&amp;A12&amp;"'!"&amp;"A20:A42")&gt;=$D12))</f>
        <v>27000000</v>
      </c>
      <c r="S12" s="355"/>
      <c r="T12" s="355"/>
    </row>
    <row r="13" spans="1:20" x14ac:dyDescent="0.25">
      <c r="A13" s="97" t="s">
        <v>266</v>
      </c>
      <c r="B13" s="327" t="s">
        <v>223</v>
      </c>
      <c r="C13" s="328" t="str">
        <f>VAC_Optim_Scenario!B26</f>
        <v>HCC Pharmacy</v>
      </c>
      <c r="D13" s="389">
        <f>VAC_Optim_Scenario!E26</f>
        <v>3200000</v>
      </c>
      <c r="E13" s="329">
        <f>VAC_Optim_Scenario!F26</f>
        <v>22412.309442908503</v>
      </c>
      <c r="F13" s="391">
        <f>VAC_Optim_Scenario!G45</f>
        <v>5063837.1955307471</v>
      </c>
      <c r="G13" s="330">
        <f t="shared" ref="G13" si="5">F13/D13</f>
        <v>1.5824491236033584</v>
      </c>
      <c r="H13" s="331" t="e">
        <f>E13/#REF!</f>
        <v>#REF!</v>
      </c>
      <c r="I13" s="323">
        <f t="shared" si="1"/>
        <v>142.77868187352351</v>
      </c>
      <c r="J13" s="326">
        <f t="shared" si="2"/>
        <v>4.822076907516566E-3</v>
      </c>
      <c r="K13" s="326">
        <f t="shared" si="3"/>
        <v>2.6039215300589459E-3</v>
      </c>
      <c r="L13" s="393">
        <f ca="1">(VLOOKUP($Q13,INDIRECT("'"&amp;A13&amp;"'!"&amp;"A20:E42"),5,0)-VLOOKUP($R13,INDIRECT("'"&amp;A13&amp;"'!"&amp;"A20:E42"),5,0))/(Q13-R13)</f>
        <v>1.1322085520510514</v>
      </c>
      <c r="M13"/>
      <c r="O13" s="97">
        <v>0</v>
      </c>
      <c r="P13" s="97">
        <v>200000</v>
      </c>
      <c r="Q13" s="355" cm="1">
        <f t="array" aca="1" ref="Q13" ca="1">MAX(_xlfn._xlws.FILTER(INDIRECT("'"&amp;A13&amp;"'!"&amp;"A20:A42"),INDIRECT("'"&amp;A13&amp;"'!"&amp;"A20:A42")&lt;$D13))</f>
        <v>3000000</v>
      </c>
      <c r="R13" s="355" cm="1">
        <f t="array" aca="1" ref="R13" ca="1">MIN(_xlfn._xlws.FILTER(INDIRECT("'"&amp;A13&amp;"'!"&amp;"A20:A42"),INDIRECT("'"&amp;A13&amp;"'!"&amp;"A20:A42")&gt;=$D13))</f>
        <v>3200000</v>
      </c>
      <c r="S13" s="355"/>
      <c r="T13" s="355"/>
    </row>
    <row r="14" spans="1:20" x14ac:dyDescent="0.25">
      <c r="B14" s="318" t="s">
        <v>154</v>
      </c>
      <c r="C14" s="319" t="s">
        <v>208</v>
      </c>
      <c r="D14" s="390">
        <f>SUM(D4:D13)</f>
        <v>72834075.290000007</v>
      </c>
      <c r="E14" s="312">
        <f>SUM(E4:E13)</f>
        <v>1033765.0484674097</v>
      </c>
      <c r="F14" s="392">
        <f>SUM(F4:F13)</f>
        <v>233568875.05072653</v>
      </c>
      <c r="G14" s="313">
        <f>F14/D14</f>
        <v>3.2068626411571279</v>
      </c>
      <c r="H14" s="314" t="e">
        <f>SUM(H4:H12)</f>
        <v>#REF!</v>
      </c>
      <c r="I14" s="315">
        <f>(D14/E14)</f>
        <v>70.455153613462642</v>
      </c>
      <c r="J14" s="316">
        <f>SUM(J4:J13)</f>
        <v>0.2224177111560324</v>
      </c>
      <c r="K14" s="359">
        <f>SUM(K4:K13)</f>
        <v>0.12010556402425751</v>
      </c>
      <c r="L14" s="317"/>
    </row>
    <row r="15" spans="1:20" x14ac:dyDescent="0.25">
      <c r="G15" s="183"/>
      <c r="H15" s="184"/>
    </row>
    <row r="17" spans="5:6" ht="25.5" x14ac:dyDescent="0.25">
      <c r="E17" s="180" t="s">
        <v>3</v>
      </c>
      <c r="F17" s="181" t="s">
        <v>254</v>
      </c>
    </row>
    <row r="18" spans="5:6" x14ac:dyDescent="0.25">
      <c r="E18" s="291" t="s">
        <v>207</v>
      </c>
      <c r="F18" s="217">
        <f t="shared" ref="F18:F25" si="6">VLOOKUP(E18,$C$4:$I$13,7,0)</f>
        <v>2.5147277110902859</v>
      </c>
    </row>
    <row r="19" spans="5:6" x14ac:dyDescent="0.25">
      <c r="E19" s="292" t="s">
        <v>204</v>
      </c>
      <c r="F19" s="217">
        <f t="shared" si="6"/>
        <v>45.640430023739405</v>
      </c>
    </row>
    <row r="20" spans="5:6" x14ac:dyDescent="0.25">
      <c r="E20" s="292" t="s">
        <v>206</v>
      </c>
      <c r="F20" s="217">
        <f t="shared" si="6"/>
        <v>45.662915026995272</v>
      </c>
    </row>
    <row r="21" spans="5:6" x14ac:dyDescent="0.25">
      <c r="E21" s="292" t="s">
        <v>177</v>
      </c>
      <c r="F21" s="217">
        <f t="shared" si="6"/>
        <v>60.235264720680156</v>
      </c>
    </row>
    <row r="22" spans="5:6" x14ac:dyDescent="0.25">
      <c r="E22" s="292" t="s">
        <v>219</v>
      </c>
      <c r="F22" s="217">
        <f t="shared" si="6"/>
        <v>77.667405525367727</v>
      </c>
    </row>
    <row r="23" spans="5:6" x14ac:dyDescent="0.25">
      <c r="E23" s="292" t="s">
        <v>205</v>
      </c>
      <c r="F23" s="217">
        <f t="shared" si="6"/>
        <v>92.79350742416463</v>
      </c>
    </row>
    <row r="24" spans="5:6" x14ac:dyDescent="0.25">
      <c r="E24" s="292" t="s">
        <v>221</v>
      </c>
      <c r="F24" s="217">
        <f t="shared" si="6"/>
        <v>112.0916335673636</v>
      </c>
    </row>
    <row r="25" spans="5:6" x14ac:dyDescent="0.25">
      <c r="E25" s="288" t="s">
        <v>230</v>
      </c>
      <c r="F25" s="217">
        <f t="shared" si="6"/>
        <v>142.77868187352351</v>
      </c>
    </row>
    <row r="26" spans="5:6" x14ac:dyDescent="0.25">
      <c r="E26" s="292" t="s">
        <v>228</v>
      </c>
      <c r="F26" s="217">
        <f>VLOOKUP(E26,$C$4:$I$12,7,0)</f>
        <v>120.81841249603876</v>
      </c>
    </row>
    <row r="27" spans="5:6" x14ac:dyDescent="0.25">
      <c r="E27" s="292" t="s">
        <v>229</v>
      </c>
      <c r="F27" s="217">
        <f>VLOOKUP(E27,$C$4:$I$12,7,0)</f>
        <v>154.98419371797621</v>
      </c>
    </row>
  </sheetData>
  <autoFilter ref="E17:F25" xr:uid="{380EE44D-258D-4367-AB3A-04116EB0896D}">
    <sortState xmlns:xlrd2="http://schemas.microsoft.com/office/spreadsheetml/2017/richdata2" ref="E18:F27">
      <sortCondition ref="F17:F2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XEZ128"/>
  <sheetViews>
    <sheetView showGridLines="0" tabSelected="1" zoomScale="75" zoomScaleNormal="75" workbookViewId="0">
      <selection activeCell="J7" sqref="J7:L16"/>
    </sheetView>
  </sheetViews>
  <sheetFormatPr defaultColWidth="8.85546875" defaultRowHeight="15" x14ac:dyDescent="0.25"/>
  <cols>
    <col min="1" max="1" width="7.28515625" style="97" bestFit="1" customWidth="1"/>
    <col min="2" max="2" width="31.85546875" style="97" customWidth="1"/>
    <col min="3" max="3" width="13.7109375" style="97" bestFit="1" customWidth="1"/>
    <col min="4" max="4" width="16.7109375" style="97" bestFit="1" customWidth="1"/>
    <col min="5" max="5" width="0.42578125" style="97" customWidth="1"/>
    <col min="6" max="6" width="13.5703125" style="97" bestFit="1" customWidth="1"/>
    <col min="7" max="7" width="12.5703125" style="97" bestFit="1" customWidth="1"/>
    <col min="8" max="8" width="17.140625" style="97" bestFit="1" customWidth="1"/>
    <col min="9" max="9" width="0.42578125" style="97" customWidth="1"/>
    <col min="10" max="10" width="16.42578125" style="97" bestFit="1" customWidth="1"/>
    <col min="11" max="11" width="12.5703125" style="97" bestFit="1" customWidth="1"/>
    <col min="12" max="12" width="17.140625" style="97" customWidth="1"/>
    <col min="13" max="13" width="0.28515625" style="97" customWidth="1"/>
    <col min="14" max="14" width="13.140625" style="97" hidden="1" customWidth="1"/>
    <col min="15" max="15" width="12.5703125" style="97" hidden="1" customWidth="1"/>
    <col min="16" max="16" width="17.140625" style="97" hidden="1" customWidth="1"/>
    <col min="17" max="17" width="0.28515625" style="97" hidden="1" customWidth="1"/>
    <col min="18" max="18" width="13.140625" style="97" hidden="1" customWidth="1"/>
    <col min="19" max="19" width="12.5703125" style="97" hidden="1" customWidth="1"/>
    <col min="20" max="20" width="17.140625" style="97" hidden="1" customWidth="1"/>
    <col min="21" max="21" width="1.28515625" style="97" hidden="1" customWidth="1"/>
    <col min="22" max="22" width="12.7109375" style="97" hidden="1" customWidth="1"/>
    <col min="23" max="23" width="13.140625" style="97" hidden="1" customWidth="1"/>
    <col min="24" max="24" width="16.5703125" style="97" hidden="1" customWidth="1"/>
    <col min="25" max="25" width="9.85546875" style="97" bestFit="1" customWidth="1"/>
    <col min="26" max="26" width="18.28515625" style="97" bestFit="1" customWidth="1"/>
    <col min="27" max="27" width="12.5703125" style="97" bestFit="1" customWidth="1"/>
    <col min="28" max="28" width="14" style="97" bestFit="1" customWidth="1"/>
    <col min="29" max="29" width="12.140625" style="97" bestFit="1" customWidth="1"/>
    <col min="30" max="30" width="14.85546875" style="97" bestFit="1" customWidth="1"/>
    <col min="31" max="31" width="8.85546875" style="97"/>
    <col min="32" max="32" width="14.85546875" style="97" bestFit="1" customWidth="1"/>
    <col min="33" max="33" width="12.5703125" style="97" bestFit="1" customWidth="1"/>
    <col min="34" max="16384" width="8.85546875" style="97"/>
  </cols>
  <sheetData>
    <row r="3" spans="2:33" x14ac:dyDescent="0.25">
      <c r="B3" s="170">
        <f>SUM(C9:C13)</f>
        <v>18316882.59</v>
      </c>
      <c r="C3" s="170">
        <f>SUM(D9:D13)</f>
        <v>71906780.691025943</v>
      </c>
    </row>
    <row r="4" spans="2:33" x14ac:dyDescent="0.25">
      <c r="F4" s="418" t="s">
        <v>280</v>
      </c>
      <c r="G4" s="418"/>
      <c r="H4" s="418"/>
      <c r="I4" s="418"/>
      <c r="J4" s="418"/>
      <c r="K4" s="418"/>
      <c r="L4" s="418"/>
      <c r="M4" s="418"/>
      <c r="N4" s="418"/>
      <c r="O4" s="418"/>
      <c r="P4" s="418"/>
      <c r="Q4" s="369"/>
    </row>
    <row r="5" spans="2:33" ht="33" customHeight="1" x14ac:dyDescent="0.25">
      <c r="F5" s="428" t="s">
        <v>327</v>
      </c>
      <c r="G5" s="429"/>
      <c r="H5" s="430"/>
      <c r="I5" s="171"/>
      <c r="J5" s="428" t="s">
        <v>328</v>
      </c>
      <c r="K5" s="429"/>
      <c r="L5" s="430"/>
      <c r="N5" s="419" t="s">
        <v>308</v>
      </c>
      <c r="O5" s="420"/>
      <c r="P5" s="421"/>
      <c r="R5" s="428" t="s">
        <v>323</v>
      </c>
      <c r="S5" s="429"/>
      <c r="T5" s="430"/>
      <c r="V5" s="428" t="s">
        <v>324</v>
      </c>
      <c r="W5" s="429"/>
      <c r="X5" s="430"/>
      <c r="Z5" s="97" t="s">
        <v>222</v>
      </c>
    </row>
    <row r="6" spans="2:33" ht="38.1" customHeight="1" x14ac:dyDescent="0.25">
      <c r="B6" s="172" t="s">
        <v>194</v>
      </c>
      <c r="C6" s="169" t="s">
        <v>195</v>
      </c>
      <c r="D6" s="179" t="s">
        <v>272</v>
      </c>
      <c r="E6" s="173"/>
      <c r="F6" s="179" t="s">
        <v>200</v>
      </c>
      <c r="G6" s="179" t="s">
        <v>196</v>
      </c>
      <c r="H6" s="179" t="s">
        <v>272</v>
      </c>
      <c r="I6" s="179"/>
      <c r="J6" s="179" t="s">
        <v>200</v>
      </c>
      <c r="K6" s="179" t="s">
        <v>196</v>
      </c>
      <c r="L6" s="179" t="s">
        <v>272</v>
      </c>
      <c r="M6" s="169"/>
      <c r="N6" s="179" t="s">
        <v>200</v>
      </c>
      <c r="O6" s="179" t="s">
        <v>196</v>
      </c>
      <c r="P6" s="179" t="s">
        <v>272</v>
      </c>
      <c r="Q6" s="169"/>
      <c r="R6" s="179" t="s">
        <v>200</v>
      </c>
      <c r="S6" s="179" t="s">
        <v>196</v>
      </c>
      <c r="T6" s="179" t="s">
        <v>272</v>
      </c>
      <c r="U6" s="179"/>
      <c r="V6" s="179" t="s">
        <v>200</v>
      </c>
      <c r="W6" s="179" t="s">
        <v>196</v>
      </c>
      <c r="X6" s="179" t="s">
        <v>272</v>
      </c>
      <c r="Z6" s="173" t="s">
        <v>200</v>
      </c>
      <c r="AA6" s="173" t="s">
        <v>196</v>
      </c>
      <c r="AB6" s="173" t="s">
        <v>197</v>
      </c>
    </row>
    <row r="7" spans="2:33" x14ac:dyDescent="0.25">
      <c r="B7" s="174" t="str">
        <f>VAC_Optim_Scenario!B17</f>
        <v>HCC InOffice</v>
      </c>
      <c r="C7" s="175">
        <f>VAC_Optim_Scenario!E17</f>
        <v>300000</v>
      </c>
      <c r="D7" s="175">
        <f>VAC_Optim_Scenario!G36</f>
        <v>561023.75953849207</v>
      </c>
      <c r="E7" s="175"/>
      <c r="F7" s="175">
        <v>300000</v>
      </c>
      <c r="G7" s="167">
        <v>0</v>
      </c>
      <c r="H7" s="175">
        <v>561023.75953849207</v>
      </c>
      <c r="I7" s="175"/>
      <c r="J7" s="175">
        <v>300000</v>
      </c>
      <c r="K7" s="167">
        <v>0</v>
      </c>
      <c r="L7" s="175">
        <v>561023.75953849207</v>
      </c>
      <c r="N7" s="175">
        <v>1026598.0761272227</v>
      </c>
      <c r="O7" s="167">
        <v>2.6598076127222738E-2</v>
      </c>
      <c r="P7" s="175">
        <v>1552232.4444243428</v>
      </c>
      <c r="R7" s="175">
        <v>900000</v>
      </c>
      <c r="S7" s="167">
        <v>-0.1</v>
      </c>
      <c r="T7" s="175">
        <v>1410431.7445188572</v>
      </c>
      <c r="U7" s="175"/>
      <c r="V7" s="175">
        <v>1124107.5439092813</v>
      </c>
      <c r="W7" s="167">
        <v>0.12410754390928126</v>
      </c>
      <c r="X7" s="175">
        <v>1654002.030615102</v>
      </c>
      <c r="Z7" s="175">
        <f>VAC_Optim_Scenario!$H36</f>
        <v>300000</v>
      </c>
      <c r="AA7" s="167">
        <f>IFERROR((Z7-$C7)/$C7,"")</f>
        <v>0</v>
      </c>
      <c r="AB7" s="175">
        <f>VAC_Optim_Scenario!$J36</f>
        <v>561023.75953849207</v>
      </c>
      <c r="AD7" s="175"/>
      <c r="AE7" s="167"/>
      <c r="AF7" s="175"/>
      <c r="AG7" s="170"/>
    </row>
    <row r="8" spans="2:33" x14ac:dyDescent="0.25">
      <c r="B8" s="174" t="str">
        <f>VAC_Optim_Scenario!B18</f>
        <v>HCP MCM</v>
      </c>
      <c r="C8" s="175">
        <f>VAC_Optim_Scenario!E18</f>
        <v>21865000</v>
      </c>
      <c r="D8" s="175">
        <f>VAC_Optim_Scenario!G37</f>
        <v>108241269.80027175</v>
      </c>
      <c r="E8" s="175"/>
      <c r="F8" s="175">
        <v>21865000</v>
      </c>
      <c r="G8" s="167">
        <v>0</v>
      </c>
      <c r="H8" s="175">
        <v>108241269.80027175</v>
      </c>
      <c r="I8" s="175"/>
      <c r="J8" s="175">
        <v>21865000</v>
      </c>
      <c r="K8" s="167">
        <v>0</v>
      </c>
      <c r="L8" s="175">
        <v>108241269.80027175</v>
      </c>
      <c r="N8" s="175">
        <v>21000000</v>
      </c>
      <c r="O8" s="167">
        <v>0.2390842577295256</v>
      </c>
      <c r="P8" s="175">
        <v>105724786.72171538</v>
      </c>
      <c r="R8" s="175">
        <v>21000000</v>
      </c>
      <c r="S8" s="167">
        <v>0.2390842577295256</v>
      </c>
      <c r="T8" s="175">
        <v>105724786.72171538</v>
      </c>
      <c r="U8" s="175"/>
      <c r="V8" s="175">
        <v>21000000</v>
      </c>
      <c r="W8" s="167">
        <v>0.2390842577295256</v>
      </c>
      <c r="X8" s="175">
        <v>105724786.72171538</v>
      </c>
      <c r="Z8" s="175">
        <f>VAC_Optim_Scenario!$H37</f>
        <v>21865000</v>
      </c>
      <c r="AA8" s="167">
        <f t="shared" ref="AA8:AA16" si="0">IFERROR((Z8-$C8)/$C8,"")</f>
        <v>0</v>
      </c>
      <c r="AB8" s="175">
        <f>VAC_Optim_Scenario!$J37</f>
        <v>108241269.80027175</v>
      </c>
      <c r="AD8" s="175"/>
      <c r="AE8" s="167"/>
      <c r="AF8" s="175"/>
      <c r="AG8" s="170"/>
    </row>
    <row r="9" spans="2:33" x14ac:dyDescent="0.25">
      <c r="B9" s="174" t="str">
        <f>VAC_Optim_Scenario!B19</f>
        <v>HCC Social</v>
      </c>
      <c r="C9" s="175">
        <f>VAC_Optim_Scenario!E19</f>
        <v>3135000</v>
      </c>
      <c r="D9" s="175">
        <f>VAC_Optim_Scenario!G38</f>
        <v>7633313.1450912682</v>
      </c>
      <c r="E9" s="175"/>
      <c r="F9" s="175">
        <v>3605249.9999999995</v>
      </c>
      <c r="G9" s="167">
        <v>0.14999999999999986</v>
      </c>
      <c r="H9" s="175">
        <v>8301026.1738655474</v>
      </c>
      <c r="I9" s="175"/>
      <c r="J9" s="175">
        <v>3918750</v>
      </c>
      <c r="K9" s="167">
        <v>0.25</v>
      </c>
      <c r="L9" s="175">
        <v>8726881.6604837608</v>
      </c>
      <c r="N9" s="175">
        <v>6733228.4705905961</v>
      </c>
      <c r="O9" s="167">
        <v>2.0605583957229983</v>
      </c>
      <c r="P9" s="175">
        <v>12075484.438395374</v>
      </c>
      <c r="R9" s="175">
        <v>3080000</v>
      </c>
      <c r="S9" s="167">
        <v>0.4</v>
      </c>
      <c r="T9" s="175">
        <v>7552678.2154421611</v>
      </c>
      <c r="U9" s="175"/>
      <c r="V9" s="175">
        <v>3080000</v>
      </c>
      <c r="W9" s="167">
        <v>0.4</v>
      </c>
      <c r="X9" s="175">
        <v>7552678.2154421611</v>
      </c>
      <c r="Z9" s="175">
        <f>VAC_Optim_Scenario!$H38</f>
        <v>3918750</v>
      </c>
      <c r="AA9" s="167">
        <f t="shared" si="0"/>
        <v>0.25</v>
      </c>
      <c r="AB9" s="175">
        <f>VAC_Optim_Scenario!$J38</f>
        <v>8726881.6604837608</v>
      </c>
      <c r="AD9" s="175"/>
      <c r="AE9" s="167"/>
      <c r="AF9" s="175"/>
      <c r="AG9" s="170"/>
    </row>
    <row r="10" spans="2:33" x14ac:dyDescent="0.25">
      <c r="B10" s="174" t="str">
        <f>VAC_Optim_Scenario!B20</f>
        <v>HCC Online Video</v>
      </c>
      <c r="C10" s="175">
        <f>VAC_Optim_Scenario!E20</f>
        <v>2765000</v>
      </c>
      <c r="D10" s="175">
        <f>VAC_Optim_Scenario!G39</f>
        <v>8043581.4196980307</v>
      </c>
      <c r="E10" s="175"/>
      <c r="F10" s="175">
        <v>3179749.9999999995</v>
      </c>
      <c r="G10" s="167">
        <v>0.14999999999999983</v>
      </c>
      <c r="H10" s="175">
        <v>8441398.8304803409</v>
      </c>
      <c r="I10" s="175"/>
      <c r="J10" s="175">
        <v>3456250</v>
      </c>
      <c r="K10" s="167">
        <v>0.25</v>
      </c>
      <c r="L10" s="175">
        <v>8654679.04685398</v>
      </c>
      <c r="N10" s="175">
        <v>2784148.583448194</v>
      </c>
      <c r="O10" s="167">
        <v>0.85609905563212929</v>
      </c>
      <c r="P10" s="175">
        <v>8064310.1960589774</v>
      </c>
      <c r="R10" s="175">
        <v>2100000</v>
      </c>
      <c r="S10" s="167">
        <v>0.4</v>
      </c>
      <c r="T10" s="175">
        <v>7145593.8726123786</v>
      </c>
      <c r="U10" s="175"/>
      <c r="V10" s="175">
        <v>2100000</v>
      </c>
      <c r="W10" s="167">
        <v>0.4</v>
      </c>
      <c r="X10" s="175">
        <v>7145593.8726123786</v>
      </c>
      <c r="Z10" s="175">
        <f>VAC_Optim_Scenario!$H39</f>
        <v>3456250</v>
      </c>
      <c r="AA10" s="167">
        <f t="shared" si="0"/>
        <v>0.25</v>
      </c>
      <c r="AB10" s="175">
        <f>VAC_Optim_Scenario!$J39</f>
        <v>8654679.04685398</v>
      </c>
      <c r="AD10" s="175"/>
      <c r="AE10" s="167"/>
      <c r="AF10" s="175"/>
      <c r="AG10" s="170"/>
    </row>
    <row r="11" spans="2:33" x14ac:dyDescent="0.25">
      <c r="B11" s="174" t="str">
        <f>VAC_Optim_Scenario!B21</f>
        <v>HCC Streaming Video</v>
      </c>
      <c r="C11" s="175">
        <f>VAC_Optim_Scenario!E21</f>
        <v>7566882.5899999999</v>
      </c>
      <c r="D11" s="175">
        <f>VAC_Optim_Scenario!G40</f>
        <v>15252355.577074772</v>
      </c>
      <c r="E11" s="175"/>
      <c r="F11" s="175">
        <v>7566882.5899999999</v>
      </c>
      <c r="G11" s="167">
        <v>0</v>
      </c>
      <c r="H11" s="175">
        <v>15252355.577074772</v>
      </c>
      <c r="I11" s="175"/>
      <c r="J11" s="175">
        <v>7566882.5899999999</v>
      </c>
      <c r="K11" s="167">
        <v>0</v>
      </c>
      <c r="L11" s="175">
        <v>15252355.577074772</v>
      </c>
      <c r="N11" s="175">
        <v>18672476.905886736</v>
      </c>
      <c r="O11" s="167">
        <v>0.81843153241469457</v>
      </c>
      <c r="P11" s="175">
        <v>28703600.464900684</v>
      </c>
      <c r="R11" s="175">
        <v>13136452.024207849</v>
      </c>
      <c r="S11" s="167">
        <v>0.27930208216465824</v>
      </c>
      <c r="T11" s="175">
        <v>22440352.955224864</v>
      </c>
      <c r="U11" s="175"/>
      <c r="V11" s="175">
        <v>22912344.554218277</v>
      </c>
      <c r="W11" s="167">
        <v>1.2313338519007808</v>
      </c>
      <c r="X11" s="175">
        <v>33124070.227052938</v>
      </c>
      <c r="Z11" s="175">
        <f>VAC_Optim_Scenario!$H40</f>
        <v>7566882.5899999999</v>
      </c>
      <c r="AA11" s="167">
        <f t="shared" si="0"/>
        <v>0</v>
      </c>
      <c r="AB11" s="175">
        <f>VAC_Optim_Scenario!$J40</f>
        <v>15252355.577074772</v>
      </c>
      <c r="AD11" s="175"/>
      <c r="AE11" s="167"/>
      <c r="AF11" s="175"/>
      <c r="AG11" s="170"/>
    </row>
    <row r="12" spans="2:33" x14ac:dyDescent="0.25">
      <c r="B12" s="174" t="str">
        <f>VAC_Optim_Scenario!B22</f>
        <v>HCC Display</v>
      </c>
      <c r="C12" s="175">
        <f>VAC_Optim_Scenario!E22</f>
        <v>4650000</v>
      </c>
      <c r="D12" s="175">
        <f>VAC_Optim_Scenario!G41</f>
        <v>23008189.454810049</v>
      </c>
      <c r="E12" s="175"/>
      <c r="F12" s="175">
        <v>5347500</v>
      </c>
      <c r="G12" s="167">
        <v>0.15</v>
      </c>
      <c r="H12" s="175">
        <v>25020797.555050645</v>
      </c>
      <c r="I12" s="175"/>
      <c r="J12" s="175">
        <v>5812500.0000000009</v>
      </c>
      <c r="K12" s="167">
        <v>0.25000000000000022</v>
      </c>
      <c r="L12" s="175">
        <v>26304403.183464181</v>
      </c>
      <c r="N12" s="175">
        <v>5000000</v>
      </c>
      <c r="O12" s="167">
        <v>0.25</v>
      </c>
      <c r="P12" s="175">
        <v>24032152.746086098</v>
      </c>
      <c r="R12" s="175">
        <v>5000000</v>
      </c>
      <c r="S12" s="167">
        <v>0.25</v>
      </c>
      <c r="T12" s="175">
        <v>24032152.746086098</v>
      </c>
      <c r="U12" s="175"/>
      <c r="V12" s="175">
        <v>5000000</v>
      </c>
      <c r="W12" s="167">
        <v>0.25</v>
      </c>
      <c r="X12" s="175">
        <v>24032152.746086098</v>
      </c>
      <c r="Z12" s="175">
        <f>VAC_Optim_Scenario!$H41</f>
        <v>5812500.0000000009</v>
      </c>
      <c r="AA12" s="167">
        <f t="shared" si="0"/>
        <v>0.25000000000000022</v>
      </c>
      <c r="AB12" s="175">
        <f>VAC_Optim_Scenario!$J41</f>
        <v>26304403.183464181</v>
      </c>
      <c r="AD12" s="175"/>
      <c r="AE12" s="167"/>
      <c r="AF12" s="175"/>
      <c r="AG12" s="170"/>
    </row>
    <row r="13" spans="2:33" x14ac:dyDescent="0.25">
      <c r="B13" s="174" t="str">
        <f>VAC_Optim_Scenario!B23</f>
        <v>HCC Paid Search</v>
      </c>
      <c r="C13" s="175">
        <f>VAC_Optim_Scenario!E23</f>
        <v>200000</v>
      </c>
      <c r="D13" s="175">
        <f>VAC_Optim_Scenario!G42</f>
        <v>17969341.094351832</v>
      </c>
      <c r="E13" s="175"/>
      <c r="F13" s="175">
        <v>200000</v>
      </c>
      <c r="G13" s="167">
        <v>0</v>
      </c>
      <c r="H13" s="175">
        <v>17969341.094351832</v>
      </c>
      <c r="I13" s="175"/>
      <c r="J13" s="175">
        <v>200000</v>
      </c>
      <c r="K13" s="167">
        <v>0</v>
      </c>
      <c r="L13" s="175">
        <v>17969341.094351832</v>
      </c>
      <c r="N13" s="175">
        <v>200000</v>
      </c>
      <c r="O13" s="167">
        <v>0</v>
      </c>
      <c r="P13" s="175">
        <v>17969341.094351832</v>
      </c>
      <c r="R13" s="175">
        <v>200000</v>
      </c>
      <c r="S13" s="167">
        <v>0</v>
      </c>
      <c r="T13" s="175">
        <v>17969341.094351832</v>
      </c>
      <c r="U13" s="175"/>
      <c r="V13" s="175">
        <v>200000</v>
      </c>
      <c r="W13" s="167">
        <v>0</v>
      </c>
      <c r="X13" s="175">
        <v>17969341.094351832</v>
      </c>
      <c r="Z13" s="175">
        <f>VAC_Optim_Scenario!$H42</f>
        <v>200000</v>
      </c>
      <c r="AA13" s="167">
        <f t="shared" si="0"/>
        <v>0</v>
      </c>
      <c r="AB13" s="175">
        <f>VAC_Optim_Scenario!$J42</f>
        <v>17969341.094351832</v>
      </c>
      <c r="AD13" s="175"/>
      <c r="AE13" s="167"/>
      <c r="AF13" s="175"/>
      <c r="AG13" s="170"/>
    </row>
    <row r="14" spans="2:33" x14ac:dyDescent="0.25">
      <c r="B14" s="174" t="str">
        <f>VAC_Optim_Scenario!B24</f>
        <v>HCC Radio</v>
      </c>
      <c r="C14" s="175">
        <f>VAC_Optim_Scenario!E24</f>
        <v>2310000</v>
      </c>
      <c r="D14" s="175">
        <f>VAC_Optim_Scenario!G43</f>
        <v>8664714.9708767254</v>
      </c>
      <c r="E14" s="175"/>
      <c r="F14" s="175">
        <v>2310000</v>
      </c>
      <c r="G14" s="167">
        <v>0</v>
      </c>
      <c r="H14" s="175">
        <v>8664714.9708767254</v>
      </c>
      <c r="I14" s="175"/>
      <c r="J14" s="175">
        <v>2310000</v>
      </c>
      <c r="K14" s="167">
        <v>0</v>
      </c>
      <c r="L14" s="175">
        <v>8664714.9708767254</v>
      </c>
      <c r="N14" s="175">
        <v>2200000</v>
      </c>
      <c r="O14" s="167">
        <v>0.46666666666666667</v>
      </c>
      <c r="P14" s="175">
        <v>8497253.2367697079</v>
      </c>
      <c r="R14" s="175">
        <v>2200000</v>
      </c>
      <c r="S14" s="167">
        <v>0.46666666666666667</v>
      </c>
      <c r="T14" s="175">
        <v>8497253.2367697079</v>
      </c>
      <c r="U14" s="175"/>
      <c r="V14" s="175">
        <v>2200000</v>
      </c>
      <c r="W14" s="167">
        <v>0.46666666666666667</v>
      </c>
      <c r="X14" s="175">
        <v>8497253.2367697079</v>
      </c>
      <c r="Z14" s="175">
        <f>VAC_Optim_Scenario!$H43</f>
        <v>2310000</v>
      </c>
      <c r="AA14" s="167">
        <f t="shared" si="0"/>
        <v>0</v>
      </c>
      <c r="AB14" s="175">
        <f>VAC_Optim_Scenario!$J43</f>
        <v>8664714.9708767254</v>
      </c>
      <c r="AC14" s="170"/>
      <c r="AD14" s="175"/>
      <c r="AE14" s="167"/>
      <c r="AF14" s="175"/>
      <c r="AG14" s="170"/>
    </row>
    <row r="15" spans="2:33" x14ac:dyDescent="0.25">
      <c r="B15" s="174" t="str">
        <f>VAC_Optim_Scenario!B25</f>
        <v>HCC Linear TV</v>
      </c>
      <c r="C15" s="175">
        <f>VAC_Optim_Scenario!E25</f>
        <v>26842192.700000003</v>
      </c>
      <c r="D15" s="175">
        <f>VAC_Optim_Scenario!G44</f>
        <v>39131248.633482866</v>
      </c>
      <c r="E15" s="175"/>
      <c r="F15" s="175">
        <v>26842192.700000003</v>
      </c>
      <c r="G15" s="167">
        <v>0</v>
      </c>
      <c r="H15" s="175">
        <v>39131248.633482866</v>
      </c>
      <c r="I15" s="175"/>
      <c r="J15" s="175">
        <v>26842192.700000003</v>
      </c>
      <c r="K15" s="167">
        <v>0</v>
      </c>
      <c r="L15" s="175">
        <v>39131248.633482866</v>
      </c>
      <c r="N15" s="175">
        <v>28089211</v>
      </c>
      <c r="O15" s="167">
        <v>0</v>
      </c>
      <c r="P15" s="175">
        <v>40395109.654958591</v>
      </c>
      <c r="R15" s="175">
        <v>28089211</v>
      </c>
      <c r="S15" s="167">
        <v>0</v>
      </c>
      <c r="T15" s="175">
        <v>40395109.654958591</v>
      </c>
      <c r="U15" s="175"/>
      <c r="V15" s="175">
        <v>28089211</v>
      </c>
      <c r="W15" s="167">
        <v>0</v>
      </c>
      <c r="X15" s="175">
        <v>40395109.654958591</v>
      </c>
      <c r="Z15" s="175">
        <f>VAC_Optim_Scenario!$H44</f>
        <v>26842192.700000003</v>
      </c>
      <c r="AA15" s="167">
        <f t="shared" si="0"/>
        <v>0</v>
      </c>
      <c r="AB15" s="175">
        <f>VAC_Optim_Scenario!$J44</f>
        <v>39131248.633482866</v>
      </c>
      <c r="AD15" s="175"/>
      <c r="AE15" s="167"/>
      <c r="AF15" s="175"/>
      <c r="AG15" s="170"/>
    </row>
    <row r="16" spans="2:33" x14ac:dyDescent="0.25">
      <c r="B16" s="174" t="str">
        <f>VAC_Optim_Scenario!B26</f>
        <v>HCC Pharmacy</v>
      </c>
      <c r="C16" s="175">
        <f>VAC_Optim_Scenario!E26</f>
        <v>3200000</v>
      </c>
      <c r="D16" s="175">
        <f>VAC_Optim_Scenario!G45</f>
        <v>5063837.1955307471</v>
      </c>
      <c r="E16" s="175"/>
      <c r="F16" s="175">
        <v>3200000</v>
      </c>
      <c r="G16" s="167">
        <v>0</v>
      </c>
      <c r="H16" s="175">
        <v>5063837.1955307471</v>
      </c>
      <c r="I16" s="175"/>
      <c r="J16" s="175">
        <v>3200000</v>
      </c>
      <c r="K16" s="167">
        <v>0</v>
      </c>
      <c r="L16" s="175">
        <v>5063837.1955307471</v>
      </c>
      <c r="N16" s="175">
        <v>3200000</v>
      </c>
      <c r="O16" s="167">
        <v>0</v>
      </c>
      <c r="P16" s="175">
        <v>5063837.1955307471</v>
      </c>
      <c r="R16" s="175">
        <v>3200000</v>
      </c>
      <c r="S16" s="167">
        <v>0</v>
      </c>
      <c r="T16" s="175">
        <v>5063837.1955307471</v>
      </c>
      <c r="U16" s="175"/>
      <c r="V16" s="175">
        <v>3200000</v>
      </c>
      <c r="W16" s="167">
        <v>0</v>
      </c>
      <c r="X16" s="175">
        <v>5063837.1955307471</v>
      </c>
      <c r="Z16" s="175">
        <f>VAC_Optim_Scenario!$H45</f>
        <v>3200000</v>
      </c>
      <c r="AA16" s="167">
        <f t="shared" si="0"/>
        <v>0</v>
      </c>
      <c r="AB16" s="175">
        <f>VAC_Optim_Scenario!$J45</f>
        <v>5063837.1955307471</v>
      </c>
      <c r="AD16" s="175"/>
      <c r="AE16" s="167"/>
      <c r="AF16" s="175"/>
      <c r="AG16" s="170"/>
    </row>
    <row r="17" spans="1:32" ht="34.35" customHeight="1" x14ac:dyDescent="0.25">
      <c r="B17" s="176" t="s">
        <v>198</v>
      </c>
      <c r="C17" s="177">
        <f>SUM(C7:C16)</f>
        <v>72834075.290000007</v>
      </c>
      <c r="D17" s="177">
        <f>SUM(D7:D16)</f>
        <v>233568875.05072653</v>
      </c>
      <c r="E17" s="169"/>
      <c r="F17" s="177">
        <f>SUM(F7:F16)</f>
        <v>74416575.290000007</v>
      </c>
      <c r="G17" s="178">
        <f>(F17-$C$17)/$C$17</f>
        <v>2.1727467448430345E-2</v>
      </c>
      <c r="H17" s="177">
        <f>SUM(H7:H16)</f>
        <v>236647013.59052369</v>
      </c>
      <c r="I17" s="169"/>
      <c r="J17" s="177">
        <f>SUM(J7:J16)</f>
        <v>75471575.290000007</v>
      </c>
      <c r="K17" s="178">
        <f>(J17-$C$17)/$C$17</f>
        <v>3.6212445747383908E-2</v>
      </c>
      <c r="L17" s="177">
        <f>SUM(L7:L16)</f>
        <v>238569754.92192909</v>
      </c>
      <c r="N17" s="177">
        <f>SUM(N7:N16)</f>
        <v>88905663.036052749</v>
      </c>
      <c r="O17" s="178">
        <f>(N17-$C$17)/$C$17</f>
        <v>0.22066028410549948</v>
      </c>
      <c r="P17" s="177">
        <f>SUM(P7:P16)</f>
        <v>252078108.19319174</v>
      </c>
      <c r="R17" s="177">
        <f>SUM(R7:R16)</f>
        <v>78905663.024207845</v>
      </c>
      <c r="S17" s="178">
        <f>(R17-$C$17)/$C$17</f>
        <v>8.3361911440941405E-2</v>
      </c>
      <c r="T17" s="177">
        <f>SUM(T7:T16)</f>
        <v>240231537.43721059</v>
      </c>
      <c r="U17" s="177"/>
      <c r="V17" s="177">
        <f>SUM(V7:V16)</f>
        <v>88905663.098127559</v>
      </c>
      <c r="W17" s="178">
        <f>(V17-$C$17)/$C$17</f>
        <v>0.22066028495777654</v>
      </c>
      <c r="X17" s="177">
        <f>SUM(X7:X16)</f>
        <v>251158824.99513492</v>
      </c>
      <c r="Z17" s="177">
        <f>SUM(Z7:Z16)</f>
        <v>75471575.290000007</v>
      </c>
      <c r="AA17" s="178">
        <f>(Z17-$C$17)/$C$17</f>
        <v>3.6212445747383908E-2</v>
      </c>
      <c r="AB17" s="177">
        <f>SUM(AB7:AB16)</f>
        <v>238569754.92192909</v>
      </c>
      <c r="AD17" s="177"/>
      <c r="AE17" s="178"/>
      <c r="AF17" s="177"/>
    </row>
    <row r="18" spans="1:32" x14ac:dyDescent="0.25">
      <c r="D18" s="97">
        <f>D17/C17</f>
        <v>3.2068626411571279</v>
      </c>
      <c r="F18" s="170">
        <f>F17-C17</f>
        <v>1582500</v>
      </c>
      <c r="H18" s="170">
        <f>H17-D17</f>
        <v>3078138.539797157</v>
      </c>
      <c r="J18" s="170">
        <f>J17-C17</f>
        <v>2637500</v>
      </c>
      <c r="L18" s="170">
        <f>L17-D17</f>
        <v>5000879.8712025583</v>
      </c>
      <c r="N18" s="170"/>
      <c r="P18" s="170"/>
      <c r="R18" s="170"/>
      <c r="T18" s="170"/>
      <c r="U18" s="170"/>
      <c r="V18" s="170"/>
      <c r="W18" s="170"/>
      <c r="X18" s="170"/>
      <c r="Z18" s="170">
        <v>52616909.899999999</v>
      </c>
      <c r="AA18" s="97">
        <v>4.1137144849875483E-2</v>
      </c>
      <c r="AB18" s="170">
        <v>347381466.65631664</v>
      </c>
    </row>
    <row r="19" spans="1:32" x14ac:dyDescent="0.25">
      <c r="N19" s="170"/>
      <c r="P19" s="170"/>
      <c r="R19" s="170"/>
      <c r="T19" s="170"/>
      <c r="U19" s="170"/>
      <c r="V19" s="170"/>
      <c r="W19" s="170"/>
      <c r="X19" s="170"/>
      <c r="Z19" s="170"/>
      <c r="AB19" s="170"/>
    </row>
    <row r="20" spans="1:32" ht="26.85" customHeight="1" x14ac:dyDescent="0.25">
      <c r="F20" s="425" t="str">
        <f>F4</f>
        <v>Optimal channel spend allowed to vary based on custom limits  for 2024 channel spend</v>
      </c>
      <c r="G20" s="426"/>
      <c r="H20" s="426"/>
      <c r="I20" s="426"/>
      <c r="J20" s="426"/>
      <c r="K20" s="426"/>
      <c r="L20" s="426"/>
      <c r="M20" s="426"/>
      <c r="N20" s="426"/>
      <c r="O20" s="426"/>
      <c r="P20" s="427"/>
      <c r="Q20" s="363"/>
      <c r="AB20" s="170"/>
    </row>
    <row r="21" spans="1:32" ht="30.2" customHeight="1" x14ac:dyDescent="0.25">
      <c r="B21" s="295"/>
      <c r="C21" s="437" t="s">
        <v>291</v>
      </c>
      <c r="D21" s="438"/>
      <c r="E21" s="296"/>
      <c r="F21" s="422" t="str">
        <f>F5</f>
        <v>15% Increase in Budget (Social, OLV &amp; Display) ($74.4MM)</v>
      </c>
      <c r="G21" s="423"/>
      <c r="H21" s="424"/>
      <c r="I21" s="351"/>
      <c r="J21" s="422" t="str">
        <f>J5</f>
        <v>25% Increase in Budget (Social, OLV &amp; Display) ($75.5MM)</v>
      </c>
      <c r="K21" s="423"/>
      <c r="L21" s="424"/>
      <c r="M21" s="295"/>
      <c r="N21" s="431" t="str">
        <f>N5</f>
        <v xml:space="preserve"> 20M Increase in Spend ($89M)    (Stretch Max)</v>
      </c>
      <c r="O21" s="432"/>
      <c r="P21" s="433"/>
      <c r="Q21" s="295"/>
      <c r="R21" s="431" t="str">
        <f>R5</f>
        <v xml:space="preserve"> 10M Increase in Spend ($79M) with OLV and socail 40% cap</v>
      </c>
      <c r="S21" s="432"/>
      <c r="T21" s="433"/>
      <c r="U21" s="394"/>
      <c r="V21" s="431" t="str">
        <f>V5</f>
        <v xml:space="preserve"> 20M Increase in Spend ($89M) with OLV and socail 40% cap</v>
      </c>
      <c r="W21" s="432"/>
      <c r="X21" s="433"/>
    </row>
    <row r="22" spans="1:32" ht="25.5" x14ac:dyDescent="0.25">
      <c r="B22" s="301" t="s">
        <v>194</v>
      </c>
      <c r="C22" s="297" t="s">
        <v>199</v>
      </c>
      <c r="D22" s="299" t="s">
        <v>272</v>
      </c>
      <c r="E22" s="299"/>
      <c r="F22" s="300" t="s">
        <v>200</v>
      </c>
      <c r="G22" s="298" t="s">
        <v>196</v>
      </c>
      <c r="H22" s="299" t="s">
        <v>272</v>
      </c>
      <c r="I22" s="299"/>
      <c r="J22" s="300" t="s">
        <v>200</v>
      </c>
      <c r="K22" s="298" t="s">
        <v>196</v>
      </c>
      <c r="L22" s="299" t="s">
        <v>272</v>
      </c>
      <c r="M22" s="295"/>
      <c r="N22" s="300" t="s">
        <v>200</v>
      </c>
      <c r="O22" s="298" t="s">
        <v>196</v>
      </c>
      <c r="P22" s="299" t="s">
        <v>272</v>
      </c>
      <c r="Q22" s="295"/>
      <c r="R22" s="300" t="s">
        <v>200</v>
      </c>
      <c r="S22" s="298" t="s">
        <v>196</v>
      </c>
      <c r="T22" s="299" t="s">
        <v>272</v>
      </c>
      <c r="U22" s="299"/>
      <c r="V22" s="300" t="s">
        <v>200</v>
      </c>
      <c r="W22" s="298" t="s">
        <v>196</v>
      </c>
      <c r="X22" s="299" t="s">
        <v>272</v>
      </c>
    </row>
    <row r="23" spans="1:32" x14ac:dyDescent="0.25">
      <c r="A23" s="293">
        <f>D23/C23</f>
        <v>1.8700791984616403</v>
      </c>
      <c r="B23" s="337" t="str">
        <f t="shared" ref="B23:B32" si="1">B7</f>
        <v>HCC InOffice</v>
      </c>
      <c r="C23" s="338">
        <f>C7/1000000</f>
        <v>0.3</v>
      </c>
      <c r="D23" s="339">
        <f>D7/1000000</f>
        <v>0.56102375953849204</v>
      </c>
      <c r="E23" s="340"/>
      <c r="F23" s="341">
        <f t="shared" ref="F23:F32" si="2">F7/1000000</f>
        <v>0.3</v>
      </c>
      <c r="G23" s="342">
        <f>IFERROR(G7,"")</f>
        <v>0</v>
      </c>
      <c r="H23" s="343">
        <f t="shared" ref="H23:H32" si="3">H7/1000000</f>
        <v>0.56102375953849204</v>
      </c>
      <c r="I23" s="340"/>
      <c r="J23" s="341">
        <f t="shared" ref="J23:J32" si="4">J7/1000000</f>
        <v>0.3</v>
      </c>
      <c r="K23" s="342">
        <f t="shared" ref="K23:K32" si="5">K7</f>
        <v>0</v>
      </c>
      <c r="L23" s="343">
        <f t="shared" ref="L23:L32" si="6">L7/1000000</f>
        <v>0.56102375953849204</v>
      </c>
      <c r="M23" s="344"/>
      <c r="N23" s="341">
        <f t="shared" ref="N23:N32" si="7">N7/1000000</f>
        <v>1.0265980761272226</v>
      </c>
      <c r="O23" s="342">
        <f t="shared" ref="O23:O32" si="8">O7</f>
        <v>2.6598076127222738E-2</v>
      </c>
      <c r="P23" s="343">
        <f t="shared" ref="P23:P32" si="9">P7/1000000</f>
        <v>1.5522324444243429</v>
      </c>
      <c r="Q23" s="344"/>
      <c r="R23" s="341">
        <f t="shared" ref="R23:R32" si="10">R7/1000000</f>
        <v>0.9</v>
      </c>
      <c r="S23" s="342">
        <f t="shared" ref="S23:S32" si="11">S7</f>
        <v>-0.1</v>
      </c>
      <c r="T23" s="343">
        <f t="shared" ref="T23:T32" si="12">T7/1000000</f>
        <v>1.4104317445188572</v>
      </c>
      <c r="U23" s="395"/>
      <c r="V23" s="341">
        <f t="shared" ref="V23:V32" si="13">V7/1000000</f>
        <v>1.1241075439092814</v>
      </c>
      <c r="W23" s="342">
        <f t="shared" ref="W23:W32" si="14">W7</f>
        <v>0.12410754390928126</v>
      </c>
      <c r="X23" s="343">
        <f t="shared" ref="X23:X32" si="15">X7/1000000</f>
        <v>1.654002030615102</v>
      </c>
    </row>
    <row r="24" spans="1:32" x14ac:dyDescent="0.25">
      <c r="A24" s="293">
        <f t="shared" ref="A24:A32" si="16">D24/C24</f>
        <v>4.9504353899049516</v>
      </c>
      <c r="B24" s="337" t="str">
        <f t="shared" si="1"/>
        <v>HCP MCM</v>
      </c>
      <c r="C24" s="345">
        <f t="shared" ref="C24:D24" si="17">C8/1000000</f>
        <v>21.864999999999998</v>
      </c>
      <c r="D24" s="346">
        <f t="shared" si="17"/>
        <v>108.24126980027175</v>
      </c>
      <c r="E24" s="340"/>
      <c r="F24" s="347">
        <f t="shared" si="2"/>
        <v>21.864999999999998</v>
      </c>
      <c r="G24" s="348">
        <f t="shared" ref="G24:G32" si="18">IFERROR(G8,"")</f>
        <v>0</v>
      </c>
      <c r="H24" s="349">
        <f t="shared" si="3"/>
        <v>108.24126980027175</v>
      </c>
      <c r="I24" s="340"/>
      <c r="J24" s="347">
        <f t="shared" si="4"/>
        <v>21.864999999999998</v>
      </c>
      <c r="K24" s="342">
        <f t="shared" si="5"/>
        <v>0</v>
      </c>
      <c r="L24" s="349">
        <f t="shared" si="6"/>
        <v>108.24126980027175</v>
      </c>
      <c r="M24" s="344"/>
      <c r="N24" s="347">
        <f t="shared" si="7"/>
        <v>21</v>
      </c>
      <c r="O24" s="342">
        <f t="shared" si="8"/>
        <v>0.2390842577295256</v>
      </c>
      <c r="P24" s="349">
        <f t="shared" si="9"/>
        <v>105.72478672171538</v>
      </c>
      <c r="Q24" s="344"/>
      <c r="R24" s="347">
        <f t="shared" si="10"/>
        <v>21</v>
      </c>
      <c r="S24" s="342">
        <f t="shared" si="11"/>
        <v>0.2390842577295256</v>
      </c>
      <c r="T24" s="349">
        <f t="shared" si="12"/>
        <v>105.72478672171538</v>
      </c>
      <c r="U24" s="395"/>
      <c r="V24" s="347">
        <f t="shared" si="13"/>
        <v>21</v>
      </c>
      <c r="W24" s="342">
        <f t="shared" si="14"/>
        <v>0.2390842577295256</v>
      </c>
      <c r="X24" s="349">
        <f t="shared" si="15"/>
        <v>105.72478672171538</v>
      </c>
    </row>
    <row r="25" spans="1:32" x14ac:dyDescent="0.25">
      <c r="A25" s="293">
        <f t="shared" si="16"/>
        <v>2.4348686268233712</v>
      </c>
      <c r="B25" s="337" t="str">
        <f t="shared" si="1"/>
        <v>HCC Social</v>
      </c>
      <c r="C25" s="345">
        <f t="shared" ref="C25:D25" si="19">C9/1000000</f>
        <v>3.1349999999999998</v>
      </c>
      <c r="D25" s="346">
        <f t="shared" si="19"/>
        <v>7.6333131450912681</v>
      </c>
      <c r="E25" s="340"/>
      <c r="F25" s="347">
        <f t="shared" si="2"/>
        <v>3.6052499999999994</v>
      </c>
      <c r="G25" s="348">
        <f t="shared" si="18"/>
        <v>0.14999999999999986</v>
      </c>
      <c r="H25" s="349">
        <f t="shared" si="3"/>
        <v>8.301026173865548</v>
      </c>
      <c r="I25" s="340"/>
      <c r="J25" s="347">
        <f t="shared" si="4"/>
        <v>3.9187500000000002</v>
      </c>
      <c r="K25" s="342">
        <f t="shared" si="5"/>
        <v>0.25</v>
      </c>
      <c r="L25" s="349">
        <f t="shared" si="6"/>
        <v>8.7268816604837607</v>
      </c>
      <c r="M25" s="344"/>
      <c r="N25" s="347">
        <f t="shared" si="7"/>
        <v>6.7332284705905963</v>
      </c>
      <c r="O25" s="342">
        <f t="shared" si="8"/>
        <v>2.0605583957229983</v>
      </c>
      <c r="P25" s="349">
        <f t="shared" si="9"/>
        <v>12.075484438395373</v>
      </c>
      <c r="Q25" s="344"/>
      <c r="R25" s="347">
        <f t="shared" si="10"/>
        <v>3.08</v>
      </c>
      <c r="S25" s="342">
        <f t="shared" si="11"/>
        <v>0.4</v>
      </c>
      <c r="T25" s="349">
        <f t="shared" si="12"/>
        <v>7.5526782154421612</v>
      </c>
      <c r="U25" s="395"/>
      <c r="V25" s="347">
        <f t="shared" si="13"/>
        <v>3.08</v>
      </c>
      <c r="W25" s="342">
        <f t="shared" si="14"/>
        <v>0.4</v>
      </c>
      <c r="X25" s="349">
        <f t="shared" si="15"/>
        <v>7.5526782154421612</v>
      </c>
    </row>
    <row r="26" spans="1:32" x14ac:dyDescent="0.25">
      <c r="A26" s="293">
        <f t="shared" si="16"/>
        <v>2.9090710378654721</v>
      </c>
      <c r="B26" s="337" t="str">
        <f t="shared" si="1"/>
        <v>HCC Online Video</v>
      </c>
      <c r="C26" s="345">
        <f t="shared" ref="C26:D26" si="20">C10/1000000</f>
        <v>2.7650000000000001</v>
      </c>
      <c r="D26" s="346">
        <f t="shared" si="20"/>
        <v>8.0435814196980306</v>
      </c>
      <c r="E26" s="340"/>
      <c r="F26" s="347">
        <f t="shared" si="2"/>
        <v>3.1797499999999994</v>
      </c>
      <c r="G26" s="348">
        <f t="shared" si="18"/>
        <v>0.14999999999999983</v>
      </c>
      <c r="H26" s="349">
        <f t="shared" si="3"/>
        <v>8.44139883048034</v>
      </c>
      <c r="I26" s="340"/>
      <c r="J26" s="347">
        <f t="shared" si="4"/>
        <v>3.4562499999999998</v>
      </c>
      <c r="K26" s="342">
        <f t="shared" si="5"/>
        <v>0.25</v>
      </c>
      <c r="L26" s="349">
        <f t="shared" si="6"/>
        <v>8.65467904685398</v>
      </c>
      <c r="M26" s="344"/>
      <c r="N26" s="347">
        <f t="shared" si="7"/>
        <v>2.7841485834481938</v>
      </c>
      <c r="O26" s="342">
        <f t="shared" si="8"/>
        <v>0.85609905563212929</v>
      </c>
      <c r="P26" s="349">
        <f t="shared" si="9"/>
        <v>8.0643101960589778</v>
      </c>
      <c r="Q26" s="344"/>
      <c r="R26" s="347">
        <f t="shared" si="10"/>
        <v>2.1</v>
      </c>
      <c r="S26" s="342">
        <f t="shared" si="11"/>
        <v>0.4</v>
      </c>
      <c r="T26" s="349">
        <f t="shared" si="12"/>
        <v>7.1455938726123787</v>
      </c>
      <c r="U26" s="395"/>
      <c r="V26" s="347">
        <f t="shared" si="13"/>
        <v>2.1</v>
      </c>
      <c r="W26" s="342">
        <f t="shared" si="14"/>
        <v>0.4</v>
      </c>
      <c r="X26" s="349">
        <f t="shared" si="15"/>
        <v>7.1455938726123787</v>
      </c>
    </row>
    <row r="27" spans="1:32" x14ac:dyDescent="0.25">
      <c r="A27" s="293">
        <f t="shared" si="16"/>
        <v>2.0156722924750405</v>
      </c>
      <c r="B27" s="337" t="str">
        <f t="shared" si="1"/>
        <v>HCC Streaming Video</v>
      </c>
      <c r="C27" s="345">
        <f t="shared" ref="C27:D27" si="21">C11/1000000</f>
        <v>7.5668825899999996</v>
      </c>
      <c r="D27" s="346">
        <f t="shared" si="21"/>
        <v>15.252355577074772</v>
      </c>
      <c r="E27" s="340"/>
      <c r="F27" s="347">
        <f t="shared" si="2"/>
        <v>7.5668825899999996</v>
      </c>
      <c r="G27" s="350">
        <f t="shared" si="18"/>
        <v>0</v>
      </c>
      <c r="H27" s="349">
        <f t="shared" si="3"/>
        <v>15.252355577074772</v>
      </c>
      <c r="I27" s="340"/>
      <c r="J27" s="347">
        <f t="shared" si="4"/>
        <v>7.5668825899999996</v>
      </c>
      <c r="K27" s="342">
        <f t="shared" si="5"/>
        <v>0</v>
      </c>
      <c r="L27" s="349">
        <f t="shared" si="6"/>
        <v>15.252355577074772</v>
      </c>
      <c r="M27" s="344"/>
      <c r="N27" s="347">
        <f t="shared" si="7"/>
        <v>18.672476905886736</v>
      </c>
      <c r="O27" s="342">
        <f t="shared" si="8"/>
        <v>0.81843153241469457</v>
      </c>
      <c r="P27" s="349">
        <f t="shared" si="9"/>
        <v>28.703600464900685</v>
      </c>
      <c r="Q27" s="344"/>
      <c r="R27" s="347">
        <f t="shared" si="10"/>
        <v>13.136452024207848</v>
      </c>
      <c r="S27" s="342">
        <f t="shared" si="11"/>
        <v>0.27930208216465824</v>
      </c>
      <c r="T27" s="349">
        <f t="shared" si="12"/>
        <v>22.440352955224864</v>
      </c>
      <c r="U27" s="395"/>
      <c r="V27" s="347">
        <f t="shared" si="13"/>
        <v>22.912344554218276</v>
      </c>
      <c r="W27" s="342">
        <f t="shared" si="14"/>
        <v>1.2313338519007808</v>
      </c>
      <c r="X27" s="349">
        <f t="shared" si="15"/>
        <v>33.12407022705294</v>
      </c>
    </row>
    <row r="28" spans="1:32" x14ac:dyDescent="0.25">
      <c r="A28" s="293">
        <f t="shared" si="16"/>
        <v>4.9479977322172148</v>
      </c>
      <c r="B28" s="337" t="str">
        <f t="shared" si="1"/>
        <v>HCC Display</v>
      </c>
      <c r="C28" s="345">
        <f t="shared" ref="C28:D28" si="22">C12/1000000</f>
        <v>4.6500000000000004</v>
      </c>
      <c r="D28" s="346">
        <f t="shared" si="22"/>
        <v>23.008189454810051</v>
      </c>
      <c r="E28" s="340"/>
      <c r="F28" s="347">
        <f t="shared" si="2"/>
        <v>5.3475000000000001</v>
      </c>
      <c r="G28" s="350">
        <f t="shared" si="18"/>
        <v>0.15</v>
      </c>
      <c r="H28" s="349">
        <f t="shared" si="3"/>
        <v>25.020797555050645</v>
      </c>
      <c r="I28" s="340"/>
      <c r="J28" s="347">
        <f t="shared" si="4"/>
        <v>5.8125000000000009</v>
      </c>
      <c r="K28" s="342">
        <f t="shared" si="5"/>
        <v>0.25000000000000022</v>
      </c>
      <c r="L28" s="349">
        <f t="shared" si="6"/>
        <v>26.304403183464181</v>
      </c>
      <c r="M28" s="344"/>
      <c r="N28" s="347">
        <f t="shared" si="7"/>
        <v>5</v>
      </c>
      <c r="O28" s="342">
        <f t="shared" si="8"/>
        <v>0.25</v>
      </c>
      <c r="P28" s="349">
        <f t="shared" si="9"/>
        <v>24.032152746086098</v>
      </c>
      <c r="Q28" s="344"/>
      <c r="R28" s="347">
        <f t="shared" si="10"/>
        <v>5</v>
      </c>
      <c r="S28" s="342">
        <f t="shared" si="11"/>
        <v>0.25</v>
      </c>
      <c r="T28" s="349">
        <f t="shared" si="12"/>
        <v>24.032152746086098</v>
      </c>
      <c r="U28" s="395"/>
      <c r="V28" s="347">
        <f t="shared" si="13"/>
        <v>5</v>
      </c>
      <c r="W28" s="342">
        <f t="shared" si="14"/>
        <v>0.25</v>
      </c>
      <c r="X28" s="349">
        <f t="shared" si="15"/>
        <v>24.032152746086098</v>
      </c>
    </row>
    <row r="29" spans="1:32" x14ac:dyDescent="0.25">
      <c r="A29" s="293">
        <f t="shared" si="16"/>
        <v>89.846705471759165</v>
      </c>
      <c r="B29" s="337" t="str">
        <f t="shared" si="1"/>
        <v>HCC Paid Search</v>
      </c>
      <c r="C29" s="357">
        <f t="shared" ref="C29:D29" si="23">C13/1000000</f>
        <v>0.2</v>
      </c>
      <c r="D29" s="346">
        <f t="shared" si="23"/>
        <v>17.969341094351833</v>
      </c>
      <c r="E29" s="340"/>
      <c r="F29" s="358">
        <f t="shared" si="2"/>
        <v>0.2</v>
      </c>
      <c r="G29" s="348">
        <f t="shared" si="18"/>
        <v>0</v>
      </c>
      <c r="H29" s="349">
        <f t="shared" si="3"/>
        <v>17.969341094351833</v>
      </c>
      <c r="I29" s="340"/>
      <c r="J29" s="347">
        <f t="shared" si="4"/>
        <v>0.2</v>
      </c>
      <c r="K29" s="342">
        <f t="shared" si="5"/>
        <v>0</v>
      </c>
      <c r="L29" s="349">
        <f t="shared" si="6"/>
        <v>17.969341094351833</v>
      </c>
      <c r="M29" s="344"/>
      <c r="N29" s="347">
        <f t="shared" si="7"/>
        <v>0.2</v>
      </c>
      <c r="O29" s="342">
        <f t="shared" si="8"/>
        <v>0</v>
      </c>
      <c r="P29" s="349">
        <f t="shared" si="9"/>
        <v>17.969341094351833</v>
      </c>
      <c r="Q29" s="344"/>
      <c r="R29" s="347">
        <f t="shared" si="10"/>
        <v>0.2</v>
      </c>
      <c r="S29" s="342">
        <f t="shared" si="11"/>
        <v>0</v>
      </c>
      <c r="T29" s="349">
        <f t="shared" si="12"/>
        <v>17.969341094351833</v>
      </c>
      <c r="U29" s="395"/>
      <c r="V29" s="347">
        <f t="shared" si="13"/>
        <v>0.2</v>
      </c>
      <c r="W29" s="342">
        <f t="shared" si="14"/>
        <v>0</v>
      </c>
      <c r="X29" s="349">
        <f t="shared" si="15"/>
        <v>17.969341094351833</v>
      </c>
    </row>
    <row r="30" spans="1:32" x14ac:dyDescent="0.25">
      <c r="A30" s="293">
        <f t="shared" si="16"/>
        <v>3.7509588618513958</v>
      </c>
      <c r="B30" s="337" t="str">
        <f t="shared" si="1"/>
        <v>HCC Radio</v>
      </c>
      <c r="C30" s="345">
        <f t="shared" ref="C30:D30" si="24">C14/1000000</f>
        <v>2.31</v>
      </c>
      <c r="D30" s="346">
        <f t="shared" si="24"/>
        <v>8.6647149708767248</v>
      </c>
      <c r="E30" s="340"/>
      <c r="F30" s="347">
        <f t="shared" si="2"/>
        <v>2.31</v>
      </c>
      <c r="G30" s="348">
        <f t="shared" si="18"/>
        <v>0</v>
      </c>
      <c r="H30" s="349">
        <f t="shared" si="3"/>
        <v>8.6647149708767248</v>
      </c>
      <c r="I30" s="340"/>
      <c r="J30" s="347">
        <f t="shared" si="4"/>
        <v>2.31</v>
      </c>
      <c r="K30" s="348">
        <f t="shared" ref="K30" si="25">IFERROR(K14,"")</f>
        <v>0</v>
      </c>
      <c r="L30" s="349">
        <f t="shared" si="6"/>
        <v>8.6647149708767248</v>
      </c>
      <c r="M30" s="344"/>
      <c r="N30" s="347">
        <f t="shared" si="7"/>
        <v>2.2000000000000002</v>
      </c>
      <c r="O30" s="348">
        <f t="shared" ref="O30" si="26">IFERROR(O14,"")</f>
        <v>0.46666666666666667</v>
      </c>
      <c r="P30" s="349">
        <f t="shared" si="9"/>
        <v>8.4972532367697085</v>
      </c>
      <c r="Q30" s="344"/>
      <c r="R30" s="347">
        <f t="shared" si="10"/>
        <v>2.2000000000000002</v>
      </c>
      <c r="S30" s="348">
        <f t="shared" ref="S30" si="27">IFERROR(S14,"")</f>
        <v>0.46666666666666667</v>
      </c>
      <c r="T30" s="349">
        <f t="shared" si="12"/>
        <v>8.4972532367697085</v>
      </c>
      <c r="U30" s="395"/>
      <c r="V30" s="347">
        <f t="shared" si="13"/>
        <v>2.2000000000000002</v>
      </c>
      <c r="W30" s="348">
        <f t="shared" ref="W30" si="28">IFERROR(W14,"")</f>
        <v>0.46666666666666667</v>
      </c>
      <c r="X30" s="349">
        <f t="shared" si="15"/>
        <v>8.4972532367697085</v>
      </c>
    </row>
    <row r="31" spans="1:32" x14ac:dyDescent="0.25">
      <c r="A31" s="293">
        <f t="shared" si="16"/>
        <v>1.4578260826464773</v>
      </c>
      <c r="B31" s="337" t="str">
        <f t="shared" si="1"/>
        <v>HCC Linear TV</v>
      </c>
      <c r="C31" s="345">
        <f t="shared" ref="C31:D32" si="29">C15/1000000</f>
        <v>26.842192700000002</v>
      </c>
      <c r="D31" s="346">
        <f t="shared" si="29"/>
        <v>39.131248633482869</v>
      </c>
      <c r="E31" s="340"/>
      <c r="F31" s="347">
        <f t="shared" si="2"/>
        <v>26.842192700000002</v>
      </c>
      <c r="G31" s="348">
        <f t="shared" si="18"/>
        <v>0</v>
      </c>
      <c r="H31" s="349">
        <f t="shared" si="3"/>
        <v>39.131248633482869</v>
      </c>
      <c r="I31" s="340"/>
      <c r="J31" s="347">
        <f t="shared" si="4"/>
        <v>26.842192700000002</v>
      </c>
      <c r="K31" s="342">
        <f t="shared" si="5"/>
        <v>0</v>
      </c>
      <c r="L31" s="349">
        <f t="shared" si="6"/>
        <v>39.131248633482869</v>
      </c>
      <c r="M31" s="344"/>
      <c r="N31" s="347">
        <f t="shared" si="7"/>
        <v>28.089210999999999</v>
      </c>
      <c r="O31" s="342">
        <f t="shared" si="8"/>
        <v>0</v>
      </c>
      <c r="P31" s="349">
        <f t="shared" si="9"/>
        <v>40.395109654958588</v>
      </c>
      <c r="Q31" s="344"/>
      <c r="R31" s="347">
        <f t="shared" si="10"/>
        <v>28.089210999999999</v>
      </c>
      <c r="S31" s="342">
        <f t="shared" si="11"/>
        <v>0</v>
      </c>
      <c r="T31" s="349">
        <f t="shared" si="12"/>
        <v>40.395109654958588</v>
      </c>
      <c r="U31" s="395"/>
      <c r="V31" s="347">
        <f t="shared" si="13"/>
        <v>28.089210999999999</v>
      </c>
      <c r="W31" s="342">
        <f t="shared" si="14"/>
        <v>0</v>
      </c>
      <c r="X31" s="349">
        <f t="shared" si="15"/>
        <v>40.395109654958588</v>
      </c>
    </row>
    <row r="32" spans="1:32" x14ac:dyDescent="0.25">
      <c r="A32" s="293">
        <f t="shared" si="16"/>
        <v>1.5824491236033582</v>
      </c>
      <c r="B32" s="337" t="str">
        <f t="shared" si="1"/>
        <v>HCC Pharmacy</v>
      </c>
      <c r="C32" s="345">
        <f t="shared" si="29"/>
        <v>3.2</v>
      </c>
      <c r="D32" s="346">
        <f t="shared" si="29"/>
        <v>5.0638371955307466</v>
      </c>
      <c r="E32" s="340"/>
      <c r="F32" s="347">
        <f t="shared" si="2"/>
        <v>3.2</v>
      </c>
      <c r="G32" s="348">
        <f t="shared" si="18"/>
        <v>0</v>
      </c>
      <c r="H32" s="349">
        <f t="shared" si="3"/>
        <v>5.0638371955307466</v>
      </c>
      <c r="I32" s="340"/>
      <c r="J32" s="347">
        <f t="shared" si="4"/>
        <v>3.2</v>
      </c>
      <c r="K32" s="342">
        <f t="shared" si="5"/>
        <v>0</v>
      </c>
      <c r="L32" s="349">
        <f t="shared" si="6"/>
        <v>5.0638371955307466</v>
      </c>
      <c r="M32" s="344"/>
      <c r="N32" s="347">
        <f t="shared" si="7"/>
        <v>3.2</v>
      </c>
      <c r="O32" s="342">
        <f t="shared" si="8"/>
        <v>0</v>
      </c>
      <c r="P32" s="349">
        <f t="shared" si="9"/>
        <v>5.0638371955307466</v>
      </c>
      <c r="Q32" s="344"/>
      <c r="R32" s="347">
        <f t="shared" si="10"/>
        <v>3.2</v>
      </c>
      <c r="S32" s="342">
        <f t="shared" si="11"/>
        <v>0</v>
      </c>
      <c r="T32" s="349">
        <f t="shared" si="12"/>
        <v>5.0638371955307466</v>
      </c>
      <c r="U32" s="395"/>
      <c r="V32" s="347">
        <f t="shared" si="13"/>
        <v>3.2</v>
      </c>
      <c r="W32" s="342">
        <f t="shared" si="14"/>
        <v>0</v>
      </c>
      <c r="X32" s="349">
        <f t="shared" si="15"/>
        <v>5.0638371955307466</v>
      </c>
    </row>
    <row r="33" spans="2:25" ht="29.45" customHeight="1" x14ac:dyDescent="0.25">
      <c r="B33" s="332" t="s">
        <v>198</v>
      </c>
      <c r="C33" s="306">
        <f>C17/1000000</f>
        <v>72.834075290000001</v>
      </c>
      <c r="D33" s="333">
        <f>D17/1000000</f>
        <v>233.56887505072655</v>
      </c>
      <c r="E33" s="334"/>
      <c r="F33" s="307">
        <f>F17/1000000</f>
        <v>74.416575290000011</v>
      </c>
      <c r="G33" s="308">
        <f>G17</f>
        <v>2.1727467448430345E-2</v>
      </c>
      <c r="H33" s="335">
        <f>H17/1000000</f>
        <v>236.6470135905237</v>
      </c>
      <c r="I33" s="334"/>
      <c r="J33" s="307">
        <f>J17/1000000</f>
        <v>75.471575290000004</v>
      </c>
      <c r="K33" s="308">
        <f>K17</f>
        <v>3.6212445747383908E-2</v>
      </c>
      <c r="L33" s="335">
        <f>L17/1000000</f>
        <v>238.5697549219291</v>
      </c>
      <c r="M33" s="336"/>
      <c r="N33" s="307">
        <f>N17/1000000</f>
        <v>88.905663036052744</v>
      </c>
      <c r="O33" s="308">
        <f>O17</f>
        <v>0.22066028410549948</v>
      </c>
      <c r="P33" s="335">
        <f>P17/1000000</f>
        <v>252.07810819319172</v>
      </c>
      <c r="Q33" s="336"/>
      <c r="R33" s="307">
        <f>R17/1000000</f>
        <v>78.90566302420784</v>
      </c>
      <c r="S33" s="308">
        <f>S17</f>
        <v>8.3361911440941405E-2</v>
      </c>
      <c r="T33" s="335">
        <f>T17/1000000</f>
        <v>240.23153743721059</v>
      </c>
      <c r="U33" s="396"/>
      <c r="V33" s="307">
        <f>V17/1000000</f>
        <v>88.905663098127562</v>
      </c>
      <c r="W33" s="308">
        <f>W17</f>
        <v>0.22066028495777654</v>
      </c>
      <c r="X33" s="335">
        <f>X17/1000000</f>
        <v>251.15882499513492</v>
      </c>
      <c r="Y33" s="239"/>
    </row>
    <row r="34" spans="2:25" ht="28.5" customHeight="1" x14ac:dyDescent="0.25">
      <c r="B34" s="332" t="s">
        <v>301</v>
      </c>
      <c r="C34" s="306" t="str">
        <f>_xlfn.CONCAT("ROI  ",C40)</f>
        <v>ROI  3.2</v>
      </c>
      <c r="D34" s="352"/>
      <c r="E34" s="334"/>
      <c r="F34" s="306" t="str">
        <f t="shared" ref="F34:F35" si="30">_xlfn.CONCAT("ROI  ",F40)</f>
        <v>ROI  3.2</v>
      </c>
      <c r="G34" s="308"/>
      <c r="H34" s="352" t="s">
        <v>281</v>
      </c>
      <c r="I34" s="334"/>
      <c r="J34" s="306" t="str">
        <f t="shared" ref="J34:J35" si="31">_xlfn.CONCAT("ROI  ",J40)</f>
        <v>ROI  3.2</v>
      </c>
      <c r="K34" s="308"/>
      <c r="L34" s="352" t="s">
        <v>284</v>
      </c>
      <c r="M34" s="336"/>
      <c r="N34" s="306" t="str">
        <f t="shared" ref="N34:N35" si="32">_xlfn.CONCAT("ROI  ",N40)</f>
        <v>ROI  2.8</v>
      </c>
      <c r="O34" s="308"/>
      <c r="P34" s="352" t="s">
        <v>287</v>
      </c>
      <c r="Q34" s="336"/>
      <c r="R34" s="306" t="str">
        <f t="shared" ref="R34:R35" si="33">_xlfn.CONCAT("ROI  ",R40)</f>
        <v>ROI  3</v>
      </c>
      <c r="S34" s="308"/>
      <c r="T34" s="352" t="s">
        <v>312</v>
      </c>
      <c r="U34" s="397"/>
      <c r="V34" s="306" t="str">
        <f t="shared" ref="V34:V35" si="34">_xlfn.CONCAT("ROI  ",V40)</f>
        <v>ROI  2.8</v>
      </c>
      <c r="W34" s="308"/>
      <c r="X34" s="352" t="s">
        <v>312</v>
      </c>
      <c r="Y34" s="239"/>
    </row>
    <row r="35" spans="2:25" ht="30.6" customHeight="1" x14ac:dyDescent="0.25">
      <c r="B35" s="332" t="s">
        <v>302</v>
      </c>
      <c r="C35" s="306" t="str">
        <f t="shared" ref="C35" si="35">_xlfn.CONCAT("ROI  ",C41)</f>
        <v>ROI  4</v>
      </c>
      <c r="D35" s="352"/>
      <c r="E35" s="334"/>
      <c r="F35" s="306" t="str">
        <f t="shared" si="30"/>
        <v>ROI  4</v>
      </c>
      <c r="G35" s="364"/>
      <c r="H35" s="352" t="s">
        <v>282</v>
      </c>
      <c r="I35" s="334"/>
      <c r="J35" s="306" t="str">
        <f t="shared" si="31"/>
        <v>ROI  4</v>
      </c>
      <c r="K35" s="364"/>
      <c r="L35" s="352" t="s">
        <v>285</v>
      </c>
      <c r="M35" s="336"/>
      <c r="N35" s="306" t="str">
        <f t="shared" si="32"/>
        <v>ROI  3.5</v>
      </c>
      <c r="O35" s="364"/>
      <c r="P35" s="352" t="s">
        <v>288</v>
      </c>
      <c r="Q35" s="336"/>
      <c r="R35" s="306" t="str">
        <f t="shared" si="33"/>
        <v>ROI  3.8</v>
      </c>
      <c r="S35" s="364"/>
      <c r="T35" s="352" t="s">
        <v>313</v>
      </c>
      <c r="U35" s="397"/>
      <c r="V35" s="306" t="str">
        <f t="shared" si="34"/>
        <v>ROI  3.5</v>
      </c>
      <c r="W35" s="364"/>
      <c r="X35" s="352" t="s">
        <v>313</v>
      </c>
      <c r="Y35" s="239"/>
    </row>
    <row r="36" spans="2:25" ht="25.5" x14ac:dyDescent="0.25">
      <c r="B36" s="332" t="s">
        <v>303</v>
      </c>
      <c r="C36" s="306" t="str">
        <f>_xlfn.CONCAT("ROI  ",C42)</f>
        <v>ROI  2.6</v>
      </c>
      <c r="D36" s="352"/>
      <c r="E36" s="334"/>
      <c r="F36" s="306" t="str">
        <f>_xlfn.CONCAT("ROI  ",F42)</f>
        <v>ROI  2.5</v>
      </c>
      <c r="G36" s="364"/>
      <c r="H36" s="352" t="s">
        <v>283</v>
      </c>
      <c r="I36" s="334"/>
      <c r="J36" s="306" t="str">
        <f>_xlfn.CONCAT("ROI  ",J42)</f>
        <v>ROI  2.5</v>
      </c>
      <c r="K36" s="364"/>
      <c r="L36" s="352" t="s">
        <v>286</v>
      </c>
      <c r="M36" s="336"/>
      <c r="N36" s="306" t="str">
        <f>_xlfn.CONCAT("ROI  ",N42)</f>
        <v>ROI  2.3</v>
      </c>
      <c r="O36" s="364"/>
      <c r="P36" s="352" t="s">
        <v>289</v>
      </c>
      <c r="Q36" s="336"/>
      <c r="R36" s="306" t="str">
        <f>_xlfn.CONCAT("ROI  ",R42)</f>
        <v>ROI  2.4</v>
      </c>
      <c r="S36" s="364"/>
      <c r="T36" s="352" t="s">
        <v>314</v>
      </c>
      <c r="U36" s="397"/>
      <c r="V36" s="306" t="str">
        <f>_xlfn.CONCAT("ROI  ",V42)</f>
        <v>ROI  2.3</v>
      </c>
      <c r="W36" s="364"/>
      <c r="X36" s="352" t="s">
        <v>314</v>
      </c>
      <c r="Y36" s="239"/>
    </row>
    <row r="37" spans="2:25" x14ac:dyDescent="0.25">
      <c r="B37" s="295"/>
      <c r="C37" s="295"/>
      <c r="D37" s="295"/>
      <c r="E37" s="295"/>
      <c r="F37" s="295"/>
      <c r="G37" s="295"/>
      <c r="H37" s="353">
        <f>(H33-$D$33)</f>
        <v>3.0781385397971519</v>
      </c>
      <c r="I37" s="295"/>
      <c r="J37" s="295"/>
      <c r="K37" s="295"/>
      <c r="L37" s="353">
        <f>(L33-$D$33)</f>
        <v>5.0008798712025566</v>
      </c>
      <c r="M37" s="295"/>
      <c r="N37" s="295"/>
      <c r="O37" s="295"/>
      <c r="P37" s="353">
        <f>(P33-$D$33)</f>
        <v>18.509233142465177</v>
      </c>
      <c r="Q37" s="295"/>
      <c r="R37" s="295"/>
      <c r="S37" s="295"/>
      <c r="T37" s="353">
        <f>(T33-$D$33)</f>
        <v>6.662662386484044</v>
      </c>
      <c r="U37" s="398"/>
      <c r="V37" s="295"/>
      <c r="W37" s="295"/>
      <c r="X37" s="353">
        <f>(X33-$D$33)</f>
        <v>17.589949944408374</v>
      </c>
    </row>
    <row r="38" spans="2:25" x14ac:dyDescent="0.25">
      <c r="B38" s="295"/>
      <c r="C38" s="295"/>
      <c r="D38" s="295"/>
      <c r="E38" s="295"/>
      <c r="F38" s="295"/>
      <c r="G38" s="295"/>
      <c r="H38" s="354">
        <f>H37/$D$33</f>
        <v>1.3178718864526111E-2</v>
      </c>
      <c r="I38" s="295"/>
      <c r="J38" s="295"/>
      <c r="K38" s="295"/>
      <c r="L38" s="354">
        <f>L37/$D$33</f>
        <v>2.1410728934308839E-2</v>
      </c>
      <c r="M38" s="295"/>
      <c r="N38" s="295"/>
      <c r="O38" s="295"/>
      <c r="P38" s="354">
        <f>P37/$D$33</f>
        <v>7.9245289589399859E-2</v>
      </c>
      <c r="Q38" s="295"/>
      <c r="R38" s="295"/>
      <c r="S38" s="295"/>
      <c r="T38" s="354">
        <f>T37/$D$33</f>
        <v>2.8525471919308792E-2</v>
      </c>
      <c r="U38" s="354"/>
      <c r="V38" s="295"/>
      <c r="W38" s="295"/>
      <c r="X38" s="354">
        <f>X37/$D$33</f>
        <v>7.5309477517448264E-2</v>
      </c>
    </row>
    <row r="39" spans="2:25" x14ac:dyDescent="0.25">
      <c r="B39" s="295"/>
      <c r="C39" s="295"/>
      <c r="D39" s="295"/>
      <c r="E39" s="295"/>
      <c r="F39" s="295"/>
      <c r="G39" s="295"/>
      <c r="H39" s="353">
        <f>H37*1.25</f>
        <v>3.8476731747464399</v>
      </c>
      <c r="I39" s="295"/>
      <c r="J39" s="295"/>
      <c r="K39" s="295"/>
      <c r="L39" s="353">
        <f>L37*1.25</f>
        <v>6.2510998390031958</v>
      </c>
      <c r="M39" s="295"/>
      <c r="N39" s="295"/>
      <c r="O39" s="295"/>
      <c r="P39" s="353">
        <f>P37*1.25</f>
        <v>23.136541428081472</v>
      </c>
      <c r="Q39" s="295"/>
      <c r="R39" s="295"/>
      <c r="S39" s="295"/>
      <c r="T39" s="353">
        <f>T37*1.25</f>
        <v>8.328327983105055</v>
      </c>
      <c r="U39" s="398"/>
      <c r="V39" s="295"/>
      <c r="W39" s="295"/>
      <c r="X39" s="353">
        <f>X37*1.25</f>
        <v>21.987437430510468</v>
      </c>
    </row>
    <row r="40" spans="2:25" x14ac:dyDescent="0.25">
      <c r="B40" s="295"/>
      <c r="C40" s="366">
        <f>ROUND(D33/C33,1)</f>
        <v>3.2</v>
      </c>
      <c r="D40" s="295"/>
      <c r="E40" s="295"/>
      <c r="F40" s="366">
        <f>ROUND(H33/F33,1)</f>
        <v>3.2</v>
      </c>
      <c r="G40" s="295"/>
      <c r="H40" s="354">
        <f>H39/(D33*1.25)</f>
        <v>1.3178718864526111E-2</v>
      </c>
      <c r="I40" s="295"/>
      <c r="J40" s="366">
        <f>ROUND(L33/J33,1)</f>
        <v>3.2</v>
      </c>
      <c r="K40" s="295"/>
      <c r="L40" s="354">
        <f>L39/($D$33*1.25)</f>
        <v>2.1410728934308839E-2</v>
      </c>
      <c r="M40" s="295"/>
      <c r="N40" s="366">
        <f>ROUND(P33/N33,1)</f>
        <v>2.8</v>
      </c>
      <c r="O40" s="295"/>
      <c r="P40" s="354">
        <f>P39/($D$33*1.25)</f>
        <v>7.9245289589399859E-2</v>
      </c>
      <c r="Q40" s="295"/>
      <c r="R40" s="366">
        <f>ROUND(T33/R33,1)</f>
        <v>3</v>
      </c>
      <c r="S40" s="295"/>
      <c r="T40" s="354">
        <f>T39/($D$33*1.25)</f>
        <v>2.8525471919308792E-2</v>
      </c>
      <c r="U40" s="354"/>
      <c r="V40" s="366">
        <f>ROUND(X33/V33,1)</f>
        <v>2.8</v>
      </c>
      <c r="W40" s="295"/>
      <c r="X40" s="354">
        <f>X39/($D$33*1.25)</f>
        <v>7.5309477517448264E-2</v>
      </c>
    </row>
    <row r="41" spans="2:25" x14ac:dyDescent="0.25">
      <c r="B41" s="295"/>
      <c r="C41" s="366">
        <f>ROUND(D33*1.25/C33,1)</f>
        <v>4</v>
      </c>
      <c r="D41" s="295"/>
      <c r="E41" s="295"/>
      <c r="F41" s="366">
        <f>ROUND(H33*1.25/F33,1)</f>
        <v>4</v>
      </c>
      <c r="G41" s="295"/>
      <c r="H41" s="353">
        <f>H37*0.8</f>
        <v>2.4625108318377218</v>
      </c>
      <c r="I41" s="295"/>
      <c r="J41" s="366">
        <f>ROUND(L33*1.25/J33,1)</f>
        <v>4</v>
      </c>
      <c r="K41" s="295"/>
      <c r="L41" s="353">
        <f>L37*0.8</f>
        <v>4.0007038969620456</v>
      </c>
      <c r="M41" s="295"/>
      <c r="N41" s="366">
        <f>ROUND(P33*1.25/N33,1)</f>
        <v>3.5</v>
      </c>
      <c r="O41" s="295"/>
      <c r="P41" s="353">
        <f>P37*0.8</f>
        <v>14.807386513972142</v>
      </c>
      <c r="Q41" s="295"/>
      <c r="R41" s="366">
        <f>ROUND(T33*1.25/R33,1)</f>
        <v>3.8</v>
      </c>
      <c r="S41" s="295"/>
      <c r="T41" s="353">
        <f>T37*0.8</f>
        <v>5.3301299091872352</v>
      </c>
      <c r="U41" s="398"/>
      <c r="V41" s="366">
        <f>ROUND(X33*1.25/V33,1)</f>
        <v>3.5</v>
      </c>
      <c r="W41" s="295"/>
      <c r="X41" s="353">
        <f>X37*0.8</f>
        <v>14.071959955526701</v>
      </c>
    </row>
    <row r="42" spans="2:25" x14ac:dyDescent="0.25">
      <c r="B42" s="295"/>
      <c r="C42" s="366">
        <f>ROUND(D33*0.8/C33,1)</f>
        <v>2.6</v>
      </c>
      <c r="D42" s="295"/>
      <c r="E42" s="295"/>
      <c r="F42" s="366">
        <f>ROUND(H33*0.8/F33,1)</f>
        <v>2.5</v>
      </c>
      <c r="G42" s="295"/>
      <c r="H42" s="354">
        <f>H41/($D$33*0.8)</f>
        <v>1.3178718864526111E-2</v>
      </c>
      <c r="I42" s="295"/>
      <c r="J42" s="366">
        <f>ROUND(L33*0.8/J33,1)</f>
        <v>2.5</v>
      </c>
      <c r="K42" s="295"/>
      <c r="L42" s="354">
        <f>L41/($D$33*0.8)</f>
        <v>2.1410728934308839E-2</v>
      </c>
      <c r="M42" s="295"/>
      <c r="N42" s="366">
        <f>ROUND(P33*0.8/N33,1)</f>
        <v>2.2999999999999998</v>
      </c>
      <c r="O42" s="295"/>
      <c r="P42" s="354">
        <f>P41/($D$33*0.8)</f>
        <v>7.9245289589399859E-2</v>
      </c>
      <c r="Q42" s="295"/>
      <c r="R42" s="366">
        <f>ROUND(T33*0.8/R33,1)</f>
        <v>2.4</v>
      </c>
      <c r="S42" s="295"/>
      <c r="T42" s="354">
        <f>T41/($D$33*0.8)</f>
        <v>2.8525471919308789E-2</v>
      </c>
      <c r="U42" s="354"/>
      <c r="V42" s="366">
        <f>ROUND(X33*0.8/V33,1)</f>
        <v>2.2999999999999998</v>
      </c>
      <c r="W42" s="295"/>
      <c r="X42" s="354">
        <f>X41/($D$33*0.8)</f>
        <v>7.5309477517448264E-2</v>
      </c>
    </row>
    <row r="43" spans="2:25" x14ac:dyDescent="0.25">
      <c r="B43" s="295"/>
      <c r="C43" s="366"/>
      <c r="D43" s="295"/>
      <c r="E43" s="295"/>
      <c r="F43" s="366"/>
      <c r="G43" s="295"/>
      <c r="H43" s="354"/>
      <c r="I43" s="295"/>
      <c r="J43" s="366"/>
      <c r="K43" s="295"/>
      <c r="L43" s="354"/>
      <c r="M43" s="295"/>
      <c r="N43" s="366"/>
      <c r="O43" s="295"/>
      <c r="P43" s="354"/>
      <c r="Q43" s="295"/>
      <c r="R43" s="366"/>
      <c r="S43" s="295"/>
      <c r="T43" s="354"/>
      <c r="U43" s="354"/>
      <c r="V43" s="354"/>
      <c r="W43" s="354"/>
      <c r="X43" s="354"/>
    </row>
    <row r="44" spans="2:25" x14ac:dyDescent="0.25">
      <c r="B44" s="295"/>
      <c r="C44" s="366"/>
      <c r="D44" s="295"/>
      <c r="E44" s="295"/>
      <c r="F44" s="366"/>
      <c r="G44" s="295"/>
      <c r="H44" s="354"/>
      <c r="I44" s="295"/>
      <c r="J44" s="366"/>
      <c r="K44" s="295"/>
      <c r="L44" s="354"/>
      <c r="M44" s="295"/>
      <c r="N44" s="366"/>
      <c r="O44" s="295"/>
      <c r="P44" s="354"/>
      <c r="Q44" s="295"/>
      <c r="R44" s="366"/>
      <c r="S44" s="295"/>
      <c r="T44" s="354"/>
      <c r="U44" s="354"/>
      <c r="V44" s="354"/>
      <c r="W44" s="354"/>
      <c r="X44" s="354"/>
    </row>
    <row r="45" spans="2:25" x14ac:dyDescent="0.25">
      <c r="F45" s="425" t="str">
        <f>F4</f>
        <v>Optimal channel spend allowed to vary based on custom limits  for 2024 channel spend</v>
      </c>
      <c r="G45" s="426"/>
      <c r="H45" s="426"/>
      <c r="I45" s="426"/>
      <c r="J45" s="426"/>
      <c r="K45" s="426"/>
      <c r="L45" s="426"/>
      <c r="M45" s="426"/>
      <c r="N45" s="426"/>
      <c r="O45" s="426"/>
      <c r="P45" s="427"/>
      <c r="Q45" s="295"/>
    </row>
    <row r="46" spans="2:25" ht="30" customHeight="1" x14ac:dyDescent="0.25">
      <c r="B46" s="295"/>
      <c r="C46" s="437" t="s">
        <v>291</v>
      </c>
      <c r="D46" s="438"/>
      <c r="E46" s="296"/>
      <c r="F46" s="422" t="str">
        <f>F5</f>
        <v>15% Increase in Budget (Social, OLV &amp; Display) ($74.4MM)</v>
      </c>
      <c r="G46" s="423"/>
      <c r="H46" s="424"/>
      <c r="I46" s="351"/>
      <c r="J46" s="422" t="str">
        <f>J5</f>
        <v>25% Increase in Budget (Social, OLV &amp; Display) ($75.5MM)</v>
      </c>
      <c r="K46" s="423"/>
      <c r="L46" s="424"/>
      <c r="M46" s="295"/>
      <c r="N46" s="431" t="str">
        <f>N5</f>
        <v xml:space="preserve"> 20M Increase in Spend ($89M)    (Stretch Max)</v>
      </c>
      <c r="O46" s="432"/>
      <c r="P46" s="433"/>
      <c r="Q46" s="295"/>
      <c r="R46" s="434" t="str">
        <f>R5</f>
        <v xml:space="preserve"> 10M Increase in Spend ($79M) with OLV and socail 40% cap</v>
      </c>
      <c r="S46" s="435"/>
      <c r="T46" s="436"/>
      <c r="U46" s="394"/>
      <c r="V46" s="434" t="str">
        <f>V5</f>
        <v xml:space="preserve"> 20M Increase in Spend ($89M) with OLV and socail 40% cap</v>
      </c>
      <c r="W46" s="435"/>
      <c r="X46" s="436"/>
    </row>
    <row r="47" spans="2:25" ht="29.25" customHeight="1" x14ac:dyDescent="0.25">
      <c r="B47" s="301" t="s">
        <v>194</v>
      </c>
      <c r="C47" s="297" t="s">
        <v>199</v>
      </c>
      <c r="D47" s="384" t="s">
        <v>290</v>
      </c>
      <c r="E47" s="299"/>
      <c r="F47" s="300" t="s">
        <v>200</v>
      </c>
      <c r="G47" s="298" t="s">
        <v>196</v>
      </c>
      <c r="H47" s="384" t="s">
        <v>290</v>
      </c>
      <c r="I47" s="299"/>
      <c r="J47" s="300" t="s">
        <v>200</v>
      </c>
      <c r="K47" s="298" t="s">
        <v>196</v>
      </c>
      <c r="L47" s="384" t="s">
        <v>290</v>
      </c>
      <c r="M47" s="295"/>
      <c r="N47" s="300" t="s">
        <v>200</v>
      </c>
      <c r="O47" s="298" t="s">
        <v>196</v>
      </c>
      <c r="P47" s="298" t="s">
        <v>290</v>
      </c>
      <c r="Q47" s="295"/>
      <c r="R47" s="300" t="s">
        <v>200</v>
      </c>
      <c r="S47" s="298" t="s">
        <v>196</v>
      </c>
      <c r="T47" s="298" t="s">
        <v>290</v>
      </c>
      <c r="U47" s="399"/>
      <c r="V47" s="300" t="s">
        <v>200</v>
      </c>
      <c r="W47" s="298" t="s">
        <v>196</v>
      </c>
      <c r="X47" s="298" t="s">
        <v>290</v>
      </c>
    </row>
    <row r="48" spans="2:25" x14ac:dyDescent="0.25">
      <c r="B48" s="337" t="str">
        <f>B23</f>
        <v>HCC InOffice</v>
      </c>
      <c r="C48" s="338">
        <f>C23</f>
        <v>0.3</v>
      </c>
      <c r="D48" s="376">
        <f>D23*1000000/VAC_Optim_Scenario!$E$33</f>
        <v>2483.0652365162969</v>
      </c>
      <c r="E48" s="340"/>
      <c r="F48" s="341">
        <f>F23</f>
        <v>0.3</v>
      </c>
      <c r="G48" s="342">
        <f>G23</f>
        <v>0</v>
      </c>
      <c r="H48" s="376">
        <f>H23*1000000/VAC_Optim_Scenario!$E$33</f>
        <v>2483.0652365162969</v>
      </c>
      <c r="I48" s="340"/>
      <c r="J48" s="341">
        <f>J23</f>
        <v>0.3</v>
      </c>
      <c r="K48" s="342">
        <f>K23</f>
        <v>0</v>
      </c>
      <c r="L48" s="376">
        <f>L23*1000000/VAC_Optim_Scenario!$E$33</f>
        <v>2483.0652365162969</v>
      </c>
      <c r="M48" s="344"/>
      <c r="N48" s="341">
        <f>N23</f>
        <v>1.0265980761272226</v>
      </c>
      <c r="O48" s="342">
        <f>O23</f>
        <v>2.6598076127222738E-2</v>
      </c>
      <c r="P48" s="376">
        <f>P23*1000000/VAC_Optim_Scenario!$E$33</f>
        <v>6870.1090750833973</v>
      </c>
      <c r="Q48" s="344"/>
      <c r="R48" s="341">
        <f>R23</f>
        <v>0.9</v>
      </c>
      <c r="S48" s="342">
        <f>S23</f>
        <v>-0.1</v>
      </c>
      <c r="T48" s="376">
        <f>T23*1000000/VAC_Optim_Scenario!$E$33</f>
        <v>6242.5057294806466</v>
      </c>
      <c r="U48" s="400"/>
      <c r="V48" s="341">
        <f>V23</f>
        <v>1.1241075439092814</v>
      </c>
      <c r="W48" s="342">
        <f>W23</f>
        <v>0.12410754390928126</v>
      </c>
      <c r="X48" s="376">
        <f>X23*1000000/VAC_Optim_Scenario!$E$33</f>
        <v>7320.5365611007437</v>
      </c>
    </row>
    <row r="49" spans="1:16380" x14ac:dyDescent="0.25">
      <c r="A49" s="375"/>
      <c r="B49" s="337" t="str">
        <f t="shared" ref="B49:B57" si="36">B24</f>
        <v>HCP MCM</v>
      </c>
      <c r="C49" s="345">
        <f t="shared" ref="C49:C58" si="37">C24</f>
        <v>21.864999999999998</v>
      </c>
      <c r="D49" s="377">
        <f>D24*1000000/VAC_Optim_Scenario!$E$33</f>
        <v>479070.85863623861</v>
      </c>
      <c r="E49" s="340">
        <f t="shared" ref="E49:BL49" si="38">E48*0.8</f>
        <v>0</v>
      </c>
      <c r="F49" s="347">
        <f t="shared" ref="F49:G58" si="39">F24</f>
        <v>21.864999999999998</v>
      </c>
      <c r="G49" s="348">
        <f t="shared" si="39"/>
        <v>0</v>
      </c>
      <c r="H49" s="377">
        <f>H24*1000000/VAC_Optim_Scenario!$E$33</f>
        <v>479070.85863623861</v>
      </c>
      <c r="I49" s="340">
        <f t="shared" si="38"/>
        <v>0</v>
      </c>
      <c r="J49" s="347">
        <f t="shared" ref="J49:K49" si="40">J24</f>
        <v>21.864999999999998</v>
      </c>
      <c r="K49" s="342">
        <f t="shared" si="40"/>
        <v>0</v>
      </c>
      <c r="L49" s="377">
        <f>L24*1000000/VAC_Optim_Scenario!$E$33</f>
        <v>479070.85863623861</v>
      </c>
      <c r="M49" s="344">
        <f t="shared" si="38"/>
        <v>0</v>
      </c>
      <c r="N49" s="347">
        <f t="shared" ref="N49:O49" si="41">N24</f>
        <v>21</v>
      </c>
      <c r="O49" s="342">
        <f t="shared" si="41"/>
        <v>0.2390842577295256</v>
      </c>
      <c r="P49" s="377">
        <f>P24*1000000/VAC_Optim_Scenario!$E$33</f>
        <v>467933.02080957498</v>
      </c>
      <c r="Q49" s="344"/>
      <c r="R49" s="347">
        <f t="shared" ref="R49:S49" si="42">R24</f>
        <v>21</v>
      </c>
      <c r="S49" s="342">
        <f t="shared" si="42"/>
        <v>0.2390842577295256</v>
      </c>
      <c r="T49" s="377">
        <f>T24*1000000/VAC_Optim_Scenario!$E$33</f>
        <v>467933.02080957498</v>
      </c>
      <c r="U49" s="400"/>
      <c r="V49" s="347">
        <f t="shared" ref="V49:W49" si="43">V24</f>
        <v>21</v>
      </c>
      <c r="W49" s="342">
        <f t="shared" si="43"/>
        <v>0.2390842577295256</v>
      </c>
      <c r="X49" s="377">
        <f>X24*1000000/VAC_Optim_Scenario!$E$33</f>
        <v>467933.02080957498</v>
      </c>
      <c r="Y49" s="375"/>
      <c r="Z49" s="375">
        <f t="shared" si="38"/>
        <v>0</v>
      </c>
      <c r="AA49" s="375">
        <f t="shared" si="38"/>
        <v>0</v>
      </c>
      <c r="AB49" s="375">
        <f t="shared" si="38"/>
        <v>0</v>
      </c>
      <c r="AC49" s="375">
        <f t="shared" si="38"/>
        <v>0</v>
      </c>
      <c r="AD49" s="375">
        <f t="shared" si="38"/>
        <v>0</v>
      </c>
      <c r="AE49" s="375">
        <f t="shared" si="38"/>
        <v>0</v>
      </c>
      <c r="AF49" s="375">
        <f t="shared" si="38"/>
        <v>0</v>
      </c>
      <c r="AG49" s="375">
        <f t="shared" si="38"/>
        <v>0</v>
      </c>
      <c r="AH49" s="375">
        <f t="shared" si="38"/>
        <v>0</v>
      </c>
      <c r="AI49" s="375">
        <f t="shared" si="38"/>
        <v>0</v>
      </c>
      <c r="AJ49" s="375">
        <f t="shared" si="38"/>
        <v>0</v>
      </c>
      <c r="AK49" s="375">
        <f t="shared" si="38"/>
        <v>0</v>
      </c>
      <c r="AL49" s="375">
        <f t="shared" si="38"/>
        <v>0</v>
      </c>
      <c r="AM49" s="375">
        <f t="shared" si="38"/>
        <v>0</v>
      </c>
      <c r="AN49" s="375">
        <f t="shared" si="38"/>
        <v>0</v>
      </c>
      <c r="AO49" s="375">
        <f t="shared" si="38"/>
        <v>0</v>
      </c>
      <c r="AP49" s="375">
        <f t="shared" si="38"/>
        <v>0</v>
      </c>
      <c r="AQ49" s="375">
        <f t="shared" si="38"/>
        <v>0</v>
      </c>
      <c r="AR49" s="375">
        <f t="shared" si="38"/>
        <v>0</v>
      </c>
      <c r="AS49" s="375">
        <f t="shared" si="38"/>
        <v>0</v>
      </c>
      <c r="AT49" s="375">
        <f t="shared" si="38"/>
        <v>0</v>
      </c>
      <c r="AU49" s="375">
        <f t="shared" si="38"/>
        <v>0</v>
      </c>
      <c r="AV49" s="375">
        <f t="shared" si="38"/>
        <v>0</v>
      </c>
      <c r="AW49" s="375">
        <f t="shared" si="38"/>
        <v>0</v>
      </c>
      <c r="AX49" s="375">
        <f t="shared" si="38"/>
        <v>0</v>
      </c>
      <c r="AY49" s="375">
        <f t="shared" si="38"/>
        <v>0</v>
      </c>
      <c r="AZ49" s="375">
        <f t="shared" si="38"/>
        <v>0</v>
      </c>
      <c r="BA49" s="375">
        <f t="shared" si="38"/>
        <v>0</v>
      </c>
      <c r="BB49" s="375">
        <f t="shared" si="38"/>
        <v>0</v>
      </c>
      <c r="BC49" s="375">
        <f t="shared" si="38"/>
        <v>0</v>
      </c>
      <c r="BD49" s="375">
        <f t="shared" si="38"/>
        <v>0</v>
      </c>
      <c r="BE49" s="375">
        <f t="shared" si="38"/>
        <v>0</v>
      </c>
      <c r="BF49" s="375">
        <f t="shared" si="38"/>
        <v>0</v>
      </c>
      <c r="BG49" s="375">
        <f t="shared" si="38"/>
        <v>0</v>
      </c>
      <c r="BH49" s="375">
        <f t="shared" si="38"/>
        <v>0</v>
      </c>
      <c r="BI49" s="375">
        <f t="shared" si="38"/>
        <v>0</v>
      </c>
      <c r="BJ49" s="375">
        <f t="shared" si="38"/>
        <v>0</v>
      </c>
      <c r="BK49" s="375">
        <f t="shared" si="38"/>
        <v>0</v>
      </c>
      <c r="BL49" s="375">
        <f t="shared" si="38"/>
        <v>0</v>
      </c>
      <c r="BM49" s="375">
        <f t="shared" ref="BM49:DX49" si="44">BM48*0.8</f>
        <v>0</v>
      </c>
      <c r="BN49" s="375">
        <f t="shared" si="44"/>
        <v>0</v>
      </c>
      <c r="BO49" s="375">
        <f t="shared" si="44"/>
        <v>0</v>
      </c>
      <c r="BP49" s="375">
        <f t="shared" si="44"/>
        <v>0</v>
      </c>
      <c r="BQ49" s="375">
        <f t="shared" si="44"/>
        <v>0</v>
      </c>
      <c r="BR49" s="375">
        <f t="shared" si="44"/>
        <v>0</v>
      </c>
      <c r="BS49" s="375">
        <f t="shared" si="44"/>
        <v>0</v>
      </c>
      <c r="BT49" s="375">
        <f t="shared" si="44"/>
        <v>0</v>
      </c>
      <c r="BU49" s="375">
        <f t="shared" si="44"/>
        <v>0</v>
      </c>
      <c r="BV49" s="375">
        <f t="shared" si="44"/>
        <v>0</v>
      </c>
      <c r="BW49" s="375">
        <f t="shared" si="44"/>
        <v>0</v>
      </c>
      <c r="BX49" s="375">
        <f t="shared" si="44"/>
        <v>0</v>
      </c>
      <c r="BY49" s="375">
        <f t="shared" si="44"/>
        <v>0</v>
      </c>
      <c r="BZ49" s="375">
        <f t="shared" si="44"/>
        <v>0</v>
      </c>
      <c r="CA49" s="375">
        <f t="shared" si="44"/>
        <v>0</v>
      </c>
      <c r="CB49" s="375">
        <f t="shared" si="44"/>
        <v>0</v>
      </c>
      <c r="CC49" s="375">
        <f t="shared" si="44"/>
        <v>0</v>
      </c>
      <c r="CD49" s="375">
        <f t="shared" si="44"/>
        <v>0</v>
      </c>
      <c r="CE49" s="375">
        <f t="shared" si="44"/>
        <v>0</v>
      </c>
      <c r="CF49" s="375">
        <f t="shared" si="44"/>
        <v>0</v>
      </c>
      <c r="CG49" s="375">
        <f t="shared" si="44"/>
        <v>0</v>
      </c>
      <c r="CH49" s="375">
        <f t="shared" si="44"/>
        <v>0</v>
      </c>
      <c r="CI49" s="375">
        <f t="shared" si="44"/>
        <v>0</v>
      </c>
      <c r="CJ49" s="375">
        <f t="shared" si="44"/>
        <v>0</v>
      </c>
      <c r="CK49" s="375">
        <f t="shared" si="44"/>
        <v>0</v>
      </c>
      <c r="CL49" s="375">
        <f t="shared" si="44"/>
        <v>0</v>
      </c>
      <c r="CM49" s="375">
        <f t="shared" si="44"/>
        <v>0</v>
      </c>
      <c r="CN49" s="375">
        <f t="shared" si="44"/>
        <v>0</v>
      </c>
      <c r="CO49" s="375">
        <f t="shared" si="44"/>
        <v>0</v>
      </c>
      <c r="CP49" s="375">
        <f t="shared" si="44"/>
        <v>0</v>
      </c>
      <c r="CQ49" s="375">
        <f t="shared" si="44"/>
        <v>0</v>
      </c>
      <c r="CR49" s="375">
        <f t="shared" si="44"/>
        <v>0</v>
      </c>
      <c r="CS49" s="375">
        <f t="shared" si="44"/>
        <v>0</v>
      </c>
      <c r="CT49" s="375">
        <f t="shared" si="44"/>
        <v>0</v>
      </c>
      <c r="CU49" s="375">
        <f t="shared" si="44"/>
        <v>0</v>
      </c>
      <c r="CV49" s="375">
        <f t="shared" si="44"/>
        <v>0</v>
      </c>
      <c r="CW49" s="375">
        <f t="shared" si="44"/>
        <v>0</v>
      </c>
      <c r="CX49" s="375">
        <f t="shared" si="44"/>
        <v>0</v>
      </c>
      <c r="CY49" s="375">
        <f t="shared" si="44"/>
        <v>0</v>
      </c>
      <c r="CZ49" s="375">
        <f t="shared" si="44"/>
        <v>0</v>
      </c>
      <c r="DA49" s="375">
        <f t="shared" si="44"/>
        <v>0</v>
      </c>
      <c r="DB49" s="375">
        <f t="shared" si="44"/>
        <v>0</v>
      </c>
      <c r="DC49" s="375">
        <f t="shared" si="44"/>
        <v>0</v>
      </c>
      <c r="DD49" s="375">
        <f t="shared" si="44"/>
        <v>0</v>
      </c>
      <c r="DE49" s="375">
        <f t="shared" si="44"/>
        <v>0</v>
      </c>
      <c r="DF49" s="375">
        <f t="shared" si="44"/>
        <v>0</v>
      </c>
      <c r="DG49" s="375">
        <f t="shared" si="44"/>
        <v>0</v>
      </c>
      <c r="DH49" s="375">
        <f t="shared" si="44"/>
        <v>0</v>
      </c>
      <c r="DI49" s="375">
        <f t="shared" si="44"/>
        <v>0</v>
      </c>
      <c r="DJ49" s="375">
        <f t="shared" si="44"/>
        <v>0</v>
      </c>
      <c r="DK49" s="375">
        <f t="shared" si="44"/>
        <v>0</v>
      </c>
      <c r="DL49" s="375">
        <f t="shared" si="44"/>
        <v>0</v>
      </c>
      <c r="DM49" s="375">
        <f t="shared" si="44"/>
        <v>0</v>
      </c>
      <c r="DN49" s="375">
        <f t="shared" si="44"/>
        <v>0</v>
      </c>
      <c r="DO49" s="375">
        <f t="shared" si="44"/>
        <v>0</v>
      </c>
      <c r="DP49" s="375">
        <f t="shared" si="44"/>
        <v>0</v>
      </c>
      <c r="DQ49" s="375">
        <f t="shared" si="44"/>
        <v>0</v>
      </c>
      <c r="DR49" s="375">
        <f t="shared" si="44"/>
        <v>0</v>
      </c>
      <c r="DS49" s="375">
        <f t="shared" si="44"/>
        <v>0</v>
      </c>
      <c r="DT49" s="375">
        <f t="shared" si="44"/>
        <v>0</v>
      </c>
      <c r="DU49" s="375">
        <f t="shared" si="44"/>
        <v>0</v>
      </c>
      <c r="DV49" s="375">
        <f t="shared" si="44"/>
        <v>0</v>
      </c>
      <c r="DW49" s="375">
        <f t="shared" si="44"/>
        <v>0</v>
      </c>
      <c r="DX49" s="375">
        <f t="shared" si="44"/>
        <v>0</v>
      </c>
      <c r="DY49" s="375">
        <f t="shared" ref="DY49:GJ49" si="45">DY48*0.8</f>
        <v>0</v>
      </c>
      <c r="DZ49" s="375">
        <f t="shared" si="45"/>
        <v>0</v>
      </c>
      <c r="EA49" s="375">
        <f t="shared" si="45"/>
        <v>0</v>
      </c>
      <c r="EB49" s="375">
        <f t="shared" si="45"/>
        <v>0</v>
      </c>
      <c r="EC49" s="375">
        <f t="shared" si="45"/>
        <v>0</v>
      </c>
      <c r="ED49" s="375">
        <f t="shared" si="45"/>
        <v>0</v>
      </c>
      <c r="EE49" s="375">
        <f t="shared" si="45"/>
        <v>0</v>
      </c>
      <c r="EF49" s="375">
        <f t="shared" si="45"/>
        <v>0</v>
      </c>
      <c r="EG49" s="375">
        <f t="shared" si="45"/>
        <v>0</v>
      </c>
      <c r="EH49" s="375">
        <f t="shared" si="45"/>
        <v>0</v>
      </c>
      <c r="EI49" s="375">
        <f t="shared" si="45"/>
        <v>0</v>
      </c>
      <c r="EJ49" s="375">
        <f t="shared" si="45"/>
        <v>0</v>
      </c>
      <c r="EK49" s="375">
        <f t="shared" si="45"/>
        <v>0</v>
      </c>
      <c r="EL49" s="375">
        <f t="shared" si="45"/>
        <v>0</v>
      </c>
      <c r="EM49" s="375">
        <f t="shared" si="45"/>
        <v>0</v>
      </c>
      <c r="EN49" s="375">
        <f t="shared" si="45"/>
        <v>0</v>
      </c>
      <c r="EO49" s="375">
        <f t="shared" si="45"/>
        <v>0</v>
      </c>
      <c r="EP49" s="375">
        <f t="shared" si="45"/>
        <v>0</v>
      </c>
      <c r="EQ49" s="375">
        <f t="shared" si="45"/>
        <v>0</v>
      </c>
      <c r="ER49" s="375">
        <f t="shared" si="45"/>
        <v>0</v>
      </c>
      <c r="ES49" s="375">
        <f t="shared" si="45"/>
        <v>0</v>
      </c>
      <c r="ET49" s="375">
        <f t="shared" si="45"/>
        <v>0</v>
      </c>
      <c r="EU49" s="375">
        <f t="shared" si="45"/>
        <v>0</v>
      </c>
      <c r="EV49" s="375">
        <f t="shared" si="45"/>
        <v>0</v>
      </c>
      <c r="EW49" s="375">
        <f t="shared" si="45"/>
        <v>0</v>
      </c>
      <c r="EX49" s="375">
        <f t="shared" si="45"/>
        <v>0</v>
      </c>
      <c r="EY49" s="375">
        <f t="shared" si="45"/>
        <v>0</v>
      </c>
      <c r="EZ49" s="375">
        <f t="shared" si="45"/>
        <v>0</v>
      </c>
      <c r="FA49" s="375">
        <f t="shared" si="45"/>
        <v>0</v>
      </c>
      <c r="FB49" s="375">
        <f t="shared" si="45"/>
        <v>0</v>
      </c>
      <c r="FC49" s="375">
        <f t="shared" si="45"/>
        <v>0</v>
      </c>
      <c r="FD49" s="375">
        <f t="shared" si="45"/>
        <v>0</v>
      </c>
      <c r="FE49" s="375">
        <f t="shared" si="45"/>
        <v>0</v>
      </c>
      <c r="FF49" s="375">
        <f t="shared" si="45"/>
        <v>0</v>
      </c>
      <c r="FG49" s="375">
        <f t="shared" si="45"/>
        <v>0</v>
      </c>
      <c r="FH49" s="375">
        <f t="shared" si="45"/>
        <v>0</v>
      </c>
      <c r="FI49" s="375">
        <f t="shared" si="45"/>
        <v>0</v>
      </c>
      <c r="FJ49" s="375">
        <f t="shared" si="45"/>
        <v>0</v>
      </c>
      <c r="FK49" s="375">
        <f t="shared" si="45"/>
        <v>0</v>
      </c>
      <c r="FL49" s="375">
        <f t="shared" si="45"/>
        <v>0</v>
      </c>
      <c r="FM49" s="375">
        <f t="shared" si="45"/>
        <v>0</v>
      </c>
      <c r="FN49" s="375">
        <f t="shared" si="45"/>
        <v>0</v>
      </c>
      <c r="FO49" s="375">
        <f t="shared" si="45"/>
        <v>0</v>
      </c>
      <c r="FP49" s="375">
        <f t="shared" si="45"/>
        <v>0</v>
      </c>
      <c r="FQ49" s="375">
        <f t="shared" si="45"/>
        <v>0</v>
      </c>
      <c r="FR49" s="375">
        <f t="shared" si="45"/>
        <v>0</v>
      </c>
      <c r="FS49" s="375">
        <f t="shared" si="45"/>
        <v>0</v>
      </c>
      <c r="FT49" s="375">
        <f t="shared" si="45"/>
        <v>0</v>
      </c>
      <c r="FU49" s="375">
        <f t="shared" si="45"/>
        <v>0</v>
      </c>
      <c r="FV49" s="375">
        <f t="shared" si="45"/>
        <v>0</v>
      </c>
      <c r="FW49" s="375">
        <f t="shared" si="45"/>
        <v>0</v>
      </c>
      <c r="FX49" s="375">
        <f t="shared" si="45"/>
        <v>0</v>
      </c>
      <c r="FY49" s="375">
        <f t="shared" si="45"/>
        <v>0</v>
      </c>
      <c r="FZ49" s="375">
        <f t="shared" si="45"/>
        <v>0</v>
      </c>
      <c r="GA49" s="375">
        <f t="shared" si="45"/>
        <v>0</v>
      </c>
      <c r="GB49" s="375">
        <f t="shared" si="45"/>
        <v>0</v>
      </c>
      <c r="GC49" s="375">
        <f t="shared" si="45"/>
        <v>0</v>
      </c>
      <c r="GD49" s="375">
        <f t="shared" si="45"/>
        <v>0</v>
      </c>
      <c r="GE49" s="375">
        <f t="shared" si="45"/>
        <v>0</v>
      </c>
      <c r="GF49" s="375">
        <f t="shared" si="45"/>
        <v>0</v>
      </c>
      <c r="GG49" s="375">
        <f t="shared" si="45"/>
        <v>0</v>
      </c>
      <c r="GH49" s="375">
        <f t="shared" si="45"/>
        <v>0</v>
      </c>
      <c r="GI49" s="375">
        <f t="shared" si="45"/>
        <v>0</v>
      </c>
      <c r="GJ49" s="375">
        <f t="shared" si="45"/>
        <v>0</v>
      </c>
      <c r="GK49" s="375">
        <f t="shared" ref="GK49:IV49" si="46">GK48*0.8</f>
        <v>0</v>
      </c>
      <c r="GL49" s="375">
        <f t="shared" si="46"/>
        <v>0</v>
      </c>
      <c r="GM49" s="375">
        <f t="shared" si="46"/>
        <v>0</v>
      </c>
      <c r="GN49" s="375">
        <f t="shared" si="46"/>
        <v>0</v>
      </c>
      <c r="GO49" s="375">
        <f t="shared" si="46"/>
        <v>0</v>
      </c>
      <c r="GP49" s="375">
        <f t="shared" si="46"/>
        <v>0</v>
      </c>
      <c r="GQ49" s="375">
        <f t="shared" si="46"/>
        <v>0</v>
      </c>
      <c r="GR49" s="375">
        <f t="shared" si="46"/>
        <v>0</v>
      </c>
      <c r="GS49" s="375">
        <f t="shared" si="46"/>
        <v>0</v>
      </c>
      <c r="GT49" s="375">
        <f t="shared" si="46"/>
        <v>0</v>
      </c>
      <c r="GU49" s="375">
        <f t="shared" si="46"/>
        <v>0</v>
      </c>
      <c r="GV49" s="375">
        <f t="shared" si="46"/>
        <v>0</v>
      </c>
      <c r="GW49" s="375">
        <f t="shared" si="46"/>
        <v>0</v>
      </c>
      <c r="GX49" s="375">
        <f t="shared" si="46"/>
        <v>0</v>
      </c>
      <c r="GY49" s="375">
        <f t="shared" si="46"/>
        <v>0</v>
      </c>
      <c r="GZ49" s="375">
        <f t="shared" si="46"/>
        <v>0</v>
      </c>
      <c r="HA49" s="375">
        <f t="shared" si="46"/>
        <v>0</v>
      </c>
      <c r="HB49" s="375">
        <f t="shared" si="46"/>
        <v>0</v>
      </c>
      <c r="HC49" s="375">
        <f t="shared" si="46"/>
        <v>0</v>
      </c>
      <c r="HD49" s="375">
        <f t="shared" si="46"/>
        <v>0</v>
      </c>
      <c r="HE49" s="375">
        <f t="shared" si="46"/>
        <v>0</v>
      </c>
      <c r="HF49" s="375">
        <f t="shared" si="46"/>
        <v>0</v>
      </c>
      <c r="HG49" s="375">
        <f t="shared" si="46"/>
        <v>0</v>
      </c>
      <c r="HH49" s="375">
        <f t="shared" si="46"/>
        <v>0</v>
      </c>
      <c r="HI49" s="375">
        <f t="shared" si="46"/>
        <v>0</v>
      </c>
      <c r="HJ49" s="375">
        <f t="shared" si="46"/>
        <v>0</v>
      </c>
      <c r="HK49" s="375">
        <f t="shared" si="46"/>
        <v>0</v>
      </c>
      <c r="HL49" s="375">
        <f t="shared" si="46"/>
        <v>0</v>
      </c>
      <c r="HM49" s="375">
        <f t="shared" si="46"/>
        <v>0</v>
      </c>
      <c r="HN49" s="375">
        <f t="shared" si="46"/>
        <v>0</v>
      </c>
      <c r="HO49" s="375">
        <f t="shared" si="46"/>
        <v>0</v>
      </c>
      <c r="HP49" s="375">
        <f t="shared" si="46"/>
        <v>0</v>
      </c>
      <c r="HQ49" s="375">
        <f t="shared" si="46"/>
        <v>0</v>
      </c>
      <c r="HR49" s="375">
        <f t="shared" si="46"/>
        <v>0</v>
      </c>
      <c r="HS49" s="375">
        <f t="shared" si="46"/>
        <v>0</v>
      </c>
      <c r="HT49" s="375">
        <f t="shared" si="46"/>
        <v>0</v>
      </c>
      <c r="HU49" s="375">
        <f t="shared" si="46"/>
        <v>0</v>
      </c>
      <c r="HV49" s="375">
        <f t="shared" si="46"/>
        <v>0</v>
      </c>
      <c r="HW49" s="375">
        <f t="shared" si="46"/>
        <v>0</v>
      </c>
      <c r="HX49" s="375">
        <f t="shared" si="46"/>
        <v>0</v>
      </c>
      <c r="HY49" s="375">
        <f t="shared" si="46"/>
        <v>0</v>
      </c>
      <c r="HZ49" s="375">
        <f t="shared" si="46"/>
        <v>0</v>
      </c>
      <c r="IA49" s="375">
        <f t="shared" si="46"/>
        <v>0</v>
      </c>
      <c r="IB49" s="375">
        <f t="shared" si="46"/>
        <v>0</v>
      </c>
      <c r="IC49" s="375">
        <f t="shared" si="46"/>
        <v>0</v>
      </c>
      <c r="ID49" s="375">
        <f t="shared" si="46"/>
        <v>0</v>
      </c>
      <c r="IE49" s="375">
        <f t="shared" si="46"/>
        <v>0</v>
      </c>
      <c r="IF49" s="375">
        <f t="shared" si="46"/>
        <v>0</v>
      </c>
      <c r="IG49" s="375">
        <f t="shared" si="46"/>
        <v>0</v>
      </c>
      <c r="IH49" s="375">
        <f t="shared" si="46"/>
        <v>0</v>
      </c>
      <c r="II49" s="375">
        <f t="shared" si="46"/>
        <v>0</v>
      </c>
      <c r="IJ49" s="375">
        <f t="shared" si="46"/>
        <v>0</v>
      </c>
      <c r="IK49" s="375">
        <f t="shared" si="46"/>
        <v>0</v>
      </c>
      <c r="IL49" s="375">
        <f t="shared" si="46"/>
        <v>0</v>
      </c>
      <c r="IM49" s="375">
        <f t="shared" si="46"/>
        <v>0</v>
      </c>
      <c r="IN49" s="375">
        <f t="shared" si="46"/>
        <v>0</v>
      </c>
      <c r="IO49" s="375">
        <f t="shared" si="46"/>
        <v>0</v>
      </c>
      <c r="IP49" s="375">
        <f t="shared" si="46"/>
        <v>0</v>
      </c>
      <c r="IQ49" s="375">
        <f t="shared" si="46"/>
        <v>0</v>
      </c>
      <c r="IR49" s="375">
        <f t="shared" si="46"/>
        <v>0</v>
      </c>
      <c r="IS49" s="375">
        <f t="shared" si="46"/>
        <v>0</v>
      </c>
      <c r="IT49" s="375">
        <f t="shared" si="46"/>
        <v>0</v>
      </c>
      <c r="IU49" s="375">
        <f t="shared" si="46"/>
        <v>0</v>
      </c>
      <c r="IV49" s="375">
        <f t="shared" si="46"/>
        <v>0</v>
      </c>
      <c r="IW49" s="375">
        <f t="shared" ref="IW49:LH49" si="47">IW48*0.8</f>
        <v>0</v>
      </c>
      <c r="IX49" s="375">
        <f t="shared" si="47"/>
        <v>0</v>
      </c>
      <c r="IY49" s="375">
        <f t="shared" si="47"/>
        <v>0</v>
      </c>
      <c r="IZ49" s="375">
        <f t="shared" si="47"/>
        <v>0</v>
      </c>
      <c r="JA49" s="375">
        <f t="shared" si="47"/>
        <v>0</v>
      </c>
      <c r="JB49" s="375">
        <f t="shared" si="47"/>
        <v>0</v>
      </c>
      <c r="JC49" s="375">
        <f t="shared" si="47"/>
        <v>0</v>
      </c>
      <c r="JD49" s="375">
        <f t="shared" si="47"/>
        <v>0</v>
      </c>
      <c r="JE49" s="375">
        <f t="shared" si="47"/>
        <v>0</v>
      </c>
      <c r="JF49" s="375">
        <f t="shared" si="47"/>
        <v>0</v>
      </c>
      <c r="JG49" s="375">
        <f t="shared" si="47"/>
        <v>0</v>
      </c>
      <c r="JH49" s="375">
        <f t="shared" si="47"/>
        <v>0</v>
      </c>
      <c r="JI49" s="375">
        <f t="shared" si="47"/>
        <v>0</v>
      </c>
      <c r="JJ49" s="375">
        <f t="shared" si="47"/>
        <v>0</v>
      </c>
      <c r="JK49" s="375">
        <f t="shared" si="47"/>
        <v>0</v>
      </c>
      <c r="JL49" s="375">
        <f t="shared" si="47"/>
        <v>0</v>
      </c>
      <c r="JM49" s="375">
        <f t="shared" si="47"/>
        <v>0</v>
      </c>
      <c r="JN49" s="375">
        <f t="shared" si="47"/>
        <v>0</v>
      </c>
      <c r="JO49" s="375">
        <f t="shared" si="47"/>
        <v>0</v>
      </c>
      <c r="JP49" s="375">
        <f t="shared" si="47"/>
        <v>0</v>
      </c>
      <c r="JQ49" s="375">
        <f t="shared" si="47"/>
        <v>0</v>
      </c>
      <c r="JR49" s="375">
        <f t="shared" si="47"/>
        <v>0</v>
      </c>
      <c r="JS49" s="375">
        <f t="shared" si="47"/>
        <v>0</v>
      </c>
      <c r="JT49" s="375">
        <f t="shared" si="47"/>
        <v>0</v>
      </c>
      <c r="JU49" s="375">
        <f t="shared" si="47"/>
        <v>0</v>
      </c>
      <c r="JV49" s="375">
        <f t="shared" si="47"/>
        <v>0</v>
      </c>
      <c r="JW49" s="375">
        <f t="shared" si="47"/>
        <v>0</v>
      </c>
      <c r="JX49" s="375">
        <f t="shared" si="47"/>
        <v>0</v>
      </c>
      <c r="JY49" s="375">
        <f t="shared" si="47"/>
        <v>0</v>
      </c>
      <c r="JZ49" s="375">
        <f t="shared" si="47"/>
        <v>0</v>
      </c>
      <c r="KA49" s="375">
        <f t="shared" si="47"/>
        <v>0</v>
      </c>
      <c r="KB49" s="375">
        <f t="shared" si="47"/>
        <v>0</v>
      </c>
      <c r="KC49" s="375">
        <f t="shared" si="47"/>
        <v>0</v>
      </c>
      <c r="KD49" s="375">
        <f t="shared" si="47"/>
        <v>0</v>
      </c>
      <c r="KE49" s="375">
        <f t="shared" si="47"/>
        <v>0</v>
      </c>
      <c r="KF49" s="375">
        <f t="shared" si="47"/>
        <v>0</v>
      </c>
      <c r="KG49" s="375">
        <f t="shared" si="47"/>
        <v>0</v>
      </c>
      <c r="KH49" s="375">
        <f t="shared" si="47"/>
        <v>0</v>
      </c>
      <c r="KI49" s="375">
        <f t="shared" si="47"/>
        <v>0</v>
      </c>
      <c r="KJ49" s="375">
        <f t="shared" si="47"/>
        <v>0</v>
      </c>
      <c r="KK49" s="375">
        <f t="shared" si="47"/>
        <v>0</v>
      </c>
      <c r="KL49" s="375">
        <f t="shared" si="47"/>
        <v>0</v>
      </c>
      <c r="KM49" s="375">
        <f t="shared" si="47"/>
        <v>0</v>
      </c>
      <c r="KN49" s="375">
        <f t="shared" si="47"/>
        <v>0</v>
      </c>
      <c r="KO49" s="375">
        <f t="shared" si="47"/>
        <v>0</v>
      </c>
      <c r="KP49" s="375">
        <f t="shared" si="47"/>
        <v>0</v>
      </c>
      <c r="KQ49" s="375">
        <f t="shared" si="47"/>
        <v>0</v>
      </c>
      <c r="KR49" s="375">
        <f t="shared" si="47"/>
        <v>0</v>
      </c>
      <c r="KS49" s="375">
        <f t="shared" si="47"/>
        <v>0</v>
      </c>
      <c r="KT49" s="375">
        <f t="shared" si="47"/>
        <v>0</v>
      </c>
      <c r="KU49" s="375">
        <f t="shared" si="47"/>
        <v>0</v>
      </c>
      <c r="KV49" s="375">
        <f t="shared" si="47"/>
        <v>0</v>
      </c>
      <c r="KW49" s="375">
        <f t="shared" si="47"/>
        <v>0</v>
      </c>
      <c r="KX49" s="375">
        <f t="shared" si="47"/>
        <v>0</v>
      </c>
      <c r="KY49" s="375">
        <f t="shared" si="47"/>
        <v>0</v>
      </c>
      <c r="KZ49" s="375">
        <f t="shared" si="47"/>
        <v>0</v>
      </c>
      <c r="LA49" s="375">
        <f t="shared" si="47"/>
        <v>0</v>
      </c>
      <c r="LB49" s="375">
        <f t="shared" si="47"/>
        <v>0</v>
      </c>
      <c r="LC49" s="375">
        <f t="shared" si="47"/>
        <v>0</v>
      </c>
      <c r="LD49" s="375">
        <f t="shared" si="47"/>
        <v>0</v>
      </c>
      <c r="LE49" s="375">
        <f t="shared" si="47"/>
        <v>0</v>
      </c>
      <c r="LF49" s="375">
        <f t="shared" si="47"/>
        <v>0</v>
      </c>
      <c r="LG49" s="375">
        <f t="shared" si="47"/>
        <v>0</v>
      </c>
      <c r="LH49" s="375">
        <f t="shared" si="47"/>
        <v>0</v>
      </c>
      <c r="LI49" s="375">
        <f t="shared" ref="LI49:NT49" si="48">LI48*0.8</f>
        <v>0</v>
      </c>
      <c r="LJ49" s="375">
        <f t="shared" si="48"/>
        <v>0</v>
      </c>
      <c r="LK49" s="375">
        <f t="shared" si="48"/>
        <v>0</v>
      </c>
      <c r="LL49" s="375">
        <f t="shared" si="48"/>
        <v>0</v>
      </c>
      <c r="LM49" s="375">
        <f t="shared" si="48"/>
        <v>0</v>
      </c>
      <c r="LN49" s="375">
        <f t="shared" si="48"/>
        <v>0</v>
      </c>
      <c r="LO49" s="375">
        <f t="shared" si="48"/>
        <v>0</v>
      </c>
      <c r="LP49" s="375">
        <f t="shared" si="48"/>
        <v>0</v>
      </c>
      <c r="LQ49" s="375">
        <f t="shared" si="48"/>
        <v>0</v>
      </c>
      <c r="LR49" s="375">
        <f t="shared" si="48"/>
        <v>0</v>
      </c>
      <c r="LS49" s="375">
        <f t="shared" si="48"/>
        <v>0</v>
      </c>
      <c r="LT49" s="375">
        <f t="shared" si="48"/>
        <v>0</v>
      </c>
      <c r="LU49" s="375">
        <f t="shared" si="48"/>
        <v>0</v>
      </c>
      <c r="LV49" s="375">
        <f t="shared" si="48"/>
        <v>0</v>
      </c>
      <c r="LW49" s="375">
        <f t="shared" si="48"/>
        <v>0</v>
      </c>
      <c r="LX49" s="375">
        <f t="shared" si="48"/>
        <v>0</v>
      </c>
      <c r="LY49" s="375">
        <f t="shared" si="48"/>
        <v>0</v>
      </c>
      <c r="LZ49" s="375">
        <f t="shared" si="48"/>
        <v>0</v>
      </c>
      <c r="MA49" s="375">
        <f t="shared" si="48"/>
        <v>0</v>
      </c>
      <c r="MB49" s="375">
        <f t="shared" si="48"/>
        <v>0</v>
      </c>
      <c r="MC49" s="375">
        <f t="shared" si="48"/>
        <v>0</v>
      </c>
      <c r="MD49" s="375">
        <f t="shared" si="48"/>
        <v>0</v>
      </c>
      <c r="ME49" s="375">
        <f t="shared" si="48"/>
        <v>0</v>
      </c>
      <c r="MF49" s="375">
        <f t="shared" si="48"/>
        <v>0</v>
      </c>
      <c r="MG49" s="375">
        <f t="shared" si="48"/>
        <v>0</v>
      </c>
      <c r="MH49" s="375">
        <f t="shared" si="48"/>
        <v>0</v>
      </c>
      <c r="MI49" s="375">
        <f t="shared" si="48"/>
        <v>0</v>
      </c>
      <c r="MJ49" s="375">
        <f t="shared" si="48"/>
        <v>0</v>
      </c>
      <c r="MK49" s="375">
        <f t="shared" si="48"/>
        <v>0</v>
      </c>
      <c r="ML49" s="375">
        <f t="shared" si="48"/>
        <v>0</v>
      </c>
      <c r="MM49" s="375">
        <f t="shared" si="48"/>
        <v>0</v>
      </c>
      <c r="MN49" s="375">
        <f t="shared" si="48"/>
        <v>0</v>
      </c>
      <c r="MO49" s="375">
        <f t="shared" si="48"/>
        <v>0</v>
      </c>
      <c r="MP49" s="375">
        <f t="shared" si="48"/>
        <v>0</v>
      </c>
      <c r="MQ49" s="375">
        <f t="shared" si="48"/>
        <v>0</v>
      </c>
      <c r="MR49" s="375">
        <f t="shared" si="48"/>
        <v>0</v>
      </c>
      <c r="MS49" s="375">
        <f t="shared" si="48"/>
        <v>0</v>
      </c>
      <c r="MT49" s="375">
        <f t="shared" si="48"/>
        <v>0</v>
      </c>
      <c r="MU49" s="375">
        <f t="shared" si="48"/>
        <v>0</v>
      </c>
      <c r="MV49" s="375">
        <f t="shared" si="48"/>
        <v>0</v>
      </c>
      <c r="MW49" s="375">
        <f t="shared" si="48"/>
        <v>0</v>
      </c>
      <c r="MX49" s="375">
        <f t="shared" si="48"/>
        <v>0</v>
      </c>
      <c r="MY49" s="375">
        <f t="shared" si="48"/>
        <v>0</v>
      </c>
      <c r="MZ49" s="375">
        <f t="shared" si="48"/>
        <v>0</v>
      </c>
      <c r="NA49" s="375">
        <f t="shared" si="48"/>
        <v>0</v>
      </c>
      <c r="NB49" s="375">
        <f t="shared" si="48"/>
        <v>0</v>
      </c>
      <c r="NC49" s="375">
        <f t="shared" si="48"/>
        <v>0</v>
      </c>
      <c r="ND49" s="375">
        <f t="shared" si="48"/>
        <v>0</v>
      </c>
      <c r="NE49" s="375">
        <f t="shared" si="48"/>
        <v>0</v>
      </c>
      <c r="NF49" s="375">
        <f t="shared" si="48"/>
        <v>0</v>
      </c>
      <c r="NG49" s="375">
        <f t="shared" si="48"/>
        <v>0</v>
      </c>
      <c r="NH49" s="375">
        <f t="shared" si="48"/>
        <v>0</v>
      </c>
      <c r="NI49" s="375">
        <f t="shared" si="48"/>
        <v>0</v>
      </c>
      <c r="NJ49" s="375">
        <f t="shared" si="48"/>
        <v>0</v>
      </c>
      <c r="NK49" s="375">
        <f t="shared" si="48"/>
        <v>0</v>
      </c>
      <c r="NL49" s="375">
        <f t="shared" si="48"/>
        <v>0</v>
      </c>
      <c r="NM49" s="375">
        <f t="shared" si="48"/>
        <v>0</v>
      </c>
      <c r="NN49" s="375">
        <f t="shared" si="48"/>
        <v>0</v>
      </c>
      <c r="NO49" s="375">
        <f t="shared" si="48"/>
        <v>0</v>
      </c>
      <c r="NP49" s="375">
        <f t="shared" si="48"/>
        <v>0</v>
      </c>
      <c r="NQ49" s="375">
        <f t="shared" si="48"/>
        <v>0</v>
      </c>
      <c r="NR49" s="375">
        <f t="shared" si="48"/>
        <v>0</v>
      </c>
      <c r="NS49" s="375">
        <f t="shared" si="48"/>
        <v>0</v>
      </c>
      <c r="NT49" s="375">
        <f t="shared" si="48"/>
        <v>0</v>
      </c>
      <c r="NU49" s="375">
        <f t="shared" ref="NU49:QF49" si="49">NU48*0.8</f>
        <v>0</v>
      </c>
      <c r="NV49" s="375">
        <f t="shared" si="49"/>
        <v>0</v>
      </c>
      <c r="NW49" s="375">
        <f t="shared" si="49"/>
        <v>0</v>
      </c>
      <c r="NX49" s="375">
        <f t="shared" si="49"/>
        <v>0</v>
      </c>
      <c r="NY49" s="375">
        <f t="shared" si="49"/>
        <v>0</v>
      </c>
      <c r="NZ49" s="375">
        <f t="shared" si="49"/>
        <v>0</v>
      </c>
      <c r="OA49" s="375">
        <f t="shared" si="49"/>
        <v>0</v>
      </c>
      <c r="OB49" s="375">
        <f t="shared" si="49"/>
        <v>0</v>
      </c>
      <c r="OC49" s="375">
        <f t="shared" si="49"/>
        <v>0</v>
      </c>
      <c r="OD49" s="375">
        <f t="shared" si="49"/>
        <v>0</v>
      </c>
      <c r="OE49" s="375">
        <f t="shared" si="49"/>
        <v>0</v>
      </c>
      <c r="OF49" s="375">
        <f t="shared" si="49"/>
        <v>0</v>
      </c>
      <c r="OG49" s="375">
        <f t="shared" si="49"/>
        <v>0</v>
      </c>
      <c r="OH49" s="375">
        <f t="shared" si="49"/>
        <v>0</v>
      </c>
      <c r="OI49" s="375">
        <f t="shared" si="49"/>
        <v>0</v>
      </c>
      <c r="OJ49" s="375">
        <f t="shared" si="49"/>
        <v>0</v>
      </c>
      <c r="OK49" s="375">
        <f t="shared" si="49"/>
        <v>0</v>
      </c>
      <c r="OL49" s="375">
        <f t="shared" si="49"/>
        <v>0</v>
      </c>
      <c r="OM49" s="375">
        <f t="shared" si="49"/>
        <v>0</v>
      </c>
      <c r="ON49" s="375">
        <f t="shared" si="49"/>
        <v>0</v>
      </c>
      <c r="OO49" s="375">
        <f t="shared" si="49"/>
        <v>0</v>
      </c>
      <c r="OP49" s="375">
        <f t="shared" si="49"/>
        <v>0</v>
      </c>
      <c r="OQ49" s="375">
        <f t="shared" si="49"/>
        <v>0</v>
      </c>
      <c r="OR49" s="375">
        <f t="shared" si="49"/>
        <v>0</v>
      </c>
      <c r="OS49" s="375">
        <f t="shared" si="49"/>
        <v>0</v>
      </c>
      <c r="OT49" s="375">
        <f t="shared" si="49"/>
        <v>0</v>
      </c>
      <c r="OU49" s="375">
        <f t="shared" si="49"/>
        <v>0</v>
      </c>
      <c r="OV49" s="375">
        <f t="shared" si="49"/>
        <v>0</v>
      </c>
      <c r="OW49" s="375">
        <f t="shared" si="49"/>
        <v>0</v>
      </c>
      <c r="OX49" s="375">
        <f t="shared" si="49"/>
        <v>0</v>
      </c>
      <c r="OY49" s="375">
        <f t="shared" si="49"/>
        <v>0</v>
      </c>
      <c r="OZ49" s="375">
        <f t="shared" si="49"/>
        <v>0</v>
      </c>
      <c r="PA49" s="375">
        <f t="shared" si="49"/>
        <v>0</v>
      </c>
      <c r="PB49" s="375">
        <f t="shared" si="49"/>
        <v>0</v>
      </c>
      <c r="PC49" s="375">
        <f t="shared" si="49"/>
        <v>0</v>
      </c>
      <c r="PD49" s="375">
        <f t="shared" si="49"/>
        <v>0</v>
      </c>
      <c r="PE49" s="375">
        <f t="shared" si="49"/>
        <v>0</v>
      </c>
      <c r="PF49" s="375">
        <f t="shared" si="49"/>
        <v>0</v>
      </c>
      <c r="PG49" s="375">
        <f t="shared" si="49"/>
        <v>0</v>
      </c>
      <c r="PH49" s="375">
        <f t="shared" si="49"/>
        <v>0</v>
      </c>
      <c r="PI49" s="375">
        <f t="shared" si="49"/>
        <v>0</v>
      </c>
      <c r="PJ49" s="375">
        <f t="shared" si="49"/>
        <v>0</v>
      </c>
      <c r="PK49" s="375">
        <f t="shared" si="49"/>
        <v>0</v>
      </c>
      <c r="PL49" s="375">
        <f t="shared" si="49"/>
        <v>0</v>
      </c>
      <c r="PM49" s="375">
        <f t="shared" si="49"/>
        <v>0</v>
      </c>
      <c r="PN49" s="375">
        <f t="shared" si="49"/>
        <v>0</v>
      </c>
      <c r="PO49" s="375">
        <f t="shared" si="49"/>
        <v>0</v>
      </c>
      <c r="PP49" s="375">
        <f t="shared" si="49"/>
        <v>0</v>
      </c>
      <c r="PQ49" s="375">
        <f t="shared" si="49"/>
        <v>0</v>
      </c>
      <c r="PR49" s="375">
        <f t="shared" si="49"/>
        <v>0</v>
      </c>
      <c r="PS49" s="375">
        <f t="shared" si="49"/>
        <v>0</v>
      </c>
      <c r="PT49" s="375">
        <f t="shared" si="49"/>
        <v>0</v>
      </c>
      <c r="PU49" s="375">
        <f t="shared" si="49"/>
        <v>0</v>
      </c>
      <c r="PV49" s="375">
        <f t="shared" si="49"/>
        <v>0</v>
      </c>
      <c r="PW49" s="375">
        <f t="shared" si="49"/>
        <v>0</v>
      </c>
      <c r="PX49" s="375">
        <f t="shared" si="49"/>
        <v>0</v>
      </c>
      <c r="PY49" s="375">
        <f t="shared" si="49"/>
        <v>0</v>
      </c>
      <c r="PZ49" s="375">
        <f t="shared" si="49"/>
        <v>0</v>
      </c>
      <c r="QA49" s="375">
        <f t="shared" si="49"/>
        <v>0</v>
      </c>
      <c r="QB49" s="375">
        <f t="shared" si="49"/>
        <v>0</v>
      </c>
      <c r="QC49" s="375">
        <f t="shared" si="49"/>
        <v>0</v>
      </c>
      <c r="QD49" s="375">
        <f t="shared" si="49"/>
        <v>0</v>
      </c>
      <c r="QE49" s="375">
        <f t="shared" si="49"/>
        <v>0</v>
      </c>
      <c r="QF49" s="375">
        <f t="shared" si="49"/>
        <v>0</v>
      </c>
      <c r="QG49" s="375">
        <f t="shared" ref="QG49:SR49" si="50">QG48*0.8</f>
        <v>0</v>
      </c>
      <c r="QH49" s="375">
        <f t="shared" si="50"/>
        <v>0</v>
      </c>
      <c r="QI49" s="375">
        <f t="shared" si="50"/>
        <v>0</v>
      </c>
      <c r="QJ49" s="375">
        <f t="shared" si="50"/>
        <v>0</v>
      </c>
      <c r="QK49" s="375">
        <f t="shared" si="50"/>
        <v>0</v>
      </c>
      <c r="QL49" s="375">
        <f t="shared" si="50"/>
        <v>0</v>
      </c>
      <c r="QM49" s="375">
        <f t="shared" si="50"/>
        <v>0</v>
      </c>
      <c r="QN49" s="375">
        <f t="shared" si="50"/>
        <v>0</v>
      </c>
      <c r="QO49" s="375">
        <f t="shared" si="50"/>
        <v>0</v>
      </c>
      <c r="QP49" s="375">
        <f t="shared" si="50"/>
        <v>0</v>
      </c>
      <c r="QQ49" s="375">
        <f t="shared" si="50"/>
        <v>0</v>
      </c>
      <c r="QR49" s="375">
        <f t="shared" si="50"/>
        <v>0</v>
      </c>
      <c r="QS49" s="375">
        <f t="shared" si="50"/>
        <v>0</v>
      </c>
      <c r="QT49" s="375">
        <f t="shared" si="50"/>
        <v>0</v>
      </c>
      <c r="QU49" s="375">
        <f t="shared" si="50"/>
        <v>0</v>
      </c>
      <c r="QV49" s="375">
        <f t="shared" si="50"/>
        <v>0</v>
      </c>
      <c r="QW49" s="375">
        <f t="shared" si="50"/>
        <v>0</v>
      </c>
      <c r="QX49" s="375">
        <f t="shared" si="50"/>
        <v>0</v>
      </c>
      <c r="QY49" s="375">
        <f t="shared" si="50"/>
        <v>0</v>
      </c>
      <c r="QZ49" s="375">
        <f t="shared" si="50"/>
        <v>0</v>
      </c>
      <c r="RA49" s="375">
        <f t="shared" si="50"/>
        <v>0</v>
      </c>
      <c r="RB49" s="375">
        <f t="shared" si="50"/>
        <v>0</v>
      </c>
      <c r="RC49" s="375">
        <f t="shared" si="50"/>
        <v>0</v>
      </c>
      <c r="RD49" s="375">
        <f t="shared" si="50"/>
        <v>0</v>
      </c>
      <c r="RE49" s="375">
        <f t="shared" si="50"/>
        <v>0</v>
      </c>
      <c r="RF49" s="375">
        <f t="shared" si="50"/>
        <v>0</v>
      </c>
      <c r="RG49" s="375">
        <f t="shared" si="50"/>
        <v>0</v>
      </c>
      <c r="RH49" s="375">
        <f t="shared" si="50"/>
        <v>0</v>
      </c>
      <c r="RI49" s="375">
        <f t="shared" si="50"/>
        <v>0</v>
      </c>
      <c r="RJ49" s="375">
        <f t="shared" si="50"/>
        <v>0</v>
      </c>
      <c r="RK49" s="375">
        <f t="shared" si="50"/>
        <v>0</v>
      </c>
      <c r="RL49" s="375">
        <f t="shared" si="50"/>
        <v>0</v>
      </c>
      <c r="RM49" s="375">
        <f t="shared" si="50"/>
        <v>0</v>
      </c>
      <c r="RN49" s="375">
        <f t="shared" si="50"/>
        <v>0</v>
      </c>
      <c r="RO49" s="375">
        <f t="shared" si="50"/>
        <v>0</v>
      </c>
      <c r="RP49" s="375">
        <f t="shared" si="50"/>
        <v>0</v>
      </c>
      <c r="RQ49" s="375">
        <f t="shared" si="50"/>
        <v>0</v>
      </c>
      <c r="RR49" s="375">
        <f t="shared" si="50"/>
        <v>0</v>
      </c>
      <c r="RS49" s="375">
        <f t="shared" si="50"/>
        <v>0</v>
      </c>
      <c r="RT49" s="375">
        <f t="shared" si="50"/>
        <v>0</v>
      </c>
      <c r="RU49" s="375">
        <f t="shared" si="50"/>
        <v>0</v>
      </c>
      <c r="RV49" s="375">
        <f t="shared" si="50"/>
        <v>0</v>
      </c>
      <c r="RW49" s="375">
        <f t="shared" si="50"/>
        <v>0</v>
      </c>
      <c r="RX49" s="375">
        <f t="shared" si="50"/>
        <v>0</v>
      </c>
      <c r="RY49" s="375">
        <f t="shared" si="50"/>
        <v>0</v>
      </c>
      <c r="RZ49" s="375">
        <f t="shared" si="50"/>
        <v>0</v>
      </c>
      <c r="SA49" s="375">
        <f t="shared" si="50"/>
        <v>0</v>
      </c>
      <c r="SB49" s="375">
        <f t="shared" si="50"/>
        <v>0</v>
      </c>
      <c r="SC49" s="375">
        <f t="shared" si="50"/>
        <v>0</v>
      </c>
      <c r="SD49" s="375">
        <f t="shared" si="50"/>
        <v>0</v>
      </c>
      <c r="SE49" s="375">
        <f t="shared" si="50"/>
        <v>0</v>
      </c>
      <c r="SF49" s="375">
        <f t="shared" si="50"/>
        <v>0</v>
      </c>
      <c r="SG49" s="375">
        <f t="shared" si="50"/>
        <v>0</v>
      </c>
      <c r="SH49" s="375">
        <f t="shared" si="50"/>
        <v>0</v>
      </c>
      <c r="SI49" s="375">
        <f t="shared" si="50"/>
        <v>0</v>
      </c>
      <c r="SJ49" s="375">
        <f t="shared" si="50"/>
        <v>0</v>
      </c>
      <c r="SK49" s="375">
        <f t="shared" si="50"/>
        <v>0</v>
      </c>
      <c r="SL49" s="375">
        <f t="shared" si="50"/>
        <v>0</v>
      </c>
      <c r="SM49" s="375">
        <f t="shared" si="50"/>
        <v>0</v>
      </c>
      <c r="SN49" s="375">
        <f t="shared" si="50"/>
        <v>0</v>
      </c>
      <c r="SO49" s="375">
        <f t="shared" si="50"/>
        <v>0</v>
      </c>
      <c r="SP49" s="375">
        <f t="shared" si="50"/>
        <v>0</v>
      </c>
      <c r="SQ49" s="375">
        <f t="shared" si="50"/>
        <v>0</v>
      </c>
      <c r="SR49" s="375">
        <f t="shared" si="50"/>
        <v>0</v>
      </c>
      <c r="SS49" s="375">
        <f t="shared" ref="SS49:VD49" si="51">SS48*0.8</f>
        <v>0</v>
      </c>
      <c r="ST49" s="375">
        <f t="shared" si="51"/>
        <v>0</v>
      </c>
      <c r="SU49" s="375">
        <f t="shared" si="51"/>
        <v>0</v>
      </c>
      <c r="SV49" s="375">
        <f t="shared" si="51"/>
        <v>0</v>
      </c>
      <c r="SW49" s="375">
        <f t="shared" si="51"/>
        <v>0</v>
      </c>
      <c r="SX49" s="375">
        <f t="shared" si="51"/>
        <v>0</v>
      </c>
      <c r="SY49" s="375">
        <f t="shared" si="51"/>
        <v>0</v>
      </c>
      <c r="SZ49" s="375">
        <f t="shared" si="51"/>
        <v>0</v>
      </c>
      <c r="TA49" s="375">
        <f t="shared" si="51"/>
        <v>0</v>
      </c>
      <c r="TB49" s="375">
        <f t="shared" si="51"/>
        <v>0</v>
      </c>
      <c r="TC49" s="375">
        <f t="shared" si="51"/>
        <v>0</v>
      </c>
      <c r="TD49" s="375">
        <f t="shared" si="51"/>
        <v>0</v>
      </c>
      <c r="TE49" s="375">
        <f t="shared" si="51"/>
        <v>0</v>
      </c>
      <c r="TF49" s="375">
        <f t="shared" si="51"/>
        <v>0</v>
      </c>
      <c r="TG49" s="375">
        <f t="shared" si="51"/>
        <v>0</v>
      </c>
      <c r="TH49" s="375">
        <f t="shared" si="51"/>
        <v>0</v>
      </c>
      <c r="TI49" s="375">
        <f t="shared" si="51"/>
        <v>0</v>
      </c>
      <c r="TJ49" s="375">
        <f t="shared" si="51"/>
        <v>0</v>
      </c>
      <c r="TK49" s="375">
        <f t="shared" si="51"/>
        <v>0</v>
      </c>
      <c r="TL49" s="375">
        <f t="shared" si="51"/>
        <v>0</v>
      </c>
      <c r="TM49" s="375">
        <f t="shared" si="51"/>
        <v>0</v>
      </c>
      <c r="TN49" s="375">
        <f t="shared" si="51"/>
        <v>0</v>
      </c>
      <c r="TO49" s="375">
        <f t="shared" si="51"/>
        <v>0</v>
      </c>
      <c r="TP49" s="375">
        <f t="shared" si="51"/>
        <v>0</v>
      </c>
      <c r="TQ49" s="375">
        <f t="shared" si="51"/>
        <v>0</v>
      </c>
      <c r="TR49" s="375">
        <f t="shared" si="51"/>
        <v>0</v>
      </c>
      <c r="TS49" s="375">
        <f t="shared" si="51"/>
        <v>0</v>
      </c>
      <c r="TT49" s="375">
        <f t="shared" si="51"/>
        <v>0</v>
      </c>
      <c r="TU49" s="375">
        <f t="shared" si="51"/>
        <v>0</v>
      </c>
      <c r="TV49" s="375">
        <f t="shared" si="51"/>
        <v>0</v>
      </c>
      <c r="TW49" s="375">
        <f t="shared" si="51"/>
        <v>0</v>
      </c>
      <c r="TX49" s="375">
        <f t="shared" si="51"/>
        <v>0</v>
      </c>
      <c r="TY49" s="375">
        <f t="shared" si="51"/>
        <v>0</v>
      </c>
      <c r="TZ49" s="375">
        <f t="shared" si="51"/>
        <v>0</v>
      </c>
      <c r="UA49" s="375">
        <f t="shared" si="51"/>
        <v>0</v>
      </c>
      <c r="UB49" s="375">
        <f t="shared" si="51"/>
        <v>0</v>
      </c>
      <c r="UC49" s="375">
        <f t="shared" si="51"/>
        <v>0</v>
      </c>
      <c r="UD49" s="375">
        <f t="shared" si="51"/>
        <v>0</v>
      </c>
      <c r="UE49" s="375">
        <f t="shared" si="51"/>
        <v>0</v>
      </c>
      <c r="UF49" s="375">
        <f t="shared" si="51"/>
        <v>0</v>
      </c>
      <c r="UG49" s="375">
        <f t="shared" si="51"/>
        <v>0</v>
      </c>
      <c r="UH49" s="375">
        <f t="shared" si="51"/>
        <v>0</v>
      </c>
      <c r="UI49" s="375">
        <f t="shared" si="51"/>
        <v>0</v>
      </c>
      <c r="UJ49" s="375">
        <f t="shared" si="51"/>
        <v>0</v>
      </c>
      <c r="UK49" s="375">
        <f t="shared" si="51"/>
        <v>0</v>
      </c>
      <c r="UL49" s="375">
        <f t="shared" si="51"/>
        <v>0</v>
      </c>
      <c r="UM49" s="375">
        <f t="shared" si="51"/>
        <v>0</v>
      </c>
      <c r="UN49" s="375">
        <f t="shared" si="51"/>
        <v>0</v>
      </c>
      <c r="UO49" s="375">
        <f t="shared" si="51"/>
        <v>0</v>
      </c>
      <c r="UP49" s="375">
        <f t="shared" si="51"/>
        <v>0</v>
      </c>
      <c r="UQ49" s="375">
        <f t="shared" si="51"/>
        <v>0</v>
      </c>
      <c r="UR49" s="375">
        <f t="shared" si="51"/>
        <v>0</v>
      </c>
      <c r="US49" s="375">
        <f t="shared" si="51"/>
        <v>0</v>
      </c>
      <c r="UT49" s="375">
        <f t="shared" si="51"/>
        <v>0</v>
      </c>
      <c r="UU49" s="375">
        <f t="shared" si="51"/>
        <v>0</v>
      </c>
      <c r="UV49" s="375">
        <f t="shared" si="51"/>
        <v>0</v>
      </c>
      <c r="UW49" s="375">
        <f t="shared" si="51"/>
        <v>0</v>
      </c>
      <c r="UX49" s="375">
        <f t="shared" si="51"/>
        <v>0</v>
      </c>
      <c r="UY49" s="375">
        <f t="shared" si="51"/>
        <v>0</v>
      </c>
      <c r="UZ49" s="375">
        <f t="shared" si="51"/>
        <v>0</v>
      </c>
      <c r="VA49" s="375">
        <f t="shared" si="51"/>
        <v>0</v>
      </c>
      <c r="VB49" s="375">
        <f t="shared" si="51"/>
        <v>0</v>
      </c>
      <c r="VC49" s="375">
        <f t="shared" si="51"/>
        <v>0</v>
      </c>
      <c r="VD49" s="375">
        <f t="shared" si="51"/>
        <v>0</v>
      </c>
      <c r="VE49" s="375">
        <f t="shared" ref="VE49:XP49" si="52">VE48*0.8</f>
        <v>0</v>
      </c>
      <c r="VF49" s="375">
        <f t="shared" si="52"/>
        <v>0</v>
      </c>
      <c r="VG49" s="375">
        <f t="shared" si="52"/>
        <v>0</v>
      </c>
      <c r="VH49" s="375">
        <f t="shared" si="52"/>
        <v>0</v>
      </c>
      <c r="VI49" s="375">
        <f t="shared" si="52"/>
        <v>0</v>
      </c>
      <c r="VJ49" s="375">
        <f t="shared" si="52"/>
        <v>0</v>
      </c>
      <c r="VK49" s="375">
        <f t="shared" si="52"/>
        <v>0</v>
      </c>
      <c r="VL49" s="375">
        <f t="shared" si="52"/>
        <v>0</v>
      </c>
      <c r="VM49" s="375">
        <f t="shared" si="52"/>
        <v>0</v>
      </c>
      <c r="VN49" s="375">
        <f t="shared" si="52"/>
        <v>0</v>
      </c>
      <c r="VO49" s="375">
        <f t="shared" si="52"/>
        <v>0</v>
      </c>
      <c r="VP49" s="375">
        <f t="shared" si="52"/>
        <v>0</v>
      </c>
      <c r="VQ49" s="375">
        <f t="shared" si="52"/>
        <v>0</v>
      </c>
      <c r="VR49" s="375">
        <f t="shared" si="52"/>
        <v>0</v>
      </c>
      <c r="VS49" s="375">
        <f t="shared" si="52"/>
        <v>0</v>
      </c>
      <c r="VT49" s="375">
        <f t="shared" si="52"/>
        <v>0</v>
      </c>
      <c r="VU49" s="375">
        <f t="shared" si="52"/>
        <v>0</v>
      </c>
      <c r="VV49" s="375">
        <f t="shared" si="52"/>
        <v>0</v>
      </c>
      <c r="VW49" s="375">
        <f t="shared" si="52"/>
        <v>0</v>
      </c>
      <c r="VX49" s="375">
        <f t="shared" si="52"/>
        <v>0</v>
      </c>
      <c r="VY49" s="375">
        <f t="shared" si="52"/>
        <v>0</v>
      </c>
      <c r="VZ49" s="375">
        <f t="shared" si="52"/>
        <v>0</v>
      </c>
      <c r="WA49" s="375">
        <f t="shared" si="52"/>
        <v>0</v>
      </c>
      <c r="WB49" s="375">
        <f t="shared" si="52"/>
        <v>0</v>
      </c>
      <c r="WC49" s="375">
        <f t="shared" si="52"/>
        <v>0</v>
      </c>
      <c r="WD49" s="375">
        <f t="shared" si="52"/>
        <v>0</v>
      </c>
      <c r="WE49" s="375">
        <f t="shared" si="52"/>
        <v>0</v>
      </c>
      <c r="WF49" s="375">
        <f t="shared" si="52"/>
        <v>0</v>
      </c>
      <c r="WG49" s="375">
        <f t="shared" si="52"/>
        <v>0</v>
      </c>
      <c r="WH49" s="375">
        <f t="shared" si="52"/>
        <v>0</v>
      </c>
      <c r="WI49" s="375">
        <f t="shared" si="52"/>
        <v>0</v>
      </c>
      <c r="WJ49" s="375">
        <f t="shared" si="52"/>
        <v>0</v>
      </c>
      <c r="WK49" s="375">
        <f t="shared" si="52"/>
        <v>0</v>
      </c>
      <c r="WL49" s="375">
        <f t="shared" si="52"/>
        <v>0</v>
      </c>
      <c r="WM49" s="375">
        <f t="shared" si="52"/>
        <v>0</v>
      </c>
      <c r="WN49" s="375">
        <f t="shared" si="52"/>
        <v>0</v>
      </c>
      <c r="WO49" s="375">
        <f t="shared" si="52"/>
        <v>0</v>
      </c>
      <c r="WP49" s="375">
        <f t="shared" si="52"/>
        <v>0</v>
      </c>
      <c r="WQ49" s="375">
        <f t="shared" si="52"/>
        <v>0</v>
      </c>
      <c r="WR49" s="375">
        <f t="shared" si="52"/>
        <v>0</v>
      </c>
      <c r="WS49" s="375">
        <f t="shared" si="52"/>
        <v>0</v>
      </c>
      <c r="WT49" s="375">
        <f t="shared" si="52"/>
        <v>0</v>
      </c>
      <c r="WU49" s="375">
        <f t="shared" si="52"/>
        <v>0</v>
      </c>
      <c r="WV49" s="375">
        <f t="shared" si="52"/>
        <v>0</v>
      </c>
      <c r="WW49" s="375">
        <f t="shared" si="52"/>
        <v>0</v>
      </c>
      <c r="WX49" s="375">
        <f t="shared" si="52"/>
        <v>0</v>
      </c>
      <c r="WY49" s="375">
        <f t="shared" si="52"/>
        <v>0</v>
      </c>
      <c r="WZ49" s="375">
        <f t="shared" si="52"/>
        <v>0</v>
      </c>
      <c r="XA49" s="375">
        <f t="shared" si="52"/>
        <v>0</v>
      </c>
      <c r="XB49" s="375">
        <f t="shared" si="52"/>
        <v>0</v>
      </c>
      <c r="XC49" s="375">
        <f t="shared" si="52"/>
        <v>0</v>
      </c>
      <c r="XD49" s="375">
        <f t="shared" si="52"/>
        <v>0</v>
      </c>
      <c r="XE49" s="375">
        <f t="shared" si="52"/>
        <v>0</v>
      </c>
      <c r="XF49" s="375">
        <f t="shared" si="52"/>
        <v>0</v>
      </c>
      <c r="XG49" s="375">
        <f t="shared" si="52"/>
        <v>0</v>
      </c>
      <c r="XH49" s="375">
        <f t="shared" si="52"/>
        <v>0</v>
      </c>
      <c r="XI49" s="375">
        <f t="shared" si="52"/>
        <v>0</v>
      </c>
      <c r="XJ49" s="375">
        <f t="shared" si="52"/>
        <v>0</v>
      </c>
      <c r="XK49" s="375">
        <f t="shared" si="52"/>
        <v>0</v>
      </c>
      <c r="XL49" s="375">
        <f t="shared" si="52"/>
        <v>0</v>
      </c>
      <c r="XM49" s="375">
        <f t="shared" si="52"/>
        <v>0</v>
      </c>
      <c r="XN49" s="375">
        <f t="shared" si="52"/>
        <v>0</v>
      </c>
      <c r="XO49" s="375">
        <f t="shared" si="52"/>
        <v>0</v>
      </c>
      <c r="XP49" s="375">
        <f t="shared" si="52"/>
        <v>0</v>
      </c>
      <c r="XQ49" s="375">
        <f t="shared" ref="XQ49:AAB49" si="53">XQ48*0.8</f>
        <v>0</v>
      </c>
      <c r="XR49" s="375">
        <f t="shared" si="53"/>
        <v>0</v>
      </c>
      <c r="XS49" s="375">
        <f t="shared" si="53"/>
        <v>0</v>
      </c>
      <c r="XT49" s="375">
        <f t="shared" si="53"/>
        <v>0</v>
      </c>
      <c r="XU49" s="375">
        <f t="shared" si="53"/>
        <v>0</v>
      </c>
      <c r="XV49" s="375">
        <f t="shared" si="53"/>
        <v>0</v>
      </c>
      <c r="XW49" s="375">
        <f t="shared" si="53"/>
        <v>0</v>
      </c>
      <c r="XX49" s="375">
        <f t="shared" si="53"/>
        <v>0</v>
      </c>
      <c r="XY49" s="375">
        <f t="shared" si="53"/>
        <v>0</v>
      </c>
      <c r="XZ49" s="375">
        <f t="shared" si="53"/>
        <v>0</v>
      </c>
      <c r="YA49" s="375">
        <f t="shared" si="53"/>
        <v>0</v>
      </c>
      <c r="YB49" s="375">
        <f t="shared" si="53"/>
        <v>0</v>
      </c>
      <c r="YC49" s="375">
        <f t="shared" si="53"/>
        <v>0</v>
      </c>
      <c r="YD49" s="375">
        <f t="shared" si="53"/>
        <v>0</v>
      </c>
      <c r="YE49" s="375">
        <f t="shared" si="53"/>
        <v>0</v>
      </c>
      <c r="YF49" s="375">
        <f t="shared" si="53"/>
        <v>0</v>
      </c>
      <c r="YG49" s="375">
        <f t="shared" si="53"/>
        <v>0</v>
      </c>
      <c r="YH49" s="375">
        <f t="shared" si="53"/>
        <v>0</v>
      </c>
      <c r="YI49" s="375">
        <f t="shared" si="53"/>
        <v>0</v>
      </c>
      <c r="YJ49" s="375">
        <f t="shared" si="53"/>
        <v>0</v>
      </c>
      <c r="YK49" s="375">
        <f t="shared" si="53"/>
        <v>0</v>
      </c>
      <c r="YL49" s="375">
        <f t="shared" si="53"/>
        <v>0</v>
      </c>
      <c r="YM49" s="375">
        <f t="shared" si="53"/>
        <v>0</v>
      </c>
      <c r="YN49" s="375">
        <f t="shared" si="53"/>
        <v>0</v>
      </c>
      <c r="YO49" s="375">
        <f t="shared" si="53"/>
        <v>0</v>
      </c>
      <c r="YP49" s="375">
        <f t="shared" si="53"/>
        <v>0</v>
      </c>
      <c r="YQ49" s="375">
        <f t="shared" si="53"/>
        <v>0</v>
      </c>
      <c r="YR49" s="375">
        <f t="shared" si="53"/>
        <v>0</v>
      </c>
      <c r="YS49" s="375">
        <f t="shared" si="53"/>
        <v>0</v>
      </c>
      <c r="YT49" s="375">
        <f t="shared" si="53"/>
        <v>0</v>
      </c>
      <c r="YU49" s="375">
        <f t="shared" si="53"/>
        <v>0</v>
      </c>
      <c r="YV49" s="375">
        <f t="shared" si="53"/>
        <v>0</v>
      </c>
      <c r="YW49" s="375">
        <f t="shared" si="53"/>
        <v>0</v>
      </c>
      <c r="YX49" s="375">
        <f t="shared" si="53"/>
        <v>0</v>
      </c>
      <c r="YY49" s="375">
        <f t="shared" si="53"/>
        <v>0</v>
      </c>
      <c r="YZ49" s="375">
        <f t="shared" si="53"/>
        <v>0</v>
      </c>
      <c r="ZA49" s="375">
        <f t="shared" si="53"/>
        <v>0</v>
      </c>
      <c r="ZB49" s="375">
        <f t="shared" si="53"/>
        <v>0</v>
      </c>
      <c r="ZC49" s="375">
        <f t="shared" si="53"/>
        <v>0</v>
      </c>
      <c r="ZD49" s="375">
        <f t="shared" si="53"/>
        <v>0</v>
      </c>
      <c r="ZE49" s="375">
        <f t="shared" si="53"/>
        <v>0</v>
      </c>
      <c r="ZF49" s="375">
        <f t="shared" si="53"/>
        <v>0</v>
      </c>
      <c r="ZG49" s="375">
        <f t="shared" si="53"/>
        <v>0</v>
      </c>
      <c r="ZH49" s="375">
        <f t="shared" si="53"/>
        <v>0</v>
      </c>
      <c r="ZI49" s="375">
        <f t="shared" si="53"/>
        <v>0</v>
      </c>
      <c r="ZJ49" s="375">
        <f t="shared" si="53"/>
        <v>0</v>
      </c>
      <c r="ZK49" s="375">
        <f t="shared" si="53"/>
        <v>0</v>
      </c>
      <c r="ZL49" s="375">
        <f t="shared" si="53"/>
        <v>0</v>
      </c>
      <c r="ZM49" s="375">
        <f t="shared" si="53"/>
        <v>0</v>
      </c>
      <c r="ZN49" s="375">
        <f t="shared" si="53"/>
        <v>0</v>
      </c>
      <c r="ZO49" s="375">
        <f t="shared" si="53"/>
        <v>0</v>
      </c>
      <c r="ZP49" s="375">
        <f t="shared" si="53"/>
        <v>0</v>
      </c>
      <c r="ZQ49" s="375">
        <f t="shared" si="53"/>
        <v>0</v>
      </c>
      <c r="ZR49" s="375">
        <f t="shared" si="53"/>
        <v>0</v>
      </c>
      <c r="ZS49" s="375">
        <f t="shared" si="53"/>
        <v>0</v>
      </c>
      <c r="ZT49" s="375">
        <f t="shared" si="53"/>
        <v>0</v>
      </c>
      <c r="ZU49" s="375">
        <f t="shared" si="53"/>
        <v>0</v>
      </c>
      <c r="ZV49" s="375">
        <f t="shared" si="53"/>
        <v>0</v>
      </c>
      <c r="ZW49" s="375">
        <f t="shared" si="53"/>
        <v>0</v>
      </c>
      <c r="ZX49" s="375">
        <f t="shared" si="53"/>
        <v>0</v>
      </c>
      <c r="ZY49" s="375">
        <f t="shared" si="53"/>
        <v>0</v>
      </c>
      <c r="ZZ49" s="375">
        <f t="shared" si="53"/>
        <v>0</v>
      </c>
      <c r="AAA49" s="375">
        <f t="shared" si="53"/>
        <v>0</v>
      </c>
      <c r="AAB49" s="375">
        <f t="shared" si="53"/>
        <v>0</v>
      </c>
      <c r="AAC49" s="375">
        <f t="shared" ref="AAC49:ACN49" si="54">AAC48*0.8</f>
        <v>0</v>
      </c>
      <c r="AAD49" s="375">
        <f t="shared" si="54"/>
        <v>0</v>
      </c>
      <c r="AAE49" s="375">
        <f t="shared" si="54"/>
        <v>0</v>
      </c>
      <c r="AAF49" s="375">
        <f t="shared" si="54"/>
        <v>0</v>
      </c>
      <c r="AAG49" s="375">
        <f t="shared" si="54"/>
        <v>0</v>
      </c>
      <c r="AAH49" s="375">
        <f t="shared" si="54"/>
        <v>0</v>
      </c>
      <c r="AAI49" s="375">
        <f t="shared" si="54"/>
        <v>0</v>
      </c>
      <c r="AAJ49" s="375">
        <f t="shared" si="54"/>
        <v>0</v>
      </c>
      <c r="AAK49" s="375">
        <f t="shared" si="54"/>
        <v>0</v>
      </c>
      <c r="AAL49" s="375">
        <f t="shared" si="54"/>
        <v>0</v>
      </c>
      <c r="AAM49" s="375">
        <f t="shared" si="54"/>
        <v>0</v>
      </c>
      <c r="AAN49" s="375">
        <f t="shared" si="54"/>
        <v>0</v>
      </c>
      <c r="AAO49" s="375">
        <f t="shared" si="54"/>
        <v>0</v>
      </c>
      <c r="AAP49" s="375">
        <f t="shared" si="54"/>
        <v>0</v>
      </c>
      <c r="AAQ49" s="375">
        <f t="shared" si="54"/>
        <v>0</v>
      </c>
      <c r="AAR49" s="375">
        <f t="shared" si="54"/>
        <v>0</v>
      </c>
      <c r="AAS49" s="375">
        <f t="shared" si="54"/>
        <v>0</v>
      </c>
      <c r="AAT49" s="375">
        <f t="shared" si="54"/>
        <v>0</v>
      </c>
      <c r="AAU49" s="375">
        <f t="shared" si="54"/>
        <v>0</v>
      </c>
      <c r="AAV49" s="375">
        <f t="shared" si="54"/>
        <v>0</v>
      </c>
      <c r="AAW49" s="375">
        <f t="shared" si="54"/>
        <v>0</v>
      </c>
      <c r="AAX49" s="375">
        <f t="shared" si="54"/>
        <v>0</v>
      </c>
      <c r="AAY49" s="375">
        <f t="shared" si="54"/>
        <v>0</v>
      </c>
      <c r="AAZ49" s="375">
        <f t="shared" si="54"/>
        <v>0</v>
      </c>
      <c r="ABA49" s="375">
        <f t="shared" si="54"/>
        <v>0</v>
      </c>
      <c r="ABB49" s="375">
        <f t="shared" si="54"/>
        <v>0</v>
      </c>
      <c r="ABC49" s="375">
        <f t="shared" si="54"/>
        <v>0</v>
      </c>
      <c r="ABD49" s="375">
        <f t="shared" si="54"/>
        <v>0</v>
      </c>
      <c r="ABE49" s="375">
        <f t="shared" si="54"/>
        <v>0</v>
      </c>
      <c r="ABF49" s="375">
        <f t="shared" si="54"/>
        <v>0</v>
      </c>
      <c r="ABG49" s="375">
        <f t="shared" si="54"/>
        <v>0</v>
      </c>
      <c r="ABH49" s="375">
        <f t="shared" si="54"/>
        <v>0</v>
      </c>
      <c r="ABI49" s="375">
        <f t="shared" si="54"/>
        <v>0</v>
      </c>
      <c r="ABJ49" s="375">
        <f t="shared" si="54"/>
        <v>0</v>
      </c>
      <c r="ABK49" s="375">
        <f t="shared" si="54"/>
        <v>0</v>
      </c>
      <c r="ABL49" s="375">
        <f t="shared" si="54"/>
        <v>0</v>
      </c>
      <c r="ABM49" s="375">
        <f t="shared" si="54"/>
        <v>0</v>
      </c>
      <c r="ABN49" s="375">
        <f t="shared" si="54"/>
        <v>0</v>
      </c>
      <c r="ABO49" s="375">
        <f t="shared" si="54"/>
        <v>0</v>
      </c>
      <c r="ABP49" s="375">
        <f t="shared" si="54"/>
        <v>0</v>
      </c>
      <c r="ABQ49" s="375">
        <f t="shared" si="54"/>
        <v>0</v>
      </c>
      <c r="ABR49" s="375">
        <f t="shared" si="54"/>
        <v>0</v>
      </c>
      <c r="ABS49" s="375">
        <f t="shared" si="54"/>
        <v>0</v>
      </c>
      <c r="ABT49" s="375">
        <f t="shared" si="54"/>
        <v>0</v>
      </c>
      <c r="ABU49" s="375">
        <f t="shared" si="54"/>
        <v>0</v>
      </c>
      <c r="ABV49" s="375">
        <f t="shared" si="54"/>
        <v>0</v>
      </c>
      <c r="ABW49" s="375">
        <f t="shared" si="54"/>
        <v>0</v>
      </c>
      <c r="ABX49" s="375">
        <f t="shared" si="54"/>
        <v>0</v>
      </c>
      <c r="ABY49" s="375">
        <f t="shared" si="54"/>
        <v>0</v>
      </c>
      <c r="ABZ49" s="375">
        <f t="shared" si="54"/>
        <v>0</v>
      </c>
      <c r="ACA49" s="375">
        <f t="shared" si="54"/>
        <v>0</v>
      </c>
      <c r="ACB49" s="375">
        <f t="shared" si="54"/>
        <v>0</v>
      </c>
      <c r="ACC49" s="375">
        <f t="shared" si="54"/>
        <v>0</v>
      </c>
      <c r="ACD49" s="375">
        <f t="shared" si="54"/>
        <v>0</v>
      </c>
      <c r="ACE49" s="375">
        <f t="shared" si="54"/>
        <v>0</v>
      </c>
      <c r="ACF49" s="375">
        <f t="shared" si="54"/>
        <v>0</v>
      </c>
      <c r="ACG49" s="375">
        <f t="shared" si="54"/>
        <v>0</v>
      </c>
      <c r="ACH49" s="375">
        <f t="shared" si="54"/>
        <v>0</v>
      </c>
      <c r="ACI49" s="375">
        <f t="shared" si="54"/>
        <v>0</v>
      </c>
      <c r="ACJ49" s="375">
        <f t="shared" si="54"/>
        <v>0</v>
      </c>
      <c r="ACK49" s="375">
        <f t="shared" si="54"/>
        <v>0</v>
      </c>
      <c r="ACL49" s="375">
        <f t="shared" si="54"/>
        <v>0</v>
      </c>
      <c r="ACM49" s="375">
        <f t="shared" si="54"/>
        <v>0</v>
      </c>
      <c r="ACN49" s="375">
        <f t="shared" si="54"/>
        <v>0</v>
      </c>
      <c r="ACO49" s="375">
        <f t="shared" ref="ACO49:AEZ49" si="55">ACO48*0.8</f>
        <v>0</v>
      </c>
      <c r="ACP49" s="375">
        <f t="shared" si="55"/>
        <v>0</v>
      </c>
      <c r="ACQ49" s="375">
        <f t="shared" si="55"/>
        <v>0</v>
      </c>
      <c r="ACR49" s="375">
        <f t="shared" si="55"/>
        <v>0</v>
      </c>
      <c r="ACS49" s="375">
        <f t="shared" si="55"/>
        <v>0</v>
      </c>
      <c r="ACT49" s="375">
        <f t="shared" si="55"/>
        <v>0</v>
      </c>
      <c r="ACU49" s="375">
        <f t="shared" si="55"/>
        <v>0</v>
      </c>
      <c r="ACV49" s="375">
        <f t="shared" si="55"/>
        <v>0</v>
      </c>
      <c r="ACW49" s="375">
        <f t="shared" si="55"/>
        <v>0</v>
      </c>
      <c r="ACX49" s="375">
        <f t="shared" si="55"/>
        <v>0</v>
      </c>
      <c r="ACY49" s="375">
        <f t="shared" si="55"/>
        <v>0</v>
      </c>
      <c r="ACZ49" s="375">
        <f t="shared" si="55"/>
        <v>0</v>
      </c>
      <c r="ADA49" s="375">
        <f t="shared" si="55"/>
        <v>0</v>
      </c>
      <c r="ADB49" s="375">
        <f t="shared" si="55"/>
        <v>0</v>
      </c>
      <c r="ADC49" s="375">
        <f t="shared" si="55"/>
        <v>0</v>
      </c>
      <c r="ADD49" s="375">
        <f t="shared" si="55"/>
        <v>0</v>
      </c>
      <c r="ADE49" s="375">
        <f t="shared" si="55"/>
        <v>0</v>
      </c>
      <c r="ADF49" s="375">
        <f t="shared" si="55"/>
        <v>0</v>
      </c>
      <c r="ADG49" s="375">
        <f t="shared" si="55"/>
        <v>0</v>
      </c>
      <c r="ADH49" s="375">
        <f t="shared" si="55"/>
        <v>0</v>
      </c>
      <c r="ADI49" s="375">
        <f t="shared" si="55"/>
        <v>0</v>
      </c>
      <c r="ADJ49" s="375">
        <f t="shared" si="55"/>
        <v>0</v>
      </c>
      <c r="ADK49" s="375">
        <f t="shared" si="55"/>
        <v>0</v>
      </c>
      <c r="ADL49" s="375">
        <f t="shared" si="55"/>
        <v>0</v>
      </c>
      <c r="ADM49" s="375">
        <f t="shared" si="55"/>
        <v>0</v>
      </c>
      <c r="ADN49" s="375">
        <f t="shared" si="55"/>
        <v>0</v>
      </c>
      <c r="ADO49" s="375">
        <f t="shared" si="55"/>
        <v>0</v>
      </c>
      <c r="ADP49" s="375">
        <f t="shared" si="55"/>
        <v>0</v>
      </c>
      <c r="ADQ49" s="375">
        <f t="shared" si="55"/>
        <v>0</v>
      </c>
      <c r="ADR49" s="375">
        <f t="shared" si="55"/>
        <v>0</v>
      </c>
      <c r="ADS49" s="375">
        <f t="shared" si="55"/>
        <v>0</v>
      </c>
      <c r="ADT49" s="375">
        <f t="shared" si="55"/>
        <v>0</v>
      </c>
      <c r="ADU49" s="375">
        <f t="shared" si="55"/>
        <v>0</v>
      </c>
      <c r="ADV49" s="375">
        <f t="shared" si="55"/>
        <v>0</v>
      </c>
      <c r="ADW49" s="375">
        <f t="shared" si="55"/>
        <v>0</v>
      </c>
      <c r="ADX49" s="375">
        <f t="shared" si="55"/>
        <v>0</v>
      </c>
      <c r="ADY49" s="375">
        <f t="shared" si="55"/>
        <v>0</v>
      </c>
      <c r="ADZ49" s="375">
        <f t="shared" si="55"/>
        <v>0</v>
      </c>
      <c r="AEA49" s="375">
        <f t="shared" si="55"/>
        <v>0</v>
      </c>
      <c r="AEB49" s="375">
        <f t="shared" si="55"/>
        <v>0</v>
      </c>
      <c r="AEC49" s="375">
        <f t="shared" si="55"/>
        <v>0</v>
      </c>
      <c r="AED49" s="375">
        <f t="shared" si="55"/>
        <v>0</v>
      </c>
      <c r="AEE49" s="375">
        <f t="shared" si="55"/>
        <v>0</v>
      </c>
      <c r="AEF49" s="375">
        <f t="shared" si="55"/>
        <v>0</v>
      </c>
      <c r="AEG49" s="375">
        <f t="shared" si="55"/>
        <v>0</v>
      </c>
      <c r="AEH49" s="375">
        <f t="shared" si="55"/>
        <v>0</v>
      </c>
      <c r="AEI49" s="375">
        <f t="shared" si="55"/>
        <v>0</v>
      </c>
      <c r="AEJ49" s="375">
        <f t="shared" si="55"/>
        <v>0</v>
      </c>
      <c r="AEK49" s="375">
        <f t="shared" si="55"/>
        <v>0</v>
      </c>
      <c r="AEL49" s="375">
        <f t="shared" si="55"/>
        <v>0</v>
      </c>
      <c r="AEM49" s="375">
        <f t="shared" si="55"/>
        <v>0</v>
      </c>
      <c r="AEN49" s="375">
        <f t="shared" si="55"/>
        <v>0</v>
      </c>
      <c r="AEO49" s="375">
        <f t="shared" si="55"/>
        <v>0</v>
      </c>
      <c r="AEP49" s="375">
        <f t="shared" si="55"/>
        <v>0</v>
      </c>
      <c r="AEQ49" s="375">
        <f t="shared" si="55"/>
        <v>0</v>
      </c>
      <c r="AER49" s="375">
        <f t="shared" si="55"/>
        <v>0</v>
      </c>
      <c r="AES49" s="375">
        <f t="shared" si="55"/>
        <v>0</v>
      </c>
      <c r="AET49" s="375">
        <f t="shared" si="55"/>
        <v>0</v>
      </c>
      <c r="AEU49" s="375">
        <f t="shared" si="55"/>
        <v>0</v>
      </c>
      <c r="AEV49" s="375">
        <f t="shared" si="55"/>
        <v>0</v>
      </c>
      <c r="AEW49" s="375">
        <f t="shared" si="55"/>
        <v>0</v>
      </c>
      <c r="AEX49" s="375">
        <f t="shared" si="55"/>
        <v>0</v>
      </c>
      <c r="AEY49" s="375">
        <f t="shared" si="55"/>
        <v>0</v>
      </c>
      <c r="AEZ49" s="375">
        <f t="shared" si="55"/>
        <v>0</v>
      </c>
      <c r="AFA49" s="375">
        <f t="shared" ref="AFA49:AHL49" si="56">AFA48*0.8</f>
        <v>0</v>
      </c>
      <c r="AFB49" s="375">
        <f t="shared" si="56"/>
        <v>0</v>
      </c>
      <c r="AFC49" s="375">
        <f t="shared" si="56"/>
        <v>0</v>
      </c>
      <c r="AFD49" s="375">
        <f t="shared" si="56"/>
        <v>0</v>
      </c>
      <c r="AFE49" s="375">
        <f t="shared" si="56"/>
        <v>0</v>
      </c>
      <c r="AFF49" s="375">
        <f t="shared" si="56"/>
        <v>0</v>
      </c>
      <c r="AFG49" s="375">
        <f t="shared" si="56"/>
        <v>0</v>
      </c>
      <c r="AFH49" s="375">
        <f t="shared" si="56"/>
        <v>0</v>
      </c>
      <c r="AFI49" s="375">
        <f t="shared" si="56"/>
        <v>0</v>
      </c>
      <c r="AFJ49" s="375">
        <f t="shared" si="56"/>
        <v>0</v>
      </c>
      <c r="AFK49" s="375">
        <f t="shared" si="56"/>
        <v>0</v>
      </c>
      <c r="AFL49" s="375">
        <f t="shared" si="56"/>
        <v>0</v>
      </c>
      <c r="AFM49" s="375">
        <f t="shared" si="56"/>
        <v>0</v>
      </c>
      <c r="AFN49" s="375">
        <f t="shared" si="56"/>
        <v>0</v>
      </c>
      <c r="AFO49" s="375">
        <f t="shared" si="56"/>
        <v>0</v>
      </c>
      <c r="AFP49" s="375">
        <f t="shared" si="56"/>
        <v>0</v>
      </c>
      <c r="AFQ49" s="375">
        <f t="shared" si="56"/>
        <v>0</v>
      </c>
      <c r="AFR49" s="375">
        <f t="shared" si="56"/>
        <v>0</v>
      </c>
      <c r="AFS49" s="375">
        <f t="shared" si="56"/>
        <v>0</v>
      </c>
      <c r="AFT49" s="375">
        <f t="shared" si="56"/>
        <v>0</v>
      </c>
      <c r="AFU49" s="375">
        <f t="shared" si="56"/>
        <v>0</v>
      </c>
      <c r="AFV49" s="375">
        <f t="shared" si="56"/>
        <v>0</v>
      </c>
      <c r="AFW49" s="375">
        <f t="shared" si="56"/>
        <v>0</v>
      </c>
      <c r="AFX49" s="375">
        <f t="shared" si="56"/>
        <v>0</v>
      </c>
      <c r="AFY49" s="375">
        <f t="shared" si="56"/>
        <v>0</v>
      </c>
      <c r="AFZ49" s="375">
        <f t="shared" si="56"/>
        <v>0</v>
      </c>
      <c r="AGA49" s="375">
        <f t="shared" si="56"/>
        <v>0</v>
      </c>
      <c r="AGB49" s="375">
        <f t="shared" si="56"/>
        <v>0</v>
      </c>
      <c r="AGC49" s="375">
        <f t="shared" si="56"/>
        <v>0</v>
      </c>
      <c r="AGD49" s="375">
        <f t="shared" si="56"/>
        <v>0</v>
      </c>
      <c r="AGE49" s="375">
        <f t="shared" si="56"/>
        <v>0</v>
      </c>
      <c r="AGF49" s="375">
        <f t="shared" si="56"/>
        <v>0</v>
      </c>
      <c r="AGG49" s="375">
        <f t="shared" si="56"/>
        <v>0</v>
      </c>
      <c r="AGH49" s="375">
        <f t="shared" si="56"/>
        <v>0</v>
      </c>
      <c r="AGI49" s="375">
        <f t="shared" si="56"/>
        <v>0</v>
      </c>
      <c r="AGJ49" s="375">
        <f t="shared" si="56"/>
        <v>0</v>
      </c>
      <c r="AGK49" s="375">
        <f t="shared" si="56"/>
        <v>0</v>
      </c>
      <c r="AGL49" s="375">
        <f t="shared" si="56"/>
        <v>0</v>
      </c>
      <c r="AGM49" s="375">
        <f t="shared" si="56"/>
        <v>0</v>
      </c>
      <c r="AGN49" s="375">
        <f t="shared" si="56"/>
        <v>0</v>
      </c>
      <c r="AGO49" s="375">
        <f t="shared" si="56"/>
        <v>0</v>
      </c>
      <c r="AGP49" s="375">
        <f t="shared" si="56"/>
        <v>0</v>
      </c>
      <c r="AGQ49" s="375">
        <f t="shared" si="56"/>
        <v>0</v>
      </c>
      <c r="AGR49" s="375">
        <f t="shared" si="56"/>
        <v>0</v>
      </c>
      <c r="AGS49" s="375">
        <f t="shared" si="56"/>
        <v>0</v>
      </c>
      <c r="AGT49" s="375">
        <f t="shared" si="56"/>
        <v>0</v>
      </c>
      <c r="AGU49" s="375">
        <f t="shared" si="56"/>
        <v>0</v>
      </c>
      <c r="AGV49" s="375">
        <f t="shared" si="56"/>
        <v>0</v>
      </c>
      <c r="AGW49" s="375">
        <f t="shared" si="56"/>
        <v>0</v>
      </c>
      <c r="AGX49" s="375">
        <f t="shared" si="56"/>
        <v>0</v>
      </c>
      <c r="AGY49" s="375">
        <f t="shared" si="56"/>
        <v>0</v>
      </c>
      <c r="AGZ49" s="375">
        <f t="shared" si="56"/>
        <v>0</v>
      </c>
      <c r="AHA49" s="375">
        <f t="shared" si="56"/>
        <v>0</v>
      </c>
      <c r="AHB49" s="375">
        <f t="shared" si="56"/>
        <v>0</v>
      </c>
      <c r="AHC49" s="375">
        <f t="shared" si="56"/>
        <v>0</v>
      </c>
      <c r="AHD49" s="375">
        <f t="shared" si="56"/>
        <v>0</v>
      </c>
      <c r="AHE49" s="375">
        <f t="shared" si="56"/>
        <v>0</v>
      </c>
      <c r="AHF49" s="375">
        <f t="shared" si="56"/>
        <v>0</v>
      </c>
      <c r="AHG49" s="375">
        <f t="shared" si="56"/>
        <v>0</v>
      </c>
      <c r="AHH49" s="375">
        <f t="shared" si="56"/>
        <v>0</v>
      </c>
      <c r="AHI49" s="375">
        <f t="shared" si="56"/>
        <v>0</v>
      </c>
      <c r="AHJ49" s="375">
        <f t="shared" si="56"/>
        <v>0</v>
      </c>
      <c r="AHK49" s="375">
        <f t="shared" si="56"/>
        <v>0</v>
      </c>
      <c r="AHL49" s="375">
        <f t="shared" si="56"/>
        <v>0</v>
      </c>
      <c r="AHM49" s="375">
        <f t="shared" ref="AHM49:AJX49" si="57">AHM48*0.8</f>
        <v>0</v>
      </c>
      <c r="AHN49" s="375">
        <f t="shared" si="57"/>
        <v>0</v>
      </c>
      <c r="AHO49" s="375">
        <f t="shared" si="57"/>
        <v>0</v>
      </c>
      <c r="AHP49" s="375">
        <f t="shared" si="57"/>
        <v>0</v>
      </c>
      <c r="AHQ49" s="375">
        <f t="shared" si="57"/>
        <v>0</v>
      </c>
      <c r="AHR49" s="375">
        <f t="shared" si="57"/>
        <v>0</v>
      </c>
      <c r="AHS49" s="375">
        <f t="shared" si="57"/>
        <v>0</v>
      </c>
      <c r="AHT49" s="375">
        <f t="shared" si="57"/>
        <v>0</v>
      </c>
      <c r="AHU49" s="375">
        <f t="shared" si="57"/>
        <v>0</v>
      </c>
      <c r="AHV49" s="375">
        <f t="shared" si="57"/>
        <v>0</v>
      </c>
      <c r="AHW49" s="375">
        <f t="shared" si="57"/>
        <v>0</v>
      </c>
      <c r="AHX49" s="375">
        <f t="shared" si="57"/>
        <v>0</v>
      </c>
      <c r="AHY49" s="375">
        <f t="shared" si="57"/>
        <v>0</v>
      </c>
      <c r="AHZ49" s="375">
        <f t="shared" si="57"/>
        <v>0</v>
      </c>
      <c r="AIA49" s="375">
        <f t="shared" si="57"/>
        <v>0</v>
      </c>
      <c r="AIB49" s="375">
        <f t="shared" si="57"/>
        <v>0</v>
      </c>
      <c r="AIC49" s="375">
        <f t="shared" si="57"/>
        <v>0</v>
      </c>
      <c r="AID49" s="375">
        <f t="shared" si="57"/>
        <v>0</v>
      </c>
      <c r="AIE49" s="375">
        <f t="shared" si="57"/>
        <v>0</v>
      </c>
      <c r="AIF49" s="375">
        <f t="shared" si="57"/>
        <v>0</v>
      </c>
      <c r="AIG49" s="375">
        <f t="shared" si="57"/>
        <v>0</v>
      </c>
      <c r="AIH49" s="375">
        <f t="shared" si="57"/>
        <v>0</v>
      </c>
      <c r="AII49" s="375">
        <f t="shared" si="57"/>
        <v>0</v>
      </c>
      <c r="AIJ49" s="375">
        <f t="shared" si="57"/>
        <v>0</v>
      </c>
      <c r="AIK49" s="375">
        <f t="shared" si="57"/>
        <v>0</v>
      </c>
      <c r="AIL49" s="375">
        <f t="shared" si="57"/>
        <v>0</v>
      </c>
      <c r="AIM49" s="375">
        <f t="shared" si="57"/>
        <v>0</v>
      </c>
      <c r="AIN49" s="375">
        <f t="shared" si="57"/>
        <v>0</v>
      </c>
      <c r="AIO49" s="375">
        <f t="shared" si="57"/>
        <v>0</v>
      </c>
      <c r="AIP49" s="375">
        <f t="shared" si="57"/>
        <v>0</v>
      </c>
      <c r="AIQ49" s="375">
        <f t="shared" si="57"/>
        <v>0</v>
      </c>
      <c r="AIR49" s="375">
        <f t="shared" si="57"/>
        <v>0</v>
      </c>
      <c r="AIS49" s="375">
        <f t="shared" si="57"/>
        <v>0</v>
      </c>
      <c r="AIT49" s="375">
        <f t="shared" si="57"/>
        <v>0</v>
      </c>
      <c r="AIU49" s="375">
        <f t="shared" si="57"/>
        <v>0</v>
      </c>
      <c r="AIV49" s="375">
        <f t="shared" si="57"/>
        <v>0</v>
      </c>
      <c r="AIW49" s="375">
        <f t="shared" si="57"/>
        <v>0</v>
      </c>
      <c r="AIX49" s="375">
        <f t="shared" si="57"/>
        <v>0</v>
      </c>
      <c r="AIY49" s="375">
        <f t="shared" si="57"/>
        <v>0</v>
      </c>
      <c r="AIZ49" s="375">
        <f t="shared" si="57"/>
        <v>0</v>
      </c>
      <c r="AJA49" s="375">
        <f t="shared" si="57"/>
        <v>0</v>
      </c>
      <c r="AJB49" s="375">
        <f t="shared" si="57"/>
        <v>0</v>
      </c>
      <c r="AJC49" s="375">
        <f t="shared" si="57"/>
        <v>0</v>
      </c>
      <c r="AJD49" s="375">
        <f t="shared" si="57"/>
        <v>0</v>
      </c>
      <c r="AJE49" s="375">
        <f t="shared" si="57"/>
        <v>0</v>
      </c>
      <c r="AJF49" s="375">
        <f t="shared" si="57"/>
        <v>0</v>
      </c>
      <c r="AJG49" s="375">
        <f t="shared" si="57"/>
        <v>0</v>
      </c>
      <c r="AJH49" s="375">
        <f t="shared" si="57"/>
        <v>0</v>
      </c>
      <c r="AJI49" s="375">
        <f t="shared" si="57"/>
        <v>0</v>
      </c>
      <c r="AJJ49" s="375">
        <f t="shared" si="57"/>
        <v>0</v>
      </c>
      <c r="AJK49" s="375">
        <f t="shared" si="57"/>
        <v>0</v>
      </c>
      <c r="AJL49" s="375">
        <f t="shared" si="57"/>
        <v>0</v>
      </c>
      <c r="AJM49" s="375">
        <f t="shared" si="57"/>
        <v>0</v>
      </c>
      <c r="AJN49" s="375">
        <f t="shared" si="57"/>
        <v>0</v>
      </c>
      <c r="AJO49" s="375">
        <f t="shared" si="57"/>
        <v>0</v>
      </c>
      <c r="AJP49" s="375">
        <f t="shared" si="57"/>
        <v>0</v>
      </c>
      <c r="AJQ49" s="375">
        <f t="shared" si="57"/>
        <v>0</v>
      </c>
      <c r="AJR49" s="375">
        <f t="shared" si="57"/>
        <v>0</v>
      </c>
      <c r="AJS49" s="375">
        <f t="shared" si="57"/>
        <v>0</v>
      </c>
      <c r="AJT49" s="375">
        <f t="shared" si="57"/>
        <v>0</v>
      </c>
      <c r="AJU49" s="375">
        <f t="shared" si="57"/>
        <v>0</v>
      </c>
      <c r="AJV49" s="375">
        <f t="shared" si="57"/>
        <v>0</v>
      </c>
      <c r="AJW49" s="375">
        <f t="shared" si="57"/>
        <v>0</v>
      </c>
      <c r="AJX49" s="375">
        <f t="shared" si="57"/>
        <v>0</v>
      </c>
      <c r="AJY49" s="375">
        <f t="shared" ref="AJY49:AMJ49" si="58">AJY48*0.8</f>
        <v>0</v>
      </c>
      <c r="AJZ49" s="375">
        <f t="shared" si="58"/>
        <v>0</v>
      </c>
      <c r="AKA49" s="375">
        <f t="shared" si="58"/>
        <v>0</v>
      </c>
      <c r="AKB49" s="375">
        <f t="shared" si="58"/>
        <v>0</v>
      </c>
      <c r="AKC49" s="375">
        <f t="shared" si="58"/>
        <v>0</v>
      </c>
      <c r="AKD49" s="375">
        <f t="shared" si="58"/>
        <v>0</v>
      </c>
      <c r="AKE49" s="375">
        <f t="shared" si="58"/>
        <v>0</v>
      </c>
      <c r="AKF49" s="375">
        <f t="shared" si="58"/>
        <v>0</v>
      </c>
      <c r="AKG49" s="375">
        <f t="shared" si="58"/>
        <v>0</v>
      </c>
      <c r="AKH49" s="375">
        <f t="shared" si="58"/>
        <v>0</v>
      </c>
      <c r="AKI49" s="375">
        <f t="shared" si="58"/>
        <v>0</v>
      </c>
      <c r="AKJ49" s="375">
        <f t="shared" si="58"/>
        <v>0</v>
      </c>
      <c r="AKK49" s="375">
        <f t="shared" si="58"/>
        <v>0</v>
      </c>
      <c r="AKL49" s="375">
        <f t="shared" si="58"/>
        <v>0</v>
      </c>
      <c r="AKM49" s="375">
        <f t="shared" si="58"/>
        <v>0</v>
      </c>
      <c r="AKN49" s="375">
        <f t="shared" si="58"/>
        <v>0</v>
      </c>
      <c r="AKO49" s="375">
        <f t="shared" si="58"/>
        <v>0</v>
      </c>
      <c r="AKP49" s="375">
        <f t="shared" si="58"/>
        <v>0</v>
      </c>
      <c r="AKQ49" s="375">
        <f t="shared" si="58"/>
        <v>0</v>
      </c>
      <c r="AKR49" s="375">
        <f t="shared" si="58"/>
        <v>0</v>
      </c>
      <c r="AKS49" s="375">
        <f t="shared" si="58"/>
        <v>0</v>
      </c>
      <c r="AKT49" s="375">
        <f t="shared" si="58"/>
        <v>0</v>
      </c>
      <c r="AKU49" s="375">
        <f t="shared" si="58"/>
        <v>0</v>
      </c>
      <c r="AKV49" s="375">
        <f t="shared" si="58"/>
        <v>0</v>
      </c>
      <c r="AKW49" s="375">
        <f t="shared" si="58"/>
        <v>0</v>
      </c>
      <c r="AKX49" s="375">
        <f t="shared" si="58"/>
        <v>0</v>
      </c>
      <c r="AKY49" s="375">
        <f t="shared" si="58"/>
        <v>0</v>
      </c>
      <c r="AKZ49" s="375">
        <f t="shared" si="58"/>
        <v>0</v>
      </c>
      <c r="ALA49" s="375">
        <f t="shared" si="58"/>
        <v>0</v>
      </c>
      <c r="ALB49" s="375">
        <f t="shared" si="58"/>
        <v>0</v>
      </c>
      <c r="ALC49" s="375">
        <f t="shared" si="58"/>
        <v>0</v>
      </c>
      <c r="ALD49" s="375">
        <f t="shared" si="58"/>
        <v>0</v>
      </c>
      <c r="ALE49" s="375">
        <f t="shared" si="58"/>
        <v>0</v>
      </c>
      <c r="ALF49" s="375">
        <f t="shared" si="58"/>
        <v>0</v>
      </c>
      <c r="ALG49" s="375">
        <f t="shared" si="58"/>
        <v>0</v>
      </c>
      <c r="ALH49" s="375">
        <f t="shared" si="58"/>
        <v>0</v>
      </c>
      <c r="ALI49" s="375">
        <f t="shared" si="58"/>
        <v>0</v>
      </c>
      <c r="ALJ49" s="375">
        <f t="shared" si="58"/>
        <v>0</v>
      </c>
      <c r="ALK49" s="375">
        <f t="shared" si="58"/>
        <v>0</v>
      </c>
      <c r="ALL49" s="375">
        <f t="shared" si="58"/>
        <v>0</v>
      </c>
      <c r="ALM49" s="375">
        <f t="shared" si="58"/>
        <v>0</v>
      </c>
      <c r="ALN49" s="375">
        <f t="shared" si="58"/>
        <v>0</v>
      </c>
      <c r="ALO49" s="375">
        <f t="shared" si="58"/>
        <v>0</v>
      </c>
      <c r="ALP49" s="375">
        <f t="shared" si="58"/>
        <v>0</v>
      </c>
      <c r="ALQ49" s="375">
        <f t="shared" si="58"/>
        <v>0</v>
      </c>
      <c r="ALR49" s="375">
        <f t="shared" si="58"/>
        <v>0</v>
      </c>
      <c r="ALS49" s="375">
        <f t="shared" si="58"/>
        <v>0</v>
      </c>
      <c r="ALT49" s="375">
        <f t="shared" si="58"/>
        <v>0</v>
      </c>
      <c r="ALU49" s="375">
        <f t="shared" si="58"/>
        <v>0</v>
      </c>
      <c r="ALV49" s="375">
        <f t="shared" si="58"/>
        <v>0</v>
      </c>
      <c r="ALW49" s="375">
        <f t="shared" si="58"/>
        <v>0</v>
      </c>
      <c r="ALX49" s="375">
        <f t="shared" si="58"/>
        <v>0</v>
      </c>
      <c r="ALY49" s="375">
        <f t="shared" si="58"/>
        <v>0</v>
      </c>
      <c r="ALZ49" s="375">
        <f t="shared" si="58"/>
        <v>0</v>
      </c>
      <c r="AMA49" s="375">
        <f t="shared" si="58"/>
        <v>0</v>
      </c>
      <c r="AMB49" s="375">
        <f t="shared" si="58"/>
        <v>0</v>
      </c>
      <c r="AMC49" s="375">
        <f t="shared" si="58"/>
        <v>0</v>
      </c>
      <c r="AMD49" s="375">
        <f t="shared" si="58"/>
        <v>0</v>
      </c>
      <c r="AME49" s="375">
        <f t="shared" si="58"/>
        <v>0</v>
      </c>
      <c r="AMF49" s="375">
        <f t="shared" si="58"/>
        <v>0</v>
      </c>
      <c r="AMG49" s="375">
        <f t="shared" si="58"/>
        <v>0</v>
      </c>
      <c r="AMH49" s="375">
        <f t="shared" si="58"/>
        <v>0</v>
      </c>
      <c r="AMI49" s="375">
        <f t="shared" si="58"/>
        <v>0</v>
      </c>
      <c r="AMJ49" s="375">
        <f t="shared" si="58"/>
        <v>0</v>
      </c>
      <c r="AMK49" s="375">
        <f t="shared" ref="AMK49:AOV49" si="59">AMK48*0.8</f>
        <v>0</v>
      </c>
      <c r="AML49" s="375">
        <f t="shared" si="59"/>
        <v>0</v>
      </c>
      <c r="AMM49" s="375">
        <f t="shared" si="59"/>
        <v>0</v>
      </c>
      <c r="AMN49" s="375">
        <f t="shared" si="59"/>
        <v>0</v>
      </c>
      <c r="AMO49" s="375">
        <f t="shared" si="59"/>
        <v>0</v>
      </c>
      <c r="AMP49" s="375">
        <f t="shared" si="59"/>
        <v>0</v>
      </c>
      <c r="AMQ49" s="375">
        <f t="shared" si="59"/>
        <v>0</v>
      </c>
      <c r="AMR49" s="375">
        <f t="shared" si="59"/>
        <v>0</v>
      </c>
      <c r="AMS49" s="375">
        <f t="shared" si="59"/>
        <v>0</v>
      </c>
      <c r="AMT49" s="375">
        <f t="shared" si="59"/>
        <v>0</v>
      </c>
      <c r="AMU49" s="375">
        <f t="shared" si="59"/>
        <v>0</v>
      </c>
      <c r="AMV49" s="375">
        <f t="shared" si="59"/>
        <v>0</v>
      </c>
      <c r="AMW49" s="375">
        <f t="shared" si="59"/>
        <v>0</v>
      </c>
      <c r="AMX49" s="375">
        <f t="shared" si="59"/>
        <v>0</v>
      </c>
      <c r="AMY49" s="375">
        <f t="shared" si="59"/>
        <v>0</v>
      </c>
      <c r="AMZ49" s="375">
        <f t="shared" si="59"/>
        <v>0</v>
      </c>
      <c r="ANA49" s="375">
        <f t="shared" si="59"/>
        <v>0</v>
      </c>
      <c r="ANB49" s="375">
        <f t="shared" si="59"/>
        <v>0</v>
      </c>
      <c r="ANC49" s="375">
        <f t="shared" si="59"/>
        <v>0</v>
      </c>
      <c r="AND49" s="375">
        <f t="shared" si="59"/>
        <v>0</v>
      </c>
      <c r="ANE49" s="375">
        <f t="shared" si="59"/>
        <v>0</v>
      </c>
      <c r="ANF49" s="375">
        <f t="shared" si="59"/>
        <v>0</v>
      </c>
      <c r="ANG49" s="375">
        <f t="shared" si="59"/>
        <v>0</v>
      </c>
      <c r="ANH49" s="375">
        <f t="shared" si="59"/>
        <v>0</v>
      </c>
      <c r="ANI49" s="375">
        <f t="shared" si="59"/>
        <v>0</v>
      </c>
      <c r="ANJ49" s="375">
        <f t="shared" si="59"/>
        <v>0</v>
      </c>
      <c r="ANK49" s="375">
        <f t="shared" si="59"/>
        <v>0</v>
      </c>
      <c r="ANL49" s="375">
        <f t="shared" si="59"/>
        <v>0</v>
      </c>
      <c r="ANM49" s="375">
        <f t="shared" si="59"/>
        <v>0</v>
      </c>
      <c r="ANN49" s="375">
        <f t="shared" si="59"/>
        <v>0</v>
      </c>
      <c r="ANO49" s="375">
        <f t="shared" si="59"/>
        <v>0</v>
      </c>
      <c r="ANP49" s="375">
        <f t="shared" si="59"/>
        <v>0</v>
      </c>
      <c r="ANQ49" s="375">
        <f t="shared" si="59"/>
        <v>0</v>
      </c>
      <c r="ANR49" s="375">
        <f t="shared" si="59"/>
        <v>0</v>
      </c>
      <c r="ANS49" s="375">
        <f t="shared" si="59"/>
        <v>0</v>
      </c>
      <c r="ANT49" s="375">
        <f t="shared" si="59"/>
        <v>0</v>
      </c>
      <c r="ANU49" s="375">
        <f t="shared" si="59"/>
        <v>0</v>
      </c>
      <c r="ANV49" s="375">
        <f t="shared" si="59"/>
        <v>0</v>
      </c>
      <c r="ANW49" s="375">
        <f t="shared" si="59"/>
        <v>0</v>
      </c>
      <c r="ANX49" s="375">
        <f t="shared" si="59"/>
        <v>0</v>
      </c>
      <c r="ANY49" s="375">
        <f t="shared" si="59"/>
        <v>0</v>
      </c>
      <c r="ANZ49" s="375">
        <f t="shared" si="59"/>
        <v>0</v>
      </c>
      <c r="AOA49" s="375">
        <f t="shared" si="59"/>
        <v>0</v>
      </c>
      <c r="AOB49" s="375">
        <f t="shared" si="59"/>
        <v>0</v>
      </c>
      <c r="AOC49" s="375">
        <f t="shared" si="59"/>
        <v>0</v>
      </c>
      <c r="AOD49" s="375">
        <f t="shared" si="59"/>
        <v>0</v>
      </c>
      <c r="AOE49" s="375">
        <f t="shared" si="59"/>
        <v>0</v>
      </c>
      <c r="AOF49" s="375">
        <f t="shared" si="59"/>
        <v>0</v>
      </c>
      <c r="AOG49" s="375">
        <f t="shared" si="59"/>
        <v>0</v>
      </c>
      <c r="AOH49" s="375">
        <f t="shared" si="59"/>
        <v>0</v>
      </c>
      <c r="AOI49" s="375">
        <f t="shared" si="59"/>
        <v>0</v>
      </c>
      <c r="AOJ49" s="375">
        <f t="shared" si="59"/>
        <v>0</v>
      </c>
      <c r="AOK49" s="375">
        <f t="shared" si="59"/>
        <v>0</v>
      </c>
      <c r="AOL49" s="375">
        <f t="shared" si="59"/>
        <v>0</v>
      </c>
      <c r="AOM49" s="375">
        <f t="shared" si="59"/>
        <v>0</v>
      </c>
      <c r="AON49" s="375">
        <f t="shared" si="59"/>
        <v>0</v>
      </c>
      <c r="AOO49" s="375">
        <f t="shared" si="59"/>
        <v>0</v>
      </c>
      <c r="AOP49" s="375">
        <f t="shared" si="59"/>
        <v>0</v>
      </c>
      <c r="AOQ49" s="375">
        <f t="shared" si="59"/>
        <v>0</v>
      </c>
      <c r="AOR49" s="375">
        <f t="shared" si="59"/>
        <v>0</v>
      </c>
      <c r="AOS49" s="375">
        <f t="shared" si="59"/>
        <v>0</v>
      </c>
      <c r="AOT49" s="375">
        <f t="shared" si="59"/>
        <v>0</v>
      </c>
      <c r="AOU49" s="375">
        <f t="shared" si="59"/>
        <v>0</v>
      </c>
      <c r="AOV49" s="375">
        <f t="shared" si="59"/>
        <v>0</v>
      </c>
      <c r="AOW49" s="375">
        <f t="shared" ref="AOW49:ARH49" si="60">AOW48*0.8</f>
        <v>0</v>
      </c>
      <c r="AOX49" s="375">
        <f t="shared" si="60"/>
        <v>0</v>
      </c>
      <c r="AOY49" s="375">
        <f t="shared" si="60"/>
        <v>0</v>
      </c>
      <c r="AOZ49" s="375">
        <f t="shared" si="60"/>
        <v>0</v>
      </c>
      <c r="APA49" s="375">
        <f t="shared" si="60"/>
        <v>0</v>
      </c>
      <c r="APB49" s="375">
        <f t="shared" si="60"/>
        <v>0</v>
      </c>
      <c r="APC49" s="375">
        <f t="shared" si="60"/>
        <v>0</v>
      </c>
      <c r="APD49" s="375">
        <f t="shared" si="60"/>
        <v>0</v>
      </c>
      <c r="APE49" s="375">
        <f t="shared" si="60"/>
        <v>0</v>
      </c>
      <c r="APF49" s="375">
        <f t="shared" si="60"/>
        <v>0</v>
      </c>
      <c r="APG49" s="375">
        <f t="shared" si="60"/>
        <v>0</v>
      </c>
      <c r="APH49" s="375">
        <f t="shared" si="60"/>
        <v>0</v>
      </c>
      <c r="API49" s="375">
        <f t="shared" si="60"/>
        <v>0</v>
      </c>
      <c r="APJ49" s="375">
        <f t="shared" si="60"/>
        <v>0</v>
      </c>
      <c r="APK49" s="375">
        <f t="shared" si="60"/>
        <v>0</v>
      </c>
      <c r="APL49" s="375">
        <f t="shared" si="60"/>
        <v>0</v>
      </c>
      <c r="APM49" s="375">
        <f t="shared" si="60"/>
        <v>0</v>
      </c>
      <c r="APN49" s="375">
        <f t="shared" si="60"/>
        <v>0</v>
      </c>
      <c r="APO49" s="375">
        <f t="shared" si="60"/>
        <v>0</v>
      </c>
      <c r="APP49" s="375">
        <f t="shared" si="60"/>
        <v>0</v>
      </c>
      <c r="APQ49" s="375">
        <f t="shared" si="60"/>
        <v>0</v>
      </c>
      <c r="APR49" s="375">
        <f t="shared" si="60"/>
        <v>0</v>
      </c>
      <c r="APS49" s="375">
        <f t="shared" si="60"/>
        <v>0</v>
      </c>
      <c r="APT49" s="375">
        <f t="shared" si="60"/>
        <v>0</v>
      </c>
      <c r="APU49" s="375">
        <f t="shared" si="60"/>
        <v>0</v>
      </c>
      <c r="APV49" s="375">
        <f t="shared" si="60"/>
        <v>0</v>
      </c>
      <c r="APW49" s="375">
        <f t="shared" si="60"/>
        <v>0</v>
      </c>
      <c r="APX49" s="375">
        <f t="shared" si="60"/>
        <v>0</v>
      </c>
      <c r="APY49" s="375">
        <f t="shared" si="60"/>
        <v>0</v>
      </c>
      <c r="APZ49" s="375">
        <f t="shared" si="60"/>
        <v>0</v>
      </c>
      <c r="AQA49" s="375">
        <f t="shared" si="60"/>
        <v>0</v>
      </c>
      <c r="AQB49" s="375">
        <f t="shared" si="60"/>
        <v>0</v>
      </c>
      <c r="AQC49" s="375">
        <f t="shared" si="60"/>
        <v>0</v>
      </c>
      <c r="AQD49" s="375">
        <f t="shared" si="60"/>
        <v>0</v>
      </c>
      <c r="AQE49" s="375">
        <f t="shared" si="60"/>
        <v>0</v>
      </c>
      <c r="AQF49" s="375">
        <f t="shared" si="60"/>
        <v>0</v>
      </c>
      <c r="AQG49" s="375">
        <f t="shared" si="60"/>
        <v>0</v>
      </c>
      <c r="AQH49" s="375">
        <f t="shared" si="60"/>
        <v>0</v>
      </c>
      <c r="AQI49" s="375">
        <f t="shared" si="60"/>
        <v>0</v>
      </c>
      <c r="AQJ49" s="375">
        <f t="shared" si="60"/>
        <v>0</v>
      </c>
      <c r="AQK49" s="375">
        <f t="shared" si="60"/>
        <v>0</v>
      </c>
      <c r="AQL49" s="375">
        <f t="shared" si="60"/>
        <v>0</v>
      </c>
      <c r="AQM49" s="375">
        <f t="shared" si="60"/>
        <v>0</v>
      </c>
      <c r="AQN49" s="375">
        <f t="shared" si="60"/>
        <v>0</v>
      </c>
      <c r="AQO49" s="375">
        <f t="shared" si="60"/>
        <v>0</v>
      </c>
      <c r="AQP49" s="375">
        <f t="shared" si="60"/>
        <v>0</v>
      </c>
      <c r="AQQ49" s="375">
        <f t="shared" si="60"/>
        <v>0</v>
      </c>
      <c r="AQR49" s="375">
        <f t="shared" si="60"/>
        <v>0</v>
      </c>
      <c r="AQS49" s="375">
        <f t="shared" si="60"/>
        <v>0</v>
      </c>
      <c r="AQT49" s="375">
        <f t="shared" si="60"/>
        <v>0</v>
      </c>
      <c r="AQU49" s="375">
        <f t="shared" si="60"/>
        <v>0</v>
      </c>
      <c r="AQV49" s="375">
        <f t="shared" si="60"/>
        <v>0</v>
      </c>
      <c r="AQW49" s="375">
        <f t="shared" si="60"/>
        <v>0</v>
      </c>
      <c r="AQX49" s="375">
        <f t="shared" si="60"/>
        <v>0</v>
      </c>
      <c r="AQY49" s="375">
        <f t="shared" si="60"/>
        <v>0</v>
      </c>
      <c r="AQZ49" s="375">
        <f t="shared" si="60"/>
        <v>0</v>
      </c>
      <c r="ARA49" s="375">
        <f t="shared" si="60"/>
        <v>0</v>
      </c>
      <c r="ARB49" s="375">
        <f t="shared" si="60"/>
        <v>0</v>
      </c>
      <c r="ARC49" s="375">
        <f t="shared" si="60"/>
        <v>0</v>
      </c>
      <c r="ARD49" s="375">
        <f t="shared" si="60"/>
        <v>0</v>
      </c>
      <c r="ARE49" s="375">
        <f t="shared" si="60"/>
        <v>0</v>
      </c>
      <c r="ARF49" s="375">
        <f t="shared" si="60"/>
        <v>0</v>
      </c>
      <c r="ARG49" s="375">
        <f t="shared" si="60"/>
        <v>0</v>
      </c>
      <c r="ARH49" s="375">
        <f t="shared" si="60"/>
        <v>0</v>
      </c>
      <c r="ARI49" s="375">
        <f t="shared" ref="ARI49:ATT49" si="61">ARI48*0.8</f>
        <v>0</v>
      </c>
      <c r="ARJ49" s="375">
        <f t="shared" si="61"/>
        <v>0</v>
      </c>
      <c r="ARK49" s="375">
        <f t="shared" si="61"/>
        <v>0</v>
      </c>
      <c r="ARL49" s="375">
        <f t="shared" si="61"/>
        <v>0</v>
      </c>
      <c r="ARM49" s="375">
        <f t="shared" si="61"/>
        <v>0</v>
      </c>
      <c r="ARN49" s="375">
        <f t="shared" si="61"/>
        <v>0</v>
      </c>
      <c r="ARO49" s="375">
        <f t="shared" si="61"/>
        <v>0</v>
      </c>
      <c r="ARP49" s="375">
        <f t="shared" si="61"/>
        <v>0</v>
      </c>
      <c r="ARQ49" s="375">
        <f t="shared" si="61"/>
        <v>0</v>
      </c>
      <c r="ARR49" s="375">
        <f t="shared" si="61"/>
        <v>0</v>
      </c>
      <c r="ARS49" s="375">
        <f t="shared" si="61"/>
        <v>0</v>
      </c>
      <c r="ART49" s="375">
        <f t="shared" si="61"/>
        <v>0</v>
      </c>
      <c r="ARU49" s="375">
        <f t="shared" si="61"/>
        <v>0</v>
      </c>
      <c r="ARV49" s="375">
        <f t="shared" si="61"/>
        <v>0</v>
      </c>
      <c r="ARW49" s="375">
        <f t="shared" si="61"/>
        <v>0</v>
      </c>
      <c r="ARX49" s="375">
        <f t="shared" si="61"/>
        <v>0</v>
      </c>
      <c r="ARY49" s="375">
        <f t="shared" si="61"/>
        <v>0</v>
      </c>
      <c r="ARZ49" s="375">
        <f t="shared" si="61"/>
        <v>0</v>
      </c>
      <c r="ASA49" s="375">
        <f t="shared" si="61"/>
        <v>0</v>
      </c>
      <c r="ASB49" s="375">
        <f t="shared" si="61"/>
        <v>0</v>
      </c>
      <c r="ASC49" s="375">
        <f t="shared" si="61"/>
        <v>0</v>
      </c>
      <c r="ASD49" s="375">
        <f t="shared" si="61"/>
        <v>0</v>
      </c>
      <c r="ASE49" s="375">
        <f t="shared" si="61"/>
        <v>0</v>
      </c>
      <c r="ASF49" s="375">
        <f t="shared" si="61"/>
        <v>0</v>
      </c>
      <c r="ASG49" s="375">
        <f t="shared" si="61"/>
        <v>0</v>
      </c>
      <c r="ASH49" s="375">
        <f t="shared" si="61"/>
        <v>0</v>
      </c>
      <c r="ASI49" s="375">
        <f t="shared" si="61"/>
        <v>0</v>
      </c>
      <c r="ASJ49" s="375">
        <f t="shared" si="61"/>
        <v>0</v>
      </c>
      <c r="ASK49" s="375">
        <f t="shared" si="61"/>
        <v>0</v>
      </c>
      <c r="ASL49" s="375">
        <f t="shared" si="61"/>
        <v>0</v>
      </c>
      <c r="ASM49" s="375">
        <f t="shared" si="61"/>
        <v>0</v>
      </c>
      <c r="ASN49" s="375">
        <f t="shared" si="61"/>
        <v>0</v>
      </c>
      <c r="ASO49" s="375">
        <f t="shared" si="61"/>
        <v>0</v>
      </c>
      <c r="ASP49" s="375">
        <f t="shared" si="61"/>
        <v>0</v>
      </c>
      <c r="ASQ49" s="375">
        <f t="shared" si="61"/>
        <v>0</v>
      </c>
      <c r="ASR49" s="375">
        <f t="shared" si="61"/>
        <v>0</v>
      </c>
      <c r="ASS49" s="375">
        <f t="shared" si="61"/>
        <v>0</v>
      </c>
      <c r="AST49" s="375">
        <f t="shared" si="61"/>
        <v>0</v>
      </c>
      <c r="ASU49" s="375">
        <f t="shared" si="61"/>
        <v>0</v>
      </c>
      <c r="ASV49" s="375">
        <f t="shared" si="61"/>
        <v>0</v>
      </c>
      <c r="ASW49" s="375">
        <f t="shared" si="61"/>
        <v>0</v>
      </c>
      <c r="ASX49" s="375">
        <f t="shared" si="61"/>
        <v>0</v>
      </c>
      <c r="ASY49" s="375">
        <f t="shared" si="61"/>
        <v>0</v>
      </c>
      <c r="ASZ49" s="375">
        <f t="shared" si="61"/>
        <v>0</v>
      </c>
      <c r="ATA49" s="375">
        <f t="shared" si="61"/>
        <v>0</v>
      </c>
      <c r="ATB49" s="375">
        <f t="shared" si="61"/>
        <v>0</v>
      </c>
      <c r="ATC49" s="375">
        <f t="shared" si="61"/>
        <v>0</v>
      </c>
      <c r="ATD49" s="375">
        <f t="shared" si="61"/>
        <v>0</v>
      </c>
      <c r="ATE49" s="375">
        <f t="shared" si="61"/>
        <v>0</v>
      </c>
      <c r="ATF49" s="375">
        <f t="shared" si="61"/>
        <v>0</v>
      </c>
      <c r="ATG49" s="375">
        <f t="shared" si="61"/>
        <v>0</v>
      </c>
      <c r="ATH49" s="375">
        <f t="shared" si="61"/>
        <v>0</v>
      </c>
      <c r="ATI49" s="375">
        <f t="shared" si="61"/>
        <v>0</v>
      </c>
      <c r="ATJ49" s="375">
        <f t="shared" si="61"/>
        <v>0</v>
      </c>
      <c r="ATK49" s="375">
        <f t="shared" si="61"/>
        <v>0</v>
      </c>
      <c r="ATL49" s="375">
        <f t="shared" si="61"/>
        <v>0</v>
      </c>
      <c r="ATM49" s="375">
        <f t="shared" si="61"/>
        <v>0</v>
      </c>
      <c r="ATN49" s="375">
        <f t="shared" si="61"/>
        <v>0</v>
      </c>
      <c r="ATO49" s="375">
        <f t="shared" si="61"/>
        <v>0</v>
      </c>
      <c r="ATP49" s="375">
        <f t="shared" si="61"/>
        <v>0</v>
      </c>
      <c r="ATQ49" s="375">
        <f t="shared" si="61"/>
        <v>0</v>
      </c>
      <c r="ATR49" s="375">
        <f t="shared" si="61"/>
        <v>0</v>
      </c>
      <c r="ATS49" s="375">
        <f t="shared" si="61"/>
        <v>0</v>
      </c>
      <c r="ATT49" s="375">
        <f t="shared" si="61"/>
        <v>0</v>
      </c>
      <c r="ATU49" s="375">
        <f t="shared" ref="ATU49:AWF49" si="62">ATU48*0.8</f>
        <v>0</v>
      </c>
      <c r="ATV49" s="375">
        <f t="shared" si="62"/>
        <v>0</v>
      </c>
      <c r="ATW49" s="375">
        <f t="shared" si="62"/>
        <v>0</v>
      </c>
      <c r="ATX49" s="375">
        <f t="shared" si="62"/>
        <v>0</v>
      </c>
      <c r="ATY49" s="375">
        <f t="shared" si="62"/>
        <v>0</v>
      </c>
      <c r="ATZ49" s="375">
        <f t="shared" si="62"/>
        <v>0</v>
      </c>
      <c r="AUA49" s="375">
        <f t="shared" si="62"/>
        <v>0</v>
      </c>
      <c r="AUB49" s="375">
        <f t="shared" si="62"/>
        <v>0</v>
      </c>
      <c r="AUC49" s="375">
        <f t="shared" si="62"/>
        <v>0</v>
      </c>
      <c r="AUD49" s="375">
        <f t="shared" si="62"/>
        <v>0</v>
      </c>
      <c r="AUE49" s="375">
        <f t="shared" si="62"/>
        <v>0</v>
      </c>
      <c r="AUF49" s="375">
        <f t="shared" si="62"/>
        <v>0</v>
      </c>
      <c r="AUG49" s="375">
        <f t="shared" si="62"/>
        <v>0</v>
      </c>
      <c r="AUH49" s="375">
        <f t="shared" si="62"/>
        <v>0</v>
      </c>
      <c r="AUI49" s="375">
        <f t="shared" si="62"/>
        <v>0</v>
      </c>
      <c r="AUJ49" s="375">
        <f t="shared" si="62"/>
        <v>0</v>
      </c>
      <c r="AUK49" s="375">
        <f t="shared" si="62"/>
        <v>0</v>
      </c>
      <c r="AUL49" s="375">
        <f t="shared" si="62"/>
        <v>0</v>
      </c>
      <c r="AUM49" s="375">
        <f t="shared" si="62"/>
        <v>0</v>
      </c>
      <c r="AUN49" s="375">
        <f t="shared" si="62"/>
        <v>0</v>
      </c>
      <c r="AUO49" s="375">
        <f t="shared" si="62"/>
        <v>0</v>
      </c>
      <c r="AUP49" s="375">
        <f t="shared" si="62"/>
        <v>0</v>
      </c>
      <c r="AUQ49" s="375">
        <f t="shared" si="62"/>
        <v>0</v>
      </c>
      <c r="AUR49" s="375">
        <f t="shared" si="62"/>
        <v>0</v>
      </c>
      <c r="AUS49" s="375">
        <f t="shared" si="62"/>
        <v>0</v>
      </c>
      <c r="AUT49" s="375">
        <f t="shared" si="62"/>
        <v>0</v>
      </c>
      <c r="AUU49" s="375">
        <f t="shared" si="62"/>
        <v>0</v>
      </c>
      <c r="AUV49" s="375">
        <f t="shared" si="62"/>
        <v>0</v>
      </c>
      <c r="AUW49" s="375">
        <f t="shared" si="62"/>
        <v>0</v>
      </c>
      <c r="AUX49" s="375">
        <f t="shared" si="62"/>
        <v>0</v>
      </c>
      <c r="AUY49" s="375">
        <f t="shared" si="62"/>
        <v>0</v>
      </c>
      <c r="AUZ49" s="375">
        <f t="shared" si="62"/>
        <v>0</v>
      </c>
      <c r="AVA49" s="375">
        <f t="shared" si="62"/>
        <v>0</v>
      </c>
      <c r="AVB49" s="375">
        <f t="shared" si="62"/>
        <v>0</v>
      </c>
      <c r="AVC49" s="375">
        <f t="shared" si="62"/>
        <v>0</v>
      </c>
      <c r="AVD49" s="375">
        <f t="shared" si="62"/>
        <v>0</v>
      </c>
      <c r="AVE49" s="375">
        <f t="shared" si="62"/>
        <v>0</v>
      </c>
      <c r="AVF49" s="375">
        <f t="shared" si="62"/>
        <v>0</v>
      </c>
      <c r="AVG49" s="375">
        <f t="shared" si="62"/>
        <v>0</v>
      </c>
      <c r="AVH49" s="375">
        <f t="shared" si="62"/>
        <v>0</v>
      </c>
      <c r="AVI49" s="375">
        <f t="shared" si="62"/>
        <v>0</v>
      </c>
      <c r="AVJ49" s="375">
        <f t="shared" si="62"/>
        <v>0</v>
      </c>
      <c r="AVK49" s="375">
        <f t="shared" si="62"/>
        <v>0</v>
      </c>
      <c r="AVL49" s="375">
        <f t="shared" si="62"/>
        <v>0</v>
      </c>
      <c r="AVM49" s="375">
        <f t="shared" si="62"/>
        <v>0</v>
      </c>
      <c r="AVN49" s="375">
        <f t="shared" si="62"/>
        <v>0</v>
      </c>
      <c r="AVO49" s="375">
        <f t="shared" si="62"/>
        <v>0</v>
      </c>
      <c r="AVP49" s="375">
        <f t="shared" si="62"/>
        <v>0</v>
      </c>
      <c r="AVQ49" s="375">
        <f t="shared" si="62"/>
        <v>0</v>
      </c>
      <c r="AVR49" s="375">
        <f t="shared" si="62"/>
        <v>0</v>
      </c>
      <c r="AVS49" s="375">
        <f t="shared" si="62"/>
        <v>0</v>
      </c>
      <c r="AVT49" s="375">
        <f t="shared" si="62"/>
        <v>0</v>
      </c>
      <c r="AVU49" s="375">
        <f t="shared" si="62"/>
        <v>0</v>
      </c>
      <c r="AVV49" s="375">
        <f t="shared" si="62"/>
        <v>0</v>
      </c>
      <c r="AVW49" s="375">
        <f t="shared" si="62"/>
        <v>0</v>
      </c>
      <c r="AVX49" s="375">
        <f t="shared" si="62"/>
        <v>0</v>
      </c>
      <c r="AVY49" s="375">
        <f t="shared" si="62"/>
        <v>0</v>
      </c>
      <c r="AVZ49" s="375">
        <f t="shared" si="62"/>
        <v>0</v>
      </c>
      <c r="AWA49" s="375">
        <f t="shared" si="62"/>
        <v>0</v>
      </c>
      <c r="AWB49" s="375">
        <f t="shared" si="62"/>
        <v>0</v>
      </c>
      <c r="AWC49" s="375">
        <f t="shared" si="62"/>
        <v>0</v>
      </c>
      <c r="AWD49" s="375">
        <f t="shared" si="62"/>
        <v>0</v>
      </c>
      <c r="AWE49" s="375">
        <f t="shared" si="62"/>
        <v>0</v>
      </c>
      <c r="AWF49" s="375">
        <f t="shared" si="62"/>
        <v>0</v>
      </c>
      <c r="AWG49" s="375">
        <f t="shared" ref="AWG49:AYR49" si="63">AWG48*0.8</f>
        <v>0</v>
      </c>
      <c r="AWH49" s="375">
        <f t="shared" si="63"/>
        <v>0</v>
      </c>
      <c r="AWI49" s="375">
        <f t="shared" si="63"/>
        <v>0</v>
      </c>
      <c r="AWJ49" s="375">
        <f t="shared" si="63"/>
        <v>0</v>
      </c>
      <c r="AWK49" s="375">
        <f t="shared" si="63"/>
        <v>0</v>
      </c>
      <c r="AWL49" s="375">
        <f t="shared" si="63"/>
        <v>0</v>
      </c>
      <c r="AWM49" s="375">
        <f t="shared" si="63"/>
        <v>0</v>
      </c>
      <c r="AWN49" s="375">
        <f t="shared" si="63"/>
        <v>0</v>
      </c>
      <c r="AWO49" s="375">
        <f t="shared" si="63"/>
        <v>0</v>
      </c>
      <c r="AWP49" s="375">
        <f t="shared" si="63"/>
        <v>0</v>
      </c>
      <c r="AWQ49" s="375">
        <f t="shared" si="63"/>
        <v>0</v>
      </c>
      <c r="AWR49" s="375">
        <f t="shared" si="63"/>
        <v>0</v>
      </c>
      <c r="AWS49" s="375">
        <f t="shared" si="63"/>
        <v>0</v>
      </c>
      <c r="AWT49" s="375">
        <f t="shared" si="63"/>
        <v>0</v>
      </c>
      <c r="AWU49" s="375">
        <f t="shared" si="63"/>
        <v>0</v>
      </c>
      <c r="AWV49" s="375">
        <f t="shared" si="63"/>
        <v>0</v>
      </c>
      <c r="AWW49" s="375">
        <f t="shared" si="63"/>
        <v>0</v>
      </c>
      <c r="AWX49" s="375">
        <f t="shared" si="63"/>
        <v>0</v>
      </c>
      <c r="AWY49" s="375">
        <f t="shared" si="63"/>
        <v>0</v>
      </c>
      <c r="AWZ49" s="375">
        <f t="shared" si="63"/>
        <v>0</v>
      </c>
      <c r="AXA49" s="375">
        <f t="shared" si="63"/>
        <v>0</v>
      </c>
      <c r="AXB49" s="375">
        <f t="shared" si="63"/>
        <v>0</v>
      </c>
      <c r="AXC49" s="375">
        <f t="shared" si="63"/>
        <v>0</v>
      </c>
      <c r="AXD49" s="375">
        <f t="shared" si="63"/>
        <v>0</v>
      </c>
      <c r="AXE49" s="375">
        <f t="shared" si="63"/>
        <v>0</v>
      </c>
      <c r="AXF49" s="375">
        <f t="shared" si="63"/>
        <v>0</v>
      </c>
      <c r="AXG49" s="375">
        <f t="shared" si="63"/>
        <v>0</v>
      </c>
      <c r="AXH49" s="375">
        <f t="shared" si="63"/>
        <v>0</v>
      </c>
      <c r="AXI49" s="375">
        <f t="shared" si="63"/>
        <v>0</v>
      </c>
      <c r="AXJ49" s="375">
        <f t="shared" si="63"/>
        <v>0</v>
      </c>
      <c r="AXK49" s="375">
        <f t="shared" si="63"/>
        <v>0</v>
      </c>
      <c r="AXL49" s="375">
        <f t="shared" si="63"/>
        <v>0</v>
      </c>
      <c r="AXM49" s="375">
        <f t="shared" si="63"/>
        <v>0</v>
      </c>
      <c r="AXN49" s="375">
        <f t="shared" si="63"/>
        <v>0</v>
      </c>
      <c r="AXO49" s="375">
        <f t="shared" si="63"/>
        <v>0</v>
      </c>
      <c r="AXP49" s="375">
        <f t="shared" si="63"/>
        <v>0</v>
      </c>
      <c r="AXQ49" s="375">
        <f t="shared" si="63"/>
        <v>0</v>
      </c>
      <c r="AXR49" s="375">
        <f t="shared" si="63"/>
        <v>0</v>
      </c>
      <c r="AXS49" s="375">
        <f t="shared" si="63"/>
        <v>0</v>
      </c>
      <c r="AXT49" s="375">
        <f t="shared" si="63"/>
        <v>0</v>
      </c>
      <c r="AXU49" s="375">
        <f t="shared" si="63"/>
        <v>0</v>
      </c>
      <c r="AXV49" s="375">
        <f t="shared" si="63"/>
        <v>0</v>
      </c>
      <c r="AXW49" s="375">
        <f t="shared" si="63"/>
        <v>0</v>
      </c>
      <c r="AXX49" s="375">
        <f t="shared" si="63"/>
        <v>0</v>
      </c>
      <c r="AXY49" s="375">
        <f t="shared" si="63"/>
        <v>0</v>
      </c>
      <c r="AXZ49" s="375">
        <f t="shared" si="63"/>
        <v>0</v>
      </c>
      <c r="AYA49" s="375">
        <f t="shared" si="63"/>
        <v>0</v>
      </c>
      <c r="AYB49" s="375">
        <f t="shared" si="63"/>
        <v>0</v>
      </c>
      <c r="AYC49" s="375">
        <f t="shared" si="63"/>
        <v>0</v>
      </c>
      <c r="AYD49" s="375">
        <f t="shared" si="63"/>
        <v>0</v>
      </c>
      <c r="AYE49" s="375">
        <f t="shared" si="63"/>
        <v>0</v>
      </c>
      <c r="AYF49" s="375">
        <f t="shared" si="63"/>
        <v>0</v>
      </c>
      <c r="AYG49" s="375">
        <f t="shared" si="63"/>
        <v>0</v>
      </c>
      <c r="AYH49" s="375">
        <f t="shared" si="63"/>
        <v>0</v>
      </c>
      <c r="AYI49" s="375">
        <f t="shared" si="63"/>
        <v>0</v>
      </c>
      <c r="AYJ49" s="375">
        <f t="shared" si="63"/>
        <v>0</v>
      </c>
      <c r="AYK49" s="375">
        <f t="shared" si="63"/>
        <v>0</v>
      </c>
      <c r="AYL49" s="375">
        <f t="shared" si="63"/>
        <v>0</v>
      </c>
      <c r="AYM49" s="375">
        <f t="shared" si="63"/>
        <v>0</v>
      </c>
      <c r="AYN49" s="375">
        <f t="shared" si="63"/>
        <v>0</v>
      </c>
      <c r="AYO49" s="375">
        <f t="shared" si="63"/>
        <v>0</v>
      </c>
      <c r="AYP49" s="375">
        <f t="shared" si="63"/>
        <v>0</v>
      </c>
      <c r="AYQ49" s="375">
        <f t="shared" si="63"/>
        <v>0</v>
      </c>
      <c r="AYR49" s="375">
        <f t="shared" si="63"/>
        <v>0</v>
      </c>
      <c r="AYS49" s="375">
        <f t="shared" ref="AYS49:BBD49" si="64">AYS48*0.8</f>
        <v>0</v>
      </c>
      <c r="AYT49" s="375">
        <f t="shared" si="64"/>
        <v>0</v>
      </c>
      <c r="AYU49" s="375">
        <f t="shared" si="64"/>
        <v>0</v>
      </c>
      <c r="AYV49" s="375">
        <f t="shared" si="64"/>
        <v>0</v>
      </c>
      <c r="AYW49" s="375">
        <f t="shared" si="64"/>
        <v>0</v>
      </c>
      <c r="AYX49" s="375">
        <f t="shared" si="64"/>
        <v>0</v>
      </c>
      <c r="AYY49" s="375">
        <f t="shared" si="64"/>
        <v>0</v>
      </c>
      <c r="AYZ49" s="375">
        <f t="shared" si="64"/>
        <v>0</v>
      </c>
      <c r="AZA49" s="375">
        <f t="shared" si="64"/>
        <v>0</v>
      </c>
      <c r="AZB49" s="375">
        <f t="shared" si="64"/>
        <v>0</v>
      </c>
      <c r="AZC49" s="375">
        <f t="shared" si="64"/>
        <v>0</v>
      </c>
      <c r="AZD49" s="375">
        <f t="shared" si="64"/>
        <v>0</v>
      </c>
      <c r="AZE49" s="375">
        <f t="shared" si="64"/>
        <v>0</v>
      </c>
      <c r="AZF49" s="375">
        <f t="shared" si="64"/>
        <v>0</v>
      </c>
      <c r="AZG49" s="375">
        <f t="shared" si="64"/>
        <v>0</v>
      </c>
      <c r="AZH49" s="375">
        <f t="shared" si="64"/>
        <v>0</v>
      </c>
      <c r="AZI49" s="375">
        <f t="shared" si="64"/>
        <v>0</v>
      </c>
      <c r="AZJ49" s="375">
        <f t="shared" si="64"/>
        <v>0</v>
      </c>
      <c r="AZK49" s="375">
        <f t="shared" si="64"/>
        <v>0</v>
      </c>
      <c r="AZL49" s="375">
        <f t="shared" si="64"/>
        <v>0</v>
      </c>
      <c r="AZM49" s="375">
        <f t="shared" si="64"/>
        <v>0</v>
      </c>
      <c r="AZN49" s="375">
        <f t="shared" si="64"/>
        <v>0</v>
      </c>
      <c r="AZO49" s="375">
        <f t="shared" si="64"/>
        <v>0</v>
      </c>
      <c r="AZP49" s="375">
        <f t="shared" si="64"/>
        <v>0</v>
      </c>
      <c r="AZQ49" s="375">
        <f t="shared" si="64"/>
        <v>0</v>
      </c>
      <c r="AZR49" s="375">
        <f t="shared" si="64"/>
        <v>0</v>
      </c>
      <c r="AZS49" s="375">
        <f t="shared" si="64"/>
        <v>0</v>
      </c>
      <c r="AZT49" s="375">
        <f t="shared" si="64"/>
        <v>0</v>
      </c>
      <c r="AZU49" s="375">
        <f t="shared" si="64"/>
        <v>0</v>
      </c>
      <c r="AZV49" s="375">
        <f t="shared" si="64"/>
        <v>0</v>
      </c>
      <c r="AZW49" s="375">
        <f t="shared" si="64"/>
        <v>0</v>
      </c>
      <c r="AZX49" s="375">
        <f t="shared" si="64"/>
        <v>0</v>
      </c>
      <c r="AZY49" s="375">
        <f t="shared" si="64"/>
        <v>0</v>
      </c>
      <c r="AZZ49" s="375">
        <f t="shared" si="64"/>
        <v>0</v>
      </c>
      <c r="BAA49" s="375">
        <f t="shared" si="64"/>
        <v>0</v>
      </c>
      <c r="BAB49" s="375">
        <f t="shared" si="64"/>
        <v>0</v>
      </c>
      <c r="BAC49" s="375">
        <f t="shared" si="64"/>
        <v>0</v>
      </c>
      <c r="BAD49" s="375">
        <f t="shared" si="64"/>
        <v>0</v>
      </c>
      <c r="BAE49" s="375">
        <f t="shared" si="64"/>
        <v>0</v>
      </c>
      <c r="BAF49" s="375">
        <f t="shared" si="64"/>
        <v>0</v>
      </c>
      <c r="BAG49" s="375">
        <f t="shared" si="64"/>
        <v>0</v>
      </c>
      <c r="BAH49" s="375">
        <f t="shared" si="64"/>
        <v>0</v>
      </c>
      <c r="BAI49" s="375">
        <f t="shared" si="64"/>
        <v>0</v>
      </c>
      <c r="BAJ49" s="375">
        <f t="shared" si="64"/>
        <v>0</v>
      </c>
      <c r="BAK49" s="375">
        <f t="shared" si="64"/>
        <v>0</v>
      </c>
      <c r="BAL49" s="375">
        <f t="shared" si="64"/>
        <v>0</v>
      </c>
      <c r="BAM49" s="375">
        <f t="shared" si="64"/>
        <v>0</v>
      </c>
      <c r="BAN49" s="375">
        <f t="shared" si="64"/>
        <v>0</v>
      </c>
      <c r="BAO49" s="375">
        <f t="shared" si="64"/>
        <v>0</v>
      </c>
      <c r="BAP49" s="375">
        <f t="shared" si="64"/>
        <v>0</v>
      </c>
      <c r="BAQ49" s="375">
        <f t="shared" si="64"/>
        <v>0</v>
      </c>
      <c r="BAR49" s="375">
        <f t="shared" si="64"/>
        <v>0</v>
      </c>
      <c r="BAS49" s="375">
        <f t="shared" si="64"/>
        <v>0</v>
      </c>
      <c r="BAT49" s="375">
        <f t="shared" si="64"/>
        <v>0</v>
      </c>
      <c r="BAU49" s="375">
        <f t="shared" si="64"/>
        <v>0</v>
      </c>
      <c r="BAV49" s="375">
        <f t="shared" si="64"/>
        <v>0</v>
      </c>
      <c r="BAW49" s="375">
        <f t="shared" si="64"/>
        <v>0</v>
      </c>
      <c r="BAX49" s="375">
        <f t="shared" si="64"/>
        <v>0</v>
      </c>
      <c r="BAY49" s="375">
        <f t="shared" si="64"/>
        <v>0</v>
      </c>
      <c r="BAZ49" s="375">
        <f t="shared" si="64"/>
        <v>0</v>
      </c>
      <c r="BBA49" s="375">
        <f t="shared" si="64"/>
        <v>0</v>
      </c>
      <c r="BBB49" s="375">
        <f t="shared" si="64"/>
        <v>0</v>
      </c>
      <c r="BBC49" s="375">
        <f t="shared" si="64"/>
        <v>0</v>
      </c>
      <c r="BBD49" s="375">
        <f t="shared" si="64"/>
        <v>0</v>
      </c>
      <c r="BBE49" s="375">
        <f t="shared" ref="BBE49:BDP49" si="65">BBE48*0.8</f>
        <v>0</v>
      </c>
      <c r="BBF49" s="375">
        <f t="shared" si="65"/>
        <v>0</v>
      </c>
      <c r="BBG49" s="375">
        <f t="shared" si="65"/>
        <v>0</v>
      </c>
      <c r="BBH49" s="375">
        <f t="shared" si="65"/>
        <v>0</v>
      </c>
      <c r="BBI49" s="375">
        <f t="shared" si="65"/>
        <v>0</v>
      </c>
      <c r="BBJ49" s="375">
        <f t="shared" si="65"/>
        <v>0</v>
      </c>
      <c r="BBK49" s="375">
        <f t="shared" si="65"/>
        <v>0</v>
      </c>
      <c r="BBL49" s="375">
        <f t="shared" si="65"/>
        <v>0</v>
      </c>
      <c r="BBM49" s="375">
        <f t="shared" si="65"/>
        <v>0</v>
      </c>
      <c r="BBN49" s="375">
        <f t="shared" si="65"/>
        <v>0</v>
      </c>
      <c r="BBO49" s="375">
        <f t="shared" si="65"/>
        <v>0</v>
      </c>
      <c r="BBP49" s="375">
        <f t="shared" si="65"/>
        <v>0</v>
      </c>
      <c r="BBQ49" s="375">
        <f t="shared" si="65"/>
        <v>0</v>
      </c>
      <c r="BBR49" s="375">
        <f t="shared" si="65"/>
        <v>0</v>
      </c>
      <c r="BBS49" s="375">
        <f t="shared" si="65"/>
        <v>0</v>
      </c>
      <c r="BBT49" s="375">
        <f t="shared" si="65"/>
        <v>0</v>
      </c>
      <c r="BBU49" s="375">
        <f t="shared" si="65"/>
        <v>0</v>
      </c>
      <c r="BBV49" s="375">
        <f t="shared" si="65"/>
        <v>0</v>
      </c>
      <c r="BBW49" s="375">
        <f t="shared" si="65"/>
        <v>0</v>
      </c>
      <c r="BBX49" s="375">
        <f t="shared" si="65"/>
        <v>0</v>
      </c>
      <c r="BBY49" s="375">
        <f t="shared" si="65"/>
        <v>0</v>
      </c>
      <c r="BBZ49" s="375">
        <f t="shared" si="65"/>
        <v>0</v>
      </c>
      <c r="BCA49" s="375">
        <f t="shared" si="65"/>
        <v>0</v>
      </c>
      <c r="BCB49" s="375">
        <f t="shared" si="65"/>
        <v>0</v>
      </c>
      <c r="BCC49" s="375">
        <f t="shared" si="65"/>
        <v>0</v>
      </c>
      <c r="BCD49" s="375">
        <f t="shared" si="65"/>
        <v>0</v>
      </c>
      <c r="BCE49" s="375">
        <f t="shared" si="65"/>
        <v>0</v>
      </c>
      <c r="BCF49" s="375">
        <f t="shared" si="65"/>
        <v>0</v>
      </c>
      <c r="BCG49" s="375">
        <f t="shared" si="65"/>
        <v>0</v>
      </c>
      <c r="BCH49" s="375">
        <f t="shared" si="65"/>
        <v>0</v>
      </c>
      <c r="BCI49" s="375">
        <f t="shared" si="65"/>
        <v>0</v>
      </c>
      <c r="BCJ49" s="375">
        <f t="shared" si="65"/>
        <v>0</v>
      </c>
      <c r="BCK49" s="375">
        <f t="shared" si="65"/>
        <v>0</v>
      </c>
      <c r="BCL49" s="375">
        <f t="shared" si="65"/>
        <v>0</v>
      </c>
      <c r="BCM49" s="375">
        <f t="shared" si="65"/>
        <v>0</v>
      </c>
      <c r="BCN49" s="375">
        <f t="shared" si="65"/>
        <v>0</v>
      </c>
      <c r="BCO49" s="375">
        <f t="shared" si="65"/>
        <v>0</v>
      </c>
      <c r="BCP49" s="375">
        <f t="shared" si="65"/>
        <v>0</v>
      </c>
      <c r="BCQ49" s="375">
        <f t="shared" si="65"/>
        <v>0</v>
      </c>
      <c r="BCR49" s="375">
        <f t="shared" si="65"/>
        <v>0</v>
      </c>
      <c r="BCS49" s="375">
        <f t="shared" si="65"/>
        <v>0</v>
      </c>
      <c r="BCT49" s="375">
        <f t="shared" si="65"/>
        <v>0</v>
      </c>
      <c r="BCU49" s="375">
        <f t="shared" si="65"/>
        <v>0</v>
      </c>
      <c r="BCV49" s="375">
        <f t="shared" si="65"/>
        <v>0</v>
      </c>
      <c r="BCW49" s="375">
        <f t="shared" si="65"/>
        <v>0</v>
      </c>
      <c r="BCX49" s="375">
        <f t="shared" si="65"/>
        <v>0</v>
      </c>
      <c r="BCY49" s="375">
        <f t="shared" si="65"/>
        <v>0</v>
      </c>
      <c r="BCZ49" s="375">
        <f t="shared" si="65"/>
        <v>0</v>
      </c>
      <c r="BDA49" s="375">
        <f t="shared" si="65"/>
        <v>0</v>
      </c>
      <c r="BDB49" s="375">
        <f t="shared" si="65"/>
        <v>0</v>
      </c>
      <c r="BDC49" s="375">
        <f t="shared" si="65"/>
        <v>0</v>
      </c>
      <c r="BDD49" s="375">
        <f t="shared" si="65"/>
        <v>0</v>
      </c>
      <c r="BDE49" s="375">
        <f t="shared" si="65"/>
        <v>0</v>
      </c>
      <c r="BDF49" s="375">
        <f t="shared" si="65"/>
        <v>0</v>
      </c>
      <c r="BDG49" s="375">
        <f t="shared" si="65"/>
        <v>0</v>
      </c>
      <c r="BDH49" s="375">
        <f t="shared" si="65"/>
        <v>0</v>
      </c>
      <c r="BDI49" s="375">
        <f t="shared" si="65"/>
        <v>0</v>
      </c>
      <c r="BDJ49" s="375">
        <f t="shared" si="65"/>
        <v>0</v>
      </c>
      <c r="BDK49" s="375">
        <f t="shared" si="65"/>
        <v>0</v>
      </c>
      <c r="BDL49" s="375">
        <f t="shared" si="65"/>
        <v>0</v>
      </c>
      <c r="BDM49" s="375">
        <f t="shared" si="65"/>
        <v>0</v>
      </c>
      <c r="BDN49" s="375">
        <f t="shared" si="65"/>
        <v>0</v>
      </c>
      <c r="BDO49" s="375">
        <f t="shared" si="65"/>
        <v>0</v>
      </c>
      <c r="BDP49" s="375">
        <f t="shared" si="65"/>
        <v>0</v>
      </c>
      <c r="BDQ49" s="375">
        <f t="shared" ref="BDQ49:BGB49" si="66">BDQ48*0.8</f>
        <v>0</v>
      </c>
      <c r="BDR49" s="375">
        <f t="shared" si="66"/>
        <v>0</v>
      </c>
      <c r="BDS49" s="375">
        <f t="shared" si="66"/>
        <v>0</v>
      </c>
      <c r="BDT49" s="375">
        <f t="shared" si="66"/>
        <v>0</v>
      </c>
      <c r="BDU49" s="375">
        <f t="shared" si="66"/>
        <v>0</v>
      </c>
      <c r="BDV49" s="375">
        <f t="shared" si="66"/>
        <v>0</v>
      </c>
      <c r="BDW49" s="375">
        <f t="shared" si="66"/>
        <v>0</v>
      </c>
      <c r="BDX49" s="375">
        <f t="shared" si="66"/>
        <v>0</v>
      </c>
      <c r="BDY49" s="375">
        <f t="shared" si="66"/>
        <v>0</v>
      </c>
      <c r="BDZ49" s="375">
        <f t="shared" si="66"/>
        <v>0</v>
      </c>
      <c r="BEA49" s="375">
        <f t="shared" si="66"/>
        <v>0</v>
      </c>
      <c r="BEB49" s="375">
        <f t="shared" si="66"/>
        <v>0</v>
      </c>
      <c r="BEC49" s="375">
        <f t="shared" si="66"/>
        <v>0</v>
      </c>
      <c r="BED49" s="375">
        <f t="shared" si="66"/>
        <v>0</v>
      </c>
      <c r="BEE49" s="375">
        <f t="shared" si="66"/>
        <v>0</v>
      </c>
      <c r="BEF49" s="375">
        <f t="shared" si="66"/>
        <v>0</v>
      </c>
      <c r="BEG49" s="375">
        <f t="shared" si="66"/>
        <v>0</v>
      </c>
      <c r="BEH49" s="375">
        <f t="shared" si="66"/>
        <v>0</v>
      </c>
      <c r="BEI49" s="375">
        <f t="shared" si="66"/>
        <v>0</v>
      </c>
      <c r="BEJ49" s="375">
        <f t="shared" si="66"/>
        <v>0</v>
      </c>
      <c r="BEK49" s="375">
        <f t="shared" si="66"/>
        <v>0</v>
      </c>
      <c r="BEL49" s="375">
        <f t="shared" si="66"/>
        <v>0</v>
      </c>
      <c r="BEM49" s="375">
        <f t="shared" si="66"/>
        <v>0</v>
      </c>
      <c r="BEN49" s="375">
        <f t="shared" si="66"/>
        <v>0</v>
      </c>
      <c r="BEO49" s="375">
        <f t="shared" si="66"/>
        <v>0</v>
      </c>
      <c r="BEP49" s="375">
        <f t="shared" si="66"/>
        <v>0</v>
      </c>
      <c r="BEQ49" s="375">
        <f t="shared" si="66"/>
        <v>0</v>
      </c>
      <c r="BER49" s="375">
        <f t="shared" si="66"/>
        <v>0</v>
      </c>
      <c r="BES49" s="375">
        <f t="shared" si="66"/>
        <v>0</v>
      </c>
      <c r="BET49" s="375">
        <f t="shared" si="66"/>
        <v>0</v>
      </c>
      <c r="BEU49" s="375">
        <f t="shared" si="66"/>
        <v>0</v>
      </c>
      <c r="BEV49" s="375">
        <f t="shared" si="66"/>
        <v>0</v>
      </c>
      <c r="BEW49" s="375">
        <f t="shared" si="66"/>
        <v>0</v>
      </c>
      <c r="BEX49" s="375">
        <f t="shared" si="66"/>
        <v>0</v>
      </c>
      <c r="BEY49" s="375">
        <f t="shared" si="66"/>
        <v>0</v>
      </c>
      <c r="BEZ49" s="375">
        <f t="shared" si="66"/>
        <v>0</v>
      </c>
      <c r="BFA49" s="375">
        <f t="shared" si="66"/>
        <v>0</v>
      </c>
      <c r="BFB49" s="375">
        <f t="shared" si="66"/>
        <v>0</v>
      </c>
      <c r="BFC49" s="375">
        <f t="shared" si="66"/>
        <v>0</v>
      </c>
      <c r="BFD49" s="375">
        <f t="shared" si="66"/>
        <v>0</v>
      </c>
      <c r="BFE49" s="375">
        <f t="shared" si="66"/>
        <v>0</v>
      </c>
      <c r="BFF49" s="375">
        <f t="shared" si="66"/>
        <v>0</v>
      </c>
      <c r="BFG49" s="375">
        <f t="shared" si="66"/>
        <v>0</v>
      </c>
      <c r="BFH49" s="375">
        <f t="shared" si="66"/>
        <v>0</v>
      </c>
      <c r="BFI49" s="375">
        <f t="shared" si="66"/>
        <v>0</v>
      </c>
      <c r="BFJ49" s="375">
        <f t="shared" si="66"/>
        <v>0</v>
      </c>
      <c r="BFK49" s="375">
        <f t="shared" si="66"/>
        <v>0</v>
      </c>
      <c r="BFL49" s="375">
        <f t="shared" si="66"/>
        <v>0</v>
      </c>
      <c r="BFM49" s="375">
        <f t="shared" si="66"/>
        <v>0</v>
      </c>
      <c r="BFN49" s="375">
        <f t="shared" si="66"/>
        <v>0</v>
      </c>
      <c r="BFO49" s="375">
        <f t="shared" si="66"/>
        <v>0</v>
      </c>
      <c r="BFP49" s="375">
        <f t="shared" si="66"/>
        <v>0</v>
      </c>
      <c r="BFQ49" s="375">
        <f t="shared" si="66"/>
        <v>0</v>
      </c>
      <c r="BFR49" s="375">
        <f t="shared" si="66"/>
        <v>0</v>
      </c>
      <c r="BFS49" s="375">
        <f t="shared" si="66"/>
        <v>0</v>
      </c>
      <c r="BFT49" s="375">
        <f t="shared" si="66"/>
        <v>0</v>
      </c>
      <c r="BFU49" s="375">
        <f t="shared" si="66"/>
        <v>0</v>
      </c>
      <c r="BFV49" s="375">
        <f t="shared" si="66"/>
        <v>0</v>
      </c>
      <c r="BFW49" s="375">
        <f t="shared" si="66"/>
        <v>0</v>
      </c>
      <c r="BFX49" s="375">
        <f t="shared" si="66"/>
        <v>0</v>
      </c>
      <c r="BFY49" s="375">
        <f t="shared" si="66"/>
        <v>0</v>
      </c>
      <c r="BFZ49" s="375">
        <f t="shared" si="66"/>
        <v>0</v>
      </c>
      <c r="BGA49" s="375">
        <f t="shared" si="66"/>
        <v>0</v>
      </c>
      <c r="BGB49" s="375">
        <f t="shared" si="66"/>
        <v>0</v>
      </c>
      <c r="BGC49" s="375">
        <f t="shared" ref="BGC49:BIN49" si="67">BGC48*0.8</f>
        <v>0</v>
      </c>
      <c r="BGD49" s="375">
        <f t="shared" si="67"/>
        <v>0</v>
      </c>
      <c r="BGE49" s="375">
        <f t="shared" si="67"/>
        <v>0</v>
      </c>
      <c r="BGF49" s="375">
        <f t="shared" si="67"/>
        <v>0</v>
      </c>
      <c r="BGG49" s="375">
        <f t="shared" si="67"/>
        <v>0</v>
      </c>
      <c r="BGH49" s="375">
        <f t="shared" si="67"/>
        <v>0</v>
      </c>
      <c r="BGI49" s="375">
        <f t="shared" si="67"/>
        <v>0</v>
      </c>
      <c r="BGJ49" s="375">
        <f t="shared" si="67"/>
        <v>0</v>
      </c>
      <c r="BGK49" s="375">
        <f t="shared" si="67"/>
        <v>0</v>
      </c>
      <c r="BGL49" s="375">
        <f t="shared" si="67"/>
        <v>0</v>
      </c>
      <c r="BGM49" s="375">
        <f t="shared" si="67"/>
        <v>0</v>
      </c>
      <c r="BGN49" s="375">
        <f t="shared" si="67"/>
        <v>0</v>
      </c>
      <c r="BGO49" s="375">
        <f t="shared" si="67"/>
        <v>0</v>
      </c>
      <c r="BGP49" s="375">
        <f t="shared" si="67"/>
        <v>0</v>
      </c>
      <c r="BGQ49" s="375">
        <f t="shared" si="67"/>
        <v>0</v>
      </c>
      <c r="BGR49" s="375">
        <f t="shared" si="67"/>
        <v>0</v>
      </c>
      <c r="BGS49" s="375">
        <f t="shared" si="67"/>
        <v>0</v>
      </c>
      <c r="BGT49" s="375">
        <f t="shared" si="67"/>
        <v>0</v>
      </c>
      <c r="BGU49" s="375">
        <f t="shared" si="67"/>
        <v>0</v>
      </c>
      <c r="BGV49" s="375">
        <f t="shared" si="67"/>
        <v>0</v>
      </c>
      <c r="BGW49" s="375">
        <f t="shared" si="67"/>
        <v>0</v>
      </c>
      <c r="BGX49" s="375">
        <f t="shared" si="67"/>
        <v>0</v>
      </c>
      <c r="BGY49" s="375">
        <f t="shared" si="67"/>
        <v>0</v>
      </c>
      <c r="BGZ49" s="375">
        <f t="shared" si="67"/>
        <v>0</v>
      </c>
      <c r="BHA49" s="375">
        <f t="shared" si="67"/>
        <v>0</v>
      </c>
      <c r="BHB49" s="375">
        <f t="shared" si="67"/>
        <v>0</v>
      </c>
      <c r="BHC49" s="375">
        <f t="shared" si="67"/>
        <v>0</v>
      </c>
      <c r="BHD49" s="375">
        <f t="shared" si="67"/>
        <v>0</v>
      </c>
      <c r="BHE49" s="375">
        <f t="shared" si="67"/>
        <v>0</v>
      </c>
      <c r="BHF49" s="375">
        <f t="shared" si="67"/>
        <v>0</v>
      </c>
      <c r="BHG49" s="375">
        <f t="shared" si="67"/>
        <v>0</v>
      </c>
      <c r="BHH49" s="375">
        <f t="shared" si="67"/>
        <v>0</v>
      </c>
      <c r="BHI49" s="375">
        <f t="shared" si="67"/>
        <v>0</v>
      </c>
      <c r="BHJ49" s="375">
        <f t="shared" si="67"/>
        <v>0</v>
      </c>
      <c r="BHK49" s="375">
        <f t="shared" si="67"/>
        <v>0</v>
      </c>
      <c r="BHL49" s="375">
        <f t="shared" si="67"/>
        <v>0</v>
      </c>
      <c r="BHM49" s="375">
        <f t="shared" si="67"/>
        <v>0</v>
      </c>
      <c r="BHN49" s="375">
        <f t="shared" si="67"/>
        <v>0</v>
      </c>
      <c r="BHO49" s="375">
        <f t="shared" si="67"/>
        <v>0</v>
      </c>
      <c r="BHP49" s="375">
        <f t="shared" si="67"/>
        <v>0</v>
      </c>
      <c r="BHQ49" s="375">
        <f t="shared" si="67"/>
        <v>0</v>
      </c>
      <c r="BHR49" s="375">
        <f t="shared" si="67"/>
        <v>0</v>
      </c>
      <c r="BHS49" s="375">
        <f t="shared" si="67"/>
        <v>0</v>
      </c>
      <c r="BHT49" s="375">
        <f t="shared" si="67"/>
        <v>0</v>
      </c>
      <c r="BHU49" s="375">
        <f t="shared" si="67"/>
        <v>0</v>
      </c>
      <c r="BHV49" s="375">
        <f t="shared" si="67"/>
        <v>0</v>
      </c>
      <c r="BHW49" s="375">
        <f t="shared" si="67"/>
        <v>0</v>
      </c>
      <c r="BHX49" s="375">
        <f t="shared" si="67"/>
        <v>0</v>
      </c>
      <c r="BHY49" s="375">
        <f t="shared" si="67"/>
        <v>0</v>
      </c>
      <c r="BHZ49" s="375">
        <f t="shared" si="67"/>
        <v>0</v>
      </c>
      <c r="BIA49" s="375">
        <f t="shared" si="67"/>
        <v>0</v>
      </c>
      <c r="BIB49" s="375">
        <f t="shared" si="67"/>
        <v>0</v>
      </c>
      <c r="BIC49" s="375">
        <f t="shared" si="67"/>
        <v>0</v>
      </c>
      <c r="BID49" s="375">
        <f t="shared" si="67"/>
        <v>0</v>
      </c>
      <c r="BIE49" s="375">
        <f t="shared" si="67"/>
        <v>0</v>
      </c>
      <c r="BIF49" s="375">
        <f t="shared" si="67"/>
        <v>0</v>
      </c>
      <c r="BIG49" s="375">
        <f t="shared" si="67"/>
        <v>0</v>
      </c>
      <c r="BIH49" s="375">
        <f t="shared" si="67"/>
        <v>0</v>
      </c>
      <c r="BII49" s="375">
        <f t="shared" si="67"/>
        <v>0</v>
      </c>
      <c r="BIJ49" s="375">
        <f t="shared" si="67"/>
        <v>0</v>
      </c>
      <c r="BIK49" s="375">
        <f t="shared" si="67"/>
        <v>0</v>
      </c>
      <c r="BIL49" s="375">
        <f t="shared" si="67"/>
        <v>0</v>
      </c>
      <c r="BIM49" s="375">
        <f t="shared" si="67"/>
        <v>0</v>
      </c>
      <c r="BIN49" s="375">
        <f t="shared" si="67"/>
        <v>0</v>
      </c>
      <c r="BIO49" s="375">
        <f t="shared" ref="BIO49:BKZ49" si="68">BIO48*0.8</f>
        <v>0</v>
      </c>
      <c r="BIP49" s="375">
        <f t="shared" si="68"/>
        <v>0</v>
      </c>
      <c r="BIQ49" s="375">
        <f t="shared" si="68"/>
        <v>0</v>
      </c>
      <c r="BIR49" s="375">
        <f t="shared" si="68"/>
        <v>0</v>
      </c>
      <c r="BIS49" s="375">
        <f t="shared" si="68"/>
        <v>0</v>
      </c>
      <c r="BIT49" s="375">
        <f t="shared" si="68"/>
        <v>0</v>
      </c>
      <c r="BIU49" s="375">
        <f t="shared" si="68"/>
        <v>0</v>
      </c>
      <c r="BIV49" s="375">
        <f t="shared" si="68"/>
        <v>0</v>
      </c>
      <c r="BIW49" s="375">
        <f t="shared" si="68"/>
        <v>0</v>
      </c>
      <c r="BIX49" s="375">
        <f t="shared" si="68"/>
        <v>0</v>
      </c>
      <c r="BIY49" s="375">
        <f t="shared" si="68"/>
        <v>0</v>
      </c>
      <c r="BIZ49" s="375">
        <f t="shared" si="68"/>
        <v>0</v>
      </c>
      <c r="BJA49" s="375">
        <f t="shared" si="68"/>
        <v>0</v>
      </c>
      <c r="BJB49" s="375">
        <f t="shared" si="68"/>
        <v>0</v>
      </c>
      <c r="BJC49" s="375">
        <f t="shared" si="68"/>
        <v>0</v>
      </c>
      <c r="BJD49" s="375">
        <f t="shared" si="68"/>
        <v>0</v>
      </c>
      <c r="BJE49" s="375">
        <f t="shared" si="68"/>
        <v>0</v>
      </c>
      <c r="BJF49" s="375">
        <f t="shared" si="68"/>
        <v>0</v>
      </c>
      <c r="BJG49" s="375">
        <f t="shared" si="68"/>
        <v>0</v>
      </c>
      <c r="BJH49" s="375">
        <f t="shared" si="68"/>
        <v>0</v>
      </c>
      <c r="BJI49" s="375">
        <f t="shared" si="68"/>
        <v>0</v>
      </c>
      <c r="BJJ49" s="375">
        <f t="shared" si="68"/>
        <v>0</v>
      </c>
      <c r="BJK49" s="375">
        <f t="shared" si="68"/>
        <v>0</v>
      </c>
      <c r="BJL49" s="375">
        <f t="shared" si="68"/>
        <v>0</v>
      </c>
      <c r="BJM49" s="375">
        <f t="shared" si="68"/>
        <v>0</v>
      </c>
      <c r="BJN49" s="375">
        <f t="shared" si="68"/>
        <v>0</v>
      </c>
      <c r="BJO49" s="375">
        <f t="shared" si="68"/>
        <v>0</v>
      </c>
      <c r="BJP49" s="375">
        <f t="shared" si="68"/>
        <v>0</v>
      </c>
      <c r="BJQ49" s="375">
        <f t="shared" si="68"/>
        <v>0</v>
      </c>
      <c r="BJR49" s="375">
        <f t="shared" si="68"/>
        <v>0</v>
      </c>
      <c r="BJS49" s="375">
        <f t="shared" si="68"/>
        <v>0</v>
      </c>
      <c r="BJT49" s="375">
        <f t="shared" si="68"/>
        <v>0</v>
      </c>
      <c r="BJU49" s="375">
        <f t="shared" si="68"/>
        <v>0</v>
      </c>
      <c r="BJV49" s="375">
        <f t="shared" si="68"/>
        <v>0</v>
      </c>
      <c r="BJW49" s="375">
        <f t="shared" si="68"/>
        <v>0</v>
      </c>
      <c r="BJX49" s="375">
        <f t="shared" si="68"/>
        <v>0</v>
      </c>
      <c r="BJY49" s="375">
        <f t="shared" si="68"/>
        <v>0</v>
      </c>
      <c r="BJZ49" s="375">
        <f t="shared" si="68"/>
        <v>0</v>
      </c>
      <c r="BKA49" s="375">
        <f t="shared" si="68"/>
        <v>0</v>
      </c>
      <c r="BKB49" s="375">
        <f t="shared" si="68"/>
        <v>0</v>
      </c>
      <c r="BKC49" s="375">
        <f t="shared" si="68"/>
        <v>0</v>
      </c>
      <c r="BKD49" s="375">
        <f t="shared" si="68"/>
        <v>0</v>
      </c>
      <c r="BKE49" s="375">
        <f t="shared" si="68"/>
        <v>0</v>
      </c>
      <c r="BKF49" s="375">
        <f t="shared" si="68"/>
        <v>0</v>
      </c>
      <c r="BKG49" s="375">
        <f t="shared" si="68"/>
        <v>0</v>
      </c>
      <c r="BKH49" s="375">
        <f t="shared" si="68"/>
        <v>0</v>
      </c>
      <c r="BKI49" s="375">
        <f t="shared" si="68"/>
        <v>0</v>
      </c>
      <c r="BKJ49" s="375">
        <f t="shared" si="68"/>
        <v>0</v>
      </c>
      <c r="BKK49" s="375">
        <f t="shared" si="68"/>
        <v>0</v>
      </c>
      <c r="BKL49" s="375">
        <f t="shared" si="68"/>
        <v>0</v>
      </c>
      <c r="BKM49" s="375">
        <f t="shared" si="68"/>
        <v>0</v>
      </c>
      <c r="BKN49" s="375">
        <f t="shared" si="68"/>
        <v>0</v>
      </c>
      <c r="BKO49" s="375">
        <f t="shared" si="68"/>
        <v>0</v>
      </c>
      <c r="BKP49" s="375">
        <f t="shared" si="68"/>
        <v>0</v>
      </c>
      <c r="BKQ49" s="375">
        <f t="shared" si="68"/>
        <v>0</v>
      </c>
      <c r="BKR49" s="375">
        <f t="shared" si="68"/>
        <v>0</v>
      </c>
      <c r="BKS49" s="375">
        <f t="shared" si="68"/>
        <v>0</v>
      </c>
      <c r="BKT49" s="375">
        <f t="shared" si="68"/>
        <v>0</v>
      </c>
      <c r="BKU49" s="375">
        <f t="shared" si="68"/>
        <v>0</v>
      </c>
      <c r="BKV49" s="375">
        <f t="shared" si="68"/>
        <v>0</v>
      </c>
      <c r="BKW49" s="375">
        <f t="shared" si="68"/>
        <v>0</v>
      </c>
      <c r="BKX49" s="375">
        <f t="shared" si="68"/>
        <v>0</v>
      </c>
      <c r="BKY49" s="375">
        <f t="shared" si="68"/>
        <v>0</v>
      </c>
      <c r="BKZ49" s="375">
        <f t="shared" si="68"/>
        <v>0</v>
      </c>
      <c r="BLA49" s="375">
        <f t="shared" ref="BLA49:BNL49" si="69">BLA48*0.8</f>
        <v>0</v>
      </c>
      <c r="BLB49" s="375">
        <f t="shared" si="69"/>
        <v>0</v>
      </c>
      <c r="BLC49" s="375">
        <f t="shared" si="69"/>
        <v>0</v>
      </c>
      <c r="BLD49" s="375">
        <f t="shared" si="69"/>
        <v>0</v>
      </c>
      <c r="BLE49" s="375">
        <f t="shared" si="69"/>
        <v>0</v>
      </c>
      <c r="BLF49" s="375">
        <f t="shared" si="69"/>
        <v>0</v>
      </c>
      <c r="BLG49" s="375">
        <f t="shared" si="69"/>
        <v>0</v>
      </c>
      <c r="BLH49" s="375">
        <f t="shared" si="69"/>
        <v>0</v>
      </c>
      <c r="BLI49" s="375">
        <f t="shared" si="69"/>
        <v>0</v>
      </c>
      <c r="BLJ49" s="375">
        <f t="shared" si="69"/>
        <v>0</v>
      </c>
      <c r="BLK49" s="375">
        <f t="shared" si="69"/>
        <v>0</v>
      </c>
      <c r="BLL49" s="375">
        <f t="shared" si="69"/>
        <v>0</v>
      </c>
      <c r="BLM49" s="375">
        <f t="shared" si="69"/>
        <v>0</v>
      </c>
      <c r="BLN49" s="375">
        <f t="shared" si="69"/>
        <v>0</v>
      </c>
      <c r="BLO49" s="375">
        <f t="shared" si="69"/>
        <v>0</v>
      </c>
      <c r="BLP49" s="375">
        <f t="shared" si="69"/>
        <v>0</v>
      </c>
      <c r="BLQ49" s="375">
        <f t="shared" si="69"/>
        <v>0</v>
      </c>
      <c r="BLR49" s="375">
        <f t="shared" si="69"/>
        <v>0</v>
      </c>
      <c r="BLS49" s="375">
        <f t="shared" si="69"/>
        <v>0</v>
      </c>
      <c r="BLT49" s="375">
        <f t="shared" si="69"/>
        <v>0</v>
      </c>
      <c r="BLU49" s="375">
        <f t="shared" si="69"/>
        <v>0</v>
      </c>
      <c r="BLV49" s="375">
        <f t="shared" si="69"/>
        <v>0</v>
      </c>
      <c r="BLW49" s="375">
        <f t="shared" si="69"/>
        <v>0</v>
      </c>
      <c r="BLX49" s="375">
        <f t="shared" si="69"/>
        <v>0</v>
      </c>
      <c r="BLY49" s="375">
        <f t="shared" si="69"/>
        <v>0</v>
      </c>
      <c r="BLZ49" s="375">
        <f t="shared" si="69"/>
        <v>0</v>
      </c>
      <c r="BMA49" s="375">
        <f t="shared" si="69"/>
        <v>0</v>
      </c>
      <c r="BMB49" s="375">
        <f t="shared" si="69"/>
        <v>0</v>
      </c>
      <c r="BMC49" s="375">
        <f t="shared" si="69"/>
        <v>0</v>
      </c>
      <c r="BMD49" s="375">
        <f t="shared" si="69"/>
        <v>0</v>
      </c>
      <c r="BME49" s="375">
        <f t="shared" si="69"/>
        <v>0</v>
      </c>
      <c r="BMF49" s="375">
        <f t="shared" si="69"/>
        <v>0</v>
      </c>
      <c r="BMG49" s="375">
        <f t="shared" si="69"/>
        <v>0</v>
      </c>
      <c r="BMH49" s="375">
        <f t="shared" si="69"/>
        <v>0</v>
      </c>
      <c r="BMI49" s="375">
        <f t="shared" si="69"/>
        <v>0</v>
      </c>
      <c r="BMJ49" s="375">
        <f t="shared" si="69"/>
        <v>0</v>
      </c>
      <c r="BMK49" s="375">
        <f t="shared" si="69"/>
        <v>0</v>
      </c>
      <c r="BML49" s="375">
        <f t="shared" si="69"/>
        <v>0</v>
      </c>
      <c r="BMM49" s="375">
        <f t="shared" si="69"/>
        <v>0</v>
      </c>
      <c r="BMN49" s="375">
        <f t="shared" si="69"/>
        <v>0</v>
      </c>
      <c r="BMO49" s="375">
        <f t="shared" si="69"/>
        <v>0</v>
      </c>
      <c r="BMP49" s="375">
        <f t="shared" si="69"/>
        <v>0</v>
      </c>
      <c r="BMQ49" s="375">
        <f t="shared" si="69"/>
        <v>0</v>
      </c>
      <c r="BMR49" s="375">
        <f t="shared" si="69"/>
        <v>0</v>
      </c>
      <c r="BMS49" s="375">
        <f t="shared" si="69"/>
        <v>0</v>
      </c>
      <c r="BMT49" s="375">
        <f t="shared" si="69"/>
        <v>0</v>
      </c>
      <c r="BMU49" s="375">
        <f t="shared" si="69"/>
        <v>0</v>
      </c>
      <c r="BMV49" s="375">
        <f t="shared" si="69"/>
        <v>0</v>
      </c>
      <c r="BMW49" s="375">
        <f t="shared" si="69"/>
        <v>0</v>
      </c>
      <c r="BMX49" s="375">
        <f t="shared" si="69"/>
        <v>0</v>
      </c>
      <c r="BMY49" s="375">
        <f t="shared" si="69"/>
        <v>0</v>
      </c>
      <c r="BMZ49" s="375">
        <f t="shared" si="69"/>
        <v>0</v>
      </c>
      <c r="BNA49" s="375">
        <f t="shared" si="69"/>
        <v>0</v>
      </c>
      <c r="BNB49" s="375">
        <f t="shared" si="69"/>
        <v>0</v>
      </c>
      <c r="BNC49" s="375">
        <f t="shared" si="69"/>
        <v>0</v>
      </c>
      <c r="BND49" s="375">
        <f t="shared" si="69"/>
        <v>0</v>
      </c>
      <c r="BNE49" s="375">
        <f t="shared" si="69"/>
        <v>0</v>
      </c>
      <c r="BNF49" s="375">
        <f t="shared" si="69"/>
        <v>0</v>
      </c>
      <c r="BNG49" s="375">
        <f t="shared" si="69"/>
        <v>0</v>
      </c>
      <c r="BNH49" s="375">
        <f t="shared" si="69"/>
        <v>0</v>
      </c>
      <c r="BNI49" s="375">
        <f t="shared" si="69"/>
        <v>0</v>
      </c>
      <c r="BNJ49" s="375">
        <f t="shared" si="69"/>
        <v>0</v>
      </c>
      <c r="BNK49" s="375">
        <f t="shared" si="69"/>
        <v>0</v>
      </c>
      <c r="BNL49" s="375">
        <f t="shared" si="69"/>
        <v>0</v>
      </c>
      <c r="BNM49" s="375">
        <f t="shared" ref="BNM49:BPX49" si="70">BNM48*0.8</f>
        <v>0</v>
      </c>
      <c r="BNN49" s="375">
        <f t="shared" si="70"/>
        <v>0</v>
      </c>
      <c r="BNO49" s="375">
        <f t="shared" si="70"/>
        <v>0</v>
      </c>
      <c r="BNP49" s="375">
        <f t="shared" si="70"/>
        <v>0</v>
      </c>
      <c r="BNQ49" s="375">
        <f t="shared" si="70"/>
        <v>0</v>
      </c>
      <c r="BNR49" s="375">
        <f t="shared" si="70"/>
        <v>0</v>
      </c>
      <c r="BNS49" s="375">
        <f t="shared" si="70"/>
        <v>0</v>
      </c>
      <c r="BNT49" s="375">
        <f t="shared" si="70"/>
        <v>0</v>
      </c>
      <c r="BNU49" s="375">
        <f t="shared" si="70"/>
        <v>0</v>
      </c>
      <c r="BNV49" s="375">
        <f t="shared" si="70"/>
        <v>0</v>
      </c>
      <c r="BNW49" s="375">
        <f t="shared" si="70"/>
        <v>0</v>
      </c>
      <c r="BNX49" s="375">
        <f t="shared" si="70"/>
        <v>0</v>
      </c>
      <c r="BNY49" s="375">
        <f t="shared" si="70"/>
        <v>0</v>
      </c>
      <c r="BNZ49" s="375">
        <f t="shared" si="70"/>
        <v>0</v>
      </c>
      <c r="BOA49" s="375">
        <f t="shared" si="70"/>
        <v>0</v>
      </c>
      <c r="BOB49" s="375">
        <f t="shared" si="70"/>
        <v>0</v>
      </c>
      <c r="BOC49" s="375">
        <f t="shared" si="70"/>
        <v>0</v>
      </c>
      <c r="BOD49" s="375">
        <f t="shared" si="70"/>
        <v>0</v>
      </c>
      <c r="BOE49" s="375">
        <f t="shared" si="70"/>
        <v>0</v>
      </c>
      <c r="BOF49" s="375">
        <f t="shared" si="70"/>
        <v>0</v>
      </c>
      <c r="BOG49" s="375">
        <f t="shared" si="70"/>
        <v>0</v>
      </c>
      <c r="BOH49" s="375">
        <f t="shared" si="70"/>
        <v>0</v>
      </c>
      <c r="BOI49" s="375">
        <f t="shared" si="70"/>
        <v>0</v>
      </c>
      <c r="BOJ49" s="375">
        <f t="shared" si="70"/>
        <v>0</v>
      </c>
      <c r="BOK49" s="375">
        <f t="shared" si="70"/>
        <v>0</v>
      </c>
      <c r="BOL49" s="375">
        <f t="shared" si="70"/>
        <v>0</v>
      </c>
      <c r="BOM49" s="375">
        <f t="shared" si="70"/>
        <v>0</v>
      </c>
      <c r="BON49" s="375">
        <f t="shared" si="70"/>
        <v>0</v>
      </c>
      <c r="BOO49" s="375">
        <f t="shared" si="70"/>
        <v>0</v>
      </c>
      <c r="BOP49" s="375">
        <f t="shared" si="70"/>
        <v>0</v>
      </c>
      <c r="BOQ49" s="375">
        <f t="shared" si="70"/>
        <v>0</v>
      </c>
      <c r="BOR49" s="375">
        <f t="shared" si="70"/>
        <v>0</v>
      </c>
      <c r="BOS49" s="375">
        <f t="shared" si="70"/>
        <v>0</v>
      </c>
      <c r="BOT49" s="375">
        <f t="shared" si="70"/>
        <v>0</v>
      </c>
      <c r="BOU49" s="375">
        <f t="shared" si="70"/>
        <v>0</v>
      </c>
      <c r="BOV49" s="375">
        <f t="shared" si="70"/>
        <v>0</v>
      </c>
      <c r="BOW49" s="375">
        <f t="shared" si="70"/>
        <v>0</v>
      </c>
      <c r="BOX49" s="375">
        <f t="shared" si="70"/>
        <v>0</v>
      </c>
      <c r="BOY49" s="375">
        <f t="shared" si="70"/>
        <v>0</v>
      </c>
      <c r="BOZ49" s="375">
        <f t="shared" si="70"/>
        <v>0</v>
      </c>
      <c r="BPA49" s="375">
        <f t="shared" si="70"/>
        <v>0</v>
      </c>
      <c r="BPB49" s="375">
        <f t="shared" si="70"/>
        <v>0</v>
      </c>
      <c r="BPC49" s="375">
        <f t="shared" si="70"/>
        <v>0</v>
      </c>
      <c r="BPD49" s="375">
        <f t="shared" si="70"/>
        <v>0</v>
      </c>
      <c r="BPE49" s="375">
        <f t="shared" si="70"/>
        <v>0</v>
      </c>
      <c r="BPF49" s="375">
        <f t="shared" si="70"/>
        <v>0</v>
      </c>
      <c r="BPG49" s="375">
        <f t="shared" si="70"/>
        <v>0</v>
      </c>
      <c r="BPH49" s="375">
        <f t="shared" si="70"/>
        <v>0</v>
      </c>
      <c r="BPI49" s="375">
        <f t="shared" si="70"/>
        <v>0</v>
      </c>
      <c r="BPJ49" s="375">
        <f t="shared" si="70"/>
        <v>0</v>
      </c>
      <c r="BPK49" s="375">
        <f t="shared" si="70"/>
        <v>0</v>
      </c>
      <c r="BPL49" s="375">
        <f t="shared" si="70"/>
        <v>0</v>
      </c>
      <c r="BPM49" s="375">
        <f t="shared" si="70"/>
        <v>0</v>
      </c>
      <c r="BPN49" s="375">
        <f t="shared" si="70"/>
        <v>0</v>
      </c>
      <c r="BPO49" s="375">
        <f t="shared" si="70"/>
        <v>0</v>
      </c>
      <c r="BPP49" s="375">
        <f t="shared" si="70"/>
        <v>0</v>
      </c>
      <c r="BPQ49" s="375">
        <f t="shared" si="70"/>
        <v>0</v>
      </c>
      <c r="BPR49" s="375">
        <f t="shared" si="70"/>
        <v>0</v>
      </c>
      <c r="BPS49" s="375">
        <f t="shared" si="70"/>
        <v>0</v>
      </c>
      <c r="BPT49" s="375">
        <f t="shared" si="70"/>
        <v>0</v>
      </c>
      <c r="BPU49" s="375">
        <f t="shared" si="70"/>
        <v>0</v>
      </c>
      <c r="BPV49" s="375">
        <f t="shared" si="70"/>
        <v>0</v>
      </c>
      <c r="BPW49" s="375">
        <f t="shared" si="70"/>
        <v>0</v>
      </c>
      <c r="BPX49" s="375">
        <f t="shared" si="70"/>
        <v>0</v>
      </c>
      <c r="BPY49" s="375">
        <f t="shared" ref="BPY49:BSJ49" si="71">BPY48*0.8</f>
        <v>0</v>
      </c>
      <c r="BPZ49" s="375">
        <f t="shared" si="71"/>
        <v>0</v>
      </c>
      <c r="BQA49" s="375">
        <f t="shared" si="71"/>
        <v>0</v>
      </c>
      <c r="BQB49" s="375">
        <f t="shared" si="71"/>
        <v>0</v>
      </c>
      <c r="BQC49" s="375">
        <f t="shared" si="71"/>
        <v>0</v>
      </c>
      <c r="BQD49" s="375">
        <f t="shared" si="71"/>
        <v>0</v>
      </c>
      <c r="BQE49" s="375">
        <f t="shared" si="71"/>
        <v>0</v>
      </c>
      <c r="BQF49" s="375">
        <f t="shared" si="71"/>
        <v>0</v>
      </c>
      <c r="BQG49" s="375">
        <f t="shared" si="71"/>
        <v>0</v>
      </c>
      <c r="BQH49" s="375">
        <f t="shared" si="71"/>
        <v>0</v>
      </c>
      <c r="BQI49" s="375">
        <f t="shared" si="71"/>
        <v>0</v>
      </c>
      <c r="BQJ49" s="375">
        <f t="shared" si="71"/>
        <v>0</v>
      </c>
      <c r="BQK49" s="375">
        <f t="shared" si="71"/>
        <v>0</v>
      </c>
      <c r="BQL49" s="375">
        <f t="shared" si="71"/>
        <v>0</v>
      </c>
      <c r="BQM49" s="375">
        <f t="shared" si="71"/>
        <v>0</v>
      </c>
      <c r="BQN49" s="375">
        <f t="shared" si="71"/>
        <v>0</v>
      </c>
      <c r="BQO49" s="375">
        <f t="shared" si="71"/>
        <v>0</v>
      </c>
      <c r="BQP49" s="375">
        <f t="shared" si="71"/>
        <v>0</v>
      </c>
      <c r="BQQ49" s="375">
        <f t="shared" si="71"/>
        <v>0</v>
      </c>
      <c r="BQR49" s="375">
        <f t="shared" si="71"/>
        <v>0</v>
      </c>
      <c r="BQS49" s="375">
        <f t="shared" si="71"/>
        <v>0</v>
      </c>
      <c r="BQT49" s="375">
        <f t="shared" si="71"/>
        <v>0</v>
      </c>
      <c r="BQU49" s="375">
        <f t="shared" si="71"/>
        <v>0</v>
      </c>
      <c r="BQV49" s="375">
        <f t="shared" si="71"/>
        <v>0</v>
      </c>
      <c r="BQW49" s="375">
        <f t="shared" si="71"/>
        <v>0</v>
      </c>
      <c r="BQX49" s="375">
        <f t="shared" si="71"/>
        <v>0</v>
      </c>
      <c r="BQY49" s="375">
        <f t="shared" si="71"/>
        <v>0</v>
      </c>
      <c r="BQZ49" s="375">
        <f t="shared" si="71"/>
        <v>0</v>
      </c>
      <c r="BRA49" s="375">
        <f t="shared" si="71"/>
        <v>0</v>
      </c>
      <c r="BRB49" s="375">
        <f t="shared" si="71"/>
        <v>0</v>
      </c>
      <c r="BRC49" s="375">
        <f t="shared" si="71"/>
        <v>0</v>
      </c>
      <c r="BRD49" s="375">
        <f t="shared" si="71"/>
        <v>0</v>
      </c>
      <c r="BRE49" s="375">
        <f t="shared" si="71"/>
        <v>0</v>
      </c>
      <c r="BRF49" s="375">
        <f t="shared" si="71"/>
        <v>0</v>
      </c>
      <c r="BRG49" s="375">
        <f t="shared" si="71"/>
        <v>0</v>
      </c>
      <c r="BRH49" s="375">
        <f t="shared" si="71"/>
        <v>0</v>
      </c>
      <c r="BRI49" s="375">
        <f t="shared" si="71"/>
        <v>0</v>
      </c>
      <c r="BRJ49" s="375">
        <f t="shared" si="71"/>
        <v>0</v>
      </c>
      <c r="BRK49" s="375">
        <f t="shared" si="71"/>
        <v>0</v>
      </c>
      <c r="BRL49" s="375">
        <f t="shared" si="71"/>
        <v>0</v>
      </c>
      <c r="BRM49" s="375">
        <f t="shared" si="71"/>
        <v>0</v>
      </c>
      <c r="BRN49" s="375">
        <f t="shared" si="71"/>
        <v>0</v>
      </c>
      <c r="BRO49" s="375">
        <f t="shared" si="71"/>
        <v>0</v>
      </c>
      <c r="BRP49" s="375">
        <f t="shared" si="71"/>
        <v>0</v>
      </c>
      <c r="BRQ49" s="375">
        <f t="shared" si="71"/>
        <v>0</v>
      </c>
      <c r="BRR49" s="375">
        <f t="shared" si="71"/>
        <v>0</v>
      </c>
      <c r="BRS49" s="375">
        <f t="shared" si="71"/>
        <v>0</v>
      </c>
      <c r="BRT49" s="375">
        <f t="shared" si="71"/>
        <v>0</v>
      </c>
      <c r="BRU49" s="375">
        <f t="shared" si="71"/>
        <v>0</v>
      </c>
      <c r="BRV49" s="375">
        <f t="shared" si="71"/>
        <v>0</v>
      </c>
      <c r="BRW49" s="375">
        <f t="shared" si="71"/>
        <v>0</v>
      </c>
      <c r="BRX49" s="375">
        <f t="shared" si="71"/>
        <v>0</v>
      </c>
      <c r="BRY49" s="375">
        <f t="shared" si="71"/>
        <v>0</v>
      </c>
      <c r="BRZ49" s="375">
        <f t="shared" si="71"/>
        <v>0</v>
      </c>
      <c r="BSA49" s="375">
        <f t="shared" si="71"/>
        <v>0</v>
      </c>
      <c r="BSB49" s="375">
        <f t="shared" si="71"/>
        <v>0</v>
      </c>
      <c r="BSC49" s="375">
        <f t="shared" si="71"/>
        <v>0</v>
      </c>
      <c r="BSD49" s="375">
        <f t="shared" si="71"/>
        <v>0</v>
      </c>
      <c r="BSE49" s="375">
        <f t="shared" si="71"/>
        <v>0</v>
      </c>
      <c r="BSF49" s="375">
        <f t="shared" si="71"/>
        <v>0</v>
      </c>
      <c r="BSG49" s="375">
        <f t="shared" si="71"/>
        <v>0</v>
      </c>
      <c r="BSH49" s="375">
        <f t="shared" si="71"/>
        <v>0</v>
      </c>
      <c r="BSI49" s="375">
        <f t="shared" si="71"/>
        <v>0</v>
      </c>
      <c r="BSJ49" s="375">
        <f t="shared" si="71"/>
        <v>0</v>
      </c>
      <c r="BSK49" s="375">
        <f t="shared" ref="BSK49:BUV49" si="72">BSK48*0.8</f>
        <v>0</v>
      </c>
      <c r="BSL49" s="375">
        <f t="shared" si="72"/>
        <v>0</v>
      </c>
      <c r="BSM49" s="375">
        <f t="shared" si="72"/>
        <v>0</v>
      </c>
      <c r="BSN49" s="375">
        <f t="shared" si="72"/>
        <v>0</v>
      </c>
      <c r="BSO49" s="375">
        <f t="shared" si="72"/>
        <v>0</v>
      </c>
      <c r="BSP49" s="375">
        <f t="shared" si="72"/>
        <v>0</v>
      </c>
      <c r="BSQ49" s="375">
        <f t="shared" si="72"/>
        <v>0</v>
      </c>
      <c r="BSR49" s="375">
        <f t="shared" si="72"/>
        <v>0</v>
      </c>
      <c r="BSS49" s="375">
        <f t="shared" si="72"/>
        <v>0</v>
      </c>
      <c r="BST49" s="375">
        <f t="shared" si="72"/>
        <v>0</v>
      </c>
      <c r="BSU49" s="375">
        <f t="shared" si="72"/>
        <v>0</v>
      </c>
      <c r="BSV49" s="375">
        <f t="shared" si="72"/>
        <v>0</v>
      </c>
      <c r="BSW49" s="375">
        <f t="shared" si="72"/>
        <v>0</v>
      </c>
      <c r="BSX49" s="375">
        <f t="shared" si="72"/>
        <v>0</v>
      </c>
      <c r="BSY49" s="375">
        <f t="shared" si="72"/>
        <v>0</v>
      </c>
      <c r="BSZ49" s="375">
        <f t="shared" si="72"/>
        <v>0</v>
      </c>
      <c r="BTA49" s="375">
        <f t="shared" si="72"/>
        <v>0</v>
      </c>
      <c r="BTB49" s="375">
        <f t="shared" si="72"/>
        <v>0</v>
      </c>
      <c r="BTC49" s="375">
        <f t="shared" si="72"/>
        <v>0</v>
      </c>
      <c r="BTD49" s="375">
        <f t="shared" si="72"/>
        <v>0</v>
      </c>
      <c r="BTE49" s="375">
        <f t="shared" si="72"/>
        <v>0</v>
      </c>
      <c r="BTF49" s="375">
        <f t="shared" si="72"/>
        <v>0</v>
      </c>
      <c r="BTG49" s="375">
        <f t="shared" si="72"/>
        <v>0</v>
      </c>
      <c r="BTH49" s="375">
        <f t="shared" si="72"/>
        <v>0</v>
      </c>
      <c r="BTI49" s="375">
        <f t="shared" si="72"/>
        <v>0</v>
      </c>
      <c r="BTJ49" s="375">
        <f t="shared" si="72"/>
        <v>0</v>
      </c>
      <c r="BTK49" s="375">
        <f t="shared" si="72"/>
        <v>0</v>
      </c>
      <c r="BTL49" s="375">
        <f t="shared" si="72"/>
        <v>0</v>
      </c>
      <c r="BTM49" s="375">
        <f t="shared" si="72"/>
        <v>0</v>
      </c>
      <c r="BTN49" s="375">
        <f t="shared" si="72"/>
        <v>0</v>
      </c>
      <c r="BTO49" s="375">
        <f t="shared" si="72"/>
        <v>0</v>
      </c>
      <c r="BTP49" s="375">
        <f t="shared" si="72"/>
        <v>0</v>
      </c>
      <c r="BTQ49" s="375">
        <f t="shared" si="72"/>
        <v>0</v>
      </c>
      <c r="BTR49" s="375">
        <f t="shared" si="72"/>
        <v>0</v>
      </c>
      <c r="BTS49" s="375">
        <f t="shared" si="72"/>
        <v>0</v>
      </c>
      <c r="BTT49" s="375">
        <f t="shared" si="72"/>
        <v>0</v>
      </c>
      <c r="BTU49" s="375">
        <f t="shared" si="72"/>
        <v>0</v>
      </c>
      <c r="BTV49" s="375">
        <f t="shared" si="72"/>
        <v>0</v>
      </c>
      <c r="BTW49" s="375">
        <f t="shared" si="72"/>
        <v>0</v>
      </c>
      <c r="BTX49" s="375">
        <f t="shared" si="72"/>
        <v>0</v>
      </c>
      <c r="BTY49" s="375">
        <f t="shared" si="72"/>
        <v>0</v>
      </c>
      <c r="BTZ49" s="375">
        <f t="shared" si="72"/>
        <v>0</v>
      </c>
      <c r="BUA49" s="375">
        <f t="shared" si="72"/>
        <v>0</v>
      </c>
      <c r="BUB49" s="375">
        <f t="shared" si="72"/>
        <v>0</v>
      </c>
      <c r="BUC49" s="375">
        <f t="shared" si="72"/>
        <v>0</v>
      </c>
      <c r="BUD49" s="375">
        <f t="shared" si="72"/>
        <v>0</v>
      </c>
      <c r="BUE49" s="375">
        <f t="shared" si="72"/>
        <v>0</v>
      </c>
      <c r="BUF49" s="375">
        <f t="shared" si="72"/>
        <v>0</v>
      </c>
      <c r="BUG49" s="375">
        <f t="shared" si="72"/>
        <v>0</v>
      </c>
      <c r="BUH49" s="375">
        <f t="shared" si="72"/>
        <v>0</v>
      </c>
      <c r="BUI49" s="375">
        <f t="shared" si="72"/>
        <v>0</v>
      </c>
      <c r="BUJ49" s="375">
        <f t="shared" si="72"/>
        <v>0</v>
      </c>
      <c r="BUK49" s="375">
        <f t="shared" si="72"/>
        <v>0</v>
      </c>
      <c r="BUL49" s="375">
        <f t="shared" si="72"/>
        <v>0</v>
      </c>
      <c r="BUM49" s="375">
        <f t="shared" si="72"/>
        <v>0</v>
      </c>
      <c r="BUN49" s="375">
        <f t="shared" si="72"/>
        <v>0</v>
      </c>
      <c r="BUO49" s="375">
        <f t="shared" si="72"/>
        <v>0</v>
      </c>
      <c r="BUP49" s="375">
        <f t="shared" si="72"/>
        <v>0</v>
      </c>
      <c r="BUQ49" s="375">
        <f t="shared" si="72"/>
        <v>0</v>
      </c>
      <c r="BUR49" s="375">
        <f t="shared" si="72"/>
        <v>0</v>
      </c>
      <c r="BUS49" s="375">
        <f t="shared" si="72"/>
        <v>0</v>
      </c>
      <c r="BUT49" s="375">
        <f t="shared" si="72"/>
        <v>0</v>
      </c>
      <c r="BUU49" s="375">
        <f t="shared" si="72"/>
        <v>0</v>
      </c>
      <c r="BUV49" s="375">
        <f t="shared" si="72"/>
        <v>0</v>
      </c>
      <c r="BUW49" s="375">
        <f t="shared" ref="BUW49:BXH49" si="73">BUW48*0.8</f>
        <v>0</v>
      </c>
      <c r="BUX49" s="375">
        <f t="shared" si="73"/>
        <v>0</v>
      </c>
      <c r="BUY49" s="375">
        <f t="shared" si="73"/>
        <v>0</v>
      </c>
      <c r="BUZ49" s="375">
        <f t="shared" si="73"/>
        <v>0</v>
      </c>
      <c r="BVA49" s="375">
        <f t="shared" si="73"/>
        <v>0</v>
      </c>
      <c r="BVB49" s="375">
        <f t="shared" si="73"/>
        <v>0</v>
      </c>
      <c r="BVC49" s="375">
        <f t="shared" si="73"/>
        <v>0</v>
      </c>
      <c r="BVD49" s="375">
        <f t="shared" si="73"/>
        <v>0</v>
      </c>
      <c r="BVE49" s="375">
        <f t="shared" si="73"/>
        <v>0</v>
      </c>
      <c r="BVF49" s="375">
        <f t="shared" si="73"/>
        <v>0</v>
      </c>
      <c r="BVG49" s="375">
        <f t="shared" si="73"/>
        <v>0</v>
      </c>
      <c r="BVH49" s="375">
        <f t="shared" si="73"/>
        <v>0</v>
      </c>
      <c r="BVI49" s="375">
        <f t="shared" si="73"/>
        <v>0</v>
      </c>
      <c r="BVJ49" s="375">
        <f t="shared" si="73"/>
        <v>0</v>
      </c>
      <c r="BVK49" s="375">
        <f t="shared" si="73"/>
        <v>0</v>
      </c>
      <c r="BVL49" s="375">
        <f t="shared" si="73"/>
        <v>0</v>
      </c>
      <c r="BVM49" s="375">
        <f t="shared" si="73"/>
        <v>0</v>
      </c>
      <c r="BVN49" s="375">
        <f t="shared" si="73"/>
        <v>0</v>
      </c>
      <c r="BVO49" s="375">
        <f t="shared" si="73"/>
        <v>0</v>
      </c>
      <c r="BVP49" s="375">
        <f t="shared" si="73"/>
        <v>0</v>
      </c>
      <c r="BVQ49" s="375">
        <f t="shared" si="73"/>
        <v>0</v>
      </c>
      <c r="BVR49" s="375">
        <f t="shared" si="73"/>
        <v>0</v>
      </c>
      <c r="BVS49" s="375">
        <f t="shared" si="73"/>
        <v>0</v>
      </c>
      <c r="BVT49" s="375">
        <f t="shared" si="73"/>
        <v>0</v>
      </c>
      <c r="BVU49" s="375">
        <f t="shared" si="73"/>
        <v>0</v>
      </c>
      <c r="BVV49" s="375">
        <f t="shared" si="73"/>
        <v>0</v>
      </c>
      <c r="BVW49" s="375">
        <f t="shared" si="73"/>
        <v>0</v>
      </c>
      <c r="BVX49" s="375">
        <f t="shared" si="73"/>
        <v>0</v>
      </c>
      <c r="BVY49" s="375">
        <f t="shared" si="73"/>
        <v>0</v>
      </c>
      <c r="BVZ49" s="375">
        <f t="shared" si="73"/>
        <v>0</v>
      </c>
      <c r="BWA49" s="375">
        <f t="shared" si="73"/>
        <v>0</v>
      </c>
      <c r="BWB49" s="375">
        <f t="shared" si="73"/>
        <v>0</v>
      </c>
      <c r="BWC49" s="375">
        <f t="shared" si="73"/>
        <v>0</v>
      </c>
      <c r="BWD49" s="375">
        <f t="shared" si="73"/>
        <v>0</v>
      </c>
      <c r="BWE49" s="375">
        <f t="shared" si="73"/>
        <v>0</v>
      </c>
      <c r="BWF49" s="375">
        <f t="shared" si="73"/>
        <v>0</v>
      </c>
      <c r="BWG49" s="375">
        <f t="shared" si="73"/>
        <v>0</v>
      </c>
      <c r="BWH49" s="375">
        <f t="shared" si="73"/>
        <v>0</v>
      </c>
      <c r="BWI49" s="375">
        <f t="shared" si="73"/>
        <v>0</v>
      </c>
      <c r="BWJ49" s="375">
        <f t="shared" si="73"/>
        <v>0</v>
      </c>
      <c r="BWK49" s="375">
        <f t="shared" si="73"/>
        <v>0</v>
      </c>
      <c r="BWL49" s="375">
        <f t="shared" si="73"/>
        <v>0</v>
      </c>
      <c r="BWM49" s="375">
        <f t="shared" si="73"/>
        <v>0</v>
      </c>
      <c r="BWN49" s="375">
        <f t="shared" si="73"/>
        <v>0</v>
      </c>
      <c r="BWO49" s="375">
        <f t="shared" si="73"/>
        <v>0</v>
      </c>
      <c r="BWP49" s="375">
        <f t="shared" si="73"/>
        <v>0</v>
      </c>
      <c r="BWQ49" s="375">
        <f t="shared" si="73"/>
        <v>0</v>
      </c>
      <c r="BWR49" s="375">
        <f t="shared" si="73"/>
        <v>0</v>
      </c>
      <c r="BWS49" s="375">
        <f t="shared" si="73"/>
        <v>0</v>
      </c>
      <c r="BWT49" s="375">
        <f t="shared" si="73"/>
        <v>0</v>
      </c>
      <c r="BWU49" s="375">
        <f t="shared" si="73"/>
        <v>0</v>
      </c>
      <c r="BWV49" s="375">
        <f t="shared" si="73"/>
        <v>0</v>
      </c>
      <c r="BWW49" s="375">
        <f t="shared" si="73"/>
        <v>0</v>
      </c>
      <c r="BWX49" s="375">
        <f t="shared" si="73"/>
        <v>0</v>
      </c>
      <c r="BWY49" s="375">
        <f t="shared" si="73"/>
        <v>0</v>
      </c>
      <c r="BWZ49" s="375">
        <f t="shared" si="73"/>
        <v>0</v>
      </c>
      <c r="BXA49" s="375">
        <f t="shared" si="73"/>
        <v>0</v>
      </c>
      <c r="BXB49" s="375">
        <f t="shared" si="73"/>
        <v>0</v>
      </c>
      <c r="BXC49" s="375">
        <f t="shared" si="73"/>
        <v>0</v>
      </c>
      <c r="BXD49" s="375">
        <f t="shared" si="73"/>
        <v>0</v>
      </c>
      <c r="BXE49" s="375">
        <f t="shared" si="73"/>
        <v>0</v>
      </c>
      <c r="BXF49" s="375">
        <f t="shared" si="73"/>
        <v>0</v>
      </c>
      <c r="BXG49" s="375">
        <f t="shared" si="73"/>
        <v>0</v>
      </c>
      <c r="BXH49" s="375">
        <f t="shared" si="73"/>
        <v>0</v>
      </c>
      <c r="BXI49" s="375">
        <f t="shared" ref="BXI49:BZT49" si="74">BXI48*0.8</f>
        <v>0</v>
      </c>
      <c r="BXJ49" s="375">
        <f t="shared" si="74"/>
        <v>0</v>
      </c>
      <c r="BXK49" s="375">
        <f t="shared" si="74"/>
        <v>0</v>
      </c>
      <c r="BXL49" s="375">
        <f t="shared" si="74"/>
        <v>0</v>
      </c>
      <c r="BXM49" s="375">
        <f t="shared" si="74"/>
        <v>0</v>
      </c>
      <c r="BXN49" s="375">
        <f t="shared" si="74"/>
        <v>0</v>
      </c>
      <c r="BXO49" s="375">
        <f t="shared" si="74"/>
        <v>0</v>
      </c>
      <c r="BXP49" s="375">
        <f t="shared" si="74"/>
        <v>0</v>
      </c>
      <c r="BXQ49" s="375">
        <f t="shared" si="74"/>
        <v>0</v>
      </c>
      <c r="BXR49" s="375">
        <f t="shared" si="74"/>
        <v>0</v>
      </c>
      <c r="BXS49" s="375">
        <f t="shared" si="74"/>
        <v>0</v>
      </c>
      <c r="BXT49" s="375">
        <f t="shared" si="74"/>
        <v>0</v>
      </c>
      <c r="BXU49" s="375">
        <f t="shared" si="74"/>
        <v>0</v>
      </c>
      <c r="BXV49" s="375">
        <f t="shared" si="74"/>
        <v>0</v>
      </c>
      <c r="BXW49" s="375">
        <f t="shared" si="74"/>
        <v>0</v>
      </c>
      <c r="BXX49" s="375">
        <f t="shared" si="74"/>
        <v>0</v>
      </c>
      <c r="BXY49" s="375">
        <f t="shared" si="74"/>
        <v>0</v>
      </c>
      <c r="BXZ49" s="375">
        <f t="shared" si="74"/>
        <v>0</v>
      </c>
      <c r="BYA49" s="375">
        <f t="shared" si="74"/>
        <v>0</v>
      </c>
      <c r="BYB49" s="375">
        <f t="shared" si="74"/>
        <v>0</v>
      </c>
      <c r="BYC49" s="375">
        <f t="shared" si="74"/>
        <v>0</v>
      </c>
      <c r="BYD49" s="375">
        <f t="shared" si="74"/>
        <v>0</v>
      </c>
      <c r="BYE49" s="375">
        <f t="shared" si="74"/>
        <v>0</v>
      </c>
      <c r="BYF49" s="375">
        <f t="shared" si="74"/>
        <v>0</v>
      </c>
      <c r="BYG49" s="375">
        <f t="shared" si="74"/>
        <v>0</v>
      </c>
      <c r="BYH49" s="375">
        <f t="shared" si="74"/>
        <v>0</v>
      </c>
      <c r="BYI49" s="375">
        <f t="shared" si="74"/>
        <v>0</v>
      </c>
      <c r="BYJ49" s="375">
        <f t="shared" si="74"/>
        <v>0</v>
      </c>
      <c r="BYK49" s="375">
        <f t="shared" si="74"/>
        <v>0</v>
      </c>
      <c r="BYL49" s="375">
        <f t="shared" si="74"/>
        <v>0</v>
      </c>
      <c r="BYM49" s="375">
        <f t="shared" si="74"/>
        <v>0</v>
      </c>
      <c r="BYN49" s="375">
        <f t="shared" si="74"/>
        <v>0</v>
      </c>
      <c r="BYO49" s="375">
        <f t="shared" si="74"/>
        <v>0</v>
      </c>
      <c r="BYP49" s="375">
        <f t="shared" si="74"/>
        <v>0</v>
      </c>
      <c r="BYQ49" s="375">
        <f t="shared" si="74"/>
        <v>0</v>
      </c>
      <c r="BYR49" s="375">
        <f t="shared" si="74"/>
        <v>0</v>
      </c>
      <c r="BYS49" s="375">
        <f t="shared" si="74"/>
        <v>0</v>
      </c>
      <c r="BYT49" s="375">
        <f t="shared" si="74"/>
        <v>0</v>
      </c>
      <c r="BYU49" s="375">
        <f t="shared" si="74"/>
        <v>0</v>
      </c>
      <c r="BYV49" s="375">
        <f t="shared" si="74"/>
        <v>0</v>
      </c>
      <c r="BYW49" s="375">
        <f t="shared" si="74"/>
        <v>0</v>
      </c>
      <c r="BYX49" s="375">
        <f t="shared" si="74"/>
        <v>0</v>
      </c>
      <c r="BYY49" s="375">
        <f t="shared" si="74"/>
        <v>0</v>
      </c>
      <c r="BYZ49" s="375">
        <f t="shared" si="74"/>
        <v>0</v>
      </c>
      <c r="BZA49" s="375">
        <f t="shared" si="74"/>
        <v>0</v>
      </c>
      <c r="BZB49" s="375">
        <f t="shared" si="74"/>
        <v>0</v>
      </c>
      <c r="BZC49" s="375">
        <f t="shared" si="74"/>
        <v>0</v>
      </c>
      <c r="BZD49" s="375">
        <f t="shared" si="74"/>
        <v>0</v>
      </c>
      <c r="BZE49" s="375">
        <f t="shared" si="74"/>
        <v>0</v>
      </c>
      <c r="BZF49" s="375">
        <f t="shared" si="74"/>
        <v>0</v>
      </c>
      <c r="BZG49" s="375">
        <f t="shared" si="74"/>
        <v>0</v>
      </c>
      <c r="BZH49" s="375">
        <f t="shared" si="74"/>
        <v>0</v>
      </c>
      <c r="BZI49" s="375">
        <f t="shared" si="74"/>
        <v>0</v>
      </c>
      <c r="BZJ49" s="375">
        <f t="shared" si="74"/>
        <v>0</v>
      </c>
      <c r="BZK49" s="375">
        <f t="shared" si="74"/>
        <v>0</v>
      </c>
      <c r="BZL49" s="375">
        <f t="shared" si="74"/>
        <v>0</v>
      </c>
      <c r="BZM49" s="375">
        <f t="shared" si="74"/>
        <v>0</v>
      </c>
      <c r="BZN49" s="375">
        <f t="shared" si="74"/>
        <v>0</v>
      </c>
      <c r="BZO49" s="375">
        <f t="shared" si="74"/>
        <v>0</v>
      </c>
      <c r="BZP49" s="375">
        <f t="shared" si="74"/>
        <v>0</v>
      </c>
      <c r="BZQ49" s="375">
        <f t="shared" si="74"/>
        <v>0</v>
      </c>
      <c r="BZR49" s="375">
        <f t="shared" si="74"/>
        <v>0</v>
      </c>
      <c r="BZS49" s="375">
        <f t="shared" si="74"/>
        <v>0</v>
      </c>
      <c r="BZT49" s="375">
        <f t="shared" si="74"/>
        <v>0</v>
      </c>
      <c r="BZU49" s="375">
        <f t="shared" ref="BZU49:CCF49" si="75">BZU48*0.8</f>
        <v>0</v>
      </c>
      <c r="BZV49" s="375">
        <f t="shared" si="75"/>
        <v>0</v>
      </c>
      <c r="BZW49" s="375">
        <f t="shared" si="75"/>
        <v>0</v>
      </c>
      <c r="BZX49" s="375">
        <f t="shared" si="75"/>
        <v>0</v>
      </c>
      <c r="BZY49" s="375">
        <f t="shared" si="75"/>
        <v>0</v>
      </c>
      <c r="BZZ49" s="375">
        <f t="shared" si="75"/>
        <v>0</v>
      </c>
      <c r="CAA49" s="375">
        <f t="shared" si="75"/>
        <v>0</v>
      </c>
      <c r="CAB49" s="375">
        <f t="shared" si="75"/>
        <v>0</v>
      </c>
      <c r="CAC49" s="375">
        <f t="shared" si="75"/>
        <v>0</v>
      </c>
      <c r="CAD49" s="375">
        <f t="shared" si="75"/>
        <v>0</v>
      </c>
      <c r="CAE49" s="375">
        <f t="shared" si="75"/>
        <v>0</v>
      </c>
      <c r="CAF49" s="375">
        <f t="shared" si="75"/>
        <v>0</v>
      </c>
      <c r="CAG49" s="375">
        <f t="shared" si="75"/>
        <v>0</v>
      </c>
      <c r="CAH49" s="375">
        <f t="shared" si="75"/>
        <v>0</v>
      </c>
      <c r="CAI49" s="375">
        <f t="shared" si="75"/>
        <v>0</v>
      </c>
      <c r="CAJ49" s="375">
        <f t="shared" si="75"/>
        <v>0</v>
      </c>
      <c r="CAK49" s="375">
        <f t="shared" si="75"/>
        <v>0</v>
      </c>
      <c r="CAL49" s="375">
        <f t="shared" si="75"/>
        <v>0</v>
      </c>
      <c r="CAM49" s="375">
        <f t="shared" si="75"/>
        <v>0</v>
      </c>
      <c r="CAN49" s="375">
        <f t="shared" si="75"/>
        <v>0</v>
      </c>
      <c r="CAO49" s="375">
        <f t="shared" si="75"/>
        <v>0</v>
      </c>
      <c r="CAP49" s="375">
        <f t="shared" si="75"/>
        <v>0</v>
      </c>
      <c r="CAQ49" s="375">
        <f t="shared" si="75"/>
        <v>0</v>
      </c>
      <c r="CAR49" s="375">
        <f t="shared" si="75"/>
        <v>0</v>
      </c>
      <c r="CAS49" s="375">
        <f t="shared" si="75"/>
        <v>0</v>
      </c>
      <c r="CAT49" s="375">
        <f t="shared" si="75"/>
        <v>0</v>
      </c>
      <c r="CAU49" s="375">
        <f t="shared" si="75"/>
        <v>0</v>
      </c>
      <c r="CAV49" s="375">
        <f t="shared" si="75"/>
        <v>0</v>
      </c>
      <c r="CAW49" s="375">
        <f t="shared" si="75"/>
        <v>0</v>
      </c>
      <c r="CAX49" s="375">
        <f t="shared" si="75"/>
        <v>0</v>
      </c>
      <c r="CAY49" s="375">
        <f t="shared" si="75"/>
        <v>0</v>
      </c>
      <c r="CAZ49" s="375">
        <f t="shared" si="75"/>
        <v>0</v>
      </c>
      <c r="CBA49" s="375">
        <f t="shared" si="75"/>
        <v>0</v>
      </c>
      <c r="CBB49" s="375">
        <f t="shared" si="75"/>
        <v>0</v>
      </c>
      <c r="CBC49" s="375">
        <f t="shared" si="75"/>
        <v>0</v>
      </c>
      <c r="CBD49" s="375">
        <f t="shared" si="75"/>
        <v>0</v>
      </c>
      <c r="CBE49" s="375">
        <f t="shared" si="75"/>
        <v>0</v>
      </c>
      <c r="CBF49" s="375">
        <f t="shared" si="75"/>
        <v>0</v>
      </c>
      <c r="CBG49" s="375">
        <f t="shared" si="75"/>
        <v>0</v>
      </c>
      <c r="CBH49" s="375">
        <f t="shared" si="75"/>
        <v>0</v>
      </c>
      <c r="CBI49" s="375">
        <f t="shared" si="75"/>
        <v>0</v>
      </c>
      <c r="CBJ49" s="375">
        <f t="shared" si="75"/>
        <v>0</v>
      </c>
      <c r="CBK49" s="375">
        <f t="shared" si="75"/>
        <v>0</v>
      </c>
      <c r="CBL49" s="375">
        <f t="shared" si="75"/>
        <v>0</v>
      </c>
      <c r="CBM49" s="375">
        <f t="shared" si="75"/>
        <v>0</v>
      </c>
      <c r="CBN49" s="375">
        <f t="shared" si="75"/>
        <v>0</v>
      </c>
      <c r="CBO49" s="375">
        <f t="shared" si="75"/>
        <v>0</v>
      </c>
      <c r="CBP49" s="375">
        <f t="shared" si="75"/>
        <v>0</v>
      </c>
      <c r="CBQ49" s="375">
        <f t="shared" si="75"/>
        <v>0</v>
      </c>
      <c r="CBR49" s="375">
        <f t="shared" si="75"/>
        <v>0</v>
      </c>
      <c r="CBS49" s="375">
        <f t="shared" si="75"/>
        <v>0</v>
      </c>
      <c r="CBT49" s="375">
        <f t="shared" si="75"/>
        <v>0</v>
      </c>
      <c r="CBU49" s="375">
        <f t="shared" si="75"/>
        <v>0</v>
      </c>
      <c r="CBV49" s="375">
        <f t="shared" si="75"/>
        <v>0</v>
      </c>
      <c r="CBW49" s="375">
        <f t="shared" si="75"/>
        <v>0</v>
      </c>
      <c r="CBX49" s="375">
        <f t="shared" si="75"/>
        <v>0</v>
      </c>
      <c r="CBY49" s="375">
        <f t="shared" si="75"/>
        <v>0</v>
      </c>
      <c r="CBZ49" s="375">
        <f t="shared" si="75"/>
        <v>0</v>
      </c>
      <c r="CCA49" s="375">
        <f t="shared" si="75"/>
        <v>0</v>
      </c>
      <c r="CCB49" s="375">
        <f t="shared" si="75"/>
        <v>0</v>
      </c>
      <c r="CCC49" s="375">
        <f t="shared" si="75"/>
        <v>0</v>
      </c>
      <c r="CCD49" s="375">
        <f t="shared" si="75"/>
        <v>0</v>
      </c>
      <c r="CCE49" s="375">
        <f t="shared" si="75"/>
        <v>0</v>
      </c>
      <c r="CCF49" s="375">
        <f t="shared" si="75"/>
        <v>0</v>
      </c>
      <c r="CCG49" s="375">
        <f t="shared" ref="CCG49:CER49" si="76">CCG48*0.8</f>
        <v>0</v>
      </c>
      <c r="CCH49" s="375">
        <f t="shared" si="76"/>
        <v>0</v>
      </c>
      <c r="CCI49" s="375">
        <f t="shared" si="76"/>
        <v>0</v>
      </c>
      <c r="CCJ49" s="375">
        <f t="shared" si="76"/>
        <v>0</v>
      </c>
      <c r="CCK49" s="375">
        <f t="shared" si="76"/>
        <v>0</v>
      </c>
      <c r="CCL49" s="375">
        <f t="shared" si="76"/>
        <v>0</v>
      </c>
      <c r="CCM49" s="375">
        <f t="shared" si="76"/>
        <v>0</v>
      </c>
      <c r="CCN49" s="375">
        <f t="shared" si="76"/>
        <v>0</v>
      </c>
      <c r="CCO49" s="375">
        <f t="shared" si="76"/>
        <v>0</v>
      </c>
      <c r="CCP49" s="375">
        <f t="shared" si="76"/>
        <v>0</v>
      </c>
      <c r="CCQ49" s="375">
        <f t="shared" si="76"/>
        <v>0</v>
      </c>
      <c r="CCR49" s="375">
        <f t="shared" si="76"/>
        <v>0</v>
      </c>
      <c r="CCS49" s="375">
        <f t="shared" si="76"/>
        <v>0</v>
      </c>
      <c r="CCT49" s="375">
        <f t="shared" si="76"/>
        <v>0</v>
      </c>
      <c r="CCU49" s="375">
        <f t="shared" si="76"/>
        <v>0</v>
      </c>
      <c r="CCV49" s="375">
        <f t="shared" si="76"/>
        <v>0</v>
      </c>
      <c r="CCW49" s="375">
        <f t="shared" si="76"/>
        <v>0</v>
      </c>
      <c r="CCX49" s="375">
        <f t="shared" si="76"/>
        <v>0</v>
      </c>
      <c r="CCY49" s="375">
        <f t="shared" si="76"/>
        <v>0</v>
      </c>
      <c r="CCZ49" s="375">
        <f t="shared" si="76"/>
        <v>0</v>
      </c>
      <c r="CDA49" s="375">
        <f t="shared" si="76"/>
        <v>0</v>
      </c>
      <c r="CDB49" s="375">
        <f t="shared" si="76"/>
        <v>0</v>
      </c>
      <c r="CDC49" s="375">
        <f t="shared" si="76"/>
        <v>0</v>
      </c>
      <c r="CDD49" s="375">
        <f t="shared" si="76"/>
        <v>0</v>
      </c>
      <c r="CDE49" s="375">
        <f t="shared" si="76"/>
        <v>0</v>
      </c>
      <c r="CDF49" s="375">
        <f t="shared" si="76"/>
        <v>0</v>
      </c>
      <c r="CDG49" s="375">
        <f t="shared" si="76"/>
        <v>0</v>
      </c>
      <c r="CDH49" s="375">
        <f t="shared" si="76"/>
        <v>0</v>
      </c>
      <c r="CDI49" s="375">
        <f t="shared" si="76"/>
        <v>0</v>
      </c>
      <c r="CDJ49" s="375">
        <f t="shared" si="76"/>
        <v>0</v>
      </c>
      <c r="CDK49" s="375">
        <f t="shared" si="76"/>
        <v>0</v>
      </c>
      <c r="CDL49" s="375">
        <f t="shared" si="76"/>
        <v>0</v>
      </c>
      <c r="CDM49" s="375">
        <f t="shared" si="76"/>
        <v>0</v>
      </c>
      <c r="CDN49" s="375">
        <f t="shared" si="76"/>
        <v>0</v>
      </c>
      <c r="CDO49" s="375">
        <f t="shared" si="76"/>
        <v>0</v>
      </c>
      <c r="CDP49" s="375">
        <f t="shared" si="76"/>
        <v>0</v>
      </c>
      <c r="CDQ49" s="375">
        <f t="shared" si="76"/>
        <v>0</v>
      </c>
      <c r="CDR49" s="375">
        <f t="shared" si="76"/>
        <v>0</v>
      </c>
      <c r="CDS49" s="375">
        <f t="shared" si="76"/>
        <v>0</v>
      </c>
      <c r="CDT49" s="375">
        <f t="shared" si="76"/>
        <v>0</v>
      </c>
      <c r="CDU49" s="375">
        <f t="shared" si="76"/>
        <v>0</v>
      </c>
      <c r="CDV49" s="375">
        <f t="shared" si="76"/>
        <v>0</v>
      </c>
      <c r="CDW49" s="375">
        <f t="shared" si="76"/>
        <v>0</v>
      </c>
      <c r="CDX49" s="375">
        <f t="shared" si="76"/>
        <v>0</v>
      </c>
      <c r="CDY49" s="375">
        <f t="shared" si="76"/>
        <v>0</v>
      </c>
      <c r="CDZ49" s="375">
        <f t="shared" si="76"/>
        <v>0</v>
      </c>
      <c r="CEA49" s="375">
        <f t="shared" si="76"/>
        <v>0</v>
      </c>
      <c r="CEB49" s="375">
        <f t="shared" si="76"/>
        <v>0</v>
      </c>
      <c r="CEC49" s="375">
        <f t="shared" si="76"/>
        <v>0</v>
      </c>
      <c r="CED49" s="375">
        <f t="shared" si="76"/>
        <v>0</v>
      </c>
      <c r="CEE49" s="375">
        <f t="shared" si="76"/>
        <v>0</v>
      </c>
      <c r="CEF49" s="375">
        <f t="shared" si="76"/>
        <v>0</v>
      </c>
      <c r="CEG49" s="375">
        <f t="shared" si="76"/>
        <v>0</v>
      </c>
      <c r="CEH49" s="375">
        <f t="shared" si="76"/>
        <v>0</v>
      </c>
      <c r="CEI49" s="375">
        <f t="shared" si="76"/>
        <v>0</v>
      </c>
      <c r="CEJ49" s="375">
        <f t="shared" si="76"/>
        <v>0</v>
      </c>
      <c r="CEK49" s="375">
        <f t="shared" si="76"/>
        <v>0</v>
      </c>
      <c r="CEL49" s="375">
        <f t="shared" si="76"/>
        <v>0</v>
      </c>
      <c r="CEM49" s="375">
        <f t="shared" si="76"/>
        <v>0</v>
      </c>
      <c r="CEN49" s="375">
        <f t="shared" si="76"/>
        <v>0</v>
      </c>
      <c r="CEO49" s="375">
        <f t="shared" si="76"/>
        <v>0</v>
      </c>
      <c r="CEP49" s="375">
        <f t="shared" si="76"/>
        <v>0</v>
      </c>
      <c r="CEQ49" s="375">
        <f t="shared" si="76"/>
        <v>0</v>
      </c>
      <c r="CER49" s="375">
        <f t="shared" si="76"/>
        <v>0</v>
      </c>
      <c r="CES49" s="375">
        <f t="shared" ref="CES49:CHD49" si="77">CES48*0.8</f>
        <v>0</v>
      </c>
      <c r="CET49" s="375">
        <f t="shared" si="77"/>
        <v>0</v>
      </c>
      <c r="CEU49" s="375">
        <f t="shared" si="77"/>
        <v>0</v>
      </c>
      <c r="CEV49" s="375">
        <f t="shared" si="77"/>
        <v>0</v>
      </c>
      <c r="CEW49" s="375">
        <f t="shared" si="77"/>
        <v>0</v>
      </c>
      <c r="CEX49" s="375">
        <f t="shared" si="77"/>
        <v>0</v>
      </c>
      <c r="CEY49" s="375">
        <f t="shared" si="77"/>
        <v>0</v>
      </c>
      <c r="CEZ49" s="375">
        <f t="shared" si="77"/>
        <v>0</v>
      </c>
      <c r="CFA49" s="375">
        <f t="shared" si="77"/>
        <v>0</v>
      </c>
      <c r="CFB49" s="375">
        <f t="shared" si="77"/>
        <v>0</v>
      </c>
      <c r="CFC49" s="375">
        <f t="shared" si="77"/>
        <v>0</v>
      </c>
      <c r="CFD49" s="375">
        <f t="shared" si="77"/>
        <v>0</v>
      </c>
      <c r="CFE49" s="375">
        <f t="shared" si="77"/>
        <v>0</v>
      </c>
      <c r="CFF49" s="375">
        <f t="shared" si="77"/>
        <v>0</v>
      </c>
      <c r="CFG49" s="375">
        <f t="shared" si="77"/>
        <v>0</v>
      </c>
      <c r="CFH49" s="375">
        <f t="shared" si="77"/>
        <v>0</v>
      </c>
      <c r="CFI49" s="375">
        <f t="shared" si="77"/>
        <v>0</v>
      </c>
      <c r="CFJ49" s="375">
        <f t="shared" si="77"/>
        <v>0</v>
      </c>
      <c r="CFK49" s="375">
        <f t="shared" si="77"/>
        <v>0</v>
      </c>
      <c r="CFL49" s="375">
        <f t="shared" si="77"/>
        <v>0</v>
      </c>
      <c r="CFM49" s="375">
        <f t="shared" si="77"/>
        <v>0</v>
      </c>
      <c r="CFN49" s="375">
        <f t="shared" si="77"/>
        <v>0</v>
      </c>
      <c r="CFO49" s="375">
        <f t="shared" si="77"/>
        <v>0</v>
      </c>
      <c r="CFP49" s="375">
        <f t="shared" si="77"/>
        <v>0</v>
      </c>
      <c r="CFQ49" s="375">
        <f t="shared" si="77"/>
        <v>0</v>
      </c>
      <c r="CFR49" s="375">
        <f t="shared" si="77"/>
        <v>0</v>
      </c>
      <c r="CFS49" s="375">
        <f t="shared" si="77"/>
        <v>0</v>
      </c>
      <c r="CFT49" s="375">
        <f t="shared" si="77"/>
        <v>0</v>
      </c>
      <c r="CFU49" s="375">
        <f t="shared" si="77"/>
        <v>0</v>
      </c>
      <c r="CFV49" s="375">
        <f t="shared" si="77"/>
        <v>0</v>
      </c>
      <c r="CFW49" s="375">
        <f t="shared" si="77"/>
        <v>0</v>
      </c>
      <c r="CFX49" s="375">
        <f t="shared" si="77"/>
        <v>0</v>
      </c>
      <c r="CFY49" s="375">
        <f t="shared" si="77"/>
        <v>0</v>
      </c>
      <c r="CFZ49" s="375">
        <f t="shared" si="77"/>
        <v>0</v>
      </c>
      <c r="CGA49" s="375">
        <f t="shared" si="77"/>
        <v>0</v>
      </c>
      <c r="CGB49" s="375">
        <f t="shared" si="77"/>
        <v>0</v>
      </c>
      <c r="CGC49" s="375">
        <f t="shared" si="77"/>
        <v>0</v>
      </c>
      <c r="CGD49" s="375">
        <f t="shared" si="77"/>
        <v>0</v>
      </c>
      <c r="CGE49" s="375">
        <f t="shared" si="77"/>
        <v>0</v>
      </c>
      <c r="CGF49" s="375">
        <f t="shared" si="77"/>
        <v>0</v>
      </c>
      <c r="CGG49" s="375">
        <f t="shared" si="77"/>
        <v>0</v>
      </c>
      <c r="CGH49" s="375">
        <f t="shared" si="77"/>
        <v>0</v>
      </c>
      <c r="CGI49" s="375">
        <f t="shared" si="77"/>
        <v>0</v>
      </c>
      <c r="CGJ49" s="375">
        <f t="shared" si="77"/>
        <v>0</v>
      </c>
      <c r="CGK49" s="375">
        <f t="shared" si="77"/>
        <v>0</v>
      </c>
      <c r="CGL49" s="375">
        <f t="shared" si="77"/>
        <v>0</v>
      </c>
      <c r="CGM49" s="375">
        <f t="shared" si="77"/>
        <v>0</v>
      </c>
      <c r="CGN49" s="375">
        <f t="shared" si="77"/>
        <v>0</v>
      </c>
      <c r="CGO49" s="375">
        <f t="shared" si="77"/>
        <v>0</v>
      </c>
      <c r="CGP49" s="375">
        <f t="shared" si="77"/>
        <v>0</v>
      </c>
      <c r="CGQ49" s="375">
        <f t="shared" si="77"/>
        <v>0</v>
      </c>
      <c r="CGR49" s="375">
        <f t="shared" si="77"/>
        <v>0</v>
      </c>
      <c r="CGS49" s="375">
        <f t="shared" si="77"/>
        <v>0</v>
      </c>
      <c r="CGT49" s="375">
        <f t="shared" si="77"/>
        <v>0</v>
      </c>
      <c r="CGU49" s="375">
        <f t="shared" si="77"/>
        <v>0</v>
      </c>
      <c r="CGV49" s="375">
        <f t="shared" si="77"/>
        <v>0</v>
      </c>
      <c r="CGW49" s="375">
        <f t="shared" si="77"/>
        <v>0</v>
      </c>
      <c r="CGX49" s="375">
        <f t="shared" si="77"/>
        <v>0</v>
      </c>
      <c r="CGY49" s="375">
        <f t="shared" si="77"/>
        <v>0</v>
      </c>
      <c r="CGZ49" s="375">
        <f t="shared" si="77"/>
        <v>0</v>
      </c>
      <c r="CHA49" s="375">
        <f t="shared" si="77"/>
        <v>0</v>
      </c>
      <c r="CHB49" s="375">
        <f t="shared" si="77"/>
        <v>0</v>
      </c>
      <c r="CHC49" s="375">
        <f t="shared" si="77"/>
        <v>0</v>
      </c>
      <c r="CHD49" s="375">
        <f t="shared" si="77"/>
        <v>0</v>
      </c>
      <c r="CHE49" s="375">
        <f t="shared" ref="CHE49:CJP49" si="78">CHE48*0.8</f>
        <v>0</v>
      </c>
      <c r="CHF49" s="375">
        <f t="shared" si="78"/>
        <v>0</v>
      </c>
      <c r="CHG49" s="375">
        <f t="shared" si="78"/>
        <v>0</v>
      </c>
      <c r="CHH49" s="375">
        <f t="shared" si="78"/>
        <v>0</v>
      </c>
      <c r="CHI49" s="375">
        <f t="shared" si="78"/>
        <v>0</v>
      </c>
      <c r="CHJ49" s="375">
        <f t="shared" si="78"/>
        <v>0</v>
      </c>
      <c r="CHK49" s="375">
        <f t="shared" si="78"/>
        <v>0</v>
      </c>
      <c r="CHL49" s="375">
        <f t="shared" si="78"/>
        <v>0</v>
      </c>
      <c r="CHM49" s="375">
        <f t="shared" si="78"/>
        <v>0</v>
      </c>
      <c r="CHN49" s="375">
        <f t="shared" si="78"/>
        <v>0</v>
      </c>
      <c r="CHO49" s="375">
        <f t="shared" si="78"/>
        <v>0</v>
      </c>
      <c r="CHP49" s="375">
        <f t="shared" si="78"/>
        <v>0</v>
      </c>
      <c r="CHQ49" s="375">
        <f t="shared" si="78"/>
        <v>0</v>
      </c>
      <c r="CHR49" s="375">
        <f t="shared" si="78"/>
        <v>0</v>
      </c>
      <c r="CHS49" s="375">
        <f t="shared" si="78"/>
        <v>0</v>
      </c>
      <c r="CHT49" s="375">
        <f t="shared" si="78"/>
        <v>0</v>
      </c>
      <c r="CHU49" s="375">
        <f t="shared" si="78"/>
        <v>0</v>
      </c>
      <c r="CHV49" s="375">
        <f t="shared" si="78"/>
        <v>0</v>
      </c>
      <c r="CHW49" s="375">
        <f t="shared" si="78"/>
        <v>0</v>
      </c>
      <c r="CHX49" s="375">
        <f t="shared" si="78"/>
        <v>0</v>
      </c>
      <c r="CHY49" s="375">
        <f t="shared" si="78"/>
        <v>0</v>
      </c>
      <c r="CHZ49" s="375">
        <f t="shared" si="78"/>
        <v>0</v>
      </c>
      <c r="CIA49" s="375">
        <f t="shared" si="78"/>
        <v>0</v>
      </c>
      <c r="CIB49" s="375">
        <f t="shared" si="78"/>
        <v>0</v>
      </c>
      <c r="CIC49" s="375">
        <f t="shared" si="78"/>
        <v>0</v>
      </c>
      <c r="CID49" s="375">
        <f t="shared" si="78"/>
        <v>0</v>
      </c>
      <c r="CIE49" s="375">
        <f t="shared" si="78"/>
        <v>0</v>
      </c>
      <c r="CIF49" s="375">
        <f t="shared" si="78"/>
        <v>0</v>
      </c>
      <c r="CIG49" s="375">
        <f t="shared" si="78"/>
        <v>0</v>
      </c>
      <c r="CIH49" s="375">
        <f t="shared" si="78"/>
        <v>0</v>
      </c>
      <c r="CII49" s="375">
        <f t="shared" si="78"/>
        <v>0</v>
      </c>
      <c r="CIJ49" s="375">
        <f t="shared" si="78"/>
        <v>0</v>
      </c>
      <c r="CIK49" s="375">
        <f t="shared" si="78"/>
        <v>0</v>
      </c>
      <c r="CIL49" s="375">
        <f t="shared" si="78"/>
        <v>0</v>
      </c>
      <c r="CIM49" s="375">
        <f t="shared" si="78"/>
        <v>0</v>
      </c>
      <c r="CIN49" s="375">
        <f t="shared" si="78"/>
        <v>0</v>
      </c>
      <c r="CIO49" s="375">
        <f t="shared" si="78"/>
        <v>0</v>
      </c>
      <c r="CIP49" s="375">
        <f t="shared" si="78"/>
        <v>0</v>
      </c>
      <c r="CIQ49" s="375">
        <f t="shared" si="78"/>
        <v>0</v>
      </c>
      <c r="CIR49" s="375">
        <f t="shared" si="78"/>
        <v>0</v>
      </c>
      <c r="CIS49" s="375">
        <f t="shared" si="78"/>
        <v>0</v>
      </c>
      <c r="CIT49" s="375">
        <f t="shared" si="78"/>
        <v>0</v>
      </c>
      <c r="CIU49" s="375">
        <f t="shared" si="78"/>
        <v>0</v>
      </c>
      <c r="CIV49" s="375">
        <f t="shared" si="78"/>
        <v>0</v>
      </c>
      <c r="CIW49" s="375">
        <f t="shared" si="78"/>
        <v>0</v>
      </c>
      <c r="CIX49" s="375">
        <f t="shared" si="78"/>
        <v>0</v>
      </c>
      <c r="CIY49" s="375">
        <f t="shared" si="78"/>
        <v>0</v>
      </c>
      <c r="CIZ49" s="375">
        <f t="shared" si="78"/>
        <v>0</v>
      </c>
      <c r="CJA49" s="375">
        <f t="shared" si="78"/>
        <v>0</v>
      </c>
      <c r="CJB49" s="375">
        <f t="shared" si="78"/>
        <v>0</v>
      </c>
      <c r="CJC49" s="375">
        <f t="shared" si="78"/>
        <v>0</v>
      </c>
      <c r="CJD49" s="375">
        <f t="shared" si="78"/>
        <v>0</v>
      </c>
      <c r="CJE49" s="375">
        <f t="shared" si="78"/>
        <v>0</v>
      </c>
      <c r="CJF49" s="375">
        <f t="shared" si="78"/>
        <v>0</v>
      </c>
      <c r="CJG49" s="375">
        <f t="shared" si="78"/>
        <v>0</v>
      </c>
      <c r="CJH49" s="375">
        <f t="shared" si="78"/>
        <v>0</v>
      </c>
      <c r="CJI49" s="375">
        <f t="shared" si="78"/>
        <v>0</v>
      </c>
      <c r="CJJ49" s="375">
        <f t="shared" si="78"/>
        <v>0</v>
      </c>
      <c r="CJK49" s="375">
        <f t="shared" si="78"/>
        <v>0</v>
      </c>
      <c r="CJL49" s="375">
        <f t="shared" si="78"/>
        <v>0</v>
      </c>
      <c r="CJM49" s="375">
        <f t="shared" si="78"/>
        <v>0</v>
      </c>
      <c r="CJN49" s="375">
        <f t="shared" si="78"/>
        <v>0</v>
      </c>
      <c r="CJO49" s="375">
        <f t="shared" si="78"/>
        <v>0</v>
      </c>
      <c r="CJP49" s="375">
        <f t="shared" si="78"/>
        <v>0</v>
      </c>
      <c r="CJQ49" s="375">
        <f t="shared" ref="CJQ49:CMB49" si="79">CJQ48*0.8</f>
        <v>0</v>
      </c>
      <c r="CJR49" s="375">
        <f t="shared" si="79"/>
        <v>0</v>
      </c>
      <c r="CJS49" s="375">
        <f t="shared" si="79"/>
        <v>0</v>
      </c>
      <c r="CJT49" s="375">
        <f t="shared" si="79"/>
        <v>0</v>
      </c>
      <c r="CJU49" s="375">
        <f t="shared" si="79"/>
        <v>0</v>
      </c>
      <c r="CJV49" s="375">
        <f t="shared" si="79"/>
        <v>0</v>
      </c>
      <c r="CJW49" s="375">
        <f t="shared" si="79"/>
        <v>0</v>
      </c>
      <c r="CJX49" s="375">
        <f t="shared" si="79"/>
        <v>0</v>
      </c>
      <c r="CJY49" s="375">
        <f t="shared" si="79"/>
        <v>0</v>
      </c>
      <c r="CJZ49" s="375">
        <f t="shared" si="79"/>
        <v>0</v>
      </c>
      <c r="CKA49" s="375">
        <f t="shared" si="79"/>
        <v>0</v>
      </c>
      <c r="CKB49" s="375">
        <f t="shared" si="79"/>
        <v>0</v>
      </c>
      <c r="CKC49" s="375">
        <f t="shared" si="79"/>
        <v>0</v>
      </c>
      <c r="CKD49" s="375">
        <f t="shared" si="79"/>
        <v>0</v>
      </c>
      <c r="CKE49" s="375">
        <f t="shared" si="79"/>
        <v>0</v>
      </c>
      <c r="CKF49" s="375">
        <f t="shared" si="79"/>
        <v>0</v>
      </c>
      <c r="CKG49" s="375">
        <f t="shared" si="79"/>
        <v>0</v>
      </c>
      <c r="CKH49" s="375">
        <f t="shared" si="79"/>
        <v>0</v>
      </c>
      <c r="CKI49" s="375">
        <f t="shared" si="79"/>
        <v>0</v>
      </c>
      <c r="CKJ49" s="375">
        <f t="shared" si="79"/>
        <v>0</v>
      </c>
      <c r="CKK49" s="375">
        <f t="shared" si="79"/>
        <v>0</v>
      </c>
      <c r="CKL49" s="375">
        <f t="shared" si="79"/>
        <v>0</v>
      </c>
      <c r="CKM49" s="375">
        <f t="shared" si="79"/>
        <v>0</v>
      </c>
      <c r="CKN49" s="375">
        <f t="shared" si="79"/>
        <v>0</v>
      </c>
      <c r="CKO49" s="375">
        <f t="shared" si="79"/>
        <v>0</v>
      </c>
      <c r="CKP49" s="375">
        <f t="shared" si="79"/>
        <v>0</v>
      </c>
      <c r="CKQ49" s="375">
        <f t="shared" si="79"/>
        <v>0</v>
      </c>
      <c r="CKR49" s="375">
        <f t="shared" si="79"/>
        <v>0</v>
      </c>
      <c r="CKS49" s="375">
        <f t="shared" si="79"/>
        <v>0</v>
      </c>
      <c r="CKT49" s="375">
        <f t="shared" si="79"/>
        <v>0</v>
      </c>
      <c r="CKU49" s="375">
        <f t="shared" si="79"/>
        <v>0</v>
      </c>
      <c r="CKV49" s="375">
        <f t="shared" si="79"/>
        <v>0</v>
      </c>
      <c r="CKW49" s="375">
        <f t="shared" si="79"/>
        <v>0</v>
      </c>
      <c r="CKX49" s="375">
        <f t="shared" si="79"/>
        <v>0</v>
      </c>
      <c r="CKY49" s="375">
        <f t="shared" si="79"/>
        <v>0</v>
      </c>
      <c r="CKZ49" s="375">
        <f t="shared" si="79"/>
        <v>0</v>
      </c>
      <c r="CLA49" s="375">
        <f t="shared" si="79"/>
        <v>0</v>
      </c>
      <c r="CLB49" s="375">
        <f t="shared" si="79"/>
        <v>0</v>
      </c>
      <c r="CLC49" s="375">
        <f t="shared" si="79"/>
        <v>0</v>
      </c>
      <c r="CLD49" s="375">
        <f t="shared" si="79"/>
        <v>0</v>
      </c>
      <c r="CLE49" s="375">
        <f t="shared" si="79"/>
        <v>0</v>
      </c>
      <c r="CLF49" s="375">
        <f t="shared" si="79"/>
        <v>0</v>
      </c>
      <c r="CLG49" s="375">
        <f t="shared" si="79"/>
        <v>0</v>
      </c>
      <c r="CLH49" s="375">
        <f t="shared" si="79"/>
        <v>0</v>
      </c>
      <c r="CLI49" s="375">
        <f t="shared" si="79"/>
        <v>0</v>
      </c>
      <c r="CLJ49" s="375">
        <f t="shared" si="79"/>
        <v>0</v>
      </c>
      <c r="CLK49" s="375">
        <f t="shared" si="79"/>
        <v>0</v>
      </c>
      <c r="CLL49" s="375">
        <f t="shared" si="79"/>
        <v>0</v>
      </c>
      <c r="CLM49" s="375">
        <f t="shared" si="79"/>
        <v>0</v>
      </c>
      <c r="CLN49" s="375">
        <f t="shared" si="79"/>
        <v>0</v>
      </c>
      <c r="CLO49" s="375">
        <f t="shared" si="79"/>
        <v>0</v>
      </c>
      <c r="CLP49" s="375">
        <f t="shared" si="79"/>
        <v>0</v>
      </c>
      <c r="CLQ49" s="375">
        <f t="shared" si="79"/>
        <v>0</v>
      </c>
      <c r="CLR49" s="375">
        <f t="shared" si="79"/>
        <v>0</v>
      </c>
      <c r="CLS49" s="375">
        <f t="shared" si="79"/>
        <v>0</v>
      </c>
      <c r="CLT49" s="375">
        <f t="shared" si="79"/>
        <v>0</v>
      </c>
      <c r="CLU49" s="375">
        <f t="shared" si="79"/>
        <v>0</v>
      </c>
      <c r="CLV49" s="375">
        <f t="shared" si="79"/>
        <v>0</v>
      </c>
      <c r="CLW49" s="375">
        <f t="shared" si="79"/>
        <v>0</v>
      </c>
      <c r="CLX49" s="375">
        <f t="shared" si="79"/>
        <v>0</v>
      </c>
      <c r="CLY49" s="375">
        <f t="shared" si="79"/>
        <v>0</v>
      </c>
      <c r="CLZ49" s="375">
        <f t="shared" si="79"/>
        <v>0</v>
      </c>
      <c r="CMA49" s="375">
        <f t="shared" si="79"/>
        <v>0</v>
      </c>
      <c r="CMB49" s="375">
        <f t="shared" si="79"/>
        <v>0</v>
      </c>
      <c r="CMC49" s="375">
        <f t="shared" ref="CMC49:CON49" si="80">CMC48*0.8</f>
        <v>0</v>
      </c>
      <c r="CMD49" s="375">
        <f t="shared" si="80"/>
        <v>0</v>
      </c>
      <c r="CME49" s="375">
        <f t="shared" si="80"/>
        <v>0</v>
      </c>
      <c r="CMF49" s="375">
        <f t="shared" si="80"/>
        <v>0</v>
      </c>
      <c r="CMG49" s="375">
        <f t="shared" si="80"/>
        <v>0</v>
      </c>
      <c r="CMH49" s="375">
        <f t="shared" si="80"/>
        <v>0</v>
      </c>
      <c r="CMI49" s="375">
        <f t="shared" si="80"/>
        <v>0</v>
      </c>
      <c r="CMJ49" s="375">
        <f t="shared" si="80"/>
        <v>0</v>
      </c>
      <c r="CMK49" s="375">
        <f t="shared" si="80"/>
        <v>0</v>
      </c>
      <c r="CML49" s="375">
        <f t="shared" si="80"/>
        <v>0</v>
      </c>
      <c r="CMM49" s="375">
        <f t="shared" si="80"/>
        <v>0</v>
      </c>
      <c r="CMN49" s="375">
        <f t="shared" si="80"/>
        <v>0</v>
      </c>
      <c r="CMO49" s="375">
        <f t="shared" si="80"/>
        <v>0</v>
      </c>
      <c r="CMP49" s="375">
        <f t="shared" si="80"/>
        <v>0</v>
      </c>
      <c r="CMQ49" s="375">
        <f t="shared" si="80"/>
        <v>0</v>
      </c>
      <c r="CMR49" s="375">
        <f t="shared" si="80"/>
        <v>0</v>
      </c>
      <c r="CMS49" s="375">
        <f t="shared" si="80"/>
        <v>0</v>
      </c>
      <c r="CMT49" s="375">
        <f t="shared" si="80"/>
        <v>0</v>
      </c>
      <c r="CMU49" s="375">
        <f t="shared" si="80"/>
        <v>0</v>
      </c>
      <c r="CMV49" s="375">
        <f t="shared" si="80"/>
        <v>0</v>
      </c>
      <c r="CMW49" s="375">
        <f t="shared" si="80"/>
        <v>0</v>
      </c>
      <c r="CMX49" s="375">
        <f t="shared" si="80"/>
        <v>0</v>
      </c>
      <c r="CMY49" s="375">
        <f t="shared" si="80"/>
        <v>0</v>
      </c>
      <c r="CMZ49" s="375">
        <f t="shared" si="80"/>
        <v>0</v>
      </c>
      <c r="CNA49" s="375">
        <f t="shared" si="80"/>
        <v>0</v>
      </c>
      <c r="CNB49" s="375">
        <f t="shared" si="80"/>
        <v>0</v>
      </c>
      <c r="CNC49" s="375">
        <f t="shared" si="80"/>
        <v>0</v>
      </c>
      <c r="CND49" s="375">
        <f t="shared" si="80"/>
        <v>0</v>
      </c>
      <c r="CNE49" s="375">
        <f t="shared" si="80"/>
        <v>0</v>
      </c>
      <c r="CNF49" s="375">
        <f t="shared" si="80"/>
        <v>0</v>
      </c>
      <c r="CNG49" s="375">
        <f t="shared" si="80"/>
        <v>0</v>
      </c>
      <c r="CNH49" s="375">
        <f t="shared" si="80"/>
        <v>0</v>
      </c>
      <c r="CNI49" s="375">
        <f t="shared" si="80"/>
        <v>0</v>
      </c>
      <c r="CNJ49" s="375">
        <f t="shared" si="80"/>
        <v>0</v>
      </c>
      <c r="CNK49" s="375">
        <f t="shared" si="80"/>
        <v>0</v>
      </c>
      <c r="CNL49" s="375">
        <f t="shared" si="80"/>
        <v>0</v>
      </c>
      <c r="CNM49" s="375">
        <f t="shared" si="80"/>
        <v>0</v>
      </c>
      <c r="CNN49" s="375">
        <f t="shared" si="80"/>
        <v>0</v>
      </c>
      <c r="CNO49" s="375">
        <f t="shared" si="80"/>
        <v>0</v>
      </c>
      <c r="CNP49" s="375">
        <f t="shared" si="80"/>
        <v>0</v>
      </c>
      <c r="CNQ49" s="375">
        <f t="shared" si="80"/>
        <v>0</v>
      </c>
      <c r="CNR49" s="375">
        <f t="shared" si="80"/>
        <v>0</v>
      </c>
      <c r="CNS49" s="375">
        <f t="shared" si="80"/>
        <v>0</v>
      </c>
      <c r="CNT49" s="375">
        <f t="shared" si="80"/>
        <v>0</v>
      </c>
      <c r="CNU49" s="375">
        <f t="shared" si="80"/>
        <v>0</v>
      </c>
      <c r="CNV49" s="375">
        <f t="shared" si="80"/>
        <v>0</v>
      </c>
      <c r="CNW49" s="375">
        <f t="shared" si="80"/>
        <v>0</v>
      </c>
      <c r="CNX49" s="375">
        <f t="shared" si="80"/>
        <v>0</v>
      </c>
      <c r="CNY49" s="375">
        <f t="shared" si="80"/>
        <v>0</v>
      </c>
      <c r="CNZ49" s="375">
        <f t="shared" si="80"/>
        <v>0</v>
      </c>
      <c r="COA49" s="375">
        <f t="shared" si="80"/>
        <v>0</v>
      </c>
      <c r="COB49" s="375">
        <f t="shared" si="80"/>
        <v>0</v>
      </c>
      <c r="COC49" s="375">
        <f t="shared" si="80"/>
        <v>0</v>
      </c>
      <c r="COD49" s="375">
        <f t="shared" si="80"/>
        <v>0</v>
      </c>
      <c r="COE49" s="375">
        <f t="shared" si="80"/>
        <v>0</v>
      </c>
      <c r="COF49" s="375">
        <f t="shared" si="80"/>
        <v>0</v>
      </c>
      <c r="COG49" s="375">
        <f t="shared" si="80"/>
        <v>0</v>
      </c>
      <c r="COH49" s="375">
        <f t="shared" si="80"/>
        <v>0</v>
      </c>
      <c r="COI49" s="375">
        <f t="shared" si="80"/>
        <v>0</v>
      </c>
      <c r="COJ49" s="375">
        <f t="shared" si="80"/>
        <v>0</v>
      </c>
      <c r="COK49" s="375">
        <f t="shared" si="80"/>
        <v>0</v>
      </c>
      <c r="COL49" s="375">
        <f t="shared" si="80"/>
        <v>0</v>
      </c>
      <c r="COM49" s="375">
        <f t="shared" si="80"/>
        <v>0</v>
      </c>
      <c r="CON49" s="375">
        <f t="shared" si="80"/>
        <v>0</v>
      </c>
      <c r="COO49" s="375">
        <f t="shared" ref="COO49:CQZ49" si="81">COO48*0.8</f>
        <v>0</v>
      </c>
      <c r="COP49" s="375">
        <f t="shared" si="81"/>
        <v>0</v>
      </c>
      <c r="COQ49" s="375">
        <f t="shared" si="81"/>
        <v>0</v>
      </c>
      <c r="COR49" s="375">
        <f t="shared" si="81"/>
        <v>0</v>
      </c>
      <c r="COS49" s="375">
        <f t="shared" si="81"/>
        <v>0</v>
      </c>
      <c r="COT49" s="375">
        <f t="shared" si="81"/>
        <v>0</v>
      </c>
      <c r="COU49" s="375">
        <f t="shared" si="81"/>
        <v>0</v>
      </c>
      <c r="COV49" s="375">
        <f t="shared" si="81"/>
        <v>0</v>
      </c>
      <c r="COW49" s="375">
        <f t="shared" si="81"/>
        <v>0</v>
      </c>
      <c r="COX49" s="375">
        <f t="shared" si="81"/>
        <v>0</v>
      </c>
      <c r="COY49" s="375">
        <f t="shared" si="81"/>
        <v>0</v>
      </c>
      <c r="COZ49" s="375">
        <f t="shared" si="81"/>
        <v>0</v>
      </c>
      <c r="CPA49" s="375">
        <f t="shared" si="81"/>
        <v>0</v>
      </c>
      <c r="CPB49" s="375">
        <f t="shared" si="81"/>
        <v>0</v>
      </c>
      <c r="CPC49" s="375">
        <f t="shared" si="81"/>
        <v>0</v>
      </c>
      <c r="CPD49" s="375">
        <f t="shared" si="81"/>
        <v>0</v>
      </c>
      <c r="CPE49" s="375">
        <f t="shared" si="81"/>
        <v>0</v>
      </c>
      <c r="CPF49" s="375">
        <f t="shared" si="81"/>
        <v>0</v>
      </c>
      <c r="CPG49" s="375">
        <f t="shared" si="81"/>
        <v>0</v>
      </c>
      <c r="CPH49" s="375">
        <f t="shared" si="81"/>
        <v>0</v>
      </c>
      <c r="CPI49" s="375">
        <f t="shared" si="81"/>
        <v>0</v>
      </c>
      <c r="CPJ49" s="375">
        <f t="shared" si="81"/>
        <v>0</v>
      </c>
      <c r="CPK49" s="375">
        <f t="shared" si="81"/>
        <v>0</v>
      </c>
      <c r="CPL49" s="375">
        <f t="shared" si="81"/>
        <v>0</v>
      </c>
      <c r="CPM49" s="375">
        <f t="shared" si="81"/>
        <v>0</v>
      </c>
      <c r="CPN49" s="375">
        <f t="shared" si="81"/>
        <v>0</v>
      </c>
      <c r="CPO49" s="375">
        <f t="shared" si="81"/>
        <v>0</v>
      </c>
      <c r="CPP49" s="375">
        <f t="shared" si="81"/>
        <v>0</v>
      </c>
      <c r="CPQ49" s="375">
        <f t="shared" si="81"/>
        <v>0</v>
      </c>
      <c r="CPR49" s="375">
        <f t="shared" si="81"/>
        <v>0</v>
      </c>
      <c r="CPS49" s="375">
        <f t="shared" si="81"/>
        <v>0</v>
      </c>
      <c r="CPT49" s="375">
        <f t="shared" si="81"/>
        <v>0</v>
      </c>
      <c r="CPU49" s="375">
        <f t="shared" si="81"/>
        <v>0</v>
      </c>
      <c r="CPV49" s="375">
        <f t="shared" si="81"/>
        <v>0</v>
      </c>
      <c r="CPW49" s="375">
        <f t="shared" si="81"/>
        <v>0</v>
      </c>
      <c r="CPX49" s="375">
        <f t="shared" si="81"/>
        <v>0</v>
      </c>
      <c r="CPY49" s="375">
        <f t="shared" si="81"/>
        <v>0</v>
      </c>
      <c r="CPZ49" s="375">
        <f t="shared" si="81"/>
        <v>0</v>
      </c>
      <c r="CQA49" s="375">
        <f t="shared" si="81"/>
        <v>0</v>
      </c>
      <c r="CQB49" s="375">
        <f t="shared" si="81"/>
        <v>0</v>
      </c>
      <c r="CQC49" s="375">
        <f t="shared" si="81"/>
        <v>0</v>
      </c>
      <c r="CQD49" s="375">
        <f t="shared" si="81"/>
        <v>0</v>
      </c>
      <c r="CQE49" s="375">
        <f t="shared" si="81"/>
        <v>0</v>
      </c>
      <c r="CQF49" s="375">
        <f t="shared" si="81"/>
        <v>0</v>
      </c>
      <c r="CQG49" s="375">
        <f t="shared" si="81"/>
        <v>0</v>
      </c>
      <c r="CQH49" s="375">
        <f t="shared" si="81"/>
        <v>0</v>
      </c>
      <c r="CQI49" s="375">
        <f t="shared" si="81"/>
        <v>0</v>
      </c>
      <c r="CQJ49" s="375">
        <f t="shared" si="81"/>
        <v>0</v>
      </c>
      <c r="CQK49" s="375">
        <f t="shared" si="81"/>
        <v>0</v>
      </c>
      <c r="CQL49" s="375">
        <f t="shared" si="81"/>
        <v>0</v>
      </c>
      <c r="CQM49" s="375">
        <f t="shared" si="81"/>
        <v>0</v>
      </c>
      <c r="CQN49" s="375">
        <f t="shared" si="81"/>
        <v>0</v>
      </c>
      <c r="CQO49" s="375">
        <f t="shared" si="81"/>
        <v>0</v>
      </c>
      <c r="CQP49" s="375">
        <f t="shared" si="81"/>
        <v>0</v>
      </c>
      <c r="CQQ49" s="375">
        <f t="shared" si="81"/>
        <v>0</v>
      </c>
      <c r="CQR49" s="375">
        <f t="shared" si="81"/>
        <v>0</v>
      </c>
      <c r="CQS49" s="375">
        <f t="shared" si="81"/>
        <v>0</v>
      </c>
      <c r="CQT49" s="375">
        <f t="shared" si="81"/>
        <v>0</v>
      </c>
      <c r="CQU49" s="375">
        <f t="shared" si="81"/>
        <v>0</v>
      </c>
      <c r="CQV49" s="375">
        <f t="shared" si="81"/>
        <v>0</v>
      </c>
      <c r="CQW49" s="375">
        <f t="shared" si="81"/>
        <v>0</v>
      </c>
      <c r="CQX49" s="375">
        <f t="shared" si="81"/>
        <v>0</v>
      </c>
      <c r="CQY49" s="375">
        <f t="shared" si="81"/>
        <v>0</v>
      </c>
      <c r="CQZ49" s="375">
        <f t="shared" si="81"/>
        <v>0</v>
      </c>
      <c r="CRA49" s="375">
        <f t="shared" ref="CRA49:CTL49" si="82">CRA48*0.8</f>
        <v>0</v>
      </c>
      <c r="CRB49" s="375">
        <f t="shared" si="82"/>
        <v>0</v>
      </c>
      <c r="CRC49" s="375">
        <f t="shared" si="82"/>
        <v>0</v>
      </c>
      <c r="CRD49" s="375">
        <f t="shared" si="82"/>
        <v>0</v>
      </c>
      <c r="CRE49" s="375">
        <f t="shared" si="82"/>
        <v>0</v>
      </c>
      <c r="CRF49" s="375">
        <f t="shared" si="82"/>
        <v>0</v>
      </c>
      <c r="CRG49" s="375">
        <f t="shared" si="82"/>
        <v>0</v>
      </c>
      <c r="CRH49" s="375">
        <f t="shared" si="82"/>
        <v>0</v>
      </c>
      <c r="CRI49" s="375">
        <f t="shared" si="82"/>
        <v>0</v>
      </c>
      <c r="CRJ49" s="375">
        <f t="shared" si="82"/>
        <v>0</v>
      </c>
      <c r="CRK49" s="375">
        <f t="shared" si="82"/>
        <v>0</v>
      </c>
      <c r="CRL49" s="375">
        <f t="shared" si="82"/>
        <v>0</v>
      </c>
      <c r="CRM49" s="375">
        <f t="shared" si="82"/>
        <v>0</v>
      </c>
      <c r="CRN49" s="375">
        <f t="shared" si="82"/>
        <v>0</v>
      </c>
      <c r="CRO49" s="375">
        <f t="shared" si="82"/>
        <v>0</v>
      </c>
      <c r="CRP49" s="375">
        <f t="shared" si="82"/>
        <v>0</v>
      </c>
      <c r="CRQ49" s="375">
        <f t="shared" si="82"/>
        <v>0</v>
      </c>
      <c r="CRR49" s="375">
        <f t="shared" si="82"/>
        <v>0</v>
      </c>
      <c r="CRS49" s="375">
        <f t="shared" si="82"/>
        <v>0</v>
      </c>
      <c r="CRT49" s="375">
        <f t="shared" si="82"/>
        <v>0</v>
      </c>
      <c r="CRU49" s="375">
        <f t="shared" si="82"/>
        <v>0</v>
      </c>
      <c r="CRV49" s="375">
        <f t="shared" si="82"/>
        <v>0</v>
      </c>
      <c r="CRW49" s="375">
        <f t="shared" si="82"/>
        <v>0</v>
      </c>
      <c r="CRX49" s="375">
        <f t="shared" si="82"/>
        <v>0</v>
      </c>
      <c r="CRY49" s="375">
        <f t="shared" si="82"/>
        <v>0</v>
      </c>
      <c r="CRZ49" s="375">
        <f t="shared" si="82"/>
        <v>0</v>
      </c>
      <c r="CSA49" s="375">
        <f t="shared" si="82"/>
        <v>0</v>
      </c>
      <c r="CSB49" s="375">
        <f t="shared" si="82"/>
        <v>0</v>
      </c>
      <c r="CSC49" s="375">
        <f t="shared" si="82"/>
        <v>0</v>
      </c>
      <c r="CSD49" s="375">
        <f t="shared" si="82"/>
        <v>0</v>
      </c>
      <c r="CSE49" s="375">
        <f t="shared" si="82"/>
        <v>0</v>
      </c>
      <c r="CSF49" s="375">
        <f t="shared" si="82"/>
        <v>0</v>
      </c>
      <c r="CSG49" s="375">
        <f t="shared" si="82"/>
        <v>0</v>
      </c>
      <c r="CSH49" s="375">
        <f t="shared" si="82"/>
        <v>0</v>
      </c>
      <c r="CSI49" s="375">
        <f t="shared" si="82"/>
        <v>0</v>
      </c>
      <c r="CSJ49" s="375">
        <f t="shared" si="82"/>
        <v>0</v>
      </c>
      <c r="CSK49" s="375">
        <f t="shared" si="82"/>
        <v>0</v>
      </c>
      <c r="CSL49" s="375">
        <f t="shared" si="82"/>
        <v>0</v>
      </c>
      <c r="CSM49" s="375">
        <f t="shared" si="82"/>
        <v>0</v>
      </c>
      <c r="CSN49" s="375">
        <f t="shared" si="82"/>
        <v>0</v>
      </c>
      <c r="CSO49" s="375">
        <f t="shared" si="82"/>
        <v>0</v>
      </c>
      <c r="CSP49" s="375">
        <f t="shared" si="82"/>
        <v>0</v>
      </c>
      <c r="CSQ49" s="375">
        <f t="shared" si="82"/>
        <v>0</v>
      </c>
      <c r="CSR49" s="375">
        <f t="shared" si="82"/>
        <v>0</v>
      </c>
      <c r="CSS49" s="375">
        <f t="shared" si="82"/>
        <v>0</v>
      </c>
      <c r="CST49" s="375">
        <f t="shared" si="82"/>
        <v>0</v>
      </c>
      <c r="CSU49" s="375">
        <f t="shared" si="82"/>
        <v>0</v>
      </c>
      <c r="CSV49" s="375">
        <f t="shared" si="82"/>
        <v>0</v>
      </c>
      <c r="CSW49" s="375">
        <f t="shared" si="82"/>
        <v>0</v>
      </c>
      <c r="CSX49" s="375">
        <f t="shared" si="82"/>
        <v>0</v>
      </c>
      <c r="CSY49" s="375">
        <f t="shared" si="82"/>
        <v>0</v>
      </c>
      <c r="CSZ49" s="375">
        <f t="shared" si="82"/>
        <v>0</v>
      </c>
      <c r="CTA49" s="375">
        <f t="shared" si="82"/>
        <v>0</v>
      </c>
      <c r="CTB49" s="375">
        <f t="shared" si="82"/>
        <v>0</v>
      </c>
      <c r="CTC49" s="375">
        <f t="shared" si="82"/>
        <v>0</v>
      </c>
      <c r="CTD49" s="375">
        <f t="shared" si="82"/>
        <v>0</v>
      </c>
      <c r="CTE49" s="375">
        <f t="shared" si="82"/>
        <v>0</v>
      </c>
      <c r="CTF49" s="375">
        <f t="shared" si="82"/>
        <v>0</v>
      </c>
      <c r="CTG49" s="375">
        <f t="shared" si="82"/>
        <v>0</v>
      </c>
      <c r="CTH49" s="375">
        <f t="shared" si="82"/>
        <v>0</v>
      </c>
      <c r="CTI49" s="375">
        <f t="shared" si="82"/>
        <v>0</v>
      </c>
      <c r="CTJ49" s="375">
        <f t="shared" si="82"/>
        <v>0</v>
      </c>
      <c r="CTK49" s="375">
        <f t="shared" si="82"/>
        <v>0</v>
      </c>
      <c r="CTL49" s="375">
        <f t="shared" si="82"/>
        <v>0</v>
      </c>
      <c r="CTM49" s="375">
        <f t="shared" ref="CTM49:CVX49" si="83">CTM48*0.8</f>
        <v>0</v>
      </c>
      <c r="CTN49" s="375">
        <f t="shared" si="83"/>
        <v>0</v>
      </c>
      <c r="CTO49" s="375">
        <f t="shared" si="83"/>
        <v>0</v>
      </c>
      <c r="CTP49" s="375">
        <f t="shared" si="83"/>
        <v>0</v>
      </c>
      <c r="CTQ49" s="375">
        <f t="shared" si="83"/>
        <v>0</v>
      </c>
      <c r="CTR49" s="375">
        <f t="shared" si="83"/>
        <v>0</v>
      </c>
      <c r="CTS49" s="375">
        <f t="shared" si="83"/>
        <v>0</v>
      </c>
      <c r="CTT49" s="375">
        <f t="shared" si="83"/>
        <v>0</v>
      </c>
      <c r="CTU49" s="375">
        <f t="shared" si="83"/>
        <v>0</v>
      </c>
      <c r="CTV49" s="375">
        <f t="shared" si="83"/>
        <v>0</v>
      </c>
      <c r="CTW49" s="375">
        <f t="shared" si="83"/>
        <v>0</v>
      </c>
      <c r="CTX49" s="375">
        <f t="shared" si="83"/>
        <v>0</v>
      </c>
      <c r="CTY49" s="375">
        <f t="shared" si="83"/>
        <v>0</v>
      </c>
      <c r="CTZ49" s="375">
        <f t="shared" si="83"/>
        <v>0</v>
      </c>
      <c r="CUA49" s="375">
        <f t="shared" si="83"/>
        <v>0</v>
      </c>
      <c r="CUB49" s="375">
        <f t="shared" si="83"/>
        <v>0</v>
      </c>
      <c r="CUC49" s="375">
        <f t="shared" si="83"/>
        <v>0</v>
      </c>
      <c r="CUD49" s="375">
        <f t="shared" si="83"/>
        <v>0</v>
      </c>
      <c r="CUE49" s="375">
        <f t="shared" si="83"/>
        <v>0</v>
      </c>
      <c r="CUF49" s="375">
        <f t="shared" si="83"/>
        <v>0</v>
      </c>
      <c r="CUG49" s="375">
        <f t="shared" si="83"/>
        <v>0</v>
      </c>
      <c r="CUH49" s="375">
        <f t="shared" si="83"/>
        <v>0</v>
      </c>
      <c r="CUI49" s="375">
        <f t="shared" si="83"/>
        <v>0</v>
      </c>
      <c r="CUJ49" s="375">
        <f t="shared" si="83"/>
        <v>0</v>
      </c>
      <c r="CUK49" s="375">
        <f t="shared" si="83"/>
        <v>0</v>
      </c>
      <c r="CUL49" s="375">
        <f t="shared" si="83"/>
        <v>0</v>
      </c>
      <c r="CUM49" s="375">
        <f t="shared" si="83"/>
        <v>0</v>
      </c>
      <c r="CUN49" s="375">
        <f t="shared" si="83"/>
        <v>0</v>
      </c>
      <c r="CUO49" s="375">
        <f t="shared" si="83"/>
        <v>0</v>
      </c>
      <c r="CUP49" s="375">
        <f t="shared" si="83"/>
        <v>0</v>
      </c>
      <c r="CUQ49" s="375">
        <f t="shared" si="83"/>
        <v>0</v>
      </c>
      <c r="CUR49" s="375">
        <f t="shared" si="83"/>
        <v>0</v>
      </c>
      <c r="CUS49" s="375">
        <f t="shared" si="83"/>
        <v>0</v>
      </c>
      <c r="CUT49" s="375">
        <f t="shared" si="83"/>
        <v>0</v>
      </c>
      <c r="CUU49" s="375">
        <f t="shared" si="83"/>
        <v>0</v>
      </c>
      <c r="CUV49" s="375">
        <f t="shared" si="83"/>
        <v>0</v>
      </c>
      <c r="CUW49" s="375">
        <f t="shared" si="83"/>
        <v>0</v>
      </c>
      <c r="CUX49" s="375">
        <f t="shared" si="83"/>
        <v>0</v>
      </c>
      <c r="CUY49" s="375">
        <f t="shared" si="83"/>
        <v>0</v>
      </c>
      <c r="CUZ49" s="375">
        <f t="shared" si="83"/>
        <v>0</v>
      </c>
      <c r="CVA49" s="375">
        <f t="shared" si="83"/>
        <v>0</v>
      </c>
      <c r="CVB49" s="375">
        <f t="shared" si="83"/>
        <v>0</v>
      </c>
      <c r="CVC49" s="375">
        <f t="shared" si="83"/>
        <v>0</v>
      </c>
      <c r="CVD49" s="375">
        <f t="shared" si="83"/>
        <v>0</v>
      </c>
      <c r="CVE49" s="375">
        <f t="shared" si="83"/>
        <v>0</v>
      </c>
      <c r="CVF49" s="375">
        <f t="shared" si="83"/>
        <v>0</v>
      </c>
      <c r="CVG49" s="375">
        <f t="shared" si="83"/>
        <v>0</v>
      </c>
      <c r="CVH49" s="375">
        <f t="shared" si="83"/>
        <v>0</v>
      </c>
      <c r="CVI49" s="375">
        <f t="shared" si="83"/>
        <v>0</v>
      </c>
      <c r="CVJ49" s="375">
        <f t="shared" si="83"/>
        <v>0</v>
      </c>
      <c r="CVK49" s="375">
        <f t="shared" si="83"/>
        <v>0</v>
      </c>
      <c r="CVL49" s="375">
        <f t="shared" si="83"/>
        <v>0</v>
      </c>
      <c r="CVM49" s="375">
        <f t="shared" si="83"/>
        <v>0</v>
      </c>
      <c r="CVN49" s="375">
        <f t="shared" si="83"/>
        <v>0</v>
      </c>
      <c r="CVO49" s="375">
        <f t="shared" si="83"/>
        <v>0</v>
      </c>
      <c r="CVP49" s="375">
        <f t="shared" si="83"/>
        <v>0</v>
      </c>
      <c r="CVQ49" s="375">
        <f t="shared" si="83"/>
        <v>0</v>
      </c>
      <c r="CVR49" s="375">
        <f t="shared" si="83"/>
        <v>0</v>
      </c>
      <c r="CVS49" s="375">
        <f t="shared" si="83"/>
        <v>0</v>
      </c>
      <c r="CVT49" s="375">
        <f t="shared" si="83"/>
        <v>0</v>
      </c>
      <c r="CVU49" s="375">
        <f t="shared" si="83"/>
        <v>0</v>
      </c>
      <c r="CVV49" s="375">
        <f t="shared" si="83"/>
        <v>0</v>
      </c>
      <c r="CVW49" s="375">
        <f t="shared" si="83"/>
        <v>0</v>
      </c>
      <c r="CVX49" s="375">
        <f t="shared" si="83"/>
        <v>0</v>
      </c>
      <c r="CVY49" s="375">
        <f t="shared" ref="CVY49:CYJ49" si="84">CVY48*0.8</f>
        <v>0</v>
      </c>
      <c r="CVZ49" s="375">
        <f t="shared" si="84"/>
        <v>0</v>
      </c>
      <c r="CWA49" s="375">
        <f t="shared" si="84"/>
        <v>0</v>
      </c>
      <c r="CWB49" s="375">
        <f t="shared" si="84"/>
        <v>0</v>
      </c>
      <c r="CWC49" s="375">
        <f t="shared" si="84"/>
        <v>0</v>
      </c>
      <c r="CWD49" s="375">
        <f t="shared" si="84"/>
        <v>0</v>
      </c>
      <c r="CWE49" s="375">
        <f t="shared" si="84"/>
        <v>0</v>
      </c>
      <c r="CWF49" s="375">
        <f t="shared" si="84"/>
        <v>0</v>
      </c>
      <c r="CWG49" s="375">
        <f t="shared" si="84"/>
        <v>0</v>
      </c>
      <c r="CWH49" s="375">
        <f t="shared" si="84"/>
        <v>0</v>
      </c>
      <c r="CWI49" s="375">
        <f t="shared" si="84"/>
        <v>0</v>
      </c>
      <c r="CWJ49" s="375">
        <f t="shared" si="84"/>
        <v>0</v>
      </c>
      <c r="CWK49" s="375">
        <f t="shared" si="84"/>
        <v>0</v>
      </c>
      <c r="CWL49" s="375">
        <f t="shared" si="84"/>
        <v>0</v>
      </c>
      <c r="CWM49" s="375">
        <f t="shared" si="84"/>
        <v>0</v>
      </c>
      <c r="CWN49" s="375">
        <f t="shared" si="84"/>
        <v>0</v>
      </c>
      <c r="CWO49" s="375">
        <f t="shared" si="84"/>
        <v>0</v>
      </c>
      <c r="CWP49" s="375">
        <f t="shared" si="84"/>
        <v>0</v>
      </c>
      <c r="CWQ49" s="375">
        <f t="shared" si="84"/>
        <v>0</v>
      </c>
      <c r="CWR49" s="375">
        <f t="shared" si="84"/>
        <v>0</v>
      </c>
      <c r="CWS49" s="375">
        <f t="shared" si="84"/>
        <v>0</v>
      </c>
      <c r="CWT49" s="375">
        <f t="shared" si="84"/>
        <v>0</v>
      </c>
      <c r="CWU49" s="375">
        <f t="shared" si="84"/>
        <v>0</v>
      </c>
      <c r="CWV49" s="375">
        <f t="shared" si="84"/>
        <v>0</v>
      </c>
      <c r="CWW49" s="375">
        <f t="shared" si="84"/>
        <v>0</v>
      </c>
      <c r="CWX49" s="375">
        <f t="shared" si="84"/>
        <v>0</v>
      </c>
      <c r="CWY49" s="375">
        <f t="shared" si="84"/>
        <v>0</v>
      </c>
      <c r="CWZ49" s="375">
        <f t="shared" si="84"/>
        <v>0</v>
      </c>
      <c r="CXA49" s="375">
        <f t="shared" si="84"/>
        <v>0</v>
      </c>
      <c r="CXB49" s="375">
        <f t="shared" si="84"/>
        <v>0</v>
      </c>
      <c r="CXC49" s="375">
        <f t="shared" si="84"/>
        <v>0</v>
      </c>
      <c r="CXD49" s="375">
        <f t="shared" si="84"/>
        <v>0</v>
      </c>
      <c r="CXE49" s="375">
        <f t="shared" si="84"/>
        <v>0</v>
      </c>
      <c r="CXF49" s="375">
        <f t="shared" si="84"/>
        <v>0</v>
      </c>
      <c r="CXG49" s="375">
        <f t="shared" si="84"/>
        <v>0</v>
      </c>
      <c r="CXH49" s="375">
        <f t="shared" si="84"/>
        <v>0</v>
      </c>
      <c r="CXI49" s="375">
        <f t="shared" si="84"/>
        <v>0</v>
      </c>
      <c r="CXJ49" s="375">
        <f t="shared" si="84"/>
        <v>0</v>
      </c>
      <c r="CXK49" s="375">
        <f t="shared" si="84"/>
        <v>0</v>
      </c>
      <c r="CXL49" s="375">
        <f t="shared" si="84"/>
        <v>0</v>
      </c>
      <c r="CXM49" s="375">
        <f t="shared" si="84"/>
        <v>0</v>
      </c>
      <c r="CXN49" s="375">
        <f t="shared" si="84"/>
        <v>0</v>
      </c>
      <c r="CXO49" s="375">
        <f t="shared" si="84"/>
        <v>0</v>
      </c>
      <c r="CXP49" s="375">
        <f t="shared" si="84"/>
        <v>0</v>
      </c>
      <c r="CXQ49" s="375">
        <f t="shared" si="84"/>
        <v>0</v>
      </c>
      <c r="CXR49" s="375">
        <f t="shared" si="84"/>
        <v>0</v>
      </c>
      <c r="CXS49" s="375">
        <f t="shared" si="84"/>
        <v>0</v>
      </c>
      <c r="CXT49" s="375">
        <f t="shared" si="84"/>
        <v>0</v>
      </c>
      <c r="CXU49" s="375">
        <f t="shared" si="84"/>
        <v>0</v>
      </c>
      <c r="CXV49" s="375">
        <f t="shared" si="84"/>
        <v>0</v>
      </c>
      <c r="CXW49" s="375">
        <f t="shared" si="84"/>
        <v>0</v>
      </c>
      <c r="CXX49" s="375">
        <f t="shared" si="84"/>
        <v>0</v>
      </c>
      <c r="CXY49" s="375">
        <f t="shared" si="84"/>
        <v>0</v>
      </c>
      <c r="CXZ49" s="375">
        <f t="shared" si="84"/>
        <v>0</v>
      </c>
      <c r="CYA49" s="375">
        <f t="shared" si="84"/>
        <v>0</v>
      </c>
      <c r="CYB49" s="375">
        <f t="shared" si="84"/>
        <v>0</v>
      </c>
      <c r="CYC49" s="375">
        <f t="shared" si="84"/>
        <v>0</v>
      </c>
      <c r="CYD49" s="375">
        <f t="shared" si="84"/>
        <v>0</v>
      </c>
      <c r="CYE49" s="375">
        <f t="shared" si="84"/>
        <v>0</v>
      </c>
      <c r="CYF49" s="375">
        <f t="shared" si="84"/>
        <v>0</v>
      </c>
      <c r="CYG49" s="375">
        <f t="shared" si="84"/>
        <v>0</v>
      </c>
      <c r="CYH49" s="375">
        <f t="shared" si="84"/>
        <v>0</v>
      </c>
      <c r="CYI49" s="375">
        <f t="shared" si="84"/>
        <v>0</v>
      </c>
      <c r="CYJ49" s="375">
        <f t="shared" si="84"/>
        <v>0</v>
      </c>
      <c r="CYK49" s="375">
        <f t="shared" ref="CYK49:DAV49" si="85">CYK48*0.8</f>
        <v>0</v>
      </c>
      <c r="CYL49" s="375">
        <f t="shared" si="85"/>
        <v>0</v>
      </c>
      <c r="CYM49" s="375">
        <f t="shared" si="85"/>
        <v>0</v>
      </c>
      <c r="CYN49" s="375">
        <f t="shared" si="85"/>
        <v>0</v>
      </c>
      <c r="CYO49" s="375">
        <f t="shared" si="85"/>
        <v>0</v>
      </c>
      <c r="CYP49" s="375">
        <f t="shared" si="85"/>
        <v>0</v>
      </c>
      <c r="CYQ49" s="375">
        <f t="shared" si="85"/>
        <v>0</v>
      </c>
      <c r="CYR49" s="375">
        <f t="shared" si="85"/>
        <v>0</v>
      </c>
      <c r="CYS49" s="375">
        <f t="shared" si="85"/>
        <v>0</v>
      </c>
      <c r="CYT49" s="375">
        <f t="shared" si="85"/>
        <v>0</v>
      </c>
      <c r="CYU49" s="375">
        <f t="shared" si="85"/>
        <v>0</v>
      </c>
      <c r="CYV49" s="375">
        <f t="shared" si="85"/>
        <v>0</v>
      </c>
      <c r="CYW49" s="375">
        <f t="shared" si="85"/>
        <v>0</v>
      </c>
      <c r="CYX49" s="375">
        <f t="shared" si="85"/>
        <v>0</v>
      </c>
      <c r="CYY49" s="375">
        <f t="shared" si="85"/>
        <v>0</v>
      </c>
      <c r="CYZ49" s="375">
        <f t="shared" si="85"/>
        <v>0</v>
      </c>
      <c r="CZA49" s="375">
        <f t="shared" si="85"/>
        <v>0</v>
      </c>
      <c r="CZB49" s="375">
        <f t="shared" si="85"/>
        <v>0</v>
      </c>
      <c r="CZC49" s="375">
        <f t="shared" si="85"/>
        <v>0</v>
      </c>
      <c r="CZD49" s="375">
        <f t="shared" si="85"/>
        <v>0</v>
      </c>
      <c r="CZE49" s="375">
        <f t="shared" si="85"/>
        <v>0</v>
      </c>
      <c r="CZF49" s="375">
        <f t="shared" si="85"/>
        <v>0</v>
      </c>
      <c r="CZG49" s="375">
        <f t="shared" si="85"/>
        <v>0</v>
      </c>
      <c r="CZH49" s="375">
        <f t="shared" si="85"/>
        <v>0</v>
      </c>
      <c r="CZI49" s="375">
        <f t="shared" si="85"/>
        <v>0</v>
      </c>
      <c r="CZJ49" s="375">
        <f t="shared" si="85"/>
        <v>0</v>
      </c>
      <c r="CZK49" s="375">
        <f t="shared" si="85"/>
        <v>0</v>
      </c>
      <c r="CZL49" s="375">
        <f t="shared" si="85"/>
        <v>0</v>
      </c>
      <c r="CZM49" s="375">
        <f t="shared" si="85"/>
        <v>0</v>
      </c>
      <c r="CZN49" s="375">
        <f t="shared" si="85"/>
        <v>0</v>
      </c>
      <c r="CZO49" s="375">
        <f t="shared" si="85"/>
        <v>0</v>
      </c>
      <c r="CZP49" s="375">
        <f t="shared" si="85"/>
        <v>0</v>
      </c>
      <c r="CZQ49" s="375">
        <f t="shared" si="85"/>
        <v>0</v>
      </c>
      <c r="CZR49" s="375">
        <f t="shared" si="85"/>
        <v>0</v>
      </c>
      <c r="CZS49" s="375">
        <f t="shared" si="85"/>
        <v>0</v>
      </c>
      <c r="CZT49" s="375">
        <f t="shared" si="85"/>
        <v>0</v>
      </c>
      <c r="CZU49" s="375">
        <f t="shared" si="85"/>
        <v>0</v>
      </c>
      <c r="CZV49" s="375">
        <f t="shared" si="85"/>
        <v>0</v>
      </c>
      <c r="CZW49" s="375">
        <f t="shared" si="85"/>
        <v>0</v>
      </c>
      <c r="CZX49" s="375">
        <f t="shared" si="85"/>
        <v>0</v>
      </c>
      <c r="CZY49" s="375">
        <f t="shared" si="85"/>
        <v>0</v>
      </c>
      <c r="CZZ49" s="375">
        <f t="shared" si="85"/>
        <v>0</v>
      </c>
      <c r="DAA49" s="375">
        <f t="shared" si="85"/>
        <v>0</v>
      </c>
      <c r="DAB49" s="375">
        <f t="shared" si="85"/>
        <v>0</v>
      </c>
      <c r="DAC49" s="375">
        <f t="shared" si="85"/>
        <v>0</v>
      </c>
      <c r="DAD49" s="375">
        <f t="shared" si="85"/>
        <v>0</v>
      </c>
      <c r="DAE49" s="375">
        <f t="shared" si="85"/>
        <v>0</v>
      </c>
      <c r="DAF49" s="375">
        <f t="shared" si="85"/>
        <v>0</v>
      </c>
      <c r="DAG49" s="375">
        <f t="shared" si="85"/>
        <v>0</v>
      </c>
      <c r="DAH49" s="375">
        <f t="shared" si="85"/>
        <v>0</v>
      </c>
      <c r="DAI49" s="375">
        <f t="shared" si="85"/>
        <v>0</v>
      </c>
      <c r="DAJ49" s="375">
        <f t="shared" si="85"/>
        <v>0</v>
      </c>
      <c r="DAK49" s="375">
        <f t="shared" si="85"/>
        <v>0</v>
      </c>
      <c r="DAL49" s="375">
        <f t="shared" si="85"/>
        <v>0</v>
      </c>
      <c r="DAM49" s="375">
        <f t="shared" si="85"/>
        <v>0</v>
      </c>
      <c r="DAN49" s="375">
        <f t="shared" si="85"/>
        <v>0</v>
      </c>
      <c r="DAO49" s="375">
        <f t="shared" si="85"/>
        <v>0</v>
      </c>
      <c r="DAP49" s="375">
        <f t="shared" si="85"/>
        <v>0</v>
      </c>
      <c r="DAQ49" s="375">
        <f t="shared" si="85"/>
        <v>0</v>
      </c>
      <c r="DAR49" s="375">
        <f t="shared" si="85"/>
        <v>0</v>
      </c>
      <c r="DAS49" s="375">
        <f t="shared" si="85"/>
        <v>0</v>
      </c>
      <c r="DAT49" s="375">
        <f t="shared" si="85"/>
        <v>0</v>
      </c>
      <c r="DAU49" s="375">
        <f t="shared" si="85"/>
        <v>0</v>
      </c>
      <c r="DAV49" s="375">
        <f t="shared" si="85"/>
        <v>0</v>
      </c>
      <c r="DAW49" s="375">
        <f t="shared" ref="DAW49:DDH49" si="86">DAW48*0.8</f>
        <v>0</v>
      </c>
      <c r="DAX49" s="375">
        <f t="shared" si="86"/>
        <v>0</v>
      </c>
      <c r="DAY49" s="375">
        <f t="shared" si="86"/>
        <v>0</v>
      </c>
      <c r="DAZ49" s="375">
        <f t="shared" si="86"/>
        <v>0</v>
      </c>
      <c r="DBA49" s="375">
        <f t="shared" si="86"/>
        <v>0</v>
      </c>
      <c r="DBB49" s="375">
        <f t="shared" si="86"/>
        <v>0</v>
      </c>
      <c r="DBC49" s="375">
        <f t="shared" si="86"/>
        <v>0</v>
      </c>
      <c r="DBD49" s="375">
        <f t="shared" si="86"/>
        <v>0</v>
      </c>
      <c r="DBE49" s="375">
        <f t="shared" si="86"/>
        <v>0</v>
      </c>
      <c r="DBF49" s="375">
        <f t="shared" si="86"/>
        <v>0</v>
      </c>
      <c r="DBG49" s="375">
        <f t="shared" si="86"/>
        <v>0</v>
      </c>
      <c r="DBH49" s="375">
        <f t="shared" si="86"/>
        <v>0</v>
      </c>
      <c r="DBI49" s="375">
        <f t="shared" si="86"/>
        <v>0</v>
      </c>
      <c r="DBJ49" s="375">
        <f t="shared" si="86"/>
        <v>0</v>
      </c>
      <c r="DBK49" s="375">
        <f t="shared" si="86"/>
        <v>0</v>
      </c>
      <c r="DBL49" s="375">
        <f t="shared" si="86"/>
        <v>0</v>
      </c>
      <c r="DBM49" s="375">
        <f t="shared" si="86"/>
        <v>0</v>
      </c>
      <c r="DBN49" s="375">
        <f t="shared" si="86"/>
        <v>0</v>
      </c>
      <c r="DBO49" s="375">
        <f t="shared" si="86"/>
        <v>0</v>
      </c>
      <c r="DBP49" s="375">
        <f t="shared" si="86"/>
        <v>0</v>
      </c>
      <c r="DBQ49" s="375">
        <f t="shared" si="86"/>
        <v>0</v>
      </c>
      <c r="DBR49" s="375">
        <f t="shared" si="86"/>
        <v>0</v>
      </c>
      <c r="DBS49" s="375">
        <f t="shared" si="86"/>
        <v>0</v>
      </c>
      <c r="DBT49" s="375">
        <f t="shared" si="86"/>
        <v>0</v>
      </c>
      <c r="DBU49" s="375">
        <f t="shared" si="86"/>
        <v>0</v>
      </c>
      <c r="DBV49" s="375">
        <f t="shared" si="86"/>
        <v>0</v>
      </c>
      <c r="DBW49" s="375">
        <f t="shared" si="86"/>
        <v>0</v>
      </c>
      <c r="DBX49" s="375">
        <f t="shared" si="86"/>
        <v>0</v>
      </c>
      <c r="DBY49" s="375">
        <f t="shared" si="86"/>
        <v>0</v>
      </c>
      <c r="DBZ49" s="375">
        <f t="shared" si="86"/>
        <v>0</v>
      </c>
      <c r="DCA49" s="375">
        <f t="shared" si="86"/>
        <v>0</v>
      </c>
      <c r="DCB49" s="375">
        <f t="shared" si="86"/>
        <v>0</v>
      </c>
      <c r="DCC49" s="375">
        <f t="shared" si="86"/>
        <v>0</v>
      </c>
      <c r="DCD49" s="375">
        <f t="shared" si="86"/>
        <v>0</v>
      </c>
      <c r="DCE49" s="375">
        <f t="shared" si="86"/>
        <v>0</v>
      </c>
      <c r="DCF49" s="375">
        <f t="shared" si="86"/>
        <v>0</v>
      </c>
      <c r="DCG49" s="375">
        <f t="shared" si="86"/>
        <v>0</v>
      </c>
      <c r="DCH49" s="375">
        <f t="shared" si="86"/>
        <v>0</v>
      </c>
      <c r="DCI49" s="375">
        <f t="shared" si="86"/>
        <v>0</v>
      </c>
      <c r="DCJ49" s="375">
        <f t="shared" si="86"/>
        <v>0</v>
      </c>
      <c r="DCK49" s="375">
        <f t="shared" si="86"/>
        <v>0</v>
      </c>
      <c r="DCL49" s="375">
        <f t="shared" si="86"/>
        <v>0</v>
      </c>
      <c r="DCM49" s="375">
        <f t="shared" si="86"/>
        <v>0</v>
      </c>
      <c r="DCN49" s="375">
        <f t="shared" si="86"/>
        <v>0</v>
      </c>
      <c r="DCO49" s="375">
        <f t="shared" si="86"/>
        <v>0</v>
      </c>
      <c r="DCP49" s="375">
        <f t="shared" si="86"/>
        <v>0</v>
      </c>
      <c r="DCQ49" s="375">
        <f t="shared" si="86"/>
        <v>0</v>
      </c>
      <c r="DCR49" s="375">
        <f t="shared" si="86"/>
        <v>0</v>
      </c>
      <c r="DCS49" s="375">
        <f t="shared" si="86"/>
        <v>0</v>
      </c>
      <c r="DCT49" s="375">
        <f t="shared" si="86"/>
        <v>0</v>
      </c>
      <c r="DCU49" s="375">
        <f t="shared" si="86"/>
        <v>0</v>
      </c>
      <c r="DCV49" s="375">
        <f t="shared" si="86"/>
        <v>0</v>
      </c>
      <c r="DCW49" s="375">
        <f t="shared" si="86"/>
        <v>0</v>
      </c>
      <c r="DCX49" s="375">
        <f t="shared" si="86"/>
        <v>0</v>
      </c>
      <c r="DCY49" s="375">
        <f t="shared" si="86"/>
        <v>0</v>
      </c>
      <c r="DCZ49" s="375">
        <f t="shared" si="86"/>
        <v>0</v>
      </c>
      <c r="DDA49" s="375">
        <f t="shared" si="86"/>
        <v>0</v>
      </c>
      <c r="DDB49" s="375">
        <f t="shared" si="86"/>
        <v>0</v>
      </c>
      <c r="DDC49" s="375">
        <f t="shared" si="86"/>
        <v>0</v>
      </c>
      <c r="DDD49" s="375">
        <f t="shared" si="86"/>
        <v>0</v>
      </c>
      <c r="DDE49" s="375">
        <f t="shared" si="86"/>
        <v>0</v>
      </c>
      <c r="DDF49" s="375">
        <f t="shared" si="86"/>
        <v>0</v>
      </c>
      <c r="DDG49" s="375">
        <f t="shared" si="86"/>
        <v>0</v>
      </c>
      <c r="DDH49" s="375">
        <f t="shared" si="86"/>
        <v>0</v>
      </c>
      <c r="DDI49" s="375">
        <f t="shared" ref="DDI49:DFT49" si="87">DDI48*0.8</f>
        <v>0</v>
      </c>
      <c r="DDJ49" s="375">
        <f t="shared" si="87"/>
        <v>0</v>
      </c>
      <c r="DDK49" s="375">
        <f t="shared" si="87"/>
        <v>0</v>
      </c>
      <c r="DDL49" s="375">
        <f t="shared" si="87"/>
        <v>0</v>
      </c>
      <c r="DDM49" s="375">
        <f t="shared" si="87"/>
        <v>0</v>
      </c>
      <c r="DDN49" s="375">
        <f t="shared" si="87"/>
        <v>0</v>
      </c>
      <c r="DDO49" s="375">
        <f t="shared" si="87"/>
        <v>0</v>
      </c>
      <c r="DDP49" s="375">
        <f t="shared" si="87"/>
        <v>0</v>
      </c>
      <c r="DDQ49" s="375">
        <f t="shared" si="87"/>
        <v>0</v>
      </c>
      <c r="DDR49" s="375">
        <f t="shared" si="87"/>
        <v>0</v>
      </c>
      <c r="DDS49" s="375">
        <f t="shared" si="87"/>
        <v>0</v>
      </c>
      <c r="DDT49" s="375">
        <f t="shared" si="87"/>
        <v>0</v>
      </c>
      <c r="DDU49" s="375">
        <f t="shared" si="87"/>
        <v>0</v>
      </c>
      <c r="DDV49" s="375">
        <f t="shared" si="87"/>
        <v>0</v>
      </c>
      <c r="DDW49" s="375">
        <f t="shared" si="87"/>
        <v>0</v>
      </c>
      <c r="DDX49" s="375">
        <f t="shared" si="87"/>
        <v>0</v>
      </c>
      <c r="DDY49" s="375">
        <f t="shared" si="87"/>
        <v>0</v>
      </c>
      <c r="DDZ49" s="375">
        <f t="shared" si="87"/>
        <v>0</v>
      </c>
      <c r="DEA49" s="375">
        <f t="shared" si="87"/>
        <v>0</v>
      </c>
      <c r="DEB49" s="375">
        <f t="shared" si="87"/>
        <v>0</v>
      </c>
      <c r="DEC49" s="375">
        <f t="shared" si="87"/>
        <v>0</v>
      </c>
      <c r="DED49" s="375">
        <f t="shared" si="87"/>
        <v>0</v>
      </c>
      <c r="DEE49" s="375">
        <f t="shared" si="87"/>
        <v>0</v>
      </c>
      <c r="DEF49" s="375">
        <f t="shared" si="87"/>
        <v>0</v>
      </c>
      <c r="DEG49" s="375">
        <f t="shared" si="87"/>
        <v>0</v>
      </c>
      <c r="DEH49" s="375">
        <f t="shared" si="87"/>
        <v>0</v>
      </c>
      <c r="DEI49" s="375">
        <f t="shared" si="87"/>
        <v>0</v>
      </c>
      <c r="DEJ49" s="375">
        <f t="shared" si="87"/>
        <v>0</v>
      </c>
      <c r="DEK49" s="375">
        <f t="shared" si="87"/>
        <v>0</v>
      </c>
      <c r="DEL49" s="375">
        <f t="shared" si="87"/>
        <v>0</v>
      </c>
      <c r="DEM49" s="375">
        <f t="shared" si="87"/>
        <v>0</v>
      </c>
      <c r="DEN49" s="375">
        <f t="shared" si="87"/>
        <v>0</v>
      </c>
      <c r="DEO49" s="375">
        <f t="shared" si="87"/>
        <v>0</v>
      </c>
      <c r="DEP49" s="375">
        <f t="shared" si="87"/>
        <v>0</v>
      </c>
      <c r="DEQ49" s="375">
        <f t="shared" si="87"/>
        <v>0</v>
      </c>
      <c r="DER49" s="375">
        <f t="shared" si="87"/>
        <v>0</v>
      </c>
      <c r="DES49" s="375">
        <f t="shared" si="87"/>
        <v>0</v>
      </c>
      <c r="DET49" s="375">
        <f t="shared" si="87"/>
        <v>0</v>
      </c>
      <c r="DEU49" s="375">
        <f t="shared" si="87"/>
        <v>0</v>
      </c>
      <c r="DEV49" s="375">
        <f t="shared" si="87"/>
        <v>0</v>
      </c>
      <c r="DEW49" s="375">
        <f t="shared" si="87"/>
        <v>0</v>
      </c>
      <c r="DEX49" s="375">
        <f t="shared" si="87"/>
        <v>0</v>
      </c>
      <c r="DEY49" s="375">
        <f t="shared" si="87"/>
        <v>0</v>
      </c>
      <c r="DEZ49" s="375">
        <f t="shared" si="87"/>
        <v>0</v>
      </c>
      <c r="DFA49" s="375">
        <f t="shared" si="87"/>
        <v>0</v>
      </c>
      <c r="DFB49" s="375">
        <f t="shared" si="87"/>
        <v>0</v>
      </c>
      <c r="DFC49" s="375">
        <f t="shared" si="87"/>
        <v>0</v>
      </c>
      <c r="DFD49" s="375">
        <f t="shared" si="87"/>
        <v>0</v>
      </c>
      <c r="DFE49" s="375">
        <f t="shared" si="87"/>
        <v>0</v>
      </c>
      <c r="DFF49" s="375">
        <f t="shared" si="87"/>
        <v>0</v>
      </c>
      <c r="DFG49" s="375">
        <f t="shared" si="87"/>
        <v>0</v>
      </c>
      <c r="DFH49" s="375">
        <f t="shared" si="87"/>
        <v>0</v>
      </c>
      <c r="DFI49" s="375">
        <f t="shared" si="87"/>
        <v>0</v>
      </c>
      <c r="DFJ49" s="375">
        <f t="shared" si="87"/>
        <v>0</v>
      </c>
      <c r="DFK49" s="375">
        <f t="shared" si="87"/>
        <v>0</v>
      </c>
      <c r="DFL49" s="375">
        <f t="shared" si="87"/>
        <v>0</v>
      </c>
      <c r="DFM49" s="375">
        <f t="shared" si="87"/>
        <v>0</v>
      </c>
      <c r="DFN49" s="375">
        <f t="shared" si="87"/>
        <v>0</v>
      </c>
      <c r="DFO49" s="375">
        <f t="shared" si="87"/>
        <v>0</v>
      </c>
      <c r="DFP49" s="375">
        <f t="shared" si="87"/>
        <v>0</v>
      </c>
      <c r="DFQ49" s="375">
        <f t="shared" si="87"/>
        <v>0</v>
      </c>
      <c r="DFR49" s="375">
        <f t="shared" si="87"/>
        <v>0</v>
      </c>
      <c r="DFS49" s="375">
        <f t="shared" si="87"/>
        <v>0</v>
      </c>
      <c r="DFT49" s="375">
        <f t="shared" si="87"/>
        <v>0</v>
      </c>
      <c r="DFU49" s="375">
        <f t="shared" ref="DFU49:DIF49" si="88">DFU48*0.8</f>
        <v>0</v>
      </c>
      <c r="DFV49" s="375">
        <f t="shared" si="88"/>
        <v>0</v>
      </c>
      <c r="DFW49" s="375">
        <f t="shared" si="88"/>
        <v>0</v>
      </c>
      <c r="DFX49" s="375">
        <f t="shared" si="88"/>
        <v>0</v>
      </c>
      <c r="DFY49" s="375">
        <f t="shared" si="88"/>
        <v>0</v>
      </c>
      <c r="DFZ49" s="375">
        <f t="shared" si="88"/>
        <v>0</v>
      </c>
      <c r="DGA49" s="375">
        <f t="shared" si="88"/>
        <v>0</v>
      </c>
      <c r="DGB49" s="375">
        <f t="shared" si="88"/>
        <v>0</v>
      </c>
      <c r="DGC49" s="375">
        <f t="shared" si="88"/>
        <v>0</v>
      </c>
      <c r="DGD49" s="375">
        <f t="shared" si="88"/>
        <v>0</v>
      </c>
      <c r="DGE49" s="375">
        <f t="shared" si="88"/>
        <v>0</v>
      </c>
      <c r="DGF49" s="375">
        <f t="shared" si="88"/>
        <v>0</v>
      </c>
      <c r="DGG49" s="375">
        <f t="shared" si="88"/>
        <v>0</v>
      </c>
      <c r="DGH49" s="375">
        <f t="shared" si="88"/>
        <v>0</v>
      </c>
      <c r="DGI49" s="375">
        <f t="shared" si="88"/>
        <v>0</v>
      </c>
      <c r="DGJ49" s="375">
        <f t="shared" si="88"/>
        <v>0</v>
      </c>
      <c r="DGK49" s="375">
        <f t="shared" si="88"/>
        <v>0</v>
      </c>
      <c r="DGL49" s="375">
        <f t="shared" si="88"/>
        <v>0</v>
      </c>
      <c r="DGM49" s="375">
        <f t="shared" si="88"/>
        <v>0</v>
      </c>
      <c r="DGN49" s="375">
        <f t="shared" si="88"/>
        <v>0</v>
      </c>
      <c r="DGO49" s="375">
        <f t="shared" si="88"/>
        <v>0</v>
      </c>
      <c r="DGP49" s="375">
        <f t="shared" si="88"/>
        <v>0</v>
      </c>
      <c r="DGQ49" s="375">
        <f t="shared" si="88"/>
        <v>0</v>
      </c>
      <c r="DGR49" s="375">
        <f t="shared" si="88"/>
        <v>0</v>
      </c>
      <c r="DGS49" s="375">
        <f t="shared" si="88"/>
        <v>0</v>
      </c>
      <c r="DGT49" s="375">
        <f t="shared" si="88"/>
        <v>0</v>
      </c>
      <c r="DGU49" s="375">
        <f t="shared" si="88"/>
        <v>0</v>
      </c>
      <c r="DGV49" s="375">
        <f t="shared" si="88"/>
        <v>0</v>
      </c>
      <c r="DGW49" s="375">
        <f t="shared" si="88"/>
        <v>0</v>
      </c>
      <c r="DGX49" s="375">
        <f t="shared" si="88"/>
        <v>0</v>
      </c>
      <c r="DGY49" s="375">
        <f t="shared" si="88"/>
        <v>0</v>
      </c>
      <c r="DGZ49" s="375">
        <f t="shared" si="88"/>
        <v>0</v>
      </c>
      <c r="DHA49" s="375">
        <f t="shared" si="88"/>
        <v>0</v>
      </c>
      <c r="DHB49" s="375">
        <f t="shared" si="88"/>
        <v>0</v>
      </c>
      <c r="DHC49" s="375">
        <f t="shared" si="88"/>
        <v>0</v>
      </c>
      <c r="DHD49" s="375">
        <f t="shared" si="88"/>
        <v>0</v>
      </c>
      <c r="DHE49" s="375">
        <f t="shared" si="88"/>
        <v>0</v>
      </c>
      <c r="DHF49" s="375">
        <f t="shared" si="88"/>
        <v>0</v>
      </c>
      <c r="DHG49" s="375">
        <f t="shared" si="88"/>
        <v>0</v>
      </c>
      <c r="DHH49" s="375">
        <f t="shared" si="88"/>
        <v>0</v>
      </c>
      <c r="DHI49" s="375">
        <f t="shared" si="88"/>
        <v>0</v>
      </c>
      <c r="DHJ49" s="375">
        <f t="shared" si="88"/>
        <v>0</v>
      </c>
      <c r="DHK49" s="375">
        <f t="shared" si="88"/>
        <v>0</v>
      </c>
      <c r="DHL49" s="375">
        <f t="shared" si="88"/>
        <v>0</v>
      </c>
      <c r="DHM49" s="375">
        <f t="shared" si="88"/>
        <v>0</v>
      </c>
      <c r="DHN49" s="375">
        <f t="shared" si="88"/>
        <v>0</v>
      </c>
      <c r="DHO49" s="375">
        <f t="shared" si="88"/>
        <v>0</v>
      </c>
      <c r="DHP49" s="375">
        <f t="shared" si="88"/>
        <v>0</v>
      </c>
      <c r="DHQ49" s="375">
        <f t="shared" si="88"/>
        <v>0</v>
      </c>
      <c r="DHR49" s="375">
        <f t="shared" si="88"/>
        <v>0</v>
      </c>
      <c r="DHS49" s="375">
        <f t="shared" si="88"/>
        <v>0</v>
      </c>
      <c r="DHT49" s="375">
        <f t="shared" si="88"/>
        <v>0</v>
      </c>
      <c r="DHU49" s="375">
        <f t="shared" si="88"/>
        <v>0</v>
      </c>
      <c r="DHV49" s="375">
        <f t="shared" si="88"/>
        <v>0</v>
      </c>
      <c r="DHW49" s="375">
        <f t="shared" si="88"/>
        <v>0</v>
      </c>
      <c r="DHX49" s="375">
        <f t="shared" si="88"/>
        <v>0</v>
      </c>
      <c r="DHY49" s="375">
        <f t="shared" si="88"/>
        <v>0</v>
      </c>
      <c r="DHZ49" s="375">
        <f t="shared" si="88"/>
        <v>0</v>
      </c>
      <c r="DIA49" s="375">
        <f t="shared" si="88"/>
        <v>0</v>
      </c>
      <c r="DIB49" s="375">
        <f t="shared" si="88"/>
        <v>0</v>
      </c>
      <c r="DIC49" s="375">
        <f t="shared" si="88"/>
        <v>0</v>
      </c>
      <c r="DID49" s="375">
        <f t="shared" si="88"/>
        <v>0</v>
      </c>
      <c r="DIE49" s="375">
        <f t="shared" si="88"/>
        <v>0</v>
      </c>
      <c r="DIF49" s="375">
        <f t="shared" si="88"/>
        <v>0</v>
      </c>
      <c r="DIG49" s="375">
        <f t="shared" ref="DIG49:DKR49" si="89">DIG48*0.8</f>
        <v>0</v>
      </c>
      <c r="DIH49" s="375">
        <f t="shared" si="89"/>
        <v>0</v>
      </c>
      <c r="DII49" s="375">
        <f t="shared" si="89"/>
        <v>0</v>
      </c>
      <c r="DIJ49" s="375">
        <f t="shared" si="89"/>
        <v>0</v>
      </c>
      <c r="DIK49" s="375">
        <f t="shared" si="89"/>
        <v>0</v>
      </c>
      <c r="DIL49" s="375">
        <f t="shared" si="89"/>
        <v>0</v>
      </c>
      <c r="DIM49" s="375">
        <f t="shared" si="89"/>
        <v>0</v>
      </c>
      <c r="DIN49" s="375">
        <f t="shared" si="89"/>
        <v>0</v>
      </c>
      <c r="DIO49" s="375">
        <f t="shared" si="89"/>
        <v>0</v>
      </c>
      <c r="DIP49" s="375">
        <f t="shared" si="89"/>
        <v>0</v>
      </c>
      <c r="DIQ49" s="375">
        <f t="shared" si="89"/>
        <v>0</v>
      </c>
      <c r="DIR49" s="375">
        <f t="shared" si="89"/>
        <v>0</v>
      </c>
      <c r="DIS49" s="375">
        <f t="shared" si="89"/>
        <v>0</v>
      </c>
      <c r="DIT49" s="375">
        <f t="shared" si="89"/>
        <v>0</v>
      </c>
      <c r="DIU49" s="375">
        <f t="shared" si="89"/>
        <v>0</v>
      </c>
      <c r="DIV49" s="375">
        <f t="shared" si="89"/>
        <v>0</v>
      </c>
      <c r="DIW49" s="375">
        <f t="shared" si="89"/>
        <v>0</v>
      </c>
      <c r="DIX49" s="375">
        <f t="shared" si="89"/>
        <v>0</v>
      </c>
      <c r="DIY49" s="375">
        <f t="shared" si="89"/>
        <v>0</v>
      </c>
      <c r="DIZ49" s="375">
        <f t="shared" si="89"/>
        <v>0</v>
      </c>
      <c r="DJA49" s="375">
        <f t="shared" si="89"/>
        <v>0</v>
      </c>
      <c r="DJB49" s="375">
        <f t="shared" si="89"/>
        <v>0</v>
      </c>
      <c r="DJC49" s="375">
        <f t="shared" si="89"/>
        <v>0</v>
      </c>
      <c r="DJD49" s="375">
        <f t="shared" si="89"/>
        <v>0</v>
      </c>
      <c r="DJE49" s="375">
        <f t="shared" si="89"/>
        <v>0</v>
      </c>
      <c r="DJF49" s="375">
        <f t="shared" si="89"/>
        <v>0</v>
      </c>
      <c r="DJG49" s="375">
        <f t="shared" si="89"/>
        <v>0</v>
      </c>
      <c r="DJH49" s="375">
        <f t="shared" si="89"/>
        <v>0</v>
      </c>
      <c r="DJI49" s="375">
        <f t="shared" si="89"/>
        <v>0</v>
      </c>
      <c r="DJJ49" s="375">
        <f t="shared" si="89"/>
        <v>0</v>
      </c>
      <c r="DJK49" s="375">
        <f t="shared" si="89"/>
        <v>0</v>
      </c>
      <c r="DJL49" s="375">
        <f t="shared" si="89"/>
        <v>0</v>
      </c>
      <c r="DJM49" s="375">
        <f t="shared" si="89"/>
        <v>0</v>
      </c>
      <c r="DJN49" s="375">
        <f t="shared" si="89"/>
        <v>0</v>
      </c>
      <c r="DJO49" s="375">
        <f t="shared" si="89"/>
        <v>0</v>
      </c>
      <c r="DJP49" s="375">
        <f t="shared" si="89"/>
        <v>0</v>
      </c>
      <c r="DJQ49" s="375">
        <f t="shared" si="89"/>
        <v>0</v>
      </c>
      <c r="DJR49" s="375">
        <f t="shared" si="89"/>
        <v>0</v>
      </c>
      <c r="DJS49" s="375">
        <f t="shared" si="89"/>
        <v>0</v>
      </c>
      <c r="DJT49" s="375">
        <f t="shared" si="89"/>
        <v>0</v>
      </c>
      <c r="DJU49" s="375">
        <f t="shared" si="89"/>
        <v>0</v>
      </c>
      <c r="DJV49" s="375">
        <f t="shared" si="89"/>
        <v>0</v>
      </c>
      <c r="DJW49" s="375">
        <f t="shared" si="89"/>
        <v>0</v>
      </c>
      <c r="DJX49" s="375">
        <f t="shared" si="89"/>
        <v>0</v>
      </c>
      <c r="DJY49" s="375">
        <f t="shared" si="89"/>
        <v>0</v>
      </c>
      <c r="DJZ49" s="375">
        <f t="shared" si="89"/>
        <v>0</v>
      </c>
      <c r="DKA49" s="375">
        <f t="shared" si="89"/>
        <v>0</v>
      </c>
      <c r="DKB49" s="375">
        <f t="shared" si="89"/>
        <v>0</v>
      </c>
      <c r="DKC49" s="375">
        <f t="shared" si="89"/>
        <v>0</v>
      </c>
      <c r="DKD49" s="375">
        <f t="shared" si="89"/>
        <v>0</v>
      </c>
      <c r="DKE49" s="375">
        <f t="shared" si="89"/>
        <v>0</v>
      </c>
      <c r="DKF49" s="375">
        <f t="shared" si="89"/>
        <v>0</v>
      </c>
      <c r="DKG49" s="375">
        <f t="shared" si="89"/>
        <v>0</v>
      </c>
      <c r="DKH49" s="375">
        <f t="shared" si="89"/>
        <v>0</v>
      </c>
      <c r="DKI49" s="375">
        <f t="shared" si="89"/>
        <v>0</v>
      </c>
      <c r="DKJ49" s="375">
        <f t="shared" si="89"/>
        <v>0</v>
      </c>
      <c r="DKK49" s="375">
        <f t="shared" si="89"/>
        <v>0</v>
      </c>
      <c r="DKL49" s="375">
        <f t="shared" si="89"/>
        <v>0</v>
      </c>
      <c r="DKM49" s="375">
        <f t="shared" si="89"/>
        <v>0</v>
      </c>
      <c r="DKN49" s="375">
        <f t="shared" si="89"/>
        <v>0</v>
      </c>
      <c r="DKO49" s="375">
        <f t="shared" si="89"/>
        <v>0</v>
      </c>
      <c r="DKP49" s="375">
        <f t="shared" si="89"/>
        <v>0</v>
      </c>
      <c r="DKQ49" s="375">
        <f t="shared" si="89"/>
        <v>0</v>
      </c>
      <c r="DKR49" s="375">
        <f t="shared" si="89"/>
        <v>0</v>
      </c>
      <c r="DKS49" s="375">
        <f t="shared" ref="DKS49:DND49" si="90">DKS48*0.8</f>
        <v>0</v>
      </c>
      <c r="DKT49" s="375">
        <f t="shared" si="90"/>
        <v>0</v>
      </c>
      <c r="DKU49" s="375">
        <f t="shared" si="90"/>
        <v>0</v>
      </c>
      <c r="DKV49" s="375">
        <f t="shared" si="90"/>
        <v>0</v>
      </c>
      <c r="DKW49" s="375">
        <f t="shared" si="90"/>
        <v>0</v>
      </c>
      <c r="DKX49" s="375">
        <f t="shared" si="90"/>
        <v>0</v>
      </c>
      <c r="DKY49" s="375">
        <f t="shared" si="90"/>
        <v>0</v>
      </c>
      <c r="DKZ49" s="375">
        <f t="shared" si="90"/>
        <v>0</v>
      </c>
      <c r="DLA49" s="375">
        <f t="shared" si="90"/>
        <v>0</v>
      </c>
      <c r="DLB49" s="375">
        <f t="shared" si="90"/>
        <v>0</v>
      </c>
      <c r="DLC49" s="375">
        <f t="shared" si="90"/>
        <v>0</v>
      </c>
      <c r="DLD49" s="375">
        <f t="shared" si="90"/>
        <v>0</v>
      </c>
      <c r="DLE49" s="375">
        <f t="shared" si="90"/>
        <v>0</v>
      </c>
      <c r="DLF49" s="375">
        <f t="shared" si="90"/>
        <v>0</v>
      </c>
      <c r="DLG49" s="375">
        <f t="shared" si="90"/>
        <v>0</v>
      </c>
      <c r="DLH49" s="375">
        <f t="shared" si="90"/>
        <v>0</v>
      </c>
      <c r="DLI49" s="375">
        <f t="shared" si="90"/>
        <v>0</v>
      </c>
      <c r="DLJ49" s="375">
        <f t="shared" si="90"/>
        <v>0</v>
      </c>
      <c r="DLK49" s="375">
        <f t="shared" si="90"/>
        <v>0</v>
      </c>
      <c r="DLL49" s="375">
        <f t="shared" si="90"/>
        <v>0</v>
      </c>
      <c r="DLM49" s="375">
        <f t="shared" si="90"/>
        <v>0</v>
      </c>
      <c r="DLN49" s="375">
        <f t="shared" si="90"/>
        <v>0</v>
      </c>
      <c r="DLO49" s="375">
        <f t="shared" si="90"/>
        <v>0</v>
      </c>
      <c r="DLP49" s="375">
        <f t="shared" si="90"/>
        <v>0</v>
      </c>
      <c r="DLQ49" s="375">
        <f t="shared" si="90"/>
        <v>0</v>
      </c>
      <c r="DLR49" s="375">
        <f t="shared" si="90"/>
        <v>0</v>
      </c>
      <c r="DLS49" s="375">
        <f t="shared" si="90"/>
        <v>0</v>
      </c>
      <c r="DLT49" s="375">
        <f t="shared" si="90"/>
        <v>0</v>
      </c>
      <c r="DLU49" s="375">
        <f t="shared" si="90"/>
        <v>0</v>
      </c>
      <c r="DLV49" s="375">
        <f t="shared" si="90"/>
        <v>0</v>
      </c>
      <c r="DLW49" s="375">
        <f t="shared" si="90"/>
        <v>0</v>
      </c>
      <c r="DLX49" s="375">
        <f t="shared" si="90"/>
        <v>0</v>
      </c>
      <c r="DLY49" s="375">
        <f t="shared" si="90"/>
        <v>0</v>
      </c>
      <c r="DLZ49" s="375">
        <f t="shared" si="90"/>
        <v>0</v>
      </c>
      <c r="DMA49" s="375">
        <f t="shared" si="90"/>
        <v>0</v>
      </c>
      <c r="DMB49" s="375">
        <f t="shared" si="90"/>
        <v>0</v>
      </c>
      <c r="DMC49" s="375">
        <f t="shared" si="90"/>
        <v>0</v>
      </c>
      <c r="DMD49" s="375">
        <f t="shared" si="90"/>
        <v>0</v>
      </c>
      <c r="DME49" s="375">
        <f t="shared" si="90"/>
        <v>0</v>
      </c>
      <c r="DMF49" s="375">
        <f t="shared" si="90"/>
        <v>0</v>
      </c>
      <c r="DMG49" s="375">
        <f t="shared" si="90"/>
        <v>0</v>
      </c>
      <c r="DMH49" s="375">
        <f t="shared" si="90"/>
        <v>0</v>
      </c>
      <c r="DMI49" s="375">
        <f t="shared" si="90"/>
        <v>0</v>
      </c>
      <c r="DMJ49" s="375">
        <f t="shared" si="90"/>
        <v>0</v>
      </c>
      <c r="DMK49" s="375">
        <f t="shared" si="90"/>
        <v>0</v>
      </c>
      <c r="DML49" s="375">
        <f t="shared" si="90"/>
        <v>0</v>
      </c>
      <c r="DMM49" s="375">
        <f t="shared" si="90"/>
        <v>0</v>
      </c>
      <c r="DMN49" s="375">
        <f t="shared" si="90"/>
        <v>0</v>
      </c>
      <c r="DMO49" s="375">
        <f t="shared" si="90"/>
        <v>0</v>
      </c>
      <c r="DMP49" s="375">
        <f t="shared" si="90"/>
        <v>0</v>
      </c>
      <c r="DMQ49" s="375">
        <f t="shared" si="90"/>
        <v>0</v>
      </c>
      <c r="DMR49" s="375">
        <f t="shared" si="90"/>
        <v>0</v>
      </c>
      <c r="DMS49" s="375">
        <f t="shared" si="90"/>
        <v>0</v>
      </c>
      <c r="DMT49" s="375">
        <f t="shared" si="90"/>
        <v>0</v>
      </c>
      <c r="DMU49" s="375">
        <f t="shared" si="90"/>
        <v>0</v>
      </c>
      <c r="DMV49" s="375">
        <f t="shared" si="90"/>
        <v>0</v>
      </c>
      <c r="DMW49" s="375">
        <f t="shared" si="90"/>
        <v>0</v>
      </c>
      <c r="DMX49" s="375">
        <f t="shared" si="90"/>
        <v>0</v>
      </c>
      <c r="DMY49" s="375">
        <f t="shared" si="90"/>
        <v>0</v>
      </c>
      <c r="DMZ49" s="375">
        <f t="shared" si="90"/>
        <v>0</v>
      </c>
      <c r="DNA49" s="375">
        <f t="shared" si="90"/>
        <v>0</v>
      </c>
      <c r="DNB49" s="375">
        <f t="shared" si="90"/>
        <v>0</v>
      </c>
      <c r="DNC49" s="375">
        <f t="shared" si="90"/>
        <v>0</v>
      </c>
      <c r="DND49" s="375">
        <f t="shared" si="90"/>
        <v>0</v>
      </c>
      <c r="DNE49" s="375">
        <f t="shared" ref="DNE49:DPP49" si="91">DNE48*0.8</f>
        <v>0</v>
      </c>
      <c r="DNF49" s="375">
        <f t="shared" si="91"/>
        <v>0</v>
      </c>
      <c r="DNG49" s="375">
        <f t="shared" si="91"/>
        <v>0</v>
      </c>
      <c r="DNH49" s="375">
        <f t="shared" si="91"/>
        <v>0</v>
      </c>
      <c r="DNI49" s="375">
        <f t="shared" si="91"/>
        <v>0</v>
      </c>
      <c r="DNJ49" s="375">
        <f t="shared" si="91"/>
        <v>0</v>
      </c>
      <c r="DNK49" s="375">
        <f t="shared" si="91"/>
        <v>0</v>
      </c>
      <c r="DNL49" s="375">
        <f t="shared" si="91"/>
        <v>0</v>
      </c>
      <c r="DNM49" s="375">
        <f t="shared" si="91"/>
        <v>0</v>
      </c>
      <c r="DNN49" s="375">
        <f t="shared" si="91"/>
        <v>0</v>
      </c>
      <c r="DNO49" s="375">
        <f t="shared" si="91"/>
        <v>0</v>
      </c>
      <c r="DNP49" s="375">
        <f t="shared" si="91"/>
        <v>0</v>
      </c>
      <c r="DNQ49" s="375">
        <f t="shared" si="91"/>
        <v>0</v>
      </c>
      <c r="DNR49" s="375">
        <f t="shared" si="91"/>
        <v>0</v>
      </c>
      <c r="DNS49" s="375">
        <f t="shared" si="91"/>
        <v>0</v>
      </c>
      <c r="DNT49" s="375">
        <f t="shared" si="91"/>
        <v>0</v>
      </c>
      <c r="DNU49" s="375">
        <f t="shared" si="91"/>
        <v>0</v>
      </c>
      <c r="DNV49" s="375">
        <f t="shared" si="91"/>
        <v>0</v>
      </c>
      <c r="DNW49" s="375">
        <f t="shared" si="91"/>
        <v>0</v>
      </c>
      <c r="DNX49" s="375">
        <f t="shared" si="91"/>
        <v>0</v>
      </c>
      <c r="DNY49" s="375">
        <f t="shared" si="91"/>
        <v>0</v>
      </c>
      <c r="DNZ49" s="375">
        <f t="shared" si="91"/>
        <v>0</v>
      </c>
      <c r="DOA49" s="375">
        <f t="shared" si="91"/>
        <v>0</v>
      </c>
      <c r="DOB49" s="375">
        <f t="shared" si="91"/>
        <v>0</v>
      </c>
      <c r="DOC49" s="375">
        <f t="shared" si="91"/>
        <v>0</v>
      </c>
      <c r="DOD49" s="375">
        <f t="shared" si="91"/>
        <v>0</v>
      </c>
      <c r="DOE49" s="375">
        <f t="shared" si="91"/>
        <v>0</v>
      </c>
      <c r="DOF49" s="375">
        <f t="shared" si="91"/>
        <v>0</v>
      </c>
      <c r="DOG49" s="375">
        <f t="shared" si="91"/>
        <v>0</v>
      </c>
      <c r="DOH49" s="375">
        <f t="shared" si="91"/>
        <v>0</v>
      </c>
      <c r="DOI49" s="375">
        <f t="shared" si="91"/>
        <v>0</v>
      </c>
      <c r="DOJ49" s="375">
        <f t="shared" si="91"/>
        <v>0</v>
      </c>
      <c r="DOK49" s="375">
        <f t="shared" si="91"/>
        <v>0</v>
      </c>
      <c r="DOL49" s="375">
        <f t="shared" si="91"/>
        <v>0</v>
      </c>
      <c r="DOM49" s="375">
        <f t="shared" si="91"/>
        <v>0</v>
      </c>
      <c r="DON49" s="375">
        <f t="shared" si="91"/>
        <v>0</v>
      </c>
      <c r="DOO49" s="375">
        <f t="shared" si="91"/>
        <v>0</v>
      </c>
      <c r="DOP49" s="375">
        <f t="shared" si="91"/>
        <v>0</v>
      </c>
      <c r="DOQ49" s="375">
        <f t="shared" si="91"/>
        <v>0</v>
      </c>
      <c r="DOR49" s="375">
        <f t="shared" si="91"/>
        <v>0</v>
      </c>
      <c r="DOS49" s="375">
        <f t="shared" si="91"/>
        <v>0</v>
      </c>
      <c r="DOT49" s="375">
        <f t="shared" si="91"/>
        <v>0</v>
      </c>
      <c r="DOU49" s="375">
        <f t="shared" si="91"/>
        <v>0</v>
      </c>
      <c r="DOV49" s="375">
        <f t="shared" si="91"/>
        <v>0</v>
      </c>
      <c r="DOW49" s="375">
        <f t="shared" si="91"/>
        <v>0</v>
      </c>
      <c r="DOX49" s="375">
        <f t="shared" si="91"/>
        <v>0</v>
      </c>
      <c r="DOY49" s="375">
        <f t="shared" si="91"/>
        <v>0</v>
      </c>
      <c r="DOZ49" s="375">
        <f t="shared" si="91"/>
        <v>0</v>
      </c>
      <c r="DPA49" s="375">
        <f t="shared" si="91"/>
        <v>0</v>
      </c>
      <c r="DPB49" s="375">
        <f t="shared" si="91"/>
        <v>0</v>
      </c>
      <c r="DPC49" s="375">
        <f t="shared" si="91"/>
        <v>0</v>
      </c>
      <c r="DPD49" s="375">
        <f t="shared" si="91"/>
        <v>0</v>
      </c>
      <c r="DPE49" s="375">
        <f t="shared" si="91"/>
        <v>0</v>
      </c>
      <c r="DPF49" s="375">
        <f t="shared" si="91"/>
        <v>0</v>
      </c>
      <c r="DPG49" s="375">
        <f t="shared" si="91"/>
        <v>0</v>
      </c>
      <c r="DPH49" s="375">
        <f t="shared" si="91"/>
        <v>0</v>
      </c>
      <c r="DPI49" s="375">
        <f t="shared" si="91"/>
        <v>0</v>
      </c>
      <c r="DPJ49" s="375">
        <f t="shared" si="91"/>
        <v>0</v>
      </c>
      <c r="DPK49" s="375">
        <f t="shared" si="91"/>
        <v>0</v>
      </c>
      <c r="DPL49" s="375">
        <f t="shared" si="91"/>
        <v>0</v>
      </c>
      <c r="DPM49" s="375">
        <f t="shared" si="91"/>
        <v>0</v>
      </c>
      <c r="DPN49" s="375">
        <f t="shared" si="91"/>
        <v>0</v>
      </c>
      <c r="DPO49" s="375">
        <f t="shared" si="91"/>
        <v>0</v>
      </c>
      <c r="DPP49" s="375">
        <f t="shared" si="91"/>
        <v>0</v>
      </c>
      <c r="DPQ49" s="375">
        <f t="shared" ref="DPQ49:DSB49" si="92">DPQ48*0.8</f>
        <v>0</v>
      </c>
      <c r="DPR49" s="375">
        <f t="shared" si="92"/>
        <v>0</v>
      </c>
      <c r="DPS49" s="375">
        <f t="shared" si="92"/>
        <v>0</v>
      </c>
      <c r="DPT49" s="375">
        <f t="shared" si="92"/>
        <v>0</v>
      </c>
      <c r="DPU49" s="375">
        <f t="shared" si="92"/>
        <v>0</v>
      </c>
      <c r="DPV49" s="375">
        <f t="shared" si="92"/>
        <v>0</v>
      </c>
      <c r="DPW49" s="375">
        <f t="shared" si="92"/>
        <v>0</v>
      </c>
      <c r="DPX49" s="375">
        <f t="shared" si="92"/>
        <v>0</v>
      </c>
      <c r="DPY49" s="375">
        <f t="shared" si="92"/>
        <v>0</v>
      </c>
      <c r="DPZ49" s="375">
        <f t="shared" si="92"/>
        <v>0</v>
      </c>
      <c r="DQA49" s="375">
        <f t="shared" si="92"/>
        <v>0</v>
      </c>
      <c r="DQB49" s="375">
        <f t="shared" si="92"/>
        <v>0</v>
      </c>
      <c r="DQC49" s="375">
        <f t="shared" si="92"/>
        <v>0</v>
      </c>
      <c r="DQD49" s="375">
        <f t="shared" si="92"/>
        <v>0</v>
      </c>
      <c r="DQE49" s="375">
        <f t="shared" si="92"/>
        <v>0</v>
      </c>
      <c r="DQF49" s="375">
        <f t="shared" si="92"/>
        <v>0</v>
      </c>
      <c r="DQG49" s="375">
        <f t="shared" si="92"/>
        <v>0</v>
      </c>
      <c r="DQH49" s="375">
        <f t="shared" si="92"/>
        <v>0</v>
      </c>
      <c r="DQI49" s="375">
        <f t="shared" si="92"/>
        <v>0</v>
      </c>
      <c r="DQJ49" s="375">
        <f t="shared" si="92"/>
        <v>0</v>
      </c>
      <c r="DQK49" s="375">
        <f t="shared" si="92"/>
        <v>0</v>
      </c>
      <c r="DQL49" s="375">
        <f t="shared" si="92"/>
        <v>0</v>
      </c>
      <c r="DQM49" s="375">
        <f t="shared" si="92"/>
        <v>0</v>
      </c>
      <c r="DQN49" s="375">
        <f t="shared" si="92"/>
        <v>0</v>
      </c>
      <c r="DQO49" s="375">
        <f t="shared" si="92"/>
        <v>0</v>
      </c>
      <c r="DQP49" s="375">
        <f t="shared" si="92"/>
        <v>0</v>
      </c>
      <c r="DQQ49" s="375">
        <f t="shared" si="92"/>
        <v>0</v>
      </c>
      <c r="DQR49" s="375">
        <f t="shared" si="92"/>
        <v>0</v>
      </c>
      <c r="DQS49" s="375">
        <f t="shared" si="92"/>
        <v>0</v>
      </c>
      <c r="DQT49" s="375">
        <f t="shared" si="92"/>
        <v>0</v>
      </c>
      <c r="DQU49" s="375">
        <f t="shared" si="92"/>
        <v>0</v>
      </c>
      <c r="DQV49" s="375">
        <f t="shared" si="92"/>
        <v>0</v>
      </c>
      <c r="DQW49" s="375">
        <f t="shared" si="92"/>
        <v>0</v>
      </c>
      <c r="DQX49" s="375">
        <f t="shared" si="92"/>
        <v>0</v>
      </c>
      <c r="DQY49" s="375">
        <f t="shared" si="92"/>
        <v>0</v>
      </c>
      <c r="DQZ49" s="375">
        <f t="shared" si="92"/>
        <v>0</v>
      </c>
      <c r="DRA49" s="375">
        <f t="shared" si="92"/>
        <v>0</v>
      </c>
      <c r="DRB49" s="375">
        <f t="shared" si="92"/>
        <v>0</v>
      </c>
      <c r="DRC49" s="375">
        <f t="shared" si="92"/>
        <v>0</v>
      </c>
      <c r="DRD49" s="375">
        <f t="shared" si="92"/>
        <v>0</v>
      </c>
      <c r="DRE49" s="375">
        <f t="shared" si="92"/>
        <v>0</v>
      </c>
      <c r="DRF49" s="375">
        <f t="shared" si="92"/>
        <v>0</v>
      </c>
      <c r="DRG49" s="375">
        <f t="shared" si="92"/>
        <v>0</v>
      </c>
      <c r="DRH49" s="375">
        <f t="shared" si="92"/>
        <v>0</v>
      </c>
      <c r="DRI49" s="375">
        <f t="shared" si="92"/>
        <v>0</v>
      </c>
      <c r="DRJ49" s="375">
        <f t="shared" si="92"/>
        <v>0</v>
      </c>
      <c r="DRK49" s="375">
        <f t="shared" si="92"/>
        <v>0</v>
      </c>
      <c r="DRL49" s="375">
        <f t="shared" si="92"/>
        <v>0</v>
      </c>
      <c r="DRM49" s="375">
        <f t="shared" si="92"/>
        <v>0</v>
      </c>
      <c r="DRN49" s="375">
        <f t="shared" si="92"/>
        <v>0</v>
      </c>
      <c r="DRO49" s="375">
        <f t="shared" si="92"/>
        <v>0</v>
      </c>
      <c r="DRP49" s="375">
        <f t="shared" si="92"/>
        <v>0</v>
      </c>
      <c r="DRQ49" s="375">
        <f t="shared" si="92"/>
        <v>0</v>
      </c>
      <c r="DRR49" s="375">
        <f t="shared" si="92"/>
        <v>0</v>
      </c>
      <c r="DRS49" s="375">
        <f t="shared" si="92"/>
        <v>0</v>
      </c>
      <c r="DRT49" s="375">
        <f t="shared" si="92"/>
        <v>0</v>
      </c>
      <c r="DRU49" s="375">
        <f t="shared" si="92"/>
        <v>0</v>
      </c>
      <c r="DRV49" s="375">
        <f t="shared" si="92"/>
        <v>0</v>
      </c>
      <c r="DRW49" s="375">
        <f t="shared" si="92"/>
        <v>0</v>
      </c>
      <c r="DRX49" s="375">
        <f t="shared" si="92"/>
        <v>0</v>
      </c>
      <c r="DRY49" s="375">
        <f t="shared" si="92"/>
        <v>0</v>
      </c>
      <c r="DRZ49" s="375">
        <f t="shared" si="92"/>
        <v>0</v>
      </c>
      <c r="DSA49" s="375">
        <f t="shared" si="92"/>
        <v>0</v>
      </c>
      <c r="DSB49" s="375">
        <f t="shared" si="92"/>
        <v>0</v>
      </c>
      <c r="DSC49" s="375">
        <f t="shared" ref="DSC49:DUN49" si="93">DSC48*0.8</f>
        <v>0</v>
      </c>
      <c r="DSD49" s="375">
        <f t="shared" si="93"/>
        <v>0</v>
      </c>
      <c r="DSE49" s="375">
        <f t="shared" si="93"/>
        <v>0</v>
      </c>
      <c r="DSF49" s="375">
        <f t="shared" si="93"/>
        <v>0</v>
      </c>
      <c r="DSG49" s="375">
        <f t="shared" si="93"/>
        <v>0</v>
      </c>
      <c r="DSH49" s="375">
        <f t="shared" si="93"/>
        <v>0</v>
      </c>
      <c r="DSI49" s="375">
        <f t="shared" si="93"/>
        <v>0</v>
      </c>
      <c r="DSJ49" s="375">
        <f t="shared" si="93"/>
        <v>0</v>
      </c>
      <c r="DSK49" s="375">
        <f t="shared" si="93"/>
        <v>0</v>
      </c>
      <c r="DSL49" s="375">
        <f t="shared" si="93"/>
        <v>0</v>
      </c>
      <c r="DSM49" s="375">
        <f t="shared" si="93"/>
        <v>0</v>
      </c>
      <c r="DSN49" s="375">
        <f t="shared" si="93"/>
        <v>0</v>
      </c>
      <c r="DSO49" s="375">
        <f t="shared" si="93"/>
        <v>0</v>
      </c>
      <c r="DSP49" s="375">
        <f t="shared" si="93"/>
        <v>0</v>
      </c>
      <c r="DSQ49" s="375">
        <f t="shared" si="93"/>
        <v>0</v>
      </c>
      <c r="DSR49" s="375">
        <f t="shared" si="93"/>
        <v>0</v>
      </c>
      <c r="DSS49" s="375">
        <f t="shared" si="93"/>
        <v>0</v>
      </c>
      <c r="DST49" s="375">
        <f t="shared" si="93"/>
        <v>0</v>
      </c>
      <c r="DSU49" s="375">
        <f t="shared" si="93"/>
        <v>0</v>
      </c>
      <c r="DSV49" s="375">
        <f t="shared" si="93"/>
        <v>0</v>
      </c>
      <c r="DSW49" s="375">
        <f t="shared" si="93"/>
        <v>0</v>
      </c>
      <c r="DSX49" s="375">
        <f t="shared" si="93"/>
        <v>0</v>
      </c>
      <c r="DSY49" s="375">
        <f t="shared" si="93"/>
        <v>0</v>
      </c>
      <c r="DSZ49" s="375">
        <f t="shared" si="93"/>
        <v>0</v>
      </c>
      <c r="DTA49" s="375">
        <f t="shared" si="93"/>
        <v>0</v>
      </c>
      <c r="DTB49" s="375">
        <f t="shared" si="93"/>
        <v>0</v>
      </c>
      <c r="DTC49" s="375">
        <f t="shared" si="93"/>
        <v>0</v>
      </c>
      <c r="DTD49" s="375">
        <f t="shared" si="93"/>
        <v>0</v>
      </c>
      <c r="DTE49" s="375">
        <f t="shared" si="93"/>
        <v>0</v>
      </c>
      <c r="DTF49" s="375">
        <f t="shared" si="93"/>
        <v>0</v>
      </c>
      <c r="DTG49" s="375">
        <f t="shared" si="93"/>
        <v>0</v>
      </c>
      <c r="DTH49" s="375">
        <f t="shared" si="93"/>
        <v>0</v>
      </c>
      <c r="DTI49" s="375">
        <f t="shared" si="93"/>
        <v>0</v>
      </c>
      <c r="DTJ49" s="375">
        <f t="shared" si="93"/>
        <v>0</v>
      </c>
      <c r="DTK49" s="375">
        <f t="shared" si="93"/>
        <v>0</v>
      </c>
      <c r="DTL49" s="375">
        <f t="shared" si="93"/>
        <v>0</v>
      </c>
      <c r="DTM49" s="375">
        <f t="shared" si="93"/>
        <v>0</v>
      </c>
      <c r="DTN49" s="375">
        <f t="shared" si="93"/>
        <v>0</v>
      </c>
      <c r="DTO49" s="375">
        <f t="shared" si="93"/>
        <v>0</v>
      </c>
      <c r="DTP49" s="375">
        <f t="shared" si="93"/>
        <v>0</v>
      </c>
      <c r="DTQ49" s="375">
        <f t="shared" si="93"/>
        <v>0</v>
      </c>
      <c r="DTR49" s="375">
        <f t="shared" si="93"/>
        <v>0</v>
      </c>
      <c r="DTS49" s="375">
        <f t="shared" si="93"/>
        <v>0</v>
      </c>
      <c r="DTT49" s="375">
        <f t="shared" si="93"/>
        <v>0</v>
      </c>
      <c r="DTU49" s="375">
        <f t="shared" si="93"/>
        <v>0</v>
      </c>
      <c r="DTV49" s="375">
        <f t="shared" si="93"/>
        <v>0</v>
      </c>
      <c r="DTW49" s="375">
        <f t="shared" si="93"/>
        <v>0</v>
      </c>
      <c r="DTX49" s="375">
        <f t="shared" si="93"/>
        <v>0</v>
      </c>
      <c r="DTY49" s="375">
        <f t="shared" si="93"/>
        <v>0</v>
      </c>
      <c r="DTZ49" s="375">
        <f t="shared" si="93"/>
        <v>0</v>
      </c>
      <c r="DUA49" s="375">
        <f t="shared" si="93"/>
        <v>0</v>
      </c>
      <c r="DUB49" s="375">
        <f t="shared" si="93"/>
        <v>0</v>
      </c>
      <c r="DUC49" s="375">
        <f t="shared" si="93"/>
        <v>0</v>
      </c>
      <c r="DUD49" s="375">
        <f t="shared" si="93"/>
        <v>0</v>
      </c>
      <c r="DUE49" s="375">
        <f t="shared" si="93"/>
        <v>0</v>
      </c>
      <c r="DUF49" s="375">
        <f t="shared" si="93"/>
        <v>0</v>
      </c>
      <c r="DUG49" s="375">
        <f t="shared" si="93"/>
        <v>0</v>
      </c>
      <c r="DUH49" s="375">
        <f t="shared" si="93"/>
        <v>0</v>
      </c>
      <c r="DUI49" s="375">
        <f t="shared" si="93"/>
        <v>0</v>
      </c>
      <c r="DUJ49" s="375">
        <f t="shared" si="93"/>
        <v>0</v>
      </c>
      <c r="DUK49" s="375">
        <f t="shared" si="93"/>
        <v>0</v>
      </c>
      <c r="DUL49" s="375">
        <f t="shared" si="93"/>
        <v>0</v>
      </c>
      <c r="DUM49" s="375">
        <f t="shared" si="93"/>
        <v>0</v>
      </c>
      <c r="DUN49" s="375">
        <f t="shared" si="93"/>
        <v>0</v>
      </c>
      <c r="DUO49" s="375">
        <f t="shared" ref="DUO49:DWZ49" si="94">DUO48*0.8</f>
        <v>0</v>
      </c>
      <c r="DUP49" s="375">
        <f t="shared" si="94"/>
        <v>0</v>
      </c>
      <c r="DUQ49" s="375">
        <f t="shared" si="94"/>
        <v>0</v>
      </c>
      <c r="DUR49" s="375">
        <f t="shared" si="94"/>
        <v>0</v>
      </c>
      <c r="DUS49" s="375">
        <f t="shared" si="94"/>
        <v>0</v>
      </c>
      <c r="DUT49" s="375">
        <f t="shared" si="94"/>
        <v>0</v>
      </c>
      <c r="DUU49" s="375">
        <f t="shared" si="94"/>
        <v>0</v>
      </c>
      <c r="DUV49" s="375">
        <f t="shared" si="94"/>
        <v>0</v>
      </c>
      <c r="DUW49" s="375">
        <f t="shared" si="94"/>
        <v>0</v>
      </c>
      <c r="DUX49" s="375">
        <f t="shared" si="94"/>
        <v>0</v>
      </c>
      <c r="DUY49" s="375">
        <f t="shared" si="94"/>
        <v>0</v>
      </c>
      <c r="DUZ49" s="375">
        <f t="shared" si="94"/>
        <v>0</v>
      </c>
      <c r="DVA49" s="375">
        <f t="shared" si="94"/>
        <v>0</v>
      </c>
      <c r="DVB49" s="375">
        <f t="shared" si="94"/>
        <v>0</v>
      </c>
      <c r="DVC49" s="375">
        <f t="shared" si="94"/>
        <v>0</v>
      </c>
      <c r="DVD49" s="375">
        <f t="shared" si="94"/>
        <v>0</v>
      </c>
      <c r="DVE49" s="375">
        <f t="shared" si="94"/>
        <v>0</v>
      </c>
      <c r="DVF49" s="375">
        <f t="shared" si="94"/>
        <v>0</v>
      </c>
      <c r="DVG49" s="375">
        <f t="shared" si="94"/>
        <v>0</v>
      </c>
      <c r="DVH49" s="375">
        <f t="shared" si="94"/>
        <v>0</v>
      </c>
      <c r="DVI49" s="375">
        <f t="shared" si="94"/>
        <v>0</v>
      </c>
      <c r="DVJ49" s="375">
        <f t="shared" si="94"/>
        <v>0</v>
      </c>
      <c r="DVK49" s="375">
        <f t="shared" si="94"/>
        <v>0</v>
      </c>
      <c r="DVL49" s="375">
        <f t="shared" si="94"/>
        <v>0</v>
      </c>
      <c r="DVM49" s="375">
        <f t="shared" si="94"/>
        <v>0</v>
      </c>
      <c r="DVN49" s="375">
        <f t="shared" si="94"/>
        <v>0</v>
      </c>
      <c r="DVO49" s="375">
        <f t="shared" si="94"/>
        <v>0</v>
      </c>
      <c r="DVP49" s="375">
        <f t="shared" si="94"/>
        <v>0</v>
      </c>
      <c r="DVQ49" s="375">
        <f t="shared" si="94"/>
        <v>0</v>
      </c>
      <c r="DVR49" s="375">
        <f t="shared" si="94"/>
        <v>0</v>
      </c>
      <c r="DVS49" s="375">
        <f t="shared" si="94"/>
        <v>0</v>
      </c>
      <c r="DVT49" s="375">
        <f t="shared" si="94"/>
        <v>0</v>
      </c>
      <c r="DVU49" s="375">
        <f t="shared" si="94"/>
        <v>0</v>
      </c>
      <c r="DVV49" s="375">
        <f t="shared" si="94"/>
        <v>0</v>
      </c>
      <c r="DVW49" s="375">
        <f t="shared" si="94"/>
        <v>0</v>
      </c>
      <c r="DVX49" s="375">
        <f t="shared" si="94"/>
        <v>0</v>
      </c>
      <c r="DVY49" s="375">
        <f t="shared" si="94"/>
        <v>0</v>
      </c>
      <c r="DVZ49" s="375">
        <f t="shared" si="94"/>
        <v>0</v>
      </c>
      <c r="DWA49" s="375">
        <f t="shared" si="94"/>
        <v>0</v>
      </c>
      <c r="DWB49" s="375">
        <f t="shared" si="94"/>
        <v>0</v>
      </c>
      <c r="DWC49" s="375">
        <f t="shared" si="94"/>
        <v>0</v>
      </c>
      <c r="DWD49" s="375">
        <f t="shared" si="94"/>
        <v>0</v>
      </c>
      <c r="DWE49" s="375">
        <f t="shared" si="94"/>
        <v>0</v>
      </c>
      <c r="DWF49" s="375">
        <f t="shared" si="94"/>
        <v>0</v>
      </c>
      <c r="DWG49" s="375">
        <f t="shared" si="94"/>
        <v>0</v>
      </c>
      <c r="DWH49" s="375">
        <f t="shared" si="94"/>
        <v>0</v>
      </c>
      <c r="DWI49" s="375">
        <f t="shared" si="94"/>
        <v>0</v>
      </c>
      <c r="DWJ49" s="375">
        <f t="shared" si="94"/>
        <v>0</v>
      </c>
      <c r="DWK49" s="375">
        <f t="shared" si="94"/>
        <v>0</v>
      </c>
      <c r="DWL49" s="375">
        <f t="shared" si="94"/>
        <v>0</v>
      </c>
      <c r="DWM49" s="375">
        <f t="shared" si="94"/>
        <v>0</v>
      </c>
      <c r="DWN49" s="375">
        <f t="shared" si="94"/>
        <v>0</v>
      </c>
      <c r="DWO49" s="375">
        <f t="shared" si="94"/>
        <v>0</v>
      </c>
      <c r="DWP49" s="375">
        <f t="shared" si="94"/>
        <v>0</v>
      </c>
      <c r="DWQ49" s="375">
        <f t="shared" si="94"/>
        <v>0</v>
      </c>
      <c r="DWR49" s="375">
        <f t="shared" si="94"/>
        <v>0</v>
      </c>
      <c r="DWS49" s="375">
        <f t="shared" si="94"/>
        <v>0</v>
      </c>
      <c r="DWT49" s="375">
        <f t="shared" si="94"/>
        <v>0</v>
      </c>
      <c r="DWU49" s="375">
        <f t="shared" si="94"/>
        <v>0</v>
      </c>
      <c r="DWV49" s="375">
        <f t="shared" si="94"/>
        <v>0</v>
      </c>
      <c r="DWW49" s="375">
        <f t="shared" si="94"/>
        <v>0</v>
      </c>
      <c r="DWX49" s="375">
        <f t="shared" si="94"/>
        <v>0</v>
      </c>
      <c r="DWY49" s="375">
        <f t="shared" si="94"/>
        <v>0</v>
      </c>
      <c r="DWZ49" s="375">
        <f t="shared" si="94"/>
        <v>0</v>
      </c>
      <c r="DXA49" s="375">
        <f t="shared" ref="DXA49:DZL49" si="95">DXA48*0.8</f>
        <v>0</v>
      </c>
      <c r="DXB49" s="375">
        <f t="shared" si="95"/>
        <v>0</v>
      </c>
      <c r="DXC49" s="375">
        <f t="shared" si="95"/>
        <v>0</v>
      </c>
      <c r="DXD49" s="375">
        <f t="shared" si="95"/>
        <v>0</v>
      </c>
      <c r="DXE49" s="375">
        <f t="shared" si="95"/>
        <v>0</v>
      </c>
      <c r="DXF49" s="375">
        <f t="shared" si="95"/>
        <v>0</v>
      </c>
      <c r="DXG49" s="375">
        <f t="shared" si="95"/>
        <v>0</v>
      </c>
      <c r="DXH49" s="375">
        <f t="shared" si="95"/>
        <v>0</v>
      </c>
      <c r="DXI49" s="375">
        <f t="shared" si="95"/>
        <v>0</v>
      </c>
      <c r="DXJ49" s="375">
        <f t="shared" si="95"/>
        <v>0</v>
      </c>
      <c r="DXK49" s="375">
        <f t="shared" si="95"/>
        <v>0</v>
      </c>
      <c r="DXL49" s="375">
        <f t="shared" si="95"/>
        <v>0</v>
      </c>
      <c r="DXM49" s="375">
        <f t="shared" si="95"/>
        <v>0</v>
      </c>
      <c r="DXN49" s="375">
        <f t="shared" si="95"/>
        <v>0</v>
      </c>
      <c r="DXO49" s="375">
        <f t="shared" si="95"/>
        <v>0</v>
      </c>
      <c r="DXP49" s="375">
        <f t="shared" si="95"/>
        <v>0</v>
      </c>
      <c r="DXQ49" s="375">
        <f t="shared" si="95"/>
        <v>0</v>
      </c>
      <c r="DXR49" s="375">
        <f t="shared" si="95"/>
        <v>0</v>
      </c>
      <c r="DXS49" s="375">
        <f t="shared" si="95"/>
        <v>0</v>
      </c>
      <c r="DXT49" s="375">
        <f t="shared" si="95"/>
        <v>0</v>
      </c>
      <c r="DXU49" s="375">
        <f t="shared" si="95"/>
        <v>0</v>
      </c>
      <c r="DXV49" s="375">
        <f t="shared" si="95"/>
        <v>0</v>
      </c>
      <c r="DXW49" s="375">
        <f t="shared" si="95"/>
        <v>0</v>
      </c>
      <c r="DXX49" s="375">
        <f t="shared" si="95"/>
        <v>0</v>
      </c>
      <c r="DXY49" s="375">
        <f t="shared" si="95"/>
        <v>0</v>
      </c>
      <c r="DXZ49" s="375">
        <f t="shared" si="95"/>
        <v>0</v>
      </c>
      <c r="DYA49" s="375">
        <f t="shared" si="95"/>
        <v>0</v>
      </c>
      <c r="DYB49" s="375">
        <f t="shared" si="95"/>
        <v>0</v>
      </c>
      <c r="DYC49" s="375">
        <f t="shared" si="95"/>
        <v>0</v>
      </c>
      <c r="DYD49" s="375">
        <f t="shared" si="95"/>
        <v>0</v>
      </c>
      <c r="DYE49" s="375">
        <f t="shared" si="95"/>
        <v>0</v>
      </c>
      <c r="DYF49" s="375">
        <f t="shared" si="95"/>
        <v>0</v>
      </c>
      <c r="DYG49" s="375">
        <f t="shared" si="95"/>
        <v>0</v>
      </c>
      <c r="DYH49" s="375">
        <f t="shared" si="95"/>
        <v>0</v>
      </c>
      <c r="DYI49" s="375">
        <f t="shared" si="95"/>
        <v>0</v>
      </c>
      <c r="DYJ49" s="375">
        <f t="shared" si="95"/>
        <v>0</v>
      </c>
      <c r="DYK49" s="375">
        <f t="shared" si="95"/>
        <v>0</v>
      </c>
      <c r="DYL49" s="375">
        <f t="shared" si="95"/>
        <v>0</v>
      </c>
      <c r="DYM49" s="375">
        <f t="shared" si="95"/>
        <v>0</v>
      </c>
      <c r="DYN49" s="375">
        <f t="shared" si="95"/>
        <v>0</v>
      </c>
      <c r="DYO49" s="375">
        <f t="shared" si="95"/>
        <v>0</v>
      </c>
      <c r="DYP49" s="375">
        <f t="shared" si="95"/>
        <v>0</v>
      </c>
      <c r="DYQ49" s="375">
        <f t="shared" si="95"/>
        <v>0</v>
      </c>
      <c r="DYR49" s="375">
        <f t="shared" si="95"/>
        <v>0</v>
      </c>
      <c r="DYS49" s="375">
        <f t="shared" si="95"/>
        <v>0</v>
      </c>
      <c r="DYT49" s="375">
        <f t="shared" si="95"/>
        <v>0</v>
      </c>
      <c r="DYU49" s="375">
        <f t="shared" si="95"/>
        <v>0</v>
      </c>
      <c r="DYV49" s="375">
        <f t="shared" si="95"/>
        <v>0</v>
      </c>
      <c r="DYW49" s="375">
        <f t="shared" si="95"/>
        <v>0</v>
      </c>
      <c r="DYX49" s="375">
        <f t="shared" si="95"/>
        <v>0</v>
      </c>
      <c r="DYY49" s="375">
        <f t="shared" si="95"/>
        <v>0</v>
      </c>
      <c r="DYZ49" s="375">
        <f t="shared" si="95"/>
        <v>0</v>
      </c>
      <c r="DZA49" s="375">
        <f t="shared" si="95"/>
        <v>0</v>
      </c>
      <c r="DZB49" s="375">
        <f t="shared" si="95"/>
        <v>0</v>
      </c>
      <c r="DZC49" s="375">
        <f t="shared" si="95"/>
        <v>0</v>
      </c>
      <c r="DZD49" s="375">
        <f t="shared" si="95"/>
        <v>0</v>
      </c>
      <c r="DZE49" s="375">
        <f t="shared" si="95"/>
        <v>0</v>
      </c>
      <c r="DZF49" s="375">
        <f t="shared" si="95"/>
        <v>0</v>
      </c>
      <c r="DZG49" s="375">
        <f t="shared" si="95"/>
        <v>0</v>
      </c>
      <c r="DZH49" s="375">
        <f t="shared" si="95"/>
        <v>0</v>
      </c>
      <c r="DZI49" s="375">
        <f t="shared" si="95"/>
        <v>0</v>
      </c>
      <c r="DZJ49" s="375">
        <f t="shared" si="95"/>
        <v>0</v>
      </c>
      <c r="DZK49" s="375">
        <f t="shared" si="95"/>
        <v>0</v>
      </c>
      <c r="DZL49" s="375">
        <f t="shared" si="95"/>
        <v>0</v>
      </c>
      <c r="DZM49" s="375">
        <f t="shared" ref="DZM49:EBX49" si="96">DZM48*0.8</f>
        <v>0</v>
      </c>
      <c r="DZN49" s="375">
        <f t="shared" si="96"/>
        <v>0</v>
      </c>
      <c r="DZO49" s="375">
        <f t="shared" si="96"/>
        <v>0</v>
      </c>
      <c r="DZP49" s="375">
        <f t="shared" si="96"/>
        <v>0</v>
      </c>
      <c r="DZQ49" s="375">
        <f t="shared" si="96"/>
        <v>0</v>
      </c>
      <c r="DZR49" s="375">
        <f t="shared" si="96"/>
        <v>0</v>
      </c>
      <c r="DZS49" s="375">
        <f t="shared" si="96"/>
        <v>0</v>
      </c>
      <c r="DZT49" s="375">
        <f t="shared" si="96"/>
        <v>0</v>
      </c>
      <c r="DZU49" s="375">
        <f t="shared" si="96"/>
        <v>0</v>
      </c>
      <c r="DZV49" s="375">
        <f t="shared" si="96"/>
        <v>0</v>
      </c>
      <c r="DZW49" s="375">
        <f t="shared" si="96"/>
        <v>0</v>
      </c>
      <c r="DZX49" s="375">
        <f t="shared" si="96"/>
        <v>0</v>
      </c>
      <c r="DZY49" s="375">
        <f t="shared" si="96"/>
        <v>0</v>
      </c>
      <c r="DZZ49" s="375">
        <f t="shared" si="96"/>
        <v>0</v>
      </c>
      <c r="EAA49" s="375">
        <f t="shared" si="96"/>
        <v>0</v>
      </c>
      <c r="EAB49" s="375">
        <f t="shared" si="96"/>
        <v>0</v>
      </c>
      <c r="EAC49" s="375">
        <f t="shared" si="96"/>
        <v>0</v>
      </c>
      <c r="EAD49" s="375">
        <f t="shared" si="96"/>
        <v>0</v>
      </c>
      <c r="EAE49" s="375">
        <f t="shared" si="96"/>
        <v>0</v>
      </c>
      <c r="EAF49" s="375">
        <f t="shared" si="96"/>
        <v>0</v>
      </c>
      <c r="EAG49" s="375">
        <f t="shared" si="96"/>
        <v>0</v>
      </c>
      <c r="EAH49" s="375">
        <f t="shared" si="96"/>
        <v>0</v>
      </c>
      <c r="EAI49" s="375">
        <f t="shared" si="96"/>
        <v>0</v>
      </c>
      <c r="EAJ49" s="375">
        <f t="shared" si="96"/>
        <v>0</v>
      </c>
      <c r="EAK49" s="375">
        <f t="shared" si="96"/>
        <v>0</v>
      </c>
      <c r="EAL49" s="375">
        <f t="shared" si="96"/>
        <v>0</v>
      </c>
      <c r="EAM49" s="375">
        <f t="shared" si="96"/>
        <v>0</v>
      </c>
      <c r="EAN49" s="375">
        <f t="shared" si="96"/>
        <v>0</v>
      </c>
      <c r="EAO49" s="375">
        <f t="shared" si="96"/>
        <v>0</v>
      </c>
      <c r="EAP49" s="375">
        <f t="shared" si="96"/>
        <v>0</v>
      </c>
      <c r="EAQ49" s="375">
        <f t="shared" si="96"/>
        <v>0</v>
      </c>
      <c r="EAR49" s="375">
        <f t="shared" si="96"/>
        <v>0</v>
      </c>
      <c r="EAS49" s="375">
        <f t="shared" si="96"/>
        <v>0</v>
      </c>
      <c r="EAT49" s="375">
        <f t="shared" si="96"/>
        <v>0</v>
      </c>
      <c r="EAU49" s="375">
        <f t="shared" si="96"/>
        <v>0</v>
      </c>
      <c r="EAV49" s="375">
        <f t="shared" si="96"/>
        <v>0</v>
      </c>
      <c r="EAW49" s="375">
        <f t="shared" si="96"/>
        <v>0</v>
      </c>
      <c r="EAX49" s="375">
        <f t="shared" si="96"/>
        <v>0</v>
      </c>
      <c r="EAY49" s="375">
        <f t="shared" si="96"/>
        <v>0</v>
      </c>
      <c r="EAZ49" s="375">
        <f t="shared" si="96"/>
        <v>0</v>
      </c>
      <c r="EBA49" s="375">
        <f t="shared" si="96"/>
        <v>0</v>
      </c>
      <c r="EBB49" s="375">
        <f t="shared" si="96"/>
        <v>0</v>
      </c>
      <c r="EBC49" s="375">
        <f t="shared" si="96"/>
        <v>0</v>
      </c>
      <c r="EBD49" s="375">
        <f t="shared" si="96"/>
        <v>0</v>
      </c>
      <c r="EBE49" s="375">
        <f t="shared" si="96"/>
        <v>0</v>
      </c>
      <c r="EBF49" s="375">
        <f t="shared" si="96"/>
        <v>0</v>
      </c>
      <c r="EBG49" s="375">
        <f t="shared" si="96"/>
        <v>0</v>
      </c>
      <c r="EBH49" s="375">
        <f t="shared" si="96"/>
        <v>0</v>
      </c>
      <c r="EBI49" s="375">
        <f t="shared" si="96"/>
        <v>0</v>
      </c>
      <c r="EBJ49" s="375">
        <f t="shared" si="96"/>
        <v>0</v>
      </c>
      <c r="EBK49" s="375">
        <f t="shared" si="96"/>
        <v>0</v>
      </c>
      <c r="EBL49" s="375">
        <f t="shared" si="96"/>
        <v>0</v>
      </c>
      <c r="EBM49" s="375">
        <f t="shared" si="96"/>
        <v>0</v>
      </c>
      <c r="EBN49" s="375">
        <f t="shared" si="96"/>
        <v>0</v>
      </c>
      <c r="EBO49" s="375">
        <f t="shared" si="96"/>
        <v>0</v>
      </c>
      <c r="EBP49" s="375">
        <f t="shared" si="96"/>
        <v>0</v>
      </c>
      <c r="EBQ49" s="375">
        <f t="shared" si="96"/>
        <v>0</v>
      </c>
      <c r="EBR49" s="375">
        <f t="shared" si="96"/>
        <v>0</v>
      </c>
      <c r="EBS49" s="375">
        <f t="shared" si="96"/>
        <v>0</v>
      </c>
      <c r="EBT49" s="375">
        <f t="shared" si="96"/>
        <v>0</v>
      </c>
      <c r="EBU49" s="375">
        <f t="shared" si="96"/>
        <v>0</v>
      </c>
      <c r="EBV49" s="375">
        <f t="shared" si="96"/>
        <v>0</v>
      </c>
      <c r="EBW49" s="375">
        <f t="shared" si="96"/>
        <v>0</v>
      </c>
      <c r="EBX49" s="375">
        <f t="shared" si="96"/>
        <v>0</v>
      </c>
      <c r="EBY49" s="375">
        <f t="shared" ref="EBY49:EEJ49" si="97">EBY48*0.8</f>
        <v>0</v>
      </c>
      <c r="EBZ49" s="375">
        <f t="shared" si="97"/>
        <v>0</v>
      </c>
      <c r="ECA49" s="375">
        <f t="shared" si="97"/>
        <v>0</v>
      </c>
      <c r="ECB49" s="375">
        <f t="shared" si="97"/>
        <v>0</v>
      </c>
      <c r="ECC49" s="375">
        <f t="shared" si="97"/>
        <v>0</v>
      </c>
      <c r="ECD49" s="375">
        <f t="shared" si="97"/>
        <v>0</v>
      </c>
      <c r="ECE49" s="375">
        <f t="shared" si="97"/>
        <v>0</v>
      </c>
      <c r="ECF49" s="375">
        <f t="shared" si="97"/>
        <v>0</v>
      </c>
      <c r="ECG49" s="375">
        <f t="shared" si="97"/>
        <v>0</v>
      </c>
      <c r="ECH49" s="375">
        <f t="shared" si="97"/>
        <v>0</v>
      </c>
      <c r="ECI49" s="375">
        <f t="shared" si="97"/>
        <v>0</v>
      </c>
      <c r="ECJ49" s="375">
        <f t="shared" si="97"/>
        <v>0</v>
      </c>
      <c r="ECK49" s="375">
        <f t="shared" si="97"/>
        <v>0</v>
      </c>
      <c r="ECL49" s="375">
        <f t="shared" si="97"/>
        <v>0</v>
      </c>
      <c r="ECM49" s="375">
        <f t="shared" si="97"/>
        <v>0</v>
      </c>
      <c r="ECN49" s="375">
        <f t="shared" si="97"/>
        <v>0</v>
      </c>
      <c r="ECO49" s="375">
        <f t="shared" si="97"/>
        <v>0</v>
      </c>
      <c r="ECP49" s="375">
        <f t="shared" si="97"/>
        <v>0</v>
      </c>
      <c r="ECQ49" s="375">
        <f t="shared" si="97"/>
        <v>0</v>
      </c>
      <c r="ECR49" s="375">
        <f t="shared" si="97"/>
        <v>0</v>
      </c>
      <c r="ECS49" s="375">
        <f t="shared" si="97"/>
        <v>0</v>
      </c>
      <c r="ECT49" s="375">
        <f t="shared" si="97"/>
        <v>0</v>
      </c>
      <c r="ECU49" s="375">
        <f t="shared" si="97"/>
        <v>0</v>
      </c>
      <c r="ECV49" s="375">
        <f t="shared" si="97"/>
        <v>0</v>
      </c>
      <c r="ECW49" s="375">
        <f t="shared" si="97"/>
        <v>0</v>
      </c>
      <c r="ECX49" s="375">
        <f t="shared" si="97"/>
        <v>0</v>
      </c>
      <c r="ECY49" s="375">
        <f t="shared" si="97"/>
        <v>0</v>
      </c>
      <c r="ECZ49" s="375">
        <f t="shared" si="97"/>
        <v>0</v>
      </c>
      <c r="EDA49" s="375">
        <f t="shared" si="97"/>
        <v>0</v>
      </c>
      <c r="EDB49" s="375">
        <f t="shared" si="97"/>
        <v>0</v>
      </c>
      <c r="EDC49" s="375">
        <f t="shared" si="97"/>
        <v>0</v>
      </c>
      <c r="EDD49" s="375">
        <f t="shared" si="97"/>
        <v>0</v>
      </c>
      <c r="EDE49" s="375">
        <f t="shared" si="97"/>
        <v>0</v>
      </c>
      <c r="EDF49" s="375">
        <f t="shared" si="97"/>
        <v>0</v>
      </c>
      <c r="EDG49" s="375">
        <f t="shared" si="97"/>
        <v>0</v>
      </c>
      <c r="EDH49" s="375">
        <f t="shared" si="97"/>
        <v>0</v>
      </c>
      <c r="EDI49" s="375">
        <f t="shared" si="97"/>
        <v>0</v>
      </c>
      <c r="EDJ49" s="375">
        <f t="shared" si="97"/>
        <v>0</v>
      </c>
      <c r="EDK49" s="375">
        <f t="shared" si="97"/>
        <v>0</v>
      </c>
      <c r="EDL49" s="375">
        <f t="shared" si="97"/>
        <v>0</v>
      </c>
      <c r="EDM49" s="375">
        <f t="shared" si="97"/>
        <v>0</v>
      </c>
      <c r="EDN49" s="375">
        <f t="shared" si="97"/>
        <v>0</v>
      </c>
      <c r="EDO49" s="375">
        <f t="shared" si="97"/>
        <v>0</v>
      </c>
      <c r="EDP49" s="375">
        <f t="shared" si="97"/>
        <v>0</v>
      </c>
      <c r="EDQ49" s="375">
        <f t="shared" si="97"/>
        <v>0</v>
      </c>
      <c r="EDR49" s="375">
        <f t="shared" si="97"/>
        <v>0</v>
      </c>
      <c r="EDS49" s="375">
        <f t="shared" si="97"/>
        <v>0</v>
      </c>
      <c r="EDT49" s="375">
        <f t="shared" si="97"/>
        <v>0</v>
      </c>
      <c r="EDU49" s="375">
        <f t="shared" si="97"/>
        <v>0</v>
      </c>
      <c r="EDV49" s="375">
        <f t="shared" si="97"/>
        <v>0</v>
      </c>
      <c r="EDW49" s="375">
        <f t="shared" si="97"/>
        <v>0</v>
      </c>
      <c r="EDX49" s="375">
        <f t="shared" si="97"/>
        <v>0</v>
      </c>
      <c r="EDY49" s="375">
        <f t="shared" si="97"/>
        <v>0</v>
      </c>
      <c r="EDZ49" s="375">
        <f t="shared" si="97"/>
        <v>0</v>
      </c>
      <c r="EEA49" s="375">
        <f t="shared" si="97"/>
        <v>0</v>
      </c>
      <c r="EEB49" s="375">
        <f t="shared" si="97"/>
        <v>0</v>
      </c>
      <c r="EEC49" s="375">
        <f t="shared" si="97"/>
        <v>0</v>
      </c>
      <c r="EED49" s="375">
        <f t="shared" si="97"/>
        <v>0</v>
      </c>
      <c r="EEE49" s="375">
        <f t="shared" si="97"/>
        <v>0</v>
      </c>
      <c r="EEF49" s="375">
        <f t="shared" si="97"/>
        <v>0</v>
      </c>
      <c r="EEG49" s="375">
        <f t="shared" si="97"/>
        <v>0</v>
      </c>
      <c r="EEH49" s="375">
        <f t="shared" si="97"/>
        <v>0</v>
      </c>
      <c r="EEI49" s="375">
        <f t="shared" si="97"/>
        <v>0</v>
      </c>
      <c r="EEJ49" s="375">
        <f t="shared" si="97"/>
        <v>0</v>
      </c>
      <c r="EEK49" s="375">
        <f t="shared" ref="EEK49:EGV49" si="98">EEK48*0.8</f>
        <v>0</v>
      </c>
      <c r="EEL49" s="375">
        <f t="shared" si="98"/>
        <v>0</v>
      </c>
      <c r="EEM49" s="375">
        <f t="shared" si="98"/>
        <v>0</v>
      </c>
      <c r="EEN49" s="375">
        <f t="shared" si="98"/>
        <v>0</v>
      </c>
      <c r="EEO49" s="375">
        <f t="shared" si="98"/>
        <v>0</v>
      </c>
      <c r="EEP49" s="375">
        <f t="shared" si="98"/>
        <v>0</v>
      </c>
      <c r="EEQ49" s="375">
        <f t="shared" si="98"/>
        <v>0</v>
      </c>
      <c r="EER49" s="375">
        <f t="shared" si="98"/>
        <v>0</v>
      </c>
      <c r="EES49" s="375">
        <f t="shared" si="98"/>
        <v>0</v>
      </c>
      <c r="EET49" s="375">
        <f t="shared" si="98"/>
        <v>0</v>
      </c>
      <c r="EEU49" s="375">
        <f t="shared" si="98"/>
        <v>0</v>
      </c>
      <c r="EEV49" s="375">
        <f t="shared" si="98"/>
        <v>0</v>
      </c>
      <c r="EEW49" s="375">
        <f t="shared" si="98"/>
        <v>0</v>
      </c>
      <c r="EEX49" s="375">
        <f t="shared" si="98"/>
        <v>0</v>
      </c>
      <c r="EEY49" s="375">
        <f t="shared" si="98"/>
        <v>0</v>
      </c>
      <c r="EEZ49" s="375">
        <f t="shared" si="98"/>
        <v>0</v>
      </c>
      <c r="EFA49" s="375">
        <f t="shared" si="98"/>
        <v>0</v>
      </c>
      <c r="EFB49" s="375">
        <f t="shared" si="98"/>
        <v>0</v>
      </c>
      <c r="EFC49" s="375">
        <f t="shared" si="98"/>
        <v>0</v>
      </c>
      <c r="EFD49" s="375">
        <f t="shared" si="98"/>
        <v>0</v>
      </c>
      <c r="EFE49" s="375">
        <f t="shared" si="98"/>
        <v>0</v>
      </c>
      <c r="EFF49" s="375">
        <f t="shared" si="98"/>
        <v>0</v>
      </c>
      <c r="EFG49" s="375">
        <f t="shared" si="98"/>
        <v>0</v>
      </c>
      <c r="EFH49" s="375">
        <f t="shared" si="98"/>
        <v>0</v>
      </c>
      <c r="EFI49" s="375">
        <f t="shared" si="98"/>
        <v>0</v>
      </c>
      <c r="EFJ49" s="375">
        <f t="shared" si="98"/>
        <v>0</v>
      </c>
      <c r="EFK49" s="375">
        <f t="shared" si="98"/>
        <v>0</v>
      </c>
      <c r="EFL49" s="375">
        <f t="shared" si="98"/>
        <v>0</v>
      </c>
      <c r="EFM49" s="375">
        <f t="shared" si="98"/>
        <v>0</v>
      </c>
      <c r="EFN49" s="375">
        <f t="shared" si="98"/>
        <v>0</v>
      </c>
      <c r="EFO49" s="375">
        <f t="shared" si="98"/>
        <v>0</v>
      </c>
      <c r="EFP49" s="375">
        <f t="shared" si="98"/>
        <v>0</v>
      </c>
      <c r="EFQ49" s="375">
        <f t="shared" si="98"/>
        <v>0</v>
      </c>
      <c r="EFR49" s="375">
        <f t="shared" si="98"/>
        <v>0</v>
      </c>
      <c r="EFS49" s="375">
        <f t="shared" si="98"/>
        <v>0</v>
      </c>
      <c r="EFT49" s="375">
        <f t="shared" si="98"/>
        <v>0</v>
      </c>
      <c r="EFU49" s="375">
        <f t="shared" si="98"/>
        <v>0</v>
      </c>
      <c r="EFV49" s="375">
        <f t="shared" si="98"/>
        <v>0</v>
      </c>
      <c r="EFW49" s="375">
        <f t="shared" si="98"/>
        <v>0</v>
      </c>
      <c r="EFX49" s="375">
        <f t="shared" si="98"/>
        <v>0</v>
      </c>
      <c r="EFY49" s="375">
        <f t="shared" si="98"/>
        <v>0</v>
      </c>
      <c r="EFZ49" s="375">
        <f t="shared" si="98"/>
        <v>0</v>
      </c>
      <c r="EGA49" s="375">
        <f t="shared" si="98"/>
        <v>0</v>
      </c>
      <c r="EGB49" s="375">
        <f t="shared" si="98"/>
        <v>0</v>
      </c>
      <c r="EGC49" s="375">
        <f t="shared" si="98"/>
        <v>0</v>
      </c>
      <c r="EGD49" s="375">
        <f t="shared" si="98"/>
        <v>0</v>
      </c>
      <c r="EGE49" s="375">
        <f t="shared" si="98"/>
        <v>0</v>
      </c>
      <c r="EGF49" s="375">
        <f t="shared" si="98"/>
        <v>0</v>
      </c>
      <c r="EGG49" s="375">
        <f t="shared" si="98"/>
        <v>0</v>
      </c>
      <c r="EGH49" s="375">
        <f t="shared" si="98"/>
        <v>0</v>
      </c>
      <c r="EGI49" s="375">
        <f t="shared" si="98"/>
        <v>0</v>
      </c>
      <c r="EGJ49" s="375">
        <f t="shared" si="98"/>
        <v>0</v>
      </c>
      <c r="EGK49" s="375">
        <f t="shared" si="98"/>
        <v>0</v>
      </c>
      <c r="EGL49" s="375">
        <f t="shared" si="98"/>
        <v>0</v>
      </c>
      <c r="EGM49" s="375">
        <f t="shared" si="98"/>
        <v>0</v>
      </c>
      <c r="EGN49" s="375">
        <f t="shared" si="98"/>
        <v>0</v>
      </c>
      <c r="EGO49" s="375">
        <f t="shared" si="98"/>
        <v>0</v>
      </c>
      <c r="EGP49" s="375">
        <f t="shared" si="98"/>
        <v>0</v>
      </c>
      <c r="EGQ49" s="375">
        <f t="shared" si="98"/>
        <v>0</v>
      </c>
      <c r="EGR49" s="375">
        <f t="shared" si="98"/>
        <v>0</v>
      </c>
      <c r="EGS49" s="375">
        <f t="shared" si="98"/>
        <v>0</v>
      </c>
      <c r="EGT49" s="375">
        <f t="shared" si="98"/>
        <v>0</v>
      </c>
      <c r="EGU49" s="375">
        <f t="shared" si="98"/>
        <v>0</v>
      </c>
      <c r="EGV49" s="375">
        <f t="shared" si="98"/>
        <v>0</v>
      </c>
      <c r="EGW49" s="375">
        <f t="shared" ref="EGW49:EJH49" si="99">EGW48*0.8</f>
        <v>0</v>
      </c>
      <c r="EGX49" s="375">
        <f t="shared" si="99"/>
        <v>0</v>
      </c>
      <c r="EGY49" s="375">
        <f t="shared" si="99"/>
        <v>0</v>
      </c>
      <c r="EGZ49" s="375">
        <f t="shared" si="99"/>
        <v>0</v>
      </c>
      <c r="EHA49" s="375">
        <f t="shared" si="99"/>
        <v>0</v>
      </c>
      <c r="EHB49" s="375">
        <f t="shared" si="99"/>
        <v>0</v>
      </c>
      <c r="EHC49" s="375">
        <f t="shared" si="99"/>
        <v>0</v>
      </c>
      <c r="EHD49" s="375">
        <f t="shared" si="99"/>
        <v>0</v>
      </c>
      <c r="EHE49" s="375">
        <f t="shared" si="99"/>
        <v>0</v>
      </c>
      <c r="EHF49" s="375">
        <f t="shared" si="99"/>
        <v>0</v>
      </c>
      <c r="EHG49" s="375">
        <f t="shared" si="99"/>
        <v>0</v>
      </c>
      <c r="EHH49" s="375">
        <f t="shared" si="99"/>
        <v>0</v>
      </c>
      <c r="EHI49" s="375">
        <f t="shared" si="99"/>
        <v>0</v>
      </c>
      <c r="EHJ49" s="375">
        <f t="shared" si="99"/>
        <v>0</v>
      </c>
      <c r="EHK49" s="375">
        <f t="shared" si="99"/>
        <v>0</v>
      </c>
      <c r="EHL49" s="375">
        <f t="shared" si="99"/>
        <v>0</v>
      </c>
      <c r="EHM49" s="375">
        <f t="shared" si="99"/>
        <v>0</v>
      </c>
      <c r="EHN49" s="375">
        <f t="shared" si="99"/>
        <v>0</v>
      </c>
      <c r="EHO49" s="375">
        <f t="shared" si="99"/>
        <v>0</v>
      </c>
      <c r="EHP49" s="375">
        <f t="shared" si="99"/>
        <v>0</v>
      </c>
      <c r="EHQ49" s="375">
        <f t="shared" si="99"/>
        <v>0</v>
      </c>
      <c r="EHR49" s="375">
        <f t="shared" si="99"/>
        <v>0</v>
      </c>
      <c r="EHS49" s="375">
        <f t="shared" si="99"/>
        <v>0</v>
      </c>
      <c r="EHT49" s="375">
        <f t="shared" si="99"/>
        <v>0</v>
      </c>
      <c r="EHU49" s="375">
        <f t="shared" si="99"/>
        <v>0</v>
      </c>
      <c r="EHV49" s="375">
        <f t="shared" si="99"/>
        <v>0</v>
      </c>
      <c r="EHW49" s="375">
        <f t="shared" si="99"/>
        <v>0</v>
      </c>
      <c r="EHX49" s="375">
        <f t="shared" si="99"/>
        <v>0</v>
      </c>
      <c r="EHY49" s="375">
        <f t="shared" si="99"/>
        <v>0</v>
      </c>
      <c r="EHZ49" s="375">
        <f t="shared" si="99"/>
        <v>0</v>
      </c>
      <c r="EIA49" s="375">
        <f t="shared" si="99"/>
        <v>0</v>
      </c>
      <c r="EIB49" s="375">
        <f t="shared" si="99"/>
        <v>0</v>
      </c>
      <c r="EIC49" s="375">
        <f t="shared" si="99"/>
        <v>0</v>
      </c>
      <c r="EID49" s="375">
        <f t="shared" si="99"/>
        <v>0</v>
      </c>
      <c r="EIE49" s="375">
        <f t="shared" si="99"/>
        <v>0</v>
      </c>
      <c r="EIF49" s="375">
        <f t="shared" si="99"/>
        <v>0</v>
      </c>
      <c r="EIG49" s="375">
        <f t="shared" si="99"/>
        <v>0</v>
      </c>
      <c r="EIH49" s="375">
        <f t="shared" si="99"/>
        <v>0</v>
      </c>
      <c r="EII49" s="375">
        <f t="shared" si="99"/>
        <v>0</v>
      </c>
      <c r="EIJ49" s="375">
        <f t="shared" si="99"/>
        <v>0</v>
      </c>
      <c r="EIK49" s="375">
        <f t="shared" si="99"/>
        <v>0</v>
      </c>
      <c r="EIL49" s="375">
        <f t="shared" si="99"/>
        <v>0</v>
      </c>
      <c r="EIM49" s="375">
        <f t="shared" si="99"/>
        <v>0</v>
      </c>
      <c r="EIN49" s="375">
        <f t="shared" si="99"/>
        <v>0</v>
      </c>
      <c r="EIO49" s="375">
        <f t="shared" si="99"/>
        <v>0</v>
      </c>
      <c r="EIP49" s="375">
        <f t="shared" si="99"/>
        <v>0</v>
      </c>
      <c r="EIQ49" s="375">
        <f t="shared" si="99"/>
        <v>0</v>
      </c>
      <c r="EIR49" s="375">
        <f t="shared" si="99"/>
        <v>0</v>
      </c>
      <c r="EIS49" s="375">
        <f t="shared" si="99"/>
        <v>0</v>
      </c>
      <c r="EIT49" s="375">
        <f t="shared" si="99"/>
        <v>0</v>
      </c>
      <c r="EIU49" s="375">
        <f t="shared" si="99"/>
        <v>0</v>
      </c>
      <c r="EIV49" s="375">
        <f t="shared" si="99"/>
        <v>0</v>
      </c>
      <c r="EIW49" s="375">
        <f t="shared" si="99"/>
        <v>0</v>
      </c>
      <c r="EIX49" s="375">
        <f t="shared" si="99"/>
        <v>0</v>
      </c>
      <c r="EIY49" s="375">
        <f t="shared" si="99"/>
        <v>0</v>
      </c>
      <c r="EIZ49" s="375">
        <f t="shared" si="99"/>
        <v>0</v>
      </c>
      <c r="EJA49" s="375">
        <f t="shared" si="99"/>
        <v>0</v>
      </c>
      <c r="EJB49" s="375">
        <f t="shared" si="99"/>
        <v>0</v>
      </c>
      <c r="EJC49" s="375">
        <f t="shared" si="99"/>
        <v>0</v>
      </c>
      <c r="EJD49" s="375">
        <f t="shared" si="99"/>
        <v>0</v>
      </c>
      <c r="EJE49" s="375">
        <f t="shared" si="99"/>
        <v>0</v>
      </c>
      <c r="EJF49" s="375">
        <f t="shared" si="99"/>
        <v>0</v>
      </c>
      <c r="EJG49" s="375">
        <f t="shared" si="99"/>
        <v>0</v>
      </c>
      <c r="EJH49" s="375">
        <f t="shared" si="99"/>
        <v>0</v>
      </c>
      <c r="EJI49" s="375">
        <f t="shared" ref="EJI49:ELT49" si="100">EJI48*0.8</f>
        <v>0</v>
      </c>
      <c r="EJJ49" s="375">
        <f t="shared" si="100"/>
        <v>0</v>
      </c>
      <c r="EJK49" s="375">
        <f t="shared" si="100"/>
        <v>0</v>
      </c>
      <c r="EJL49" s="375">
        <f t="shared" si="100"/>
        <v>0</v>
      </c>
      <c r="EJM49" s="375">
        <f t="shared" si="100"/>
        <v>0</v>
      </c>
      <c r="EJN49" s="375">
        <f t="shared" si="100"/>
        <v>0</v>
      </c>
      <c r="EJO49" s="375">
        <f t="shared" si="100"/>
        <v>0</v>
      </c>
      <c r="EJP49" s="375">
        <f t="shared" si="100"/>
        <v>0</v>
      </c>
      <c r="EJQ49" s="375">
        <f t="shared" si="100"/>
        <v>0</v>
      </c>
      <c r="EJR49" s="375">
        <f t="shared" si="100"/>
        <v>0</v>
      </c>
      <c r="EJS49" s="375">
        <f t="shared" si="100"/>
        <v>0</v>
      </c>
      <c r="EJT49" s="375">
        <f t="shared" si="100"/>
        <v>0</v>
      </c>
      <c r="EJU49" s="375">
        <f t="shared" si="100"/>
        <v>0</v>
      </c>
      <c r="EJV49" s="375">
        <f t="shared" si="100"/>
        <v>0</v>
      </c>
      <c r="EJW49" s="375">
        <f t="shared" si="100"/>
        <v>0</v>
      </c>
      <c r="EJX49" s="375">
        <f t="shared" si="100"/>
        <v>0</v>
      </c>
      <c r="EJY49" s="375">
        <f t="shared" si="100"/>
        <v>0</v>
      </c>
      <c r="EJZ49" s="375">
        <f t="shared" si="100"/>
        <v>0</v>
      </c>
      <c r="EKA49" s="375">
        <f t="shared" si="100"/>
        <v>0</v>
      </c>
      <c r="EKB49" s="375">
        <f t="shared" si="100"/>
        <v>0</v>
      </c>
      <c r="EKC49" s="375">
        <f t="shared" si="100"/>
        <v>0</v>
      </c>
      <c r="EKD49" s="375">
        <f t="shared" si="100"/>
        <v>0</v>
      </c>
      <c r="EKE49" s="375">
        <f t="shared" si="100"/>
        <v>0</v>
      </c>
      <c r="EKF49" s="375">
        <f t="shared" si="100"/>
        <v>0</v>
      </c>
      <c r="EKG49" s="375">
        <f t="shared" si="100"/>
        <v>0</v>
      </c>
      <c r="EKH49" s="375">
        <f t="shared" si="100"/>
        <v>0</v>
      </c>
      <c r="EKI49" s="375">
        <f t="shared" si="100"/>
        <v>0</v>
      </c>
      <c r="EKJ49" s="375">
        <f t="shared" si="100"/>
        <v>0</v>
      </c>
      <c r="EKK49" s="375">
        <f t="shared" si="100"/>
        <v>0</v>
      </c>
      <c r="EKL49" s="375">
        <f t="shared" si="100"/>
        <v>0</v>
      </c>
      <c r="EKM49" s="375">
        <f t="shared" si="100"/>
        <v>0</v>
      </c>
      <c r="EKN49" s="375">
        <f t="shared" si="100"/>
        <v>0</v>
      </c>
      <c r="EKO49" s="375">
        <f t="shared" si="100"/>
        <v>0</v>
      </c>
      <c r="EKP49" s="375">
        <f t="shared" si="100"/>
        <v>0</v>
      </c>
      <c r="EKQ49" s="375">
        <f t="shared" si="100"/>
        <v>0</v>
      </c>
      <c r="EKR49" s="375">
        <f t="shared" si="100"/>
        <v>0</v>
      </c>
      <c r="EKS49" s="375">
        <f t="shared" si="100"/>
        <v>0</v>
      </c>
      <c r="EKT49" s="375">
        <f t="shared" si="100"/>
        <v>0</v>
      </c>
      <c r="EKU49" s="375">
        <f t="shared" si="100"/>
        <v>0</v>
      </c>
      <c r="EKV49" s="375">
        <f t="shared" si="100"/>
        <v>0</v>
      </c>
      <c r="EKW49" s="375">
        <f t="shared" si="100"/>
        <v>0</v>
      </c>
      <c r="EKX49" s="375">
        <f t="shared" si="100"/>
        <v>0</v>
      </c>
      <c r="EKY49" s="375">
        <f t="shared" si="100"/>
        <v>0</v>
      </c>
      <c r="EKZ49" s="375">
        <f t="shared" si="100"/>
        <v>0</v>
      </c>
      <c r="ELA49" s="375">
        <f t="shared" si="100"/>
        <v>0</v>
      </c>
      <c r="ELB49" s="375">
        <f t="shared" si="100"/>
        <v>0</v>
      </c>
      <c r="ELC49" s="375">
        <f t="shared" si="100"/>
        <v>0</v>
      </c>
      <c r="ELD49" s="375">
        <f t="shared" si="100"/>
        <v>0</v>
      </c>
      <c r="ELE49" s="375">
        <f t="shared" si="100"/>
        <v>0</v>
      </c>
      <c r="ELF49" s="375">
        <f t="shared" si="100"/>
        <v>0</v>
      </c>
      <c r="ELG49" s="375">
        <f t="shared" si="100"/>
        <v>0</v>
      </c>
      <c r="ELH49" s="375">
        <f t="shared" si="100"/>
        <v>0</v>
      </c>
      <c r="ELI49" s="375">
        <f t="shared" si="100"/>
        <v>0</v>
      </c>
      <c r="ELJ49" s="375">
        <f t="shared" si="100"/>
        <v>0</v>
      </c>
      <c r="ELK49" s="375">
        <f t="shared" si="100"/>
        <v>0</v>
      </c>
      <c r="ELL49" s="375">
        <f t="shared" si="100"/>
        <v>0</v>
      </c>
      <c r="ELM49" s="375">
        <f t="shared" si="100"/>
        <v>0</v>
      </c>
      <c r="ELN49" s="375">
        <f t="shared" si="100"/>
        <v>0</v>
      </c>
      <c r="ELO49" s="375">
        <f t="shared" si="100"/>
        <v>0</v>
      </c>
      <c r="ELP49" s="375">
        <f t="shared" si="100"/>
        <v>0</v>
      </c>
      <c r="ELQ49" s="375">
        <f t="shared" si="100"/>
        <v>0</v>
      </c>
      <c r="ELR49" s="375">
        <f t="shared" si="100"/>
        <v>0</v>
      </c>
      <c r="ELS49" s="375">
        <f t="shared" si="100"/>
        <v>0</v>
      </c>
      <c r="ELT49" s="375">
        <f t="shared" si="100"/>
        <v>0</v>
      </c>
      <c r="ELU49" s="375">
        <f t="shared" ref="ELU49:EOF49" si="101">ELU48*0.8</f>
        <v>0</v>
      </c>
      <c r="ELV49" s="375">
        <f t="shared" si="101"/>
        <v>0</v>
      </c>
      <c r="ELW49" s="375">
        <f t="shared" si="101"/>
        <v>0</v>
      </c>
      <c r="ELX49" s="375">
        <f t="shared" si="101"/>
        <v>0</v>
      </c>
      <c r="ELY49" s="375">
        <f t="shared" si="101"/>
        <v>0</v>
      </c>
      <c r="ELZ49" s="375">
        <f t="shared" si="101"/>
        <v>0</v>
      </c>
      <c r="EMA49" s="375">
        <f t="shared" si="101"/>
        <v>0</v>
      </c>
      <c r="EMB49" s="375">
        <f t="shared" si="101"/>
        <v>0</v>
      </c>
      <c r="EMC49" s="375">
        <f t="shared" si="101"/>
        <v>0</v>
      </c>
      <c r="EMD49" s="375">
        <f t="shared" si="101"/>
        <v>0</v>
      </c>
      <c r="EME49" s="375">
        <f t="shared" si="101"/>
        <v>0</v>
      </c>
      <c r="EMF49" s="375">
        <f t="shared" si="101"/>
        <v>0</v>
      </c>
      <c r="EMG49" s="375">
        <f t="shared" si="101"/>
        <v>0</v>
      </c>
      <c r="EMH49" s="375">
        <f t="shared" si="101"/>
        <v>0</v>
      </c>
      <c r="EMI49" s="375">
        <f t="shared" si="101"/>
        <v>0</v>
      </c>
      <c r="EMJ49" s="375">
        <f t="shared" si="101"/>
        <v>0</v>
      </c>
      <c r="EMK49" s="375">
        <f t="shared" si="101"/>
        <v>0</v>
      </c>
      <c r="EML49" s="375">
        <f t="shared" si="101"/>
        <v>0</v>
      </c>
      <c r="EMM49" s="375">
        <f t="shared" si="101"/>
        <v>0</v>
      </c>
      <c r="EMN49" s="375">
        <f t="shared" si="101"/>
        <v>0</v>
      </c>
      <c r="EMO49" s="375">
        <f t="shared" si="101"/>
        <v>0</v>
      </c>
      <c r="EMP49" s="375">
        <f t="shared" si="101"/>
        <v>0</v>
      </c>
      <c r="EMQ49" s="375">
        <f t="shared" si="101"/>
        <v>0</v>
      </c>
      <c r="EMR49" s="375">
        <f t="shared" si="101"/>
        <v>0</v>
      </c>
      <c r="EMS49" s="375">
        <f t="shared" si="101"/>
        <v>0</v>
      </c>
      <c r="EMT49" s="375">
        <f t="shared" si="101"/>
        <v>0</v>
      </c>
      <c r="EMU49" s="375">
        <f t="shared" si="101"/>
        <v>0</v>
      </c>
      <c r="EMV49" s="375">
        <f t="shared" si="101"/>
        <v>0</v>
      </c>
      <c r="EMW49" s="375">
        <f t="shared" si="101"/>
        <v>0</v>
      </c>
      <c r="EMX49" s="375">
        <f t="shared" si="101"/>
        <v>0</v>
      </c>
      <c r="EMY49" s="375">
        <f t="shared" si="101"/>
        <v>0</v>
      </c>
      <c r="EMZ49" s="375">
        <f t="shared" si="101"/>
        <v>0</v>
      </c>
      <c r="ENA49" s="375">
        <f t="shared" si="101"/>
        <v>0</v>
      </c>
      <c r="ENB49" s="375">
        <f t="shared" si="101"/>
        <v>0</v>
      </c>
      <c r="ENC49" s="375">
        <f t="shared" si="101"/>
        <v>0</v>
      </c>
      <c r="END49" s="375">
        <f t="shared" si="101"/>
        <v>0</v>
      </c>
      <c r="ENE49" s="375">
        <f t="shared" si="101"/>
        <v>0</v>
      </c>
      <c r="ENF49" s="375">
        <f t="shared" si="101"/>
        <v>0</v>
      </c>
      <c r="ENG49" s="375">
        <f t="shared" si="101"/>
        <v>0</v>
      </c>
      <c r="ENH49" s="375">
        <f t="shared" si="101"/>
        <v>0</v>
      </c>
      <c r="ENI49" s="375">
        <f t="shared" si="101"/>
        <v>0</v>
      </c>
      <c r="ENJ49" s="375">
        <f t="shared" si="101"/>
        <v>0</v>
      </c>
      <c r="ENK49" s="375">
        <f t="shared" si="101"/>
        <v>0</v>
      </c>
      <c r="ENL49" s="375">
        <f t="shared" si="101"/>
        <v>0</v>
      </c>
      <c r="ENM49" s="375">
        <f t="shared" si="101"/>
        <v>0</v>
      </c>
      <c r="ENN49" s="375">
        <f t="shared" si="101"/>
        <v>0</v>
      </c>
      <c r="ENO49" s="375">
        <f t="shared" si="101"/>
        <v>0</v>
      </c>
      <c r="ENP49" s="375">
        <f t="shared" si="101"/>
        <v>0</v>
      </c>
      <c r="ENQ49" s="375">
        <f t="shared" si="101"/>
        <v>0</v>
      </c>
      <c r="ENR49" s="375">
        <f t="shared" si="101"/>
        <v>0</v>
      </c>
      <c r="ENS49" s="375">
        <f t="shared" si="101"/>
        <v>0</v>
      </c>
      <c r="ENT49" s="375">
        <f t="shared" si="101"/>
        <v>0</v>
      </c>
      <c r="ENU49" s="375">
        <f t="shared" si="101"/>
        <v>0</v>
      </c>
      <c r="ENV49" s="375">
        <f t="shared" si="101"/>
        <v>0</v>
      </c>
      <c r="ENW49" s="375">
        <f t="shared" si="101"/>
        <v>0</v>
      </c>
      <c r="ENX49" s="375">
        <f t="shared" si="101"/>
        <v>0</v>
      </c>
      <c r="ENY49" s="375">
        <f t="shared" si="101"/>
        <v>0</v>
      </c>
      <c r="ENZ49" s="375">
        <f t="shared" si="101"/>
        <v>0</v>
      </c>
      <c r="EOA49" s="375">
        <f t="shared" si="101"/>
        <v>0</v>
      </c>
      <c r="EOB49" s="375">
        <f t="shared" si="101"/>
        <v>0</v>
      </c>
      <c r="EOC49" s="375">
        <f t="shared" si="101"/>
        <v>0</v>
      </c>
      <c r="EOD49" s="375">
        <f t="shared" si="101"/>
        <v>0</v>
      </c>
      <c r="EOE49" s="375">
        <f t="shared" si="101"/>
        <v>0</v>
      </c>
      <c r="EOF49" s="375">
        <f t="shared" si="101"/>
        <v>0</v>
      </c>
      <c r="EOG49" s="375">
        <f t="shared" ref="EOG49:EQR49" si="102">EOG48*0.8</f>
        <v>0</v>
      </c>
      <c r="EOH49" s="375">
        <f t="shared" si="102"/>
        <v>0</v>
      </c>
      <c r="EOI49" s="375">
        <f t="shared" si="102"/>
        <v>0</v>
      </c>
      <c r="EOJ49" s="375">
        <f t="shared" si="102"/>
        <v>0</v>
      </c>
      <c r="EOK49" s="375">
        <f t="shared" si="102"/>
        <v>0</v>
      </c>
      <c r="EOL49" s="375">
        <f t="shared" si="102"/>
        <v>0</v>
      </c>
      <c r="EOM49" s="375">
        <f t="shared" si="102"/>
        <v>0</v>
      </c>
      <c r="EON49" s="375">
        <f t="shared" si="102"/>
        <v>0</v>
      </c>
      <c r="EOO49" s="375">
        <f t="shared" si="102"/>
        <v>0</v>
      </c>
      <c r="EOP49" s="375">
        <f t="shared" si="102"/>
        <v>0</v>
      </c>
      <c r="EOQ49" s="375">
        <f t="shared" si="102"/>
        <v>0</v>
      </c>
      <c r="EOR49" s="375">
        <f t="shared" si="102"/>
        <v>0</v>
      </c>
      <c r="EOS49" s="375">
        <f t="shared" si="102"/>
        <v>0</v>
      </c>
      <c r="EOT49" s="375">
        <f t="shared" si="102"/>
        <v>0</v>
      </c>
      <c r="EOU49" s="375">
        <f t="shared" si="102"/>
        <v>0</v>
      </c>
      <c r="EOV49" s="375">
        <f t="shared" si="102"/>
        <v>0</v>
      </c>
      <c r="EOW49" s="375">
        <f t="shared" si="102"/>
        <v>0</v>
      </c>
      <c r="EOX49" s="375">
        <f t="shared" si="102"/>
        <v>0</v>
      </c>
      <c r="EOY49" s="375">
        <f t="shared" si="102"/>
        <v>0</v>
      </c>
      <c r="EOZ49" s="375">
        <f t="shared" si="102"/>
        <v>0</v>
      </c>
      <c r="EPA49" s="375">
        <f t="shared" si="102"/>
        <v>0</v>
      </c>
      <c r="EPB49" s="375">
        <f t="shared" si="102"/>
        <v>0</v>
      </c>
      <c r="EPC49" s="375">
        <f t="shared" si="102"/>
        <v>0</v>
      </c>
      <c r="EPD49" s="375">
        <f t="shared" si="102"/>
        <v>0</v>
      </c>
      <c r="EPE49" s="375">
        <f t="shared" si="102"/>
        <v>0</v>
      </c>
      <c r="EPF49" s="375">
        <f t="shared" si="102"/>
        <v>0</v>
      </c>
      <c r="EPG49" s="375">
        <f t="shared" si="102"/>
        <v>0</v>
      </c>
      <c r="EPH49" s="375">
        <f t="shared" si="102"/>
        <v>0</v>
      </c>
      <c r="EPI49" s="375">
        <f t="shared" si="102"/>
        <v>0</v>
      </c>
      <c r="EPJ49" s="375">
        <f t="shared" si="102"/>
        <v>0</v>
      </c>
      <c r="EPK49" s="375">
        <f t="shared" si="102"/>
        <v>0</v>
      </c>
      <c r="EPL49" s="375">
        <f t="shared" si="102"/>
        <v>0</v>
      </c>
      <c r="EPM49" s="375">
        <f t="shared" si="102"/>
        <v>0</v>
      </c>
      <c r="EPN49" s="375">
        <f t="shared" si="102"/>
        <v>0</v>
      </c>
      <c r="EPO49" s="375">
        <f t="shared" si="102"/>
        <v>0</v>
      </c>
      <c r="EPP49" s="375">
        <f t="shared" si="102"/>
        <v>0</v>
      </c>
      <c r="EPQ49" s="375">
        <f t="shared" si="102"/>
        <v>0</v>
      </c>
      <c r="EPR49" s="375">
        <f t="shared" si="102"/>
        <v>0</v>
      </c>
      <c r="EPS49" s="375">
        <f t="shared" si="102"/>
        <v>0</v>
      </c>
      <c r="EPT49" s="375">
        <f t="shared" si="102"/>
        <v>0</v>
      </c>
      <c r="EPU49" s="375">
        <f t="shared" si="102"/>
        <v>0</v>
      </c>
      <c r="EPV49" s="375">
        <f t="shared" si="102"/>
        <v>0</v>
      </c>
      <c r="EPW49" s="375">
        <f t="shared" si="102"/>
        <v>0</v>
      </c>
      <c r="EPX49" s="375">
        <f t="shared" si="102"/>
        <v>0</v>
      </c>
      <c r="EPY49" s="375">
        <f t="shared" si="102"/>
        <v>0</v>
      </c>
      <c r="EPZ49" s="375">
        <f t="shared" si="102"/>
        <v>0</v>
      </c>
      <c r="EQA49" s="375">
        <f t="shared" si="102"/>
        <v>0</v>
      </c>
      <c r="EQB49" s="375">
        <f t="shared" si="102"/>
        <v>0</v>
      </c>
      <c r="EQC49" s="375">
        <f t="shared" si="102"/>
        <v>0</v>
      </c>
      <c r="EQD49" s="375">
        <f t="shared" si="102"/>
        <v>0</v>
      </c>
      <c r="EQE49" s="375">
        <f t="shared" si="102"/>
        <v>0</v>
      </c>
      <c r="EQF49" s="375">
        <f t="shared" si="102"/>
        <v>0</v>
      </c>
      <c r="EQG49" s="375">
        <f t="shared" si="102"/>
        <v>0</v>
      </c>
      <c r="EQH49" s="375">
        <f t="shared" si="102"/>
        <v>0</v>
      </c>
      <c r="EQI49" s="375">
        <f t="shared" si="102"/>
        <v>0</v>
      </c>
      <c r="EQJ49" s="375">
        <f t="shared" si="102"/>
        <v>0</v>
      </c>
      <c r="EQK49" s="375">
        <f t="shared" si="102"/>
        <v>0</v>
      </c>
      <c r="EQL49" s="375">
        <f t="shared" si="102"/>
        <v>0</v>
      </c>
      <c r="EQM49" s="375">
        <f t="shared" si="102"/>
        <v>0</v>
      </c>
      <c r="EQN49" s="375">
        <f t="shared" si="102"/>
        <v>0</v>
      </c>
      <c r="EQO49" s="375">
        <f t="shared" si="102"/>
        <v>0</v>
      </c>
      <c r="EQP49" s="375">
        <f t="shared" si="102"/>
        <v>0</v>
      </c>
      <c r="EQQ49" s="375">
        <f t="shared" si="102"/>
        <v>0</v>
      </c>
      <c r="EQR49" s="375">
        <f t="shared" si="102"/>
        <v>0</v>
      </c>
      <c r="EQS49" s="375">
        <f t="shared" ref="EQS49:ETD49" si="103">EQS48*0.8</f>
        <v>0</v>
      </c>
      <c r="EQT49" s="375">
        <f t="shared" si="103"/>
        <v>0</v>
      </c>
      <c r="EQU49" s="375">
        <f t="shared" si="103"/>
        <v>0</v>
      </c>
      <c r="EQV49" s="375">
        <f t="shared" si="103"/>
        <v>0</v>
      </c>
      <c r="EQW49" s="375">
        <f t="shared" si="103"/>
        <v>0</v>
      </c>
      <c r="EQX49" s="375">
        <f t="shared" si="103"/>
        <v>0</v>
      </c>
      <c r="EQY49" s="375">
        <f t="shared" si="103"/>
        <v>0</v>
      </c>
      <c r="EQZ49" s="375">
        <f t="shared" si="103"/>
        <v>0</v>
      </c>
      <c r="ERA49" s="375">
        <f t="shared" si="103"/>
        <v>0</v>
      </c>
      <c r="ERB49" s="375">
        <f t="shared" si="103"/>
        <v>0</v>
      </c>
      <c r="ERC49" s="375">
        <f t="shared" si="103"/>
        <v>0</v>
      </c>
      <c r="ERD49" s="375">
        <f t="shared" si="103"/>
        <v>0</v>
      </c>
      <c r="ERE49" s="375">
        <f t="shared" si="103"/>
        <v>0</v>
      </c>
      <c r="ERF49" s="375">
        <f t="shared" si="103"/>
        <v>0</v>
      </c>
      <c r="ERG49" s="375">
        <f t="shared" si="103"/>
        <v>0</v>
      </c>
      <c r="ERH49" s="375">
        <f t="shared" si="103"/>
        <v>0</v>
      </c>
      <c r="ERI49" s="375">
        <f t="shared" si="103"/>
        <v>0</v>
      </c>
      <c r="ERJ49" s="375">
        <f t="shared" si="103"/>
        <v>0</v>
      </c>
      <c r="ERK49" s="375">
        <f t="shared" si="103"/>
        <v>0</v>
      </c>
      <c r="ERL49" s="375">
        <f t="shared" si="103"/>
        <v>0</v>
      </c>
      <c r="ERM49" s="375">
        <f t="shared" si="103"/>
        <v>0</v>
      </c>
      <c r="ERN49" s="375">
        <f t="shared" si="103"/>
        <v>0</v>
      </c>
      <c r="ERO49" s="375">
        <f t="shared" si="103"/>
        <v>0</v>
      </c>
      <c r="ERP49" s="375">
        <f t="shared" si="103"/>
        <v>0</v>
      </c>
      <c r="ERQ49" s="375">
        <f t="shared" si="103"/>
        <v>0</v>
      </c>
      <c r="ERR49" s="375">
        <f t="shared" si="103"/>
        <v>0</v>
      </c>
      <c r="ERS49" s="375">
        <f t="shared" si="103"/>
        <v>0</v>
      </c>
      <c r="ERT49" s="375">
        <f t="shared" si="103"/>
        <v>0</v>
      </c>
      <c r="ERU49" s="375">
        <f t="shared" si="103"/>
        <v>0</v>
      </c>
      <c r="ERV49" s="375">
        <f t="shared" si="103"/>
        <v>0</v>
      </c>
      <c r="ERW49" s="375">
        <f t="shared" si="103"/>
        <v>0</v>
      </c>
      <c r="ERX49" s="375">
        <f t="shared" si="103"/>
        <v>0</v>
      </c>
      <c r="ERY49" s="375">
        <f t="shared" si="103"/>
        <v>0</v>
      </c>
      <c r="ERZ49" s="375">
        <f t="shared" si="103"/>
        <v>0</v>
      </c>
      <c r="ESA49" s="375">
        <f t="shared" si="103"/>
        <v>0</v>
      </c>
      <c r="ESB49" s="375">
        <f t="shared" si="103"/>
        <v>0</v>
      </c>
      <c r="ESC49" s="375">
        <f t="shared" si="103"/>
        <v>0</v>
      </c>
      <c r="ESD49" s="375">
        <f t="shared" si="103"/>
        <v>0</v>
      </c>
      <c r="ESE49" s="375">
        <f t="shared" si="103"/>
        <v>0</v>
      </c>
      <c r="ESF49" s="375">
        <f t="shared" si="103"/>
        <v>0</v>
      </c>
      <c r="ESG49" s="375">
        <f t="shared" si="103"/>
        <v>0</v>
      </c>
      <c r="ESH49" s="375">
        <f t="shared" si="103"/>
        <v>0</v>
      </c>
      <c r="ESI49" s="375">
        <f t="shared" si="103"/>
        <v>0</v>
      </c>
      <c r="ESJ49" s="375">
        <f t="shared" si="103"/>
        <v>0</v>
      </c>
      <c r="ESK49" s="375">
        <f t="shared" si="103"/>
        <v>0</v>
      </c>
      <c r="ESL49" s="375">
        <f t="shared" si="103"/>
        <v>0</v>
      </c>
      <c r="ESM49" s="375">
        <f t="shared" si="103"/>
        <v>0</v>
      </c>
      <c r="ESN49" s="375">
        <f t="shared" si="103"/>
        <v>0</v>
      </c>
      <c r="ESO49" s="375">
        <f t="shared" si="103"/>
        <v>0</v>
      </c>
      <c r="ESP49" s="375">
        <f t="shared" si="103"/>
        <v>0</v>
      </c>
      <c r="ESQ49" s="375">
        <f t="shared" si="103"/>
        <v>0</v>
      </c>
      <c r="ESR49" s="375">
        <f t="shared" si="103"/>
        <v>0</v>
      </c>
      <c r="ESS49" s="375">
        <f t="shared" si="103"/>
        <v>0</v>
      </c>
      <c r="EST49" s="375">
        <f t="shared" si="103"/>
        <v>0</v>
      </c>
      <c r="ESU49" s="375">
        <f t="shared" si="103"/>
        <v>0</v>
      </c>
      <c r="ESV49" s="375">
        <f t="shared" si="103"/>
        <v>0</v>
      </c>
      <c r="ESW49" s="375">
        <f t="shared" si="103"/>
        <v>0</v>
      </c>
      <c r="ESX49" s="375">
        <f t="shared" si="103"/>
        <v>0</v>
      </c>
      <c r="ESY49" s="375">
        <f t="shared" si="103"/>
        <v>0</v>
      </c>
      <c r="ESZ49" s="375">
        <f t="shared" si="103"/>
        <v>0</v>
      </c>
      <c r="ETA49" s="375">
        <f t="shared" si="103"/>
        <v>0</v>
      </c>
      <c r="ETB49" s="375">
        <f t="shared" si="103"/>
        <v>0</v>
      </c>
      <c r="ETC49" s="375">
        <f t="shared" si="103"/>
        <v>0</v>
      </c>
      <c r="ETD49" s="375">
        <f t="shared" si="103"/>
        <v>0</v>
      </c>
      <c r="ETE49" s="375">
        <f t="shared" ref="ETE49:EVP49" si="104">ETE48*0.8</f>
        <v>0</v>
      </c>
      <c r="ETF49" s="375">
        <f t="shared" si="104"/>
        <v>0</v>
      </c>
      <c r="ETG49" s="375">
        <f t="shared" si="104"/>
        <v>0</v>
      </c>
      <c r="ETH49" s="375">
        <f t="shared" si="104"/>
        <v>0</v>
      </c>
      <c r="ETI49" s="375">
        <f t="shared" si="104"/>
        <v>0</v>
      </c>
      <c r="ETJ49" s="375">
        <f t="shared" si="104"/>
        <v>0</v>
      </c>
      <c r="ETK49" s="375">
        <f t="shared" si="104"/>
        <v>0</v>
      </c>
      <c r="ETL49" s="375">
        <f t="shared" si="104"/>
        <v>0</v>
      </c>
      <c r="ETM49" s="375">
        <f t="shared" si="104"/>
        <v>0</v>
      </c>
      <c r="ETN49" s="375">
        <f t="shared" si="104"/>
        <v>0</v>
      </c>
      <c r="ETO49" s="375">
        <f t="shared" si="104"/>
        <v>0</v>
      </c>
      <c r="ETP49" s="375">
        <f t="shared" si="104"/>
        <v>0</v>
      </c>
      <c r="ETQ49" s="375">
        <f t="shared" si="104"/>
        <v>0</v>
      </c>
      <c r="ETR49" s="375">
        <f t="shared" si="104"/>
        <v>0</v>
      </c>
      <c r="ETS49" s="375">
        <f t="shared" si="104"/>
        <v>0</v>
      </c>
      <c r="ETT49" s="375">
        <f t="shared" si="104"/>
        <v>0</v>
      </c>
      <c r="ETU49" s="375">
        <f t="shared" si="104"/>
        <v>0</v>
      </c>
      <c r="ETV49" s="375">
        <f t="shared" si="104"/>
        <v>0</v>
      </c>
      <c r="ETW49" s="375">
        <f t="shared" si="104"/>
        <v>0</v>
      </c>
      <c r="ETX49" s="375">
        <f t="shared" si="104"/>
        <v>0</v>
      </c>
      <c r="ETY49" s="375">
        <f t="shared" si="104"/>
        <v>0</v>
      </c>
      <c r="ETZ49" s="375">
        <f t="shared" si="104"/>
        <v>0</v>
      </c>
      <c r="EUA49" s="375">
        <f t="shared" si="104"/>
        <v>0</v>
      </c>
      <c r="EUB49" s="375">
        <f t="shared" si="104"/>
        <v>0</v>
      </c>
      <c r="EUC49" s="375">
        <f t="shared" si="104"/>
        <v>0</v>
      </c>
      <c r="EUD49" s="375">
        <f t="shared" si="104"/>
        <v>0</v>
      </c>
      <c r="EUE49" s="375">
        <f t="shared" si="104"/>
        <v>0</v>
      </c>
      <c r="EUF49" s="375">
        <f t="shared" si="104"/>
        <v>0</v>
      </c>
      <c r="EUG49" s="375">
        <f t="shared" si="104"/>
        <v>0</v>
      </c>
      <c r="EUH49" s="375">
        <f t="shared" si="104"/>
        <v>0</v>
      </c>
      <c r="EUI49" s="375">
        <f t="shared" si="104"/>
        <v>0</v>
      </c>
      <c r="EUJ49" s="375">
        <f t="shared" si="104"/>
        <v>0</v>
      </c>
      <c r="EUK49" s="375">
        <f t="shared" si="104"/>
        <v>0</v>
      </c>
      <c r="EUL49" s="375">
        <f t="shared" si="104"/>
        <v>0</v>
      </c>
      <c r="EUM49" s="375">
        <f t="shared" si="104"/>
        <v>0</v>
      </c>
      <c r="EUN49" s="375">
        <f t="shared" si="104"/>
        <v>0</v>
      </c>
      <c r="EUO49" s="375">
        <f t="shared" si="104"/>
        <v>0</v>
      </c>
      <c r="EUP49" s="375">
        <f t="shared" si="104"/>
        <v>0</v>
      </c>
      <c r="EUQ49" s="375">
        <f t="shared" si="104"/>
        <v>0</v>
      </c>
      <c r="EUR49" s="375">
        <f t="shared" si="104"/>
        <v>0</v>
      </c>
      <c r="EUS49" s="375">
        <f t="shared" si="104"/>
        <v>0</v>
      </c>
      <c r="EUT49" s="375">
        <f t="shared" si="104"/>
        <v>0</v>
      </c>
      <c r="EUU49" s="375">
        <f t="shared" si="104"/>
        <v>0</v>
      </c>
      <c r="EUV49" s="375">
        <f t="shared" si="104"/>
        <v>0</v>
      </c>
      <c r="EUW49" s="375">
        <f t="shared" si="104"/>
        <v>0</v>
      </c>
      <c r="EUX49" s="375">
        <f t="shared" si="104"/>
        <v>0</v>
      </c>
      <c r="EUY49" s="375">
        <f t="shared" si="104"/>
        <v>0</v>
      </c>
      <c r="EUZ49" s="375">
        <f t="shared" si="104"/>
        <v>0</v>
      </c>
      <c r="EVA49" s="375">
        <f t="shared" si="104"/>
        <v>0</v>
      </c>
      <c r="EVB49" s="375">
        <f t="shared" si="104"/>
        <v>0</v>
      </c>
      <c r="EVC49" s="375">
        <f t="shared" si="104"/>
        <v>0</v>
      </c>
      <c r="EVD49" s="375">
        <f t="shared" si="104"/>
        <v>0</v>
      </c>
      <c r="EVE49" s="375">
        <f t="shared" si="104"/>
        <v>0</v>
      </c>
      <c r="EVF49" s="375">
        <f t="shared" si="104"/>
        <v>0</v>
      </c>
      <c r="EVG49" s="375">
        <f t="shared" si="104"/>
        <v>0</v>
      </c>
      <c r="EVH49" s="375">
        <f t="shared" si="104"/>
        <v>0</v>
      </c>
      <c r="EVI49" s="375">
        <f t="shared" si="104"/>
        <v>0</v>
      </c>
      <c r="EVJ49" s="375">
        <f t="shared" si="104"/>
        <v>0</v>
      </c>
      <c r="EVK49" s="375">
        <f t="shared" si="104"/>
        <v>0</v>
      </c>
      <c r="EVL49" s="375">
        <f t="shared" si="104"/>
        <v>0</v>
      </c>
      <c r="EVM49" s="375">
        <f t="shared" si="104"/>
        <v>0</v>
      </c>
      <c r="EVN49" s="375">
        <f t="shared" si="104"/>
        <v>0</v>
      </c>
      <c r="EVO49" s="375">
        <f t="shared" si="104"/>
        <v>0</v>
      </c>
      <c r="EVP49" s="375">
        <f t="shared" si="104"/>
        <v>0</v>
      </c>
      <c r="EVQ49" s="375">
        <f t="shared" ref="EVQ49:EYB49" si="105">EVQ48*0.8</f>
        <v>0</v>
      </c>
      <c r="EVR49" s="375">
        <f t="shared" si="105"/>
        <v>0</v>
      </c>
      <c r="EVS49" s="375">
        <f t="shared" si="105"/>
        <v>0</v>
      </c>
      <c r="EVT49" s="375">
        <f t="shared" si="105"/>
        <v>0</v>
      </c>
      <c r="EVU49" s="375">
        <f t="shared" si="105"/>
        <v>0</v>
      </c>
      <c r="EVV49" s="375">
        <f t="shared" si="105"/>
        <v>0</v>
      </c>
      <c r="EVW49" s="375">
        <f t="shared" si="105"/>
        <v>0</v>
      </c>
      <c r="EVX49" s="375">
        <f t="shared" si="105"/>
        <v>0</v>
      </c>
      <c r="EVY49" s="375">
        <f t="shared" si="105"/>
        <v>0</v>
      </c>
      <c r="EVZ49" s="375">
        <f t="shared" si="105"/>
        <v>0</v>
      </c>
      <c r="EWA49" s="375">
        <f t="shared" si="105"/>
        <v>0</v>
      </c>
      <c r="EWB49" s="375">
        <f t="shared" si="105"/>
        <v>0</v>
      </c>
      <c r="EWC49" s="375">
        <f t="shared" si="105"/>
        <v>0</v>
      </c>
      <c r="EWD49" s="375">
        <f t="shared" si="105"/>
        <v>0</v>
      </c>
      <c r="EWE49" s="375">
        <f t="shared" si="105"/>
        <v>0</v>
      </c>
      <c r="EWF49" s="375">
        <f t="shared" si="105"/>
        <v>0</v>
      </c>
      <c r="EWG49" s="375">
        <f t="shared" si="105"/>
        <v>0</v>
      </c>
      <c r="EWH49" s="375">
        <f t="shared" si="105"/>
        <v>0</v>
      </c>
      <c r="EWI49" s="375">
        <f t="shared" si="105"/>
        <v>0</v>
      </c>
      <c r="EWJ49" s="375">
        <f t="shared" si="105"/>
        <v>0</v>
      </c>
      <c r="EWK49" s="375">
        <f t="shared" si="105"/>
        <v>0</v>
      </c>
      <c r="EWL49" s="375">
        <f t="shared" si="105"/>
        <v>0</v>
      </c>
      <c r="EWM49" s="375">
        <f t="shared" si="105"/>
        <v>0</v>
      </c>
      <c r="EWN49" s="375">
        <f t="shared" si="105"/>
        <v>0</v>
      </c>
      <c r="EWO49" s="375">
        <f t="shared" si="105"/>
        <v>0</v>
      </c>
      <c r="EWP49" s="375">
        <f t="shared" si="105"/>
        <v>0</v>
      </c>
      <c r="EWQ49" s="375">
        <f t="shared" si="105"/>
        <v>0</v>
      </c>
      <c r="EWR49" s="375">
        <f t="shared" si="105"/>
        <v>0</v>
      </c>
      <c r="EWS49" s="375">
        <f t="shared" si="105"/>
        <v>0</v>
      </c>
      <c r="EWT49" s="375">
        <f t="shared" si="105"/>
        <v>0</v>
      </c>
      <c r="EWU49" s="375">
        <f t="shared" si="105"/>
        <v>0</v>
      </c>
      <c r="EWV49" s="375">
        <f t="shared" si="105"/>
        <v>0</v>
      </c>
      <c r="EWW49" s="375">
        <f t="shared" si="105"/>
        <v>0</v>
      </c>
      <c r="EWX49" s="375">
        <f t="shared" si="105"/>
        <v>0</v>
      </c>
      <c r="EWY49" s="375">
        <f t="shared" si="105"/>
        <v>0</v>
      </c>
      <c r="EWZ49" s="375">
        <f t="shared" si="105"/>
        <v>0</v>
      </c>
      <c r="EXA49" s="375">
        <f t="shared" si="105"/>
        <v>0</v>
      </c>
      <c r="EXB49" s="375">
        <f t="shared" si="105"/>
        <v>0</v>
      </c>
      <c r="EXC49" s="375">
        <f t="shared" si="105"/>
        <v>0</v>
      </c>
      <c r="EXD49" s="375">
        <f t="shared" si="105"/>
        <v>0</v>
      </c>
      <c r="EXE49" s="375">
        <f t="shared" si="105"/>
        <v>0</v>
      </c>
      <c r="EXF49" s="375">
        <f t="shared" si="105"/>
        <v>0</v>
      </c>
      <c r="EXG49" s="375">
        <f t="shared" si="105"/>
        <v>0</v>
      </c>
      <c r="EXH49" s="375">
        <f t="shared" si="105"/>
        <v>0</v>
      </c>
      <c r="EXI49" s="375">
        <f t="shared" si="105"/>
        <v>0</v>
      </c>
      <c r="EXJ49" s="375">
        <f t="shared" si="105"/>
        <v>0</v>
      </c>
      <c r="EXK49" s="375">
        <f t="shared" si="105"/>
        <v>0</v>
      </c>
      <c r="EXL49" s="375">
        <f t="shared" si="105"/>
        <v>0</v>
      </c>
      <c r="EXM49" s="375">
        <f t="shared" si="105"/>
        <v>0</v>
      </c>
      <c r="EXN49" s="375">
        <f t="shared" si="105"/>
        <v>0</v>
      </c>
      <c r="EXO49" s="375">
        <f t="shared" si="105"/>
        <v>0</v>
      </c>
      <c r="EXP49" s="375">
        <f t="shared" si="105"/>
        <v>0</v>
      </c>
      <c r="EXQ49" s="375">
        <f t="shared" si="105"/>
        <v>0</v>
      </c>
      <c r="EXR49" s="375">
        <f t="shared" si="105"/>
        <v>0</v>
      </c>
      <c r="EXS49" s="375">
        <f t="shared" si="105"/>
        <v>0</v>
      </c>
      <c r="EXT49" s="375">
        <f t="shared" si="105"/>
        <v>0</v>
      </c>
      <c r="EXU49" s="375">
        <f t="shared" si="105"/>
        <v>0</v>
      </c>
      <c r="EXV49" s="375">
        <f t="shared" si="105"/>
        <v>0</v>
      </c>
      <c r="EXW49" s="375">
        <f t="shared" si="105"/>
        <v>0</v>
      </c>
      <c r="EXX49" s="375">
        <f t="shared" si="105"/>
        <v>0</v>
      </c>
      <c r="EXY49" s="375">
        <f t="shared" si="105"/>
        <v>0</v>
      </c>
      <c r="EXZ49" s="375">
        <f t="shared" si="105"/>
        <v>0</v>
      </c>
      <c r="EYA49" s="375">
        <f t="shared" si="105"/>
        <v>0</v>
      </c>
      <c r="EYB49" s="375">
        <f t="shared" si="105"/>
        <v>0</v>
      </c>
      <c r="EYC49" s="375">
        <f t="shared" ref="EYC49:FAN49" si="106">EYC48*0.8</f>
        <v>0</v>
      </c>
      <c r="EYD49" s="375">
        <f t="shared" si="106"/>
        <v>0</v>
      </c>
      <c r="EYE49" s="375">
        <f t="shared" si="106"/>
        <v>0</v>
      </c>
      <c r="EYF49" s="375">
        <f t="shared" si="106"/>
        <v>0</v>
      </c>
      <c r="EYG49" s="375">
        <f t="shared" si="106"/>
        <v>0</v>
      </c>
      <c r="EYH49" s="375">
        <f t="shared" si="106"/>
        <v>0</v>
      </c>
      <c r="EYI49" s="375">
        <f t="shared" si="106"/>
        <v>0</v>
      </c>
      <c r="EYJ49" s="375">
        <f t="shared" si="106"/>
        <v>0</v>
      </c>
      <c r="EYK49" s="375">
        <f t="shared" si="106"/>
        <v>0</v>
      </c>
      <c r="EYL49" s="375">
        <f t="shared" si="106"/>
        <v>0</v>
      </c>
      <c r="EYM49" s="375">
        <f t="shared" si="106"/>
        <v>0</v>
      </c>
      <c r="EYN49" s="375">
        <f t="shared" si="106"/>
        <v>0</v>
      </c>
      <c r="EYO49" s="375">
        <f t="shared" si="106"/>
        <v>0</v>
      </c>
      <c r="EYP49" s="375">
        <f t="shared" si="106"/>
        <v>0</v>
      </c>
      <c r="EYQ49" s="375">
        <f t="shared" si="106"/>
        <v>0</v>
      </c>
      <c r="EYR49" s="375">
        <f t="shared" si="106"/>
        <v>0</v>
      </c>
      <c r="EYS49" s="375">
        <f t="shared" si="106"/>
        <v>0</v>
      </c>
      <c r="EYT49" s="375">
        <f t="shared" si="106"/>
        <v>0</v>
      </c>
      <c r="EYU49" s="375">
        <f t="shared" si="106"/>
        <v>0</v>
      </c>
      <c r="EYV49" s="375">
        <f t="shared" si="106"/>
        <v>0</v>
      </c>
      <c r="EYW49" s="375">
        <f t="shared" si="106"/>
        <v>0</v>
      </c>
      <c r="EYX49" s="375">
        <f t="shared" si="106"/>
        <v>0</v>
      </c>
      <c r="EYY49" s="375">
        <f t="shared" si="106"/>
        <v>0</v>
      </c>
      <c r="EYZ49" s="375">
        <f t="shared" si="106"/>
        <v>0</v>
      </c>
      <c r="EZA49" s="375">
        <f t="shared" si="106"/>
        <v>0</v>
      </c>
      <c r="EZB49" s="375">
        <f t="shared" si="106"/>
        <v>0</v>
      </c>
      <c r="EZC49" s="375">
        <f t="shared" si="106"/>
        <v>0</v>
      </c>
      <c r="EZD49" s="375">
        <f t="shared" si="106"/>
        <v>0</v>
      </c>
      <c r="EZE49" s="375">
        <f t="shared" si="106"/>
        <v>0</v>
      </c>
      <c r="EZF49" s="375">
        <f t="shared" si="106"/>
        <v>0</v>
      </c>
      <c r="EZG49" s="375">
        <f t="shared" si="106"/>
        <v>0</v>
      </c>
      <c r="EZH49" s="375">
        <f t="shared" si="106"/>
        <v>0</v>
      </c>
      <c r="EZI49" s="375">
        <f t="shared" si="106"/>
        <v>0</v>
      </c>
      <c r="EZJ49" s="375">
        <f t="shared" si="106"/>
        <v>0</v>
      </c>
      <c r="EZK49" s="375">
        <f t="shared" si="106"/>
        <v>0</v>
      </c>
      <c r="EZL49" s="375">
        <f t="shared" si="106"/>
        <v>0</v>
      </c>
      <c r="EZM49" s="375">
        <f t="shared" si="106"/>
        <v>0</v>
      </c>
      <c r="EZN49" s="375">
        <f t="shared" si="106"/>
        <v>0</v>
      </c>
      <c r="EZO49" s="375">
        <f t="shared" si="106"/>
        <v>0</v>
      </c>
      <c r="EZP49" s="375">
        <f t="shared" si="106"/>
        <v>0</v>
      </c>
      <c r="EZQ49" s="375">
        <f t="shared" si="106"/>
        <v>0</v>
      </c>
      <c r="EZR49" s="375">
        <f t="shared" si="106"/>
        <v>0</v>
      </c>
      <c r="EZS49" s="375">
        <f t="shared" si="106"/>
        <v>0</v>
      </c>
      <c r="EZT49" s="375">
        <f t="shared" si="106"/>
        <v>0</v>
      </c>
      <c r="EZU49" s="375">
        <f t="shared" si="106"/>
        <v>0</v>
      </c>
      <c r="EZV49" s="375">
        <f t="shared" si="106"/>
        <v>0</v>
      </c>
      <c r="EZW49" s="375">
        <f t="shared" si="106"/>
        <v>0</v>
      </c>
      <c r="EZX49" s="375">
        <f t="shared" si="106"/>
        <v>0</v>
      </c>
      <c r="EZY49" s="375">
        <f t="shared" si="106"/>
        <v>0</v>
      </c>
      <c r="EZZ49" s="375">
        <f t="shared" si="106"/>
        <v>0</v>
      </c>
      <c r="FAA49" s="375">
        <f t="shared" si="106"/>
        <v>0</v>
      </c>
      <c r="FAB49" s="375">
        <f t="shared" si="106"/>
        <v>0</v>
      </c>
      <c r="FAC49" s="375">
        <f t="shared" si="106"/>
        <v>0</v>
      </c>
      <c r="FAD49" s="375">
        <f t="shared" si="106"/>
        <v>0</v>
      </c>
      <c r="FAE49" s="375">
        <f t="shared" si="106"/>
        <v>0</v>
      </c>
      <c r="FAF49" s="375">
        <f t="shared" si="106"/>
        <v>0</v>
      </c>
      <c r="FAG49" s="375">
        <f t="shared" si="106"/>
        <v>0</v>
      </c>
      <c r="FAH49" s="375">
        <f t="shared" si="106"/>
        <v>0</v>
      </c>
      <c r="FAI49" s="375">
        <f t="shared" si="106"/>
        <v>0</v>
      </c>
      <c r="FAJ49" s="375">
        <f t="shared" si="106"/>
        <v>0</v>
      </c>
      <c r="FAK49" s="375">
        <f t="shared" si="106"/>
        <v>0</v>
      </c>
      <c r="FAL49" s="375">
        <f t="shared" si="106"/>
        <v>0</v>
      </c>
      <c r="FAM49" s="375">
        <f t="shared" si="106"/>
        <v>0</v>
      </c>
      <c r="FAN49" s="375">
        <f t="shared" si="106"/>
        <v>0</v>
      </c>
      <c r="FAO49" s="375">
        <f t="shared" ref="FAO49:FCZ49" si="107">FAO48*0.8</f>
        <v>0</v>
      </c>
      <c r="FAP49" s="375">
        <f t="shared" si="107"/>
        <v>0</v>
      </c>
      <c r="FAQ49" s="375">
        <f t="shared" si="107"/>
        <v>0</v>
      </c>
      <c r="FAR49" s="375">
        <f t="shared" si="107"/>
        <v>0</v>
      </c>
      <c r="FAS49" s="375">
        <f t="shared" si="107"/>
        <v>0</v>
      </c>
      <c r="FAT49" s="375">
        <f t="shared" si="107"/>
        <v>0</v>
      </c>
      <c r="FAU49" s="375">
        <f t="shared" si="107"/>
        <v>0</v>
      </c>
      <c r="FAV49" s="375">
        <f t="shared" si="107"/>
        <v>0</v>
      </c>
      <c r="FAW49" s="375">
        <f t="shared" si="107"/>
        <v>0</v>
      </c>
      <c r="FAX49" s="375">
        <f t="shared" si="107"/>
        <v>0</v>
      </c>
      <c r="FAY49" s="375">
        <f t="shared" si="107"/>
        <v>0</v>
      </c>
      <c r="FAZ49" s="375">
        <f t="shared" si="107"/>
        <v>0</v>
      </c>
      <c r="FBA49" s="375">
        <f t="shared" si="107"/>
        <v>0</v>
      </c>
      <c r="FBB49" s="375">
        <f t="shared" si="107"/>
        <v>0</v>
      </c>
      <c r="FBC49" s="375">
        <f t="shared" si="107"/>
        <v>0</v>
      </c>
      <c r="FBD49" s="375">
        <f t="shared" si="107"/>
        <v>0</v>
      </c>
      <c r="FBE49" s="375">
        <f t="shared" si="107"/>
        <v>0</v>
      </c>
      <c r="FBF49" s="375">
        <f t="shared" si="107"/>
        <v>0</v>
      </c>
      <c r="FBG49" s="375">
        <f t="shared" si="107"/>
        <v>0</v>
      </c>
      <c r="FBH49" s="375">
        <f t="shared" si="107"/>
        <v>0</v>
      </c>
      <c r="FBI49" s="375">
        <f t="shared" si="107"/>
        <v>0</v>
      </c>
      <c r="FBJ49" s="375">
        <f t="shared" si="107"/>
        <v>0</v>
      </c>
      <c r="FBK49" s="375">
        <f t="shared" si="107"/>
        <v>0</v>
      </c>
      <c r="FBL49" s="375">
        <f t="shared" si="107"/>
        <v>0</v>
      </c>
      <c r="FBM49" s="375">
        <f t="shared" si="107"/>
        <v>0</v>
      </c>
      <c r="FBN49" s="375">
        <f t="shared" si="107"/>
        <v>0</v>
      </c>
      <c r="FBO49" s="375">
        <f t="shared" si="107"/>
        <v>0</v>
      </c>
      <c r="FBP49" s="375">
        <f t="shared" si="107"/>
        <v>0</v>
      </c>
      <c r="FBQ49" s="375">
        <f t="shared" si="107"/>
        <v>0</v>
      </c>
      <c r="FBR49" s="375">
        <f t="shared" si="107"/>
        <v>0</v>
      </c>
      <c r="FBS49" s="375">
        <f t="shared" si="107"/>
        <v>0</v>
      </c>
      <c r="FBT49" s="375">
        <f t="shared" si="107"/>
        <v>0</v>
      </c>
      <c r="FBU49" s="375">
        <f t="shared" si="107"/>
        <v>0</v>
      </c>
      <c r="FBV49" s="375">
        <f t="shared" si="107"/>
        <v>0</v>
      </c>
      <c r="FBW49" s="375">
        <f t="shared" si="107"/>
        <v>0</v>
      </c>
      <c r="FBX49" s="375">
        <f t="shared" si="107"/>
        <v>0</v>
      </c>
      <c r="FBY49" s="375">
        <f t="shared" si="107"/>
        <v>0</v>
      </c>
      <c r="FBZ49" s="375">
        <f t="shared" si="107"/>
        <v>0</v>
      </c>
      <c r="FCA49" s="375">
        <f t="shared" si="107"/>
        <v>0</v>
      </c>
      <c r="FCB49" s="375">
        <f t="shared" si="107"/>
        <v>0</v>
      </c>
      <c r="FCC49" s="375">
        <f t="shared" si="107"/>
        <v>0</v>
      </c>
      <c r="FCD49" s="375">
        <f t="shared" si="107"/>
        <v>0</v>
      </c>
      <c r="FCE49" s="375">
        <f t="shared" si="107"/>
        <v>0</v>
      </c>
      <c r="FCF49" s="375">
        <f t="shared" si="107"/>
        <v>0</v>
      </c>
      <c r="FCG49" s="375">
        <f t="shared" si="107"/>
        <v>0</v>
      </c>
      <c r="FCH49" s="375">
        <f t="shared" si="107"/>
        <v>0</v>
      </c>
      <c r="FCI49" s="375">
        <f t="shared" si="107"/>
        <v>0</v>
      </c>
      <c r="FCJ49" s="375">
        <f t="shared" si="107"/>
        <v>0</v>
      </c>
      <c r="FCK49" s="375">
        <f t="shared" si="107"/>
        <v>0</v>
      </c>
      <c r="FCL49" s="375">
        <f t="shared" si="107"/>
        <v>0</v>
      </c>
      <c r="FCM49" s="375">
        <f t="shared" si="107"/>
        <v>0</v>
      </c>
      <c r="FCN49" s="375">
        <f t="shared" si="107"/>
        <v>0</v>
      </c>
      <c r="FCO49" s="375">
        <f t="shared" si="107"/>
        <v>0</v>
      </c>
      <c r="FCP49" s="375">
        <f t="shared" si="107"/>
        <v>0</v>
      </c>
      <c r="FCQ49" s="375">
        <f t="shared" si="107"/>
        <v>0</v>
      </c>
      <c r="FCR49" s="375">
        <f t="shared" si="107"/>
        <v>0</v>
      </c>
      <c r="FCS49" s="375">
        <f t="shared" si="107"/>
        <v>0</v>
      </c>
      <c r="FCT49" s="375">
        <f t="shared" si="107"/>
        <v>0</v>
      </c>
      <c r="FCU49" s="375">
        <f t="shared" si="107"/>
        <v>0</v>
      </c>
      <c r="FCV49" s="375">
        <f t="shared" si="107"/>
        <v>0</v>
      </c>
      <c r="FCW49" s="375">
        <f t="shared" si="107"/>
        <v>0</v>
      </c>
      <c r="FCX49" s="375">
        <f t="shared" si="107"/>
        <v>0</v>
      </c>
      <c r="FCY49" s="375">
        <f t="shared" si="107"/>
        <v>0</v>
      </c>
      <c r="FCZ49" s="375">
        <f t="shared" si="107"/>
        <v>0</v>
      </c>
      <c r="FDA49" s="375">
        <f t="shared" ref="FDA49:FFL49" si="108">FDA48*0.8</f>
        <v>0</v>
      </c>
      <c r="FDB49" s="375">
        <f t="shared" si="108"/>
        <v>0</v>
      </c>
      <c r="FDC49" s="375">
        <f t="shared" si="108"/>
        <v>0</v>
      </c>
      <c r="FDD49" s="375">
        <f t="shared" si="108"/>
        <v>0</v>
      </c>
      <c r="FDE49" s="375">
        <f t="shared" si="108"/>
        <v>0</v>
      </c>
      <c r="FDF49" s="375">
        <f t="shared" si="108"/>
        <v>0</v>
      </c>
      <c r="FDG49" s="375">
        <f t="shared" si="108"/>
        <v>0</v>
      </c>
      <c r="FDH49" s="375">
        <f t="shared" si="108"/>
        <v>0</v>
      </c>
      <c r="FDI49" s="375">
        <f t="shared" si="108"/>
        <v>0</v>
      </c>
      <c r="FDJ49" s="375">
        <f t="shared" si="108"/>
        <v>0</v>
      </c>
      <c r="FDK49" s="375">
        <f t="shared" si="108"/>
        <v>0</v>
      </c>
      <c r="FDL49" s="375">
        <f t="shared" si="108"/>
        <v>0</v>
      </c>
      <c r="FDM49" s="375">
        <f t="shared" si="108"/>
        <v>0</v>
      </c>
      <c r="FDN49" s="375">
        <f t="shared" si="108"/>
        <v>0</v>
      </c>
      <c r="FDO49" s="375">
        <f t="shared" si="108"/>
        <v>0</v>
      </c>
      <c r="FDP49" s="375">
        <f t="shared" si="108"/>
        <v>0</v>
      </c>
      <c r="FDQ49" s="375">
        <f t="shared" si="108"/>
        <v>0</v>
      </c>
      <c r="FDR49" s="375">
        <f t="shared" si="108"/>
        <v>0</v>
      </c>
      <c r="FDS49" s="375">
        <f t="shared" si="108"/>
        <v>0</v>
      </c>
      <c r="FDT49" s="375">
        <f t="shared" si="108"/>
        <v>0</v>
      </c>
      <c r="FDU49" s="375">
        <f t="shared" si="108"/>
        <v>0</v>
      </c>
      <c r="FDV49" s="375">
        <f t="shared" si="108"/>
        <v>0</v>
      </c>
      <c r="FDW49" s="375">
        <f t="shared" si="108"/>
        <v>0</v>
      </c>
      <c r="FDX49" s="375">
        <f t="shared" si="108"/>
        <v>0</v>
      </c>
      <c r="FDY49" s="375">
        <f t="shared" si="108"/>
        <v>0</v>
      </c>
      <c r="FDZ49" s="375">
        <f t="shared" si="108"/>
        <v>0</v>
      </c>
      <c r="FEA49" s="375">
        <f t="shared" si="108"/>
        <v>0</v>
      </c>
      <c r="FEB49" s="375">
        <f t="shared" si="108"/>
        <v>0</v>
      </c>
      <c r="FEC49" s="375">
        <f t="shared" si="108"/>
        <v>0</v>
      </c>
      <c r="FED49" s="375">
        <f t="shared" si="108"/>
        <v>0</v>
      </c>
      <c r="FEE49" s="375">
        <f t="shared" si="108"/>
        <v>0</v>
      </c>
      <c r="FEF49" s="375">
        <f t="shared" si="108"/>
        <v>0</v>
      </c>
      <c r="FEG49" s="375">
        <f t="shared" si="108"/>
        <v>0</v>
      </c>
      <c r="FEH49" s="375">
        <f t="shared" si="108"/>
        <v>0</v>
      </c>
      <c r="FEI49" s="375">
        <f t="shared" si="108"/>
        <v>0</v>
      </c>
      <c r="FEJ49" s="375">
        <f t="shared" si="108"/>
        <v>0</v>
      </c>
      <c r="FEK49" s="375">
        <f t="shared" si="108"/>
        <v>0</v>
      </c>
      <c r="FEL49" s="375">
        <f t="shared" si="108"/>
        <v>0</v>
      </c>
      <c r="FEM49" s="375">
        <f t="shared" si="108"/>
        <v>0</v>
      </c>
      <c r="FEN49" s="375">
        <f t="shared" si="108"/>
        <v>0</v>
      </c>
      <c r="FEO49" s="375">
        <f t="shared" si="108"/>
        <v>0</v>
      </c>
      <c r="FEP49" s="375">
        <f t="shared" si="108"/>
        <v>0</v>
      </c>
      <c r="FEQ49" s="375">
        <f t="shared" si="108"/>
        <v>0</v>
      </c>
      <c r="FER49" s="375">
        <f t="shared" si="108"/>
        <v>0</v>
      </c>
      <c r="FES49" s="375">
        <f t="shared" si="108"/>
        <v>0</v>
      </c>
      <c r="FET49" s="375">
        <f t="shared" si="108"/>
        <v>0</v>
      </c>
      <c r="FEU49" s="375">
        <f t="shared" si="108"/>
        <v>0</v>
      </c>
      <c r="FEV49" s="375">
        <f t="shared" si="108"/>
        <v>0</v>
      </c>
      <c r="FEW49" s="375">
        <f t="shared" si="108"/>
        <v>0</v>
      </c>
      <c r="FEX49" s="375">
        <f t="shared" si="108"/>
        <v>0</v>
      </c>
      <c r="FEY49" s="375">
        <f t="shared" si="108"/>
        <v>0</v>
      </c>
      <c r="FEZ49" s="375">
        <f t="shared" si="108"/>
        <v>0</v>
      </c>
      <c r="FFA49" s="375">
        <f t="shared" si="108"/>
        <v>0</v>
      </c>
      <c r="FFB49" s="375">
        <f t="shared" si="108"/>
        <v>0</v>
      </c>
      <c r="FFC49" s="375">
        <f t="shared" si="108"/>
        <v>0</v>
      </c>
      <c r="FFD49" s="375">
        <f t="shared" si="108"/>
        <v>0</v>
      </c>
      <c r="FFE49" s="375">
        <f t="shared" si="108"/>
        <v>0</v>
      </c>
      <c r="FFF49" s="375">
        <f t="shared" si="108"/>
        <v>0</v>
      </c>
      <c r="FFG49" s="375">
        <f t="shared" si="108"/>
        <v>0</v>
      </c>
      <c r="FFH49" s="375">
        <f t="shared" si="108"/>
        <v>0</v>
      </c>
      <c r="FFI49" s="375">
        <f t="shared" si="108"/>
        <v>0</v>
      </c>
      <c r="FFJ49" s="375">
        <f t="shared" si="108"/>
        <v>0</v>
      </c>
      <c r="FFK49" s="375">
        <f t="shared" si="108"/>
        <v>0</v>
      </c>
      <c r="FFL49" s="375">
        <f t="shared" si="108"/>
        <v>0</v>
      </c>
      <c r="FFM49" s="375">
        <f t="shared" ref="FFM49:FHX49" si="109">FFM48*0.8</f>
        <v>0</v>
      </c>
      <c r="FFN49" s="375">
        <f t="shared" si="109"/>
        <v>0</v>
      </c>
      <c r="FFO49" s="375">
        <f t="shared" si="109"/>
        <v>0</v>
      </c>
      <c r="FFP49" s="375">
        <f t="shared" si="109"/>
        <v>0</v>
      </c>
      <c r="FFQ49" s="375">
        <f t="shared" si="109"/>
        <v>0</v>
      </c>
      <c r="FFR49" s="375">
        <f t="shared" si="109"/>
        <v>0</v>
      </c>
      <c r="FFS49" s="375">
        <f t="shared" si="109"/>
        <v>0</v>
      </c>
      <c r="FFT49" s="375">
        <f t="shared" si="109"/>
        <v>0</v>
      </c>
      <c r="FFU49" s="375">
        <f t="shared" si="109"/>
        <v>0</v>
      </c>
      <c r="FFV49" s="375">
        <f t="shared" si="109"/>
        <v>0</v>
      </c>
      <c r="FFW49" s="375">
        <f t="shared" si="109"/>
        <v>0</v>
      </c>
      <c r="FFX49" s="375">
        <f t="shared" si="109"/>
        <v>0</v>
      </c>
      <c r="FFY49" s="375">
        <f t="shared" si="109"/>
        <v>0</v>
      </c>
      <c r="FFZ49" s="375">
        <f t="shared" si="109"/>
        <v>0</v>
      </c>
      <c r="FGA49" s="375">
        <f t="shared" si="109"/>
        <v>0</v>
      </c>
      <c r="FGB49" s="375">
        <f t="shared" si="109"/>
        <v>0</v>
      </c>
      <c r="FGC49" s="375">
        <f t="shared" si="109"/>
        <v>0</v>
      </c>
      <c r="FGD49" s="375">
        <f t="shared" si="109"/>
        <v>0</v>
      </c>
      <c r="FGE49" s="375">
        <f t="shared" si="109"/>
        <v>0</v>
      </c>
      <c r="FGF49" s="375">
        <f t="shared" si="109"/>
        <v>0</v>
      </c>
      <c r="FGG49" s="375">
        <f t="shared" si="109"/>
        <v>0</v>
      </c>
      <c r="FGH49" s="375">
        <f t="shared" si="109"/>
        <v>0</v>
      </c>
      <c r="FGI49" s="375">
        <f t="shared" si="109"/>
        <v>0</v>
      </c>
      <c r="FGJ49" s="375">
        <f t="shared" si="109"/>
        <v>0</v>
      </c>
      <c r="FGK49" s="375">
        <f t="shared" si="109"/>
        <v>0</v>
      </c>
      <c r="FGL49" s="375">
        <f t="shared" si="109"/>
        <v>0</v>
      </c>
      <c r="FGM49" s="375">
        <f t="shared" si="109"/>
        <v>0</v>
      </c>
      <c r="FGN49" s="375">
        <f t="shared" si="109"/>
        <v>0</v>
      </c>
      <c r="FGO49" s="375">
        <f t="shared" si="109"/>
        <v>0</v>
      </c>
      <c r="FGP49" s="375">
        <f t="shared" si="109"/>
        <v>0</v>
      </c>
      <c r="FGQ49" s="375">
        <f t="shared" si="109"/>
        <v>0</v>
      </c>
      <c r="FGR49" s="375">
        <f t="shared" si="109"/>
        <v>0</v>
      </c>
      <c r="FGS49" s="375">
        <f t="shared" si="109"/>
        <v>0</v>
      </c>
      <c r="FGT49" s="375">
        <f t="shared" si="109"/>
        <v>0</v>
      </c>
      <c r="FGU49" s="375">
        <f t="shared" si="109"/>
        <v>0</v>
      </c>
      <c r="FGV49" s="375">
        <f t="shared" si="109"/>
        <v>0</v>
      </c>
      <c r="FGW49" s="375">
        <f t="shared" si="109"/>
        <v>0</v>
      </c>
      <c r="FGX49" s="375">
        <f t="shared" si="109"/>
        <v>0</v>
      </c>
      <c r="FGY49" s="375">
        <f t="shared" si="109"/>
        <v>0</v>
      </c>
      <c r="FGZ49" s="375">
        <f t="shared" si="109"/>
        <v>0</v>
      </c>
      <c r="FHA49" s="375">
        <f t="shared" si="109"/>
        <v>0</v>
      </c>
      <c r="FHB49" s="375">
        <f t="shared" si="109"/>
        <v>0</v>
      </c>
      <c r="FHC49" s="375">
        <f t="shared" si="109"/>
        <v>0</v>
      </c>
      <c r="FHD49" s="375">
        <f t="shared" si="109"/>
        <v>0</v>
      </c>
      <c r="FHE49" s="375">
        <f t="shared" si="109"/>
        <v>0</v>
      </c>
      <c r="FHF49" s="375">
        <f t="shared" si="109"/>
        <v>0</v>
      </c>
      <c r="FHG49" s="375">
        <f t="shared" si="109"/>
        <v>0</v>
      </c>
      <c r="FHH49" s="375">
        <f t="shared" si="109"/>
        <v>0</v>
      </c>
      <c r="FHI49" s="375">
        <f t="shared" si="109"/>
        <v>0</v>
      </c>
      <c r="FHJ49" s="375">
        <f t="shared" si="109"/>
        <v>0</v>
      </c>
      <c r="FHK49" s="375">
        <f t="shared" si="109"/>
        <v>0</v>
      </c>
      <c r="FHL49" s="375">
        <f t="shared" si="109"/>
        <v>0</v>
      </c>
      <c r="FHM49" s="375">
        <f t="shared" si="109"/>
        <v>0</v>
      </c>
      <c r="FHN49" s="375">
        <f t="shared" si="109"/>
        <v>0</v>
      </c>
      <c r="FHO49" s="375">
        <f t="shared" si="109"/>
        <v>0</v>
      </c>
      <c r="FHP49" s="375">
        <f t="shared" si="109"/>
        <v>0</v>
      </c>
      <c r="FHQ49" s="375">
        <f t="shared" si="109"/>
        <v>0</v>
      </c>
      <c r="FHR49" s="375">
        <f t="shared" si="109"/>
        <v>0</v>
      </c>
      <c r="FHS49" s="375">
        <f t="shared" si="109"/>
        <v>0</v>
      </c>
      <c r="FHT49" s="375">
        <f t="shared" si="109"/>
        <v>0</v>
      </c>
      <c r="FHU49" s="375">
        <f t="shared" si="109"/>
        <v>0</v>
      </c>
      <c r="FHV49" s="375">
        <f t="shared" si="109"/>
        <v>0</v>
      </c>
      <c r="FHW49" s="375">
        <f t="shared" si="109"/>
        <v>0</v>
      </c>
      <c r="FHX49" s="375">
        <f t="shared" si="109"/>
        <v>0</v>
      </c>
      <c r="FHY49" s="375">
        <f t="shared" ref="FHY49:FKJ49" si="110">FHY48*0.8</f>
        <v>0</v>
      </c>
      <c r="FHZ49" s="375">
        <f t="shared" si="110"/>
        <v>0</v>
      </c>
      <c r="FIA49" s="375">
        <f t="shared" si="110"/>
        <v>0</v>
      </c>
      <c r="FIB49" s="375">
        <f t="shared" si="110"/>
        <v>0</v>
      </c>
      <c r="FIC49" s="375">
        <f t="shared" si="110"/>
        <v>0</v>
      </c>
      <c r="FID49" s="375">
        <f t="shared" si="110"/>
        <v>0</v>
      </c>
      <c r="FIE49" s="375">
        <f t="shared" si="110"/>
        <v>0</v>
      </c>
      <c r="FIF49" s="375">
        <f t="shared" si="110"/>
        <v>0</v>
      </c>
      <c r="FIG49" s="375">
        <f t="shared" si="110"/>
        <v>0</v>
      </c>
      <c r="FIH49" s="375">
        <f t="shared" si="110"/>
        <v>0</v>
      </c>
      <c r="FII49" s="375">
        <f t="shared" si="110"/>
        <v>0</v>
      </c>
      <c r="FIJ49" s="375">
        <f t="shared" si="110"/>
        <v>0</v>
      </c>
      <c r="FIK49" s="375">
        <f t="shared" si="110"/>
        <v>0</v>
      </c>
      <c r="FIL49" s="375">
        <f t="shared" si="110"/>
        <v>0</v>
      </c>
      <c r="FIM49" s="375">
        <f t="shared" si="110"/>
        <v>0</v>
      </c>
      <c r="FIN49" s="375">
        <f t="shared" si="110"/>
        <v>0</v>
      </c>
      <c r="FIO49" s="375">
        <f t="shared" si="110"/>
        <v>0</v>
      </c>
      <c r="FIP49" s="375">
        <f t="shared" si="110"/>
        <v>0</v>
      </c>
      <c r="FIQ49" s="375">
        <f t="shared" si="110"/>
        <v>0</v>
      </c>
      <c r="FIR49" s="375">
        <f t="shared" si="110"/>
        <v>0</v>
      </c>
      <c r="FIS49" s="375">
        <f t="shared" si="110"/>
        <v>0</v>
      </c>
      <c r="FIT49" s="375">
        <f t="shared" si="110"/>
        <v>0</v>
      </c>
      <c r="FIU49" s="375">
        <f t="shared" si="110"/>
        <v>0</v>
      </c>
      <c r="FIV49" s="375">
        <f t="shared" si="110"/>
        <v>0</v>
      </c>
      <c r="FIW49" s="375">
        <f t="shared" si="110"/>
        <v>0</v>
      </c>
      <c r="FIX49" s="375">
        <f t="shared" si="110"/>
        <v>0</v>
      </c>
      <c r="FIY49" s="375">
        <f t="shared" si="110"/>
        <v>0</v>
      </c>
      <c r="FIZ49" s="375">
        <f t="shared" si="110"/>
        <v>0</v>
      </c>
      <c r="FJA49" s="375">
        <f t="shared" si="110"/>
        <v>0</v>
      </c>
      <c r="FJB49" s="375">
        <f t="shared" si="110"/>
        <v>0</v>
      </c>
      <c r="FJC49" s="375">
        <f t="shared" si="110"/>
        <v>0</v>
      </c>
      <c r="FJD49" s="375">
        <f t="shared" si="110"/>
        <v>0</v>
      </c>
      <c r="FJE49" s="375">
        <f t="shared" si="110"/>
        <v>0</v>
      </c>
      <c r="FJF49" s="375">
        <f t="shared" si="110"/>
        <v>0</v>
      </c>
      <c r="FJG49" s="375">
        <f t="shared" si="110"/>
        <v>0</v>
      </c>
      <c r="FJH49" s="375">
        <f t="shared" si="110"/>
        <v>0</v>
      </c>
      <c r="FJI49" s="375">
        <f t="shared" si="110"/>
        <v>0</v>
      </c>
      <c r="FJJ49" s="375">
        <f t="shared" si="110"/>
        <v>0</v>
      </c>
      <c r="FJK49" s="375">
        <f t="shared" si="110"/>
        <v>0</v>
      </c>
      <c r="FJL49" s="375">
        <f t="shared" si="110"/>
        <v>0</v>
      </c>
      <c r="FJM49" s="375">
        <f t="shared" si="110"/>
        <v>0</v>
      </c>
      <c r="FJN49" s="375">
        <f t="shared" si="110"/>
        <v>0</v>
      </c>
      <c r="FJO49" s="375">
        <f t="shared" si="110"/>
        <v>0</v>
      </c>
      <c r="FJP49" s="375">
        <f t="shared" si="110"/>
        <v>0</v>
      </c>
      <c r="FJQ49" s="375">
        <f t="shared" si="110"/>
        <v>0</v>
      </c>
      <c r="FJR49" s="375">
        <f t="shared" si="110"/>
        <v>0</v>
      </c>
      <c r="FJS49" s="375">
        <f t="shared" si="110"/>
        <v>0</v>
      </c>
      <c r="FJT49" s="375">
        <f t="shared" si="110"/>
        <v>0</v>
      </c>
      <c r="FJU49" s="375">
        <f t="shared" si="110"/>
        <v>0</v>
      </c>
      <c r="FJV49" s="375">
        <f t="shared" si="110"/>
        <v>0</v>
      </c>
      <c r="FJW49" s="375">
        <f t="shared" si="110"/>
        <v>0</v>
      </c>
      <c r="FJX49" s="375">
        <f t="shared" si="110"/>
        <v>0</v>
      </c>
      <c r="FJY49" s="375">
        <f t="shared" si="110"/>
        <v>0</v>
      </c>
      <c r="FJZ49" s="375">
        <f t="shared" si="110"/>
        <v>0</v>
      </c>
      <c r="FKA49" s="375">
        <f t="shared" si="110"/>
        <v>0</v>
      </c>
      <c r="FKB49" s="375">
        <f t="shared" si="110"/>
        <v>0</v>
      </c>
      <c r="FKC49" s="375">
        <f t="shared" si="110"/>
        <v>0</v>
      </c>
      <c r="FKD49" s="375">
        <f t="shared" si="110"/>
        <v>0</v>
      </c>
      <c r="FKE49" s="375">
        <f t="shared" si="110"/>
        <v>0</v>
      </c>
      <c r="FKF49" s="375">
        <f t="shared" si="110"/>
        <v>0</v>
      </c>
      <c r="FKG49" s="375">
        <f t="shared" si="110"/>
        <v>0</v>
      </c>
      <c r="FKH49" s="375">
        <f t="shared" si="110"/>
        <v>0</v>
      </c>
      <c r="FKI49" s="375">
        <f t="shared" si="110"/>
        <v>0</v>
      </c>
      <c r="FKJ49" s="375">
        <f t="shared" si="110"/>
        <v>0</v>
      </c>
      <c r="FKK49" s="375">
        <f t="shared" ref="FKK49:FMV49" si="111">FKK48*0.8</f>
        <v>0</v>
      </c>
      <c r="FKL49" s="375">
        <f t="shared" si="111"/>
        <v>0</v>
      </c>
      <c r="FKM49" s="375">
        <f t="shared" si="111"/>
        <v>0</v>
      </c>
      <c r="FKN49" s="375">
        <f t="shared" si="111"/>
        <v>0</v>
      </c>
      <c r="FKO49" s="375">
        <f t="shared" si="111"/>
        <v>0</v>
      </c>
      <c r="FKP49" s="375">
        <f t="shared" si="111"/>
        <v>0</v>
      </c>
      <c r="FKQ49" s="375">
        <f t="shared" si="111"/>
        <v>0</v>
      </c>
      <c r="FKR49" s="375">
        <f t="shared" si="111"/>
        <v>0</v>
      </c>
      <c r="FKS49" s="375">
        <f t="shared" si="111"/>
        <v>0</v>
      </c>
      <c r="FKT49" s="375">
        <f t="shared" si="111"/>
        <v>0</v>
      </c>
      <c r="FKU49" s="375">
        <f t="shared" si="111"/>
        <v>0</v>
      </c>
      <c r="FKV49" s="375">
        <f t="shared" si="111"/>
        <v>0</v>
      </c>
      <c r="FKW49" s="375">
        <f t="shared" si="111"/>
        <v>0</v>
      </c>
      <c r="FKX49" s="375">
        <f t="shared" si="111"/>
        <v>0</v>
      </c>
      <c r="FKY49" s="375">
        <f t="shared" si="111"/>
        <v>0</v>
      </c>
      <c r="FKZ49" s="375">
        <f t="shared" si="111"/>
        <v>0</v>
      </c>
      <c r="FLA49" s="375">
        <f t="shared" si="111"/>
        <v>0</v>
      </c>
      <c r="FLB49" s="375">
        <f t="shared" si="111"/>
        <v>0</v>
      </c>
      <c r="FLC49" s="375">
        <f t="shared" si="111"/>
        <v>0</v>
      </c>
      <c r="FLD49" s="375">
        <f t="shared" si="111"/>
        <v>0</v>
      </c>
      <c r="FLE49" s="375">
        <f t="shared" si="111"/>
        <v>0</v>
      </c>
      <c r="FLF49" s="375">
        <f t="shared" si="111"/>
        <v>0</v>
      </c>
      <c r="FLG49" s="375">
        <f t="shared" si="111"/>
        <v>0</v>
      </c>
      <c r="FLH49" s="375">
        <f t="shared" si="111"/>
        <v>0</v>
      </c>
      <c r="FLI49" s="375">
        <f t="shared" si="111"/>
        <v>0</v>
      </c>
      <c r="FLJ49" s="375">
        <f t="shared" si="111"/>
        <v>0</v>
      </c>
      <c r="FLK49" s="375">
        <f t="shared" si="111"/>
        <v>0</v>
      </c>
      <c r="FLL49" s="375">
        <f t="shared" si="111"/>
        <v>0</v>
      </c>
      <c r="FLM49" s="375">
        <f t="shared" si="111"/>
        <v>0</v>
      </c>
      <c r="FLN49" s="375">
        <f t="shared" si="111"/>
        <v>0</v>
      </c>
      <c r="FLO49" s="375">
        <f t="shared" si="111"/>
        <v>0</v>
      </c>
      <c r="FLP49" s="375">
        <f t="shared" si="111"/>
        <v>0</v>
      </c>
      <c r="FLQ49" s="375">
        <f t="shared" si="111"/>
        <v>0</v>
      </c>
      <c r="FLR49" s="375">
        <f t="shared" si="111"/>
        <v>0</v>
      </c>
      <c r="FLS49" s="375">
        <f t="shared" si="111"/>
        <v>0</v>
      </c>
      <c r="FLT49" s="375">
        <f t="shared" si="111"/>
        <v>0</v>
      </c>
      <c r="FLU49" s="375">
        <f t="shared" si="111"/>
        <v>0</v>
      </c>
      <c r="FLV49" s="375">
        <f t="shared" si="111"/>
        <v>0</v>
      </c>
      <c r="FLW49" s="375">
        <f t="shared" si="111"/>
        <v>0</v>
      </c>
      <c r="FLX49" s="375">
        <f t="shared" si="111"/>
        <v>0</v>
      </c>
      <c r="FLY49" s="375">
        <f t="shared" si="111"/>
        <v>0</v>
      </c>
      <c r="FLZ49" s="375">
        <f t="shared" si="111"/>
        <v>0</v>
      </c>
      <c r="FMA49" s="375">
        <f t="shared" si="111"/>
        <v>0</v>
      </c>
      <c r="FMB49" s="375">
        <f t="shared" si="111"/>
        <v>0</v>
      </c>
      <c r="FMC49" s="375">
        <f t="shared" si="111"/>
        <v>0</v>
      </c>
      <c r="FMD49" s="375">
        <f t="shared" si="111"/>
        <v>0</v>
      </c>
      <c r="FME49" s="375">
        <f t="shared" si="111"/>
        <v>0</v>
      </c>
      <c r="FMF49" s="375">
        <f t="shared" si="111"/>
        <v>0</v>
      </c>
      <c r="FMG49" s="375">
        <f t="shared" si="111"/>
        <v>0</v>
      </c>
      <c r="FMH49" s="375">
        <f t="shared" si="111"/>
        <v>0</v>
      </c>
      <c r="FMI49" s="375">
        <f t="shared" si="111"/>
        <v>0</v>
      </c>
      <c r="FMJ49" s="375">
        <f t="shared" si="111"/>
        <v>0</v>
      </c>
      <c r="FMK49" s="375">
        <f t="shared" si="111"/>
        <v>0</v>
      </c>
      <c r="FML49" s="375">
        <f t="shared" si="111"/>
        <v>0</v>
      </c>
      <c r="FMM49" s="375">
        <f t="shared" si="111"/>
        <v>0</v>
      </c>
      <c r="FMN49" s="375">
        <f t="shared" si="111"/>
        <v>0</v>
      </c>
      <c r="FMO49" s="375">
        <f t="shared" si="111"/>
        <v>0</v>
      </c>
      <c r="FMP49" s="375">
        <f t="shared" si="111"/>
        <v>0</v>
      </c>
      <c r="FMQ49" s="375">
        <f t="shared" si="111"/>
        <v>0</v>
      </c>
      <c r="FMR49" s="375">
        <f t="shared" si="111"/>
        <v>0</v>
      </c>
      <c r="FMS49" s="375">
        <f t="shared" si="111"/>
        <v>0</v>
      </c>
      <c r="FMT49" s="375">
        <f t="shared" si="111"/>
        <v>0</v>
      </c>
      <c r="FMU49" s="375">
        <f t="shared" si="111"/>
        <v>0</v>
      </c>
      <c r="FMV49" s="375">
        <f t="shared" si="111"/>
        <v>0</v>
      </c>
      <c r="FMW49" s="375">
        <f t="shared" ref="FMW49:FPH49" si="112">FMW48*0.8</f>
        <v>0</v>
      </c>
      <c r="FMX49" s="375">
        <f t="shared" si="112"/>
        <v>0</v>
      </c>
      <c r="FMY49" s="375">
        <f t="shared" si="112"/>
        <v>0</v>
      </c>
      <c r="FMZ49" s="375">
        <f t="shared" si="112"/>
        <v>0</v>
      </c>
      <c r="FNA49" s="375">
        <f t="shared" si="112"/>
        <v>0</v>
      </c>
      <c r="FNB49" s="375">
        <f t="shared" si="112"/>
        <v>0</v>
      </c>
      <c r="FNC49" s="375">
        <f t="shared" si="112"/>
        <v>0</v>
      </c>
      <c r="FND49" s="375">
        <f t="shared" si="112"/>
        <v>0</v>
      </c>
      <c r="FNE49" s="375">
        <f t="shared" si="112"/>
        <v>0</v>
      </c>
      <c r="FNF49" s="375">
        <f t="shared" si="112"/>
        <v>0</v>
      </c>
      <c r="FNG49" s="375">
        <f t="shared" si="112"/>
        <v>0</v>
      </c>
      <c r="FNH49" s="375">
        <f t="shared" si="112"/>
        <v>0</v>
      </c>
      <c r="FNI49" s="375">
        <f t="shared" si="112"/>
        <v>0</v>
      </c>
      <c r="FNJ49" s="375">
        <f t="shared" si="112"/>
        <v>0</v>
      </c>
      <c r="FNK49" s="375">
        <f t="shared" si="112"/>
        <v>0</v>
      </c>
      <c r="FNL49" s="375">
        <f t="shared" si="112"/>
        <v>0</v>
      </c>
      <c r="FNM49" s="375">
        <f t="shared" si="112"/>
        <v>0</v>
      </c>
      <c r="FNN49" s="375">
        <f t="shared" si="112"/>
        <v>0</v>
      </c>
      <c r="FNO49" s="375">
        <f t="shared" si="112"/>
        <v>0</v>
      </c>
      <c r="FNP49" s="375">
        <f t="shared" si="112"/>
        <v>0</v>
      </c>
      <c r="FNQ49" s="375">
        <f t="shared" si="112"/>
        <v>0</v>
      </c>
      <c r="FNR49" s="375">
        <f t="shared" si="112"/>
        <v>0</v>
      </c>
      <c r="FNS49" s="375">
        <f t="shared" si="112"/>
        <v>0</v>
      </c>
      <c r="FNT49" s="375">
        <f t="shared" si="112"/>
        <v>0</v>
      </c>
      <c r="FNU49" s="375">
        <f t="shared" si="112"/>
        <v>0</v>
      </c>
      <c r="FNV49" s="375">
        <f t="shared" si="112"/>
        <v>0</v>
      </c>
      <c r="FNW49" s="375">
        <f t="shared" si="112"/>
        <v>0</v>
      </c>
      <c r="FNX49" s="375">
        <f t="shared" si="112"/>
        <v>0</v>
      </c>
      <c r="FNY49" s="375">
        <f t="shared" si="112"/>
        <v>0</v>
      </c>
      <c r="FNZ49" s="375">
        <f t="shared" si="112"/>
        <v>0</v>
      </c>
      <c r="FOA49" s="375">
        <f t="shared" si="112"/>
        <v>0</v>
      </c>
      <c r="FOB49" s="375">
        <f t="shared" si="112"/>
        <v>0</v>
      </c>
      <c r="FOC49" s="375">
        <f t="shared" si="112"/>
        <v>0</v>
      </c>
      <c r="FOD49" s="375">
        <f t="shared" si="112"/>
        <v>0</v>
      </c>
      <c r="FOE49" s="375">
        <f t="shared" si="112"/>
        <v>0</v>
      </c>
      <c r="FOF49" s="375">
        <f t="shared" si="112"/>
        <v>0</v>
      </c>
      <c r="FOG49" s="375">
        <f t="shared" si="112"/>
        <v>0</v>
      </c>
      <c r="FOH49" s="375">
        <f t="shared" si="112"/>
        <v>0</v>
      </c>
      <c r="FOI49" s="375">
        <f t="shared" si="112"/>
        <v>0</v>
      </c>
      <c r="FOJ49" s="375">
        <f t="shared" si="112"/>
        <v>0</v>
      </c>
      <c r="FOK49" s="375">
        <f t="shared" si="112"/>
        <v>0</v>
      </c>
      <c r="FOL49" s="375">
        <f t="shared" si="112"/>
        <v>0</v>
      </c>
      <c r="FOM49" s="375">
        <f t="shared" si="112"/>
        <v>0</v>
      </c>
      <c r="FON49" s="375">
        <f t="shared" si="112"/>
        <v>0</v>
      </c>
      <c r="FOO49" s="375">
        <f t="shared" si="112"/>
        <v>0</v>
      </c>
      <c r="FOP49" s="375">
        <f t="shared" si="112"/>
        <v>0</v>
      </c>
      <c r="FOQ49" s="375">
        <f t="shared" si="112"/>
        <v>0</v>
      </c>
      <c r="FOR49" s="375">
        <f t="shared" si="112"/>
        <v>0</v>
      </c>
      <c r="FOS49" s="375">
        <f t="shared" si="112"/>
        <v>0</v>
      </c>
      <c r="FOT49" s="375">
        <f t="shared" si="112"/>
        <v>0</v>
      </c>
      <c r="FOU49" s="375">
        <f t="shared" si="112"/>
        <v>0</v>
      </c>
      <c r="FOV49" s="375">
        <f t="shared" si="112"/>
        <v>0</v>
      </c>
      <c r="FOW49" s="375">
        <f t="shared" si="112"/>
        <v>0</v>
      </c>
      <c r="FOX49" s="375">
        <f t="shared" si="112"/>
        <v>0</v>
      </c>
      <c r="FOY49" s="375">
        <f t="shared" si="112"/>
        <v>0</v>
      </c>
      <c r="FOZ49" s="375">
        <f t="shared" si="112"/>
        <v>0</v>
      </c>
      <c r="FPA49" s="375">
        <f t="shared" si="112"/>
        <v>0</v>
      </c>
      <c r="FPB49" s="375">
        <f t="shared" si="112"/>
        <v>0</v>
      </c>
      <c r="FPC49" s="375">
        <f t="shared" si="112"/>
        <v>0</v>
      </c>
      <c r="FPD49" s="375">
        <f t="shared" si="112"/>
        <v>0</v>
      </c>
      <c r="FPE49" s="375">
        <f t="shared" si="112"/>
        <v>0</v>
      </c>
      <c r="FPF49" s="375">
        <f t="shared" si="112"/>
        <v>0</v>
      </c>
      <c r="FPG49" s="375">
        <f t="shared" si="112"/>
        <v>0</v>
      </c>
      <c r="FPH49" s="375">
        <f t="shared" si="112"/>
        <v>0</v>
      </c>
      <c r="FPI49" s="375">
        <f t="shared" ref="FPI49:FRT49" si="113">FPI48*0.8</f>
        <v>0</v>
      </c>
      <c r="FPJ49" s="375">
        <f t="shared" si="113"/>
        <v>0</v>
      </c>
      <c r="FPK49" s="375">
        <f t="shared" si="113"/>
        <v>0</v>
      </c>
      <c r="FPL49" s="375">
        <f t="shared" si="113"/>
        <v>0</v>
      </c>
      <c r="FPM49" s="375">
        <f t="shared" si="113"/>
        <v>0</v>
      </c>
      <c r="FPN49" s="375">
        <f t="shared" si="113"/>
        <v>0</v>
      </c>
      <c r="FPO49" s="375">
        <f t="shared" si="113"/>
        <v>0</v>
      </c>
      <c r="FPP49" s="375">
        <f t="shared" si="113"/>
        <v>0</v>
      </c>
      <c r="FPQ49" s="375">
        <f t="shared" si="113"/>
        <v>0</v>
      </c>
      <c r="FPR49" s="375">
        <f t="shared" si="113"/>
        <v>0</v>
      </c>
      <c r="FPS49" s="375">
        <f t="shared" si="113"/>
        <v>0</v>
      </c>
      <c r="FPT49" s="375">
        <f t="shared" si="113"/>
        <v>0</v>
      </c>
      <c r="FPU49" s="375">
        <f t="shared" si="113"/>
        <v>0</v>
      </c>
      <c r="FPV49" s="375">
        <f t="shared" si="113"/>
        <v>0</v>
      </c>
      <c r="FPW49" s="375">
        <f t="shared" si="113"/>
        <v>0</v>
      </c>
      <c r="FPX49" s="375">
        <f t="shared" si="113"/>
        <v>0</v>
      </c>
      <c r="FPY49" s="375">
        <f t="shared" si="113"/>
        <v>0</v>
      </c>
      <c r="FPZ49" s="375">
        <f t="shared" si="113"/>
        <v>0</v>
      </c>
      <c r="FQA49" s="375">
        <f t="shared" si="113"/>
        <v>0</v>
      </c>
      <c r="FQB49" s="375">
        <f t="shared" si="113"/>
        <v>0</v>
      </c>
      <c r="FQC49" s="375">
        <f t="shared" si="113"/>
        <v>0</v>
      </c>
      <c r="FQD49" s="375">
        <f t="shared" si="113"/>
        <v>0</v>
      </c>
      <c r="FQE49" s="375">
        <f t="shared" si="113"/>
        <v>0</v>
      </c>
      <c r="FQF49" s="375">
        <f t="shared" si="113"/>
        <v>0</v>
      </c>
      <c r="FQG49" s="375">
        <f t="shared" si="113"/>
        <v>0</v>
      </c>
      <c r="FQH49" s="375">
        <f t="shared" si="113"/>
        <v>0</v>
      </c>
      <c r="FQI49" s="375">
        <f t="shared" si="113"/>
        <v>0</v>
      </c>
      <c r="FQJ49" s="375">
        <f t="shared" si="113"/>
        <v>0</v>
      </c>
      <c r="FQK49" s="375">
        <f t="shared" si="113"/>
        <v>0</v>
      </c>
      <c r="FQL49" s="375">
        <f t="shared" si="113"/>
        <v>0</v>
      </c>
      <c r="FQM49" s="375">
        <f t="shared" si="113"/>
        <v>0</v>
      </c>
      <c r="FQN49" s="375">
        <f t="shared" si="113"/>
        <v>0</v>
      </c>
      <c r="FQO49" s="375">
        <f t="shared" si="113"/>
        <v>0</v>
      </c>
      <c r="FQP49" s="375">
        <f t="shared" si="113"/>
        <v>0</v>
      </c>
      <c r="FQQ49" s="375">
        <f t="shared" si="113"/>
        <v>0</v>
      </c>
      <c r="FQR49" s="375">
        <f t="shared" si="113"/>
        <v>0</v>
      </c>
      <c r="FQS49" s="375">
        <f t="shared" si="113"/>
        <v>0</v>
      </c>
      <c r="FQT49" s="375">
        <f t="shared" si="113"/>
        <v>0</v>
      </c>
      <c r="FQU49" s="375">
        <f t="shared" si="113"/>
        <v>0</v>
      </c>
      <c r="FQV49" s="375">
        <f t="shared" si="113"/>
        <v>0</v>
      </c>
      <c r="FQW49" s="375">
        <f t="shared" si="113"/>
        <v>0</v>
      </c>
      <c r="FQX49" s="375">
        <f t="shared" si="113"/>
        <v>0</v>
      </c>
      <c r="FQY49" s="375">
        <f t="shared" si="113"/>
        <v>0</v>
      </c>
      <c r="FQZ49" s="375">
        <f t="shared" si="113"/>
        <v>0</v>
      </c>
      <c r="FRA49" s="375">
        <f t="shared" si="113"/>
        <v>0</v>
      </c>
      <c r="FRB49" s="375">
        <f t="shared" si="113"/>
        <v>0</v>
      </c>
      <c r="FRC49" s="375">
        <f t="shared" si="113"/>
        <v>0</v>
      </c>
      <c r="FRD49" s="375">
        <f t="shared" si="113"/>
        <v>0</v>
      </c>
      <c r="FRE49" s="375">
        <f t="shared" si="113"/>
        <v>0</v>
      </c>
      <c r="FRF49" s="375">
        <f t="shared" si="113"/>
        <v>0</v>
      </c>
      <c r="FRG49" s="375">
        <f t="shared" si="113"/>
        <v>0</v>
      </c>
      <c r="FRH49" s="375">
        <f t="shared" si="113"/>
        <v>0</v>
      </c>
      <c r="FRI49" s="375">
        <f t="shared" si="113"/>
        <v>0</v>
      </c>
      <c r="FRJ49" s="375">
        <f t="shared" si="113"/>
        <v>0</v>
      </c>
      <c r="FRK49" s="375">
        <f t="shared" si="113"/>
        <v>0</v>
      </c>
      <c r="FRL49" s="375">
        <f t="shared" si="113"/>
        <v>0</v>
      </c>
      <c r="FRM49" s="375">
        <f t="shared" si="113"/>
        <v>0</v>
      </c>
      <c r="FRN49" s="375">
        <f t="shared" si="113"/>
        <v>0</v>
      </c>
      <c r="FRO49" s="375">
        <f t="shared" si="113"/>
        <v>0</v>
      </c>
      <c r="FRP49" s="375">
        <f t="shared" si="113"/>
        <v>0</v>
      </c>
      <c r="FRQ49" s="375">
        <f t="shared" si="113"/>
        <v>0</v>
      </c>
      <c r="FRR49" s="375">
        <f t="shared" si="113"/>
        <v>0</v>
      </c>
      <c r="FRS49" s="375">
        <f t="shared" si="113"/>
        <v>0</v>
      </c>
      <c r="FRT49" s="375">
        <f t="shared" si="113"/>
        <v>0</v>
      </c>
      <c r="FRU49" s="375">
        <f t="shared" ref="FRU49:FUF49" si="114">FRU48*0.8</f>
        <v>0</v>
      </c>
      <c r="FRV49" s="375">
        <f t="shared" si="114"/>
        <v>0</v>
      </c>
      <c r="FRW49" s="375">
        <f t="shared" si="114"/>
        <v>0</v>
      </c>
      <c r="FRX49" s="375">
        <f t="shared" si="114"/>
        <v>0</v>
      </c>
      <c r="FRY49" s="375">
        <f t="shared" si="114"/>
        <v>0</v>
      </c>
      <c r="FRZ49" s="375">
        <f t="shared" si="114"/>
        <v>0</v>
      </c>
      <c r="FSA49" s="375">
        <f t="shared" si="114"/>
        <v>0</v>
      </c>
      <c r="FSB49" s="375">
        <f t="shared" si="114"/>
        <v>0</v>
      </c>
      <c r="FSC49" s="375">
        <f t="shared" si="114"/>
        <v>0</v>
      </c>
      <c r="FSD49" s="375">
        <f t="shared" si="114"/>
        <v>0</v>
      </c>
      <c r="FSE49" s="375">
        <f t="shared" si="114"/>
        <v>0</v>
      </c>
      <c r="FSF49" s="375">
        <f t="shared" si="114"/>
        <v>0</v>
      </c>
      <c r="FSG49" s="375">
        <f t="shared" si="114"/>
        <v>0</v>
      </c>
      <c r="FSH49" s="375">
        <f t="shared" si="114"/>
        <v>0</v>
      </c>
      <c r="FSI49" s="375">
        <f t="shared" si="114"/>
        <v>0</v>
      </c>
      <c r="FSJ49" s="375">
        <f t="shared" si="114"/>
        <v>0</v>
      </c>
      <c r="FSK49" s="375">
        <f t="shared" si="114"/>
        <v>0</v>
      </c>
      <c r="FSL49" s="375">
        <f t="shared" si="114"/>
        <v>0</v>
      </c>
      <c r="FSM49" s="375">
        <f t="shared" si="114"/>
        <v>0</v>
      </c>
      <c r="FSN49" s="375">
        <f t="shared" si="114"/>
        <v>0</v>
      </c>
      <c r="FSO49" s="375">
        <f t="shared" si="114"/>
        <v>0</v>
      </c>
      <c r="FSP49" s="375">
        <f t="shared" si="114"/>
        <v>0</v>
      </c>
      <c r="FSQ49" s="375">
        <f t="shared" si="114"/>
        <v>0</v>
      </c>
      <c r="FSR49" s="375">
        <f t="shared" si="114"/>
        <v>0</v>
      </c>
      <c r="FSS49" s="375">
        <f t="shared" si="114"/>
        <v>0</v>
      </c>
      <c r="FST49" s="375">
        <f t="shared" si="114"/>
        <v>0</v>
      </c>
      <c r="FSU49" s="375">
        <f t="shared" si="114"/>
        <v>0</v>
      </c>
      <c r="FSV49" s="375">
        <f t="shared" si="114"/>
        <v>0</v>
      </c>
      <c r="FSW49" s="375">
        <f t="shared" si="114"/>
        <v>0</v>
      </c>
      <c r="FSX49" s="375">
        <f t="shared" si="114"/>
        <v>0</v>
      </c>
      <c r="FSY49" s="375">
        <f t="shared" si="114"/>
        <v>0</v>
      </c>
      <c r="FSZ49" s="375">
        <f t="shared" si="114"/>
        <v>0</v>
      </c>
      <c r="FTA49" s="375">
        <f t="shared" si="114"/>
        <v>0</v>
      </c>
      <c r="FTB49" s="375">
        <f t="shared" si="114"/>
        <v>0</v>
      </c>
      <c r="FTC49" s="375">
        <f t="shared" si="114"/>
        <v>0</v>
      </c>
      <c r="FTD49" s="375">
        <f t="shared" si="114"/>
        <v>0</v>
      </c>
      <c r="FTE49" s="375">
        <f t="shared" si="114"/>
        <v>0</v>
      </c>
      <c r="FTF49" s="375">
        <f t="shared" si="114"/>
        <v>0</v>
      </c>
      <c r="FTG49" s="375">
        <f t="shared" si="114"/>
        <v>0</v>
      </c>
      <c r="FTH49" s="375">
        <f t="shared" si="114"/>
        <v>0</v>
      </c>
      <c r="FTI49" s="375">
        <f t="shared" si="114"/>
        <v>0</v>
      </c>
      <c r="FTJ49" s="375">
        <f t="shared" si="114"/>
        <v>0</v>
      </c>
      <c r="FTK49" s="375">
        <f t="shared" si="114"/>
        <v>0</v>
      </c>
      <c r="FTL49" s="375">
        <f t="shared" si="114"/>
        <v>0</v>
      </c>
      <c r="FTM49" s="375">
        <f t="shared" si="114"/>
        <v>0</v>
      </c>
      <c r="FTN49" s="375">
        <f t="shared" si="114"/>
        <v>0</v>
      </c>
      <c r="FTO49" s="375">
        <f t="shared" si="114"/>
        <v>0</v>
      </c>
      <c r="FTP49" s="375">
        <f t="shared" si="114"/>
        <v>0</v>
      </c>
      <c r="FTQ49" s="375">
        <f t="shared" si="114"/>
        <v>0</v>
      </c>
      <c r="FTR49" s="375">
        <f t="shared" si="114"/>
        <v>0</v>
      </c>
      <c r="FTS49" s="375">
        <f t="shared" si="114"/>
        <v>0</v>
      </c>
      <c r="FTT49" s="375">
        <f t="shared" si="114"/>
        <v>0</v>
      </c>
      <c r="FTU49" s="375">
        <f t="shared" si="114"/>
        <v>0</v>
      </c>
      <c r="FTV49" s="375">
        <f t="shared" si="114"/>
        <v>0</v>
      </c>
      <c r="FTW49" s="375">
        <f t="shared" si="114"/>
        <v>0</v>
      </c>
      <c r="FTX49" s="375">
        <f t="shared" si="114"/>
        <v>0</v>
      </c>
      <c r="FTY49" s="375">
        <f t="shared" si="114"/>
        <v>0</v>
      </c>
      <c r="FTZ49" s="375">
        <f t="shared" si="114"/>
        <v>0</v>
      </c>
      <c r="FUA49" s="375">
        <f t="shared" si="114"/>
        <v>0</v>
      </c>
      <c r="FUB49" s="375">
        <f t="shared" si="114"/>
        <v>0</v>
      </c>
      <c r="FUC49" s="375">
        <f t="shared" si="114"/>
        <v>0</v>
      </c>
      <c r="FUD49" s="375">
        <f t="shared" si="114"/>
        <v>0</v>
      </c>
      <c r="FUE49" s="375">
        <f t="shared" si="114"/>
        <v>0</v>
      </c>
      <c r="FUF49" s="375">
        <f t="shared" si="114"/>
        <v>0</v>
      </c>
      <c r="FUG49" s="375">
        <f t="shared" ref="FUG49:FWR49" si="115">FUG48*0.8</f>
        <v>0</v>
      </c>
      <c r="FUH49" s="375">
        <f t="shared" si="115"/>
        <v>0</v>
      </c>
      <c r="FUI49" s="375">
        <f t="shared" si="115"/>
        <v>0</v>
      </c>
      <c r="FUJ49" s="375">
        <f t="shared" si="115"/>
        <v>0</v>
      </c>
      <c r="FUK49" s="375">
        <f t="shared" si="115"/>
        <v>0</v>
      </c>
      <c r="FUL49" s="375">
        <f t="shared" si="115"/>
        <v>0</v>
      </c>
      <c r="FUM49" s="375">
        <f t="shared" si="115"/>
        <v>0</v>
      </c>
      <c r="FUN49" s="375">
        <f t="shared" si="115"/>
        <v>0</v>
      </c>
      <c r="FUO49" s="375">
        <f t="shared" si="115"/>
        <v>0</v>
      </c>
      <c r="FUP49" s="375">
        <f t="shared" si="115"/>
        <v>0</v>
      </c>
      <c r="FUQ49" s="375">
        <f t="shared" si="115"/>
        <v>0</v>
      </c>
      <c r="FUR49" s="375">
        <f t="shared" si="115"/>
        <v>0</v>
      </c>
      <c r="FUS49" s="375">
        <f t="shared" si="115"/>
        <v>0</v>
      </c>
      <c r="FUT49" s="375">
        <f t="shared" si="115"/>
        <v>0</v>
      </c>
      <c r="FUU49" s="375">
        <f t="shared" si="115"/>
        <v>0</v>
      </c>
      <c r="FUV49" s="375">
        <f t="shared" si="115"/>
        <v>0</v>
      </c>
      <c r="FUW49" s="375">
        <f t="shared" si="115"/>
        <v>0</v>
      </c>
      <c r="FUX49" s="375">
        <f t="shared" si="115"/>
        <v>0</v>
      </c>
      <c r="FUY49" s="375">
        <f t="shared" si="115"/>
        <v>0</v>
      </c>
      <c r="FUZ49" s="375">
        <f t="shared" si="115"/>
        <v>0</v>
      </c>
      <c r="FVA49" s="375">
        <f t="shared" si="115"/>
        <v>0</v>
      </c>
      <c r="FVB49" s="375">
        <f t="shared" si="115"/>
        <v>0</v>
      </c>
      <c r="FVC49" s="375">
        <f t="shared" si="115"/>
        <v>0</v>
      </c>
      <c r="FVD49" s="375">
        <f t="shared" si="115"/>
        <v>0</v>
      </c>
      <c r="FVE49" s="375">
        <f t="shared" si="115"/>
        <v>0</v>
      </c>
      <c r="FVF49" s="375">
        <f t="shared" si="115"/>
        <v>0</v>
      </c>
      <c r="FVG49" s="375">
        <f t="shared" si="115"/>
        <v>0</v>
      </c>
      <c r="FVH49" s="375">
        <f t="shared" si="115"/>
        <v>0</v>
      </c>
      <c r="FVI49" s="375">
        <f t="shared" si="115"/>
        <v>0</v>
      </c>
      <c r="FVJ49" s="375">
        <f t="shared" si="115"/>
        <v>0</v>
      </c>
      <c r="FVK49" s="375">
        <f t="shared" si="115"/>
        <v>0</v>
      </c>
      <c r="FVL49" s="375">
        <f t="shared" si="115"/>
        <v>0</v>
      </c>
      <c r="FVM49" s="375">
        <f t="shared" si="115"/>
        <v>0</v>
      </c>
      <c r="FVN49" s="375">
        <f t="shared" si="115"/>
        <v>0</v>
      </c>
      <c r="FVO49" s="375">
        <f t="shared" si="115"/>
        <v>0</v>
      </c>
      <c r="FVP49" s="375">
        <f t="shared" si="115"/>
        <v>0</v>
      </c>
      <c r="FVQ49" s="375">
        <f t="shared" si="115"/>
        <v>0</v>
      </c>
      <c r="FVR49" s="375">
        <f t="shared" si="115"/>
        <v>0</v>
      </c>
      <c r="FVS49" s="375">
        <f t="shared" si="115"/>
        <v>0</v>
      </c>
      <c r="FVT49" s="375">
        <f t="shared" si="115"/>
        <v>0</v>
      </c>
      <c r="FVU49" s="375">
        <f t="shared" si="115"/>
        <v>0</v>
      </c>
      <c r="FVV49" s="375">
        <f t="shared" si="115"/>
        <v>0</v>
      </c>
      <c r="FVW49" s="375">
        <f t="shared" si="115"/>
        <v>0</v>
      </c>
      <c r="FVX49" s="375">
        <f t="shared" si="115"/>
        <v>0</v>
      </c>
      <c r="FVY49" s="375">
        <f t="shared" si="115"/>
        <v>0</v>
      </c>
      <c r="FVZ49" s="375">
        <f t="shared" si="115"/>
        <v>0</v>
      </c>
      <c r="FWA49" s="375">
        <f t="shared" si="115"/>
        <v>0</v>
      </c>
      <c r="FWB49" s="375">
        <f t="shared" si="115"/>
        <v>0</v>
      </c>
      <c r="FWC49" s="375">
        <f t="shared" si="115"/>
        <v>0</v>
      </c>
      <c r="FWD49" s="375">
        <f t="shared" si="115"/>
        <v>0</v>
      </c>
      <c r="FWE49" s="375">
        <f t="shared" si="115"/>
        <v>0</v>
      </c>
      <c r="FWF49" s="375">
        <f t="shared" si="115"/>
        <v>0</v>
      </c>
      <c r="FWG49" s="375">
        <f t="shared" si="115"/>
        <v>0</v>
      </c>
      <c r="FWH49" s="375">
        <f t="shared" si="115"/>
        <v>0</v>
      </c>
      <c r="FWI49" s="375">
        <f t="shared" si="115"/>
        <v>0</v>
      </c>
      <c r="FWJ49" s="375">
        <f t="shared" si="115"/>
        <v>0</v>
      </c>
      <c r="FWK49" s="375">
        <f t="shared" si="115"/>
        <v>0</v>
      </c>
      <c r="FWL49" s="375">
        <f t="shared" si="115"/>
        <v>0</v>
      </c>
      <c r="FWM49" s="375">
        <f t="shared" si="115"/>
        <v>0</v>
      </c>
      <c r="FWN49" s="375">
        <f t="shared" si="115"/>
        <v>0</v>
      </c>
      <c r="FWO49" s="375">
        <f t="shared" si="115"/>
        <v>0</v>
      </c>
      <c r="FWP49" s="375">
        <f t="shared" si="115"/>
        <v>0</v>
      </c>
      <c r="FWQ49" s="375">
        <f t="shared" si="115"/>
        <v>0</v>
      </c>
      <c r="FWR49" s="375">
        <f t="shared" si="115"/>
        <v>0</v>
      </c>
      <c r="FWS49" s="375">
        <f t="shared" ref="FWS49:FZD49" si="116">FWS48*0.8</f>
        <v>0</v>
      </c>
      <c r="FWT49" s="375">
        <f t="shared" si="116"/>
        <v>0</v>
      </c>
      <c r="FWU49" s="375">
        <f t="shared" si="116"/>
        <v>0</v>
      </c>
      <c r="FWV49" s="375">
        <f t="shared" si="116"/>
        <v>0</v>
      </c>
      <c r="FWW49" s="375">
        <f t="shared" si="116"/>
        <v>0</v>
      </c>
      <c r="FWX49" s="375">
        <f t="shared" si="116"/>
        <v>0</v>
      </c>
      <c r="FWY49" s="375">
        <f t="shared" si="116"/>
        <v>0</v>
      </c>
      <c r="FWZ49" s="375">
        <f t="shared" si="116"/>
        <v>0</v>
      </c>
      <c r="FXA49" s="375">
        <f t="shared" si="116"/>
        <v>0</v>
      </c>
      <c r="FXB49" s="375">
        <f t="shared" si="116"/>
        <v>0</v>
      </c>
      <c r="FXC49" s="375">
        <f t="shared" si="116"/>
        <v>0</v>
      </c>
      <c r="FXD49" s="375">
        <f t="shared" si="116"/>
        <v>0</v>
      </c>
      <c r="FXE49" s="375">
        <f t="shared" si="116"/>
        <v>0</v>
      </c>
      <c r="FXF49" s="375">
        <f t="shared" si="116"/>
        <v>0</v>
      </c>
      <c r="FXG49" s="375">
        <f t="shared" si="116"/>
        <v>0</v>
      </c>
      <c r="FXH49" s="375">
        <f t="shared" si="116"/>
        <v>0</v>
      </c>
      <c r="FXI49" s="375">
        <f t="shared" si="116"/>
        <v>0</v>
      </c>
      <c r="FXJ49" s="375">
        <f t="shared" si="116"/>
        <v>0</v>
      </c>
      <c r="FXK49" s="375">
        <f t="shared" si="116"/>
        <v>0</v>
      </c>
      <c r="FXL49" s="375">
        <f t="shared" si="116"/>
        <v>0</v>
      </c>
      <c r="FXM49" s="375">
        <f t="shared" si="116"/>
        <v>0</v>
      </c>
      <c r="FXN49" s="375">
        <f t="shared" si="116"/>
        <v>0</v>
      </c>
      <c r="FXO49" s="375">
        <f t="shared" si="116"/>
        <v>0</v>
      </c>
      <c r="FXP49" s="375">
        <f t="shared" si="116"/>
        <v>0</v>
      </c>
      <c r="FXQ49" s="375">
        <f t="shared" si="116"/>
        <v>0</v>
      </c>
      <c r="FXR49" s="375">
        <f t="shared" si="116"/>
        <v>0</v>
      </c>
      <c r="FXS49" s="375">
        <f t="shared" si="116"/>
        <v>0</v>
      </c>
      <c r="FXT49" s="375">
        <f t="shared" si="116"/>
        <v>0</v>
      </c>
      <c r="FXU49" s="375">
        <f t="shared" si="116"/>
        <v>0</v>
      </c>
      <c r="FXV49" s="375">
        <f t="shared" si="116"/>
        <v>0</v>
      </c>
      <c r="FXW49" s="375">
        <f t="shared" si="116"/>
        <v>0</v>
      </c>
      <c r="FXX49" s="375">
        <f t="shared" si="116"/>
        <v>0</v>
      </c>
      <c r="FXY49" s="375">
        <f t="shared" si="116"/>
        <v>0</v>
      </c>
      <c r="FXZ49" s="375">
        <f t="shared" si="116"/>
        <v>0</v>
      </c>
      <c r="FYA49" s="375">
        <f t="shared" si="116"/>
        <v>0</v>
      </c>
      <c r="FYB49" s="375">
        <f t="shared" si="116"/>
        <v>0</v>
      </c>
      <c r="FYC49" s="375">
        <f t="shared" si="116"/>
        <v>0</v>
      </c>
      <c r="FYD49" s="375">
        <f t="shared" si="116"/>
        <v>0</v>
      </c>
      <c r="FYE49" s="375">
        <f t="shared" si="116"/>
        <v>0</v>
      </c>
      <c r="FYF49" s="375">
        <f t="shared" si="116"/>
        <v>0</v>
      </c>
      <c r="FYG49" s="375">
        <f t="shared" si="116"/>
        <v>0</v>
      </c>
      <c r="FYH49" s="375">
        <f t="shared" si="116"/>
        <v>0</v>
      </c>
      <c r="FYI49" s="375">
        <f t="shared" si="116"/>
        <v>0</v>
      </c>
      <c r="FYJ49" s="375">
        <f t="shared" si="116"/>
        <v>0</v>
      </c>
      <c r="FYK49" s="375">
        <f t="shared" si="116"/>
        <v>0</v>
      </c>
      <c r="FYL49" s="375">
        <f t="shared" si="116"/>
        <v>0</v>
      </c>
      <c r="FYM49" s="375">
        <f t="shared" si="116"/>
        <v>0</v>
      </c>
      <c r="FYN49" s="375">
        <f t="shared" si="116"/>
        <v>0</v>
      </c>
      <c r="FYO49" s="375">
        <f t="shared" si="116"/>
        <v>0</v>
      </c>
      <c r="FYP49" s="375">
        <f t="shared" si="116"/>
        <v>0</v>
      </c>
      <c r="FYQ49" s="375">
        <f t="shared" si="116"/>
        <v>0</v>
      </c>
      <c r="FYR49" s="375">
        <f t="shared" si="116"/>
        <v>0</v>
      </c>
      <c r="FYS49" s="375">
        <f t="shared" si="116"/>
        <v>0</v>
      </c>
      <c r="FYT49" s="375">
        <f t="shared" si="116"/>
        <v>0</v>
      </c>
      <c r="FYU49" s="375">
        <f t="shared" si="116"/>
        <v>0</v>
      </c>
      <c r="FYV49" s="375">
        <f t="shared" si="116"/>
        <v>0</v>
      </c>
      <c r="FYW49" s="375">
        <f t="shared" si="116"/>
        <v>0</v>
      </c>
      <c r="FYX49" s="375">
        <f t="shared" si="116"/>
        <v>0</v>
      </c>
      <c r="FYY49" s="375">
        <f t="shared" si="116"/>
        <v>0</v>
      </c>
      <c r="FYZ49" s="375">
        <f t="shared" si="116"/>
        <v>0</v>
      </c>
      <c r="FZA49" s="375">
        <f t="shared" si="116"/>
        <v>0</v>
      </c>
      <c r="FZB49" s="375">
        <f t="shared" si="116"/>
        <v>0</v>
      </c>
      <c r="FZC49" s="375">
        <f t="shared" si="116"/>
        <v>0</v>
      </c>
      <c r="FZD49" s="375">
        <f t="shared" si="116"/>
        <v>0</v>
      </c>
      <c r="FZE49" s="375">
        <f t="shared" ref="FZE49:GBP49" si="117">FZE48*0.8</f>
        <v>0</v>
      </c>
      <c r="FZF49" s="375">
        <f t="shared" si="117"/>
        <v>0</v>
      </c>
      <c r="FZG49" s="375">
        <f t="shared" si="117"/>
        <v>0</v>
      </c>
      <c r="FZH49" s="375">
        <f t="shared" si="117"/>
        <v>0</v>
      </c>
      <c r="FZI49" s="375">
        <f t="shared" si="117"/>
        <v>0</v>
      </c>
      <c r="FZJ49" s="375">
        <f t="shared" si="117"/>
        <v>0</v>
      </c>
      <c r="FZK49" s="375">
        <f t="shared" si="117"/>
        <v>0</v>
      </c>
      <c r="FZL49" s="375">
        <f t="shared" si="117"/>
        <v>0</v>
      </c>
      <c r="FZM49" s="375">
        <f t="shared" si="117"/>
        <v>0</v>
      </c>
      <c r="FZN49" s="375">
        <f t="shared" si="117"/>
        <v>0</v>
      </c>
      <c r="FZO49" s="375">
        <f t="shared" si="117"/>
        <v>0</v>
      </c>
      <c r="FZP49" s="375">
        <f t="shared" si="117"/>
        <v>0</v>
      </c>
      <c r="FZQ49" s="375">
        <f t="shared" si="117"/>
        <v>0</v>
      </c>
      <c r="FZR49" s="375">
        <f t="shared" si="117"/>
        <v>0</v>
      </c>
      <c r="FZS49" s="375">
        <f t="shared" si="117"/>
        <v>0</v>
      </c>
      <c r="FZT49" s="375">
        <f t="shared" si="117"/>
        <v>0</v>
      </c>
      <c r="FZU49" s="375">
        <f t="shared" si="117"/>
        <v>0</v>
      </c>
      <c r="FZV49" s="375">
        <f t="shared" si="117"/>
        <v>0</v>
      </c>
      <c r="FZW49" s="375">
        <f t="shared" si="117"/>
        <v>0</v>
      </c>
      <c r="FZX49" s="375">
        <f t="shared" si="117"/>
        <v>0</v>
      </c>
      <c r="FZY49" s="375">
        <f t="shared" si="117"/>
        <v>0</v>
      </c>
      <c r="FZZ49" s="375">
        <f t="shared" si="117"/>
        <v>0</v>
      </c>
      <c r="GAA49" s="375">
        <f t="shared" si="117"/>
        <v>0</v>
      </c>
      <c r="GAB49" s="375">
        <f t="shared" si="117"/>
        <v>0</v>
      </c>
      <c r="GAC49" s="375">
        <f t="shared" si="117"/>
        <v>0</v>
      </c>
      <c r="GAD49" s="375">
        <f t="shared" si="117"/>
        <v>0</v>
      </c>
      <c r="GAE49" s="375">
        <f t="shared" si="117"/>
        <v>0</v>
      </c>
      <c r="GAF49" s="375">
        <f t="shared" si="117"/>
        <v>0</v>
      </c>
      <c r="GAG49" s="375">
        <f t="shared" si="117"/>
        <v>0</v>
      </c>
      <c r="GAH49" s="375">
        <f t="shared" si="117"/>
        <v>0</v>
      </c>
      <c r="GAI49" s="375">
        <f t="shared" si="117"/>
        <v>0</v>
      </c>
      <c r="GAJ49" s="375">
        <f t="shared" si="117"/>
        <v>0</v>
      </c>
      <c r="GAK49" s="375">
        <f t="shared" si="117"/>
        <v>0</v>
      </c>
      <c r="GAL49" s="375">
        <f t="shared" si="117"/>
        <v>0</v>
      </c>
      <c r="GAM49" s="375">
        <f t="shared" si="117"/>
        <v>0</v>
      </c>
      <c r="GAN49" s="375">
        <f t="shared" si="117"/>
        <v>0</v>
      </c>
      <c r="GAO49" s="375">
        <f t="shared" si="117"/>
        <v>0</v>
      </c>
      <c r="GAP49" s="375">
        <f t="shared" si="117"/>
        <v>0</v>
      </c>
      <c r="GAQ49" s="375">
        <f t="shared" si="117"/>
        <v>0</v>
      </c>
      <c r="GAR49" s="375">
        <f t="shared" si="117"/>
        <v>0</v>
      </c>
      <c r="GAS49" s="375">
        <f t="shared" si="117"/>
        <v>0</v>
      </c>
      <c r="GAT49" s="375">
        <f t="shared" si="117"/>
        <v>0</v>
      </c>
      <c r="GAU49" s="375">
        <f t="shared" si="117"/>
        <v>0</v>
      </c>
      <c r="GAV49" s="375">
        <f t="shared" si="117"/>
        <v>0</v>
      </c>
      <c r="GAW49" s="375">
        <f t="shared" si="117"/>
        <v>0</v>
      </c>
      <c r="GAX49" s="375">
        <f t="shared" si="117"/>
        <v>0</v>
      </c>
      <c r="GAY49" s="375">
        <f t="shared" si="117"/>
        <v>0</v>
      </c>
      <c r="GAZ49" s="375">
        <f t="shared" si="117"/>
        <v>0</v>
      </c>
      <c r="GBA49" s="375">
        <f t="shared" si="117"/>
        <v>0</v>
      </c>
      <c r="GBB49" s="375">
        <f t="shared" si="117"/>
        <v>0</v>
      </c>
      <c r="GBC49" s="375">
        <f t="shared" si="117"/>
        <v>0</v>
      </c>
      <c r="GBD49" s="375">
        <f t="shared" si="117"/>
        <v>0</v>
      </c>
      <c r="GBE49" s="375">
        <f t="shared" si="117"/>
        <v>0</v>
      </c>
      <c r="GBF49" s="375">
        <f t="shared" si="117"/>
        <v>0</v>
      </c>
      <c r="GBG49" s="375">
        <f t="shared" si="117"/>
        <v>0</v>
      </c>
      <c r="GBH49" s="375">
        <f t="shared" si="117"/>
        <v>0</v>
      </c>
      <c r="GBI49" s="375">
        <f t="shared" si="117"/>
        <v>0</v>
      </c>
      <c r="GBJ49" s="375">
        <f t="shared" si="117"/>
        <v>0</v>
      </c>
      <c r="GBK49" s="375">
        <f t="shared" si="117"/>
        <v>0</v>
      </c>
      <c r="GBL49" s="375">
        <f t="shared" si="117"/>
        <v>0</v>
      </c>
      <c r="GBM49" s="375">
        <f t="shared" si="117"/>
        <v>0</v>
      </c>
      <c r="GBN49" s="375">
        <f t="shared" si="117"/>
        <v>0</v>
      </c>
      <c r="GBO49" s="375">
        <f t="shared" si="117"/>
        <v>0</v>
      </c>
      <c r="GBP49" s="375">
        <f t="shared" si="117"/>
        <v>0</v>
      </c>
      <c r="GBQ49" s="375">
        <f t="shared" ref="GBQ49:GEB49" si="118">GBQ48*0.8</f>
        <v>0</v>
      </c>
      <c r="GBR49" s="375">
        <f t="shared" si="118"/>
        <v>0</v>
      </c>
      <c r="GBS49" s="375">
        <f t="shared" si="118"/>
        <v>0</v>
      </c>
      <c r="GBT49" s="375">
        <f t="shared" si="118"/>
        <v>0</v>
      </c>
      <c r="GBU49" s="375">
        <f t="shared" si="118"/>
        <v>0</v>
      </c>
      <c r="GBV49" s="375">
        <f t="shared" si="118"/>
        <v>0</v>
      </c>
      <c r="GBW49" s="375">
        <f t="shared" si="118"/>
        <v>0</v>
      </c>
      <c r="GBX49" s="375">
        <f t="shared" si="118"/>
        <v>0</v>
      </c>
      <c r="GBY49" s="375">
        <f t="shared" si="118"/>
        <v>0</v>
      </c>
      <c r="GBZ49" s="375">
        <f t="shared" si="118"/>
        <v>0</v>
      </c>
      <c r="GCA49" s="375">
        <f t="shared" si="118"/>
        <v>0</v>
      </c>
      <c r="GCB49" s="375">
        <f t="shared" si="118"/>
        <v>0</v>
      </c>
      <c r="GCC49" s="375">
        <f t="shared" si="118"/>
        <v>0</v>
      </c>
      <c r="GCD49" s="375">
        <f t="shared" si="118"/>
        <v>0</v>
      </c>
      <c r="GCE49" s="375">
        <f t="shared" si="118"/>
        <v>0</v>
      </c>
      <c r="GCF49" s="375">
        <f t="shared" si="118"/>
        <v>0</v>
      </c>
      <c r="GCG49" s="375">
        <f t="shared" si="118"/>
        <v>0</v>
      </c>
      <c r="GCH49" s="375">
        <f t="shared" si="118"/>
        <v>0</v>
      </c>
      <c r="GCI49" s="375">
        <f t="shared" si="118"/>
        <v>0</v>
      </c>
      <c r="GCJ49" s="375">
        <f t="shared" si="118"/>
        <v>0</v>
      </c>
      <c r="GCK49" s="375">
        <f t="shared" si="118"/>
        <v>0</v>
      </c>
      <c r="GCL49" s="375">
        <f t="shared" si="118"/>
        <v>0</v>
      </c>
      <c r="GCM49" s="375">
        <f t="shared" si="118"/>
        <v>0</v>
      </c>
      <c r="GCN49" s="375">
        <f t="shared" si="118"/>
        <v>0</v>
      </c>
      <c r="GCO49" s="375">
        <f t="shared" si="118"/>
        <v>0</v>
      </c>
      <c r="GCP49" s="375">
        <f t="shared" si="118"/>
        <v>0</v>
      </c>
      <c r="GCQ49" s="375">
        <f t="shared" si="118"/>
        <v>0</v>
      </c>
      <c r="GCR49" s="375">
        <f t="shared" si="118"/>
        <v>0</v>
      </c>
      <c r="GCS49" s="375">
        <f t="shared" si="118"/>
        <v>0</v>
      </c>
      <c r="GCT49" s="375">
        <f t="shared" si="118"/>
        <v>0</v>
      </c>
      <c r="GCU49" s="375">
        <f t="shared" si="118"/>
        <v>0</v>
      </c>
      <c r="GCV49" s="375">
        <f t="shared" si="118"/>
        <v>0</v>
      </c>
      <c r="GCW49" s="375">
        <f t="shared" si="118"/>
        <v>0</v>
      </c>
      <c r="GCX49" s="375">
        <f t="shared" si="118"/>
        <v>0</v>
      </c>
      <c r="GCY49" s="375">
        <f t="shared" si="118"/>
        <v>0</v>
      </c>
      <c r="GCZ49" s="375">
        <f t="shared" si="118"/>
        <v>0</v>
      </c>
      <c r="GDA49" s="375">
        <f t="shared" si="118"/>
        <v>0</v>
      </c>
      <c r="GDB49" s="375">
        <f t="shared" si="118"/>
        <v>0</v>
      </c>
      <c r="GDC49" s="375">
        <f t="shared" si="118"/>
        <v>0</v>
      </c>
      <c r="GDD49" s="375">
        <f t="shared" si="118"/>
        <v>0</v>
      </c>
      <c r="GDE49" s="375">
        <f t="shared" si="118"/>
        <v>0</v>
      </c>
      <c r="GDF49" s="375">
        <f t="shared" si="118"/>
        <v>0</v>
      </c>
      <c r="GDG49" s="375">
        <f t="shared" si="118"/>
        <v>0</v>
      </c>
      <c r="GDH49" s="375">
        <f t="shared" si="118"/>
        <v>0</v>
      </c>
      <c r="GDI49" s="375">
        <f t="shared" si="118"/>
        <v>0</v>
      </c>
      <c r="GDJ49" s="375">
        <f t="shared" si="118"/>
        <v>0</v>
      </c>
      <c r="GDK49" s="375">
        <f t="shared" si="118"/>
        <v>0</v>
      </c>
      <c r="GDL49" s="375">
        <f t="shared" si="118"/>
        <v>0</v>
      </c>
      <c r="GDM49" s="375">
        <f t="shared" si="118"/>
        <v>0</v>
      </c>
      <c r="GDN49" s="375">
        <f t="shared" si="118"/>
        <v>0</v>
      </c>
      <c r="GDO49" s="375">
        <f t="shared" si="118"/>
        <v>0</v>
      </c>
      <c r="GDP49" s="375">
        <f t="shared" si="118"/>
        <v>0</v>
      </c>
      <c r="GDQ49" s="375">
        <f t="shared" si="118"/>
        <v>0</v>
      </c>
      <c r="GDR49" s="375">
        <f t="shared" si="118"/>
        <v>0</v>
      </c>
      <c r="GDS49" s="375">
        <f t="shared" si="118"/>
        <v>0</v>
      </c>
      <c r="GDT49" s="375">
        <f t="shared" si="118"/>
        <v>0</v>
      </c>
      <c r="GDU49" s="375">
        <f t="shared" si="118"/>
        <v>0</v>
      </c>
      <c r="GDV49" s="375">
        <f t="shared" si="118"/>
        <v>0</v>
      </c>
      <c r="GDW49" s="375">
        <f t="shared" si="118"/>
        <v>0</v>
      </c>
      <c r="GDX49" s="375">
        <f t="shared" si="118"/>
        <v>0</v>
      </c>
      <c r="GDY49" s="375">
        <f t="shared" si="118"/>
        <v>0</v>
      </c>
      <c r="GDZ49" s="375">
        <f t="shared" si="118"/>
        <v>0</v>
      </c>
      <c r="GEA49" s="375">
        <f t="shared" si="118"/>
        <v>0</v>
      </c>
      <c r="GEB49" s="375">
        <f t="shared" si="118"/>
        <v>0</v>
      </c>
      <c r="GEC49" s="375">
        <f t="shared" ref="GEC49:GGN49" si="119">GEC48*0.8</f>
        <v>0</v>
      </c>
      <c r="GED49" s="375">
        <f t="shared" si="119"/>
        <v>0</v>
      </c>
      <c r="GEE49" s="375">
        <f t="shared" si="119"/>
        <v>0</v>
      </c>
      <c r="GEF49" s="375">
        <f t="shared" si="119"/>
        <v>0</v>
      </c>
      <c r="GEG49" s="375">
        <f t="shared" si="119"/>
        <v>0</v>
      </c>
      <c r="GEH49" s="375">
        <f t="shared" si="119"/>
        <v>0</v>
      </c>
      <c r="GEI49" s="375">
        <f t="shared" si="119"/>
        <v>0</v>
      </c>
      <c r="GEJ49" s="375">
        <f t="shared" si="119"/>
        <v>0</v>
      </c>
      <c r="GEK49" s="375">
        <f t="shared" si="119"/>
        <v>0</v>
      </c>
      <c r="GEL49" s="375">
        <f t="shared" si="119"/>
        <v>0</v>
      </c>
      <c r="GEM49" s="375">
        <f t="shared" si="119"/>
        <v>0</v>
      </c>
      <c r="GEN49" s="375">
        <f t="shared" si="119"/>
        <v>0</v>
      </c>
      <c r="GEO49" s="375">
        <f t="shared" si="119"/>
        <v>0</v>
      </c>
      <c r="GEP49" s="375">
        <f t="shared" si="119"/>
        <v>0</v>
      </c>
      <c r="GEQ49" s="375">
        <f t="shared" si="119"/>
        <v>0</v>
      </c>
      <c r="GER49" s="375">
        <f t="shared" si="119"/>
        <v>0</v>
      </c>
      <c r="GES49" s="375">
        <f t="shared" si="119"/>
        <v>0</v>
      </c>
      <c r="GET49" s="375">
        <f t="shared" si="119"/>
        <v>0</v>
      </c>
      <c r="GEU49" s="375">
        <f t="shared" si="119"/>
        <v>0</v>
      </c>
      <c r="GEV49" s="375">
        <f t="shared" si="119"/>
        <v>0</v>
      </c>
      <c r="GEW49" s="375">
        <f t="shared" si="119"/>
        <v>0</v>
      </c>
      <c r="GEX49" s="375">
        <f t="shared" si="119"/>
        <v>0</v>
      </c>
      <c r="GEY49" s="375">
        <f t="shared" si="119"/>
        <v>0</v>
      </c>
      <c r="GEZ49" s="375">
        <f t="shared" si="119"/>
        <v>0</v>
      </c>
      <c r="GFA49" s="375">
        <f t="shared" si="119"/>
        <v>0</v>
      </c>
      <c r="GFB49" s="375">
        <f t="shared" si="119"/>
        <v>0</v>
      </c>
      <c r="GFC49" s="375">
        <f t="shared" si="119"/>
        <v>0</v>
      </c>
      <c r="GFD49" s="375">
        <f t="shared" si="119"/>
        <v>0</v>
      </c>
      <c r="GFE49" s="375">
        <f t="shared" si="119"/>
        <v>0</v>
      </c>
      <c r="GFF49" s="375">
        <f t="shared" si="119"/>
        <v>0</v>
      </c>
      <c r="GFG49" s="375">
        <f t="shared" si="119"/>
        <v>0</v>
      </c>
      <c r="GFH49" s="375">
        <f t="shared" si="119"/>
        <v>0</v>
      </c>
      <c r="GFI49" s="375">
        <f t="shared" si="119"/>
        <v>0</v>
      </c>
      <c r="GFJ49" s="375">
        <f t="shared" si="119"/>
        <v>0</v>
      </c>
      <c r="GFK49" s="375">
        <f t="shared" si="119"/>
        <v>0</v>
      </c>
      <c r="GFL49" s="375">
        <f t="shared" si="119"/>
        <v>0</v>
      </c>
      <c r="GFM49" s="375">
        <f t="shared" si="119"/>
        <v>0</v>
      </c>
      <c r="GFN49" s="375">
        <f t="shared" si="119"/>
        <v>0</v>
      </c>
      <c r="GFO49" s="375">
        <f t="shared" si="119"/>
        <v>0</v>
      </c>
      <c r="GFP49" s="375">
        <f t="shared" si="119"/>
        <v>0</v>
      </c>
      <c r="GFQ49" s="375">
        <f t="shared" si="119"/>
        <v>0</v>
      </c>
      <c r="GFR49" s="375">
        <f t="shared" si="119"/>
        <v>0</v>
      </c>
      <c r="GFS49" s="375">
        <f t="shared" si="119"/>
        <v>0</v>
      </c>
      <c r="GFT49" s="375">
        <f t="shared" si="119"/>
        <v>0</v>
      </c>
      <c r="GFU49" s="375">
        <f t="shared" si="119"/>
        <v>0</v>
      </c>
      <c r="GFV49" s="375">
        <f t="shared" si="119"/>
        <v>0</v>
      </c>
      <c r="GFW49" s="375">
        <f t="shared" si="119"/>
        <v>0</v>
      </c>
      <c r="GFX49" s="375">
        <f t="shared" si="119"/>
        <v>0</v>
      </c>
      <c r="GFY49" s="375">
        <f t="shared" si="119"/>
        <v>0</v>
      </c>
      <c r="GFZ49" s="375">
        <f t="shared" si="119"/>
        <v>0</v>
      </c>
      <c r="GGA49" s="375">
        <f t="shared" si="119"/>
        <v>0</v>
      </c>
      <c r="GGB49" s="375">
        <f t="shared" si="119"/>
        <v>0</v>
      </c>
      <c r="GGC49" s="375">
        <f t="shared" si="119"/>
        <v>0</v>
      </c>
      <c r="GGD49" s="375">
        <f t="shared" si="119"/>
        <v>0</v>
      </c>
      <c r="GGE49" s="375">
        <f t="shared" si="119"/>
        <v>0</v>
      </c>
      <c r="GGF49" s="375">
        <f t="shared" si="119"/>
        <v>0</v>
      </c>
      <c r="GGG49" s="375">
        <f t="shared" si="119"/>
        <v>0</v>
      </c>
      <c r="GGH49" s="375">
        <f t="shared" si="119"/>
        <v>0</v>
      </c>
      <c r="GGI49" s="375">
        <f t="shared" si="119"/>
        <v>0</v>
      </c>
      <c r="GGJ49" s="375">
        <f t="shared" si="119"/>
        <v>0</v>
      </c>
      <c r="GGK49" s="375">
        <f t="shared" si="119"/>
        <v>0</v>
      </c>
      <c r="GGL49" s="375">
        <f t="shared" si="119"/>
        <v>0</v>
      </c>
      <c r="GGM49" s="375">
        <f t="shared" si="119"/>
        <v>0</v>
      </c>
      <c r="GGN49" s="375">
        <f t="shared" si="119"/>
        <v>0</v>
      </c>
      <c r="GGO49" s="375">
        <f t="shared" ref="GGO49:GIZ49" si="120">GGO48*0.8</f>
        <v>0</v>
      </c>
      <c r="GGP49" s="375">
        <f t="shared" si="120"/>
        <v>0</v>
      </c>
      <c r="GGQ49" s="375">
        <f t="shared" si="120"/>
        <v>0</v>
      </c>
      <c r="GGR49" s="375">
        <f t="shared" si="120"/>
        <v>0</v>
      </c>
      <c r="GGS49" s="375">
        <f t="shared" si="120"/>
        <v>0</v>
      </c>
      <c r="GGT49" s="375">
        <f t="shared" si="120"/>
        <v>0</v>
      </c>
      <c r="GGU49" s="375">
        <f t="shared" si="120"/>
        <v>0</v>
      </c>
      <c r="GGV49" s="375">
        <f t="shared" si="120"/>
        <v>0</v>
      </c>
      <c r="GGW49" s="375">
        <f t="shared" si="120"/>
        <v>0</v>
      </c>
      <c r="GGX49" s="375">
        <f t="shared" si="120"/>
        <v>0</v>
      </c>
      <c r="GGY49" s="375">
        <f t="shared" si="120"/>
        <v>0</v>
      </c>
      <c r="GGZ49" s="375">
        <f t="shared" si="120"/>
        <v>0</v>
      </c>
      <c r="GHA49" s="375">
        <f t="shared" si="120"/>
        <v>0</v>
      </c>
      <c r="GHB49" s="375">
        <f t="shared" si="120"/>
        <v>0</v>
      </c>
      <c r="GHC49" s="375">
        <f t="shared" si="120"/>
        <v>0</v>
      </c>
      <c r="GHD49" s="375">
        <f t="shared" si="120"/>
        <v>0</v>
      </c>
      <c r="GHE49" s="375">
        <f t="shared" si="120"/>
        <v>0</v>
      </c>
      <c r="GHF49" s="375">
        <f t="shared" si="120"/>
        <v>0</v>
      </c>
      <c r="GHG49" s="375">
        <f t="shared" si="120"/>
        <v>0</v>
      </c>
      <c r="GHH49" s="375">
        <f t="shared" si="120"/>
        <v>0</v>
      </c>
      <c r="GHI49" s="375">
        <f t="shared" si="120"/>
        <v>0</v>
      </c>
      <c r="GHJ49" s="375">
        <f t="shared" si="120"/>
        <v>0</v>
      </c>
      <c r="GHK49" s="375">
        <f t="shared" si="120"/>
        <v>0</v>
      </c>
      <c r="GHL49" s="375">
        <f t="shared" si="120"/>
        <v>0</v>
      </c>
      <c r="GHM49" s="375">
        <f t="shared" si="120"/>
        <v>0</v>
      </c>
      <c r="GHN49" s="375">
        <f t="shared" si="120"/>
        <v>0</v>
      </c>
      <c r="GHO49" s="375">
        <f t="shared" si="120"/>
        <v>0</v>
      </c>
      <c r="GHP49" s="375">
        <f t="shared" si="120"/>
        <v>0</v>
      </c>
      <c r="GHQ49" s="375">
        <f t="shared" si="120"/>
        <v>0</v>
      </c>
      <c r="GHR49" s="375">
        <f t="shared" si="120"/>
        <v>0</v>
      </c>
      <c r="GHS49" s="375">
        <f t="shared" si="120"/>
        <v>0</v>
      </c>
      <c r="GHT49" s="375">
        <f t="shared" si="120"/>
        <v>0</v>
      </c>
      <c r="GHU49" s="375">
        <f t="shared" si="120"/>
        <v>0</v>
      </c>
      <c r="GHV49" s="375">
        <f t="shared" si="120"/>
        <v>0</v>
      </c>
      <c r="GHW49" s="375">
        <f t="shared" si="120"/>
        <v>0</v>
      </c>
      <c r="GHX49" s="375">
        <f t="shared" si="120"/>
        <v>0</v>
      </c>
      <c r="GHY49" s="375">
        <f t="shared" si="120"/>
        <v>0</v>
      </c>
      <c r="GHZ49" s="375">
        <f t="shared" si="120"/>
        <v>0</v>
      </c>
      <c r="GIA49" s="375">
        <f t="shared" si="120"/>
        <v>0</v>
      </c>
      <c r="GIB49" s="375">
        <f t="shared" si="120"/>
        <v>0</v>
      </c>
      <c r="GIC49" s="375">
        <f t="shared" si="120"/>
        <v>0</v>
      </c>
      <c r="GID49" s="375">
        <f t="shared" si="120"/>
        <v>0</v>
      </c>
      <c r="GIE49" s="375">
        <f t="shared" si="120"/>
        <v>0</v>
      </c>
      <c r="GIF49" s="375">
        <f t="shared" si="120"/>
        <v>0</v>
      </c>
      <c r="GIG49" s="375">
        <f t="shared" si="120"/>
        <v>0</v>
      </c>
      <c r="GIH49" s="375">
        <f t="shared" si="120"/>
        <v>0</v>
      </c>
      <c r="GII49" s="375">
        <f t="shared" si="120"/>
        <v>0</v>
      </c>
      <c r="GIJ49" s="375">
        <f t="shared" si="120"/>
        <v>0</v>
      </c>
      <c r="GIK49" s="375">
        <f t="shared" si="120"/>
        <v>0</v>
      </c>
      <c r="GIL49" s="375">
        <f t="shared" si="120"/>
        <v>0</v>
      </c>
      <c r="GIM49" s="375">
        <f t="shared" si="120"/>
        <v>0</v>
      </c>
      <c r="GIN49" s="375">
        <f t="shared" si="120"/>
        <v>0</v>
      </c>
      <c r="GIO49" s="375">
        <f t="shared" si="120"/>
        <v>0</v>
      </c>
      <c r="GIP49" s="375">
        <f t="shared" si="120"/>
        <v>0</v>
      </c>
      <c r="GIQ49" s="375">
        <f t="shared" si="120"/>
        <v>0</v>
      </c>
      <c r="GIR49" s="375">
        <f t="shared" si="120"/>
        <v>0</v>
      </c>
      <c r="GIS49" s="375">
        <f t="shared" si="120"/>
        <v>0</v>
      </c>
      <c r="GIT49" s="375">
        <f t="shared" si="120"/>
        <v>0</v>
      </c>
      <c r="GIU49" s="375">
        <f t="shared" si="120"/>
        <v>0</v>
      </c>
      <c r="GIV49" s="375">
        <f t="shared" si="120"/>
        <v>0</v>
      </c>
      <c r="GIW49" s="375">
        <f t="shared" si="120"/>
        <v>0</v>
      </c>
      <c r="GIX49" s="375">
        <f t="shared" si="120"/>
        <v>0</v>
      </c>
      <c r="GIY49" s="375">
        <f t="shared" si="120"/>
        <v>0</v>
      </c>
      <c r="GIZ49" s="375">
        <f t="shared" si="120"/>
        <v>0</v>
      </c>
      <c r="GJA49" s="375">
        <f t="shared" ref="GJA49:GLL49" si="121">GJA48*0.8</f>
        <v>0</v>
      </c>
      <c r="GJB49" s="375">
        <f t="shared" si="121"/>
        <v>0</v>
      </c>
      <c r="GJC49" s="375">
        <f t="shared" si="121"/>
        <v>0</v>
      </c>
      <c r="GJD49" s="375">
        <f t="shared" si="121"/>
        <v>0</v>
      </c>
      <c r="GJE49" s="375">
        <f t="shared" si="121"/>
        <v>0</v>
      </c>
      <c r="GJF49" s="375">
        <f t="shared" si="121"/>
        <v>0</v>
      </c>
      <c r="GJG49" s="375">
        <f t="shared" si="121"/>
        <v>0</v>
      </c>
      <c r="GJH49" s="375">
        <f t="shared" si="121"/>
        <v>0</v>
      </c>
      <c r="GJI49" s="375">
        <f t="shared" si="121"/>
        <v>0</v>
      </c>
      <c r="GJJ49" s="375">
        <f t="shared" si="121"/>
        <v>0</v>
      </c>
      <c r="GJK49" s="375">
        <f t="shared" si="121"/>
        <v>0</v>
      </c>
      <c r="GJL49" s="375">
        <f t="shared" si="121"/>
        <v>0</v>
      </c>
      <c r="GJM49" s="375">
        <f t="shared" si="121"/>
        <v>0</v>
      </c>
      <c r="GJN49" s="375">
        <f t="shared" si="121"/>
        <v>0</v>
      </c>
      <c r="GJO49" s="375">
        <f t="shared" si="121"/>
        <v>0</v>
      </c>
      <c r="GJP49" s="375">
        <f t="shared" si="121"/>
        <v>0</v>
      </c>
      <c r="GJQ49" s="375">
        <f t="shared" si="121"/>
        <v>0</v>
      </c>
      <c r="GJR49" s="375">
        <f t="shared" si="121"/>
        <v>0</v>
      </c>
      <c r="GJS49" s="375">
        <f t="shared" si="121"/>
        <v>0</v>
      </c>
      <c r="GJT49" s="375">
        <f t="shared" si="121"/>
        <v>0</v>
      </c>
      <c r="GJU49" s="375">
        <f t="shared" si="121"/>
        <v>0</v>
      </c>
      <c r="GJV49" s="375">
        <f t="shared" si="121"/>
        <v>0</v>
      </c>
      <c r="GJW49" s="375">
        <f t="shared" si="121"/>
        <v>0</v>
      </c>
      <c r="GJX49" s="375">
        <f t="shared" si="121"/>
        <v>0</v>
      </c>
      <c r="GJY49" s="375">
        <f t="shared" si="121"/>
        <v>0</v>
      </c>
      <c r="GJZ49" s="375">
        <f t="shared" si="121"/>
        <v>0</v>
      </c>
      <c r="GKA49" s="375">
        <f t="shared" si="121"/>
        <v>0</v>
      </c>
      <c r="GKB49" s="375">
        <f t="shared" si="121"/>
        <v>0</v>
      </c>
      <c r="GKC49" s="375">
        <f t="shared" si="121"/>
        <v>0</v>
      </c>
      <c r="GKD49" s="375">
        <f t="shared" si="121"/>
        <v>0</v>
      </c>
      <c r="GKE49" s="375">
        <f t="shared" si="121"/>
        <v>0</v>
      </c>
      <c r="GKF49" s="375">
        <f t="shared" si="121"/>
        <v>0</v>
      </c>
      <c r="GKG49" s="375">
        <f t="shared" si="121"/>
        <v>0</v>
      </c>
      <c r="GKH49" s="375">
        <f t="shared" si="121"/>
        <v>0</v>
      </c>
      <c r="GKI49" s="375">
        <f t="shared" si="121"/>
        <v>0</v>
      </c>
      <c r="GKJ49" s="375">
        <f t="shared" si="121"/>
        <v>0</v>
      </c>
      <c r="GKK49" s="375">
        <f t="shared" si="121"/>
        <v>0</v>
      </c>
      <c r="GKL49" s="375">
        <f t="shared" si="121"/>
        <v>0</v>
      </c>
      <c r="GKM49" s="375">
        <f t="shared" si="121"/>
        <v>0</v>
      </c>
      <c r="GKN49" s="375">
        <f t="shared" si="121"/>
        <v>0</v>
      </c>
      <c r="GKO49" s="375">
        <f t="shared" si="121"/>
        <v>0</v>
      </c>
      <c r="GKP49" s="375">
        <f t="shared" si="121"/>
        <v>0</v>
      </c>
      <c r="GKQ49" s="375">
        <f t="shared" si="121"/>
        <v>0</v>
      </c>
      <c r="GKR49" s="375">
        <f t="shared" si="121"/>
        <v>0</v>
      </c>
      <c r="GKS49" s="375">
        <f t="shared" si="121"/>
        <v>0</v>
      </c>
      <c r="GKT49" s="375">
        <f t="shared" si="121"/>
        <v>0</v>
      </c>
      <c r="GKU49" s="375">
        <f t="shared" si="121"/>
        <v>0</v>
      </c>
      <c r="GKV49" s="375">
        <f t="shared" si="121"/>
        <v>0</v>
      </c>
      <c r="GKW49" s="375">
        <f t="shared" si="121"/>
        <v>0</v>
      </c>
      <c r="GKX49" s="375">
        <f t="shared" si="121"/>
        <v>0</v>
      </c>
      <c r="GKY49" s="375">
        <f t="shared" si="121"/>
        <v>0</v>
      </c>
      <c r="GKZ49" s="375">
        <f t="shared" si="121"/>
        <v>0</v>
      </c>
      <c r="GLA49" s="375">
        <f t="shared" si="121"/>
        <v>0</v>
      </c>
      <c r="GLB49" s="375">
        <f t="shared" si="121"/>
        <v>0</v>
      </c>
      <c r="GLC49" s="375">
        <f t="shared" si="121"/>
        <v>0</v>
      </c>
      <c r="GLD49" s="375">
        <f t="shared" si="121"/>
        <v>0</v>
      </c>
      <c r="GLE49" s="375">
        <f t="shared" si="121"/>
        <v>0</v>
      </c>
      <c r="GLF49" s="375">
        <f t="shared" si="121"/>
        <v>0</v>
      </c>
      <c r="GLG49" s="375">
        <f t="shared" si="121"/>
        <v>0</v>
      </c>
      <c r="GLH49" s="375">
        <f t="shared" si="121"/>
        <v>0</v>
      </c>
      <c r="GLI49" s="375">
        <f t="shared" si="121"/>
        <v>0</v>
      </c>
      <c r="GLJ49" s="375">
        <f t="shared" si="121"/>
        <v>0</v>
      </c>
      <c r="GLK49" s="375">
        <f t="shared" si="121"/>
        <v>0</v>
      </c>
      <c r="GLL49" s="375">
        <f t="shared" si="121"/>
        <v>0</v>
      </c>
      <c r="GLM49" s="375">
        <f t="shared" ref="GLM49:GNX49" si="122">GLM48*0.8</f>
        <v>0</v>
      </c>
      <c r="GLN49" s="375">
        <f t="shared" si="122"/>
        <v>0</v>
      </c>
      <c r="GLO49" s="375">
        <f t="shared" si="122"/>
        <v>0</v>
      </c>
      <c r="GLP49" s="375">
        <f t="shared" si="122"/>
        <v>0</v>
      </c>
      <c r="GLQ49" s="375">
        <f t="shared" si="122"/>
        <v>0</v>
      </c>
      <c r="GLR49" s="375">
        <f t="shared" si="122"/>
        <v>0</v>
      </c>
      <c r="GLS49" s="375">
        <f t="shared" si="122"/>
        <v>0</v>
      </c>
      <c r="GLT49" s="375">
        <f t="shared" si="122"/>
        <v>0</v>
      </c>
      <c r="GLU49" s="375">
        <f t="shared" si="122"/>
        <v>0</v>
      </c>
      <c r="GLV49" s="375">
        <f t="shared" si="122"/>
        <v>0</v>
      </c>
      <c r="GLW49" s="375">
        <f t="shared" si="122"/>
        <v>0</v>
      </c>
      <c r="GLX49" s="375">
        <f t="shared" si="122"/>
        <v>0</v>
      </c>
      <c r="GLY49" s="375">
        <f t="shared" si="122"/>
        <v>0</v>
      </c>
      <c r="GLZ49" s="375">
        <f t="shared" si="122"/>
        <v>0</v>
      </c>
      <c r="GMA49" s="375">
        <f t="shared" si="122"/>
        <v>0</v>
      </c>
      <c r="GMB49" s="375">
        <f t="shared" si="122"/>
        <v>0</v>
      </c>
      <c r="GMC49" s="375">
        <f t="shared" si="122"/>
        <v>0</v>
      </c>
      <c r="GMD49" s="375">
        <f t="shared" si="122"/>
        <v>0</v>
      </c>
      <c r="GME49" s="375">
        <f t="shared" si="122"/>
        <v>0</v>
      </c>
      <c r="GMF49" s="375">
        <f t="shared" si="122"/>
        <v>0</v>
      </c>
      <c r="GMG49" s="375">
        <f t="shared" si="122"/>
        <v>0</v>
      </c>
      <c r="GMH49" s="375">
        <f t="shared" si="122"/>
        <v>0</v>
      </c>
      <c r="GMI49" s="375">
        <f t="shared" si="122"/>
        <v>0</v>
      </c>
      <c r="GMJ49" s="375">
        <f t="shared" si="122"/>
        <v>0</v>
      </c>
      <c r="GMK49" s="375">
        <f t="shared" si="122"/>
        <v>0</v>
      </c>
      <c r="GML49" s="375">
        <f t="shared" si="122"/>
        <v>0</v>
      </c>
      <c r="GMM49" s="375">
        <f t="shared" si="122"/>
        <v>0</v>
      </c>
      <c r="GMN49" s="375">
        <f t="shared" si="122"/>
        <v>0</v>
      </c>
      <c r="GMO49" s="375">
        <f t="shared" si="122"/>
        <v>0</v>
      </c>
      <c r="GMP49" s="375">
        <f t="shared" si="122"/>
        <v>0</v>
      </c>
      <c r="GMQ49" s="375">
        <f t="shared" si="122"/>
        <v>0</v>
      </c>
      <c r="GMR49" s="375">
        <f t="shared" si="122"/>
        <v>0</v>
      </c>
      <c r="GMS49" s="375">
        <f t="shared" si="122"/>
        <v>0</v>
      </c>
      <c r="GMT49" s="375">
        <f t="shared" si="122"/>
        <v>0</v>
      </c>
      <c r="GMU49" s="375">
        <f t="shared" si="122"/>
        <v>0</v>
      </c>
      <c r="GMV49" s="375">
        <f t="shared" si="122"/>
        <v>0</v>
      </c>
      <c r="GMW49" s="375">
        <f t="shared" si="122"/>
        <v>0</v>
      </c>
      <c r="GMX49" s="375">
        <f t="shared" si="122"/>
        <v>0</v>
      </c>
      <c r="GMY49" s="375">
        <f t="shared" si="122"/>
        <v>0</v>
      </c>
      <c r="GMZ49" s="375">
        <f t="shared" si="122"/>
        <v>0</v>
      </c>
      <c r="GNA49" s="375">
        <f t="shared" si="122"/>
        <v>0</v>
      </c>
      <c r="GNB49" s="375">
        <f t="shared" si="122"/>
        <v>0</v>
      </c>
      <c r="GNC49" s="375">
        <f t="shared" si="122"/>
        <v>0</v>
      </c>
      <c r="GND49" s="375">
        <f t="shared" si="122"/>
        <v>0</v>
      </c>
      <c r="GNE49" s="375">
        <f t="shared" si="122"/>
        <v>0</v>
      </c>
      <c r="GNF49" s="375">
        <f t="shared" si="122"/>
        <v>0</v>
      </c>
      <c r="GNG49" s="375">
        <f t="shared" si="122"/>
        <v>0</v>
      </c>
      <c r="GNH49" s="375">
        <f t="shared" si="122"/>
        <v>0</v>
      </c>
      <c r="GNI49" s="375">
        <f t="shared" si="122"/>
        <v>0</v>
      </c>
      <c r="GNJ49" s="375">
        <f t="shared" si="122"/>
        <v>0</v>
      </c>
      <c r="GNK49" s="375">
        <f t="shared" si="122"/>
        <v>0</v>
      </c>
      <c r="GNL49" s="375">
        <f t="shared" si="122"/>
        <v>0</v>
      </c>
      <c r="GNM49" s="375">
        <f t="shared" si="122"/>
        <v>0</v>
      </c>
      <c r="GNN49" s="375">
        <f t="shared" si="122"/>
        <v>0</v>
      </c>
      <c r="GNO49" s="375">
        <f t="shared" si="122"/>
        <v>0</v>
      </c>
      <c r="GNP49" s="375">
        <f t="shared" si="122"/>
        <v>0</v>
      </c>
      <c r="GNQ49" s="375">
        <f t="shared" si="122"/>
        <v>0</v>
      </c>
      <c r="GNR49" s="375">
        <f t="shared" si="122"/>
        <v>0</v>
      </c>
      <c r="GNS49" s="375">
        <f t="shared" si="122"/>
        <v>0</v>
      </c>
      <c r="GNT49" s="375">
        <f t="shared" si="122"/>
        <v>0</v>
      </c>
      <c r="GNU49" s="375">
        <f t="shared" si="122"/>
        <v>0</v>
      </c>
      <c r="GNV49" s="375">
        <f t="shared" si="122"/>
        <v>0</v>
      </c>
      <c r="GNW49" s="375">
        <f t="shared" si="122"/>
        <v>0</v>
      </c>
      <c r="GNX49" s="375">
        <f t="shared" si="122"/>
        <v>0</v>
      </c>
      <c r="GNY49" s="375">
        <f t="shared" ref="GNY49:GQJ49" si="123">GNY48*0.8</f>
        <v>0</v>
      </c>
      <c r="GNZ49" s="375">
        <f t="shared" si="123"/>
        <v>0</v>
      </c>
      <c r="GOA49" s="375">
        <f t="shared" si="123"/>
        <v>0</v>
      </c>
      <c r="GOB49" s="375">
        <f t="shared" si="123"/>
        <v>0</v>
      </c>
      <c r="GOC49" s="375">
        <f t="shared" si="123"/>
        <v>0</v>
      </c>
      <c r="GOD49" s="375">
        <f t="shared" si="123"/>
        <v>0</v>
      </c>
      <c r="GOE49" s="375">
        <f t="shared" si="123"/>
        <v>0</v>
      </c>
      <c r="GOF49" s="375">
        <f t="shared" si="123"/>
        <v>0</v>
      </c>
      <c r="GOG49" s="375">
        <f t="shared" si="123"/>
        <v>0</v>
      </c>
      <c r="GOH49" s="375">
        <f t="shared" si="123"/>
        <v>0</v>
      </c>
      <c r="GOI49" s="375">
        <f t="shared" si="123"/>
        <v>0</v>
      </c>
      <c r="GOJ49" s="375">
        <f t="shared" si="123"/>
        <v>0</v>
      </c>
      <c r="GOK49" s="375">
        <f t="shared" si="123"/>
        <v>0</v>
      </c>
      <c r="GOL49" s="375">
        <f t="shared" si="123"/>
        <v>0</v>
      </c>
      <c r="GOM49" s="375">
        <f t="shared" si="123"/>
        <v>0</v>
      </c>
      <c r="GON49" s="375">
        <f t="shared" si="123"/>
        <v>0</v>
      </c>
      <c r="GOO49" s="375">
        <f t="shared" si="123"/>
        <v>0</v>
      </c>
      <c r="GOP49" s="375">
        <f t="shared" si="123"/>
        <v>0</v>
      </c>
      <c r="GOQ49" s="375">
        <f t="shared" si="123"/>
        <v>0</v>
      </c>
      <c r="GOR49" s="375">
        <f t="shared" si="123"/>
        <v>0</v>
      </c>
      <c r="GOS49" s="375">
        <f t="shared" si="123"/>
        <v>0</v>
      </c>
      <c r="GOT49" s="375">
        <f t="shared" si="123"/>
        <v>0</v>
      </c>
      <c r="GOU49" s="375">
        <f t="shared" si="123"/>
        <v>0</v>
      </c>
      <c r="GOV49" s="375">
        <f t="shared" si="123"/>
        <v>0</v>
      </c>
      <c r="GOW49" s="375">
        <f t="shared" si="123"/>
        <v>0</v>
      </c>
      <c r="GOX49" s="375">
        <f t="shared" si="123"/>
        <v>0</v>
      </c>
      <c r="GOY49" s="375">
        <f t="shared" si="123"/>
        <v>0</v>
      </c>
      <c r="GOZ49" s="375">
        <f t="shared" si="123"/>
        <v>0</v>
      </c>
      <c r="GPA49" s="375">
        <f t="shared" si="123"/>
        <v>0</v>
      </c>
      <c r="GPB49" s="375">
        <f t="shared" si="123"/>
        <v>0</v>
      </c>
      <c r="GPC49" s="375">
        <f t="shared" si="123"/>
        <v>0</v>
      </c>
      <c r="GPD49" s="375">
        <f t="shared" si="123"/>
        <v>0</v>
      </c>
      <c r="GPE49" s="375">
        <f t="shared" si="123"/>
        <v>0</v>
      </c>
      <c r="GPF49" s="375">
        <f t="shared" si="123"/>
        <v>0</v>
      </c>
      <c r="GPG49" s="375">
        <f t="shared" si="123"/>
        <v>0</v>
      </c>
      <c r="GPH49" s="375">
        <f t="shared" si="123"/>
        <v>0</v>
      </c>
      <c r="GPI49" s="375">
        <f t="shared" si="123"/>
        <v>0</v>
      </c>
      <c r="GPJ49" s="375">
        <f t="shared" si="123"/>
        <v>0</v>
      </c>
      <c r="GPK49" s="375">
        <f t="shared" si="123"/>
        <v>0</v>
      </c>
      <c r="GPL49" s="375">
        <f t="shared" si="123"/>
        <v>0</v>
      </c>
      <c r="GPM49" s="375">
        <f t="shared" si="123"/>
        <v>0</v>
      </c>
      <c r="GPN49" s="375">
        <f t="shared" si="123"/>
        <v>0</v>
      </c>
      <c r="GPO49" s="375">
        <f t="shared" si="123"/>
        <v>0</v>
      </c>
      <c r="GPP49" s="375">
        <f t="shared" si="123"/>
        <v>0</v>
      </c>
      <c r="GPQ49" s="375">
        <f t="shared" si="123"/>
        <v>0</v>
      </c>
      <c r="GPR49" s="375">
        <f t="shared" si="123"/>
        <v>0</v>
      </c>
      <c r="GPS49" s="375">
        <f t="shared" si="123"/>
        <v>0</v>
      </c>
      <c r="GPT49" s="375">
        <f t="shared" si="123"/>
        <v>0</v>
      </c>
      <c r="GPU49" s="375">
        <f t="shared" si="123"/>
        <v>0</v>
      </c>
      <c r="GPV49" s="375">
        <f t="shared" si="123"/>
        <v>0</v>
      </c>
      <c r="GPW49" s="375">
        <f t="shared" si="123"/>
        <v>0</v>
      </c>
      <c r="GPX49" s="375">
        <f t="shared" si="123"/>
        <v>0</v>
      </c>
      <c r="GPY49" s="375">
        <f t="shared" si="123"/>
        <v>0</v>
      </c>
      <c r="GPZ49" s="375">
        <f t="shared" si="123"/>
        <v>0</v>
      </c>
      <c r="GQA49" s="375">
        <f t="shared" si="123"/>
        <v>0</v>
      </c>
      <c r="GQB49" s="375">
        <f t="shared" si="123"/>
        <v>0</v>
      </c>
      <c r="GQC49" s="375">
        <f t="shared" si="123"/>
        <v>0</v>
      </c>
      <c r="GQD49" s="375">
        <f t="shared" si="123"/>
        <v>0</v>
      </c>
      <c r="GQE49" s="375">
        <f t="shared" si="123"/>
        <v>0</v>
      </c>
      <c r="GQF49" s="375">
        <f t="shared" si="123"/>
        <v>0</v>
      </c>
      <c r="GQG49" s="375">
        <f t="shared" si="123"/>
        <v>0</v>
      </c>
      <c r="GQH49" s="375">
        <f t="shared" si="123"/>
        <v>0</v>
      </c>
      <c r="GQI49" s="375">
        <f t="shared" si="123"/>
        <v>0</v>
      </c>
      <c r="GQJ49" s="375">
        <f t="shared" si="123"/>
        <v>0</v>
      </c>
      <c r="GQK49" s="375">
        <f t="shared" ref="GQK49:GSV49" si="124">GQK48*0.8</f>
        <v>0</v>
      </c>
      <c r="GQL49" s="375">
        <f t="shared" si="124"/>
        <v>0</v>
      </c>
      <c r="GQM49" s="375">
        <f t="shared" si="124"/>
        <v>0</v>
      </c>
      <c r="GQN49" s="375">
        <f t="shared" si="124"/>
        <v>0</v>
      </c>
      <c r="GQO49" s="375">
        <f t="shared" si="124"/>
        <v>0</v>
      </c>
      <c r="GQP49" s="375">
        <f t="shared" si="124"/>
        <v>0</v>
      </c>
      <c r="GQQ49" s="375">
        <f t="shared" si="124"/>
        <v>0</v>
      </c>
      <c r="GQR49" s="375">
        <f t="shared" si="124"/>
        <v>0</v>
      </c>
      <c r="GQS49" s="375">
        <f t="shared" si="124"/>
        <v>0</v>
      </c>
      <c r="GQT49" s="375">
        <f t="shared" si="124"/>
        <v>0</v>
      </c>
      <c r="GQU49" s="375">
        <f t="shared" si="124"/>
        <v>0</v>
      </c>
      <c r="GQV49" s="375">
        <f t="shared" si="124"/>
        <v>0</v>
      </c>
      <c r="GQW49" s="375">
        <f t="shared" si="124"/>
        <v>0</v>
      </c>
      <c r="GQX49" s="375">
        <f t="shared" si="124"/>
        <v>0</v>
      </c>
      <c r="GQY49" s="375">
        <f t="shared" si="124"/>
        <v>0</v>
      </c>
      <c r="GQZ49" s="375">
        <f t="shared" si="124"/>
        <v>0</v>
      </c>
      <c r="GRA49" s="375">
        <f t="shared" si="124"/>
        <v>0</v>
      </c>
      <c r="GRB49" s="375">
        <f t="shared" si="124"/>
        <v>0</v>
      </c>
      <c r="GRC49" s="375">
        <f t="shared" si="124"/>
        <v>0</v>
      </c>
      <c r="GRD49" s="375">
        <f t="shared" si="124"/>
        <v>0</v>
      </c>
      <c r="GRE49" s="375">
        <f t="shared" si="124"/>
        <v>0</v>
      </c>
      <c r="GRF49" s="375">
        <f t="shared" si="124"/>
        <v>0</v>
      </c>
      <c r="GRG49" s="375">
        <f t="shared" si="124"/>
        <v>0</v>
      </c>
      <c r="GRH49" s="375">
        <f t="shared" si="124"/>
        <v>0</v>
      </c>
      <c r="GRI49" s="375">
        <f t="shared" si="124"/>
        <v>0</v>
      </c>
      <c r="GRJ49" s="375">
        <f t="shared" si="124"/>
        <v>0</v>
      </c>
      <c r="GRK49" s="375">
        <f t="shared" si="124"/>
        <v>0</v>
      </c>
      <c r="GRL49" s="375">
        <f t="shared" si="124"/>
        <v>0</v>
      </c>
      <c r="GRM49" s="375">
        <f t="shared" si="124"/>
        <v>0</v>
      </c>
      <c r="GRN49" s="375">
        <f t="shared" si="124"/>
        <v>0</v>
      </c>
      <c r="GRO49" s="375">
        <f t="shared" si="124"/>
        <v>0</v>
      </c>
      <c r="GRP49" s="375">
        <f t="shared" si="124"/>
        <v>0</v>
      </c>
      <c r="GRQ49" s="375">
        <f t="shared" si="124"/>
        <v>0</v>
      </c>
      <c r="GRR49" s="375">
        <f t="shared" si="124"/>
        <v>0</v>
      </c>
      <c r="GRS49" s="375">
        <f t="shared" si="124"/>
        <v>0</v>
      </c>
      <c r="GRT49" s="375">
        <f t="shared" si="124"/>
        <v>0</v>
      </c>
      <c r="GRU49" s="375">
        <f t="shared" si="124"/>
        <v>0</v>
      </c>
      <c r="GRV49" s="375">
        <f t="shared" si="124"/>
        <v>0</v>
      </c>
      <c r="GRW49" s="375">
        <f t="shared" si="124"/>
        <v>0</v>
      </c>
      <c r="GRX49" s="375">
        <f t="shared" si="124"/>
        <v>0</v>
      </c>
      <c r="GRY49" s="375">
        <f t="shared" si="124"/>
        <v>0</v>
      </c>
      <c r="GRZ49" s="375">
        <f t="shared" si="124"/>
        <v>0</v>
      </c>
      <c r="GSA49" s="375">
        <f t="shared" si="124"/>
        <v>0</v>
      </c>
      <c r="GSB49" s="375">
        <f t="shared" si="124"/>
        <v>0</v>
      </c>
      <c r="GSC49" s="375">
        <f t="shared" si="124"/>
        <v>0</v>
      </c>
      <c r="GSD49" s="375">
        <f t="shared" si="124"/>
        <v>0</v>
      </c>
      <c r="GSE49" s="375">
        <f t="shared" si="124"/>
        <v>0</v>
      </c>
      <c r="GSF49" s="375">
        <f t="shared" si="124"/>
        <v>0</v>
      </c>
      <c r="GSG49" s="375">
        <f t="shared" si="124"/>
        <v>0</v>
      </c>
      <c r="GSH49" s="375">
        <f t="shared" si="124"/>
        <v>0</v>
      </c>
      <c r="GSI49" s="375">
        <f t="shared" si="124"/>
        <v>0</v>
      </c>
      <c r="GSJ49" s="375">
        <f t="shared" si="124"/>
        <v>0</v>
      </c>
      <c r="GSK49" s="375">
        <f t="shared" si="124"/>
        <v>0</v>
      </c>
      <c r="GSL49" s="375">
        <f t="shared" si="124"/>
        <v>0</v>
      </c>
      <c r="GSM49" s="375">
        <f t="shared" si="124"/>
        <v>0</v>
      </c>
      <c r="GSN49" s="375">
        <f t="shared" si="124"/>
        <v>0</v>
      </c>
      <c r="GSO49" s="375">
        <f t="shared" si="124"/>
        <v>0</v>
      </c>
      <c r="GSP49" s="375">
        <f t="shared" si="124"/>
        <v>0</v>
      </c>
      <c r="GSQ49" s="375">
        <f t="shared" si="124"/>
        <v>0</v>
      </c>
      <c r="GSR49" s="375">
        <f t="shared" si="124"/>
        <v>0</v>
      </c>
      <c r="GSS49" s="375">
        <f t="shared" si="124"/>
        <v>0</v>
      </c>
      <c r="GST49" s="375">
        <f t="shared" si="124"/>
        <v>0</v>
      </c>
      <c r="GSU49" s="375">
        <f t="shared" si="124"/>
        <v>0</v>
      </c>
      <c r="GSV49" s="375">
        <f t="shared" si="124"/>
        <v>0</v>
      </c>
      <c r="GSW49" s="375">
        <f t="shared" ref="GSW49:GVH49" si="125">GSW48*0.8</f>
        <v>0</v>
      </c>
      <c r="GSX49" s="375">
        <f t="shared" si="125"/>
        <v>0</v>
      </c>
      <c r="GSY49" s="375">
        <f t="shared" si="125"/>
        <v>0</v>
      </c>
      <c r="GSZ49" s="375">
        <f t="shared" si="125"/>
        <v>0</v>
      </c>
      <c r="GTA49" s="375">
        <f t="shared" si="125"/>
        <v>0</v>
      </c>
      <c r="GTB49" s="375">
        <f t="shared" si="125"/>
        <v>0</v>
      </c>
      <c r="GTC49" s="375">
        <f t="shared" si="125"/>
        <v>0</v>
      </c>
      <c r="GTD49" s="375">
        <f t="shared" si="125"/>
        <v>0</v>
      </c>
      <c r="GTE49" s="375">
        <f t="shared" si="125"/>
        <v>0</v>
      </c>
      <c r="GTF49" s="375">
        <f t="shared" si="125"/>
        <v>0</v>
      </c>
      <c r="GTG49" s="375">
        <f t="shared" si="125"/>
        <v>0</v>
      </c>
      <c r="GTH49" s="375">
        <f t="shared" si="125"/>
        <v>0</v>
      </c>
      <c r="GTI49" s="375">
        <f t="shared" si="125"/>
        <v>0</v>
      </c>
      <c r="GTJ49" s="375">
        <f t="shared" si="125"/>
        <v>0</v>
      </c>
      <c r="GTK49" s="375">
        <f t="shared" si="125"/>
        <v>0</v>
      </c>
      <c r="GTL49" s="375">
        <f t="shared" si="125"/>
        <v>0</v>
      </c>
      <c r="GTM49" s="375">
        <f t="shared" si="125"/>
        <v>0</v>
      </c>
      <c r="GTN49" s="375">
        <f t="shared" si="125"/>
        <v>0</v>
      </c>
      <c r="GTO49" s="375">
        <f t="shared" si="125"/>
        <v>0</v>
      </c>
      <c r="GTP49" s="375">
        <f t="shared" si="125"/>
        <v>0</v>
      </c>
      <c r="GTQ49" s="375">
        <f t="shared" si="125"/>
        <v>0</v>
      </c>
      <c r="GTR49" s="375">
        <f t="shared" si="125"/>
        <v>0</v>
      </c>
      <c r="GTS49" s="375">
        <f t="shared" si="125"/>
        <v>0</v>
      </c>
      <c r="GTT49" s="375">
        <f t="shared" si="125"/>
        <v>0</v>
      </c>
      <c r="GTU49" s="375">
        <f t="shared" si="125"/>
        <v>0</v>
      </c>
      <c r="GTV49" s="375">
        <f t="shared" si="125"/>
        <v>0</v>
      </c>
      <c r="GTW49" s="375">
        <f t="shared" si="125"/>
        <v>0</v>
      </c>
      <c r="GTX49" s="375">
        <f t="shared" si="125"/>
        <v>0</v>
      </c>
      <c r="GTY49" s="375">
        <f t="shared" si="125"/>
        <v>0</v>
      </c>
      <c r="GTZ49" s="375">
        <f t="shared" si="125"/>
        <v>0</v>
      </c>
      <c r="GUA49" s="375">
        <f t="shared" si="125"/>
        <v>0</v>
      </c>
      <c r="GUB49" s="375">
        <f t="shared" si="125"/>
        <v>0</v>
      </c>
      <c r="GUC49" s="375">
        <f t="shared" si="125"/>
        <v>0</v>
      </c>
      <c r="GUD49" s="375">
        <f t="shared" si="125"/>
        <v>0</v>
      </c>
      <c r="GUE49" s="375">
        <f t="shared" si="125"/>
        <v>0</v>
      </c>
      <c r="GUF49" s="375">
        <f t="shared" si="125"/>
        <v>0</v>
      </c>
      <c r="GUG49" s="375">
        <f t="shared" si="125"/>
        <v>0</v>
      </c>
      <c r="GUH49" s="375">
        <f t="shared" si="125"/>
        <v>0</v>
      </c>
      <c r="GUI49" s="375">
        <f t="shared" si="125"/>
        <v>0</v>
      </c>
      <c r="GUJ49" s="375">
        <f t="shared" si="125"/>
        <v>0</v>
      </c>
      <c r="GUK49" s="375">
        <f t="shared" si="125"/>
        <v>0</v>
      </c>
      <c r="GUL49" s="375">
        <f t="shared" si="125"/>
        <v>0</v>
      </c>
      <c r="GUM49" s="375">
        <f t="shared" si="125"/>
        <v>0</v>
      </c>
      <c r="GUN49" s="375">
        <f t="shared" si="125"/>
        <v>0</v>
      </c>
      <c r="GUO49" s="375">
        <f t="shared" si="125"/>
        <v>0</v>
      </c>
      <c r="GUP49" s="375">
        <f t="shared" si="125"/>
        <v>0</v>
      </c>
      <c r="GUQ49" s="375">
        <f t="shared" si="125"/>
        <v>0</v>
      </c>
      <c r="GUR49" s="375">
        <f t="shared" si="125"/>
        <v>0</v>
      </c>
      <c r="GUS49" s="375">
        <f t="shared" si="125"/>
        <v>0</v>
      </c>
      <c r="GUT49" s="375">
        <f t="shared" si="125"/>
        <v>0</v>
      </c>
      <c r="GUU49" s="375">
        <f t="shared" si="125"/>
        <v>0</v>
      </c>
      <c r="GUV49" s="375">
        <f t="shared" si="125"/>
        <v>0</v>
      </c>
      <c r="GUW49" s="375">
        <f t="shared" si="125"/>
        <v>0</v>
      </c>
      <c r="GUX49" s="375">
        <f t="shared" si="125"/>
        <v>0</v>
      </c>
      <c r="GUY49" s="375">
        <f t="shared" si="125"/>
        <v>0</v>
      </c>
      <c r="GUZ49" s="375">
        <f t="shared" si="125"/>
        <v>0</v>
      </c>
      <c r="GVA49" s="375">
        <f t="shared" si="125"/>
        <v>0</v>
      </c>
      <c r="GVB49" s="375">
        <f t="shared" si="125"/>
        <v>0</v>
      </c>
      <c r="GVC49" s="375">
        <f t="shared" si="125"/>
        <v>0</v>
      </c>
      <c r="GVD49" s="375">
        <f t="shared" si="125"/>
        <v>0</v>
      </c>
      <c r="GVE49" s="375">
        <f t="shared" si="125"/>
        <v>0</v>
      </c>
      <c r="GVF49" s="375">
        <f t="shared" si="125"/>
        <v>0</v>
      </c>
      <c r="GVG49" s="375">
        <f t="shared" si="125"/>
        <v>0</v>
      </c>
      <c r="GVH49" s="375">
        <f t="shared" si="125"/>
        <v>0</v>
      </c>
      <c r="GVI49" s="375">
        <f t="shared" ref="GVI49:GXT49" si="126">GVI48*0.8</f>
        <v>0</v>
      </c>
      <c r="GVJ49" s="375">
        <f t="shared" si="126"/>
        <v>0</v>
      </c>
      <c r="GVK49" s="375">
        <f t="shared" si="126"/>
        <v>0</v>
      </c>
      <c r="GVL49" s="375">
        <f t="shared" si="126"/>
        <v>0</v>
      </c>
      <c r="GVM49" s="375">
        <f t="shared" si="126"/>
        <v>0</v>
      </c>
      <c r="GVN49" s="375">
        <f t="shared" si="126"/>
        <v>0</v>
      </c>
      <c r="GVO49" s="375">
        <f t="shared" si="126"/>
        <v>0</v>
      </c>
      <c r="GVP49" s="375">
        <f t="shared" si="126"/>
        <v>0</v>
      </c>
      <c r="GVQ49" s="375">
        <f t="shared" si="126"/>
        <v>0</v>
      </c>
      <c r="GVR49" s="375">
        <f t="shared" si="126"/>
        <v>0</v>
      </c>
      <c r="GVS49" s="375">
        <f t="shared" si="126"/>
        <v>0</v>
      </c>
      <c r="GVT49" s="375">
        <f t="shared" si="126"/>
        <v>0</v>
      </c>
      <c r="GVU49" s="375">
        <f t="shared" si="126"/>
        <v>0</v>
      </c>
      <c r="GVV49" s="375">
        <f t="shared" si="126"/>
        <v>0</v>
      </c>
      <c r="GVW49" s="375">
        <f t="shared" si="126"/>
        <v>0</v>
      </c>
      <c r="GVX49" s="375">
        <f t="shared" si="126"/>
        <v>0</v>
      </c>
      <c r="GVY49" s="375">
        <f t="shared" si="126"/>
        <v>0</v>
      </c>
      <c r="GVZ49" s="375">
        <f t="shared" si="126"/>
        <v>0</v>
      </c>
      <c r="GWA49" s="375">
        <f t="shared" si="126"/>
        <v>0</v>
      </c>
      <c r="GWB49" s="375">
        <f t="shared" si="126"/>
        <v>0</v>
      </c>
      <c r="GWC49" s="375">
        <f t="shared" si="126"/>
        <v>0</v>
      </c>
      <c r="GWD49" s="375">
        <f t="shared" si="126"/>
        <v>0</v>
      </c>
      <c r="GWE49" s="375">
        <f t="shared" si="126"/>
        <v>0</v>
      </c>
      <c r="GWF49" s="375">
        <f t="shared" si="126"/>
        <v>0</v>
      </c>
      <c r="GWG49" s="375">
        <f t="shared" si="126"/>
        <v>0</v>
      </c>
      <c r="GWH49" s="375">
        <f t="shared" si="126"/>
        <v>0</v>
      </c>
      <c r="GWI49" s="375">
        <f t="shared" si="126"/>
        <v>0</v>
      </c>
      <c r="GWJ49" s="375">
        <f t="shared" si="126"/>
        <v>0</v>
      </c>
      <c r="GWK49" s="375">
        <f t="shared" si="126"/>
        <v>0</v>
      </c>
      <c r="GWL49" s="375">
        <f t="shared" si="126"/>
        <v>0</v>
      </c>
      <c r="GWM49" s="375">
        <f t="shared" si="126"/>
        <v>0</v>
      </c>
      <c r="GWN49" s="375">
        <f t="shared" si="126"/>
        <v>0</v>
      </c>
      <c r="GWO49" s="375">
        <f t="shared" si="126"/>
        <v>0</v>
      </c>
      <c r="GWP49" s="375">
        <f t="shared" si="126"/>
        <v>0</v>
      </c>
      <c r="GWQ49" s="375">
        <f t="shared" si="126"/>
        <v>0</v>
      </c>
      <c r="GWR49" s="375">
        <f t="shared" si="126"/>
        <v>0</v>
      </c>
      <c r="GWS49" s="375">
        <f t="shared" si="126"/>
        <v>0</v>
      </c>
      <c r="GWT49" s="375">
        <f t="shared" si="126"/>
        <v>0</v>
      </c>
      <c r="GWU49" s="375">
        <f t="shared" si="126"/>
        <v>0</v>
      </c>
      <c r="GWV49" s="375">
        <f t="shared" si="126"/>
        <v>0</v>
      </c>
      <c r="GWW49" s="375">
        <f t="shared" si="126"/>
        <v>0</v>
      </c>
      <c r="GWX49" s="375">
        <f t="shared" si="126"/>
        <v>0</v>
      </c>
      <c r="GWY49" s="375">
        <f t="shared" si="126"/>
        <v>0</v>
      </c>
      <c r="GWZ49" s="375">
        <f t="shared" si="126"/>
        <v>0</v>
      </c>
      <c r="GXA49" s="375">
        <f t="shared" si="126"/>
        <v>0</v>
      </c>
      <c r="GXB49" s="375">
        <f t="shared" si="126"/>
        <v>0</v>
      </c>
      <c r="GXC49" s="375">
        <f t="shared" si="126"/>
        <v>0</v>
      </c>
      <c r="GXD49" s="375">
        <f t="shared" si="126"/>
        <v>0</v>
      </c>
      <c r="GXE49" s="375">
        <f t="shared" si="126"/>
        <v>0</v>
      </c>
      <c r="GXF49" s="375">
        <f t="shared" si="126"/>
        <v>0</v>
      </c>
      <c r="GXG49" s="375">
        <f t="shared" si="126"/>
        <v>0</v>
      </c>
      <c r="GXH49" s="375">
        <f t="shared" si="126"/>
        <v>0</v>
      </c>
      <c r="GXI49" s="375">
        <f t="shared" si="126"/>
        <v>0</v>
      </c>
      <c r="GXJ49" s="375">
        <f t="shared" si="126"/>
        <v>0</v>
      </c>
      <c r="GXK49" s="375">
        <f t="shared" si="126"/>
        <v>0</v>
      </c>
      <c r="GXL49" s="375">
        <f t="shared" si="126"/>
        <v>0</v>
      </c>
      <c r="GXM49" s="375">
        <f t="shared" si="126"/>
        <v>0</v>
      </c>
      <c r="GXN49" s="375">
        <f t="shared" si="126"/>
        <v>0</v>
      </c>
      <c r="GXO49" s="375">
        <f t="shared" si="126"/>
        <v>0</v>
      </c>
      <c r="GXP49" s="375">
        <f t="shared" si="126"/>
        <v>0</v>
      </c>
      <c r="GXQ49" s="375">
        <f t="shared" si="126"/>
        <v>0</v>
      </c>
      <c r="GXR49" s="375">
        <f t="shared" si="126"/>
        <v>0</v>
      </c>
      <c r="GXS49" s="375">
        <f t="shared" si="126"/>
        <v>0</v>
      </c>
      <c r="GXT49" s="375">
        <f t="shared" si="126"/>
        <v>0</v>
      </c>
      <c r="GXU49" s="375">
        <f t="shared" ref="GXU49:HAF49" si="127">GXU48*0.8</f>
        <v>0</v>
      </c>
      <c r="GXV49" s="375">
        <f t="shared" si="127"/>
        <v>0</v>
      </c>
      <c r="GXW49" s="375">
        <f t="shared" si="127"/>
        <v>0</v>
      </c>
      <c r="GXX49" s="375">
        <f t="shared" si="127"/>
        <v>0</v>
      </c>
      <c r="GXY49" s="375">
        <f t="shared" si="127"/>
        <v>0</v>
      </c>
      <c r="GXZ49" s="375">
        <f t="shared" si="127"/>
        <v>0</v>
      </c>
      <c r="GYA49" s="375">
        <f t="shared" si="127"/>
        <v>0</v>
      </c>
      <c r="GYB49" s="375">
        <f t="shared" si="127"/>
        <v>0</v>
      </c>
      <c r="GYC49" s="375">
        <f t="shared" si="127"/>
        <v>0</v>
      </c>
      <c r="GYD49" s="375">
        <f t="shared" si="127"/>
        <v>0</v>
      </c>
      <c r="GYE49" s="375">
        <f t="shared" si="127"/>
        <v>0</v>
      </c>
      <c r="GYF49" s="375">
        <f t="shared" si="127"/>
        <v>0</v>
      </c>
      <c r="GYG49" s="375">
        <f t="shared" si="127"/>
        <v>0</v>
      </c>
      <c r="GYH49" s="375">
        <f t="shared" si="127"/>
        <v>0</v>
      </c>
      <c r="GYI49" s="375">
        <f t="shared" si="127"/>
        <v>0</v>
      </c>
      <c r="GYJ49" s="375">
        <f t="shared" si="127"/>
        <v>0</v>
      </c>
      <c r="GYK49" s="375">
        <f t="shared" si="127"/>
        <v>0</v>
      </c>
      <c r="GYL49" s="375">
        <f t="shared" si="127"/>
        <v>0</v>
      </c>
      <c r="GYM49" s="375">
        <f t="shared" si="127"/>
        <v>0</v>
      </c>
      <c r="GYN49" s="375">
        <f t="shared" si="127"/>
        <v>0</v>
      </c>
      <c r="GYO49" s="375">
        <f t="shared" si="127"/>
        <v>0</v>
      </c>
      <c r="GYP49" s="375">
        <f t="shared" si="127"/>
        <v>0</v>
      </c>
      <c r="GYQ49" s="375">
        <f t="shared" si="127"/>
        <v>0</v>
      </c>
      <c r="GYR49" s="375">
        <f t="shared" si="127"/>
        <v>0</v>
      </c>
      <c r="GYS49" s="375">
        <f t="shared" si="127"/>
        <v>0</v>
      </c>
      <c r="GYT49" s="375">
        <f t="shared" si="127"/>
        <v>0</v>
      </c>
      <c r="GYU49" s="375">
        <f t="shared" si="127"/>
        <v>0</v>
      </c>
      <c r="GYV49" s="375">
        <f t="shared" si="127"/>
        <v>0</v>
      </c>
      <c r="GYW49" s="375">
        <f t="shared" si="127"/>
        <v>0</v>
      </c>
      <c r="GYX49" s="375">
        <f t="shared" si="127"/>
        <v>0</v>
      </c>
      <c r="GYY49" s="375">
        <f t="shared" si="127"/>
        <v>0</v>
      </c>
      <c r="GYZ49" s="375">
        <f t="shared" si="127"/>
        <v>0</v>
      </c>
      <c r="GZA49" s="375">
        <f t="shared" si="127"/>
        <v>0</v>
      </c>
      <c r="GZB49" s="375">
        <f t="shared" si="127"/>
        <v>0</v>
      </c>
      <c r="GZC49" s="375">
        <f t="shared" si="127"/>
        <v>0</v>
      </c>
      <c r="GZD49" s="375">
        <f t="shared" si="127"/>
        <v>0</v>
      </c>
      <c r="GZE49" s="375">
        <f t="shared" si="127"/>
        <v>0</v>
      </c>
      <c r="GZF49" s="375">
        <f t="shared" si="127"/>
        <v>0</v>
      </c>
      <c r="GZG49" s="375">
        <f t="shared" si="127"/>
        <v>0</v>
      </c>
      <c r="GZH49" s="375">
        <f t="shared" si="127"/>
        <v>0</v>
      </c>
      <c r="GZI49" s="375">
        <f t="shared" si="127"/>
        <v>0</v>
      </c>
      <c r="GZJ49" s="375">
        <f t="shared" si="127"/>
        <v>0</v>
      </c>
      <c r="GZK49" s="375">
        <f t="shared" si="127"/>
        <v>0</v>
      </c>
      <c r="GZL49" s="375">
        <f t="shared" si="127"/>
        <v>0</v>
      </c>
      <c r="GZM49" s="375">
        <f t="shared" si="127"/>
        <v>0</v>
      </c>
      <c r="GZN49" s="375">
        <f t="shared" si="127"/>
        <v>0</v>
      </c>
      <c r="GZO49" s="375">
        <f t="shared" si="127"/>
        <v>0</v>
      </c>
      <c r="GZP49" s="375">
        <f t="shared" si="127"/>
        <v>0</v>
      </c>
      <c r="GZQ49" s="375">
        <f t="shared" si="127"/>
        <v>0</v>
      </c>
      <c r="GZR49" s="375">
        <f t="shared" si="127"/>
        <v>0</v>
      </c>
      <c r="GZS49" s="375">
        <f t="shared" si="127"/>
        <v>0</v>
      </c>
      <c r="GZT49" s="375">
        <f t="shared" si="127"/>
        <v>0</v>
      </c>
      <c r="GZU49" s="375">
        <f t="shared" si="127"/>
        <v>0</v>
      </c>
      <c r="GZV49" s="375">
        <f t="shared" si="127"/>
        <v>0</v>
      </c>
      <c r="GZW49" s="375">
        <f t="shared" si="127"/>
        <v>0</v>
      </c>
      <c r="GZX49" s="375">
        <f t="shared" si="127"/>
        <v>0</v>
      </c>
      <c r="GZY49" s="375">
        <f t="shared" si="127"/>
        <v>0</v>
      </c>
      <c r="GZZ49" s="375">
        <f t="shared" si="127"/>
        <v>0</v>
      </c>
      <c r="HAA49" s="375">
        <f t="shared" si="127"/>
        <v>0</v>
      </c>
      <c r="HAB49" s="375">
        <f t="shared" si="127"/>
        <v>0</v>
      </c>
      <c r="HAC49" s="375">
        <f t="shared" si="127"/>
        <v>0</v>
      </c>
      <c r="HAD49" s="375">
        <f t="shared" si="127"/>
        <v>0</v>
      </c>
      <c r="HAE49" s="375">
        <f t="shared" si="127"/>
        <v>0</v>
      </c>
      <c r="HAF49" s="375">
        <f t="shared" si="127"/>
        <v>0</v>
      </c>
      <c r="HAG49" s="375">
        <f t="shared" ref="HAG49:HCR49" si="128">HAG48*0.8</f>
        <v>0</v>
      </c>
      <c r="HAH49" s="375">
        <f t="shared" si="128"/>
        <v>0</v>
      </c>
      <c r="HAI49" s="375">
        <f t="shared" si="128"/>
        <v>0</v>
      </c>
      <c r="HAJ49" s="375">
        <f t="shared" si="128"/>
        <v>0</v>
      </c>
      <c r="HAK49" s="375">
        <f t="shared" si="128"/>
        <v>0</v>
      </c>
      <c r="HAL49" s="375">
        <f t="shared" si="128"/>
        <v>0</v>
      </c>
      <c r="HAM49" s="375">
        <f t="shared" si="128"/>
        <v>0</v>
      </c>
      <c r="HAN49" s="375">
        <f t="shared" si="128"/>
        <v>0</v>
      </c>
      <c r="HAO49" s="375">
        <f t="shared" si="128"/>
        <v>0</v>
      </c>
      <c r="HAP49" s="375">
        <f t="shared" si="128"/>
        <v>0</v>
      </c>
      <c r="HAQ49" s="375">
        <f t="shared" si="128"/>
        <v>0</v>
      </c>
      <c r="HAR49" s="375">
        <f t="shared" si="128"/>
        <v>0</v>
      </c>
      <c r="HAS49" s="375">
        <f t="shared" si="128"/>
        <v>0</v>
      </c>
      <c r="HAT49" s="375">
        <f t="shared" si="128"/>
        <v>0</v>
      </c>
      <c r="HAU49" s="375">
        <f t="shared" si="128"/>
        <v>0</v>
      </c>
      <c r="HAV49" s="375">
        <f t="shared" si="128"/>
        <v>0</v>
      </c>
      <c r="HAW49" s="375">
        <f t="shared" si="128"/>
        <v>0</v>
      </c>
      <c r="HAX49" s="375">
        <f t="shared" si="128"/>
        <v>0</v>
      </c>
      <c r="HAY49" s="375">
        <f t="shared" si="128"/>
        <v>0</v>
      </c>
      <c r="HAZ49" s="375">
        <f t="shared" si="128"/>
        <v>0</v>
      </c>
      <c r="HBA49" s="375">
        <f t="shared" si="128"/>
        <v>0</v>
      </c>
      <c r="HBB49" s="375">
        <f t="shared" si="128"/>
        <v>0</v>
      </c>
      <c r="HBC49" s="375">
        <f t="shared" si="128"/>
        <v>0</v>
      </c>
      <c r="HBD49" s="375">
        <f t="shared" si="128"/>
        <v>0</v>
      </c>
      <c r="HBE49" s="375">
        <f t="shared" si="128"/>
        <v>0</v>
      </c>
      <c r="HBF49" s="375">
        <f t="shared" si="128"/>
        <v>0</v>
      </c>
      <c r="HBG49" s="375">
        <f t="shared" si="128"/>
        <v>0</v>
      </c>
      <c r="HBH49" s="375">
        <f t="shared" si="128"/>
        <v>0</v>
      </c>
      <c r="HBI49" s="375">
        <f t="shared" si="128"/>
        <v>0</v>
      </c>
      <c r="HBJ49" s="375">
        <f t="shared" si="128"/>
        <v>0</v>
      </c>
      <c r="HBK49" s="375">
        <f t="shared" si="128"/>
        <v>0</v>
      </c>
      <c r="HBL49" s="375">
        <f t="shared" si="128"/>
        <v>0</v>
      </c>
      <c r="HBM49" s="375">
        <f t="shared" si="128"/>
        <v>0</v>
      </c>
      <c r="HBN49" s="375">
        <f t="shared" si="128"/>
        <v>0</v>
      </c>
      <c r="HBO49" s="375">
        <f t="shared" si="128"/>
        <v>0</v>
      </c>
      <c r="HBP49" s="375">
        <f t="shared" si="128"/>
        <v>0</v>
      </c>
      <c r="HBQ49" s="375">
        <f t="shared" si="128"/>
        <v>0</v>
      </c>
      <c r="HBR49" s="375">
        <f t="shared" si="128"/>
        <v>0</v>
      </c>
      <c r="HBS49" s="375">
        <f t="shared" si="128"/>
        <v>0</v>
      </c>
      <c r="HBT49" s="375">
        <f t="shared" si="128"/>
        <v>0</v>
      </c>
      <c r="HBU49" s="375">
        <f t="shared" si="128"/>
        <v>0</v>
      </c>
      <c r="HBV49" s="375">
        <f t="shared" si="128"/>
        <v>0</v>
      </c>
      <c r="HBW49" s="375">
        <f t="shared" si="128"/>
        <v>0</v>
      </c>
      <c r="HBX49" s="375">
        <f t="shared" si="128"/>
        <v>0</v>
      </c>
      <c r="HBY49" s="375">
        <f t="shared" si="128"/>
        <v>0</v>
      </c>
      <c r="HBZ49" s="375">
        <f t="shared" si="128"/>
        <v>0</v>
      </c>
      <c r="HCA49" s="375">
        <f t="shared" si="128"/>
        <v>0</v>
      </c>
      <c r="HCB49" s="375">
        <f t="shared" si="128"/>
        <v>0</v>
      </c>
      <c r="HCC49" s="375">
        <f t="shared" si="128"/>
        <v>0</v>
      </c>
      <c r="HCD49" s="375">
        <f t="shared" si="128"/>
        <v>0</v>
      </c>
      <c r="HCE49" s="375">
        <f t="shared" si="128"/>
        <v>0</v>
      </c>
      <c r="HCF49" s="375">
        <f t="shared" si="128"/>
        <v>0</v>
      </c>
      <c r="HCG49" s="375">
        <f t="shared" si="128"/>
        <v>0</v>
      </c>
      <c r="HCH49" s="375">
        <f t="shared" si="128"/>
        <v>0</v>
      </c>
      <c r="HCI49" s="375">
        <f t="shared" si="128"/>
        <v>0</v>
      </c>
      <c r="HCJ49" s="375">
        <f t="shared" si="128"/>
        <v>0</v>
      </c>
      <c r="HCK49" s="375">
        <f t="shared" si="128"/>
        <v>0</v>
      </c>
      <c r="HCL49" s="375">
        <f t="shared" si="128"/>
        <v>0</v>
      </c>
      <c r="HCM49" s="375">
        <f t="shared" si="128"/>
        <v>0</v>
      </c>
      <c r="HCN49" s="375">
        <f t="shared" si="128"/>
        <v>0</v>
      </c>
      <c r="HCO49" s="375">
        <f t="shared" si="128"/>
        <v>0</v>
      </c>
      <c r="HCP49" s="375">
        <f t="shared" si="128"/>
        <v>0</v>
      </c>
      <c r="HCQ49" s="375">
        <f t="shared" si="128"/>
        <v>0</v>
      </c>
      <c r="HCR49" s="375">
        <f t="shared" si="128"/>
        <v>0</v>
      </c>
      <c r="HCS49" s="375">
        <f t="shared" ref="HCS49:HFD49" si="129">HCS48*0.8</f>
        <v>0</v>
      </c>
      <c r="HCT49" s="375">
        <f t="shared" si="129"/>
        <v>0</v>
      </c>
      <c r="HCU49" s="375">
        <f t="shared" si="129"/>
        <v>0</v>
      </c>
      <c r="HCV49" s="375">
        <f t="shared" si="129"/>
        <v>0</v>
      </c>
      <c r="HCW49" s="375">
        <f t="shared" si="129"/>
        <v>0</v>
      </c>
      <c r="HCX49" s="375">
        <f t="shared" si="129"/>
        <v>0</v>
      </c>
      <c r="HCY49" s="375">
        <f t="shared" si="129"/>
        <v>0</v>
      </c>
      <c r="HCZ49" s="375">
        <f t="shared" si="129"/>
        <v>0</v>
      </c>
      <c r="HDA49" s="375">
        <f t="shared" si="129"/>
        <v>0</v>
      </c>
      <c r="HDB49" s="375">
        <f t="shared" si="129"/>
        <v>0</v>
      </c>
      <c r="HDC49" s="375">
        <f t="shared" si="129"/>
        <v>0</v>
      </c>
      <c r="HDD49" s="375">
        <f t="shared" si="129"/>
        <v>0</v>
      </c>
      <c r="HDE49" s="375">
        <f t="shared" si="129"/>
        <v>0</v>
      </c>
      <c r="HDF49" s="375">
        <f t="shared" si="129"/>
        <v>0</v>
      </c>
      <c r="HDG49" s="375">
        <f t="shared" si="129"/>
        <v>0</v>
      </c>
      <c r="HDH49" s="375">
        <f t="shared" si="129"/>
        <v>0</v>
      </c>
      <c r="HDI49" s="375">
        <f t="shared" si="129"/>
        <v>0</v>
      </c>
      <c r="HDJ49" s="375">
        <f t="shared" si="129"/>
        <v>0</v>
      </c>
      <c r="HDK49" s="375">
        <f t="shared" si="129"/>
        <v>0</v>
      </c>
      <c r="HDL49" s="375">
        <f t="shared" si="129"/>
        <v>0</v>
      </c>
      <c r="HDM49" s="375">
        <f t="shared" si="129"/>
        <v>0</v>
      </c>
      <c r="HDN49" s="375">
        <f t="shared" si="129"/>
        <v>0</v>
      </c>
      <c r="HDO49" s="375">
        <f t="shared" si="129"/>
        <v>0</v>
      </c>
      <c r="HDP49" s="375">
        <f t="shared" si="129"/>
        <v>0</v>
      </c>
      <c r="HDQ49" s="375">
        <f t="shared" si="129"/>
        <v>0</v>
      </c>
      <c r="HDR49" s="375">
        <f t="shared" si="129"/>
        <v>0</v>
      </c>
      <c r="HDS49" s="375">
        <f t="shared" si="129"/>
        <v>0</v>
      </c>
      <c r="HDT49" s="375">
        <f t="shared" si="129"/>
        <v>0</v>
      </c>
      <c r="HDU49" s="375">
        <f t="shared" si="129"/>
        <v>0</v>
      </c>
      <c r="HDV49" s="375">
        <f t="shared" si="129"/>
        <v>0</v>
      </c>
      <c r="HDW49" s="375">
        <f t="shared" si="129"/>
        <v>0</v>
      </c>
      <c r="HDX49" s="375">
        <f t="shared" si="129"/>
        <v>0</v>
      </c>
      <c r="HDY49" s="375">
        <f t="shared" si="129"/>
        <v>0</v>
      </c>
      <c r="HDZ49" s="375">
        <f t="shared" si="129"/>
        <v>0</v>
      </c>
      <c r="HEA49" s="375">
        <f t="shared" si="129"/>
        <v>0</v>
      </c>
      <c r="HEB49" s="375">
        <f t="shared" si="129"/>
        <v>0</v>
      </c>
      <c r="HEC49" s="375">
        <f t="shared" si="129"/>
        <v>0</v>
      </c>
      <c r="HED49" s="375">
        <f t="shared" si="129"/>
        <v>0</v>
      </c>
      <c r="HEE49" s="375">
        <f t="shared" si="129"/>
        <v>0</v>
      </c>
      <c r="HEF49" s="375">
        <f t="shared" si="129"/>
        <v>0</v>
      </c>
      <c r="HEG49" s="375">
        <f t="shared" si="129"/>
        <v>0</v>
      </c>
      <c r="HEH49" s="375">
        <f t="shared" si="129"/>
        <v>0</v>
      </c>
      <c r="HEI49" s="375">
        <f t="shared" si="129"/>
        <v>0</v>
      </c>
      <c r="HEJ49" s="375">
        <f t="shared" si="129"/>
        <v>0</v>
      </c>
      <c r="HEK49" s="375">
        <f t="shared" si="129"/>
        <v>0</v>
      </c>
      <c r="HEL49" s="375">
        <f t="shared" si="129"/>
        <v>0</v>
      </c>
      <c r="HEM49" s="375">
        <f t="shared" si="129"/>
        <v>0</v>
      </c>
      <c r="HEN49" s="375">
        <f t="shared" si="129"/>
        <v>0</v>
      </c>
      <c r="HEO49" s="375">
        <f t="shared" si="129"/>
        <v>0</v>
      </c>
      <c r="HEP49" s="375">
        <f t="shared" si="129"/>
        <v>0</v>
      </c>
      <c r="HEQ49" s="375">
        <f t="shared" si="129"/>
        <v>0</v>
      </c>
      <c r="HER49" s="375">
        <f t="shared" si="129"/>
        <v>0</v>
      </c>
      <c r="HES49" s="375">
        <f t="shared" si="129"/>
        <v>0</v>
      </c>
      <c r="HET49" s="375">
        <f t="shared" si="129"/>
        <v>0</v>
      </c>
      <c r="HEU49" s="375">
        <f t="shared" si="129"/>
        <v>0</v>
      </c>
      <c r="HEV49" s="375">
        <f t="shared" si="129"/>
        <v>0</v>
      </c>
      <c r="HEW49" s="375">
        <f t="shared" si="129"/>
        <v>0</v>
      </c>
      <c r="HEX49" s="375">
        <f t="shared" si="129"/>
        <v>0</v>
      </c>
      <c r="HEY49" s="375">
        <f t="shared" si="129"/>
        <v>0</v>
      </c>
      <c r="HEZ49" s="375">
        <f t="shared" si="129"/>
        <v>0</v>
      </c>
      <c r="HFA49" s="375">
        <f t="shared" si="129"/>
        <v>0</v>
      </c>
      <c r="HFB49" s="375">
        <f t="shared" si="129"/>
        <v>0</v>
      </c>
      <c r="HFC49" s="375">
        <f t="shared" si="129"/>
        <v>0</v>
      </c>
      <c r="HFD49" s="375">
        <f t="shared" si="129"/>
        <v>0</v>
      </c>
      <c r="HFE49" s="375">
        <f t="shared" ref="HFE49:HHP49" si="130">HFE48*0.8</f>
        <v>0</v>
      </c>
      <c r="HFF49" s="375">
        <f t="shared" si="130"/>
        <v>0</v>
      </c>
      <c r="HFG49" s="375">
        <f t="shared" si="130"/>
        <v>0</v>
      </c>
      <c r="HFH49" s="375">
        <f t="shared" si="130"/>
        <v>0</v>
      </c>
      <c r="HFI49" s="375">
        <f t="shared" si="130"/>
        <v>0</v>
      </c>
      <c r="HFJ49" s="375">
        <f t="shared" si="130"/>
        <v>0</v>
      </c>
      <c r="HFK49" s="375">
        <f t="shared" si="130"/>
        <v>0</v>
      </c>
      <c r="HFL49" s="375">
        <f t="shared" si="130"/>
        <v>0</v>
      </c>
      <c r="HFM49" s="375">
        <f t="shared" si="130"/>
        <v>0</v>
      </c>
      <c r="HFN49" s="375">
        <f t="shared" si="130"/>
        <v>0</v>
      </c>
      <c r="HFO49" s="375">
        <f t="shared" si="130"/>
        <v>0</v>
      </c>
      <c r="HFP49" s="375">
        <f t="shared" si="130"/>
        <v>0</v>
      </c>
      <c r="HFQ49" s="375">
        <f t="shared" si="130"/>
        <v>0</v>
      </c>
      <c r="HFR49" s="375">
        <f t="shared" si="130"/>
        <v>0</v>
      </c>
      <c r="HFS49" s="375">
        <f t="shared" si="130"/>
        <v>0</v>
      </c>
      <c r="HFT49" s="375">
        <f t="shared" si="130"/>
        <v>0</v>
      </c>
      <c r="HFU49" s="375">
        <f t="shared" si="130"/>
        <v>0</v>
      </c>
      <c r="HFV49" s="375">
        <f t="shared" si="130"/>
        <v>0</v>
      </c>
      <c r="HFW49" s="375">
        <f t="shared" si="130"/>
        <v>0</v>
      </c>
      <c r="HFX49" s="375">
        <f t="shared" si="130"/>
        <v>0</v>
      </c>
      <c r="HFY49" s="375">
        <f t="shared" si="130"/>
        <v>0</v>
      </c>
      <c r="HFZ49" s="375">
        <f t="shared" si="130"/>
        <v>0</v>
      </c>
      <c r="HGA49" s="375">
        <f t="shared" si="130"/>
        <v>0</v>
      </c>
      <c r="HGB49" s="375">
        <f t="shared" si="130"/>
        <v>0</v>
      </c>
      <c r="HGC49" s="375">
        <f t="shared" si="130"/>
        <v>0</v>
      </c>
      <c r="HGD49" s="375">
        <f t="shared" si="130"/>
        <v>0</v>
      </c>
      <c r="HGE49" s="375">
        <f t="shared" si="130"/>
        <v>0</v>
      </c>
      <c r="HGF49" s="375">
        <f t="shared" si="130"/>
        <v>0</v>
      </c>
      <c r="HGG49" s="375">
        <f t="shared" si="130"/>
        <v>0</v>
      </c>
      <c r="HGH49" s="375">
        <f t="shared" si="130"/>
        <v>0</v>
      </c>
      <c r="HGI49" s="375">
        <f t="shared" si="130"/>
        <v>0</v>
      </c>
      <c r="HGJ49" s="375">
        <f t="shared" si="130"/>
        <v>0</v>
      </c>
      <c r="HGK49" s="375">
        <f t="shared" si="130"/>
        <v>0</v>
      </c>
      <c r="HGL49" s="375">
        <f t="shared" si="130"/>
        <v>0</v>
      </c>
      <c r="HGM49" s="375">
        <f t="shared" si="130"/>
        <v>0</v>
      </c>
      <c r="HGN49" s="375">
        <f t="shared" si="130"/>
        <v>0</v>
      </c>
      <c r="HGO49" s="375">
        <f t="shared" si="130"/>
        <v>0</v>
      </c>
      <c r="HGP49" s="375">
        <f t="shared" si="130"/>
        <v>0</v>
      </c>
      <c r="HGQ49" s="375">
        <f t="shared" si="130"/>
        <v>0</v>
      </c>
      <c r="HGR49" s="375">
        <f t="shared" si="130"/>
        <v>0</v>
      </c>
      <c r="HGS49" s="375">
        <f t="shared" si="130"/>
        <v>0</v>
      </c>
      <c r="HGT49" s="375">
        <f t="shared" si="130"/>
        <v>0</v>
      </c>
      <c r="HGU49" s="375">
        <f t="shared" si="130"/>
        <v>0</v>
      </c>
      <c r="HGV49" s="375">
        <f t="shared" si="130"/>
        <v>0</v>
      </c>
      <c r="HGW49" s="375">
        <f t="shared" si="130"/>
        <v>0</v>
      </c>
      <c r="HGX49" s="375">
        <f t="shared" si="130"/>
        <v>0</v>
      </c>
      <c r="HGY49" s="375">
        <f t="shared" si="130"/>
        <v>0</v>
      </c>
      <c r="HGZ49" s="375">
        <f t="shared" si="130"/>
        <v>0</v>
      </c>
      <c r="HHA49" s="375">
        <f t="shared" si="130"/>
        <v>0</v>
      </c>
      <c r="HHB49" s="375">
        <f t="shared" si="130"/>
        <v>0</v>
      </c>
      <c r="HHC49" s="375">
        <f t="shared" si="130"/>
        <v>0</v>
      </c>
      <c r="HHD49" s="375">
        <f t="shared" si="130"/>
        <v>0</v>
      </c>
      <c r="HHE49" s="375">
        <f t="shared" si="130"/>
        <v>0</v>
      </c>
      <c r="HHF49" s="375">
        <f t="shared" si="130"/>
        <v>0</v>
      </c>
      <c r="HHG49" s="375">
        <f t="shared" si="130"/>
        <v>0</v>
      </c>
      <c r="HHH49" s="375">
        <f t="shared" si="130"/>
        <v>0</v>
      </c>
      <c r="HHI49" s="375">
        <f t="shared" si="130"/>
        <v>0</v>
      </c>
      <c r="HHJ49" s="375">
        <f t="shared" si="130"/>
        <v>0</v>
      </c>
      <c r="HHK49" s="375">
        <f t="shared" si="130"/>
        <v>0</v>
      </c>
      <c r="HHL49" s="375">
        <f t="shared" si="130"/>
        <v>0</v>
      </c>
      <c r="HHM49" s="375">
        <f t="shared" si="130"/>
        <v>0</v>
      </c>
      <c r="HHN49" s="375">
        <f t="shared" si="130"/>
        <v>0</v>
      </c>
      <c r="HHO49" s="375">
        <f t="shared" si="130"/>
        <v>0</v>
      </c>
      <c r="HHP49" s="375">
        <f t="shared" si="130"/>
        <v>0</v>
      </c>
      <c r="HHQ49" s="375">
        <f t="shared" ref="HHQ49:HKB49" si="131">HHQ48*0.8</f>
        <v>0</v>
      </c>
      <c r="HHR49" s="375">
        <f t="shared" si="131"/>
        <v>0</v>
      </c>
      <c r="HHS49" s="375">
        <f t="shared" si="131"/>
        <v>0</v>
      </c>
      <c r="HHT49" s="375">
        <f t="shared" si="131"/>
        <v>0</v>
      </c>
      <c r="HHU49" s="375">
        <f t="shared" si="131"/>
        <v>0</v>
      </c>
      <c r="HHV49" s="375">
        <f t="shared" si="131"/>
        <v>0</v>
      </c>
      <c r="HHW49" s="375">
        <f t="shared" si="131"/>
        <v>0</v>
      </c>
      <c r="HHX49" s="375">
        <f t="shared" si="131"/>
        <v>0</v>
      </c>
      <c r="HHY49" s="375">
        <f t="shared" si="131"/>
        <v>0</v>
      </c>
      <c r="HHZ49" s="375">
        <f t="shared" si="131"/>
        <v>0</v>
      </c>
      <c r="HIA49" s="375">
        <f t="shared" si="131"/>
        <v>0</v>
      </c>
      <c r="HIB49" s="375">
        <f t="shared" si="131"/>
        <v>0</v>
      </c>
      <c r="HIC49" s="375">
        <f t="shared" si="131"/>
        <v>0</v>
      </c>
      <c r="HID49" s="375">
        <f t="shared" si="131"/>
        <v>0</v>
      </c>
      <c r="HIE49" s="375">
        <f t="shared" si="131"/>
        <v>0</v>
      </c>
      <c r="HIF49" s="375">
        <f t="shared" si="131"/>
        <v>0</v>
      </c>
      <c r="HIG49" s="375">
        <f t="shared" si="131"/>
        <v>0</v>
      </c>
      <c r="HIH49" s="375">
        <f t="shared" si="131"/>
        <v>0</v>
      </c>
      <c r="HII49" s="375">
        <f t="shared" si="131"/>
        <v>0</v>
      </c>
      <c r="HIJ49" s="375">
        <f t="shared" si="131"/>
        <v>0</v>
      </c>
      <c r="HIK49" s="375">
        <f t="shared" si="131"/>
        <v>0</v>
      </c>
      <c r="HIL49" s="375">
        <f t="shared" si="131"/>
        <v>0</v>
      </c>
      <c r="HIM49" s="375">
        <f t="shared" si="131"/>
        <v>0</v>
      </c>
      <c r="HIN49" s="375">
        <f t="shared" si="131"/>
        <v>0</v>
      </c>
      <c r="HIO49" s="375">
        <f t="shared" si="131"/>
        <v>0</v>
      </c>
      <c r="HIP49" s="375">
        <f t="shared" si="131"/>
        <v>0</v>
      </c>
      <c r="HIQ49" s="375">
        <f t="shared" si="131"/>
        <v>0</v>
      </c>
      <c r="HIR49" s="375">
        <f t="shared" si="131"/>
        <v>0</v>
      </c>
      <c r="HIS49" s="375">
        <f t="shared" si="131"/>
        <v>0</v>
      </c>
      <c r="HIT49" s="375">
        <f t="shared" si="131"/>
        <v>0</v>
      </c>
      <c r="HIU49" s="375">
        <f t="shared" si="131"/>
        <v>0</v>
      </c>
      <c r="HIV49" s="375">
        <f t="shared" si="131"/>
        <v>0</v>
      </c>
      <c r="HIW49" s="375">
        <f t="shared" si="131"/>
        <v>0</v>
      </c>
      <c r="HIX49" s="375">
        <f t="shared" si="131"/>
        <v>0</v>
      </c>
      <c r="HIY49" s="375">
        <f t="shared" si="131"/>
        <v>0</v>
      </c>
      <c r="HIZ49" s="375">
        <f t="shared" si="131"/>
        <v>0</v>
      </c>
      <c r="HJA49" s="375">
        <f t="shared" si="131"/>
        <v>0</v>
      </c>
      <c r="HJB49" s="375">
        <f t="shared" si="131"/>
        <v>0</v>
      </c>
      <c r="HJC49" s="375">
        <f t="shared" si="131"/>
        <v>0</v>
      </c>
      <c r="HJD49" s="375">
        <f t="shared" si="131"/>
        <v>0</v>
      </c>
      <c r="HJE49" s="375">
        <f t="shared" si="131"/>
        <v>0</v>
      </c>
      <c r="HJF49" s="375">
        <f t="shared" si="131"/>
        <v>0</v>
      </c>
      <c r="HJG49" s="375">
        <f t="shared" si="131"/>
        <v>0</v>
      </c>
      <c r="HJH49" s="375">
        <f t="shared" si="131"/>
        <v>0</v>
      </c>
      <c r="HJI49" s="375">
        <f t="shared" si="131"/>
        <v>0</v>
      </c>
      <c r="HJJ49" s="375">
        <f t="shared" si="131"/>
        <v>0</v>
      </c>
      <c r="HJK49" s="375">
        <f t="shared" si="131"/>
        <v>0</v>
      </c>
      <c r="HJL49" s="375">
        <f t="shared" si="131"/>
        <v>0</v>
      </c>
      <c r="HJM49" s="375">
        <f t="shared" si="131"/>
        <v>0</v>
      </c>
      <c r="HJN49" s="375">
        <f t="shared" si="131"/>
        <v>0</v>
      </c>
      <c r="HJO49" s="375">
        <f t="shared" si="131"/>
        <v>0</v>
      </c>
      <c r="HJP49" s="375">
        <f t="shared" si="131"/>
        <v>0</v>
      </c>
      <c r="HJQ49" s="375">
        <f t="shared" si="131"/>
        <v>0</v>
      </c>
      <c r="HJR49" s="375">
        <f t="shared" si="131"/>
        <v>0</v>
      </c>
      <c r="HJS49" s="375">
        <f t="shared" si="131"/>
        <v>0</v>
      </c>
      <c r="HJT49" s="375">
        <f t="shared" si="131"/>
        <v>0</v>
      </c>
      <c r="HJU49" s="375">
        <f t="shared" si="131"/>
        <v>0</v>
      </c>
      <c r="HJV49" s="375">
        <f t="shared" si="131"/>
        <v>0</v>
      </c>
      <c r="HJW49" s="375">
        <f t="shared" si="131"/>
        <v>0</v>
      </c>
      <c r="HJX49" s="375">
        <f t="shared" si="131"/>
        <v>0</v>
      </c>
      <c r="HJY49" s="375">
        <f t="shared" si="131"/>
        <v>0</v>
      </c>
      <c r="HJZ49" s="375">
        <f t="shared" si="131"/>
        <v>0</v>
      </c>
      <c r="HKA49" s="375">
        <f t="shared" si="131"/>
        <v>0</v>
      </c>
      <c r="HKB49" s="375">
        <f t="shared" si="131"/>
        <v>0</v>
      </c>
      <c r="HKC49" s="375">
        <f t="shared" ref="HKC49:HMN49" si="132">HKC48*0.8</f>
        <v>0</v>
      </c>
      <c r="HKD49" s="375">
        <f t="shared" si="132"/>
        <v>0</v>
      </c>
      <c r="HKE49" s="375">
        <f t="shared" si="132"/>
        <v>0</v>
      </c>
      <c r="HKF49" s="375">
        <f t="shared" si="132"/>
        <v>0</v>
      </c>
      <c r="HKG49" s="375">
        <f t="shared" si="132"/>
        <v>0</v>
      </c>
      <c r="HKH49" s="375">
        <f t="shared" si="132"/>
        <v>0</v>
      </c>
      <c r="HKI49" s="375">
        <f t="shared" si="132"/>
        <v>0</v>
      </c>
      <c r="HKJ49" s="375">
        <f t="shared" si="132"/>
        <v>0</v>
      </c>
      <c r="HKK49" s="375">
        <f t="shared" si="132"/>
        <v>0</v>
      </c>
      <c r="HKL49" s="375">
        <f t="shared" si="132"/>
        <v>0</v>
      </c>
      <c r="HKM49" s="375">
        <f t="shared" si="132"/>
        <v>0</v>
      </c>
      <c r="HKN49" s="375">
        <f t="shared" si="132"/>
        <v>0</v>
      </c>
      <c r="HKO49" s="375">
        <f t="shared" si="132"/>
        <v>0</v>
      </c>
      <c r="HKP49" s="375">
        <f t="shared" si="132"/>
        <v>0</v>
      </c>
      <c r="HKQ49" s="375">
        <f t="shared" si="132"/>
        <v>0</v>
      </c>
      <c r="HKR49" s="375">
        <f t="shared" si="132"/>
        <v>0</v>
      </c>
      <c r="HKS49" s="375">
        <f t="shared" si="132"/>
        <v>0</v>
      </c>
      <c r="HKT49" s="375">
        <f t="shared" si="132"/>
        <v>0</v>
      </c>
      <c r="HKU49" s="375">
        <f t="shared" si="132"/>
        <v>0</v>
      </c>
      <c r="HKV49" s="375">
        <f t="shared" si="132"/>
        <v>0</v>
      </c>
      <c r="HKW49" s="375">
        <f t="shared" si="132"/>
        <v>0</v>
      </c>
      <c r="HKX49" s="375">
        <f t="shared" si="132"/>
        <v>0</v>
      </c>
      <c r="HKY49" s="375">
        <f t="shared" si="132"/>
        <v>0</v>
      </c>
      <c r="HKZ49" s="375">
        <f t="shared" si="132"/>
        <v>0</v>
      </c>
      <c r="HLA49" s="375">
        <f t="shared" si="132"/>
        <v>0</v>
      </c>
      <c r="HLB49" s="375">
        <f t="shared" si="132"/>
        <v>0</v>
      </c>
      <c r="HLC49" s="375">
        <f t="shared" si="132"/>
        <v>0</v>
      </c>
      <c r="HLD49" s="375">
        <f t="shared" si="132"/>
        <v>0</v>
      </c>
      <c r="HLE49" s="375">
        <f t="shared" si="132"/>
        <v>0</v>
      </c>
      <c r="HLF49" s="375">
        <f t="shared" si="132"/>
        <v>0</v>
      </c>
      <c r="HLG49" s="375">
        <f t="shared" si="132"/>
        <v>0</v>
      </c>
      <c r="HLH49" s="375">
        <f t="shared" si="132"/>
        <v>0</v>
      </c>
      <c r="HLI49" s="375">
        <f t="shared" si="132"/>
        <v>0</v>
      </c>
      <c r="HLJ49" s="375">
        <f t="shared" si="132"/>
        <v>0</v>
      </c>
      <c r="HLK49" s="375">
        <f t="shared" si="132"/>
        <v>0</v>
      </c>
      <c r="HLL49" s="375">
        <f t="shared" si="132"/>
        <v>0</v>
      </c>
      <c r="HLM49" s="375">
        <f t="shared" si="132"/>
        <v>0</v>
      </c>
      <c r="HLN49" s="375">
        <f t="shared" si="132"/>
        <v>0</v>
      </c>
      <c r="HLO49" s="375">
        <f t="shared" si="132"/>
        <v>0</v>
      </c>
      <c r="HLP49" s="375">
        <f t="shared" si="132"/>
        <v>0</v>
      </c>
      <c r="HLQ49" s="375">
        <f t="shared" si="132"/>
        <v>0</v>
      </c>
      <c r="HLR49" s="375">
        <f t="shared" si="132"/>
        <v>0</v>
      </c>
      <c r="HLS49" s="375">
        <f t="shared" si="132"/>
        <v>0</v>
      </c>
      <c r="HLT49" s="375">
        <f t="shared" si="132"/>
        <v>0</v>
      </c>
      <c r="HLU49" s="375">
        <f t="shared" si="132"/>
        <v>0</v>
      </c>
      <c r="HLV49" s="375">
        <f t="shared" si="132"/>
        <v>0</v>
      </c>
      <c r="HLW49" s="375">
        <f t="shared" si="132"/>
        <v>0</v>
      </c>
      <c r="HLX49" s="375">
        <f t="shared" si="132"/>
        <v>0</v>
      </c>
      <c r="HLY49" s="375">
        <f t="shared" si="132"/>
        <v>0</v>
      </c>
      <c r="HLZ49" s="375">
        <f t="shared" si="132"/>
        <v>0</v>
      </c>
      <c r="HMA49" s="375">
        <f t="shared" si="132"/>
        <v>0</v>
      </c>
      <c r="HMB49" s="375">
        <f t="shared" si="132"/>
        <v>0</v>
      </c>
      <c r="HMC49" s="375">
        <f t="shared" si="132"/>
        <v>0</v>
      </c>
      <c r="HMD49" s="375">
        <f t="shared" si="132"/>
        <v>0</v>
      </c>
      <c r="HME49" s="375">
        <f t="shared" si="132"/>
        <v>0</v>
      </c>
      <c r="HMF49" s="375">
        <f t="shared" si="132"/>
        <v>0</v>
      </c>
      <c r="HMG49" s="375">
        <f t="shared" si="132"/>
        <v>0</v>
      </c>
      <c r="HMH49" s="375">
        <f t="shared" si="132"/>
        <v>0</v>
      </c>
      <c r="HMI49" s="375">
        <f t="shared" si="132"/>
        <v>0</v>
      </c>
      <c r="HMJ49" s="375">
        <f t="shared" si="132"/>
        <v>0</v>
      </c>
      <c r="HMK49" s="375">
        <f t="shared" si="132"/>
        <v>0</v>
      </c>
      <c r="HML49" s="375">
        <f t="shared" si="132"/>
        <v>0</v>
      </c>
      <c r="HMM49" s="375">
        <f t="shared" si="132"/>
        <v>0</v>
      </c>
      <c r="HMN49" s="375">
        <f t="shared" si="132"/>
        <v>0</v>
      </c>
      <c r="HMO49" s="375">
        <f t="shared" ref="HMO49:HOZ49" si="133">HMO48*0.8</f>
        <v>0</v>
      </c>
      <c r="HMP49" s="375">
        <f t="shared" si="133"/>
        <v>0</v>
      </c>
      <c r="HMQ49" s="375">
        <f t="shared" si="133"/>
        <v>0</v>
      </c>
      <c r="HMR49" s="375">
        <f t="shared" si="133"/>
        <v>0</v>
      </c>
      <c r="HMS49" s="375">
        <f t="shared" si="133"/>
        <v>0</v>
      </c>
      <c r="HMT49" s="375">
        <f t="shared" si="133"/>
        <v>0</v>
      </c>
      <c r="HMU49" s="375">
        <f t="shared" si="133"/>
        <v>0</v>
      </c>
      <c r="HMV49" s="375">
        <f t="shared" si="133"/>
        <v>0</v>
      </c>
      <c r="HMW49" s="375">
        <f t="shared" si="133"/>
        <v>0</v>
      </c>
      <c r="HMX49" s="375">
        <f t="shared" si="133"/>
        <v>0</v>
      </c>
      <c r="HMY49" s="375">
        <f t="shared" si="133"/>
        <v>0</v>
      </c>
      <c r="HMZ49" s="375">
        <f t="shared" si="133"/>
        <v>0</v>
      </c>
      <c r="HNA49" s="375">
        <f t="shared" si="133"/>
        <v>0</v>
      </c>
      <c r="HNB49" s="375">
        <f t="shared" si="133"/>
        <v>0</v>
      </c>
      <c r="HNC49" s="375">
        <f t="shared" si="133"/>
        <v>0</v>
      </c>
      <c r="HND49" s="375">
        <f t="shared" si="133"/>
        <v>0</v>
      </c>
      <c r="HNE49" s="375">
        <f t="shared" si="133"/>
        <v>0</v>
      </c>
      <c r="HNF49" s="375">
        <f t="shared" si="133"/>
        <v>0</v>
      </c>
      <c r="HNG49" s="375">
        <f t="shared" si="133"/>
        <v>0</v>
      </c>
      <c r="HNH49" s="375">
        <f t="shared" si="133"/>
        <v>0</v>
      </c>
      <c r="HNI49" s="375">
        <f t="shared" si="133"/>
        <v>0</v>
      </c>
      <c r="HNJ49" s="375">
        <f t="shared" si="133"/>
        <v>0</v>
      </c>
      <c r="HNK49" s="375">
        <f t="shared" si="133"/>
        <v>0</v>
      </c>
      <c r="HNL49" s="375">
        <f t="shared" si="133"/>
        <v>0</v>
      </c>
      <c r="HNM49" s="375">
        <f t="shared" si="133"/>
        <v>0</v>
      </c>
      <c r="HNN49" s="375">
        <f t="shared" si="133"/>
        <v>0</v>
      </c>
      <c r="HNO49" s="375">
        <f t="shared" si="133"/>
        <v>0</v>
      </c>
      <c r="HNP49" s="375">
        <f t="shared" si="133"/>
        <v>0</v>
      </c>
      <c r="HNQ49" s="375">
        <f t="shared" si="133"/>
        <v>0</v>
      </c>
      <c r="HNR49" s="375">
        <f t="shared" si="133"/>
        <v>0</v>
      </c>
      <c r="HNS49" s="375">
        <f t="shared" si="133"/>
        <v>0</v>
      </c>
      <c r="HNT49" s="375">
        <f t="shared" si="133"/>
        <v>0</v>
      </c>
      <c r="HNU49" s="375">
        <f t="shared" si="133"/>
        <v>0</v>
      </c>
      <c r="HNV49" s="375">
        <f t="shared" si="133"/>
        <v>0</v>
      </c>
      <c r="HNW49" s="375">
        <f t="shared" si="133"/>
        <v>0</v>
      </c>
      <c r="HNX49" s="375">
        <f t="shared" si="133"/>
        <v>0</v>
      </c>
      <c r="HNY49" s="375">
        <f t="shared" si="133"/>
        <v>0</v>
      </c>
      <c r="HNZ49" s="375">
        <f t="shared" si="133"/>
        <v>0</v>
      </c>
      <c r="HOA49" s="375">
        <f t="shared" si="133"/>
        <v>0</v>
      </c>
      <c r="HOB49" s="375">
        <f t="shared" si="133"/>
        <v>0</v>
      </c>
      <c r="HOC49" s="375">
        <f t="shared" si="133"/>
        <v>0</v>
      </c>
      <c r="HOD49" s="375">
        <f t="shared" si="133"/>
        <v>0</v>
      </c>
      <c r="HOE49" s="375">
        <f t="shared" si="133"/>
        <v>0</v>
      </c>
      <c r="HOF49" s="375">
        <f t="shared" si="133"/>
        <v>0</v>
      </c>
      <c r="HOG49" s="375">
        <f t="shared" si="133"/>
        <v>0</v>
      </c>
      <c r="HOH49" s="375">
        <f t="shared" si="133"/>
        <v>0</v>
      </c>
      <c r="HOI49" s="375">
        <f t="shared" si="133"/>
        <v>0</v>
      </c>
      <c r="HOJ49" s="375">
        <f t="shared" si="133"/>
        <v>0</v>
      </c>
      <c r="HOK49" s="375">
        <f t="shared" si="133"/>
        <v>0</v>
      </c>
      <c r="HOL49" s="375">
        <f t="shared" si="133"/>
        <v>0</v>
      </c>
      <c r="HOM49" s="375">
        <f t="shared" si="133"/>
        <v>0</v>
      </c>
      <c r="HON49" s="375">
        <f t="shared" si="133"/>
        <v>0</v>
      </c>
      <c r="HOO49" s="375">
        <f t="shared" si="133"/>
        <v>0</v>
      </c>
      <c r="HOP49" s="375">
        <f t="shared" si="133"/>
        <v>0</v>
      </c>
      <c r="HOQ49" s="375">
        <f t="shared" si="133"/>
        <v>0</v>
      </c>
      <c r="HOR49" s="375">
        <f t="shared" si="133"/>
        <v>0</v>
      </c>
      <c r="HOS49" s="375">
        <f t="shared" si="133"/>
        <v>0</v>
      </c>
      <c r="HOT49" s="375">
        <f t="shared" si="133"/>
        <v>0</v>
      </c>
      <c r="HOU49" s="375">
        <f t="shared" si="133"/>
        <v>0</v>
      </c>
      <c r="HOV49" s="375">
        <f t="shared" si="133"/>
        <v>0</v>
      </c>
      <c r="HOW49" s="375">
        <f t="shared" si="133"/>
        <v>0</v>
      </c>
      <c r="HOX49" s="375">
        <f t="shared" si="133"/>
        <v>0</v>
      </c>
      <c r="HOY49" s="375">
        <f t="shared" si="133"/>
        <v>0</v>
      </c>
      <c r="HOZ49" s="375">
        <f t="shared" si="133"/>
        <v>0</v>
      </c>
      <c r="HPA49" s="375">
        <f t="shared" ref="HPA49:HRL49" si="134">HPA48*0.8</f>
        <v>0</v>
      </c>
      <c r="HPB49" s="375">
        <f t="shared" si="134"/>
        <v>0</v>
      </c>
      <c r="HPC49" s="375">
        <f t="shared" si="134"/>
        <v>0</v>
      </c>
      <c r="HPD49" s="375">
        <f t="shared" si="134"/>
        <v>0</v>
      </c>
      <c r="HPE49" s="375">
        <f t="shared" si="134"/>
        <v>0</v>
      </c>
      <c r="HPF49" s="375">
        <f t="shared" si="134"/>
        <v>0</v>
      </c>
      <c r="HPG49" s="375">
        <f t="shared" si="134"/>
        <v>0</v>
      </c>
      <c r="HPH49" s="375">
        <f t="shared" si="134"/>
        <v>0</v>
      </c>
      <c r="HPI49" s="375">
        <f t="shared" si="134"/>
        <v>0</v>
      </c>
      <c r="HPJ49" s="375">
        <f t="shared" si="134"/>
        <v>0</v>
      </c>
      <c r="HPK49" s="375">
        <f t="shared" si="134"/>
        <v>0</v>
      </c>
      <c r="HPL49" s="375">
        <f t="shared" si="134"/>
        <v>0</v>
      </c>
      <c r="HPM49" s="375">
        <f t="shared" si="134"/>
        <v>0</v>
      </c>
      <c r="HPN49" s="375">
        <f t="shared" si="134"/>
        <v>0</v>
      </c>
      <c r="HPO49" s="375">
        <f t="shared" si="134"/>
        <v>0</v>
      </c>
      <c r="HPP49" s="375">
        <f t="shared" si="134"/>
        <v>0</v>
      </c>
      <c r="HPQ49" s="375">
        <f t="shared" si="134"/>
        <v>0</v>
      </c>
      <c r="HPR49" s="375">
        <f t="shared" si="134"/>
        <v>0</v>
      </c>
      <c r="HPS49" s="375">
        <f t="shared" si="134"/>
        <v>0</v>
      </c>
      <c r="HPT49" s="375">
        <f t="shared" si="134"/>
        <v>0</v>
      </c>
      <c r="HPU49" s="375">
        <f t="shared" si="134"/>
        <v>0</v>
      </c>
      <c r="HPV49" s="375">
        <f t="shared" si="134"/>
        <v>0</v>
      </c>
      <c r="HPW49" s="375">
        <f t="shared" si="134"/>
        <v>0</v>
      </c>
      <c r="HPX49" s="375">
        <f t="shared" si="134"/>
        <v>0</v>
      </c>
      <c r="HPY49" s="375">
        <f t="shared" si="134"/>
        <v>0</v>
      </c>
      <c r="HPZ49" s="375">
        <f t="shared" si="134"/>
        <v>0</v>
      </c>
      <c r="HQA49" s="375">
        <f t="shared" si="134"/>
        <v>0</v>
      </c>
      <c r="HQB49" s="375">
        <f t="shared" si="134"/>
        <v>0</v>
      </c>
      <c r="HQC49" s="375">
        <f t="shared" si="134"/>
        <v>0</v>
      </c>
      <c r="HQD49" s="375">
        <f t="shared" si="134"/>
        <v>0</v>
      </c>
      <c r="HQE49" s="375">
        <f t="shared" si="134"/>
        <v>0</v>
      </c>
      <c r="HQF49" s="375">
        <f t="shared" si="134"/>
        <v>0</v>
      </c>
      <c r="HQG49" s="375">
        <f t="shared" si="134"/>
        <v>0</v>
      </c>
      <c r="HQH49" s="375">
        <f t="shared" si="134"/>
        <v>0</v>
      </c>
      <c r="HQI49" s="375">
        <f t="shared" si="134"/>
        <v>0</v>
      </c>
      <c r="HQJ49" s="375">
        <f t="shared" si="134"/>
        <v>0</v>
      </c>
      <c r="HQK49" s="375">
        <f t="shared" si="134"/>
        <v>0</v>
      </c>
      <c r="HQL49" s="375">
        <f t="shared" si="134"/>
        <v>0</v>
      </c>
      <c r="HQM49" s="375">
        <f t="shared" si="134"/>
        <v>0</v>
      </c>
      <c r="HQN49" s="375">
        <f t="shared" si="134"/>
        <v>0</v>
      </c>
      <c r="HQO49" s="375">
        <f t="shared" si="134"/>
        <v>0</v>
      </c>
      <c r="HQP49" s="375">
        <f t="shared" si="134"/>
        <v>0</v>
      </c>
      <c r="HQQ49" s="375">
        <f t="shared" si="134"/>
        <v>0</v>
      </c>
      <c r="HQR49" s="375">
        <f t="shared" si="134"/>
        <v>0</v>
      </c>
      <c r="HQS49" s="375">
        <f t="shared" si="134"/>
        <v>0</v>
      </c>
      <c r="HQT49" s="375">
        <f t="shared" si="134"/>
        <v>0</v>
      </c>
      <c r="HQU49" s="375">
        <f t="shared" si="134"/>
        <v>0</v>
      </c>
      <c r="HQV49" s="375">
        <f t="shared" si="134"/>
        <v>0</v>
      </c>
      <c r="HQW49" s="375">
        <f t="shared" si="134"/>
        <v>0</v>
      </c>
      <c r="HQX49" s="375">
        <f t="shared" si="134"/>
        <v>0</v>
      </c>
      <c r="HQY49" s="375">
        <f t="shared" si="134"/>
        <v>0</v>
      </c>
      <c r="HQZ49" s="375">
        <f t="shared" si="134"/>
        <v>0</v>
      </c>
      <c r="HRA49" s="375">
        <f t="shared" si="134"/>
        <v>0</v>
      </c>
      <c r="HRB49" s="375">
        <f t="shared" si="134"/>
        <v>0</v>
      </c>
      <c r="HRC49" s="375">
        <f t="shared" si="134"/>
        <v>0</v>
      </c>
      <c r="HRD49" s="375">
        <f t="shared" si="134"/>
        <v>0</v>
      </c>
      <c r="HRE49" s="375">
        <f t="shared" si="134"/>
        <v>0</v>
      </c>
      <c r="HRF49" s="375">
        <f t="shared" si="134"/>
        <v>0</v>
      </c>
      <c r="HRG49" s="375">
        <f t="shared" si="134"/>
        <v>0</v>
      </c>
      <c r="HRH49" s="375">
        <f t="shared" si="134"/>
        <v>0</v>
      </c>
      <c r="HRI49" s="375">
        <f t="shared" si="134"/>
        <v>0</v>
      </c>
      <c r="HRJ49" s="375">
        <f t="shared" si="134"/>
        <v>0</v>
      </c>
      <c r="HRK49" s="375">
        <f t="shared" si="134"/>
        <v>0</v>
      </c>
      <c r="HRL49" s="375">
        <f t="shared" si="134"/>
        <v>0</v>
      </c>
      <c r="HRM49" s="375">
        <f t="shared" ref="HRM49:HTX49" si="135">HRM48*0.8</f>
        <v>0</v>
      </c>
      <c r="HRN49" s="375">
        <f t="shared" si="135"/>
        <v>0</v>
      </c>
      <c r="HRO49" s="375">
        <f t="shared" si="135"/>
        <v>0</v>
      </c>
      <c r="HRP49" s="375">
        <f t="shared" si="135"/>
        <v>0</v>
      </c>
      <c r="HRQ49" s="375">
        <f t="shared" si="135"/>
        <v>0</v>
      </c>
      <c r="HRR49" s="375">
        <f t="shared" si="135"/>
        <v>0</v>
      </c>
      <c r="HRS49" s="375">
        <f t="shared" si="135"/>
        <v>0</v>
      </c>
      <c r="HRT49" s="375">
        <f t="shared" si="135"/>
        <v>0</v>
      </c>
      <c r="HRU49" s="375">
        <f t="shared" si="135"/>
        <v>0</v>
      </c>
      <c r="HRV49" s="375">
        <f t="shared" si="135"/>
        <v>0</v>
      </c>
      <c r="HRW49" s="375">
        <f t="shared" si="135"/>
        <v>0</v>
      </c>
      <c r="HRX49" s="375">
        <f t="shared" si="135"/>
        <v>0</v>
      </c>
      <c r="HRY49" s="375">
        <f t="shared" si="135"/>
        <v>0</v>
      </c>
      <c r="HRZ49" s="375">
        <f t="shared" si="135"/>
        <v>0</v>
      </c>
      <c r="HSA49" s="375">
        <f t="shared" si="135"/>
        <v>0</v>
      </c>
      <c r="HSB49" s="375">
        <f t="shared" si="135"/>
        <v>0</v>
      </c>
      <c r="HSC49" s="375">
        <f t="shared" si="135"/>
        <v>0</v>
      </c>
      <c r="HSD49" s="375">
        <f t="shared" si="135"/>
        <v>0</v>
      </c>
      <c r="HSE49" s="375">
        <f t="shared" si="135"/>
        <v>0</v>
      </c>
      <c r="HSF49" s="375">
        <f t="shared" si="135"/>
        <v>0</v>
      </c>
      <c r="HSG49" s="375">
        <f t="shared" si="135"/>
        <v>0</v>
      </c>
      <c r="HSH49" s="375">
        <f t="shared" si="135"/>
        <v>0</v>
      </c>
      <c r="HSI49" s="375">
        <f t="shared" si="135"/>
        <v>0</v>
      </c>
      <c r="HSJ49" s="375">
        <f t="shared" si="135"/>
        <v>0</v>
      </c>
      <c r="HSK49" s="375">
        <f t="shared" si="135"/>
        <v>0</v>
      </c>
      <c r="HSL49" s="375">
        <f t="shared" si="135"/>
        <v>0</v>
      </c>
      <c r="HSM49" s="375">
        <f t="shared" si="135"/>
        <v>0</v>
      </c>
      <c r="HSN49" s="375">
        <f t="shared" si="135"/>
        <v>0</v>
      </c>
      <c r="HSO49" s="375">
        <f t="shared" si="135"/>
        <v>0</v>
      </c>
      <c r="HSP49" s="375">
        <f t="shared" si="135"/>
        <v>0</v>
      </c>
      <c r="HSQ49" s="375">
        <f t="shared" si="135"/>
        <v>0</v>
      </c>
      <c r="HSR49" s="375">
        <f t="shared" si="135"/>
        <v>0</v>
      </c>
      <c r="HSS49" s="375">
        <f t="shared" si="135"/>
        <v>0</v>
      </c>
      <c r="HST49" s="375">
        <f t="shared" si="135"/>
        <v>0</v>
      </c>
      <c r="HSU49" s="375">
        <f t="shared" si="135"/>
        <v>0</v>
      </c>
      <c r="HSV49" s="375">
        <f t="shared" si="135"/>
        <v>0</v>
      </c>
      <c r="HSW49" s="375">
        <f t="shared" si="135"/>
        <v>0</v>
      </c>
      <c r="HSX49" s="375">
        <f t="shared" si="135"/>
        <v>0</v>
      </c>
      <c r="HSY49" s="375">
        <f t="shared" si="135"/>
        <v>0</v>
      </c>
      <c r="HSZ49" s="375">
        <f t="shared" si="135"/>
        <v>0</v>
      </c>
      <c r="HTA49" s="375">
        <f t="shared" si="135"/>
        <v>0</v>
      </c>
      <c r="HTB49" s="375">
        <f t="shared" si="135"/>
        <v>0</v>
      </c>
      <c r="HTC49" s="375">
        <f t="shared" si="135"/>
        <v>0</v>
      </c>
      <c r="HTD49" s="375">
        <f t="shared" si="135"/>
        <v>0</v>
      </c>
      <c r="HTE49" s="375">
        <f t="shared" si="135"/>
        <v>0</v>
      </c>
      <c r="HTF49" s="375">
        <f t="shared" si="135"/>
        <v>0</v>
      </c>
      <c r="HTG49" s="375">
        <f t="shared" si="135"/>
        <v>0</v>
      </c>
      <c r="HTH49" s="375">
        <f t="shared" si="135"/>
        <v>0</v>
      </c>
      <c r="HTI49" s="375">
        <f t="shared" si="135"/>
        <v>0</v>
      </c>
      <c r="HTJ49" s="375">
        <f t="shared" si="135"/>
        <v>0</v>
      </c>
      <c r="HTK49" s="375">
        <f t="shared" si="135"/>
        <v>0</v>
      </c>
      <c r="HTL49" s="375">
        <f t="shared" si="135"/>
        <v>0</v>
      </c>
      <c r="HTM49" s="375">
        <f t="shared" si="135"/>
        <v>0</v>
      </c>
      <c r="HTN49" s="375">
        <f t="shared" si="135"/>
        <v>0</v>
      </c>
      <c r="HTO49" s="375">
        <f t="shared" si="135"/>
        <v>0</v>
      </c>
      <c r="HTP49" s="375">
        <f t="shared" si="135"/>
        <v>0</v>
      </c>
      <c r="HTQ49" s="375">
        <f t="shared" si="135"/>
        <v>0</v>
      </c>
      <c r="HTR49" s="375">
        <f t="shared" si="135"/>
        <v>0</v>
      </c>
      <c r="HTS49" s="375">
        <f t="shared" si="135"/>
        <v>0</v>
      </c>
      <c r="HTT49" s="375">
        <f t="shared" si="135"/>
        <v>0</v>
      </c>
      <c r="HTU49" s="375">
        <f t="shared" si="135"/>
        <v>0</v>
      </c>
      <c r="HTV49" s="375">
        <f t="shared" si="135"/>
        <v>0</v>
      </c>
      <c r="HTW49" s="375">
        <f t="shared" si="135"/>
        <v>0</v>
      </c>
      <c r="HTX49" s="375">
        <f t="shared" si="135"/>
        <v>0</v>
      </c>
      <c r="HTY49" s="375">
        <f t="shared" ref="HTY49:HWJ49" si="136">HTY48*0.8</f>
        <v>0</v>
      </c>
      <c r="HTZ49" s="375">
        <f t="shared" si="136"/>
        <v>0</v>
      </c>
      <c r="HUA49" s="375">
        <f t="shared" si="136"/>
        <v>0</v>
      </c>
      <c r="HUB49" s="375">
        <f t="shared" si="136"/>
        <v>0</v>
      </c>
      <c r="HUC49" s="375">
        <f t="shared" si="136"/>
        <v>0</v>
      </c>
      <c r="HUD49" s="375">
        <f t="shared" si="136"/>
        <v>0</v>
      </c>
      <c r="HUE49" s="375">
        <f t="shared" si="136"/>
        <v>0</v>
      </c>
      <c r="HUF49" s="375">
        <f t="shared" si="136"/>
        <v>0</v>
      </c>
      <c r="HUG49" s="375">
        <f t="shared" si="136"/>
        <v>0</v>
      </c>
      <c r="HUH49" s="375">
        <f t="shared" si="136"/>
        <v>0</v>
      </c>
      <c r="HUI49" s="375">
        <f t="shared" si="136"/>
        <v>0</v>
      </c>
      <c r="HUJ49" s="375">
        <f t="shared" si="136"/>
        <v>0</v>
      </c>
      <c r="HUK49" s="375">
        <f t="shared" si="136"/>
        <v>0</v>
      </c>
      <c r="HUL49" s="375">
        <f t="shared" si="136"/>
        <v>0</v>
      </c>
      <c r="HUM49" s="375">
        <f t="shared" si="136"/>
        <v>0</v>
      </c>
      <c r="HUN49" s="375">
        <f t="shared" si="136"/>
        <v>0</v>
      </c>
      <c r="HUO49" s="375">
        <f t="shared" si="136"/>
        <v>0</v>
      </c>
      <c r="HUP49" s="375">
        <f t="shared" si="136"/>
        <v>0</v>
      </c>
      <c r="HUQ49" s="375">
        <f t="shared" si="136"/>
        <v>0</v>
      </c>
      <c r="HUR49" s="375">
        <f t="shared" si="136"/>
        <v>0</v>
      </c>
      <c r="HUS49" s="375">
        <f t="shared" si="136"/>
        <v>0</v>
      </c>
      <c r="HUT49" s="375">
        <f t="shared" si="136"/>
        <v>0</v>
      </c>
      <c r="HUU49" s="375">
        <f t="shared" si="136"/>
        <v>0</v>
      </c>
      <c r="HUV49" s="375">
        <f t="shared" si="136"/>
        <v>0</v>
      </c>
      <c r="HUW49" s="375">
        <f t="shared" si="136"/>
        <v>0</v>
      </c>
      <c r="HUX49" s="375">
        <f t="shared" si="136"/>
        <v>0</v>
      </c>
      <c r="HUY49" s="375">
        <f t="shared" si="136"/>
        <v>0</v>
      </c>
      <c r="HUZ49" s="375">
        <f t="shared" si="136"/>
        <v>0</v>
      </c>
      <c r="HVA49" s="375">
        <f t="shared" si="136"/>
        <v>0</v>
      </c>
      <c r="HVB49" s="375">
        <f t="shared" si="136"/>
        <v>0</v>
      </c>
      <c r="HVC49" s="375">
        <f t="shared" si="136"/>
        <v>0</v>
      </c>
      <c r="HVD49" s="375">
        <f t="shared" si="136"/>
        <v>0</v>
      </c>
      <c r="HVE49" s="375">
        <f t="shared" si="136"/>
        <v>0</v>
      </c>
      <c r="HVF49" s="375">
        <f t="shared" si="136"/>
        <v>0</v>
      </c>
      <c r="HVG49" s="375">
        <f t="shared" si="136"/>
        <v>0</v>
      </c>
      <c r="HVH49" s="375">
        <f t="shared" si="136"/>
        <v>0</v>
      </c>
      <c r="HVI49" s="375">
        <f t="shared" si="136"/>
        <v>0</v>
      </c>
      <c r="HVJ49" s="375">
        <f t="shared" si="136"/>
        <v>0</v>
      </c>
      <c r="HVK49" s="375">
        <f t="shared" si="136"/>
        <v>0</v>
      </c>
      <c r="HVL49" s="375">
        <f t="shared" si="136"/>
        <v>0</v>
      </c>
      <c r="HVM49" s="375">
        <f t="shared" si="136"/>
        <v>0</v>
      </c>
      <c r="HVN49" s="375">
        <f t="shared" si="136"/>
        <v>0</v>
      </c>
      <c r="HVO49" s="375">
        <f t="shared" si="136"/>
        <v>0</v>
      </c>
      <c r="HVP49" s="375">
        <f t="shared" si="136"/>
        <v>0</v>
      </c>
      <c r="HVQ49" s="375">
        <f t="shared" si="136"/>
        <v>0</v>
      </c>
      <c r="HVR49" s="375">
        <f t="shared" si="136"/>
        <v>0</v>
      </c>
      <c r="HVS49" s="375">
        <f t="shared" si="136"/>
        <v>0</v>
      </c>
      <c r="HVT49" s="375">
        <f t="shared" si="136"/>
        <v>0</v>
      </c>
      <c r="HVU49" s="375">
        <f t="shared" si="136"/>
        <v>0</v>
      </c>
      <c r="HVV49" s="375">
        <f t="shared" si="136"/>
        <v>0</v>
      </c>
      <c r="HVW49" s="375">
        <f t="shared" si="136"/>
        <v>0</v>
      </c>
      <c r="HVX49" s="375">
        <f t="shared" si="136"/>
        <v>0</v>
      </c>
      <c r="HVY49" s="375">
        <f t="shared" si="136"/>
        <v>0</v>
      </c>
      <c r="HVZ49" s="375">
        <f t="shared" si="136"/>
        <v>0</v>
      </c>
      <c r="HWA49" s="375">
        <f t="shared" si="136"/>
        <v>0</v>
      </c>
      <c r="HWB49" s="375">
        <f t="shared" si="136"/>
        <v>0</v>
      </c>
      <c r="HWC49" s="375">
        <f t="shared" si="136"/>
        <v>0</v>
      </c>
      <c r="HWD49" s="375">
        <f t="shared" si="136"/>
        <v>0</v>
      </c>
      <c r="HWE49" s="375">
        <f t="shared" si="136"/>
        <v>0</v>
      </c>
      <c r="HWF49" s="375">
        <f t="shared" si="136"/>
        <v>0</v>
      </c>
      <c r="HWG49" s="375">
        <f t="shared" si="136"/>
        <v>0</v>
      </c>
      <c r="HWH49" s="375">
        <f t="shared" si="136"/>
        <v>0</v>
      </c>
      <c r="HWI49" s="375">
        <f t="shared" si="136"/>
        <v>0</v>
      </c>
      <c r="HWJ49" s="375">
        <f t="shared" si="136"/>
        <v>0</v>
      </c>
      <c r="HWK49" s="375">
        <f t="shared" ref="HWK49:HYV49" si="137">HWK48*0.8</f>
        <v>0</v>
      </c>
      <c r="HWL49" s="375">
        <f t="shared" si="137"/>
        <v>0</v>
      </c>
      <c r="HWM49" s="375">
        <f t="shared" si="137"/>
        <v>0</v>
      </c>
      <c r="HWN49" s="375">
        <f t="shared" si="137"/>
        <v>0</v>
      </c>
      <c r="HWO49" s="375">
        <f t="shared" si="137"/>
        <v>0</v>
      </c>
      <c r="HWP49" s="375">
        <f t="shared" si="137"/>
        <v>0</v>
      </c>
      <c r="HWQ49" s="375">
        <f t="shared" si="137"/>
        <v>0</v>
      </c>
      <c r="HWR49" s="375">
        <f t="shared" si="137"/>
        <v>0</v>
      </c>
      <c r="HWS49" s="375">
        <f t="shared" si="137"/>
        <v>0</v>
      </c>
      <c r="HWT49" s="375">
        <f t="shared" si="137"/>
        <v>0</v>
      </c>
      <c r="HWU49" s="375">
        <f t="shared" si="137"/>
        <v>0</v>
      </c>
      <c r="HWV49" s="375">
        <f t="shared" si="137"/>
        <v>0</v>
      </c>
      <c r="HWW49" s="375">
        <f t="shared" si="137"/>
        <v>0</v>
      </c>
      <c r="HWX49" s="375">
        <f t="shared" si="137"/>
        <v>0</v>
      </c>
      <c r="HWY49" s="375">
        <f t="shared" si="137"/>
        <v>0</v>
      </c>
      <c r="HWZ49" s="375">
        <f t="shared" si="137"/>
        <v>0</v>
      </c>
      <c r="HXA49" s="375">
        <f t="shared" si="137"/>
        <v>0</v>
      </c>
      <c r="HXB49" s="375">
        <f t="shared" si="137"/>
        <v>0</v>
      </c>
      <c r="HXC49" s="375">
        <f t="shared" si="137"/>
        <v>0</v>
      </c>
      <c r="HXD49" s="375">
        <f t="shared" si="137"/>
        <v>0</v>
      </c>
      <c r="HXE49" s="375">
        <f t="shared" si="137"/>
        <v>0</v>
      </c>
      <c r="HXF49" s="375">
        <f t="shared" si="137"/>
        <v>0</v>
      </c>
      <c r="HXG49" s="375">
        <f t="shared" si="137"/>
        <v>0</v>
      </c>
      <c r="HXH49" s="375">
        <f t="shared" si="137"/>
        <v>0</v>
      </c>
      <c r="HXI49" s="375">
        <f t="shared" si="137"/>
        <v>0</v>
      </c>
      <c r="HXJ49" s="375">
        <f t="shared" si="137"/>
        <v>0</v>
      </c>
      <c r="HXK49" s="375">
        <f t="shared" si="137"/>
        <v>0</v>
      </c>
      <c r="HXL49" s="375">
        <f t="shared" si="137"/>
        <v>0</v>
      </c>
      <c r="HXM49" s="375">
        <f t="shared" si="137"/>
        <v>0</v>
      </c>
      <c r="HXN49" s="375">
        <f t="shared" si="137"/>
        <v>0</v>
      </c>
      <c r="HXO49" s="375">
        <f t="shared" si="137"/>
        <v>0</v>
      </c>
      <c r="HXP49" s="375">
        <f t="shared" si="137"/>
        <v>0</v>
      </c>
      <c r="HXQ49" s="375">
        <f t="shared" si="137"/>
        <v>0</v>
      </c>
      <c r="HXR49" s="375">
        <f t="shared" si="137"/>
        <v>0</v>
      </c>
      <c r="HXS49" s="375">
        <f t="shared" si="137"/>
        <v>0</v>
      </c>
      <c r="HXT49" s="375">
        <f t="shared" si="137"/>
        <v>0</v>
      </c>
      <c r="HXU49" s="375">
        <f t="shared" si="137"/>
        <v>0</v>
      </c>
      <c r="HXV49" s="375">
        <f t="shared" si="137"/>
        <v>0</v>
      </c>
      <c r="HXW49" s="375">
        <f t="shared" si="137"/>
        <v>0</v>
      </c>
      <c r="HXX49" s="375">
        <f t="shared" si="137"/>
        <v>0</v>
      </c>
      <c r="HXY49" s="375">
        <f t="shared" si="137"/>
        <v>0</v>
      </c>
      <c r="HXZ49" s="375">
        <f t="shared" si="137"/>
        <v>0</v>
      </c>
      <c r="HYA49" s="375">
        <f t="shared" si="137"/>
        <v>0</v>
      </c>
      <c r="HYB49" s="375">
        <f t="shared" si="137"/>
        <v>0</v>
      </c>
      <c r="HYC49" s="375">
        <f t="shared" si="137"/>
        <v>0</v>
      </c>
      <c r="HYD49" s="375">
        <f t="shared" si="137"/>
        <v>0</v>
      </c>
      <c r="HYE49" s="375">
        <f t="shared" si="137"/>
        <v>0</v>
      </c>
      <c r="HYF49" s="375">
        <f t="shared" si="137"/>
        <v>0</v>
      </c>
      <c r="HYG49" s="375">
        <f t="shared" si="137"/>
        <v>0</v>
      </c>
      <c r="HYH49" s="375">
        <f t="shared" si="137"/>
        <v>0</v>
      </c>
      <c r="HYI49" s="375">
        <f t="shared" si="137"/>
        <v>0</v>
      </c>
      <c r="HYJ49" s="375">
        <f t="shared" si="137"/>
        <v>0</v>
      </c>
      <c r="HYK49" s="375">
        <f t="shared" si="137"/>
        <v>0</v>
      </c>
      <c r="HYL49" s="375">
        <f t="shared" si="137"/>
        <v>0</v>
      </c>
      <c r="HYM49" s="375">
        <f t="shared" si="137"/>
        <v>0</v>
      </c>
      <c r="HYN49" s="375">
        <f t="shared" si="137"/>
        <v>0</v>
      </c>
      <c r="HYO49" s="375">
        <f t="shared" si="137"/>
        <v>0</v>
      </c>
      <c r="HYP49" s="375">
        <f t="shared" si="137"/>
        <v>0</v>
      </c>
      <c r="HYQ49" s="375">
        <f t="shared" si="137"/>
        <v>0</v>
      </c>
      <c r="HYR49" s="375">
        <f t="shared" si="137"/>
        <v>0</v>
      </c>
      <c r="HYS49" s="375">
        <f t="shared" si="137"/>
        <v>0</v>
      </c>
      <c r="HYT49" s="375">
        <f t="shared" si="137"/>
        <v>0</v>
      </c>
      <c r="HYU49" s="375">
        <f t="shared" si="137"/>
        <v>0</v>
      </c>
      <c r="HYV49" s="375">
        <f t="shared" si="137"/>
        <v>0</v>
      </c>
      <c r="HYW49" s="375">
        <f t="shared" ref="HYW49:IBH49" si="138">HYW48*0.8</f>
        <v>0</v>
      </c>
      <c r="HYX49" s="375">
        <f t="shared" si="138"/>
        <v>0</v>
      </c>
      <c r="HYY49" s="375">
        <f t="shared" si="138"/>
        <v>0</v>
      </c>
      <c r="HYZ49" s="375">
        <f t="shared" si="138"/>
        <v>0</v>
      </c>
      <c r="HZA49" s="375">
        <f t="shared" si="138"/>
        <v>0</v>
      </c>
      <c r="HZB49" s="375">
        <f t="shared" si="138"/>
        <v>0</v>
      </c>
      <c r="HZC49" s="375">
        <f t="shared" si="138"/>
        <v>0</v>
      </c>
      <c r="HZD49" s="375">
        <f t="shared" si="138"/>
        <v>0</v>
      </c>
      <c r="HZE49" s="375">
        <f t="shared" si="138"/>
        <v>0</v>
      </c>
      <c r="HZF49" s="375">
        <f t="shared" si="138"/>
        <v>0</v>
      </c>
      <c r="HZG49" s="375">
        <f t="shared" si="138"/>
        <v>0</v>
      </c>
      <c r="HZH49" s="375">
        <f t="shared" si="138"/>
        <v>0</v>
      </c>
      <c r="HZI49" s="375">
        <f t="shared" si="138"/>
        <v>0</v>
      </c>
      <c r="HZJ49" s="375">
        <f t="shared" si="138"/>
        <v>0</v>
      </c>
      <c r="HZK49" s="375">
        <f t="shared" si="138"/>
        <v>0</v>
      </c>
      <c r="HZL49" s="375">
        <f t="shared" si="138"/>
        <v>0</v>
      </c>
      <c r="HZM49" s="375">
        <f t="shared" si="138"/>
        <v>0</v>
      </c>
      <c r="HZN49" s="375">
        <f t="shared" si="138"/>
        <v>0</v>
      </c>
      <c r="HZO49" s="375">
        <f t="shared" si="138"/>
        <v>0</v>
      </c>
      <c r="HZP49" s="375">
        <f t="shared" si="138"/>
        <v>0</v>
      </c>
      <c r="HZQ49" s="375">
        <f t="shared" si="138"/>
        <v>0</v>
      </c>
      <c r="HZR49" s="375">
        <f t="shared" si="138"/>
        <v>0</v>
      </c>
      <c r="HZS49" s="375">
        <f t="shared" si="138"/>
        <v>0</v>
      </c>
      <c r="HZT49" s="375">
        <f t="shared" si="138"/>
        <v>0</v>
      </c>
      <c r="HZU49" s="375">
        <f t="shared" si="138"/>
        <v>0</v>
      </c>
      <c r="HZV49" s="375">
        <f t="shared" si="138"/>
        <v>0</v>
      </c>
      <c r="HZW49" s="375">
        <f t="shared" si="138"/>
        <v>0</v>
      </c>
      <c r="HZX49" s="375">
        <f t="shared" si="138"/>
        <v>0</v>
      </c>
      <c r="HZY49" s="375">
        <f t="shared" si="138"/>
        <v>0</v>
      </c>
      <c r="HZZ49" s="375">
        <f t="shared" si="138"/>
        <v>0</v>
      </c>
      <c r="IAA49" s="375">
        <f t="shared" si="138"/>
        <v>0</v>
      </c>
      <c r="IAB49" s="375">
        <f t="shared" si="138"/>
        <v>0</v>
      </c>
      <c r="IAC49" s="375">
        <f t="shared" si="138"/>
        <v>0</v>
      </c>
      <c r="IAD49" s="375">
        <f t="shared" si="138"/>
        <v>0</v>
      </c>
      <c r="IAE49" s="375">
        <f t="shared" si="138"/>
        <v>0</v>
      </c>
      <c r="IAF49" s="375">
        <f t="shared" si="138"/>
        <v>0</v>
      </c>
      <c r="IAG49" s="375">
        <f t="shared" si="138"/>
        <v>0</v>
      </c>
      <c r="IAH49" s="375">
        <f t="shared" si="138"/>
        <v>0</v>
      </c>
      <c r="IAI49" s="375">
        <f t="shared" si="138"/>
        <v>0</v>
      </c>
      <c r="IAJ49" s="375">
        <f t="shared" si="138"/>
        <v>0</v>
      </c>
      <c r="IAK49" s="375">
        <f t="shared" si="138"/>
        <v>0</v>
      </c>
      <c r="IAL49" s="375">
        <f t="shared" si="138"/>
        <v>0</v>
      </c>
      <c r="IAM49" s="375">
        <f t="shared" si="138"/>
        <v>0</v>
      </c>
      <c r="IAN49" s="375">
        <f t="shared" si="138"/>
        <v>0</v>
      </c>
      <c r="IAO49" s="375">
        <f t="shared" si="138"/>
        <v>0</v>
      </c>
      <c r="IAP49" s="375">
        <f t="shared" si="138"/>
        <v>0</v>
      </c>
      <c r="IAQ49" s="375">
        <f t="shared" si="138"/>
        <v>0</v>
      </c>
      <c r="IAR49" s="375">
        <f t="shared" si="138"/>
        <v>0</v>
      </c>
      <c r="IAS49" s="375">
        <f t="shared" si="138"/>
        <v>0</v>
      </c>
      <c r="IAT49" s="375">
        <f t="shared" si="138"/>
        <v>0</v>
      </c>
      <c r="IAU49" s="375">
        <f t="shared" si="138"/>
        <v>0</v>
      </c>
      <c r="IAV49" s="375">
        <f t="shared" si="138"/>
        <v>0</v>
      </c>
      <c r="IAW49" s="375">
        <f t="shared" si="138"/>
        <v>0</v>
      </c>
      <c r="IAX49" s="375">
        <f t="shared" si="138"/>
        <v>0</v>
      </c>
      <c r="IAY49" s="375">
        <f t="shared" si="138"/>
        <v>0</v>
      </c>
      <c r="IAZ49" s="375">
        <f t="shared" si="138"/>
        <v>0</v>
      </c>
      <c r="IBA49" s="375">
        <f t="shared" si="138"/>
        <v>0</v>
      </c>
      <c r="IBB49" s="375">
        <f t="shared" si="138"/>
        <v>0</v>
      </c>
      <c r="IBC49" s="375">
        <f t="shared" si="138"/>
        <v>0</v>
      </c>
      <c r="IBD49" s="375">
        <f t="shared" si="138"/>
        <v>0</v>
      </c>
      <c r="IBE49" s="375">
        <f t="shared" si="138"/>
        <v>0</v>
      </c>
      <c r="IBF49" s="375">
        <f t="shared" si="138"/>
        <v>0</v>
      </c>
      <c r="IBG49" s="375">
        <f t="shared" si="138"/>
        <v>0</v>
      </c>
      <c r="IBH49" s="375">
        <f t="shared" si="138"/>
        <v>0</v>
      </c>
      <c r="IBI49" s="375">
        <f t="shared" ref="IBI49:IDT49" si="139">IBI48*0.8</f>
        <v>0</v>
      </c>
      <c r="IBJ49" s="375">
        <f t="shared" si="139"/>
        <v>0</v>
      </c>
      <c r="IBK49" s="375">
        <f t="shared" si="139"/>
        <v>0</v>
      </c>
      <c r="IBL49" s="375">
        <f t="shared" si="139"/>
        <v>0</v>
      </c>
      <c r="IBM49" s="375">
        <f t="shared" si="139"/>
        <v>0</v>
      </c>
      <c r="IBN49" s="375">
        <f t="shared" si="139"/>
        <v>0</v>
      </c>
      <c r="IBO49" s="375">
        <f t="shared" si="139"/>
        <v>0</v>
      </c>
      <c r="IBP49" s="375">
        <f t="shared" si="139"/>
        <v>0</v>
      </c>
      <c r="IBQ49" s="375">
        <f t="shared" si="139"/>
        <v>0</v>
      </c>
      <c r="IBR49" s="375">
        <f t="shared" si="139"/>
        <v>0</v>
      </c>
      <c r="IBS49" s="375">
        <f t="shared" si="139"/>
        <v>0</v>
      </c>
      <c r="IBT49" s="375">
        <f t="shared" si="139"/>
        <v>0</v>
      </c>
      <c r="IBU49" s="375">
        <f t="shared" si="139"/>
        <v>0</v>
      </c>
      <c r="IBV49" s="375">
        <f t="shared" si="139"/>
        <v>0</v>
      </c>
      <c r="IBW49" s="375">
        <f t="shared" si="139"/>
        <v>0</v>
      </c>
      <c r="IBX49" s="375">
        <f t="shared" si="139"/>
        <v>0</v>
      </c>
      <c r="IBY49" s="375">
        <f t="shared" si="139"/>
        <v>0</v>
      </c>
      <c r="IBZ49" s="375">
        <f t="shared" si="139"/>
        <v>0</v>
      </c>
      <c r="ICA49" s="375">
        <f t="shared" si="139"/>
        <v>0</v>
      </c>
      <c r="ICB49" s="375">
        <f t="shared" si="139"/>
        <v>0</v>
      </c>
      <c r="ICC49" s="375">
        <f t="shared" si="139"/>
        <v>0</v>
      </c>
      <c r="ICD49" s="375">
        <f t="shared" si="139"/>
        <v>0</v>
      </c>
      <c r="ICE49" s="375">
        <f t="shared" si="139"/>
        <v>0</v>
      </c>
      <c r="ICF49" s="375">
        <f t="shared" si="139"/>
        <v>0</v>
      </c>
      <c r="ICG49" s="375">
        <f t="shared" si="139"/>
        <v>0</v>
      </c>
      <c r="ICH49" s="375">
        <f t="shared" si="139"/>
        <v>0</v>
      </c>
      <c r="ICI49" s="375">
        <f t="shared" si="139"/>
        <v>0</v>
      </c>
      <c r="ICJ49" s="375">
        <f t="shared" si="139"/>
        <v>0</v>
      </c>
      <c r="ICK49" s="375">
        <f t="shared" si="139"/>
        <v>0</v>
      </c>
      <c r="ICL49" s="375">
        <f t="shared" si="139"/>
        <v>0</v>
      </c>
      <c r="ICM49" s="375">
        <f t="shared" si="139"/>
        <v>0</v>
      </c>
      <c r="ICN49" s="375">
        <f t="shared" si="139"/>
        <v>0</v>
      </c>
      <c r="ICO49" s="375">
        <f t="shared" si="139"/>
        <v>0</v>
      </c>
      <c r="ICP49" s="375">
        <f t="shared" si="139"/>
        <v>0</v>
      </c>
      <c r="ICQ49" s="375">
        <f t="shared" si="139"/>
        <v>0</v>
      </c>
      <c r="ICR49" s="375">
        <f t="shared" si="139"/>
        <v>0</v>
      </c>
      <c r="ICS49" s="375">
        <f t="shared" si="139"/>
        <v>0</v>
      </c>
      <c r="ICT49" s="375">
        <f t="shared" si="139"/>
        <v>0</v>
      </c>
      <c r="ICU49" s="375">
        <f t="shared" si="139"/>
        <v>0</v>
      </c>
      <c r="ICV49" s="375">
        <f t="shared" si="139"/>
        <v>0</v>
      </c>
      <c r="ICW49" s="375">
        <f t="shared" si="139"/>
        <v>0</v>
      </c>
      <c r="ICX49" s="375">
        <f t="shared" si="139"/>
        <v>0</v>
      </c>
      <c r="ICY49" s="375">
        <f t="shared" si="139"/>
        <v>0</v>
      </c>
      <c r="ICZ49" s="375">
        <f t="shared" si="139"/>
        <v>0</v>
      </c>
      <c r="IDA49" s="375">
        <f t="shared" si="139"/>
        <v>0</v>
      </c>
      <c r="IDB49" s="375">
        <f t="shared" si="139"/>
        <v>0</v>
      </c>
      <c r="IDC49" s="375">
        <f t="shared" si="139"/>
        <v>0</v>
      </c>
      <c r="IDD49" s="375">
        <f t="shared" si="139"/>
        <v>0</v>
      </c>
      <c r="IDE49" s="375">
        <f t="shared" si="139"/>
        <v>0</v>
      </c>
      <c r="IDF49" s="375">
        <f t="shared" si="139"/>
        <v>0</v>
      </c>
      <c r="IDG49" s="375">
        <f t="shared" si="139"/>
        <v>0</v>
      </c>
      <c r="IDH49" s="375">
        <f t="shared" si="139"/>
        <v>0</v>
      </c>
      <c r="IDI49" s="375">
        <f t="shared" si="139"/>
        <v>0</v>
      </c>
      <c r="IDJ49" s="375">
        <f t="shared" si="139"/>
        <v>0</v>
      </c>
      <c r="IDK49" s="375">
        <f t="shared" si="139"/>
        <v>0</v>
      </c>
      <c r="IDL49" s="375">
        <f t="shared" si="139"/>
        <v>0</v>
      </c>
      <c r="IDM49" s="375">
        <f t="shared" si="139"/>
        <v>0</v>
      </c>
      <c r="IDN49" s="375">
        <f t="shared" si="139"/>
        <v>0</v>
      </c>
      <c r="IDO49" s="375">
        <f t="shared" si="139"/>
        <v>0</v>
      </c>
      <c r="IDP49" s="375">
        <f t="shared" si="139"/>
        <v>0</v>
      </c>
      <c r="IDQ49" s="375">
        <f t="shared" si="139"/>
        <v>0</v>
      </c>
      <c r="IDR49" s="375">
        <f t="shared" si="139"/>
        <v>0</v>
      </c>
      <c r="IDS49" s="375">
        <f t="shared" si="139"/>
        <v>0</v>
      </c>
      <c r="IDT49" s="375">
        <f t="shared" si="139"/>
        <v>0</v>
      </c>
      <c r="IDU49" s="375">
        <f t="shared" ref="IDU49:IGF49" si="140">IDU48*0.8</f>
        <v>0</v>
      </c>
      <c r="IDV49" s="375">
        <f t="shared" si="140"/>
        <v>0</v>
      </c>
      <c r="IDW49" s="375">
        <f t="shared" si="140"/>
        <v>0</v>
      </c>
      <c r="IDX49" s="375">
        <f t="shared" si="140"/>
        <v>0</v>
      </c>
      <c r="IDY49" s="375">
        <f t="shared" si="140"/>
        <v>0</v>
      </c>
      <c r="IDZ49" s="375">
        <f t="shared" si="140"/>
        <v>0</v>
      </c>
      <c r="IEA49" s="375">
        <f t="shared" si="140"/>
        <v>0</v>
      </c>
      <c r="IEB49" s="375">
        <f t="shared" si="140"/>
        <v>0</v>
      </c>
      <c r="IEC49" s="375">
        <f t="shared" si="140"/>
        <v>0</v>
      </c>
      <c r="IED49" s="375">
        <f t="shared" si="140"/>
        <v>0</v>
      </c>
      <c r="IEE49" s="375">
        <f t="shared" si="140"/>
        <v>0</v>
      </c>
      <c r="IEF49" s="375">
        <f t="shared" si="140"/>
        <v>0</v>
      </c>
      <c r="IEG49" s="375">
        <f t="shared" si="140"/>
        <v>0</v>
      </c>
      <c r="IEH49" s="375">
        <f t="shared" si="140"/>
        <v>0</v>
      </c>
      <c r="IEI49" s="375">
        <f t="shared" si="140"/>
        <v>0</v>
      </c>
      <c r="IEJ49" s="375">
        <f t="shared" si="140"/>
        <v>0</v>
      </c>
      <c r="IEK49" s="375">
        <f t="shared" si="140"/>
        <v>0</v>
      </c>
      <c r="IEL49" s="375">
        <f t="shared" si="140"/>
        <v>0</v>
      </c>
      <c r="IEM49" s="375">
        <f t="shared" si="140"/>
        <v>0</v>
      </c>
      <c r="IEN49" s="375">
        <f t="shared" si="140"/>
        <v>0</v>
      </c>
      <c r="IEO49" s="375">
        <f t="shared" si="140"/>
        <v>0</v>
      </c>
      <c r="IEP49" s="375">
        <f t="shared" si="140"/>
        <v>0</v>
      </c>
      <c r="IEQ49" s="375">
        <f t="shared" si="140"/>
        <v>0</v>
      </c>
      <c r="IER49" s="375">
        <f t="shared" si="140"/>
        <v>0</v>
      </c>
      <c r="IES49" s="375">
        <f t="shared" si="140"/>
        <v>0</v>
      </c>
      <c r="IET49" s="375">
        <f t="shared" si="140"/>
        <v>0</v>
      </c>
      <c r="IEU49" s="375">
        <f t="shared" si="140"/>
        <v>0</v>
      </c>
      <c r="IEV49" s="375">
        <f t="shared" si="140"/>
        <v>0</v>
      </c>
      <c r="IEW49" s="375">
        <f t="shared" si="140"/>
        <v>0</v>
      </c>
      <c r="IEX49" s="375">
        <f t="shared" si="140"/>
        <v>0</v>
      </c>
      <c r="IEY49" s="375">
        <f t="shared" si="140"/>
        <v>0</v>
      </c>
      <c r="IEZ49" s="375">
        <f t="shared" si="140"/>
        <v>0</v>
      </c>
      <c r="IFA49" s="375">
        <f t="shared" si="140"/>
        <v>0</v>
      </c>
      <c r="IFB49" s="375">
        <f t="shared" si="140"/>
        <v>0</v>
      </c>
      <c r="IFC49" s="375">
        <f t="shared" si="140"/>
        <v>0</v>
      </c>
      <c r="IFD49" s="375">
        <f t="shared" si="140"/>
        <v>0</v>
      </c>
      <c r="IFE49" s="375">
        <f t="shared" si="140"/>
        <v>0</v>
      </c>
      <c r="IFF49" s="375">
        <f t="shared" si="140"/>
        <v>0</v>
      </c>
      <c r="IFG49" s="375">
        <f t="shared" si="140"/>
        <v>0</v>
      </c>
      <c r="IFH49" s="375">
        <f t="shared" si="140"/>
        <v>0</v>
      </c>
      <c r="IFI49" s="375">
        <f t="shared" si="140"/>
        <v>0</v>
      </c>
      <c r="IFJ49" s="375">
        <f t="shared" si="140"/>
        <v>0</v>
      </c>
      <c r="IFK49" s="375">
        <f t="shared" si="140"/>
        <v>0</v>
      </c>
      <c r="IFL49" s="375">
        <f t="shared" si="140"/>
        <v>0</v>
      </c>
      <c r="IFM49" s="375">
        <f t="shared" si="140"/>
        <v>0</v>
      </c>
      <c r="IFN49" s="375">
        <f t="shared" si="140"/>
        <v>0</v>
      </c>
      <c r="IFO49" s="375">
        <f t="shared" si="140"/>
        <v>0</v>
      </c>
      <c r="IFP49" s="375">
        <f t="shared" si="140"/>
        <v>0</v>
      </c>
      <c r="IFQ49" s="375">
        <f t="shared" si="140"/>
        <v>0</v>
      </c>
      <c r="IFR49" s="375">
        <f t="shared" si="140"/>
        <v>0</v>
      </c>
      <c r="IFS49" s="375">
        <f t="shared" si="140"/>
        <v>0</v>
      </c>
      <c r="IFT49" s="375">
        <f t="shared" si="140"/>
        <v>0</v>
      </c>
      <c r="IFU49" s="375">
        <f t="shared" si="140"/>
        <v>0</v>
      </c>
      <c r="IFV49" s="375">
        <f t="shared" si="140"/>
        <v>0</v>
      </c>
      <c r="IFW49" s="375">
        <f t="shared" si="140"/>
        <v>0</v>
      </c>
      <c r="IFX49" s="375">
        <f t="shared" si="140"/>
        <v>0</v>
      </c>
      <c r="IFY49" s="375">
        <f t="shared" si="140"/>
        <v>0</v>
      </c>
      <c r="IFZ49" s="375">
        <f t="shared" si="140"/>
        <v>0</v>
      </c>
      <c r="IGA49" s="375">
        <f t="shared" si="140"/>
        <v>0</v>
      </c>
      <c r="IGB49" s="375">
        <f t="shared" si="140"/>
        <v>0</v>
      </c>
      <c r="IGC49" s="375">
        <f t="shared" si="140"/>
        <v>0</v>
      </c>
      <c r="IGD49" s="375">
        <f t="shared" si="140"/>
        <v>0</v>
      </c>
      <c r="IGE49" s="375">
        <f t="shared" si="140"/>
        <v>0</v>
      </c>
      <c r="IGF49" s="375">
        <f t="shared" si="140"/>
        <v>0</v>
      </c>
      <c r="IGG49" s="375">
        <f t="shared" ref="IGG49:IIR49" si="141">IGG48*0.8</f>
        <v>0</v>
      </c>
      <c r="IGH49" s="375">
        <f t="shared" si="141"/>
        <v>0</v>
      </c>
      <c r="IGI49" s="375">
        <f t="shared" si="141"/>
        <v>0</v>
      </c>
      <c r="IGJ49" s="375">
        <f t="shared" si="141"/>
        <v>0</v>
      </c>
      <c r="IGK49" s="375">
        <f t="shared" si="141"/>
        <v>0</v>
      </c>
      <c r="IGL49" s="375">
        <f t="shared" si="141"/>
        <v>0</v>
      </c>
      <c r="IGM49" s="375">
        <f t="shared" si="141"/>
        <v>0</v>
      </c>
      <c r="IGN49" s="375">
        <f t="shared" si="141"/>
        <v>0</v>
      </c>
      <c r="IGO49" s="375">
        <f t="shared" si="141"/>
        <v>0</v>
      </c>
      <c r="IGP49" s="375">
        <f t="shared" si="141"/>
        <v>0</v>
      </c>
      <c r="IGQ49" s="375">
        <f t="shared" si="141"/>
        <v>0</v>
      </c>
      <c r="IGR49" s="375">
        <f t="shared" si="141"/>
        <v>0</v>
      </c>
      <c r="IGS49" s="375">
        <f t="shared" si="141"/>
        <v>0</v>
      </c>
      <c r="IGT49" s="375">
        <f t="shared" si="141"/>
        <v>0</v>
      </c>
      <c r="IGU49" s="375">
        <f t="shared" si="141"/>
        <v>0</v>
      </c>
      <c r="IGV49" s="375">
        <f t="shared" si="141"/>
        <v>0</v>
      </c>
      <c r="IGW49" s="375">
        <f t="shared" si="141"/>
        <v>0</v>
      </c>
      <c r="IGX49" s="375">
        <f t="shared" si="141"/>
        <v>0</v>
      </c>
      <c r="IGY49" s="375">
        <f t="shared" si="141"/>
        <v>0</v>
      </c>
      <c r="IGZ49" s="375">
        <f t="shared" si="141"/>
        <v>0</v>
      </c>
      <c r="IHA49" s="375">
        <f t="shared" si="141"/>
        <v>0</v>
      </c>
      <c r="IHB49" s="375">
        <f t="shared" si="141"/>
        <v>0</v>
      </c>
      <c r="IHC49" s="375">
        <f t="shared" si="141"/>
        <v>0</v>
      </c>
      <c r="IHD49" s="375">
        <f t="shared" si="141"/>
        <v>0</v>
      </c>
      <c r="IHE49" s="375">
        <f t="shared" si="141"/>
        <v>0</v>
      </c>
      <c r="IHF49" s="375">
        <f t="shared" si="141"/>
        <v>0</v>
      </c>
      <c r="IHG49" s="375">
        <f t="shared" si="141"/>
        <v>0</v>
      </c>
      <c r="IHH49" s="375">
        <f t="shared" si="141"/>
        <v>0</v>
      </c>
      <c r="IHI49" s="375">
        <f t="shared" si="141"/>
        <v>0</v>
      </c>
      <c r="IHJ49" s="375">
        <f t="shared" si="141"/>
        <v>0</v>
      </c>
      <c r="IHK49" s="375">
        <f t="shared" si="141"/>
        <v>0</v>
      </c>
      <c r="IHL49" s="375">
        <f t="shared" si="141"/>
        <v>0</v>
      </c>
      <c r="IHM49" s="375">
        <f t="shared" si="141"/>
        <v>0</v>
      </c>
      <c r="IHN49" s="375">
        <f t="shared" si="141"/>
        <v>0</v>
      </c>
      <c r="IHO49" s="375">
        <f t="shared" si="141"/>
        <v>0</v>
      </c>
      <c r="IHP49" s="375">
        <f t="shared" si="141"/>
        <v>0</v>
      </c>
      <c r="IHQ49" s="375">
        <f t="shared" si="141"/>
        <v>0</v>
      </c>
      <c r="IHR49" s="375">
        <f t="shared" si="141"/>
        <v>0</v>
      </c>
      <c r="IHS49" s="375">
        <f t="shared" si="141"/>
        <v>0</v>
      </c>
      <c r="IHT49" s="375">
        <f t="shared" si="141"/>
        <v>0</v>
      </c>
      <c r="IHU49" s="375">
        <f t="shared" si="141"/>
        <v>0</v>
      </c>
      <c r="IHV49" s="375">
        <f t="shared" si="141"/>
        <v>0</v>
      </c>
      <c r="IHW49" s="375">
        <f t="shared" si="141"/>
        <v>0</v>
      </c>
      <c r="IHX49" s="375">
        <f t="shared" si="141"/>
        <v>0</v>
      </c>
      <c r="IHY49" s="375">
        <f t="shared" si="141"/>
        <v>0</v>
      </c>
      <c r="IHZ49" s="375">
        <f t="shared" si="141"/>
        <v>0</v>
      </c>
      <c r="IIA49" s="375">
        <f t="shared" si="141"/>
        <v>0</v>
      </c>
      <c r="IIB49" s="375">
        <f t="shared" si="141"/>
        <v>0</v>
      </c>
      <c r="IIC49" s="375">
        <f t="shared" si="141"/>
        <v>0</v>
      </c>
      <c r="IID49" s="375">
        <f t="shared" si="141"/>
        <v>0</v>
      </c>
      <c r="IIE49" s="375">
        <f t="shared" si="141"/>
        <v>0</v>
      </c>
      <c r="IIF49" s="375">
        <f t="shared" si="141"/>
        <v>0</v>
      </c>
      <c r="IIG49" s="375">
        <f t="shared" si="141"/>
        <v>0</v>
      </c>
      <c r="IIH49" s="375">
        <f t="shared" si="141"/>
        <v>0</v>
      </c>
      <c r="III49" s="375">
        <f t="shared" si="141"/>
        <v>0</v>
      </c>
      <c r="IIJ49" s="375">
        <f t="shared" si="141"/>
        <v>0</v>
      </c>
      <c r="IIK49" s="375">
        <f t="shared" si="141"/>
        <v>0</v>
      </c>
      <c r="IIL49" s="375">
        <f t="shared" si="141"/>
        <v>0</v>
      </c>
      <c r="IIM49" s="375">
        <f t="shared" si="141"/>
        <v>0</v>
      </c>
      <c r="IIN49" s="375">
        <f t="shared" si="141"/>
        <v>0</v>
      </c>
      <c r="IIO49" s="375">
        <f t="shared" si="141"/>
        <v>0</v>
      </c>
      <c r="IIP49" s="375">
        <f t="shared" si="141"/>
        <v>0</v>
      </c>
      <c r="IIQ49" s="375">
        <f t="shared" si="141"/>
        <v>0</v>
      </c>
      <c r="IIR49" s="375">
        <f t="shared" si="141"/>
        <v>0</v>
      </c>
      <c r="IIS49" s="375">
        <f t="shared" ref="IIS49:ILD49" si="142">IIS48*0.8</f>
        <v>0</v>
      </c>
      <c r="IIT49" s="375">
        <f t="shared" si="142"/>
        <v>0</v>
      </c>
      <c r="IIU49" s="375">
        <f t="shared" si="142"/>
        <v>0</v>
      </c>
      <c r="IIV49" s="375">
        <f t="shared" si="142"/>
        <v>0</v>
      </c>
      <c r="IIW49" s="375">
        <f t="shared" si="142"/>
        <v>0</v>
      </c>
      <c r="IIX49" s="375">
        <f t="shared" si="142"/>
        <v>0</v>
      </c>
      <c r="IIY49" s="375">
        <f t="shared" si="142"/>
        <v>0</v>
      </c>
      <c r="IIZ49" s="375">
        <f t="shared" si="142"/>
        <v>0</v>
      </c>
      <c r="IJA49" s="375">
        <f t="shared" si="142"/>
        <v>0</v>
      </c>
      <c r="IJB49" s="375">
        <f t="shared" si="142"/>
        <v>0</v>
      </c>
      <c r="IJC49" s="375">
        <f t="shared" si="142"/>
        <v>0</v>
      </c>
      <c r="IJD49" s="375">
        <f t="shared" si="142"/>
        <v>0</v>
      </c>
      <c r="IJE49" s="375">
        <f t="shared" si="142"/>
        <v>0</v>
      </c>
      <c r="IJF49" s="375">
        <f t="shared" si="142"/>
        <v>0</v>
      </c>
      <c r="IJG49" s="375">
        <f t="shared" si="142"/>
        <v>0</v>
      </c>
      <c r="IJH49" s="375">
        <f t="shared" si="142"/>
        <v>0</v>
      </c>
      <c r="IJI49" s="375">
        <f t="shared" si="142"/>
        <v>0</v>
      </c>
      <c r="IJJ49" s="375">
        <f t="shared" si="142"/>
        <v>0</v>
      </c>
      <c r="IJK49" s="375">
        <f t="shared" si="142"/>
        <v>0</v>
      </c>
      <c r="IJL49" s="375">
        <f t="shared" si="142"/>
        <v>0</v>
      </c>
      <c r="IJM49" s="375">
        <f t="shared" si="142"/>
        <v>0</v>
      </c>
      <c r="IJN49" s="375">
        <f t="shared" si="142"/>
        <v>0</v>
      </c>
      <c r="IJO49" s="375">
        <f t="shared" si="142"/>
        <v>0</v>
      </c>
      <c r="IJP49" s="375">
        <f t="shared" si="142"/>
        <v>0</v>
      </c>
      <c r="IJQ49" s="375">
        <f t="shared" si="142"/>
        <v>0</v>
      </c>
      <c r="IJR49" s="375">
        <f t="shared" si="142"/>
        <v>0</v>
      </c>
      <c r="IJS49" s="375">
        <f t="shared" si="142"/>
        <v>0</v>
      </c>
      <c r="IJT49" s="375">
        <f t="shared" si="142"/>
        <v>0</v>
      </c>
      <c r="IJU49" s="375">
        <f t="shared" si="142"/>
        <v>0</v>
      </c>
      <c r="IJV49" s="375">
        <f t="shared" si="142"/>
        <v>0</v>
      </c>
      <c r="IJW49" s="375">
        <f t="shared" si="142"/>
        <v>0</v>
      </c>
      <c r="IJX49" s="375">
        <f t="shared" si="142"/>
        <v>0</v>
      </c>
      <c r="IJY49" s="375">
        <f t="shared" si="142"/>
        <v>0</v>
      </c>
      <c r="IJZ49" s="375">
        <f t="shared" si="142"/>
        <v>0</v>
      </c>
      <c r="IKA49" s="375">
        <f t="shared" si="142"/>
        <v>0</v>
      </c>
      <c r="IKB49" s="375">
        <f t="shared" si="142"/>
        <v>0</v>
      </c>
      <c r="IKC49" s="375">
        <f t="shared" si="142"/>
        <v>0</v>
      </c>
      <c r="IKD49" s="375">
        <f t="shared" si="142"/>
        <v>0</v>
      </c>
      <c r="IKE49" s="375">
        <f t="shared" si="142"/>
        <v>0</v>
      </c>
      <c r="IKF49" s="375">
        <f t="shared" si="142"/>
        <v>0</v>
      </c>
      <c r="IKG49" s="375">
        <f t="shared" si="142"/>
        <v>0</v>
      </c>
      <c r="IKH49" s="375">
        <f t="shared" si="142"/>
        <v>0</v>
      </c>
      <c r="IKI49" s="375">
        <f t="shared" si="142"/>
        <v>0</v>
      </c>
      <c r="IKJ49" s="375">
        <f t="shared" si="142"/>
        <v>0</v>
      </c>
      <c r="IKK49" s="375">
        <f t="shared" si="142"/>
        <v>0</v>
      </c>
      <c r="IKL49" s="375">
        <f t="shared" si="142"/>
        <v>0</v>
      </c>
      <c r="IKM49" s="375">
        <f t="shared" si="142"/>
        <v>0</v>
      </c>
      <c r="IKN49" s="375">
        <f t="shared" si="142"/>
        <v>0</v>
      </c>
      <c r="IKO49" s="375">
        <f t="shared" si="142"/>
        <v>0</v>
      </c>
      <c r="IKP49" s="375">
        <f t="shared" si="142"/>
        <v>0</v>
      </c>
      <c r="IKQ49" s="375">
        <f t="shared" si="142"/>
        <v>0</v>
      </c>
      <c r="IKR49" s="375">
        <f t="shared" si="142"/>
        <v>0</v>
      </c>
      <c r="IKS49" s="375">
        <f t="shared" si="142"/>
        <v>0</v>
      </c>
      <c r="IKT49" s="375">
        <f t="shared" si="142"/>
        <v>0</v>
      </c>
      <c r="IKU49" s="375">
        <f t="shared" si="142"/>
        <v>0</v>
      </c>
      <c r="IKV49" s="375">
        <f t="shared" si="142"/>
        <v>0</v>
      </c>
      <c r="IKW49" s="375">
        <f t="shared" si="142"/>
        <v>0</v>
      </c>
      <c r="IKX49" s="375">
        <f t="shared" si="142"/>
        <v>0</v>
      </c>
      <c r="IKY49" s="375">
        <f t="shared" si="142"/>
        <v>0</v>
      </c>
      <c r="IKZ49" s="375">
        <f t="shared" si="142"/>
        <v>0</v>
      </c>
      <c r="ILA49" s="375">
        <f t="shared" si="142"/>
        <v>0</v>
      </c>
      <c r="ILB49" s="375">
        <f t="shared" si="142"/>
        <v>0</v>
      </c>
      <c r="ILC49" s="375">
        <f t="shared" si="142"/>
        <v>0</v>
      </c>
      <c r="ILD49" s="375">
        <f t="shared" si="142"/>
        <v>0</v>
      </c>
      <c r="ILE49" s="375">
        <f t="shared" ref="ILE49:INP49" si="143">ILE48*0.8</f>
        <v>0</v>
      </c>
      <c r="ILF49" s="375">
        <f t="shared" si="143"/>
        <v>0</v>
      </c>
      <c r="ILG49" s="375">
        <f t="shared" si="143"/>
        <v>0</v>
      </c>
      <c r="ILH49" s="375">
        <f t="shared" si="143"/>
        <v>0</v>
      </c>
      <c r="ILI49" s="375">
        <f t="shared" si="143"/>
        <v>0</v>
      </c>
      <c r="ILJ49" s="375">
        <f t="shared" si="143"/>
        <v>0</v>
      </c>
      <c r="ILK49" s="375">
        <f t="shared" si="143"/>
        <v>0</v>
      </c>
      <c r="ILL49" s="375">
        <f t="shared" si="143"/>
        <v>0</v>
      </c>
      <c r="ILM49" s="375">
        <f t="shared" si="143"/>
        <v>0</v>
      </c>
      <c r="ILN49" s="375">
        <f t="shared" si="143"/>
        <v>0</v>
      </c>
      <c r="ILO49" s="375">
        <f t="shared" si="143"/>
        <v>0</v>
      </c>
      <c r="ILP49" s="375">
        <f t="shared" si="143"/>
        <v>0</v>
      </c>
      <c r="ILQ49" s="375">
        <f t="shared" si="143"/>
        <v>0</v>
      </c>
      <c r="ILR49" s="375">
        <f t="shared" si="143"/>
        <v>0</v>
      </c>
      <c r="ILS49" s="375">
        <f t="shared" si="143"/>
        <v>0</v>
      </c>
      <c r="ILT49" s="375">
        <f t="shared" si="143"/>
        <v>0</v>
      </c>
      <c r="ILU49" s="375">
        <f t="shared" si="143"/>
        <v>0</v>
      </c>
      <c r="ILV49" s="375">
        <f t="shared" si="143"/>
        <v>0</v>
      </c>
      <c r="ILW49" s="375">
        <f t="shared" si="143"/>
        <v>0</v>
      </c>
      <c r="ILX49" s="375">
        <f t="shared" si="143"/>
        <v>0</v>
      </c>
      <c r="ILY49" s="375">
        <f t="shared" si="143"/>
        <v>0</v>
      </c>
      <c r="ILZ49" s="375">
        <f t="shared" si="143"/>
        <v>0</v>
      </c>
      <c r="IMA49" s="375">
        <f t="shared" si="143"/>
        <v>0</v>
      </c>
      <c r="IMB49" s="375">
        <f t="shared" si="143"/>
        <v>0</v>
      </c>
      <c r="IMC49" s="375">
        <f t="shared" si="143"/>
        <v>0</v>
      </c>
      <c r="IMD49" s="375">
        <f t="shared" si="143"/>
        <v>0</v>
      </c>
      <c r="IME49" s="375">
        <f t="shared" si="143"/>
        <v>0</v>
      </c>
      <c r="IMF49" s="375">
        <f t="shared" si="143"/>
        <v>0</v>
      </c>
      <c r="IMG49" s="375">
        <f t="shared" si="143"/>
        <v>0</v>
      </c>
      <c r="IMH49" s="375">
        <f t="shared" si="143"/>
        <v>0</v>
      </c>
      <c r="IMI49" s="375">
        <f t="shared" si="143"/>
        <v>0</v>
      </c>
      <c r="IMJ49" s="375">
        <f t="shared" si="143"/>
        <v>0</v>
      </c>
      <c r="IMK49" s="375">
        <f t="shared" si="143"/>
        <v>0</v>
      </c>
      <c r="IML49" s="375">
        <f t="shared" si="143"/>
        <v>0</v>
      </c>
      <c r="IMM49" s="375">
        <f t="shared" si="143"/>
        <v>0</v>
      </c>
      <c r="IMN49" s="375">
        <f t="shared" si="143"/>
        <v>0</v>
      </c>
      <c r="IMO49" s="375">
        <f t="shared" si="143"/>
        <v>0</v>
      </c>
      <c r="IMP49" s="375">
        <f t="shared" si="143"/>
        <v>0</v>
      </c>
      <c r="IMQ49" s="375">
        <f t="shared" si="143"/>
        <v>0</v>
      </c>
      <c r="IMR49" s="375">
        <f t="shared" si="143"/>
        <v>0</v>
      </c>
      <c r="IMS49" s="375">
        <f t="shared" si="143"/>
        <v>0</v>
      </c>
      <c r="IMT49" s="375">
        <f t="shared" si="143"/>
        <v>0</v>
      </c>
      <c r="IMU49" s="375">
        <f t="shared" si="143"/>
        <v>0</v>
      </c>
      <c r="IMV49" s="375">
        <f t="shared" si="143"/>
        <v>0</v>
      </c>
      <c r="IMW49" s="375">
        <f t="shared" si="143"/>
        <v>0</v>
      </c>
      <c r="IMX49" s="375">
        <f t="shared" si="143"/>
        <v>0</v>
      </c>
      <c r="IMY49" s="375">
        <f t="shared" si="143"/>
        <v>0</v>
      </c>
      <c r="IMZ49" s="375">
        <f t="shared" si="143"/>
        <v>0</v>
      </c>
      <c r="INA49" s="375">
        <f t="shared" si="143"/>
        <v>0</v>
      </c>
      <c r="INB49" s="375">
        <f t="shared" si="143"/>
        <v>0</v>
      </c>
      <c r="INC49" s="375">
        <f t="shared" si="143"/>
        <v>0</v>
      </c>
      <c r="IND49" s="375">
        <f t="shared" si="143"/>
        <v>0</v>
      </c>
      <c r="INE49" s="375">
        <f t="shared" si="143"/>
        <v>0</v>
      </c>
      <c r="INF49" s="375">
        <f t="shared" si="143"/>
        <v>0</v>
      </c>
      <c r="ING49" s="375">
        <f t="shared" si="143"/>
        <v>0</v>
      </c>
      <c r="INH49" s="375">
        <f t="shared" si="143"/>
        <v>0</v>
      </c>
      <c r="INI49" s="375">
        <f t="shared" si="143"/>
        <v>0</v>
      </c>
      <c r="INJ49" s="375">
        <f t="shared" si="143"/>
        <v>0</v>
      </c>
      <c r="INK49" s="375">
        <f t="shared" si="143"/>
        <v>0</v>
      </c>
      <c r="INL49" s="375">
        <f t="shared" si="143"/>
        <v>0</v>
      </c>
      <c r="INM49" s="375">
        <f t="shared" si="143"/>
        <v>0</v>
      </c>
      <c r="INN49" s="375">
        <f t="shared" si="143"/>
        <v>0</v>
      </c>
      <c r="INO49" s="375">
        <f t="shared" si="143"/>
        <v>0</v>
      </c>
      <c r="INP49" s="375">
        <f t="shared" si="143"/>
        <v>0</v>
      </c>
      <c r="INQ49" s="375">
        <f t="shared" ref="INQ49:IQB49" si="144">INQ48*0.8</f>
        <v>0</v>
      </c>
      <c r="INR49" s="375">
        <f t="shared" si="144"/>
        <v>0</v>
      </c>
      <c r="INS49" s="375">
        <f t="shared" si="144"/>
        <v>0</v>
      </c>
      <c r="INT49" s="375">
        <f t="shared" si="144"/>
        <v>0</v>
      </c>
      <c r="INU49" s="375">
        <f t="shared" si="144"/>
        <v>0</v>
      </c>
      <c r="INV49" s="375">
        <f t="shared" si="144"/>
        <v>0</v>
      </c>
      <c r="INW49" s="375">
        <f t="shared" si="144"/>
        <v>0</v>
      </c>
      <c r="INX49" s="375">
        <f t="shared" si="144"/>
        <v>0</v>
      </c>
      <c r="INY49" s="375">
        <f t="shared" si="144"/>
        <v>0</v>
      </c>
      <c r="INZ49" s="375">
        <f t="shared" si="144"/>
        <v>0</v>
      </c>
      <c r="IOA49" s="375">
        <f t="shared" si="144"/>
        <v>0</v>
      </c>
      <c r="IOB49" s="375">
        <f t="shared" si="144"/>
        <v>0</v>
      </c>
      <c r="IOC49" s="375">
        <f t="shared" si="144"/>
        <v>0</v>
      </c>
      <c r="IOD49" s="375">
        <f t="shared" si="144"/>
        <v>0</v>
      </c>
      <c r="IOE49" s="375">
        <f t="shared" si="144"/>
        <v>0</v>
      </c>
      <c r="IOF49" s="375">
        <f t="shared" si="144"/>
        <v>0</v>
      </c>
      <c r="IOG49" s="375">
        <f t="shared" si="144"/>
        <v>0</v>
      </c>
      <c r="IOH49" s="375">
        <f t="shared" si="144"/>
        <v>0</v>
      </c>
      <c r="IOI49" s="375">
        <f t="shared" si="144"/>
        <v>0</v>
      </c>
      <c r="IOJ49" s="375">
        <f t="shared" si="144"/>
        <v>0</v>
      </c>
      <c r="IOK49" s="375">
        <f t="shared" si="144"/>
        <v>0</v>
      </c>
      <c r="IOL49" s="375">
        <f t="shared" si="144"/>
        <v>0</v>
      </c>
      <c r="IOM49" s="375">
        <f t="shared" si="144"/>
        <v>0</v>
      </c>
      <c r="ION49" s="375">
        <f t="shared" si="144"/>
        <v>0</v>
      </c>
      <c r="IOO49" s="375">
        <f t="shared" si="144"/>
        <v>0</v>
      </c>
      <c r="IOP49" s="375">
        <f t="shared" si="144"/>
        <v>0</v>
      </c>
      <c r="IOQ49" s="375">
        <f t="shared" si="144"/>
        <v>0</v>
      </c>
      <c r="IOR49" s="375">
        <f t="shared" si="144"/>
        <v>0</v>
      </c>
      <c r="IOS49" s="375">
        <f t="shared" si="144"/>
        <v>0</v>
      </c>
      <c r="IOT49" s="375">
        <f t="shared" si="144"/>
        <v>0</v>
      </c>
      <c r="IOU49" s="375">
        <f t="shared" si="144"/>
        <v>0</v>
      </c>
      <c r="IOV49" s="375">
        <f t="shared" si="144"/>
        <v>0</v>
      </c>
      <c r="IOW49" s="375">
        <f t="shared" si="144"/>
        <v>0</v>
      </c>
      <c r="IOX49" s="375">
        <f t="shared" si="144"/>
        <v>0</v>
      </c>
      <c r="IOY49" s="375">
        <f t="shared" si="144"/>
        <v>0</v>
      </c>
      <c r="IOZ49" s="375">
        <f t="shared" si="144"/>
        <v>0</v>
      </c>
      <c r="IPA49" s="375">
        <f t="shared" si="144"/>
        <v>0</v>
      </c>
      <c r="IPB49" s="375">
        <f t="shared" si="144"/>
        <v>0</v>
      </c>
      <c r="IPC49" s="375">
        <f t="shared" si="144"/>
        <v>0</v>
      </c>
      <c r="IPD49" s="375">
        <f t="shared" si="144"/>
        <v>0</v>
      </c>
      <c r="IPE49" s="375">
        <f t="shared" si="144"/>
        <v>0</v>
      </c>
      <c r="IPF49" s="375">
        <f t="shared" si="144"/>
        <v>0</v>
      </c>
      <c r="IPG49" s="375">
        <f t="shared" si="144"/>
        <v>0</v>
      </c>
      <c r="IPH49" s="375">
        <f t="shared" si="144"/>
        <v>0</v>
      </c>
      <c r="IPI49" s="375">
        <f t="shared" si="144"/>
        <v>0</v>
      </c>
      <c r="IPJ49" s="375">
        <f t="shared" si="144"/>
        <v>0</v>
      </c>
      <c r="IPK49" s="375">
        <f t="shared" si="144"/>
        <v>0</v>
      </c>
      <c r="IPL49" s="375">
        <f t="shared" si="144"/>
        <v>0</v>
      </c>
      <c r="IPM49" s="375">
        <f t="shared" si="144"/>
        <v>0</v>
      </c>
      <c r="IPN49" s="375">
        <f t="shared" si="144"/>
        <v>0</v>
      </c>
      <c r="IPO49" s="375">
        <f t="shared" si="144"/>
        <v>0</v>
      </c>
      <c r="IPP49" s="375">
        <f t="shared" si="144"/>
        <v>0</v>
      </c>
      <c r="IPQ49" s="375">
        <f t="shared" si="144"/>
        <v>0</v>
      </c>
      <c r="IPR49" s="375">
        <f t="shared" si="144"/>
        <v>0</v>
      </c>
      <c r="IPS49" s="375">
        <f t="shared" si="144"/>
        <v>0</v>
      </c>
      <c r="IPT49" s="375">
        <f t="shared" si="144"/>
        <v>0</v>
      </c>
      <c r="IPU49" s="375">
        <f t="shared" si="144"/>
        <v>0</v>
      </c>
      <c r="IPV49" s="375">
        <f t="shared" si="144"/>
        <v>0</v>
      </c>
      <c r="IPW49" s="375">
        <f t="shared" si="144"/>
        <v>0</v>
      </c>
      <c r="IPX49" s="375">
        <f t="shared" si="144"/>
        <v>0</v>
      </c>
      <c r="IPY49" s="375">
        <f t="shared" si="144"/>
        <v>0</v>
      </c>
      <c r="IPZ49" s="375">
        <f t="shared" si="144"/>
        <v>0</v>
      </c>
      <c r="IQA49" s="375">
        <f t="shared" si="144"/>
        <v>0</v>
      </c>
      <c r="IQB49" s="375">
        <f t="shared" si="144"/>
        <v>0</v>
      </c>
      <c r="IQC49" s="375">
        <f t="shared" ref="IQC49:ISN49" si="145">IQC48*0.8</f>
        <v>0</v>
      </c>
      <c r="IQD49" s="375">
        <f t="shared" si="145"/>
        <v>0</v>
      </c>
      <c r="IQE49" s="375">
        <f t="shared" si="145"/>
        <v>0</v>
      </c>
      <c r="IQF49" s="375">
        <f t="shared" si="145"/>
        <v>0</v>
      </c>
      <c r="IQG49" s="375">
        <f t="shared" si="145"/>
        <v>0</v>
      </c>
      <c r="IQH49" s="375">
        <f t="shared" si="145"/>
        <v>0</v>
      </c>
      <c r="IQI49" s="375">
        <f t="shared" si="145"/>
        <v>0</v>
      </c>
      <c r="IQJ49" s="375">
        <f t="shared" si="145"/>
        <v>0</v>
      </c>
      <c r="IQK49" s="375">
        <f t="shared" si="145"/>
        <v>0</v>
      </c>
      <c r="IQL49" s="375">
        <f t="shared" si="145"/>
        <v>0</v>
      </c>
      <c r="IQM49" s="375">
        <f t="shared" si="145"/>
        <v>0</v>
      </c>
      <c r="IQN49" s="375">
        <f t="shared" si="145"/>
        <v>0</v>
      </c>
      <c r="IQO49" s="375">
        <f t="shared" si="145"/>
        <v>0</v>
      </c>
      <c r="IQP49" s="375">
        <f t="shared" si="145"/>
        <v>0</v>
      </c>
      <c r="IQQ49" s="375">
        <f t="shared" si="145"/>
        <v>0</v>
      </c>
      <c r="IQR49" s="375">
        <f t="shared" si="145"/>
        <v>0</v>
      </c>
      <c r="IQS49" s="375">
        <f t="shared" si="145"/>
        <v>0</v>
      </c>
      <c r="IQT49" s="375">
        <f t="shared" si="145"/>
        <v>0</v>
      </c>
      <c r="IQU49" s="375">
        <f t="shared" si="145"/>
        <v>0</v>
      </c>
      <c r="IQV49" s="375">
        <f t="shared" si="145"/>
        <v>0</v>
      </c>
      <c r="IQW49" s="375">
        <f t="shared" si="145"/>
        <v>0</v>
      </c>
      <c r="IQX49" s="375">
        <f t="shared" si="145"/>
        <v>0</v>
      </c>
      <c r="IQY49" s="375">
        <f t="shared" si="145"/>
        <v>0</v>
      </c>
      <c r="IQZ49" s="375">
        <f t="shared" si="145"/>
        <v>0</v>
      </c>
      <c r="IRA49" s="375">
        <f t="shared" si="145"/>
        <v>0</v>
      </c>
      <c r="IRB49" s="375">
        <f t="shared" si="145"/>
        <v>0</v>
      </c>
      <c r="IRC49" s="375">
        <f t="shared" si="145"/>
        <v>0</v>
      </c>
      <c r="IRD49" s="375">
        <f t="shared" si="145"/>
        <v>0</v>
      </c>
      <c r="IRE49" s="375">
        <f t="shared" si="145"/>
        <v>0</v>
      </c>
      <c r="IRF49" s="375">
        <f t="shared" si="145"/>
        <v>0</v>
      </c>
      <c r="IRG49" s="375">
        <f t="shared" si="145"/>
        <v>0</v>
      </c>
      <c r="IRH49" s="375">
        <f t="shared" si="145"/>
        <v>0</v>
      </c>
      <c r="IRI49" s="375">
        <f t="shared" si="145"/>
        <v>0</v>
      </c>
      <c r="IRJ49" s="375">
        <f t="shared" si="145"/>
        <v>0</v>
      </c>
      <c r="IRK49" s="375">
        <f t="shared" si="145"/>
        <v>0</v>
      </c>
      <c r="IRL49" s="375">
        <f t="shared" si="145"/>
        <v>0</v>
      </c>
      <c r="IRM49" s="375">
        <f t="shared" si="145"/>
        <v>0</v>
      </c>
      <c r="IRN49" s="375">
        <f t="shared" si="145"/>
        <v>0</v>
      </c>
      <c r="IRO49" s="375">
        <f t="shared" si="145"/>
        <v>0</v>
      </c>
      <c r="IRP49" s="375">
        <f t="shared" si="145"/>
        <v>0</v>
      </c>
      <c r="IRQ49" s="375">
        <f t="shared" si="145"/>
        <v>0</v>
      </c>
      <c r="IRR49" s="375">
        <f t="shared" si="145"/>
        <v>0</v>
      </c>
      <c r="IRS49" s="375">
        <f t="shared" si="145"/>
        <v>0</v>
      </c>
      <c r="IRT49" s="375">
        <f t="shared" si="145"/>
        <v>0</v>
      </c>
      <c r="IRU49" s="375">
        <f t="shared" si="145"/>
        <v>0</v>
      </c>
      <c r="IRV49" s="375">
        <f t="shared" si="145"/>
        <v>0</v>
      </c>
      <c r="IRW49" s="375">
        <f t="shared" si="145"/>
        <v>0</v>
      </c>
      <c r="IRX49" s="375">
        <f t="shared" si="145"/>
        <v>0</v>
      </c>
      <c r="IRY49" s="375">
        <f t="shared" si="145"/>
        <v>0</v>
      </c>
      <c r="IRZ49" s="375">
        <f t="shared" si="145"/>
        <v>0</v>
      </c>
      <c r="ISA49" s="375">
        <f t="shared" si="145"/>
        <v>0</v>
      </c>
      <c r="ISB49" s="375">
        <f t="shared" si="145"/>
        <v>0</v>
      </c>
      <c r="ISC49" s="375">
        <f t="shared" si="145"/>
        <v>0</v>
      </c>
      <c r="ISD49" s="375">
        <f t="shared" si="145"/>
        <v>0</v>
      </c>
      <c r="ISE49" s="375">
        <f t="shared" si="145"/>
        <v>0</v>
      </c>
      <c r="ISF49" s="375">
        <f t="shared" si="145"/>
        <v>0</v>
      </c>
      <c r="ISG49" s="375">
        <f t="shared" si="145"/>
        <v>0</v>
      </c>
      <c r="ISH49" s="375">
        <f t="shared" si="145"/>
        <v>0</v>
      </c>
      <c r="ISI49" s="375">
        <f t="shared" si="145"/>
        <v>0</v>
      </c>
      <c r="ISJ49" s="375">
        <f t="shared" si="145"/>
        <v>0</v>
      </c>
      <c r="ISK49" s="375">
        <f t="shared" si="145"/>
        <v>0</v>
      </c>
      <c r="ISL49" s="375">
        <f t="shared" si="145"/>
        <v>0</v>
      </c>
      <c r="ISM49" s="375">
        <f t="shared" si="145"/>
        <v>0</v>
      </c>
      <c r="ISN49" s="375">
        <f t="shared" si="145"/>
        <v>0</v>
      </c>
      <c r="ISO49" s="375">
        <f t="shared" ref="ISO49:IUZ49" si="146">ISO48*0.8</f>
        <v>0</v>
      </c>
      <c r="ISP49" s="375">
        <f t="shared" si="146"/>
        <v>0</v>
      </c>
      <c r="ISQ49" s="375">
        <f t="shared" si="146"/>
        <v>0</v>
      </c>
      <c r="ISR49" s="375">
        <f t="shared" si="146"/>
        <v>0</v>
      </c>
      <c r="ISS49" s="375">
        <f t="shared" si="146"/>
        <v>0</v>
      </c>
      <c r="IST49" s="375">
        <f t="shared" si="146"/>
        <v>0</v>
      </c>
      <c r="ISU49" s="375">
        <f t="shared" si="146"/>
        <v>0</v>
      </c>
      <c r="ISV49" s="375">
        <f t="shared" si="146"/>
        <v>0</v>
      </c>
      <c r="ISW49" s="375">
        <f t="shared" si="146"/>
        <v>0</v>
      </c>
      <c r="ISX49" s="375">
        <f t="shared" si="146"/>
        <v>0</v>
      </c>
      <c r="ISY49" s="375">
        <f t="shared" si="146"/>
        <v>0</v>
      </c>
      <c r="ISZ49" s="375">
        <f t="shared" si="146"/>
        <v>0</v>
      </c>
      <c r="ITA49" s="375">
        <f t="shared" si="146"/>
        <v>0</v>
      </c>
      <c r="ITB49" s="375">
        <f t="shared" si="146"/>
        <v>0</v>
      </c>
      <c r="ITC49" s="375">
        <f t="shared" si="146"/>
        <v>0</v>
      </c>
      <c r="ITD49" s="375">
        <f t="shared" si="146"/>
        <v>0</v>
      </c>
      <c r="ITE49" s="375">
        <f t="shared" si="146"/>
        <v>0</v>
      </c>
      <c r="ITF49" s="375">
        <f t="shared" si="146"/>
        <v>0</v>
      </c>
      <c r="ITG49" s="375">
        <f t="shared" si="146"/>
        <v>0</v>
      </c>
      <c r="ITH49" s="375">
        <f t="shared" si="146"/>
        <v>0</v>
      </c>
      <c r="ITI49" s="375">
        <f t="shared" si="146"/>
        <v>0</v>
      </c>
      <c r="ITJ49" s="375">
        <f t="shared" si="146"/>
        <v>0</v>
      </c>
      <c r="ITK49" s="375">
        <f t="shared" si="146"/>
        <v>0</v>
      </c>
      <c r="ITL49" s="375">
        <f t="shared" si="146"/>
        <v>0</v>
      </c>
      <c r="ITM49" s="375">
        <f t="shared" si="146"/>
        <v>0</v>
      </c>
      <c r="ITN49" s="375">
        <f t="shared" si="146"/>
        <v>0</v>
      </c>
      <c r="ITO49" s="375">
        <f t="shared" si="146"/>
        <v>0</v>
      </c>
      <c r="ITP49" s="375">
        <f t="shared" si="146"/>
        <v>0</v>
      </c>
      <c r="ITQ49" s="375">
        <f t="shared" si="146"/>
        <v>0</v>
      </c>
      <c r="ITR49" s="375">
        <f t="shared" si="146"/>
        <v>0</v>
      </c>
      <c r="ITS49" s="375">
        <f t="shared" si="146"/>
        <v>0</v>
      </c>
      <c r="ITT49" s="375">
        <f t="shared" si="146"/>
        <v>0</v>
      </c>
      <c r="ITU49" s="375">
        <f t="shared" si="146"/>
        <v>0</v>
      </c>
      <c r="ITV49" s="375">
        <f t="shared" si="146"/>
        <v>0</v>
      </c>
      <c r="ITW49" s="375">
        <f t="shared" si="146"/>
        <v>0</v>
      </c>
      <c r="ITX49" s="375">
        <f t="shared" si="146"/>
        <v>0</v>
      </c>
      <c r="ITY49" s="375">
        <f t="shared" si="146"/>
        <v>0</v>
      </c>
      <c r="ITZ49" s="375">
        <f t="shared" si="146"/>
        <v>0</v>
      </c>
      <c r="IUA49" s="375">
        <f t="shared" si="146"/>
        <v>0</v>
      </c>
      <c r="IUB49" s="375">
        <f t="shared" si="146"/>
        <v>0</v>
      </c>
      <c r="IUC49" s="375">
        <f t="shared" si="146"/>
        <v>0</v>
      </c>
      <c r="IUD49" s="375">
        <f t="shared" si="146"/>
        <v>0</v>
      </c>
      <c r="IUE49" s="375">
        <f t="shared" si="146"/>
        <v>0</v>
      </c>
      <c r="IUF49" s="375">
        <f t="shared" si="146"/>
        <v>0</v>
      </c>
      <c r="IUG49" s="375">
        <f t="shared" si="146"/>
        <v>0</v>
      </c>
      <c r="IUH49" s="375">
        <f t="shared" si="146"/>
        <v>0</v>
      </c>
      <c r="IUI49" s="375">
        <f t="shared" si="146"/>
        <v>0</v>
      </c>
      <c r="IUJ49" s="375">
        <f t="shared" si="146"/>
        <v>0</v>
      </c>
      <c r="IUK49" s="375">
        <f t="shared" si="146"/>
        <v>0</v>
      </c>
      <c r="IUL49" s="375">
        <f t="shared" si="146"/>
        <v>0</v>
      </c>
      <c r="IUM49" s="375">
        <f t="shared" si="146"/>
        <v>0</v>
      </c>
      <c r="IUN49" s="375">
        <f t="shared" si="146"/>
        <v>0</v>
      </c>
      <c r="IUO49" s="375">
        <f t="shared" si="146"/>
        <v>0</v>
      </c>
      <c r="IUP49" s="375">
        <f t="shared" si="146"/>
        <v>0</v>
      </c>
      <c r="IUQ49" s="375">
        <f t="shared" si="146"/>
        <v>0</v>
      </c>
      <c r="IUR49" s="375">
        <f t="shared" si="146"/>
        <v>0</v>
      </c>
      <c r="IUS49" s="375">
        <f t="shared" si="146"/>
        <v>0</v>
      </c>
      <c r="IUT49" s="375">
        <f t="shared" si="146"/>
        <v>0</v>
      </c>
      <c r="IUU49" s="375">
        <f t="shared" si="146"/>
        <v>0</v>
      </c>
      <c r="IUV49" s="375">
        <f t="shared" si="146"/>
        <v>0</v>
      </c>
      <c r="IUW49" s="375">
        <f t="shared" si="146"/>
        <v>0</v>
      </c>
      <c r="IUX49" s="375">
        <f t="shared" si="146"/>
        <v>0</v>
      </c>
      <c r="IUY49" s="375">
        <f t="shared" si="146"/>
        <v>0</v>
      </c>
      <c r="IUZ49" s="375">
        <f t="shared" si="146"/>
        <v>0</v>
      </c>
      <c r="IVA49" s="375">
        <f t="shared" ref="IVA49:IXL49" si="147">IVA48*0.8</f>
        <v>0</v>
      </c>
      <c r="IVB49" s="375">
        <f t="shared" si="147"/>
        <v>0</v>
      </c>
      <c r="IVC49" s="375">
        <f t="shared" si="147"/>
        <v>0</v>
      </c>
      <c r="IVD49" s="375">
        <f t="shared" si="147"/>
        <v>0</v>
      </c>
      <c r="IVE49" s="375">
        <f t="shared" si="147"/>
        <v>0</v>
      </c>
      <c r="IVF49" s="375">
        <f t="shared" si="147"/>
        <v>0</v>
      </c>
      <c r="IVG49" s="375">
        <f t="shared" si="147"/>
        <v>0</v>
      </c>
      <c r="IVH49" s="375">
        <f t="shared" si="147"/>
        <v>0</v>
      </c>
      <c r="IVI49" s="375">
        <f t="shared" si="147"/>
        <v>0</v>
      </c>
      <c r="IVJ49" s="375">
        <f t="shared" si="147"/>
        <v>0</v>
      </c>
      <c r="IVK49" s="375">
        <f t="shared" si="147"/>
        <v>0</v>
      </c>
      <c r="IVL49" s="375">
        <f t="shared" si="147"/>
        <v>0</v>
      </c>
      <c r="IVM49" s="375">
        <f t="shared" si="147"/>
        <v>0</v>
      </c>
      <c r="IVN49" s="375">
        <f t="shared" si="147"/>
        <v>0</v>
      </c>
      <c r="IVO49" s="375">
        <f t="shared" si="147"/>
        <v>0</v>
      </c>
      <c r="IVP49" s="375">
        <f t="shared" si="147"/>
        <v>0</v>
      </c>
      <c r="IVQ49" s="375">
        <f t="shared" si="147"/>
        <v>0</v>
      </c>
      <c r="IVR49" s="375">
        <f t="shared" si="147"/>
        <v>0</v>
      </c>
      <c r="IVS49" s="375">
        <f t="shared" si="147"/>
        <v>0</v>
      </c>
      <c r="IVT49" s="375">
        <f t="shared" si="147"/>
        <v>0</v>
      </c>
      <c r="IVU49" s="375">
        <f t="shared" si="147"/>
        <v>0</v>
      </c>
      <c r="IVV49" s="375">
        <f t="shared" si="147"/>
        <v>0</v>
      </c>
      <c r="IVW49" s="375">
        <f t="shared" si="147"/>
        <v>0</v>
      </c>
      <c r="IVX49" s="375">
        <f t="shared" si="147"/>
        <v>0</v>
      </c>
      <c r="IVY49" s="375">
        <f t="shared" si="147"/>
        <v>0</v>
      </c>
      <c r="IVZ49" s="375">
        <f t="shared" si="147"/>
        <v>0</v>
      </c>
      <c r="IWA49" s="375">
        <f t="shared" si="147"/>
        <v>0</v>
      </c>
      <c r="IWB49" s="375">
        <f t="shared" si="147"/>
        <v>0</v>
      </c>
      <c r="IWC49" s="375">
        <f t="shared" si="147"/>
        <v>0</v>
      </c>
      <c r="IWD49" s="375">
        <f t="shared" si="147"/>
        <v>0</v>
      </c>
      <c r="IWE49" s="375">
        <f t="shared" si="147"/>
        <v>0</v>
      </c>
      <c r="IWF49" s="375">
        <f t="shared" si="147"/>
        <v>0</v>
      </c>
      <c r="IWG49" s="375">
        <f t="shared" si="147"/>
        <v>0</v>
      </c>
      <c r="IWH49" s="375">
        <f t="shared" si="147"/>
        <v>0</v>
      </c>
      <c r="IWI49" s="375">
        <f t="shared" si="147"/>
        <v>0</v>
      </c>
      <c r="IWJ49" s="375">
        <f t="shared" si="147"/>
        <v>0</v>
      </c>
      <c r="IWK49" s="375">
        <f t="shared" si="147"/>
        <v>0</v>
      </c>
      <c r="IWL49" s="375">
        <f t="shared" si="147"/>
        <v>0</v>
      </c>
      <c r="IWM49" s="375">
        <f t="shared" si="147"/>
        <v>0</v>
      </c>
      <c r="IWN49" s="375">
        <f t="shared" si="147"/>
        <v>0</v>
      </c>
      <c r="IWO49" s="375">
        <f t="shared" si="147"/>
        <v>0</v>
      </c>
      <c r="IWP49" s="375">
        <f t="shared" si="147"/>
        <v>0</v>
      </c>
      <c r="IWQ49" s="375">
        <f t="shared" si="147"/>
        <v>0</v>
      </c>
      <c r="IWR49" s="375">
        <f t="shared" si="147"/>
        <v>0</v>
      </c>
      <c r="IWS49" s="375">
        <f t="shared" si="147"/>
        <v>0</v>
      </c>
      <c r="IWT49" s="375">
        <f t="shared" si="147"/>
        <v>0</v>
      </c>
      <c r="IWU49" s="375">
        <f t="shared" si="147"/>
        <v>0</v>
      </c>
      <c r="IWV49" s="375">
        <f t="shared" si="147"/>
        <v>0</v>
      </c>
      <c r="IWW49" s="375">
        <f t="shared" si="147"/>
        <v>0</v>
      </c>
      <c r="IWX49" s="375">
        <f t="shared" si="147"/>
        <v>0</v>
      </c>
      <c r="IWY49" s="375">
        <f t="shared" si="147"/>
        <v>0</v>
      </c>
      <c r="IWZ49" s="375">
        <f t="shared" si="147"/>
        <v>0</v>
      </c>
      <c r="IXA49" s="375">
        <f t="shared" si="147"/>
        <v>0</v>
      </c>
      <c r="IXB49" s="375">
        <f t="shared" si="147"/>
        <v>0</v>
      </c>
      <c r="IXC49" s="375">
        <f t="shared" si="147"/>
        <v>0</v>
      </c>
      <c r="IXD49" s="375">
        <f t="shared" si="147"/>
        <v>0</v>
      </c>
      <c r="IXE49" s="375">
        <f t="shared" si="147"/>
        <v>0</v>
      </c>
      <c r="IXF49" s="375">
        <f t="shared" si="147"/>
        <v>0</v>
      </c>
      <c r="IXG49" s="375">
        <f t="shared" si="147"/>
        <v>0</v>
      </c>
      <c r="IXH49" s="375">
        <f t="shared" si="147"/>
        <v>0</v>
      </c>
      <c r="IXI49" s="375">
        <f t="shared" si="147"/>
        <v>0</v>
      </c>
      <c r="IXJ49" s="375">
        <f t="shared" si="147"/>
        <v>0</v>
      </c>
      <c r="IXK49" s="375">
        <f t="shared" si="147"/>
        <v>0</v>
      </c>
      <c r="IXL49" s="375">
        <f t="shared" si="147"/>
        <v>0</v>
      </c>
      <c r="IXM49" s="375">
        <f t="shared" ref="IXM49:IZX49" si="148">IXM48*0.8</f>
        <v>0</v>
      </c>
      <c r="IXN49" s="375">
        <f t="shared" si="148"/>
        <v>0</v>
      </c>
      <c r="IXO49" s="375">
        <f t="shared" si="148"/>
        <v>0</v>
      </c>
      <c r="IXP49" s="375">
        <f t="shared" si="148"/>
        <v>0</v>
      </c>
      <c r="IXQ49" s="375">
        <f t="shared" si="148"/>
        <v>0</v>
      </c>
      <c r="IXR49" s="375">
        <f t="shared" si="148"/>
        <v>0</v>
      </c>
      <c r="IXS49" s="375">
        <f t="shared" si="148"/>
        <v>0</v>
      </c>
      <c r="IXT49" s="375">
        <f t="shared" si="148"/>
        <v>0</v>
      </c>
      <c r="IXU49" s="375">
        <f t="shared" si="148"/>
        <v>0</v>
      </c>
      <c r="IXV49" s="375">
        <f t="shared" si="148"/>
        <v>0</v>
      </c>
      <c r="IXW49" s="375">
        <f t="shared" si="148"/>
        <v>0</v>
      </c>
      <c r="IXX49" s="375">
        <f t="shared" si="148"/>
        <v>0</v>
      </c>
      <c r="IXY49" s="375">
        <f t="shared" si="148"/>
        <v>0</v>
      </c>
      <c r="IXZ49" s="375">
        <f t="shared" si="148"/>
        <v>0</v>
      </c>
      <c r="IYA49" s="375">
        <f t="shared" si="148"/>
        <v>0</v>
      </c>
      <c r="IYB49" s="375">
        <f t="shared" si="148"/>
        <v>0</v>
      </c>
      <c r="IYC49" s="375">
        <f t="shared" si="148"/>
        <v>0</v>
      </c>
      <c r="IYD49" s="375">
        <f t="shared" si="148"/>
        <v>0</v>
      </c>
      <c r="IYE49" s="375">
        <f t="shared" si="148"/>
        <v>0</v>
      </c>
      <c r="IYF49" s="375">
        <f t="shared" si="148"/>
        <v>0</v>
      </c>
      <c r="IYG49" s="375">
        <f t="shared" si="148"/>
        <v>0</v>
      </c>
      <c r="IYH49" s="375">
        <f t="shared" si="148"/>
        <v>0</v>
      </c>
      <c r="IYI49" s="375">
        <f t="shared" si="148"/>
        <v>0</v>
      </c>
      <c r="IYJ49" s="375">
        <f t="shared" si="148"/>
        <v>0</v>
      </c>
      <c r="IYK49" s="375">
        <f t="shared" si="148"/>
        <v>0</v>
      </c>
      <c r="IYL49" s="375">
        <f t="shared" si="148"/>
        <v>0</v>
      </c>
      <c r="IYM49" s="375">
        <f t="shared" si="148"/>
        <v>0</v>
      </c>
      <c r="IYN49" s="375">
        <f t="shared" si="148"/>
        <v>0</v>
      </c>
      <c r="IYO49" s="375">
        <f t="shared" si="148"/>
        <v>0</v>
      </c>
      <c r="IYP49" s="375">
        <f t="shared" si="148"/>
        <v>0</v>
      </c>
      <c r="IYQ49" s="375">
        <f t="shared" si="148"/>
        <v>0</v>
      </c>
      <c r="IYR49" s="375">
        <f t="shared" si="148"/>
        <v>0</v>
      </c>
      <c r="IYS49" s="375">
        <f t="shared" si="148"/>
        <v>0</v>
      </c>
      <c r="IYT49" s="375">
        <f t="shared" si="148"/>
        <v>0</v>
      </c>
      <c r="IYU49" s="375">
        <f t="shared" si="148"/>
        <v>0</v>
      </c>
      <c r="IYV49" s="375">
        <f t="shared" si="148"/>
        <v>0</v>
      </c>
      <c r="IYW49" s="375">
        <f t="shared" si="148"/>
        <v>0</v>
      </c>
      <c r="IYX49" s="375">
        <f t="shared" si="148"/>
        <v>0</v>
      </c>
      <c r="IYY49" s="375">
        <f t="shared" si="148"/>
        <v>0</v>
      </c>
      <c r="IYZ49" s="375">
        <f t="shared" si="148"/>
        <v>0</v>
      </c>
      <c r="IZA49" s="375">
        <f t="shared" si="148"/>
        <v>0</v>
      </c>
      <c r="IZB49" s="375">
        <f t="shared" si="148"/>
        <v>0</v>
      </c>
      <c r="IZC49" s="375">
        <f t="shared" si="148"/>
        <v>0</v>
      </c>
      <c r="IZD49" s="375">
        <f t="shared" si="148"/>
        <v>0</v>
      </c>
      <c r="IZE49" s="375">
        <f t="shared" si="148"/>
        <v>0</v>
      </c>
      <c r="IZF49" s="375">
        <f t="shared" si="148"/>
        <v>0</v>
      </c>
      <c r="IZG49" s="375">
        <f t="shared" si="148"/>
        <v>0</v>
      </c>
      <c r="IZH49" s="375">
        <f t="shared" si="148"/>
        <v>0</v>
      </c>
      <c r="IZI49" s="375">
        <f t="shared" si="148"/>
        <v>0</v>
      </c>
      <c r="IZJ49" s="375">
        <f t="shared" si="148"/>
        <v>0</v>
      </c>
      <c r="IZK49" s="375">
        <f t="shared" si="148"/>
        <v>0</v>
      </c>
      <c r="IZL49" s="375">
        <f t="shared" si="148"/>
        <v>0</v>
      </c>
      <c r="IZM49" s="375">
        <f t="shared" si="148"/>
        <v>0</v>
      </c>
      <c r="IZN49" s="375">
        <f t="shared" si="148"/>
        <v>0</v>
      </c>
      <c r="IZO49" s="375">
        <f t="shared" si="148"/>
        <v>0</v>
      </c>
      <c r="IZP49" s="375">
        <f t="shared" si="148"/>
        <v>0</v>
      </c>
      <c r="IZQ49" s="375">
        <f t="shared" si="148"/>
        <v>0</v>
      </c>
      <c r="IZR49" s="375">
        <f t="shared" si="148"/>
        <v>0</v>
      </c>
      <c r="IZS49" s="375">
        <f t="shared" si="148"/>
        <v>0</v>
      </c>
      <c r="IZT49" s="375">
        <f t="shared" si="148"/>
        <v>0</v>
      </c>
      <c r="IZU49" s="375">
        <f t="shared" si="148"/>
        <v>0</v>
      </c>
      <c r="IZV49" s="375">
        <f t="shared" si="148"/>
        <v>0</v>
      </c>
      <c r="IZW49" s="375">
        <f t="shared" si="148"/>
        <v>0</v>
      </c>
      <c r="IZX49" s="375">
        <f t="shared" si="148"/>
        <v>0</v>
      </c>
      <c r="IZY49" s="375">
        <f t="shared" ref="IZY49:JCJ49" si="149">IZY48*0.8</f>
        <v>0</v>
      </c>
      <c r="IZZ49" s="375">
        <f t="shared" si="149"/>
        <v>0</v>
      </c>
      <c r="JAA49" s="375">
        <f t="shared" si="149"/>
        <v>0</v>
      </c>
      <c r="JAB49" s="375">
        <f t="shared" si="149"/>
        <v>0</v>
      </c>
      <c r="JAC49" s="375">
        <f t="shared" si="149"/>
        <v>0</v>
      </c>
      <c r="JAD49" s="375">
        <f t="shared" si="149"/>
        <v>0</v>
      </c>
      <c r="JAE49" s="375">
        <f t="shared" si="149"/>
        <v>0</v>
      </c>
      <c r="JAF49" s="375">
        <f t="shared" si="149"/>
        <v>0</v>
      </c>
      <c r="JAG49" s="375">
        <f t="shared" si="149"/>
        <v>0</v>
      </c>
      <c r="JAH49" s="375">
        <f t="shared" si="149"/>
        <v>0</v>
      </c>
      <c r="JAI49" s="375">
        <f t="shared" si="149"/>
        <v>0</v>
      </c>
      <c r="JAJ49" s="375">
        <f t="shared" si="149"/>
        <v>0</v>
      </c>
      <c r="JAK49" s="375">
        <f t="shared" si="149"/>
        <v>0</v>
      </c>
      <c r="JAL49" s="375">
        <f t="shared" si="149"/>
        <v>0</v>
      </c>
      <c r="JAM49" s="375">
        <f t="shared" si="149"/>
        <v>0</v>
      </c>
      <c r="JAN49" s="375">
        <f t="shared" si="149"/>
        <v>0</v>
      </c>
      <c r="JAO49" s="375">
        <f t="shared" si="149"/>
        <v>0</v>
      </c>
      <c r="JAP49" s="375">
        <f t="shared" si="149"/>
        <v>0</v>
      </c>
      <c r="JAQ49" s="375">
        <f t="shared" si="149"/>
        <v>0</v>
      </c>
      <c r="JAR49" s="375">
        <f t="shared" si="149"/>
        <v>0</v>
      </c>
      <c r="JAS49" s="375">
        <f t="shared" si="149"/>
        <v>0</v>
      </c>
      <c r="JAT49" s="375">
        <f t="shared" si="149"/>
        <v>0</v>
      </c>
      <c r="JAU49" s="375">
        <f t="shared" si="149"/>
        <v>0</v>
      </c>
      <c r="JAV49" s="375">
        <f t="shared" si="149"/>
        <v>0</v>
      </c>
      <c r="JAW49" s="375">
        <f t="shared" si="149"/>
        <v>0</v>
      </c>
      <c r="JAX49" s="375">
        <f t="shared" si="149"/>
        <v>0</v>
      </c>
      <c r="JAY49" s="375">
        <f t="shared" si="149"/>
        <v>0</v>
      </c>
      <c r="JAZ49" s="375">
        <f t="shared" si="149"/>
        <v>0</v>
      </c>
      <c r="JBA49" s="375">
        <f t="shared" si="149"/>
        <v>0</v>
      </c>
      <c r="JBB49" s="375">
        <f t="shared" si="149"/>
        <v>0</v>
      </c>
      <c r="JBC49" s="375">
        <f t="shared" si="149"/>
        <v>0</v>
      </c>
      <c r="JBD49" s="375">
        <f t="shared" si="149"/>
        <v>0</v>
      </c>
      <c r="JBE49" s="375">
        <f t="shared" si="149"/>
        <v>0</v>
      </c>
      <c r="JBF49" s="375">
        <f t="shared" si="149"/>
        <v>0</v>
      </c>
      <c r="JBG49" s="375">
        <f t="shared" si="149"/>
        <v>0</v>
      </c>
      <c r="JBH49" s="375">
        <f t="shared" si="149"/>
        <v>0</v>
      </c>
      <c r="JBI49" s="375">
        <f t="shared" si="149"/>
        <v>0</v>
      </c>
      <c r="JBJ49" s="375">
        <f t="shared" si="149"/>
        <v>0</v>
      </c>
      <c r="JBK49" s="375">
        <f t="shared" si="149"/>
        <v>0</v>
      </c>
      <c r="JBL49" s="375">
        <f t="shared" si="149"/>
        <v>0</v>
      </c>
      <c r="JBM49" s="375">
        <f t="shared" si="149"/>
        <v>0</v>
      </c>
      <c r="JBN49" s="375">
        <f t="shared" si="149"/>
        <v>0</v>
      </c>
      <c r="JBO49" s="375">
        <f t="shared" si="149"/>
        <v>0</v>
      </c>
      <c r="JBP49" s="375">
        <f t="shared" si="149"/>
        <v>0</v>
      </c>
      <c r="JBQ49" s="375">
        <f t="shared" si="149"/>
        <v>0</v>
      </c>
      <c r="JBR49" s="375">
        <f t="shared" si="149"/>
        <v>0</v>
      </c>
      <c r="JBS49" s="375">
        <f t="shared" si="149"/>
        <v>0</v>
      </c>
      <c r="JBT49" s="375">
        <f t="shared" si="149"/>
        <v>0</v>
      </c>
      <c r="JBU49" s="375">
        <f t="shared" si="149"/>
        <v>0</v>
      </c>
      <c r="JBV49" s="375">
        <f t="shared" si="149"/>
        <v>0</v>
      </c>
      <c r="JBW49" s="375">
        <f t="shared" si="149"/>
        <v>0</v>
      </c>
      <c r="JBX49" s="375">
        <f t="shared" si="149"/>
        <v>0</v>
      </c>
      <c r="JBY49" s="375">
        <f t="shared" si="149"/>
        <v>0</v>
      </c>
      <c r="JBZ49" s="375">
        <f t="shared" si="149"/>
        <v>0</v>
      </c>
      <c r="JCA49" s="375">
        <f t="shared" si="149"/>
        <v>0</v>
      </c>
      <c r="JCB49" s="375">
        <f t="shared" si="149"/>
        <v>0</v>
      </c>
      <c r="JCC49" s="375">
        <f t="shared" si="149"/>
        <v>0</v>
      </c>
      <c r="JCD49" s="375">
        <f t="shared" si="149"/>
        <v>0</v>
      </c>
      <c r="JCE49" s="375">
        <f t="shared" si="149"/>
        <v>0</v>
      </c>
      <c r="JCF49" s="375">
        <f t="shared" si="149"/>
        <v>0</v>
      </c>
      <c r="JCG49" s="375">
        <f t="shared" si="149"/>
        <v>0</v>
      </c>
      <c r="JCH49" s="375">
        <f t="shared" si="149"/>
        <v>0</v>
      </c>
      <c r="JCI49" s="375">
        <f t="shared" si="149"/>
        <v>0</v>
      </c>
      <c r="JCJ49" s="375">
        <f t="shared" si="149"/>
        <v>0</v>
      </c>
      <c r="JCK49" s="375">
        <f t="shared" ref="JCK49:JEV49" si="150">JCK48*0.8</f>
        <v>0</v>
      </c>
      <c r="JCL49" s="375">
        <f t="shared" si="150"/>
        <v>0</v>
      </c>
      <c r="JCM49" s="375">
        <f t="shared" si="150"/>
        <v>0</v>
      </c>
      <c r="JCN49" s="375">
        <f t="shared" si="150"/>
        <v>0</v>
      </c>
      <c r="JCO49" s="375">
        <f t="shared" si="150"/>
        <v>0</v>
      </c>
      <c r="JCP49" s="375">
        <f t="shared" si="150"/>
        <v>0</v>
      </c>
      <c r="JCQ49" s="375">
        <f t="shared" si="150"/>
        <v>0</v>
      </c>
      <c r="JCR49" s="375">
        <f t="shared" si="150"/>
        <v>0</v>
      </c>
      <c r="JCS49" s="375">
        <f t="shared" si="150"/>
        <v>0</v>
      </c>
      <c r="JCT49" s="375">
        <f t="shared" si="150"/>
        <v>0</v>
      </c>
      <c r="JCU49" s="375">
        <f t="shared" si="150"/>
        <v>0</v>
      </c>
      <c r="JCV49" s="375">
        <f t="shared" si="150"/>
        <v>0</v>
      </c>
      <c r="JCW49" s="375">
        <f t="shared" si="150"/>
        <v>0</v>
      </c>
      <c r="JCX49" s="375">
        <f t="shared" si="150"/>
        <v>0</v>
      </c>
      <c r="JCY49" s="375">
        <f t="shared" si="150"/>
        <v>0</v>
      </c>
      <c r="JCZ49" s="375">
        <f t="shared" si="150"/>
        <v>0</v>
      </c>
      <c r="JDA49" s="375">
        <f t="shared" si="150"/>
        <v>0</v>
      </c>
      <c r="JDB49" s="375">
        <f t="shared" si="150"/>
        <v>0</v>
      </c>
      <c r="JDC49" s="375">
        <f t="shared" si="150"/>
        <v>0</v>
      </c>
      <c r="JDD49" s="375">
        <f t="shared" si="150"/>
        <v>0</v>
      </c>
      <c r="JDE49" s="375">
        <f t="shared" si="150"/>
        <v>0</v>
      </c>
      <c r="JDF49" s="375">
        <f t="shared" si="150"/>
        <v>0</v>
      </c>
      <c r="JDG49" s="375">
        <f t="shared" si="150"/>
        <v>0</v>
      </c>
      <c r="JDH49" s="375">
        <f t="shared" si="150"/>
        <v>0</v>
      </c>
      <c r="JDI49" s="375">
        <f t="shared" si="150"/>
        <v>0</v>
      </c>
      <c r="JDJ49" s="375">
        <f t="shared" si="150"/>
        <v>0</v>
      </c>
      <c r="JDK49" s="375">
        <f t="shared" si="150"/>
        <v>0</v>
      </c>
      <c r="JDL49" s="375">
        <f t="shared" si="150"/>
        <v>0</v>
      </c>
      <c r="JDM49" s="375">
        <f t="shared" si="150"/>
        <v>0</v>
      </c>
      <c r="JDN49" s="375">
        <f t="shared" si="150"/>
        <v>0</v>
      </c>
      <c r="JDO49" s="375">
        <f t="shared" si="150"/>
        <v>0</v>
      </c>
      <c r="JDP49" s="375">
        <f t="shared" si="150"/>
        <v>0</v>
      </c>
      <c r="JDQ49" s="375">
        <f t="shared" si="150"/>
        <v>0</v>
      </c>
      <c r="JDR49" s="375">
        <f t="shared" si="150"/>
        <v>0</v>
      </c>
      <c r="JDS49" s="375">
        <f t="shared" si="150"/>
        <v>0</v>
      </c>
      <c r="JDT49" s="375">
        <f t="shared" si="150"/>
        <v>0</v>
      </c>
      <c r="JDU49" s="375">
        <f t="shared" si="150"/>
        <v>0</v>
      </c>
      <c r="JDV49" s="375">
        <f t="shared" si="150"/>
        <v>0</v>
      </c>
      <c r="JDW49" s="375">
        <f t="shared" si="150"/>
        <v>0</v>
      </c>
      <c r="JDX49" s="375">
        <f t="shared" si="150"/>
        <v>0</v>
      </c>
      <c r="JDY49" s="375">
        <f t="shared" si="150"/>
        <v>0</v>
      </c>
      <c r="JDZ49" s="375">
        <f t="shared" si="150"/>
        <v>0</v>
      </c>
      <c r="JEA49" s="375">
        <f t="shared" si="150"/>
        <v>0</v>
      </c>
      <c r="JEB49" s="375">
        <f t="shared" si="150"/>
        <v>0</v>
      </c>
      <c r="JEC49" s="375">
        <f t="shared" si="150"/>
        <v>0</v>
      </c>
      <c r="JED49" s="375">
        <f t="shared" si="150"/>
        <v>0</v>
      </c>
      <c r="JEE49" s="375">
        <f t="shared" si="150"/>
        <v>0</v>
      </c>
      <c r="JEF49" s="375">
        <f t="shared" si="150"/>
        <v>0</v>
      </c>
      <c r="JEG49" s="375">
        <f t="shared" si="150"/>
        <v>0</v>
      </c>
      <c r="JEH49" s="375">
        <f t="shared" si="150"/>
        <v>0</v>
      </c>
      <c r="JEI49" s="375">
        <f t="shared" si="150"/>
        <v>0</v>
      </c>
      <c r="JEJ49" s="375">
        <f t="shared" si="150"/>
        <v>0</v>
      </c>
      <c r="JEK49" s="375">
        <f t="shared" si="150"/>
        <v>0</v>
      </c>
      <c r="JEL49" s="375">
        <f t="shared" si="150"/>
        <v>0</v>
      </c>
      <c r="JEM49" s="375">
        <f t="shared" si="150"/>
        <v>0</v>
      </c>
      <c r="JEN49" s="375">
        <f t="shared" si="150"/>
        <v>0</v>
      </c>
      <c r="JEO49" s="375">
        <f t="shared" si="150"/>
        <v>0</v>
      </c>
      <c r="JEP49" s="375">
        <f t="shared" si="150"/>
        <v>0</v>
      </c>
      <c r="JEQ49" s="375">
        <f t="shared" si="150"/>
        <v>0</v>
      </c>
      <c r="JER49" s="375">
        <f t="shared" si="150"/>
        <v>0</v>
      </c>
      <c r="JES49" s="375">
        <f t="shared" si="150"/>
        <v>0</v>
      </c>
      <c r="JET49" s="375">
        <f t="shared" si="150"/>
        <v>0</v>
      </c>
      <c r="JEU49" s="375">
        <f t="shared" si="150"/>
        <v>0</v>
      </c>
      <c r="JEV49" s="375">
        <f t="shared" si="150"/>
        <v>0</v>
      </c>
      <c r="JEW49" s="375">
        <f t="shared" ref="JEW49:JHH49" si="151">JEW48*0.8</f>
        <v>0</v>
      </c>
      <c r="JEX49" s="375">
        <f t="shared" si="151"/>
        <v>0</v>
      </c>
      <c r="JEY49" s="375">
        <f t="shared" si="151"/>
        <v>0</v>
      </c>
      <c r="JEZ49" s="375">
        <f t="shared" si="151"/>
        <v>0</v>
      </c>
      <c r="JFA49" s="375">
        <f t="shared" si="151"/>
        <v>0</v>
      </c>
      <c r="JFB49" s="375">
        <f t="shared" si="151"/>
        <v>0</v>
      </c>
      <c r="JFC49" s="375">
        <f t="shared" si="151"/>
        <v>0</v>
      </c>
      <c r="JFD49" s="375">
        <f t="shared" si="151"/>
        <v>0</v>
      </c>
      <c r="JFE49" s="375">
        <f t="shared" si="151"/>
        <v>0</v>
      </c>
      <c r="JFF49" s="375">
        <f t="shared" si="151"/>
        <v>0</v>
      </c>
      <c r="JFG49" s="375">
        <f t="shared" si="151"/>
        <v>0</v>
      </c>
      <c r="JFH49" s="375">
        <f t="shared" si="151"/>
        <v>0</v>
      </c>
      <c r="JFI49" s="375">
        <f t="shared" si="151"/>
        <v>0</v>
      </c>
      <c r="JFJ49" s="375">
        <f t="shared" si="151"/>
        <v>0</v>
      </c>
      <c r="JFK49" s="375">
        <f t="shared" si="151"/>
        <v>0</v>
      </c>
      <c r="JFL49" s="375">
        <f t="shared" si="151"/>
        <v>0</v>
      </c>
      <c r="JFM49" s="375">
        <f t="shared" si="151"/>
        <v>0</v>
      </c>
      <c r="JFN49" s="375">
        <f t="shared" si="151"/>
        <v>0</v>
      </c>
      <c r="JFO49" s="375">
        <f t="shared" si="151"/>
        <v>0</v>
      </c>
      <c r="JFP49" s="375">
        <f t="shared" si="151"/>
        <v>0</v>
      </c>
      <c r="JFQ49" s="375">
        <f t="shared" si="151"/>
        <v>0</v>
      </c>
      <c r="JFR49" s="375">
        <f t="shared" si="151"/>
        <v>0</v>
      </c>
      <c r="JFS49" s="375">
        <f t="shared" si="151"/>
        <v>0</v>
      </c>
      <c r="JFT49" s="375">
        <f t="shared" si="151"/>
        <v>0</v>
      </c>
      <c r="JFU49" s="375">
        <f t="shared" si="151"/>
        <v>0</v>
      </c>
      <c r="JFV49" s="375">
        <f t="shared" si="151"/>
        <v>0</v>
      </c>
      <c r="JFW49" s="375">
        <f t="shared" si="151"/>
        <v>0</v>
      </c>
      <c r="JFX49" s="375">
        <f t="shared" si="151"/>
        <v>0</v>
      </c>
      <c r="JFY49" s="375">
        <f t="shared" si="151"/>
        <v>0</v>
      </c>
      <c r="JFZ49" s="375">
        <f t="shared" si="151"/>
        <v>0</v>
      </c>
      <c r="JGA49" s="375">
        <f t="shared" si="151"/>
        <v>0</v>
      </c>
      <c r="JGB49" s="375">
        <f t="shared" si="151"/>
        <v>0</v>
      </c>
      <c r="JGC49" s="375">
        <f t="shared" si="151"/>
        <v>0</v>
      </c>
      <c r="JGD49" s="375">
        <f t="shared" si="151"/>
        <v>0</v>
      </c>
      <c r="JGE49" s="375">
        <f t="shared" si="151"/>
        <v>0</v>
      </c>
      <c r="JGF49" s="375">
        <f t="shared" si="151"/>
        <v>0</v>
      </c>
      <c r="JGG49" s="375">
        <f t="shared" si="151"/>
        <v>0</v>
      </c>
      <c r="JGH49" s="375">
        <f t="shared" si="151"/>
        <v>0</v>
      </c>
      <c r="JGI49" s="375">
        <f t="shared" si="151"/>
        <v>0</v>
      </c>
      <c r="JGJ49" s="375">
        <f t="shared" si="151"/>
        <v>0</v>
      </c>
      <c r="JGK49" s="375">
        <f t="shared" si="151"/>
        <v>0</v>
      </c>
      <c r="JGL49" s="375">
        <f t="shared" si="151"/>
        <v>0</v>
      </c>
      <c r="JGM49" s="375">
        <f t="shared" si="151"/>
        <v>0</v>
      </c>
      <c r="JGN49" s="375">
        <f t="shared" si="151"/>
        <v>0</v>
      </c>
      <c r="JGO49" s="375">
        <f t="shared" si="151"/>
        <v>0</v>
      </c>
      <c r="JGP49" s="375">
        <f t="shared" si="151"/>
        <v>0</v>
      </c>
      <c r="JGQ49" s="375">
        <f t="shared" si="151"/>
        <v>0</v>
      </c>
      <c r="JGR49" s="375">
        <f t="shared" si="151"/>
        <v>0</v>
      </c>
      <c r="JGS49" s="375">
        <f t="shared" si="151"/>
        <v>0</v>
      </c>
      <c r="JGT49" s="375">
        <f t="shared" si="151"/>
        <v>0</v>
      </c>
      <c r="JGU49" s="375">
        <f t="shared" si="151"/>
        <v>0</v>
      </c>
      <c r="JGV49" s="375">
        <f t="shared" si="151"/>
        <v>0</v>
      </c>
      <c r="JGW49" s="375">
        <f t="shared" si="151"/>
        <v>0</v>
      </c>
      <c r="JGX49" s="375">
        <f t="shared" si="151"/>
        <v>0</v>
      </c>
      <c r="JGY49" s="375">
        <f t="shared" si="151"/>
        <v>0</v>
      </c>
      <c r="JGZ49" s="375">
        <f t="shared" si="151"/>
        <v>0</v>
      </c>
      <c r="JHA49" s="375">
        <f t="shared" si="151"/>
        <v>0</v>
      </c>
      <c r="JHB49" s="375">
        <f t="shared" si="151"/>
        <v>0</v>
      </c>
      <c r="JHC49" s="375">
        <f t="shared" si="151"/>
        <v>0</v>
      </c>
      <c r="JHD49" s="375">
        <f t="shared" si="151"/>
        <v>0</v>
      </c>
      <c r="JHE49" s="375">
        <f t="shared" si="151"/>
        <v>0</v>
      </c>
      <c r="JHF49" s="375">
        <f t="shared" si="151"/>
        <v>0</v>
      </c>
      <c r="JHG49" s="375">
        <f t="shared" si="151"/>
        <v>0</v>
      </c>
      <c r="JHH49" s="375">
        <f t="shared" si="151"/>
        <v>0</v>
      </c>
      <c r="JHI49" s="375">
        <f t="shared" ref="JHI49:JJT49" si="152">JHI48*0.8</f>
        <v>0</v>
      </c>
      <c r="JHJ49" s="375">
        <f t="shared" si="152"/>
        <v>0</v>
      </c>
      <c r="JHK49" s="375">
        <f t="shared" si="152"/>
        <v>0</v>
      </c>
      <c r="JHL49" s="375">
        <f t="shared" si="152"/>
        <v>0</v>
      </c>
      <c r="JHM49" s="375">
        <f t="shared" si="152"/>
        <v>0</v>
      </c>
      <c r="JHN49" s="375">
        <f t="shared" si="152"/>
        <v>0</v>
      </c>
      <c r="JHO49" s="375">
        <f t="shared" si="152"/>
        <v>0</v>
      </c>
      <c r="JHP49" s="375">
        <f t="shared" si="152"/>
        <v>0</v>
      </c>
      <c r="JHQ49" s="375">
        <f t="shared" si="152"/>
        <v>0</v>
      </c>
      <c r="JHR49" s="375">
        <f t="shared" si="152"/>
        <v>0</v>
      </c>
      <c r="JHS49" s="375">
        <f t="shared" si="152"/>
        <v>0</v>
      </c>
      <c r="JHT49" s="375">
        <f t="shared" si="152"/>
        <v>0</v>
      </c>
      <c r="JHU49" s="375">
        <f t="shared" si="152"/>
        <v>0</v>
      </c>
      <c r="JHV49" s="375">
        <f t="shared" si="152"/>
        <v>0</v>
      </c>
      <c r="JHW49" s="375">
        <f t="shared" si="152"/>
        <v>0</v>
      </c>
      <c r="JHX49" s="375">
        <f t="shared" si="152"/>
        <v>0</v>
      </c>
      <c r="JHY49" s="375">
        <f t="shared" si="152"/>
        <v>0</v>
      </c>
      <c r="JHZ49" s="375">
        <f t="shared" si="152"/>
        <v>0</v>
      </c>
      <c r="JIA49" s="375">
        <f t="shared" si="152"/>
        <v>0</v>
      </c>
      <c r="JIB49" s="375">
        <f t="shared" si="152"/>
        <v>0</v>
      </c>
      <c r="JIC49" s="375">
        <f t="shared" si="152"/>
        <v>0</v>
      </c>
      <c r="JID49" s="375">
        <f t="shared" si="152"/>
        <v>0</v>
      </c>
      <c r="JIE49" s="375">
        <f t="shared" si="152"/>
        <v>0</v>
      </c>
      <c r="JIF49" s="375">
        <f t="shared" si="152"/>
        <v>0</v>
      </c>
      <c r="JIG49" s="375">
        <f t="shared" si="152"/>
        <v>0</v>
      </c>
      <c r="JIH49" s="375">
        <f t="shared" si="152"/>
        <v>0</v>
      </c>
      <c r="JII49" s="375">
        <f t="shared" si="152"/>
        <v>0</v>
      </c>
      <c r="JIJ49" s="375">
        <f t="shared" si="152"/>
        <v>0</v>
      </c>
      <c r="JIK49" s="375">
        <f t="shared" si="152"/>
        <v>0</v>
      </c>
      <c r="JIL49" s="375">
        <f t="shared" si="152"/>
        <v>0</v>
      </c>
      <c r="JIM49" s="375">
        <f t="shared" si="152"/>
        <v>0</v>
      </c>
      <c r="JIN49" s="375">
        <f t="shared" si="152"/>
        <v>0</v>
      </c>
      <c r="JIO49" s="375">
        <f t="shared" si="152"/>
        <v>0</v>
      </c>
      <c r="JIP49" s="375">
        <f t="shared" si="152"/>
        <v>0</v>
      </c>
      <c r="JIQ49" s="375">
        <f t="shared" si="152"/>
        <v>0</v>
      </c>
      <c r="JIR49" s="375">
        <f t="shared" si="152"/>
        <v>0</v>
      </c>
      <c r="JIS49" s="375">
        <f t="shared" si="152"/>
        <v>0</v>
      </c>
      <c r="JIT49" s="375">
        <f t="shared" si="152"/>
        <v>0</v>
      </c>
      <c r="JIU49" s="375">
        <f t="shared" si="152"/>
        <v>0</v>
      </c>
      <c r="JIV49" s="375">
        <f t="shared" si="152"/>
        <v>0</v>
      </c>
      <c r="JIW49" s="375">
        <f t="shared" si="152"/>
        <v>0</v>
      </c>
      <c r="JIX49" s="375">
        <f t="shared" si="152"/>
        <v>0</v>
      </c>
      <c r="JIY49" s="375">
        <f t="shared" si="152"/>
        <v>0</v>
      </c>
      <c r="JIZ49" s="375">
        <f t="shared" si="152"/>
        <v>0</v>
      </c>
      <c r="JJA49" s="375">
        <f t="shared" si="152"/>
        <v>0</v>
      </c>
      <c r="JJB49" s="375">
        <f t="shared" si="152"/>
        <v>0</v>
      </c>
      <c r="JJC49" s="375">
        <f t="shared" si="152"/>
        <v>0</v>
      </c>
      <c r="JJD49" s="375">
        <f t="shared" si="152"/>
        <v>0</v>
      </c>
      <c r="JJE49" s="375">
        <f t="shared" si="152"/>
        <v>0</v>
      </c>
      <c r="JJF49" s="375">
        <f t="shared" si="152"/>
        <v>0</v>
      </c>
      <c r="JJG49" s="375">
        <f t="shared" si="152"/>
        <v>0</v>
      </c>
      <c r="JJH49" s="375">
        <f t="shared" si="152"/>
        <v>0</v>
      </c>
      <c r="JJI49" s="375">
        <f t="shared" si="152"/>
        <v>0</v>
      </c>
      <c r="JJJ49" s="375">
        <f t="shared" si="152"/>
        <v>0</v>
      </c>
      <c r="JJK49" s="375">
        <f t="shared" si="152"/>
        <v>0</v>
      </c>
      <c r="JJL49" s="375">
        <f t="shared" si="152"/>
        <v>0</v>
      </c>
      <c r="JJM49" s="375">
        <f t="shared" si="152"/>
        <v>0</v>
      </c>
      <c r="JJN49" s="375">
        <f t="shared" si="152"/>
        <v>0</v>
      </c>
      <c r="JJO49" s="375">
        <f t="shared" si="152"/>
        <v>0</v>
      </c>
      <c r="JJP49" s="375">
        <f t="shared" si="152"/>
        <v>0</v>
      </c>
      <c r="JJQ49" s="375">
        <f t="shared" si="152"/>
        <v>0</v>
      </c>
      <c r="JJR49" s="375">
        <f t="shared" si="152"/>
        <v>0</v>
      </c>
      <c r="JJS49" s="375">
        <f t="shared" si="152"/>
        <v>0</v>
      </c>
      <c r="JJT49" s="375">
        <f t="shared" si="152"/>
        <v>0</v>
      </c>
      <c r="JJU49" s="375">
        <f t="shared" ref="JJU49:JMF49" si="153">JJU48*0.8</f>
        <v>0</v>
      </c>
      <c r="JJV49" s="375">
        <f t="shared" si="153"/>
        <v>0</v>
      </c>
      <c r="JJW49" s="375">
        <f t="shared" si="153"/>
        <v>0</v>
      </c>
      <c r="JJX49" s="375">
        <f t="shared" si="153"/>
        <v>0</v>
      </c>
      <c r="JJY49" s="375">
        <f t="shared" si="153"/>
        <v>0</v>
      </c>
      <c r="JJZ49" s="375">
        <f t="shared" si="153"/>
        <v>0</v>
      </c>
      <c r="JKA49" s="375">
        <f t="shared" si="153"/>
        <v>0</v>
      </c>
      <c r="JKB49" s="375">
        <f t="shared" si="153"/>
        <v>0</v>
      </c>
      <c r="JKC49" s="375">
        <f t="shared" si="153"/>
        <v>0</v>
      </c>
      <c r="JKD49" s="375">
        <f t="shared" si="153"/>
        <v>0</v>
      </c>
      <c r="JKE49" s="375">
        <f t="shared" si="153"/>
        <v>0</v>
      </c>
      <c r="JKF49" s="375">
        <f t="shared" si="153"/>
        <v>0</v>
      </c>
      <c r="JKG49" s="375">
        <f t="shared" si="153"/>
        <v>0</v>
      </c>
      <c r="JKH49" s="375">
        <f t="shared" si="153"/>
        <v>0</v>
      </c>
      <c r="JKI49" s="375">
        <f t="shared" si="153"/>
        <v>0</v>
      </c>
      <c r="JKJ49" s="375">
        <f t="shared" si="153"/>
        <v>0</v>
      </c>
      <c r="JKK49" s="375">
        <f t="shared" si="153"/>
        <v>0</v>
      </c>
      <c r="JKL49" s="375">
        <f t="shared" si="153"/>
        <v>0</v>
      </c>
      <c r="JKM49" s="375">
        <f t="shared" si="153"/>
        <v>0</v>
      </c>
      <c r="JKN49" s="375">
        <f t="shared" si="153"/>
        <v>0</v>
      </c>
      <c r="JKO49" s="375">
        <f t="shared" si="153"/>
        <v>0</v>
      </c>
      <c r="JKP49" s="375">
        <f t="shared" si="153"/>
        <v>0</v>
      </c>
      <c r="JKQ49" s="375">
        <f t="shared" si="153"/>
        <v>0</v>
      </c>
      <c r="JKR49" s="375">
        <f t="shared" si="153"/>
        <v>0</v>
      </c>
      <c r="JKS49" s="375">
        <f t="shared" si="153"/>
        <v>0</v>
      </c>
      <c r="JKT49" s="375">
        <f t="shared" si="153"/>
        <v>0</v>
      </c>
      <c r="JKU49" s="375">
        <f t="shared" si="153"/>
        <v>0</v>
      </c>
      <c r="JKV49" s="375">
        <f t="shared" si="153"/>
        <v>0</v>
      </c>
      <c r="JKW49" s="375">
        <f t="shared" si="153"/>
        <v>0</v>
      </c>
      <c r="JKX49" s="375">
        <f t="shared" si="153"/>
        <v>0</v>
      </c>
      <c r="JKY49" s="375">
        <f t="shared" si="153"/>
        <v>0</v>
      </c>
      <c r="JKZ49" s="375">
        <f t="shared" si="153"/>
        <v>0</v>
      </c>
      <c r="JLA49" s="375">
        <f t="shared" si="153"/>
        <v>0</v>
      </c>
      <c r="JLB49" s="375">
        <f t="shared" si="153"/>
        <v>0</v>
      </c>
      <c r="JLC49" s="375">
        <f t="shared" si="153"/>
        <v>0</v>
      </c>
      <c r="JLD49" s="375">
        <f t="shared" si="153"/>
        <v>0</v>
      </c>
      <c r="JLE49" s="375">
        <f t="shared" si="153"/>
        <v>0</v>
      </c>
      <c r="JLF49" s="375">
        <f t="shared" si="153"/>
        <v>0</v>
      </c>
      <c r="JLG49" s="375">
        <f t="shared" si="153"/>
        <v>0</v>
      </c>
      <c r="JLH49" s="375">
        <f t="shared" si="153"/>
        <v>0</v>
      </c>
      <c r="JLI49" s="375">
        <f t="shared" si="153"/>
        <v>0</v>
      </c>
      <c r="JLJ49" s="375">
        <f t="shared" si="153"/>
        <v>0</v>
      </c>
      <c r="JLK49" s="375">
        <f t="shared" si="153"/>
        <v>0</v>
      </c>
      <c r="JLL49" s="375">
        <f t="shared" si="153"/>
        <v>0</v>
      </c>
      <c r="JLM49" s="375">
        <f t="shared" si="153"/>
        <v>0</v>
      </c>
      <c r="JLN49" s="375">
        <f t="shared" si="153"/>
        <v>0</v>
      </c>
      <c r="JLO49" s="375">
        <f t="shared" si="153"/>
        <v>0</v>
      </c>
      <c r="JLP49" s="375">
        <f t="shared" si="153"/>
        <v>0</v>
      </c>
      <c r="JLQ49" s="375">
        <f t="shared" si="153"/>
        <v>0</v>
      </c>
      <c r="JLR49" s="375">
        <f t="shared" si="153"/>
        <v>0</v>
      </c>
      <c r="JLS49" s="375">
        <f t="shared" si="153"/>
        <v>0</v>
      </c>
      <c r="JLT49" s="375">
        <f t="shared" si="153"/>
        <v>0</v>
      </c>
      <c r="JLU49" s="375">
        <f t="shared" si="153"/>
        <v>0</v>
      </c>
      <c r="JLV49" s="375">
        <f t="shared" si="153"/>
        <v>0</v>
      </c>
      <c r="JLW49" s="375">
        <f t="shared" si="153"/>
        <v>0</v>
      </c>
      <c r="JLX49" s="375">
        <f t="shared" si="153"/>
        <v>0</v>
      </c>
      <c r="JLY49" s="375">
        <f t="shared" si="153"/>
        <v>0</v>
      </c>
      <c r="JLZ49" s="375">
        <f t="shared" si="153"/>
        <v>0</v>
      </c>
      <c r="JMA49" s="375">
        <f t="shared" si="153"/>
        <v>0</v>
      </c>
      <c r="JMB49" s="375">
        <f t="shared" si="153"/>
        <v>0</v>
      </c>
      <c r="JMC49" s="375">
        <f t="shared" si="153"/>
        <v>0</v>
      </c>
      <c r="JMD49" s="375">
        <f t="shared" si="153"/>
        <v>0</v>
      </c>
      <c r="JME49" s="375">
        <f t="shared" si="153"/>
        <v>0</v>
      </c>
      <c r="JMF49" s="375">
        <f t="shared" si="153"/>
        <v>0</v>
      </c>
      <c r="JMG49" s="375">
        <f t="shared" ref="JMG49:JOR49" si="154">JMG48*0.8</f>
        <v>0</v>
      </c>
      <c r="JMH49" s="375">
        <f t="shared" si="154"/>
        <v>0</v>
      </c>
      <c r="JMI49" s="375">
        <f t="shared" si="154"/>
        <v>0</v>
      </c>
      <c r="JMJ49" s="375">
        <f t="shared" si="154"/>
        <v>0</v>
      </c>
      <c r="JMK49" s="375">
        <f t="shared" si="154"/>
        <v>0</v>
      </c>
      <c r="JML49" s="375">
        <f t="shared" si="154"/>
        <v>0</v>
      </c>
      <c r="JMM49" s="375">
        <f t="shared" si="154"/>
        <v>0</v>
      </c>
      <c r="JMN49" s="375">
        <f t="shared" si="154"/>
        <v>0</v>
      </c>
      <c r="JMO49" s="375">
        <f t="shared" si="154"/>
        <v>0</v>
      </c>
      <c r="JMP49" s="375">
        <f t="shared" si="154"/>
        <v>0</v>
      </c>
      <c r="JMQ49" s="375">
        <f t="shared" si="154"/>
        <v>0</v>
      </c>
      <c r="JMR49" s="375">
        <f t="shared" si="154"/>
        <v>0</v>
      </c>
      <c r="JMS49" s="375">
        <f t="shared" si="154"/>
        <v>0</v>
      </c>
      <c r="JMT49" s="375">
        <f t="shared" si="154"/>
        <v>0</v>
      </c>
      <c r="JMU49" s="375">
        <f t="shared" si="154"/>
        <v>0</v>
      </c>
      <c r="JMV49" s="375">
        <f t="shared" si="154"/>
        <v>0</v>
      </c>
      <c r="JMW49" s="375">
        <f t="shared" si="154"/>
        <v>0</v>
      </c>
      <c r="JMX49" s="375">
        <f t="shared" si="154"/>
        <v>0</v>
      </c>
      <c r="JMY49" s="375">
        <f t="shared" si="154"/>
        <v>0</v>
      </c>
      <c r="JMZ49" s="375">
        <f t="shared" si="154"/>
        <v>0</v>
      </c>
      <c r="JNA49" s="375">
        <f t="shared" si="154"/>
        <v>0</v>
      </c>
      <c r="JNB49" s="375">
        <f t="shared" si="154"/>
        <v>0</v>
      </c>
      <c r="JNC49" s="375">
        <f t="shared" si="154"/>
        <v>0</v>
      </c>
      <c r="JND49" s="375">
        <f t="shared" si="154"/>
        <v>0</v>
      </c>
      <c r="JNE49" s="375">
        <f t="shared" si="154"/>
        <v>0</v>
      </c>
      <c r="JNF49" s="375">
        <f t="shared" si="154"/>
        <v>0</v>
      </c>
      <c r="JNG49" s="375">
        <f t="shared" si="154"/>
        <v>0</v>
      </c>
      <c r="JNH49" s="375">
        <f t="shared" si="154"/>
        <v>0</v>
      </c>
      <c r="JNI49" s="375">
        <f t="shared" si="154"/>
        <v>0</v>
      </c>
      <c r="JNJ49" s="375">
        <f t="shared" si="154"/>
        <v>0</v>
      </c>
      <c r="JNK49" s="375">
        <f t="shared" si="154"/>
        <v>0</v>
      </c>
      <c r="JNL49" s="375">
        <f t="shared" si="154"/>
        <v>0</v>
      </c>
      <c r="JNM49" s="375">
        <f t="shared" si="154"/>
        <v>0</v>
      </c>
      <c r="JNN49" s="375">
        <f t="shared" si="154"/>
        <v>0</v>
      </c>
      <c r="JNO49" s="375">
        <f t="shared" si="154"/>
        <v>0</v>
      </c>
      <c r="JNP49" s="375">
        <f t="shared" si="154"/>
        <v>0</v>
      </c>
      <c r="JNQ49" s="375">
        <f t="shared" si="154"/>
        <v>0</v>
      </c>
      <c r="JNR49" s="375">
        <f t="shared" si="154"/>
        <v>0</v>
      </c>
      <c r="JNS49" s="375">
        <f t="shared" si="154"/>
        <v>0</v>
      </c>
      <c r="JNT49" s="375">
        <f t="shared" si="154"/>
        <v>0</v>
      </c>
      <c r="JNU49" s="375">
        <f t="shared" si="154"/>
        <v>0</v>
      </c>
      <c r="JNV49" s="375">
        <f t="shared" si="154"/>
        <v>0</v>
      </c>
      <c r="JNW49" s="375">
        <f t="shared" si="154"/>
        <v>0</v>
      </c>
      <c r="JNX49" s="375">
        <f t="shared" si="154"/>
        <v>0</v>
      </c>
      <c r="JNY49" s="375">
        <f t="shared" si="154"/>
        <v>0</v>
      </c>
      <c r="JNZ49" s="375">
        <f t="shared" si="154"/>
        <v>0</v>
      </c>
      <c r="JOA49" s="375">
        <f t="shared" si="154"/>
        <v>0</v>
      </c>
      <c r="JOB49" s="375">
        <f t="shared" si="154"/>
        <v>0</v>
      </c>
      <c r="JOC49" s="375">
        <f t="shared" si="154"/>
        <v>0</v>
      </c>
      <c r="JOD49" s="375">
        <f t="shared" si="154"/>
        <v>0</v>
      </c>
      <c r="JOE49" s="375">
        <f t="shared" si="154"/>
        <v>0</v>
      </c>
      <c r="JOF49" s="375">
        <f t="shared" si="154"/>
        <v>0</v>
      </c>
      <c r="JOG49" s="375">
        <f t="shared" si="154"/>
        <v>0</v>
      </c>
      <c r="JOH49" s="375">
        <f t="shared" si="154"/>
        <v>0</v>
      </c>
      <c r="JOI49" s="375">
        <f t="shared" si="154"/>
        <v>0</v>
      </c>
      <c r="JOJ49" s="375">
        <f t="shared" si="154"/>
        <v>0</v>
      </c>
      <c r="JOK49" s="375">
        <f t="shared" si="154"/>
        <v>0</v>
      </c>
      <c r="JOL49" s="375">
        <f t="shared" si="154"/>
        <v>0</v>
      </c>
      <c r="JOM49" s="375">
        <f t="shared" si="154"/>
        <v>0</v>
      </c>
      <c r="JON49" s="375">
        <f t="shared" si="154"/>
        <v>0</v>
      </c>
      <c r="JOO49" s="375">
        <f t="shared" si="154"/>
        <v>0</v>
      </c>
      <c r="JOP49" s="375">
        <f t="shared" si="154"/>
        <v>0</v>
      </c>
      <c r="JOQ49" s="375">
        <f t="shared" si="154"/>
        <v>0</v>
      </c>
      <c r="JOR49" s="375">
        <f t="shared" si="154"/>
        <v>0</v>
      </c>
      <c r="JOS49" s="375">
        <f t="shared" ref="JOS49:JRD49" si="155">JOS48*0.8</f>
        <v>0</v>
      </c>
      <c r="JOT49" s="375">
        <f t="shared" si="155"/>
        <v>0</v>
      </c>
      <c r="JOU49" s="375">
        <f t="shared" si="155"/>
        <v>0</v>
      </c>
      <c r="JOV49" s="375">
        <f t="shared" si="155"/>
        <v>0</v>
      </c>
      <c r="JOW49" s="375">
        <f t="shared" si="155"/>
        <v>0</v>
      </c>
      <c r="JOX49" s="375">
        <f t="shared" si="155"/>
        <v>0</v>
      </c>
      <c r="JOY49" s="375">
        <f t="shared" si="155"/>
        <v>0</v>
      </c>
      <c r="JOZ49" s="375">
        <f t="shared" si="155"/>
        <v>0</v>
      </c>
      <c r="JPA49" s="375">
        <f t="shared" si="155"/>
        <v>0</v>
      </c>
      <c r="JPB49" s="375">
        <f t="shared" si="155"/>
        <v>0</v>
      </c>
      <c r="JPC49" s="375">
        <f t="shared" si="155"/>
        <v>0</v>
      </c>
      <c r="JPD49" s="375">
        <f t="shared" si="155"/>
        <v>0</v>
      </c>
      <c r="JPE49" s="375">
        <f t="shared" si="155"/>
        <v>0</v>
      </c>
      <c r="JPF49" s="375">
        <f t="shared" si="155"/>
        <v>0</v>
      </c>
      <c r="JPG49" s="375">
        <f t="shared" si="155"/>
        <v>0</v>
      </c>
      <c r="JPH49" s="375">
        <f t="shared" si="155"/>
        <v>0</v>
      </c>
      <c r="JPI49" s="375">
        <f t="shared" si="155"/>
        <v>0</v>
      </c>
      <c r="JPJ49" s="375">
        <f t="shared" si="155"/>
        <v>0</v>
      </c>
      <c r="JPK49" s="375">
        <f t="shared" si="155"/>
        <v>0</v>
      </c>
      <c r="JPL49" s="375">
        <f t="shared" si="155"/>
        <v>0</v>
      </c>
      <c r="JPM49" s="375">
        <f t="shared" si="155"/>
        <v>0</v>
      </c>
      <c r="JPN49" s="375">
        <f t="shared" si="155"/>
        <v>0</v>
      </c>
      <c r="JPO49" s="375">
        <f t="shared" si="155"/>
        <v>0</v>
      </c>
      <c r="JPP49" s="375">
        <f t="shared" si="155"/>
        <v>0</v>
      </c>
      <c r="JPQ49" s="375">
        <f t="shared" si="155"/>
        <v>0</v>
      </c>
      <c r="JPR49" s="375">
        <f t="shared" si="155"/>
        <v>0</v>
      </c>
      <c r="JPS49" s="375">
        <f t="shared" si="155"/>
        <v>0</v>
      </c>
      <c r="JPT49" s="375">
        <f t="shared" si="155"/>
        <v>0</v>
      </c>
      <c r="JPU49" s="375">
        <f t="shared" si="155"/>
        <v>0</v>
      </c>
      <c r="JPV49" s="375">
        <f t="shared" si="155"/>
        <v>0</v>
      </c>
      <c r="JPW49" s="375">
        <f t="shared" si="155"/>
        <v>0</v>
      </c>
      <c r="JPX49" s="375">
        <f t="shared" si="155"/>
        <v>0</v>
      </c>
      <c r="JPY49" s="375">
        <f t="shared" si="155"/>
        <v>0</v>
      </c>
      <c r="JPZ49" s="375">
        <f t="shared" si="155"/>
        <v>0</v>
      </c>
      <c r="JQA49" s="375">
        <f t="shared" si="155"/>
        <v>0</v>
      </c>
      <c r="JQB49" s="375">
        <f t="shared" si="155"/>
        <v>0</v>
      </c>
      <c r="JQC49" s="375">
        <f t="shared" si="155"/>
        <v>0</v>
      </c>
      <c r="JQD49" s="375">
        <f t="shared" si="155"/>
        <v>0</v>
      </c>
      <c r="JQE49" s="375">
        <f t="shared" si="155"/>
        <v>0</v>
      </c>
      <c r="JQF49" s="375">
        <f t="shared" si="155"/>
        <v>0</v>
      </c>
      <c r="JQG49" s="375">
        <f t="shared" si="155"/>
        <v>0</v>
      </c>
      <c r="JQH49" s="375">
        <f t="shared" si="155"/>
        <v>0</v>
      </c>
      <c r="JQI49" s="375">
        <f t="shared" si="155"/>
        <v>0</v>
      </c>
      <c r="JQJ49" s="375">
        <f t="shared" si="155"/>
        <v>0</v>
      </c>
      <c r="JQK49" s="375">
        <f t="shared" si="155"/>
        <v>0</v>
      </c>
      <c r="JQL49" s="375">
        <f t="shared" si="155"/>
        <v>0</v>
      </c>
      <c r="JQM49" s="375">
        <f t="shared" si="155"/>
        <v>0</v>
      </c>
      <c r="JQN49" s="375">
        <f t="shared" si="155"/>
        <v>0</v>
      </c>
      <c r="JQO49" s="375">
        <f t="shared" si="155"/>
        <v>0</v>
      </c>
      <c r="JQP49" s="375">
        <f t="shared" si="155"/>
        <v>0</v>
      </c>
      <c r="JQQ49" s="375">
        <f t="shared" si="155"/>
        <v>0</v>
      </c>
      <c r="JQR49" s="375">
        <f t="shared" si="155"/>
        <v>0</v>
      </c>
      <c r="JQS49" s="375">
        <f t="shared" si="155"/>
        <v>0</v>
      </c>
      <c r="JQT49" s="375">
        <f t="shared" si="155"/>
        <v>0</v>
      </c>
      <c r="JQU49" s="375">
        <f t="shared" si="155"/>
        <v>0</v>
      </c>
      <c r="JQV49" s="375">
        <f t="shared" si="155"/>
        <v>0</v>
      </c>
      <c r="JQW49" s="375">
        <f t="shared" si="155"/>
        <v>0</v>
      </c>
      <c r="JQX49" s="375">
        <f t="shared" si="155"/>
        <v>0</v>
      </c>
      <c r="JQY49" s="375">
        <f t="shared" si="155"/>
        <v>0</v>
      </c>
      <c r="JQZ49" s="375">
        <f t="shared" si="155"/>
        <v>0</v>
      </c>
      <c r="JRA49" s="375">
        <f t="shared" si="155"/>
        <v>0</v>
      </c>
      <c r="JRB49" s="375">
        <f t="shared" si="155"/>
        <v>0</v>
      </c>
      <c r="JRC49" s="375">
        <f t="shared" si="155"/>
        <v>0</v>
      </c>
      <c r="JRD49" s="375">
        <f t="shared" si="155"/>
        <v>0</v>
      </c>
      <c r="JRE49" s="375">
        <f t="shared" ref="JRE49:JTP49" si="156">JRE48*0.8</f>
        <v>0</v>
      </c>
      <c r="JRF49" s="375">
        <f t="shared" si="156"/>
        <v>0</v>
      </c>
      <c r="JRG49" s="375">
        <f t="shared" si="156"/>
        <v>0</v>
      </c>
      <c r="JRH49" s="375">
        <f t="shared" si="156"/>
        <v>0</v>
      </c>
      <c r="JRI49" s="375">
        <f t="shared" si="156"/>
        <v>0</v>
      </c>
      <c r="JRJ49" s="375">
        <f t="shared" si="156"/>
        <v>0</v>
      </c>
      <c r="JRK49" s="375">
        <f t="shared" si="156"/>
        <v>0</v>
      </c>
      <c r="JRL49" s="375">
        <f t="shared" si="156"/>
        <v>0</v>
      </c>
      <c r="JRM49" s="375">
        <f t="shared" si="156"/>
        <v>0</v>
      </c>
      <c r="JRN49" s="375">
        <f t="shared" si="156"/>
        <v>0</v>
      </c>
      <c r="JRO49" s="375">
        <f t="shared" si="156"/>
        <v>0</v>
      </c>
      <c r="JRP49" s="375">
        <f t="shared" si="156"/>
        <v>0</v>
      </c>
      <c r="JRQ49" s="375">
        <f t="shared" si="156"/>
        <v>0</v>
      </c>
      <c r="JRR49" s="375">
        <f t="shared" si="156"/>
        <v>0</v>
      </c>
      <c r="JRS49" s="375">
        <f t="shared" si="156"/>
        <v>0</v>
      </c>
      <c r="JRT49" s="375">
        <f t="shared" si="156"/>
        <v>0</v>
      </c>
      <c r="JRU49" s="375">
        <f t="shared" si="156"/>
        <v>0</v>
      </c>
      <c r="JRV49" s="375">
        <f t="shared" si="156"/>
        <v>0</v>
      </c>
      <c r="JRW49" s="375">
        <f t="shared" si="156"/>
        <v>0</v>
      </c>
      <c r="JRX49" s="375">
        <f t="shared" si="156"/>
        <v>0</v>
      </c>
      <c r="JRY49" s="375">
        <f t="shared" si="156"/>
        <v>0</v>
      </c>
      <c r="JRZ49" s="375">
        <f t="shared" si="156"/>
        <v>0</v>
      </c>
      <c r="JSA49" s="375">
        <f t="shared" si="156"/>
        <v>0</v>
      </c>
      <c r="JSB49" s="375">
        <f t="shared" si="156"/>
        <v>0</v>
      </c>
      <c r="JSC49" s="375">
        <f t="shared" si="156"/>
        <v>0</v>
      </c>
      <c r="JSD49" s="375">
        <f t="shared" si="156"/>
        <v>0</v>
      </c>
      <c r="JSE49" s="375">
        <f t="shared" si="156"/>
        <v>0</v>
      </c>
      <c r="JSF49" s="375">
        <f t="shared" si="156"/>
        <v>0</v>
      </c>
      <c r="JSG49" s="375">
        <f t="shared" si="156"/>
        <v>0</v>
      </c>
      <c r="JSH49" s="375">
        <f t="shared" si="156"/>
        <v>0</v>
      </c>
      <c r="JSI49" s="375">
        <f t="shared" si="156"/>
        <v>0</v>
      </c>
      <c r="JSJ49" s="375">
        <f t="shared" si="156"/>
        <v>0</v>
      </c>
      <c r="JSK49" s="375">
        <f t="shared" si="156"/>
        <v>0</v>
      </c>
      <c r="JSL49" s="375">
        <f t="shared" si="156"/>
        <v>0</v>
      </c>
      <c r="JSM49" s="375">
        <f t="shared" si="156"/>
        <v>0</v>
      </c>
      <c r="JSN49" s="375">
        <f t="shared" si="156"/>
        <v>0</v>
      </c>
      <c r="JSO49" s="375">
        <f t="shared" si="156"/>
        <v>0</v>
      </c>
      <c r="JSP49" s="375">
        <f t="shared" si="156"/>
        <v>0</v>
      </c>
      <c r="JSQ49" s="375">
        <f t="shared" si="156"/>
        <v>0</v>
      </c>
      <c r="JSR49" s="375">
        <f t="shared" si="156"/>
        <v>0</v>
      </c>
      <c r="JSS49" s="375">
        <f t="shared" si="156"/>
        <v>0</v>
      </c>
      <c r="JST49" s="375">
        <f t="shared" si="156"/>
        <v>0</v>
      </c>
      <c r="JSU49" s="375">
        <f t="shared" si="156"/>
        <v>0</v>
      </c>
      <c r="JSV49" s="375">
        <f t="shared" si="156"/>
        <v>0</v>
      </c>
      <c r="JSW49" s="375">
        <f t="shared" si="156"/>
        <v>0</v>
      </c>
      <c r="JSX49" s="375">
        <f t="shared" si="156"/>
        <v>0</v>
      </c>
      <c r="JSY49" s="375">
        <f t="shared" si="156"/>
        <v>0</v>
      </c>
      <c r="JSZ49" s="375">
        <f t="shared" si="156"/>
        <v>0</v>
      </c>
      <c r="JTA49" s="375">
        <f t="shared" si="156"/>
        <v>0</v>
      </c>
      <c r="JTB49" s="375">
        <f t="shared" si="156"/>
        <v>0</v>
      </c>
      <c r="JTC49" s="375">
        <f t="shared" si="156"/>
        <v>0</v>
      </c>
      <c r="JTD49" s="375">
        <f t="shared" si="156"/>
        <v>0</v>
      </c>
      <c r="JTE49" s="375">
        <f t="shared" si="156"/>
        <v>0</v>
      </c>
      <c r="JTF49" s="375">
        <f t="shared" si="156"/>
        <v>0</v>
      </c>
      <c r="JTG49" s="375">
        <f t="shared" si="156"/>
        <v>0</v>
      </c>
      <c r="JTH49" s="375">
        <f t="shared" si="156"/>
        <v>0</v>
      </c>
      <c r="JTI49" s="375">
        <f t="shared" si="156"/>
        <v>0</v>
      </c>
      <c r="JTJ49" s="375">
        <f t="shared" si="156"/>
        <v>0</v>
      </c>
      <c r="JTK49" s="375">
        <f t="shared" si="156"/>
        <v>0</v>
      </c>
      <c r="JTL49" s="375">
        <f t="shared" si="156"/>
        <v>0</v>
      </c>
      <c r="JTM49" s="375">
        <f t="shared" si="156"/>
        <v>0</v>
      </c>
      <c r="JTN49" s="375">
        <f t="shared" si="156"/>
        <v>0</v>
      </c>
      <c r="JTO49" s="375">
        <f t="shared" si="156"/>
        <v>0</v>
      </c>
      <c r="JTP49" s="375">
        <f t="shared" si="156"/>
        <v>0</v>
      </c>
      <c r="JTQ49" s="375">
        <f t="shared" ref="JTQ49:JWB49" si="157">JTQ48*0.8</f>
        <v>0</v>
      </c>
      <c r="JTR49" s="375">
        <f t="shared" si="157"/>
        <v>0</v>
      </c>
      <c r="JTS49" s="375">
        <f t="shared" si="157"/>
        <v>0</v>
      </c>
      <c r="JTT49" s="375">
        <f t="shared" si="157"/>
        <v>0</v>
      </c>
      <c r="JTU49" s="375">
        <f t="shared" si="157"/>
        <v>0</v>
      </c>
      <c r="JTV49" s="375">
        <f t="shared" si="157"/>
        <v>0</v>
      </c>
      <c r="JTW49" s="375">
        <f t="shared" si="157"/>
        <v>0</v>
      </c>
      <c r="JTX49" s="375">
        <f t="shared" si="157"/>
        <v>0</v>
      </c>
      <c r="JTY49" s="375">
        <f t="shared" si="157"/>
        <v>0</v>
      </c>
      <c r="JTZ49" s="375">
        <f t="shared" si="157"/>
        <v>0</v>
      </c>
      <c r="JUA49" s="375">
        <f t="shared" si="157"/>
        <v>0</v>
      </c>
      <c r="JUB49" s="375">
        <f t="shared" si="157"/>
        <v>0</v>
      </c>
      <c r="JUC49" s="375">
        <f t="shared" si="157"/>
        <v>0</v>
      </c>
      <c r="JUD49" s="375">
        <f t="shared" si="157"/>
        <v>0</v>
      </c>
      <c r="JUE49" s="375">
        <f t="shared" si="157"/>
        <v>0</v>
      </c>
      <c r="JUF49" s="375">
        <f t="shared" si="157"/>
        <v>0</v>
      </c>
      <c r="JUG49" s="375">
        <f t="shared" si="157"/>
        <v>0</v>
      </c>
      <c r="JUH49" s="375">
        <f t="shared" si="157"/>
        <v>0</v>
      </c>
      <c r="JUI49" s="375">
        <f t="shared" si="157"/>
        <v>0</v>
      </c>
      <c r="JUJ49" s="375">
        <f t="shared" si="157"/>
        <v>0</v>
      </c>
      <c r="JUK49" s="375">
        <f t="shared" si="157"/>
        <v>0</v>
      </c>
      <c r="JUL49" s="375">
        <f t="shared" si="157"/>
        <v>0</v>
      </c>
      <c r="JUM49" s="375">
        <f t="shared" si="157"/>
        <v>0</v>
      </c>
      <c r="JUN49" s="375">
        <f t="shared" si="157"/>
        <v>0</v>
      </c>
      <c r="JUO49" s="375">
        <f t="shared" si="157"/>
        <v>0</v>
      </c>
      <c r="JUP49" s="375">
        <f t="shared" si="157"/>
        <v>0</v>
      </c>
      <c r="JUQ49" s="375">
        <f t="shared" si="157"/>
        <v>0</v>
      </c>
      <c r="JUR49" s="375">
        <f t="shared" si="157"/>
        <v>0</v>
      </c>
      <c r="JUS49" s="375">
        <f t="shared" si="157"/>
        <v>0</v>
      </c>
      <c r="JUT49" s="375">
        <f t="shared" si="157"/>
        <v>0</v>
      </c>
      <c r="JUU49" s="375">
        <f t="shared" si="157"/>
        <v>0</v>
      </c>
      <c r="JUV49" s="375">
        <f t="shared" si="157"/>
        <v>0</v>
      </c>
      <c r="JUW49" s="375">
        <f t="shared" si="157"/>
        <v>0</v>
      </c>
      <c r="JUX49" s="375">
        <f t="shared" si="157"/>
        <v>0</v>
      </c>
      <c r="JUY49" s="375">
        <f t="shared" si="157"/>
        <v>0</v>
      </c>
      <c r="JUZ49" s="375">
        <f t="shared" si="157"/>
        <v>0</v>
      </c>
      <c r="JVA49" s="375">
        <f t="shared" si="157"/>
        <v>0</v>
      </c>
      <c r="JVB49" s="375">
        <f t="shared" si="157"/>
        <v>0</v>
      </c>
      <c r="JVC49" s="375">
        <f t="shared" si="157"/>
        <v>0</v>
      </c>
      <c r="JVD49" s="375">
        <f t="shared" si="157"/>
        <v>0</v>
      </c>
      <c r="JVE49" s="375">
        <f t="shared" si="157"/>
        <v>0</v>
      </c>
      <c r="JVF49" s="375">
        <f t="shared" si="157"/>
        <v>0</v>
      </c>
      <c r="JVG49" s="375">
        <f t="shared" si="157"/>
        <v>0</v>
      </c>
      <c r="JVH49" s="375">
        <f t="shared" si="157"/>
        <v>0</v>
      </c>
      <c r="JVI49" s="375">
        <f t="shared" si="157"/>
        <v>0</v>
      </c>
      <c r="JVJ49" s="375">
        <f t="shared" si="157"/>
        <v>0</v>
      </c>
      <c r="JVK49" s="375">
        <f t="shared" si="157"/>
        <v>0</v>
      </c>
      <c r="JVL49" s="375">
        <f t="shared" si="157"/>
        <v>0</v>
      </c>
      <c r="JVM49" s="375">
        <f t="shared" si="157"/>
        <v>0</v>
      </c>
      <c r="JVN49" s="375">
        <f t="shared" si="157"/>
        <v>0</v>
      </c>
      <c r="JVO49" s="375">
        <f t="shared" si="157"/>
        <v>0</v>
      </c>
      <c r="JVP49" s="375">
        <f t="shared" si="157"/>
        <v>0</v>
      </c>
      <c r="JVQ49" s="375">
        <f t="shared" si="157"/>
        <v>0</v>
      </c>
      <c r="JVR49" s="375">
        <f t="shared" si="157"/>
        <v>0</v>
      </c>
      <c r="JVS49" s="375">
        <f t="shared" si="157"/>
        <v>0</v>
      </c>
      <c r="JVT49" s="375">
        <f t="shared" si="157"/>
        <v>0</v>
      </c>
      <c r="JVU49" s="375">
        <f t="shared" si="157"/>
        <v>0</v>
      </c>
      <c r="JVV49" s="375">
        <f t="shared" si="157"/>
        <v>0</v>
      </c>
      <c r="JVW49" s="375">
        <f t="shared" si="157"/>
        <v>0</v>
      </c>
      <c r="JVX49" s="375">
        <f t="shared" si="157"/>
        <v>0</v>
      </c>
      <c r="JVY49" s="375">
        <f t="shared" si="157"/>
        <v>0</v>
      </c>
      <c r="JVZ49" s="375">
        <f t="shared" si="157"/>
        <v>0</v>
      </c>
      <c r="JWA49" s="375">
        <f t="shared" si="157"/>
        <v>0</v>
      </c>
      <c r="JWB49" s="375">
        <f t="shared" si="157"/>
        <v>0</v>
      </c>
      <c r="JWC49" s="375">
        <f t="shared" ref="JWC49:JYN49" si="158">JWC48*0.8</f>
        <v>0</v>
      </c>
      <c r="JWD49" s="375">
        <f t="shared" si="158"/>
        <v>0</v>
      </c>
      <c r="JWE49" s="375">
        <f t="shared" si="158"/>
        <v>0</v>
      </c>
      <c r="JWF49" s="375">
        <f t="shared" si="158"/>
        <v>0</v>
      </c>
      <c r="JWG49" s="375">
        <f t="shared" si="158"/>
        <v>0</v>
      </c>
      <c r="JWH49" s="375">
        <f t="shared" si="158"/>
        <v>0</v>
      </c>
      <c r="JWI49" s="375">
        <f t="shared" si="158"/>
        <v>0</v>
      </c>
      <c r="JWJ49" s="375">
        <f t="shared" si="158"/>
        <v>0</v>
      </c>
      <c r="JWK49" s="375">
        <f t="shared" si="158"/>
        <v>0</v>
      </c>
      <c r="JWL49" s="375">
        <f t="shared" si="158"/>
        <v>0</v>
      </c>
      <c r="JWM49" s="375">
        <f t="shared" si="158"/>
        <v>0</v>
      </c>
      <c r="JWN49" s="375">
        <f t="shared" si="158"/>
        <v>0</v>
      </c>
      <c r="JWO49" s="375">
        <f t="shared" si="158"/>
        <v>0</v>
      </c>
      <c r="JWP49" s="375">
        <f t="shared" si="158"/>
        <v>0</v>
      </c>
      <c r="JWQ49" s="375">
        <f t="shared" si="158"/>
        <v>0</v>
      </c>
      <c r="JWR49" s="375">
        <f t="shared" si="158"/>
        <v>0</v>
      </c>
      <c r="JWS49" s="375">
        <f t="shared" si="158"/>
        <v>0</v>
      </c>
      <c r="JWT49" s="375">
        <f t="shared" si="158"/>
        <v>0</v>
      </c>
      <c r="JWU49" s="375">
        <f t="shared" si="158"/>
        <v>0</v>
      </c>
      <c r="JWV49" s="375">
        <f t="shared" si="158"/>
        <v>0</v>
      </c>
      <c r="JWW49" s="375">
        <f t="shared" si="158"/>
        <v>0</v>
      </c>
      <c r="JWX49" s="375">
        <f t="shared" si="158"/>
        <v>0</v>
      </c>
      <c r="JWY49" s="375">
        <f t="shared" si="158"/>
        <v>0</v>
      </c>
      <c r="JWZ49" s="375">
        <f t="shared" si="158"/>
        <v>0</v>
      </c>
      <c r="JXA49" s="375">
        <f t="shared" si="158"/>
        <v>0</v>
      </c>
      <c r="JXB49" s="375">
        <f t="shared" si="158"/>
        <v>0</v>
      </c>
      <c r="JXC49" s="375">
        <f t="shared" si="158"/>
        <v>0</v>
      </c>
      <c r="JXD49" s="375">
        <f t="shared" si="158"/>
        <v>0</v>
      </c>
      <c r="JXE49" s="375">
        <f t="shared" si="158"/>
        <v>0</v>
      </c>
      <c r="JXF49" s="375">
        <f t="shared" si="158"/>
        <v>0</v>
      </c>
      <c r="JXG49" s="375">
        <f t="shared" si="158"/>
        <v>0</v>
      </c>
      <c r="JXH49" s="375">
        <f t="shared" si="158"/>
        <v>0</v>
      </c>
      <c r="JXI49" s="375">
        <f t="shared" si="158"/>
        <v>0</v>
      </c>
      <c r="JXJ49" s="375">
        <f t="shared" si="158"/>
        <v>0</v>
      </c>
      <c r="JXK49" s="375">
        <f t="shared" si="158"/>
        <v>0</v>
      </c>
      <c r="JXL49" s="375">
        <f t="shared" si="158"/>
        <v>0</v>
      </c>
      <c r="JXM49" s="375">
        <f t="shared" si="158"/>
        <v>0</v>
      </c>
      <c r="JXN49" s="375">
        <f t="shared" si="158"/>
        <v>0</v>
      </c>
      <c r="JXO49" s="375">
        <f t="shared" si="158"/>
        <v>0</v>
      </c>
      <c r="JXP49" s="375">
        <f t="shared" si="158"/>
        <v>0</v>
      </c>
      <c r="JXQ49" s="375">
        <f t="shared" si="158"/>
        <v>0</v>
      </c>
      <c r="JXR49" s="375">
        <f t="shared" si="158"/>
        <v>0</v>
      </c>
      <c r="JXS49" s="375">
        <f t="shared" si="158"/>
        <v>0</v>
      </c>
      <c r="JXT49" s="375">
        <f t="shared" si="158"/>
        <v>0</v>
      </c>
      <c r="JXU49" s="375">
        <f t="shared" si="158"/>
        <v>0</v>
      </c>
      <c r="JXV49" s="375">
        <f t="shared" si="158"/>
        <v>0</v>
      </c>
      <c r="JXW49" s="375">
        <f t="shared" si="158"/>
        <v>0</v>
      </c>
      <c r="JXX49" s="375">
        <f t="shared" si="158"/>
        <v>0</v>
      </c>
      <c r="JXY49" s="375">
        <f t="shared" si="158"/>
        <v>0</v>
      </c>
      <c r="JXZ49" s="375">
        <f t="shared" si="158"/>
        <v>0</v>
      </c>
      <c r="JYA49" s="375">
        <f t="shared" si="158"/>
        <v>0</v>
      </c>
      <c r="JYB49" s="375">
        <f t="shared" si="158"/>
        <v>0</v>
      </c>
      <c r="JYC49" s="375">
        <f t="shared" si="158"/>
        <v>0</v>
      </c>
      <c r="JYD49" s="375">
        <f t="shared" si="158"/>
        <v>0</v>
      </c>
      <c r="JYE49" s="375">
        <f t="shared" si="158"/>
        <v>0</v>
      </c>
      <c r="JYF49" s="375">
        <f t="shared" si="158"/>
        <v>0</v>
      </c>
      <c r="JYG49" s="375">
        <f t="shared" si="158"/>
        <v>0</v>
      </c>
      <c r="JYH49" s="375">
        <f t="shared" si="158"/>
        <v>0</v>
      </c>
      <c r="JYI49" s="375">
        <f t="shared" si="158"/>
        <v>0</v>
      </c>
      <c r="JYJ49" s="375">
        <f t="shared" si="158"/>
        <v>0</v>
      </c>
      <c r="JYK49" s="375">
        <f t="shared" si="158"/>
        <v>0</v>
      </c>
      <c r="JYL49" s="375">
        <f t="shared" si="158"/>
        <v>0</v>
      </c>
      <c r="JYM49" s="375">
        <f t="shared" si="158"/>
        <v>0</v>
      </c>
      <c r="JYN49" s="375">
        <f t="shared" si="158"/>
        <v>0</v>
      </c>
      <c r="JYO49" s="375">
        <f t="shared" ref="JYO49:KAZ49" si="159">JYO48*0.8</f>
        <v>0</v>
      </c>
      <c r="JYP49" s="375">
        <f t="shared" si="159"/>
        <v>0</v>
      </c>
      <c r="JYQ49" s="375">
        <f t="shared" si="159"/>
        <v>0</v>
      </c>
      <c r="JYR49" s="375">
        <f t="shared" si="159"/>
        <v>0</v>
      </c>
      <c r="JYS49" s="375">
        <f t="shared" si="159"/>
        <v>0</v>
      </c>
      <c r="JYT49" s="375">
        <f t="shared" si="159"/>
        <v>0</v>
      </c>
      <c r="JYU49" s="375">
        <f t="shared" si="159"/>
        <v>0</v>
      </c>
      <c r="JYV49" s="375">
        <f t="shared" si="159"/>
        <v>0</v>
      </c>
      <c r="JYW49" s="375">
        <f t="shared" si="159"/>
        <v>0</v>
      </c>
      <c r="JYX49" s="375">
        <f t="shared" si="159"/>
        <v>0</v>
      </c>
      <c r="JYY49" s="375">
        <f t="shared" si="159"/>
        <v>0</v>
      </c>
      <c r="JYZ49" s="375">
        <f t="shared" si="159"/>
        <v>0</v>
      </c>
      <c r="JZA49" s="375">
        <f t="shared" si="159"/>
        <v>0</v>
      </c>
      <c r="JZB49" s="375">
        <f t="shared" si="159"/>
        <v>0</v>
      </c>
      <c r="JZC49" s="375">
        <f t="shared" si="159"/>
        <v>0</v>
      </c>
      <c r="JZD49" s="375">
        <f t="shared" si="159"/>
        <v>0</v>
      </c>
      <c r="JZE49" s="375">
        <f t="shared" si="159"/>
        <v>0</v>
      </c>
      <c r="JZF49" s="375">
        <f t="shared" si="159"/>
        <v>0</v>
      </c>
      <c r="JZG49" s="375">
        <f t="shared" si="159"/>
        <v>0</v>
      </c>
      <c r="JZH49" s="375">
        <f t="shared" si="159"/>
        <v>0</v>
      </c>
      <c r="JZI49" s="375">
        <f t="shared" si="159"/>
        <v>0</v>
      </c>
      <c r="JZJ49" s="375">
        <f t="shared" si="159"/>
        <v>0</v>
      </c>
      <c r="JZK49" s="375">
        <f t="shared" si="159"/>
        <v>0</v>
      </c>
      <c r="JZL49" s="375">
        <f t="shared" si="159"/>
        <v>0</v>
      </c>
      <c r="JZM49" s="375">
        <f t="shared" si="159"/>
        <v>0</v>
      </c>
      <c r="JZN49" s="375">
        <f t="shared" si="159"/>
        <v>0</v>
      </c>
      <c r="JZO49" s="375">
        <f t="shared" si="159"/>
        <v>0</v>
      </c>
      <c r="JZP49" s="375">
        <f t="shared" si="159"/>
        <v>0</v>
      </c>
      <c r="JZQ49" s="375">
        <f t="shared" si="159"/>
        <v>0</v>
      </c>
      <c r="JZR49" s="375">
        <f t="shared" si="159"/>
        <v>0</v>
      </c>
      <c r="JZS49" s="375">
        <f t="shared" si="159"/>
        <v>0</v>
      </c>
      <c r="JZT49" s="375">
        <f t="shared" si="159"/>
        <v>0</v>
      </c>
      <c r="JZU49" s="375">
        <f t="shared" si="159"/>
        <v>0</v>
      </c>
      <c r="JZV49" s="375">
        <f t="shared" si="159"/>
        <v>0</v>
      </c>
      <c r="JZW49" s="375">
        <f t="shared" si="159"/>
        <v>0</v>
      </c>
      <c r="JZX49" s="375">
        <f t="shared" si="159"/>
        <v>0</v>
      </c>
      <c r="JZY49" s="375">
        <f t="shared" si="159"/>
        <v>0</v>
      </c>
      <c r="JZZ49" s="375">
        <f t="shared" si="159"/>
        <v>0</v>
      </c>
      <c r="KAA49" s="375">
        <f t="shared" si="159"/>
        <v>0</v>
      </c>
      <c r="KAB49" s="375">
        <f t="shared" si="159"/>
        <v>0</v>
      </c>
      <c r="KAC49" s="375">
        <f t="shared" si="159"/>
        <v>0</v>
      </c>
      <c r="KAD49" s="375">
        <f t="shared" si="159"/>
        <v>0</v>
      </c>
      <c r="KAE49" s="375">
        <f t="shared" si="159"/>
        <v>0</v>
      </c>
      <c r="KAF49" s="375">
        <f t="shared" si="159"/>
        <v>0</v>
      </c>
      <c r="KAG49" s="375">
        <f t="shared" si="159"/>
        <v>0</v>
      </c>
      <c r="KAH49" s="375">
        <f t="shared" si="159"/>
        <v>0</v>
      </c>
      <c r="KAI49" s="375">
        <f t="shared" si="159"/>
        <v>0</v>
      </c>
      <c r="KAJ49" s="375">
        <f t="shared" si="159"/>
        <v>0</v>
      </c>
      <c r="KAK49" s="375">
        <f t="shared" si="159"/>
        <v>0</v>
      </c>
      <c r="KAL49" s="375">
        <f t="shared" si="159"/>
        <v>0</v>
      </c>
      <c r="KAM49" s="375">
        <f t="shared" si="159"/>
        <v>0</v>
      </c>
      <c r="KAN49" s="375">
        <f t="shared" si="159"/>
        <v>0</v>
      </c>
      <c r="KAO49" s="375">
        <f t="shared" si="159"/>
        <v>0</v>
      </c>
      <c r="KAP49" s="375">
        <f t="shared" si="159"/>
        <v>0</v>
      </c>
      <c r="KAQ49" s="375">
        <f t="shared" si="159"/>
        <v>0</v>
      </c>
      <c r="KAR49" s="375">
        <f t="shared" si="159"/>
        <v>0</v>
      </c>
      <c r="KAS49" s="375">
        <f t="shared" si="159"/>
        <v>0</v>
      </c>
      <c r="KAT49" s="375">
        <f t="shared" si="159"/>
        <v>0</v>
      </c>
      <c r="KAU49" s="375">
        <f t="shared" si="159"/>
        <v>0</v>
      </c>
      <c r="KAV49" s="375">
        <f t="shared" si="159"/>
        <v>0</v>
      </c>
      <c r="KAW49" s="375">
        <f t="shared" si="159"/>
        <v>0</v>
      </c>
      <c r="KAX49" s="375">
        <f t="shared" si="159"/>
        <v>0</v>
      </c>
      <c r="KAY49" s="375">
        <f t="shared" si="159"/>
        <v>0</v>
      </c>
      <c r="KAZ49" s="375">
        <f t="shared" si="159"/>
        <v>0</v>
      </c>
      <c r="KBA49" s="375">
        <f t="shared" ref="KBA49:KDL49" si="160">KBA48*0.8</f>
        <v>0</v>
      </c>
      <c r="KBB49" s="375">
        <f t="shared" si="160"/>
        <v>0</v>
      </c>
      <c r="KBC49" s="375">
        <f t="shared" si="160"/>
        <v>0</v>
      </c>
      <c r="KBD49" s="375">
        <f t="shared" si="160"/>
        <v>0</v>
      </c>
      <c r="KBE49" s="375">
        <f t="shared" si="160"/>
        <v>0</v>
      </c>
      <c r="KBF49" s="375">
        <f t="shared" si="160"/>
        <v>0</v>
      </c>
      <c r="KBG49" s="375">
        <f t="shared" si="160"/>
        <v>0</v>
      </c>
      <c r="KBH49" s="375">
        <f t="shared" si="160"/>
        <v>0</v>
      </c>
      <c r="KBI49" s="375">
        <f t="shared" si="160"/>
        <v>0</v>
      </c>
      <c r="KBJ49" s="375">
        <f t="shared" si="160"/>
        <v>0</v>
      </c>
      <c r="KBK49" s="375">
        <f t="shared" si="160"/>
        <v>0</v>
      </c>
      <c r="KBL49" s="375">
        <f t="shared" si="160"/>
        <v>0</v>
      </c>
      <c r="KBM49" s="375">
        <f t="shared" si="160"/>
        <v>0</v>
      </c>
      <c r="KBN49" s="375">
        <f t="shared" si="160"/>
        <v>0</v>
      </c>
      <c r="KBO49" s="375">
        <f t="shared" si="160"/>
        <v>0</v>
      </c>
      <c r="KBP49" s="375">
        <f t="shared" si="160"/>
        <v>0</v>
      </c>
      <c r="KBQ49" s="375">
        <f t="shared" si="160"/>
        <v>0</v>
      </c>
      <c r="KBR49" s="375">
        <f t="shared" si="160"/>
        <v>0</v>
      </c>
      <c r="KBS49" s="375">
        <f t="shared" si="160"/>
        <v>0</v>
      </c>
      <c r="KBT49" s="375">
        <f t="shared" si="160"/>
        <v>0</v>
      </c>
      <c r="KBU49" s="375">
        <f t="shared" si="160"/>
        <v>0</v>
      </c>
      <c r="KBV49" s="375">
        <f t="shared" si="160"/>
        <v>0</v>
      </c>
      <c r="KBW49" s="375">
        <f t="shared" si="160"/>
        <v>0</v>
      </c>
      <c r="KBX49" s="375">
        <f t="shared" si="160"/>
        <v>0</v>
      </c>
      <c r="KBY49" s="375">
        <f t="shared" si="160"/>
        <v>0</v>
      </c>
      <c r="KBZ49" s="375">
        <f t="shared" si="160"/>
        <v>0</v>
      </c>
      <c r="KCA49" s="375">
        <f t="shared" si="160"/>
        <v>0</v>
      </c>
      <c r="KCB49" s="375">
        <f t="shared" si="160"/>
        <v>0</v>
      </c>
      <c r="KCC49" s="375">
        <f t="shared" si="160"/>
        <v>0</v>
      </c>
      <c r="KCD49" s="375">
        <f t="shared" si="160"/>
        <v>0</v>
      </c>
      <c r="KCE49" s="375">
        <f t="shared" si="160"/>
        <v>0</v>
      </c>
      <c r="KCF49" s="375">
        <f t="shared" si="160"/>
        <v>0</v>
      </c>
      <c r="KCG49" s="375">
        <f t="shared" si="160"/>
        <v>0</v>
      </c>
      <c r="KCH49" s="375">
        <f t="shared" si="160"/>
        <v>0</v>
      </c>
      <c r="KCI49" s="375">
        <f t="shared" si="160"/>
        <v>0</v>
      </c>
      <c r="KCJ49" s="375">
        <f t="shared" si="160"/>
        <v>0</v>
      </c>
      <c r="KCK49" s="375">
        <f t="shared" si="160"/>
        <v>0</v>
      </c>
      <c r="KCL49" s="375">
        <f t="shared" si="160"/>
        <v>0</v>
      </c>
      <c r="KCM49" s="375">
        <f t="shared" si="160"/>
        <v>0</v>
      </c>
      <c r="KCN49" s="375">
        <f t="shared" si="160"/>
        <v>0</v>
      </c>
      <c r="KCO49" s="375">
        <f t="shared" si="160"/>
        <v>0</v>
      </c>
      <c r="KCP49" s="375">
        <f t="shared" si="160"/>
        <v>0</v>
      </c>
      <c r="KCQ49" s="375">
        <f t="shared" si="160"/>
        <v>0</v>
      </c>
      <c r="KCR49" s="375">
        <f t="shared" si="160"/>
        <v>0</v>
      </c>
      <c r="KCS49" s="375">
        <f t="shared" si="160"/>
        <v>0</v>
      </c>
      <c r="KCT49" s="375">
        <f t="shared" si="160"/>
        <v>0</v>
      </c>
      <c r="KCU49" s="375">
        <f t="shared" si="160"/>
        <v>0</v>
      </c>
      <c r="KCV49" s="375">
        <f t="shared" si="160"/>
        <v>0</v>
      </c>
      <c r="KCW49" s="375">
        <f t="shared" si="160"/>
        <v>0</v>
      </c>
      <c r="KCX49" s="375">
        <f t="shared" si="160"/>
        <v>0</v>
      </c>
      <c r="KCY49" s="375">
        <f t="shared" si="160"/>
        <v>0</v>
      </c>
      <c r="KCZ49" s="375">
        <f t="shared" si="160"/>
        <v>0</v>
      </c>
      <c r="KDA49" s="375">
        <f t="shared" si="160"/>
        <v>0</v>
      </c>
      <c r="KDB49" s="375">
        <f t="shared" si="160"/>
        <v>0</v>
      </c>
      <c r="KDC49" s="375">
        <f t="shared" si="160"/>
        <v>0</v>
      </c>
      <c r="KDD49" s="375">
        <f t="shared" si="160"/>
        <v>0</v>
      </c>
      <c r="KDE49" s="375">
        <f t="shared" si="160"/>
        <v>0</v>
      </c>
      <c r="KDF49" s="375">
        <f t="shared" si="160"/>
        <v>0</v>
      </c>
      <c r="KDG49" s="375">
        <f t="shared" si="160"/>
        <v>0</v>
      </c>
      <c r="KDH49" s="375">
        <f t="shared" si="160"/>
        <v>0</v>
      </c>
      <c r="KDI49" s="375">
        <f t="shared" si="160"/>
        <v>0</v>
      </c>
      <c r="KDJ49" s="375">
        <f t="shared" si="160"/>
        <v>0</v>
      </c>
      <c r="KDK49" s="375">
        <f t="shared" si="160"/>
        <v>0</v>
      </c>
      <c r="KDL49" s="375">
        <f t="shared" si="160"/>
        <v>0</v>
      </c>
      <c r="KDM49" s="375">
        <f t="shared" ref="KDM49:KFX49" si="161">KDM48*0.8</f>
        <v>0</v>
      </c>
      <c r="KDN49" s="375">
        <f t="shared" si="161"/>
        <v>0</v>
      </c>
      <c r="KDO49" s="375">
        <f t="shared" si="161"/>
        <v>0</v>
      </c>
      <c r="KDP49" s="375">
        <f t="shared" si="161"/>
        <v>0</v>
      </c>
      <c r="KDQ49" s="375">
        <f t="shared" si="161"/>
        <v>0</v>
      </c>
      <c r="KDR49" s="375">
        <f t="shared" si="161"/>
        <v>0</v>
      </c>
      <c r="KDS49" s="375">
        <f t="shared" si="161"/>
        <v>0</v>
      </c>
      <c r="KDT49" s="375">
        <f t="shared" si="161"/>
        <v>0</v>
      </c>
      <c r="KDU49" s="375">
        <f t="shared" si="161"/>
        <v>0</v>
      </c>
      <c r="KDV49" s="375">
        <f t="shared" si="161"/>
        <v>0</v>
      </c>
      <c r="KDW49" s="375">
        <f t="shared" si="161"/>
        <v>0</v>
      </c>
      <c r="KDX49" s="375">
        <f t="shared" si="161"/>
        <v>0</v>
      </c>
      <c r="KDY49" s="375">
        <f t="shared" si="161"/>
        <v>0</v>
      </c>
      <c r="KDZ49" s="375">
        <f t="shared" si="161"/>
        <v>0</v>
      </c>
      <c r="KEA49" s="375">
        <f t="shared" si="161"/>
        <v>0</v>
      </c>
      <c r="KEB49" s="375">
        <f t="shared" si="161"/>
        <v>0</v>
      </c>
      <c r="KEC49" s="375">
        <f t="shared" si="161"/>
        <v>0</v>
      </c>
      <c r="KED49" s="375">
        <f t="shared" si="161"/>
        <v>0</v>
      </c>
      <c r="KEE49" s="375">
        <f t="shared" si="161"/>
        <v>0</v>
      </c>
      <c r="KEF49" s="375">
        <f t="shared" si="161"/>
        <v>0</v>
      </c>
      <c r="KEG49" s="375">
        <f t="shared" si="161"/>
        <v>0</v>
      </c>
      <c r="KEH49" s="375">
        <f t="shared" si="161"/>
        <v>0</v>
      </c>
      <c r="KEI49" s="375">
        <f t="shared" si="161"/>
        <v>0</v>
      </c>
      <c r="KEJ49" s="375">
        <f t="shared" si="161"/>
        <v>0</v>
      </c>
      <c r="KEK49" s="375">
        <f t="shared" si="161"/>
        <v>0</v>
      </c>
      <c r="KEL49" s="375">
        <f t="shared" si="161"/>
        <v>0</v>
      </c>
      <c r="KEM49" s="375">
        <f t="shared" si="161"/>
        <v>0</v>
      </c>
      <c r="KEN49" s="375">
        <f t="shared" si="161"/>
        <v>0</v>
      </c>
      <c r="KEO49" s="375">
        <f t="shared" si="161"/>
        <v>0</v>
      </c>
      <c r="KEP49" s="375">
        <f t="shared" si="161"/>
        <v>0</v>
      </c>
      <c r="KEQ49" s="375">
        <f t="shared" si="161"/>
        <v>0</v>
      </c>
      <c r="KER49" s="375">
        <f t="shared" si="161"/>
        <v>0</v>
      </c>
      <c r="KES49" s="375">
        <f t="shared" si="161"/>
        <v>0</v>
      </c>
      <c r="KET49" s="375">
        <f t="shared" si="161"/>
        <v>0</v>
      </c>
      <c r="KEU49" s="375">
        <f t="shared" si="161"/>
        <v>0</v>
      </c>
      <c r="KEV49" s="375">
        <f t="shared" si="161"/>
        <v>0</v>
      </c>
      <c r="KEW49" s="375">
        <f t="shared" si="161"/>
        <v>0</v>
      </c>
      <c r="KEX49" s="375">
        <f t="shared" si="161"/>
        <v>0</v>
      </c>
      <c r="KEY49" s="375">
        <f t="shared" si="161"/>
        <v>0</v>
      </c>
      <c r="KEZ49" s="375">
        <f t="shared" si="161"/>
        <v>0</v>
      </c>
      <c r="KFA49" s="375">
        <f t="shared" si="161"/>
        <v>0</v>
      </c>
      <c r="KFB49" s="375">
        <f t="shared" si="161"/>
        <v>0</v>
      </c>
      <c r="KFC49" s="375">
        <f t="shared" si="161"/>
        <v>0</v>
      </c>
      <c r="KFD49" s="375">
        <f t="shared" si="161"/>
        <v>0</v>
      </c>
      <c r="KFE49" s="375">
        <f t="shared" si="161"/>
        <v>0</v>
      </c>
      <c r="KFF49" s="375">
        <f t="shared" si="161"/>
        <v>0</v>
      </c>
      <c r="KFG49" s="375">
        <f t="shared" si="161"/>
        <v>0</v>
      </c>
      <c r="KFH49" s="375">
        <f t="shared" si="161"/>
        <v>0</v>
      </c>
      <c r="KFI49" s="375">
        <f t="shared" si="161"/>
        <v>0</v>
      </c>
      <c r="KFJ49" s="375">
        <f t="shared" si="161"/>
        <v>0</v>
      </c>
      <c r="KFK49" s="375">
        <f t="shared" si="161"/>
        <v>0</v>
      </c>
      <c r="KFL49" s="375">
        <f t="shared" si="161"/>
        <v>0</v>
      </c>
      <c r="KFM49" s="375">
        <f t="shared" si="161"/>
        <v>0</v>
      </c>
      <c r="KFN49" s="375">
        <f t="shared" si="161"/>
        <v>0</v>
      </c>
      <c r="KFO49" s="375">
        <f t="shared" si="161"/>
        <v>0</v>
      </c>
      <c r="KFP49" s="375">
        <f t="shared" si="161"/>
        <v>0</v>
      </c>
      <c r="KFQ49" s="375">
        <f t="shared" si="161"/>
        <v>0</v>
      </c>
      <c r="KFR49" s="375">
        <f t="shared" si="161"/>
        <v>0</v>
      </c>
      <c r="KFS49" s="375">
        <f t="shared" si="161"/>
        <v>0</v>
      </c>
      <c r="KFT49" s="375">
        <f t="shared" si="161"/>
        <v>0</v>
      </c>
      <c r="KFU49" s="375">
        <f t="shared" si="161"/>
        <v>0</v>
      </c>
      <c r="KFV49" s="375">
        <f t="shared" si="161"/>
        <v>0</v>
      </c>
      <c r="KFW49" s="375">
        <f t="shared" si="161"/>
        <v>0</v>
      </c>
      <c r="KFX49" s="375">
        <f t="shared" si="161"/>
        <v>0</v>
      </c>
      <c r="KFY49" s="375">
        <f t="shared" ref="KFY49:KIJ49" si="162">KFY48*0.8</f>
        <v>0</v>
      </c>
      <c r="KFZ49" s="375">
        <f t="shared" si="162"/>
        <v>0</v>
      </c>
      <c r="KGA49" s="375">
        <f t="shared" si="162"/>
        <v>0</v>
      </c>
      <c r="KGB49" s="375">
        <f t="shared" si="162"/>
        <v>0</v>
      </c>
      <c r="KGC49" s="375">
        <f t="shared" si="162"/>
        <v>0</v>
      </c>
      <c r="KGD49" s="375">
        <f t="shared" si="162"/>
        <v>0</v>
      </c>
      <c r="KGE49" s="375">
        <f t="shared" si="162"/>
        <v>0</v>
      </c>
      <c r="KGF49" s="375">
        <f t="shared" si="162"/>
        <v>0</v>
      </c>
      <c r="KGG49" s="375">
        <f t="shared" si="162"/>
        <v>0</v>
      </c>
      <c r="KGH49" s="375">
        <f t="shared" si="162"/>
        <v>0</v>
      </c>
      <c r="KGI49" s="375">
        <f t="shared" si="162"/>
        <v>0</v>
      </c>
      <c r="KGJ49" s="375">
        <f t="shared" si="162"/>
        <v>0</v>
      </c>
      <c r="KGK49" s="375">
        <f t="shared" si="162"/>
        <v>0</v>
      </c>
      <c r="KGL49" s="375">
        <f t="shared" si="162"/>
        <v>0</v>
      </c>
      <c r="KGM49" s="375">
        <f t="shared" si="162"/>
        <v>0</v>
      </c>
      <c r="KGN49" s="375">
        <f t="shared" si="162"/>
        <v>0</v>
      </c>
      <c r="KGO49" s="375">
        <f t="shared" si="162"/>
        <v>0</v>
      </c>
      <c r="KGP49" s="375">
        <f t="shared" si="162"/>
        <v>0</v>
      </c>
      <c r="KGQ49" s="375">
        <f t="shared" si="162"/>
        <v>0</v>
      </c>
      <c r="KGR49" s="375">
        <f t="shared" si="162"/>
        <v>0</v>
      </c>
      <c r="KGS49" s="375">
        <f t="shared" si="162"/>
        <v>0</v>
      </c>
      <c r="KGT49" s="375">
        <f t="shared" si="162"/>
        <v>0</v>
      </c>
      <c r="KGU49" s="375">
        <f t="shared" si="162"/>
        <v>0</v>
      </c>
      <c r="KGV49" s="375">
        <f t="shared" si="162"/>
        <v>0</v>
      </c>
      <c r="KGW49" s="375">
        <f t="shared" si="162"/>
        <v>0</v>
      </c>
      <c r="KGX49" s="375">
        <f t="shared" si="162"/>
        <v>0</v>
      </c>
      <c r="KGY49" s="375">
        <f t="shared" si="162"/>
        <v>0</v>
      </c>
      <c r="KGZ49" s="375">
        <f t="shared" si="162"/>
        <v>0</v>
      </c>
      <c r="KHA49" s="375">
        <f t="shared" si="162"/>
        <v>0</v>
      </c>
      <c r="KHB49" s="375">
        <f t="shared" si="162"/>
        <v>0</v>
      </c>
      <c r="KHC49" s="375">
        <f t="shared" si="162"/>
        <v>0</v>
      </c>
      <c r="KHD49" s="375">
        <f t="shared" si="162"/>
        <v>0</v>
      </c>
      <c r="KHE49" s="375">
        <f t="shared" si="162"/>
        <v>0</v>
      </c>
      <c r="KHF49" s="375">
        <f t="shared" si="162"/>
        <v>0</v>
      </c>
      <c r="KHG49" s="375">
        <f t="shared" si="162"/>
        <v>0</v>
      </c>
      <c r="KHH49" s="375">
        <f t="shared" si="162"/>
        <v>0</v>
      </c>
      <c r="KHI49" s="375">
        <f t="shared" si="162"/>
        <v>0</v>
      </c>
      <c r="KHJ49" s="375">
        <f t="shared" si="162"/>
        <v>0</v>
      </c>
      <c r="KHK49" s="375">
        <f t="shared" si="162"/>
        <v>0</v>
      </c>
      <c r="KHL49" s="375">
        <f t="shared" si="162"/>
        <v>0</v>
      </c>
      <c r="KHM49" s="375">
        <f t="shared" si="162"/>
        <v>0</v>
      </c>
      <c r="KHN49" s="375">
        <f t="shared" si="162"/>
        <v>0</v>
      </c>
      <c r="KHO49" s="375">
        <f t="shared" si="162"/>
        <v>0</v>
      </c>
      <c r="KHP49" s="375">
        <f t="shared" si="162"/>
        <v>0</v>
      </c>
      <c r="KHQ49" s="375">
        <f t="shared" si="162"/>
        <v>0</v>
      </c>
      <c r="KHR49" s="375">
        <f t="shared" si="162"/>
        <v>0</v>
      </c>
      <c r="KHS49" s="375">
        <f t="shared" si="162"/>
        <v>0</v>
      </c>
      <c r="KHT49" s="375">
        <f t="shared" si="162"/>
        <v>0</v>
      </c>
      <c r="KHU49" s="375">
        <f t="shared" si="162"/>
        <v>0</v>
      </c>
      <c r="KHV49" s="375">
        <f t="shared" si="162"/>
        <v>0</v>
      </c>
      <c r="KHW49" s="375">
        <f t="shared" si="162"/>
        <v>0</v>
      </c>
      <c r="KHX49" s="375">
        <f t="shared" si="162"/>
        <v>0</v>
      </c>
      <c r="KHY49" s="375">
        <f t="shared" si="162"/>
        <v>0</v>
      </c>
      <c r="KHZ49" s="375">
        <f t="shared" si="162"/>
        <v>0</v>
      </c>
      <c r="KIA49" s="375">
        <f t="shared" si="162"/>
        <v>0</v>
      </c>
      <c r="KIB49" s="375">
        <f t="shared" si="162"/>
        <v>0</v>
      </c>
      <c r="KIC49" s="375">
        <f t="shared" si="162"/>
        <v>0</v>
      </c>
      <c r="KID49" s="375">
        <f t="shared" si="162"/>
        <v>0</v>
      </c>
      <c r="KIE49" s="375">
        <f t="shared" si="162"/>
        <v>0</v>
      </c>
      <c r="KIF49" s="375">
        <f t="shared" si="162"/>
        <v>0</v>
      </c>
      <c r="KIG49" s="375">
        <f t="shared" si="162"/>
        <v>0</v>
      </c>
      <c r="KIH49" s="375">
        <f t="shared" si="162"/>
        <v>0</v>
      </c>
      <c r="KII49" s="375">
        <f t="shared" si="162"/>
        <v>0</v>
      </c>
      <c r="KIJ49" s="375">
        <f t="shared" si="162"/>
        <v>0</v>
      </c>
      <c r="KIK49" s="375">
        <f t="shared" ref="KIK49:KKV49" si="163">KIK48*0.8</f>
        <v>0</v>
      </c>
      <c r="KIL49" s="375">
        <f t="shared" si="163"/>
        <v>0</v>
      </c>
      <c r="KIM49" s="375">
        <f t="shared" si="163"/>
        <v>0</v>
      </c>
      <c r="KIN49" s="375">
        <f t="shared" si="163"/>
        <v>0</v>
      </c>
      <c r="KIO49" s="375">
        <f t="shared" si="163"/>
        <v>0</v>
      </c>
      <c r="KIP49" s="375">
        <f t="shared" si="163"/>
        <v>0</v>
      </c>
      <c r="KIQ49" s="375">
        <f t="shared" si="163"/>
        <v>0</v>
      </c>
      <c r="KIR49" s="375">
        <f t="shared" si="163"/>
        <v>0</v>
      </c>
      <c r="KIS49" s="375">
        <f t="shared" si="163"/>
        <v>0</v>
      </c>
      <c r="KIT49" s="375">
        <f t="shared" si="163"/>
        <v>0</v>
      </c>
      <c r="KIU49" s="375">
        <f t="shared" si="163"/>
        <v>0</v>
      </c>
      <c r="KIV49" s="375">
        <f t="shared" si="163"/>
        <v>0</v>
      </c>
      <c r="KIW49" s="375">
        <f t="shared" si="163"/>
        <v>0</v>
      </c>
      <c r="KIX49" s="375">
        <f t="shared" si="163"/>
        <v>0</v>
      </c>
      <c r="KIY49" s="375">
        <f t="shared" si="163"/>
        <v>0</v>
      </c>
      <c r="KIZ49" s="375">
        <f t="shared" si="163"/>
        <v>0</v>
      </c>
      <c r="KJA49" s="375">
        <f t="shared" si="163"/>
        <v>0</v>
      </c>
      <c r="KJB49" s="375">
        <f t="shared" si="163"/>
        <v>0</v>
      </c>
      <c r="KJC49" s="375">
        <f t="shared" si="163"/>
        <v>0</v>
      </c>
      <c r="KJD49" s="375">
        <f t="shared" si="163"/>
        <v>0</v>
      </c>
      <c r="KJE49" s="375">
        <f t="shared" si="163"/>
        <v>0</v>
      </c>
      <c r="KJF49" s="375">
        <f t="shared" si="163"/>
        <v>0</v>
      </c>
      <c r="KJG49" s="375">
        <f t="shared" si="163"/>
        <v>0</v>
      </c>
      <c r="KJH49" s="375">
        <f t="shared" si="163"/>
        <v>0</v>
      </c>
      <c r="KJI49" s="375">
        <f t="shared" si="163"/>
        <v>0</v>
      </c>
      <c r="KJJ49" s="375">
        <f t="shared" si="163"/>
        <v>0</v>
      </c>
      <c r="KJK49" s="375">
        <f t="shared" si="163"/>
        <v>0</v>
      </c>
      <c r="KJL49" s="375">
        <f t="shared" si="163"/>
        <v>0</v>
      </c>
      <c r="KJM49" s="375">
        <f t="shared" si="163"/>
        <v>0</v>
      </c>
      <c r="KJN49" s="375">
        <f t="shared" si="163"/>
        <v>0</v>
      </c>
      <c r="KJO49" s="375">
        <f t="shared" si="163"/>
        <v>0</v>
      </c>
      <c r="KJP49" s="375">
        <f t="shared" si="163"/>
        <v>0</v>
      </c>
      <c r="KJQ49" s="375">
        <f t="shared" si="163"/>
        <v>0</v>
      </c>
      <c r="KJR49" s="375">
        <f t="shared" si="163"/>
        <v>0</v>
      </c>
      <c r="KJS49" s="375">
        <f t="shared" si="163"/>
        <v>0</v>
      </c>
      <c r="KJT49" s="375">
        <f t="shared" si="163"/>
        <v>0</v>
      </c>
      <c r="KJU49" s="375">
        <f t="shared" si="163"/>
        <v>0</v>
      </c>
      <c r="KJV49" s="375">
        <f t="shared" si="163"/>
        <v>0</v>
      </c>
      <c r="KJW49" s="375">
        <f t="shared" si="163"/>
        <v>0</v>
      </c>
      <c r="KJX49" s="375">
        <f t="shared" si="163"/>
        <v>0</v>
      </c>
      <c r="KJY49" s="375">
        <f t="shared" si="163"/>
        <v>0</v>
      </c>
      <c r="KJZ49" s="375">
        <f t="shared" si="163"/>
        <v>0</v>
      </c>
      <c r="KKA49" s="375">
        <f t="shared" si="163"/>
        <v>0</v>
      </c>
      <c r="KKB49" s="375">
        <f t="shared" si="163"/>
        <v>0</v>
      </c>
      <c r="KKC49" s="375">
        <f t="shared" si="163"/>
        <v>0</v>
      </c>
      <c r="KKD49" s="375">
        <f t="shared" si="163"/>
        <v>0</v>
      </c>
      <c r="KKE49" s="375">
        <f t="shared" si="163"/>
        <v>0</v>
      </c>
      <c r="KKF49" s="375">
        <f t="shared" si="163"/>
        <v>0</v>
      </c>
      <c r="KKG49" s="375">
        <f t="shared" si="163"/>
        <v>0</v>
      </c>
      <c r="KKH49" s="375">
        <f t="shared" si="163"/>
        <v>0</v>
      </c>
      <c r="KKI49" s="375">
        <f t="shared" si="163"/>
        <v>0</v>
      </c>
      <c r="KKJ49" s="375">
        <f t="shared" si="163"/>
        <v>0</v>
      </c>
      <c r="KKK49" s="375">
        <f t="shared" si="163"/>
        <v>0</v>
      </c>
      <c r="KKL49" s="375">
        <f t="shared" si="163"/>
        <v>0</v>
      </c>
      <c r="KKM49" s="375">
        <f t="shared" si="163"/>
        <v>0</v>
      </c>
      <c r="KKN49" s="375">
        <f t="shared" si="163"/>
        <v>0</v>
      </c>
      <c r="KKO49" s="375">
        <f t="shared" si="163"/>
        <v>0</v>
      </c>
      <c r="KKP49" s="375">
        <f t="shared" si="163"/>
        <v>0</v>
      </c>
      <c r="KKQ49" s="375">
        <f t="shared" si="163"/>
        <v>0</v>
      </c>
      <c r="KKR49" s="375">
        <f t="shared" si="163"/>
        <v>0</v>
      </c>
      <c r="KKS49" s="375">
        <f t="shared" si="163"/>
        <v>0</v>
      </c>
      <c r="KKT49" s="375">
        <f t="shared" si="163"/>
        <v>0</v>
      </c>
      <c r="KKU49" s="375">
        <f t="shared" si="163"/>
        <v>0</v>
      </c>
      <c r="KKV49" s="375">
        <f t="shared" si="163"/>
        <v>0</v>
      </c>
      <c r="KKW49" s="375">
        <f t="shared" ref="KKW49:KNH49" si="164">KKW48*0.8</f>
        <v>0</v>
      </c>
      <c r="KKX49" s="375">
        <f t="shared" si="164"/>
        <v>0</v>
      </c>
      <c r="KKY49" s="375">
        <f t="shared" si="164"/>
        <v>0</v>
      </c>
      <c r="KKZ49" s="375">
        <f t="shared" si="164"/>
        <v>0</v>
      </c>
      <c r="KLA49" s="375">
        <f t="shared" si="164"/>
        <v>0</v>
      </c>
      <c r="KLB49" s="375">
        <f t="shared" si="164"/>
        <v>0</v>
      </c>
      <c r="KLC49" s="375">
        <f t="shared" si="164"/>
        <v>0</v>
      </c>
      <c r="KLD49" s="375">
        <f t="shared" si="164"/>
        <v>0</v>
      </c>
      <c r="KLE49" s="375">
        <f t="shared" si="164"/>
        <v>0</v>
      </c>
      <c r="KLF49" s="375">
        <f t="shared" si="164"/>
        <v>0</v>
      </c>
      <c r="KLG49" s="375">
        <f t="shared" si="164"/>
        <v>0</v>
      </c>
      <c r="KLH49" s="375">
        <f t="shared" si="164"/>
        <v>0</v>
      </c>
      <c r="KLI49" s="375">
        <f t="shared" si="164"/>
        <v>0</v>
      </c>
      <c r="KLJ49" s="375">
        <f t="shared" si="164"/>
        <v>0</v>
      </c>
      <c r="KLK49" s="375">
        <f t="shared" si="164"/>
        <v>0</v>
      </c>
      <c r="KLL49" s="375">
        <f t="shared" si="164"/>
        <v>0</v>
      </c>
      <c r="KLM49" s="375">
        <f t="shared" si="164"/>
        <v>0</v>
      </c>
      <c r="KLN49" s="375">
        <f t="shared" si="164"/>
        <v>0</v>
      </c>
      <c r="KLO49" s="375">
        <f t="shared" si="164"/>
        <v>0</v>
      </c>
      <c r="KLP49" s="375">
        <f t="shared" si="164"/>
        <v>0</v>
      </c>
      <c r="KLQ49" s="375">
        <f t="shared" si="164"/>
        <v>0</v>
      </c>
      <c r="KLR49" s="375">
        <f t="shared" si="164"/>
        <v>0</v>
      </c>
      <c r="KLS49" s="375">
        <f t="shared" si="164"/>
        <v>0</v>
      </c>
      <c r="KLT49" s="375">
        <f t="shared" si="164"/>
        <v>0</v>
      </c>
      <c r="KLU49" s="375">
        <f t="shared" si="164"/>
        <v>0</v>
      </c>
      <c r="KLV49" s="375">
        <f t="shared" si="164"/>
        <v>0</v>
      </c>
      <c r="KLW49" s="375">
        <f t="shared" si="164"/>
        <v>0</v>
      </c>
      <c r="KLX49" s="375">
        <f t="shared" si="164"/>
        <v>0</v>
      </c>
      <c r="KLY49" s="375">
        <f t="shared" si="164"/>
        <v>0</v>
      </c>
      <c r="KLZ49" s="375">
        <f t="shared" si="164"/>
        <v>0</v>
      </c>
      <c r="KMA49" s="375">
        <f t="shared" si="164"/>
        <v>0</v>
      </c>
      <c r="KMB49" s="375">
        <f t="shared" si="164"/>
        <v>0</v>
      </c>
      <c r="KMC49" s="375">
        <f t="shared" si="164"/>
        <v>0</v>
      </c>
      <c r="KMD49" s="375">
        <f t="shared" si="164"/>
        <v>0</v>
      </c>
      <c r="KME49" s="375">
        <f t="shared" si="164"/>
        <v>0</v>
      </c>
      <c r="KMF49" s="375">
        <f t="shared" si="164"/>
        <v>0</v>
      </c>
      <c r="KMG49" s="375">
        <f t="shared" si="164"/>
        <v>0</v>
      </c>
      <c r="KMH49" s="375">
        <f t="shared" si="164"/>
        <v>0</v>
      </c>
      <c r="KMI49" s="375">
        <f t="shared" si="164"/>
        <v>0</v>
      </c>
      <c r="KMJ49" s="375">
        <f t="shared" si="164"/>
        <v>0</v>
      </c>
      <c r="KMK49" s="375">
        <f t="shared" si="164"/>
        <v>0</v>
      </c>
      <c r="KML49" s="375">
        <f t="shared" si="164"/>
        <v>0</v>
      </c>
      <c r="KMM49" s="375">
        <f t="shared" si="164"/>
        <v>0</v>
      </c>
      <c r="KMN49" s="375">
        <f t="shared" si="164"/>
        <v>0</v>
      </c>
      <c r="KMO49" s="375">
        <f t="shared" si="164"/>
        <v>0</v>
      </c>
      <c r="KMP49" s="375">
        <f t="shared" si="164"/>
        <v>0</v>
      </c>
      <c r="KMQ49" s="375">
        <f t="shared" si="164"/>
        <v>0</v>
      </c>
      <c r="KMR49" s="375">
        <f t="shared" si="164"/>
        <v>0</v>
      </c>
      <c r="KMS49" s="375">
        <f t="shared" si="164"/>
        <v>0</v>
      </c>
      <c r="KMT49" s="375">
        <f t="shared" si="164"/>
        <v>0</v>
      </c>
      <c r="KMU49" s="375">
        <f t="shared" si="164"/>
        <v>0</v>
      </c>
      <c r="KMV49" s="375">
        <f t="shared" si="164"/>
        <v>0</v>
      </c>
      <c r="KMW49" s="375">
        <f t="shared" si="164"/>
        <v>0</v>
      </c>
      <c r="KMX49" s="375">
        <f t="shared" si="164"/>
        <v>0</v>
      </c>
      <c r="KMY49" s="375">
        <f t="shared" si="164"/>
        <v>0</v>
      </c>
      <c r="KMZ49" s="375">
        <f t="shared" si="164"/>
        <v>0</v>
      </c>
      <c r="KNA49" s="375">
        <f t="shared" si="164"/>
        <v>0</v>
      </c>
      <c r="KNB49" s="375">
        <f t="shared" si="164"/>
        <v>0</v>
      </c>
      <c r="KNC49" s="375">
        <f t="shared" si="164"/>
        <v>0</v>
      </c>
      <c r="KND49" s="375">
        <f t="shared" si="164"/>
        <v>0</v>
      </c>
      <c r="KNE49" s="375">
        <f t="shared" si="164"/>
        <v>0</v>
      </c>
      <c r="KNF49" s="375">
        <f t="shared" si="164"/>
        <v>0</v>
      </c>
      <c r="KNG49" s="375">
        <f t="shared" si="164"/>
        <v>0</v>
      </c>
      <c r="KNH49" s="375">
        <f t="shared" si="164"/>
        <v>0</v>
      </c>
      <c r="KNI49" s="375">
        <f t="shared" ref="KNI49:KPT49" si="165">KNI48*0.8</f>
        <v>0</v>
      </c>
      <c r="KNJ49" s="375">
        <f t="shared" si="165"/>
        <v>0</v>
      </c>
      <c r="KNK49" s="375">
        <f t="shared" si="165"/>
        <v>0</v>
      </c>
      <c r="KNL49" s="375">
        <f t="shared" si="165"/>
        <v>0</v>
      </c>
      <c r="KNM49" s="375">
        <f t="shared" si="165"/>
        <v>0</v>
      </c>
      <c r="KNN49" s="375">
        <f t="shared" si="165"/>
        <v>0</v>
      </c>
      <c r="KNO49" s="375">
        <f t="shared" si="165"/>
        <v>0</v>
      </c>
      <c r="KNP49" s="375">
        <f t="shared" si="165"/>
        <v>0</v>
      </c>
      <c r="KNQ49" s="375">
        <f t="shared" si="165"/>
        <v>0</v>
      </c>
      <c r="KNR49" s="375">
        <f t="shared" si="165"/>
        <v>0</v>
      </c>
      <c r="KNS49" s="375">
        <f t="shared" si="165"/>
        <v>0</v>
      </c>
      <c r="KNT49" s="375">
        <f t="shared" si="165"/>
        <v>0</v>
      </c>
      <c r="KNU49" s="375">
        <f t="shared" si="165"/>
        <v>0</v>
      </c>
      <c r="KNV49" s="375">
        <f t="shared" si="165"/>
        <v>0</v>
      </c>
      <c r="KNW49" s="375">
        <f t="shared" si="165"/>
        <v>0</v>
      </c>
      <c r="KNX49" s="375">
        <f t="shared" si="165"/>
        <v>0</v>
      </c>
      <c r="KNY49" s="375">
        <f t="shared" si="165"/>
        <v>0</v>
      </c>
      <c r="KNZ49" s="375">
        <f t="shared" si="165"/>
        <v>0</v>
      </c>
      <c r="KOA49" s="375">
        <f t="shared" si="165"/>
        <v>0</v>
      </c>
      <c r="KOB49" s="375">
        <f t="shared" si="165"/>
        <v>0</v>
      </c>
      <c r="KOC49" s="375">
        <f t="shared" si="165"/>
        <v>0</v>
      </c>
      <c r="KOD49" s="375">
        <f t="shared" si="165"/>
        <v>0</v>
      </c>
      <c r="KOE49" s="375">
        <f t="shared" si="165"/>
        <v>0</v>
      </c>
      <c r="KOF49" s="375">
        <f t="shared" si="165"/>
        <v>0</v>
      </c>
      <c r="KOG49" s="375">
        <f t="shared" si="165"/>
        <v>0</v>
      </c>
      <c r="KOH49" s="375">
        <f t="shared" si="165"/>
        <v>0</v>
      </c>
      <c r="KOI49" s="375">
        <f t="shared" si="165"/>
        <v>0</v>
      </c>
      <c r="KOJ49" s="375">
        <f t="shared" si="165"/>
        <v>0</v>
      </c>
      <c r="KOK49" s="375">
        <f t="shared" si="165"/>
        <v>0</v>
      </c>
      <c r="KOL49" s="375">
        <f t="shared" si="165"/>
        <v>0</v>
      </c>
      <c r="KOM49" s="375">
        <f t="shared" si="165"/>
        <v>0</v>
      </c>
      <c r="KON49" s="375">
        <f t="shared" si="165"/>
        <v>0</v>
      </c>
      <c r="KOO49" s="375">
        <f t="shared" si="165"/>
        <v>0</v>
      </c>
      <c r="KOP49" s="375">
        <f t="shared" si="165"/>
        <v>0</v>
      </c>
      <c r="KOQ49" s="375">
        <f t="shared" si="165"/>
        <v>0</v>
      </c>
      <c r="KOR49" s="375">
        <f t="shared" si="165"/>
        <v>0</v>
      </c>
      <c r="KOS49" s="375">
        <f t="shared" si="165"/>
        <v>0</v>
      </c>
      <c r="KOT49" s="375">
        <f t="shared" si="165"/>
        <v>0</v>
      </c>
      <c r="KOU49" s="375">
        <f t="shared" si="165"/>
        <v>0</v>
      </c>
      <c r="KOV49" s="375">
        <f t="shared" si="165"/>
        <v>0</v>
      </c>
      <c r="KOW49" s="375">
        <f t="shared" si="165"/>
        <v>0</v>
      </c>
      <c r="KOX49" s="375">
        <f t="shared" si="165"/>
        <v>0</v>
      </c>
      <c r="KOY49" s="375">
        <f t="shared" si="165"/>
        <v>0</v>
      </c>
      <c r="KOZ49" s="375">
        <f t="shared" si="165"/>
        <v>0</v>
      </c>
      <c r="KPA49" s="375">
        <f t="shared" si="165"/>
        <v>0</v>
      </c>
      <c r="KPB49" s="375">
        <f t="shared" si="165"/>
        <v>0</v>
      </c>
      <c r="KPC49" s="375">
        <f t="shared" si="165"/>
        <v>0</v>
      </c>
      <c r="KPD49" s="375">
        <f t="shared" si="165"/>
        <v>0</v>
      </c>
      <c r="KPE49" s="375">
        <f t="shared" si="165"/>
        <v>0</v>
      </c>
      <c r="KPF49" s="375">
        <f t="shared" si="165"/>
        <v>0</v>
      </c>
      <c r="KPG49" s="375">
        <f t="shared" si="165"/>
        <v>0</v>
      </c>
      <c r="KPH49" s="375">
        <f t="shared" si="165"/>
        <v>0</v>
      </c>
      <c r="KPI49" s="375">
        <f t="shared" si="165"/>
        <v>0</v>
      </c>
      <c r="KPJ49" s="375">
        <f t="shared" si="165"/>
        <v>0</v>
      </c>
      <c r="KPK49" s="375">
        <f t="shared" si="165"/>
        <v>0</v>
      </c>
      <c r="KPL49" s="375">
        <f t="shared" si="165"/>
        <v>0</v>
      </c>
      <c r="KPM49" s="375">
        <f t="shared" si="165"/>
        <v>0</v>
      </c>
      <c r="KPN49" s="375">
        <f t="shared" si="165"/>
        <v>0</v>
      </c>
      <c r="KPO49" s="375">
        <f t="shared" si="165"/>
        <v>0</v>
      </c>
      <c r="KPP49" s="375">
        <f t="shared" si="165"/>
        <v>0</v>
      </c>
      <c r="KPQ49" s="375">
        <f t="shared" si="165"/>
        <v>0</v>
      </c>
      <c r="KPR49" s="375">
        <f t="shared" si="165"/>
        <v>0</v>
      </c>
      <c r="KPS49" s="375">
        <f t="shared" si="165"/>
        <v>0</v>
      </c>
      <c r="KPT49" s="375">
        <f t="shared" si="165"/>
        <v>0</v>
      </c>
      <c r="KPU49" s="375">
        <f t="shared" ref="KPU49:KSF49" si="166">KPU48*0.8</f>
        <v>0</v>
      </c>
      <c r="KPV49" s="375">
        <f t="shared" si="166"/>
        <v>0</v>
      </c>
      <c r="KPW49" s="375">
        <f t="shared" si="166"/>
        <v>0</v>
      </c>
      <c r="KPX49" s="375">
        <f t="shared" si="166"/>
        <v>0</v>
      </c>
      <c r="KPY49" s="375">
        <f t="shared" si="166"/>
        <v>0</v>
      </c>
      <c r="KPZ49" s="375">
        <f t="shared" si="166"/>
        <v>0</v>
      </c>
      <c r="KQA49" s="375">
        <f t="shared" si="166"/>
        <v>0</v>
      </c>
      <c r="KQB49" s="375">
        <f t="shared" si="166"/>
        <v>0</v>
      </c>
      <c r="KQC49" s="375">
        <f t="shared" si="166"/>
        <v>0</v>
      </c>
      <c r="KQD49" s="375">
        <f t="shared" si="166"/>
        <v>0</v>
      </c>
      <c r="KQE49" s="375">
        <f t="shared" si="166"/>
        <v>0</v>
      </c>
      <c r="KQF49" s="375">
        <f t="shared" si="166"/>
        <v>0</v>
      </c>
      <c r="KQG49" s="375">
        <f t="shared" si="166"/>
        <v>0</v>
      </c>
      <c r="KQH49" s="375">
        <f t="shared" si="166"/>
        <v>0</v>
      </c>
      <c r="KQI49" s="375">
        <f t="shared" si="166"/>
        <v>0</v>
      </c>
      <c r="KQJ49" s="375">
        <f t="shared" si="166"/>
        <v>0</v>
      </c>
      <c r="KQK49" s="375">
        <f t="shared" si="166"/>
        <v>0</v>
      </c>
      <c r="KQL49" s="375">
        <f t="shared" si="166"/>
        <v>0</v>
      </c>
      <c r="KQM49" s="375">
        <f t="shared" si="166"/>
        <v>0</v>
      </c>
      <c r="KQN49" s="375">
        <f t="shared" si="166"/>
        <v>0</v>
      </c>
      <c r="KQO49" s="375">
        <f t="shared" si="166"/>
        <v>0</v>
      </c>
      <c r="KQP49" s="375">
        <f t="shared" si="166"/>
        <v>0</v>
      </c>
      <c r="KQQ49" s="375">
        <f t="shared" si="166"/>
        <v>0</v>
      </c>
      <c r="KQR49" s="375">
        <f t="shared" si="166"/>
        <v>0</v>
      </c>
      <c r="KQS49" s="375">
        <f t="shared" si="166"/>
        <v>0</v>
      </c>
      <c r="KQT49" s="375">
        <f t="shared" si="166"/>
        <v>0</v>
      </c>
      <c r="KQU49" s="375">
        <f t="shared" si="166"/>
        <v>0</v>
      </c>
      <c r="KQV49" s="375">
        <f t="shared" si="166"/>
        <v>0</v>
      </c>
      <c r="KQW49" s="375">
        <f t="shared" si="166"/>
        <v>0</v>
      </c>
      <c r="KQX49" s="375">
        <f t="shared" si="166"/>
        <v>0</v>
      </c>
      <c r="KQY49" s="375">
        <f t="shared" si="166"/>
        <v>0</v>
      </c>
      <c r="KQZ49" s="375">
        <f t="shared" si="166"/>
        <v>0</v>
      </c>
      <c r="KRA49" s="375">
        <f t="shared" si="166"/>
        <v>0</v>
      </c>
      <c r="KRB49" s="375">
        <f t="shared" si="166"/>
        <v>0</v>
      </c>
      <c r="KRC49" s="375">
        <f t="shared" si="166"/>
        <v>0</v>
      </c>
      <c r="KRD49" s="375">
        <f t="shared" si="166"/>
        <v>0</v>
      </c>
      <c r="KRE49" s="375">
        <f t="shared" si="166"/>
        <v>0</v>
      </c>
      <c r="KRF49" s="375">
        <f t="shared" si="166"/>
        <v>0</v>
      </c>
      <c r="KRG49" s="375">
        <f t="shared" si="166"/>
        <v>0</v>
      </c>
      <c r="KRH49" s="375">
        <f t="shared" si="166"/>
        <v>0</v>
      </c>
      <c r="KRI49" s="375">
        <f t="shared" si="166"/>
        <v>0</v>
      </c>
      <c r="KRJ49" s="375">
        <f t="shared" si="166"/>
        <v>0</v>
      </c>
      <c r="KRK49" s="375">
        <f t="shared" si="166"/>
        <v>0</v>
      </c>
      <c r="KRL49" s="375">
        <f t="shared" si="166"/>
        <v>0</v>
      </c>
      <c r="KRM49" s="375">
        <f t="shared" si="166"/>
        <v>0</v>
      </c>
      <c r="KRN49" s="375">
        <f t="shared" si="166"/>
        <v>0</v>
      </c>
      <c r="KRO49" s="375">
        <f t="shared" si="166"/>
        <v>0</v>
      </c>
      <c r="KRP49" s="375">
        <f t="shared" si="166"/>
        <v>0</v>
      </c>
      <c r="KRQ49" s="375">
        <f t="shared" si="166"/>
        <v>0</v>
      </c>
      <c r="KRR49" s="375">
        <f t="shared" si="166"/>
        <v>0</v>
      </c>
      <c r="KRS49" s="375">
        <f t="shared" si="166"/>
        <v>0</v>
      </c>
      <c r="KRT49" s="375">
        <f t="shared" si="166"/>
        <v>0</v>
      </c>
      <c r="KRU49" s="375">
        <f t="shared" si="166"/>
        <v>0</v>
      </c>
      <c r="KRV49" s="375">
        <f t="shared" si="166"/>
        <v>0</v>
      </c>
      <c r="KRW49" s="375">
        <f t="shared" si="166"/>
        <v>0</v>
      </c>
      <c r="KRX49" s="375">
        <f t="shared" si="166"/>
        <v>0</v>
      </c>
      <c r="KRY49" s="375">
        <f t="shared" si="166"/>
        <v>0</v>
      </c>
      <c r="KRZ49" s="375">
        <f t="shared" si="166"/>
        <v>0</v>
      </c>
      <c r="KSA49" s="375">
        <f t="shared" si="166"/>
        <v>0</v>
      </c>
      <c r="KSB49" s="375">
        <f t="shared" si="166"/>
        <v>0</v>
      </c>
      <c r="KSC49" s="375">
        <f t="shared" si="166"/>
        <v>0</v>
      </c>
      <c r="KSD49" s="375">
        <f t="shared" si="166"/>
        <v>0</v>
      </c>
      <c r="KSE49" s="375">
        <f t="shared" si="166"/>
        <v>0</v>
      </c>
      <c r="KSF49" s="375">
        <f t="shared" si="166"/>
        <v>0</v>
      </c>
      <c r="KSG49" s="375">
        <f t="shared" ref="KSG49:KUR49" si="167">KSG48*0.8</f>
        <v>0</v>
      </c>
      <c r="KSH49" s="375">
        <f t="shared" si="167"/>
        <v>0</v>
      </c>
      <c r="KSI49" s="375">
        <f t="shared" si="167"/>
        <v>0</v>
      </c>
      <c r="KSJ49" s="375">
        <f t="shared" si="167"/>
        <v>0</v>
      </c>
      <c r="KSK49" s="375">
        <f t="shared" si="167"/>
        <v>0</v>
      </c>
      <c r="KSL49" s="375">
        <f t="shared" si="167"/>
        <v>0</v>
      </c>
      <c r="KSM49" s="375">
        <f t="shared" si="167"/>
        <v>0</v>
      </c>
      <c r="KSN49" s="375">
        <f t="shared" si="167"/>
        <v>0</v>
      </c>
      <c r="KSO49" s="375">
        <f t="shared" si="167"/>
        <v>0</v>
      </c>
      <c r="KSP49" s="375">
        <f t="shared" si="167"/>
        <v>0</v>
      </c>
      <c r="KSQ49" s="375">
        <f t="shared" si="167"/>
        <v>0</v>
      </c>
      <c r="KSR49" s="375">
        <f t="shared" si="167"/>
        <v>0</v>
      </c>
      <c r="KSS49" s="375">
        <f t="shared" si="167"/>
        <v>0</v>
      </c>
      <c r="KST49" s="375">
        <f t="shared" si="167"/>
        <v>0</v>
      </c>
      <c r="KSU49" s="375">
        <f t="shared" si="167"/>
        <v>0</v>
      </c>
      <c r="KSV49" s="375">
        <f t="shared" si="167"/>
        <v>0</v>
      </c>
      <c r="KSW49" s="375">
        <f t="shared" si="167"/>
        <v>0</v>
      </c>
      <c r="KSX49" s="375">
        <f t="shared" si="167"/>
        <v>0</v>
      </c>
      <c r="KSY49" s="375">
        <f t="shared" si="167"/>
        <v>0</v>
      </c>
      <c r="KSZ49" s="375">
        <f t="shared" si="167"/>
        <v>0</v>
      </c>
      <c r="KTA49" s="375">
        <f t="shared" si="167"/>
        <v>0</v>
      </c>
      <c r="KTB49" s="375">
        <f t="shared" si="167"/>
        <v>0</v>
      </c>
      <c r="KTC49" s="375">
        <f t="shared" si="167"/>
        <v>0</v>
      </c>
      <c r="KTD49" s="375">
        <f t="shared" si="167"/>
        <v>0</v>
      </c>
      <c r="KTE49" s="375">
        <f t="shared" si="167"/>
        <v>0</v>
      </c>
      <c r="KTF49" s="375">
        <f t="shared" si="167"/>
        <v>0</v>
      </c>
      <c r="KTG49" s="375">
        <f t="shared" si="167"/>
        <v>0</v>
      </c>
      <c r="KTH49" s="375">
        <f t="shared" si="167"/>
        <v>0</v>
      </c>
      <c r="KTI49" s="375">
        <f t="shared" si="167"/>
        <v>0</v>
      </c>
      <c r="KTJ49" s="375">
        <f t="shared" si="167"/>
        <v>0</v>
      </c>
      <c r="KTK49" s="375">
        <f t="shared" si="167"/>
        <v>0</v>
      </c>
      <c r="KTL49" s="375">
        <f t="shared" si="167"/>
        <v>0</v>
      </c>
      <c r="KTM49" s="375">
        <f t="shared" si="167"/>
        <v>0</v>
      </c>
      <c r="KTN49" s="375">
        <f t="shared" si="167"/>
        <v>0</v>
      </c>
      <c r="KTO49" s="375">
        <f t="shared" si="167"/>
        <v>0</v>
      </c>
      <c r="KTP49" s="375">
        <f t="shared" si="167"/>
        <v>0</v>
      </c>
      <c r="KTQ49" s="375">
        <f t="shared" si="167"/>
        <v>0</v>
      </c>
      <c r="KTR49" s="375">
        <f t="shared" si="167"/>
        <v>0</v>
      </c>
      <c r="KTS49" s="375">
        <f t="shared" si="167"/>
        <v>0</v>
      </c>
      <c r="KTT49" s="375">
        <f t="shared" si="167"/>
        <v>0</v>
      </c>
      <c r="KTU49" s="375">
        <f t="shared" si="167"/>
        <v>0</v>
      </c>
      <c r="KTV49" s="375">
        <f t="shared" si="167"/>
        <v>0</v>
      </c>
      <c r="KTW49" s="375">
        <f t="shared" si="167"/>
        <v>0</v>
      </c>
      <c r="KTX49" s="375">
        <f t="shared" si="167"/>
        <v>0</v>
      </c>
      <c r="KTY49" s="375">
        <f t="shared" si="167"/>
        <v>0</v>
      </c>
      <c r="KTZ49" s="375">
        <f t="shared" si="167"/>
        <v>0</v>
      </c>
      <c r="KUA49" s="375">
        <f t="shared" si="167"/>
        <v>0</v>
      </c>
      <c r="KUB49" s="375">
        <f t="shared" si="167"/>
        <v>0</v>
      </c>
      <c r="KUC49" s="375">
        <f t="shared" si="167"/>
        <v>0</v>
      </c>
      <c r="KUD49" s="375">
        <f t="shared" si="167"/>
        <v>0</v>
      </c>
      <c r="KUE49" s="375">
        <f t="shared" si="167"/>
        <v>0</v>
      </c>
      <c r="KUF49" s="375">
        <f t="shared" si="167"/>
        <v>0</v>
      </c>
      <c r="KUG49" s="375">
        <f t="shared" si="167"/>
        <v>0</v>
      </c>
      <c r="KUH49" s="375">
        <f t="shared" si="167"/>
        <v>0</v>
      </c>
      <c r="KUI49" s="375">
        <f t="shared" si="167"/>
        <v>0</v>
      </c>
      <c r="KUJ49" s="375">
        <f t="shared" si="167"/>
        <v>0</v>
      </c>
      <c r="KUK49" s="375">
        <f t="shared" si="167"/>
        <v>0</v>
      </c>
      <c r="KUL49" s="375">
        <f t="shared" si="167"/>
        <v>0</v>
      </c>
      <c r="KUM49" s="375">
        <f t="shared" si="167"/>
        <v>0</v>
      </c>
      <c r="KUN49" s="375">
        <f t="shared" si="167"/>
        <v>0</v>
      </c>
      <c r="KUO49" s="375">
        <f t="shared" si="167"/>
        <v>0</v>
      </c>
      <c r="KUP49" s="375">
        <f t="shared" si="167"/>
        <v>0</v>
      </c>
      <c r="KUQ49" s="375">
        <f t="shared" si="167"/>
        <v>0</v>
      </c>
      <c r="KUR49" s="375">
        <f t="shared" si="167"/>
        <v>0</v>
      </c>
      <c r="KUS49" s="375">
        <f t="shared" ref="KUS49:KXD49" si="168">KUS48*0.8</f>
        <v>0</v>
      </c>
      <c r="KUT49" s="375">
        <f t="shared" si="168"/>
        <v>0</v>
      </c>
      <c r="KUU49" s="375">
        <f t="shared" si="168"/>
        <v>0</v>
      </c>
      <c r="KUV49" s="375">
        <f t="shared" si="168"/>
        <v>0</v>
      </c>
      <c r="KUW49" s="375">
        <f t="shared" si="168"/>
        <v>0</v>
      </c>
      <c r="KUX49" s="375">
        <f t="shared" si="168"/>
        <v>0</v>
      </c>
      <c r="KUY49" s="375">
        <f t="shared" si="168"/>
        <v>0</v>
      </c>
      <c r="KUZ49" s="375">
        <f t="shared" si="168"/>
        <v>0</v>
      </c>
      <c r="KVA49" s="375">
        <f t="shared" si="168"/>
        <v>0</v>
      </c>
      <c r="KVB49" s="375">
        <f t="shared" si="168"/>
        <v>0</v>
      </c>
      <c r="KVC49" s="375">
        <f t="shared" si="168"/>
        <v>0</v>
      </c>
      <c r="KVD49" s="375">
        <f t="shared" si="168"/>
        <v>0</v>
      </c>
      <c r="KVE49" s="375">
        <f t="shared" si="168"/>
        <v>0</v>
      </c>
      <c r="KVF49" s="375">
        <f t="shared" si="168"/>
        <v>0</v>
      </c>
      <c r="KVG49" s="375">
        <f t="shared" si="168"/>
        <v>0</v>
      </c>
      <c r="KVH49" s="375">
        <f t="shared" si="168"/>
        <v>0</v>
      </c>
      <c r="KVI49" s="375">
        <f t="shared" si="168"/>
        <v>0</v>
      </c>
      <c r="KVJ49" s="375">
        <f t="shared" si="168"/>
        <v>0</v>
      </c>
      <c r="KVK49" s="375">
        <f t="shared" si="168"/>
        <v>0</v>
      </c>
      <c r="KVL49" s="375">
        <f t="shared" si="168"/>
        <v>0</v>
      </c>
      <c r="KVM49" s="375">
        <f t="shared" si="168"/>
        <v>0</v>
      </c>
      <c r="KVN49" s="375">
        <f t="shared" si="168"/>
        <v>0</v>
      </c>
      <c r="KVO49" s="375">
        <f t="shared" si="168"/>
        <v>0</v>
      </c>
      <c r="KVP49" s="375">
        <f t="shared" si="168"/>
        <v>0</v>
      </c>
      <c r="KVQ49" s="375">
        <f t="shared" si="168"/>
        <v>0</v>
      </c>
      <c r="KVR49" s="375">
        <f t="shared" si="168"/>
        <v>0</v>
      </c>
      <c r="KVS49" s="375">
        <f t="shared" si="168"/>
        <v>0</v>
      </c>
      <c r="KVT49" s="375">
        <f t="shared" si="168"/>
        <v>0</v>
      </c>
      <c r="KVU49" s="375">
        <f t="shared" si="168"/>
        <v>0</v>
      </c>
      <c r="KVV49" s="375">
        <f t="shared" si="168"/>
        <v>0</v>
      </c>
      <c r="KVW49" s="375">
        <f t="shared" si="168"/>
        <v>0</v>
      </c>
      <c r="KVX49" s="375">
        <f t="shared" si="168"/>
        <v>0</v>
      </c>
      <c r="KVY49" s="375">
        <f t="shared" si="168"/>
        <v>0</v>
      </c>
      <c r="KVZ49" s="375">
        <f t="shared" si="168"/>
        <v>0</v>
      </c>
      <c r="KWA49" s="375">
        <f t="shared" si="168"/>
        <v>0</v>
      </c>
      <c r="KWB49" s="375">
        <f t="shared" si="168"/>
        <v>0</v>
      </c>
      <c r="KWC49" s="375">
        <f t="shared" si="168"/>
        <v>0</v>
      </c>
      <c r="KWD49" s="375">
        <f t="shared" si="168"/>
        <v>0</v>
      </c>
      <c r="KWE49" s="375">
        <f t="shared" si="168"/>
        <v>0</v>
      </c>
      <c r="KWF49" s="375">
        <f t="shared" si="168"/>
        <v>0</v>
      </c>
      <c r="KWG49" s="375">
        <f t="shared" si="168"/>
        <v>0</v>
      </c>
      <c r="KWH49" s="375">
        <f t="shared" si="168"/>
        <v>0</v>
      </c>
      <c r="KWI49" s="375">
        <f t="shared" si="168"/>
        <v>0</v>
      </c>
      <c r="KWJ49" s="375">
        <f t="shared" si="168"/>
        <v>0</v>
      </c>
      <c r="KWK49" s="375">
        <f t="shared" si="168"/>
        <v>0</v>
      </c>
      <c r="KWL49" s="375">
        <f t="shared" si="168"/>
        <v>0</v>
      </c>
      <c r="KWM49" s="375">
        <f t="shared" si="168"/>
        <v>0</v>
      </c>
      <c r="KWN49" s="375">
        <f t="shared" si="168"/>
        <v>0</v>
      </c>
      <c r="KWO49" s="375">
        <f t="shared" si="168"/>
        <v>0</v>
      </c>
      <c r="KWP49" s="375">
        <f t="shared" si="168"/>
        <v>0</v>
      </c>
      <c r="KWQ49" s="375">
        <f t="shared" si="168"/>
        <v>0</v>
      </c>
      <c r="KWR49" s="375">
        <f t="shared" si="168"/>
        <v>0</v>
      </c>
      <c r="KWS49" s="375">
        <f t="shared" si="168"/>
        <v>0</v>
      </c>
      <c r="KWT49" s="375">
        <f t="shared" si="168"/>
        <v>0</v>
      </c>
      <c r="KWU49" s="375">
        <f t="shared" si="168"/>
        <v>0</v>
      </c>
      <c r="KWV49" s="375">
        <f t="shared" si="168"/>
        <v>0</v>
      </c>
      <c r="KWW49" s="375">
        <f t="shared" si="168"/>
        <v>0</v>
      </c>
      <c r="KWX49" s="375">
        <f t="shared" si="168"/>
        <v>0</v>
      </c>
      <c r="KWY49" s="375">
        <f t="shared" si="168"/>
        <v>0</v>
      </c>
      <c r="KWZ49" s="375">
        <f t="shared" si="168"/>
        <v>0</v>
      </c>
      <c r="KXA49" s="375">
        <f t="shared" si="168"/>
        <v>0</v>
      </c>
      <c r="KXB49" s="375">
        <f t="shared" si="168"/>
        <v>0</v>
      </c>
      <c r="KXC49" s="375">
        <f t="shared" si="168"/>
        <v>0</v>
      </c>
      <c r="KXD49" s="375">
        <f t="shared" si="168"/>
        <v>0</v>
      </c>
      <c r="KXE49" s="375">
        <f t="shared" ref="KXE49:KZP49" si="169">KXE48*0.8</f>
        <v>0</v>
      </c>
      <c r="KXF49" s="375">
        <f t="shared" si="169"/>
        <v>0</v>
      </c>
      <c r="KXG49" s="375">
        <f t="shared" si="169"/>
        <v>0</v>
      </c>
      <c r="KXH49" s="375">
        <f t="shared" si="169"/>
        <v>0</v>
      </c>
      <c r="KXI49" s="375">
        <f t="shared" si="169"/>
        <v>0</v>
      </c>
      <c r="KXJ49" s="375">
        <f t="shared" si="169"/>
        <v>0</v>
      </c>
      <c r="KXK49" s="375">
        <f t="shared" si="169"/>
        <v>0</v>
      </c>
      <c r="KXL49" s="375">
        <f t="shared" si="169"/>
        <v>0</v>
      </c>
      <c r="KXM49" s="375">
        <f t="shared" si="169"/>
        <v>0</v>
      </c>
      <c r="KXN49" s="375">
        <f t="shared" si="169"/>
        <v>0</v>
      </c>
      <c r="KXO49" s="375">
        <f t="shared" si="169"/>
        <v>0</v>
      </c>
      <c r="KXP49" s="375">
        <f t="shared" si="169"/>
        <v>0</v>
      </c>
      <c r="KXQ49" s="375">
        <f t="shared" si="169"/>
        <v>0</v>
      </c>
      <c r="KXR49" s="375">
        <f t="shared" si="169"/>
        <v>0</v>
      </c>
      <c r="KXS49" s="375">
        <f t="shared" si="169"/>
        <v>0</v>
      </c>
      <c r="KXT49" s="375">
        <f t="shared" si="169"/>
        <v>0</v>
      </c>
      <c r="KXU49" s="375">
        <f t="shared" si="169"/>
        <v>0</v>
      </c>
      <c r="KXV49" s="375">
        <f t="shared" si="169"/>
        <v>0</v>
      </c>
      <c r="KXW49" s="375">
        <f t="shared" si="169"/>
        <v>0</v>
      </c>
      <c r="KXX49" s="375">
        <f t="shared" si="169"/>
        <v>0</v>
      </c>
      <c r="KXY49" s="375">
        <f t="shared" si="169"/>
        <v>0</v>
      </c>
      <c r="KXZ49" s="375">
        <f t="shared" si="169"/>
        <v>0</v>
      </c>
      <c r="KYA49" s="375">
        <f t="shared" si="169"/>
        <v>0</v>
      </c>
      <c r="KYB49" s="375">
        <f t="shared" si="169"/>
        <v>0</v>
      </c>
      <c r="KYC49" s="375">
        <f t="shared" si="169"/>
        <v>0</v>
      </c>
      <c r="KYD49" s="375">
        <f t="shared" si="169"/>
        <v>0</v>
      </c>
      <c r="KYE49" s="375">
        <f t="shared" si="169"/>
        <v>0</v>
      </c>
      <c r="KYF49" s="375">
        <f t="shared" si="169"/>
        <v>0</v>
      </c>
      <c r="KYG49" s="375">
        <f t="shared" si="169"/>
        <v>0</v>
      </c>
      <c r="KYH49" s="375">
        <f t="shared" si="169"/>
        <v>0</v>
      </c>
      <c r="KYI49" s="375">
        <f t="shared" si="169"/>
        <v>0</v>
      </c>
      <c r="KYJ49" s="375">
        <f t="shared" si="169"/>
        <v>0</v>
      </c>
      <c r="KYK49" s="375">
        <f t="shared" si="169"/>
        <v>0</v>
      </c>
      <c r="KYL49" s="375">
        <f t="shared" si="169"/>
        <v>0</v>
      </c>
      <c r="KYM49" s="375">
        <f t="shared" si="169"/>
        <v>0</v>
      </c>
      <c r="KYN49" s="375">
        <f t="shared" si="169"/>
        <v>0</v>
      </c>
      <c r="KYO49" s="375">
        <f t="shared" si="169"/>
        <v>0</v>
      </c>
      <c r="KYP49" s="375">
        <f t="shared" si="169"/>
        <v>0</v>
      </c>
      <c r="KYQ49" s="375">
        <f t="shared" si="169"/>
        <v>0</v>
      </c>
      <c r="KYR49" s="375">
        <f t="shared" si="169"/>
        <v>0</v>
      </c>
      <c r="KYS49" s="375">
        <f t="shared" si="169"/>
        <v>0</v>
      </c>
      <c r="KYT49" s="375">
        <f t="shared" si="169"/>
        <v>0</v>
      </c>
      <c r="KYU49" s="375">
        <f t="shared" si="169"/>
        <v>0</v>
      </c>
      <c r="KYV49" s="375">
        <f t="shared" si="169"/>
        <v>0</v>
      </c>
      <c r="KYW49" s="375">
        <f t="shared" si="169"/>
        <v>0</v>
      </c>
      <c r="KYX49" s="375">
        <f t="shared" si="169"/>
        <v>0</v>
      </c>
      <c r="KYY49" s="375">
        <f t="shared" si="169"/>
        <v>0</v>
      </c>
      <c r="KYZ49" s="375">
        <f t="shared" si="169"/>
        <v>0</v>
      </c>
      <c r="KZA49" s="375">
        <f t="shared" si="169"/>
        <v>0</v>
      </c>
      <c r="KZB49" s="375">
        <f t="shared" si="169"/>
        <v>0</v>
      </c>
      <c r="KZC49" s="375">
        <f t="shared" si="169"/>
        <v>0</v>
      </c>
      <c r="KZD49" s="375">
        <f t="shared" si="169"/>
        <v>0</v>
      </c>
      <c r="KZE49" s="375">
        <f t="shared" si="169"/>
        <v>0</v>
      </c>
      <c r="KZF49" s="375">
        <f t="shared" si="169"/>
        <v>0</v>
      </c>
      <c r="KZG49" s="375">
        <f t="shared" si="169"/>
        <v>0</v>
      </c>
      <c r="KZH49" s="375">
        <f t="shared" si="169"/>
        <v>0</v>
      </c>
      <c r="KZI49" s="375">
        <f t="shared" si="169"/>
        <v>0</v>
      </c>
      <c r="KZJ49" s="375">
        <f t="shared" si="169"/>
        <v>0</v>
      </c>
      <c r="KZK49" s="375">
        <f t="shared" si="169"/>
        <v>0</v>
      </c>
      <c r="KZL49" s="375">
        <f t="shared" si="169"/>
        <v>0</v>
      </c>
      <c r="KZM49" s="375">
        <f t="shared" si="169"/>
        <v>0</v>
      </c>
      <c r="KZN49" s="375">
        <f t="shared" si="169"/>
        <v>0</v>
      </c>
      <c r="KZO49" s="375">
        <f t="shared" si="169"/>
        <v>0</v>
      </c>
      <c r="KZP49" s="375">
        <f t="shared" si="169"/>
        <v>0</v>
      </c>
      <c r="KZQ49" s="375">
        <f t="shared" ref="KZQ49:LCB49" si="170">KZQ48*0.8</f>
        <v>0</v>
      </c>
      <c r="KZR49" s="375">
        <f t="shared" si="170"/>
        <v>0</v>
      </c>
      <c r="KZS49" s="375">
        <f t="shared" si="170"/>
        <v>0</v>
      </c>
      <c r="KZT49" s="375">
        <f t="shared" si="170"/>
        <v>0</v>
      </c>
      <c r="KZU49" s="375">
        <f t="shared" si="170"/>
        <v>0</v>
      </c>
      <c r="KZV49" s="375">
        <f t="shared" si="170"/>
        <v>0</v>
      </c>
      <c r="KZW49" s="375">
        <f t="shared" si="170"/>
        <v>0</v>
      </c>
      <c r="KZX49" s="375">
        <f t="shared" si="170"/>
        <v>0</v>
      </c>
      <c r="KZY49" s="375">
        <f t="shared" si="170"/>
        <v>0</v>
      </c>
      <c r="KZZ49" s="375">
        <f t="shared" si="170"/>
        <v>0</v>
      </c>
      <c r="LAA49" s="375">
        <f t="shared" si="170"/>
        <v>0</v>
      </c>
      <c r="LAB49" s="375">
        <f t="shared" si="170"/>
        <v>0</v>
      </c>
      <c r="LAC49" s="375">
        <f t="shared" si="170"/>
        <v>0</v>
      </c>
      <c r="LAD49" s="375">
        <f t="shared" si="170"/>
        <v>0</v>
      </c>
      <c r="LAE49" s="375">
        <f t="shared" si="170"/>
        <v>0</v>
      </c>
      <c r="LAF49" s="375">
        <f t="shared" si="170"/>
        <v>0</v>
      </c>
      <c r="LAG49" s="375">
        <f t="shared" si="170"/>
        <v>0</v>
      </c>
      <c r="LAH49" s="375">
        <f t="shared" si="170"/>
        <v>0</v>
      </c>
      <c r="LAI49" s="375">
        <f t="shared" si="170"/>
        <v>0</v>
      </c>
      <c r="LAJ49" s="375">
        <f t="shared" si="170"/>
        <v>0</v>
      </c>
      <c r="LAK49" s="375">
        <f t="shared" si="170"/>
        <v>0</v>
      </c>
      <c r="LAL49" s="375">
        <f t="shared" si="170"/>
        <v>0</v>
      </c>
      <c r="LAM49" s="375">
        <f t="shared" si="170"/>
        <v>0</v>
      </c>
      <c r="LAN49" s="375">
        <f t="shared" si="170"/>
        <v>0</v>
      </c>
      <c r="LAO49" s="375">
        <f t="shared" si="170"/>
        <v>0</v>
      </c>
      <c r="LAP49" s="375">
        <f t="shared" si="170"/>
        <v>0</v>
      </c>
      <c r="LAQ49" s="375">
        <f t="shared" si="170"/>
        <v>0</v>
      </c>
      <c r="LAR49" s="375">
        <f t="shared" si="170"/>
        <v>0</v>
      </c>
      <c r="LAS49" s="375">
        <f t="shared" si="170"/>
        <v>0</v>
      </c>
      <c r="LAT49" s="375">
        <f t="shared" si="170"/>
        <v>0</v>
      </c>
      <c r="LAU49" s="375">
        <f t="shared" si="170"/>
        <v>0</v>
      </c>
      <c r="LAV49" s="375">
        <f t="shared" si="170"/>
        <v>0</v>
      </c>
      <c r="LAW49" s="375">
        <f t="shared" si="170"/>
        <v>0</v>
      </c>
      <c r="LAX49" s="375">
        <f t="shared" si="170"/>
        <v>0</v>
      </c>
      <c r="LAY49" s="375">
        <f t="shared" si="170"/>
        <v>0</v>
      </c>
      <c r="LAZ49" s="375">
        <f t="shared" si="170"/>
        <v>0</v>
      </c>
      <c r="LBA49" s="375">
        <f t="shared" si="170"/>
        <v>0</v>
      </c>
      <c r="LBB49" s="375">
        <f t="shared" si="170"/>
        <v>0</v>
      </c>
      <c r="LBC49" s="375">
        <f t="shared" si="170"/>
        <v>0</v>
      </c>
      <c r="LBD49" s="375">
        <f t="shared" si="170"/>
        <v>0</v>
      </c>
      <c r="LBE49" s="375">
        <f t="shared" si="170"/>
        <v>0</v>
      </c>
      <c r="LBF49" s="375">
        <f t="shared" si="170"/>
        <v>0</v>
      </c>
      <c r="LBG49" s="375">
        <f t="shared" si="170"/>
        <v>0</v>
      </c>
      <c r="LBH49" s="375">
        <f t="shared" si="170"/>
        <v>0</v>
      </c>
      <c r="LBI49" s="375">
        <f t="shared" si="170"/>
        <v>0</v>
      </c>
      <c r="LBJ49" s="375">
        <f t="shared" si="170"/>
        <v>0</v>
      </c>
      <c r="LBK49" s="375">
        <f t="shared" si="170"/>
        <v>0</v>
      </c>
      <c r="LBL49" s="375">
        <f t="shared" si="170"/>
        <v>0</v>
      </c>
      <c r="LBM49" s="375">
        <f t="shared" si="170"/>
        <v>0</v>
      </c>
      <c r="LBN49" s="375">
        <f t="shared" si="170"/>
        <v>0</v>
      </c>
      <c r="LBO49" s="375">
        <f t="shared" si="170"/>
        <v>0</v>
      </c>
      <c r="LBP49" s="375">
        <f t="shared" si="170"/>
        <v>0</v>
      </c>
      <c r="LBQ49" s="375">
        <f t="shared" si="170"/>
        <v>0</v>
      </c>
      <c r="LBR49" s="375">
        <f t="shared" si="170"/>
        <v>0</v>
      </c>
      <c r="LBS49" s="375">
        <f t="shared" si="170"/>
        <v>0</v>
      </c>
      <c r="LBT49" s="375">
        <f t="shared" si="170"/>
        <v>0</v>
      </c>
      <c r="LBU49" s="375">
        <f t="shared" si="170"/>
        <v>0</v>
      </c>
      <c r="LBV49" s="375">
        <f t="shared" si="170"/>
        <v>0</v>
      </c>
      <c r="LBW49" s="375">
        <f t="shared" si="170"/>
        <v>0</v>
      </c>
      <c r="LBX49" s="375">
        <f t="shared" si="170"/>
        <v>0</v>
      </c>
      <c r="LBY49" s="375">
        <f t="shared" si="170"/>
        <v>0</v>
      </c>
      <c r="LBZ49" s="375">
        <f t="shared" si="170"/>
        <v>0</v>
      </c>
      <c r="LCA49" s="375">
        <f t="shared" si="170"/>
        <v>0</v>
      </c>
      <c r="LCB49" s="375">
        <f t="shared" si="170"/>
        <v>0</v>
      </c>
      <c r="LCC49" s="375">
        <f t="shared" ref="LCC49:LEN49" si="171">LCC48*0.8</f>
        <v>0</v>
      </c>
      <c r="LCD49" s="375">
        <f t="shared" si="171"/>
        <v>0</v>
      </c>
      <c r="LCE49" s="375">
        <f t="shared" si="171"/>
        <v>0</v>
      </c>
      <c r="LCF49" s="375">
        <f t="shared" si="171"/>
        <v>0</v>
      </c>
      <c r="LCG49" s="375">
        <f t="shared" si="171"/>
        <v>0</v>
      </c>
      <c r="LCH49" s="375">
        <f t="shared" si="171"/>
        <v>0</v>
      </c>
      <c r="LCI49" s="375">
        <f t="shared" si="171"/>
        <v>0</v>
      </c>
      <c r="LCJ49" s="375">
        <f t="shared" si="171"/>
        <v>0</v>
      </c>
      <c r="LCK49" s="375">
        <f t="shared" si="171"/>
        <v>0</v>
      </c>
      <c r="LCL49" s="375">
        <f t="shared" si="171"/>
        <v>0</v>
      </c>
      <c r="LCM49" s="375">
        <f t="shared" si="171"/>
        <v>0</v>
      </c>
      <c r="LCN49" s="375">
        <f t="shared" si="171"/>
        <v>0</v>
      </c>
      <c r="LCO49" s="375">
        <f t="shared" si="171"/>
        <v>0</v>
      </c>
      <c r="LCP49" s="375">
        <f t="shared" si="171"/>
        <v>0</v>
      </c>
      <c r="LCQ49" s="375">
        <f t="shared" si="171"/>
        <v>0</v>
      </c>
      <c r="LCR49" s="375">
        <f t="shared" si="171"/>
        <v>0</v>
      </c>
      <c r="LCS49" s="375">
        <f t="shared" si="171"/>
        <v>0</v>
      </c>
      <c r="LCT49" s="375">
        <f t="shared" si="171"/>
        <v>0</v>
      </c>
      <c r="LCU49" s="375">
        <f t="shared" si="171"/>
        <v>0</v>
      </c>
      <c r="LCV49" s="375">
        <f t="shared" si="171"/>
        <v>0</v>
      </c>
      <c r="LCW49" s="375">
        <f t="shared" si="171"/>
        <v>0</v>
      </c>
      <c r="LCX49" s="375">
        <f t="shared" si="171"/>
        <v>0</v>
      </c>
      <c r="LCY49" s="375">
        <f t="shared" si="171"/>
        <v>0</v>
      </c>
      <c r="LCZ49" s="375">
        <f t="shared" si="171"/>
        <v>0</v>
      </c>
      <c r="LDA49" s="375">
        <f t="shared" si="171"/>
        <v>0</v>
      </c>
      <c r="LDB49" s="375">
        <f t="shared" si="171"/>
        <v>0</v>
      </c>
      <c r="LDC49" s="375">
        <f t="shared" si="171"/>
        <v>0</v>
      </c>
      <c r="LDD49" s="375">
        <f t="shared" si="171"/>
        <v>0</v>
      </c>
      <c r="LDE49" s="375">
        <f t="shared" si="171"/>
        <v>0</v>
      </c>
      <c r="LDF49" s="375">
        <f t="shared" si="171"/>
        <v>0</v>
      </c>
      <c r="LDG49" s="375">
        <f t="shared" si="171"/>
        <v>0</v>
      </c>
      <c r="LDH49" s="375">
        <f t="shared" si="171"/>
        <v>0</v>
      </c>
      <c r="LDI49" s="375">
        <f t="shared" si="171"/>
        <v>0</v>
      </c>
      <c r="LDJ49" s="375">
        <f t="shared" si="171"/>
        <v>0</v>
      </c>
      <c r="LDK49" s="375">
        <f t="shared" si="171"/>
        <v>0</v>
      </c>
      <c r="LDL49" s="375">
        <f t="shared" si="171"/>
        <v>0</v>
      </c>
      <c r="LDM49" s="375">
        <f t="shared" si="171"/>
        <v>0</v>
      </c>
      <c r="LDN49" s="375">
        <f t="shared" si="171"/>
        <v>0</v>
      </c>
      <c r="LDO49" s="375">
        <f t="shared" si="171"/>
        <v>0</v>
      </c>
      <c r="LDP49" s="375">
        <f t="shared" si="171"/>
        <v>0</v>
      </c>
      <c r="LDQ49" s="375">
        <f t="shared" si="171"/>
        <v>0</v>
      </c>
      <c r="LDR49" s="375">
        <f t="shared" si="171"/>
        <v>0</v>
      </c>
      <c r="LDS49" s="375">
        <f t="shared" si="171"/>
        <v>0</v>
      </c>
      <c r="LDT49" s="375">
        <f t="shared" si="171"/>
        <v>0</v>
      </c>
      <c r="LDU49" s="375">
        <f t="shared" si="171"/>
        <v>0</v>
      </c>
      <c r="LDV49" s="375">
        <f t="shared" si="171"/>
        <v>0</v>
      </c>
      <c r="LDW49" s="375">
        <f t="shared" si="171"/>
        <v>0</v>
      </c>
      <c r="LDX49" s="375">
        <f t="shared" si="171"/>
        <v>0</v>
      </c>
      <c r="LDY49" s="375">
        <f t="shared" si="171"/>
        <v>0</v>
      </c>
      <c r="LDZ49" s="375">
        <f t="shared" si="171"/>
        <v>0</v>
      </c>
      <c r="LEA49" s="375">
        <f t="shared" si="171"/>
        <v>0</v>
      </c>
      <c r="LEB49" s="375">
        <f t="shared" si="171"/>
        <v>0</v>
      </c>
      <c r="LEC49" s="375">
        <f t="shared" si="171"/>
        <v>0</v>
      </c>
      <c r="LED49" s="375">
        <f t="shared" si="171"/>
        <v>0</v>
      </c>
      <c r="LEE49" s="375">
        <f t="shared" si="171"/>
        <v>0</v>
      </c>
      <c r="LEF49" s="375">
        <f t="shared" si="171"/>
        <v>0</v>
      </c>
      <c r="LEG49" s="375">
        <f t="shared" si="171"/>
        <v>0</v>
      </c>
      <c r="LEH49" s="375">
        <f t="shared" si="171"/>
        <v>0</v>
      </c>
      <c r="LEI49" s="375">
        <f t="shared" si="171"/>
        <v>0</v>
      </c>
      <c r="LEJ49" s="375">
        <f t="shared" si="171"/>
        <v>0</v>
      </c>
      <c r="LEK49" s="375">
        <f t="shared" si="171"/>
        <v>0</v>
      </c>
      <c r="LEL49" s="375">
        <f t="shared" si="171"/>
        <v>0</v>
      </c>
      <c r="LEM49" s="375">
        <f t="shared" si="171"/>
        <v>0</v>
      </c>
      <c r="LEN49" s="375">
        <f t="shared" si="171"/>
        <v>0</v>
      </c>
      <c r="LEO49" s="375">
        <f t="shared" ref="LEO49:LGZ49" si="172">LEO48*0.8</f>
        <v>0</v>
      </c>
      <c r="LEP49" s="375">
        <f t="shared" si="172"/>
        <v>0</v>
      </c>
      <c r="LEQ49" s="375">
        <f t="shared" si="172"/>
        <v>0</v>
      </c>
      <c r="LER49" s="375">
        <f t="shared" si="172"/>
        <v>0</v>
      </c>
      <c r="LES49" s="375">
        <f t="shared" si="172"/>
        <v>0</v>
      </c>
      <c r="LET49" s="375">
        <f t="shared" si="172"/>
        <v>0</v>
      </c>
      <c r="LEU49" s="375">
        <f t="shared" si="172"/>
        <v>0</v>
      </c>
      <c r="LEV49" s="375">
        <f t="shared" si="172"/>
        <v>0</v>
      </c>
      <c r="LEW49" s="375">
        <f t="shared" si="172"/>
        <v>0</v>
      </c>
      <c r="LEX49" s="375">
        <f t="shared" si="172"/>
        <v>0</v>
      </c>
      <c r="LEY49" s="375">
        <f t="shared" si="172"/>
        <v>0</v>
      </c>
      <c r="LEZ49" s="375">
        <f t="shared" si="172"/>
        <v>0</v>
      </c>
      <c r="LFA49" s="375">
        <f t="shared" si="172"/>
        <v>0</v>
      </c>
      <c r="LFB49" s="375">
        <f t="shared" si="172"/>
        <v>0</v>
      </c>
      <c r="LFC49" s="375">
        <f t="shared" si="172"/>
        <v>0</v>
      </c>
      <c r="LFD49" s="375">
        <f t="shared" si="172"/>
        <v>0</v>
      </c>
      <c r="LFE49" s="375">
        <f t="shared" si="172"/>
        <v>0</v>
      </c>
      <c r="LFF49" s="375">
        <f t="shared" si="172"/>
        <v>0</v>
      </c>
      <c r="LFG49" s="375">
        <f t="shared" si="172"/>
        <v>0</v>
      </c>
      <c r="LFH49" s="375">
        <f t="shared" si="172"/>
        <v>0</v>
      </c>
      <c r="LFI49" s="375">
        <f t="shared" si="172"/>
        <v>0</v>
      </c>
      <c r="LFJ49" s="375">
        <f t="shared" si="172"/>
        <v>0</v>
      </c>
      <c r="LFK49" s="375">
        <f t="shared" si="172"/>
        <v>0</v>
      </c>
      <c r="LFL49" s="375">
        <f t="shared" si="172"/>
        <v>0</v>
      </c>
      <c r="LFM49" s="375">
        <f t="shared" si="172"/>
        <v>0</v>
      </c>
      <c r="LFN49" s="375">
        <f t="shared" si="172"/>
        <v>0</v>
      </c>
      <c r="LFO49" s="375">
        <f t="shared" si="172"/>
        <v>0</v>
      </c>
      <c r="LFP49" s="375">
        <f t="shared" si="172"/>
        <v>0</v>
      </c>
      <c r="LFQ49" s="375">
        <f t="shared" si="172"/>
        <v>0</v>
      </c>
      <c r="LFR49" s="375">
        <f t="shared" si="172"/>
        <v>0</v>
      </c>
      <c r="LFS49" s="375">
        <f t="shared" si="172"/>
        <v>0</v>
      </c>
      <c r="LFT49" s="375">
        <f t="shared" si="172"/>
        <v>0</v>
      </c>
      <c r="LFU49" s="375">
        <f t="shared" si="172"/>
        <v>0</v>
      </c>
      <c r="LFV49" s="375">
        <f t="shared" si="172"/>
        <v>0</v>
      </c>
      <c r="LFW49" s="375">
        <f t="shared" si="172"/>
        <v>0</v>
      </c>
      <c r="LFX49" s="375">
        <f t="shared" si="172"/>
        <v>0</v>
      </c>
      <c r="LFY49" s="375">
        <f t="shared" si="172"/>
        <v>0</v>
      </c>
      <c r="LFZ49" s="375">
        <f t="shared" si="172"/>
        <v>0</v>
      </c>
      <c r="LGA49" s="375">
        <f t="shared" si="172"/>
        <v>0</v>
      </c>
      <c r="LGB49" s="375">
        <f t="shared" si="172"/>
        <v>0</v>
      </c>
      <c r="LGC49" s="375">
        <f t="shared" si="172"/>
        <v>0</v>
      </c>
      <c r="LGD49" s="375">
        <f t="shared" si="172"/>
        <v>0</v>
      </c>
      <c r="LGE49" s="375">
        <f t="shared" si="172"/>
        <v>0</v>
      </c>
      <c r="LGF49" s="375">
        <f t="shared" si="172"/>
        <v>0</v>
      </c>
      <c r="LGG49" s="375">
        <f t="shared" si="172"/>
        <v>0</v>
      </c>
      <c r="LGH49" s="375">
        <f t="shared" si="172"/>
        <v>0</v>
      </c>
      <c r="LGI49" s="375">
        <f t="shared" si="172"/>
        <v>0</v>
      </c>
      <c r="LGJ49" s="375">
        <f t="shared" si="172"/>
        <v>0</v>
      </c>
      <c r="LGK49" s="375">
        <f t="shared" si="172"/>
        <v>0</v>
      </c>
      <c r="LGL49" s="375">
        <f t="shared" si="172"/>
        <v>0</v>
      </c>
      <c r="LGM49" s="375">
        <f t="shared" si="172"/>
        <v>0</v>
      </c>
      <c r="LGN49" s="375">
        <f t="shared" si="172"/>
        <v>0</v>
      </c>
      <c r="LGO49" s="375">
        <f t="shared" si="172"/>
        <v>0</v>
      </c>
      <c r="LGP49" s="375">
        <f t="shared" si="172"/>
        <v>0</v>
      </c>
      <c r="LGQ49" s="375">
        <f t="shared" si="172"/>
        <v>0</v>
      </c>
      <c r="LGR49" s="375">
        <f t="shared" si="172"/>
        <v>0</v>
      </c>
      <c r="LGS49" s="375">
        <f t="shared" si="172"/>
        <v>0</v>
      </c>
      <c r="LGT49" s="375">
        <f t="shared" si="172"/>
        <v>0</v>
      </c>
      <c r="LGU49" s="375">
        <f t="shared" si="172"/>
        <v>0</v>
      </c>
      <c r="LGV49" s="375">
        <f t="shared" si="172"/>
        <v>0</v>
      </c>
      <c r="LGW49" s="375">
        <f t="shared" si="172"/>
        <v>0</v>
      </c>
      <c r="LGX49" s="375">
        <f t="shared" si="172"/>
        <v>0</v>
      </c>
      <c r="LGY49" s="375">
        <f t="shared" si="172"/>
        <v>0</v>
      </c>
      <c r="LGZ49" s="375">
        <f t="shared" si="172"/>
        <v>0</v>
      </c>
      <c r="LHA49" s="375">
        <f t="shared" ref="LHA49:LJL49" si="173">LHA48*0.8</f>
        <v>0</v>
      </c>
      <c r="LHB49" s="375">
        <f t="shared" si="173"/>
        <v>0</v>
      </c>
      <c r="LHC49" s="375">
        <f t="shared" si="173"/>
        <v>0</v>
      </c>
      <c r="LHD49" s="375">
        <f t="shared" si="173"/>
        <v>0</v>
      </c>
      <c r="LHE49" s="375">
        <f t="shared" si="173"/>
        <v>0</v>
      </c>
      <c r="LHF49" s="375">
        <f t="shared" si="173"/>
        <v>0</v>
      </c>
      <c r="LHG49" s="375">
        <f t="shared" si="173"/>
        <v>0</v>
      </c>
      <c r="LHH49" s="375">
        <f t="shared" si="173"/>
        <v>0</v>
      </c>
      <c r="LHI49" s="375">
        <f t="shared" si="173"/>
        <v>0</v>
      </c>
      <c r="LHJ49" s="375">
        <f t="shared" si="173"/>
        <v>0</v>
      </c>
      <c r="LHK49" s="375">
        <f t="shared" si="173"/>
        <v>0</v>
      </c>
      <c r="LHL49" s="375">
        <f t="shared" si="173"/>
        <v>0</v>
      </c>
      <c r="LHM49" s="375">
        <f t="shared" si="173"/>
        <v>0</v>
      </c>
      <c r="LHN49" s="375">
        <f t="shared" si="173"/>
        <v>0</v>
      </c>
      <c r="LHO49" s="375">
        <f t="shared" si="173"/>
        <v>0</v>
      </c>
      <c r="LHP49" s="375">
        <f t="shared" si="173"/>
        <v>0</v>
      </c>
      <c r="LHQ49" s="375">
        <f t="shared" si="173"/>
        <v>0</v>
      </c>
      <c r="LHR49" s="375">
        <f t="shared" si="173"/>
        <v>0</v>
      </c>
      <c r="LHS49" s="375">
        <f t="shared" si="173"/>
        <v>0</v>
      </c>
      <c r="LHT49" s="375">
        <f t="shared" si="173"/>
        <v>0</v>
      </c>
      <c r="LHU49" s="375">
        <f t="shared" si="173"/>
        <v>0</v>
      </c>
      <c r="LHV49" s="375">
        <f t="shared" si="173"/>
        <v>0</v>
      </c>
      <c r="LHW49" s="375">
        <f t="shared" si="173"/>
        <v>0</v>
      </c>
      <c r="LHX49" s="375">
        <f t="shared" si="173"/>
        <v>0</v>
      </c>
      <c r="LHY49" s="375">
        <f t="shared" si="173"/>
        <v>0</v>
      </c>
      <c r="LHZ49" s="375">
        <f t="shared" si="173"/>
        <v>0</v>
      </c>
      <c r="LIA49" s="375">
        <f t="shared" si="173"/>
        <v>0</v>
      </c>
      <c r="LIB49" s="375">
        <f t="shared" si="173"/>
        <v>0</v>
      </c>
      <c r="LIC49" s="375">
        <f t="shared" si="173"/>
        <v>0</v>
      </c>
      <c r="LID49" s="375">
        <f t="shared" si="173"/>
        <v>0</v>
      </c>
      <c r="LIE49" s="375">
        <f t="shared" si="173"/>
        <v>0</v>
      </c>
      <c r="LIF49" s="375">
        <f t="shared" si="173"/>
        <v>0</v>
      </c>
      <c r="LIG49" s="375">
        <f t="shared" si="173"/>
        <v>0</v>
      </c>
      <c r="LIH49" s="375">
        <f t="shared" si="173"/>
        <v>0</v>
      </c>
      <c r="LII49" s="375">
        <f t="shared" si="173"/>
        <v>0</v>
      </c>
      <c r="LIJ49" s="375">
        <f t="shared" si="173"/>
        <v>0</v>
      </c>
      <c r="LIK49" s="375">
        <f t="shared" si="173"/>
        <v>0</v>
      </c>
      <c r="LIL49" s="375">
        <f t="shared" si="173"/>
        <v>0</v>
      </c>
      <c r="LIM49" s="375">
        <f t="shared" si="173"/>
        <v>0</v>
      </c>
      <c r="LIN49" s="375">
        <f t="shared" si="173"/>
        <v>0</v>
      </c>
      <c r="LIO49" s="375">
        <f t="shared" si="173"/>
        <v>0</v>
      </c>
      <c r="LIP49" s="375">
        <f t="shared" si="173"/>
        <v>0</v>
      </c>
      <c r="LIQ49" s="375">
        <f t="shared" si="173"/>
        <v>0</v>
      </c>
      <c r="LIR49" s="375">
        <f t="shared" si="173"/>
        <v>0</v>
      </c>
      <c r="LIS49" s="375">
        <f t="shared" si="173"/>
        <v>0</v>
      </c>
      <c r="LIT49" s="375">
        <f t="shared" si="173"/>
        <v>0</v>
      </c>
      <c r="LIU49" s="375">
        <f t="shared" si="173"/>
        <v>0</v>
      </c>
      <c r="LIV49" s="375">
        <f t="shared" si="173"/>
        <v>0</v>
      </c>
      <c r="LIW49" s="375">
        <f t="shared" si="173"/>
        <v>0</v>
      </c>
      <c r="LIX49" s="375">
        <f t="shared" si="173"/>
        <v>0</v>
      </c>
      <c r="LIY49" s="375">
        <f t="shared" si="173"/>
        <v>0</v>
      </c>
      <c r="LIZ49" s="375">
        <f t="shared" si="173"/>
        <v>0</v>
      </c>
      <c r="LJA49" s="375">
        <f t="shared" si="173"/>
        <v>0</v>
      </c>
      <c r="LJB49" s="375">
        <f t="shared" si="173"/>
        <v>0</v>
      </c>
      <c r="LJC49" s="375">
        <f t="shared" si="173"/>
        <v>0</v>
      </c>
      <c r="LJD49" s="375">
        <f t="shared" si="173"/>
        <v>0</v>
      </c>
      <c r="LJE49" s="375">
        <f t="shared" si="173"/>
        <v>0</v>
      </c>
      <c r="LJF49" s="375">
        <f t="shared" si="173"/>
        <v>0</v>
      </c>
      <c r="LJG49" s="375">
        <f t="shared" si="173"/>
        <v>0</v>
      </c>
      <c r="LJH49" s="375">
        <f t="shared" si="173"/>
        <v>0</v>
      </c>
      <c r="LJI49" s="375">
        <f t="shared" si="173"/>
        <v>0</v>
      </c>
      <c r="LJJ49" s="375">
        <f t="shared" si="173"/>
        <v>0</v>
      </c>
      <c r="LJK49" s="375">
        <f t="shared" si="173"/>
        <v>0</v>
      </c>
      <c r="LJL49" s="375">
        <f t="shared" si="173"/>
        <v>0</v>
      </c>
      <c r="LJM49" s="375">
        <f t="shared" ref="LJM49:LLX49" si="174">LJM48*0.8</f>
        <v>0</v>
      </c>
      <c r="LJN49" s="375">
        <f t="shared" si="174"/>
        <v>0</v>
      </c>
      <c r="LJO49" s="375">
        <f t="shared" si="174"/>
        <v>0</v>
      </c>
      <c r="LJP49" s="375">
        <f t="shared" si="174"/>
        <v>0</v>
      </c>
      <c r="LJQ49" s="375">
        <f t="shared" si="174"/>
        <v>0</v>
      </c>
      <c r="LJR49" s="375">
        <f t="shared" si="174"/>
        <v>0</v>
      </c>
      <c r="LJS49" s="375">
        <f t="shared" si="174"/>
        <v>0</v>
      </c>
      <c r="LJT49" s="375">
        <f t="shared" si="174"/>
        <v>0</v>
      </c>
      <c r="LJU49" s="375">
        <f t="shared" si="174"/>
        <v>0</v>
      </c>
      <c r="LJV49" s="375">
        <f t="shared" si="174"/>
        <v>0</v>
      </c>
      <c r="LJW49" s="375">
        <f t="shared" si="174"/>
        <v>0</v>
      </c>
      <c r="LJX49" s="375">
        <f t="shared" si="174"/>
        <v>0</v>
      </c>
      <c r="LJY49" s="375">
        <f t="shared" si="174"/>
        <v>0</v>
      </c>
      <c r="LJZ49" s="375">
        <f t="shared" si="174"/>
        <v>0</v>
      </c>
      <c r="LKA49" s="375">
        <f t="shared" si="174"/>
        <v>0</v>
      </c>
      <c r="LKB49" s="375">
        <f t="shared" si="174"/>
        <v>0</v>
      </c>
      <c r="LKC49" s="375">
        <f t="shared" si="174"/>
        <v>0</v>
      </c>
      <c r="LKD49" s="375">
        <f t="shared" si="174"/>
        <v>0</v>
      </c>
      <c r="LKE49" s="375">
        <f t="shared" si="174"/>
        <v>0</v>
      </c>
      <c r="LKF49" s="375">
        <f t="shared" si="174"/>
        <v>0</v>
      </c>
      <c r="LKG49" s="375">
        <f t="shared" si="174"/>
        <v>0</v>
      </c>
      <c r="LKH49" s="375">
        <f t="shared" si="174"/>
        <v>0</v>
      </c>
      <c r="LKI49" s="375">
        <f t="shared" si="174"/>
        <v>0</v>
      </c>
      <c r="LKJ49" s="375">
        <f t="shared" si="174"/>
        <v>0</v>
      </c>
      <c r="LKK49" s="375">
        <f t="shared" si="174"/>
        <v>0</v>
      </c>
      <c r="LKL49" s="375">
        <f t="shared" si="174"/>
        <v>0</v>
      </c>
      <c r="LKM49" s="375">
        <f t="shared" si="174"/>
        <v>0</v>
      </c>
      <c r="LKN49" s="375">
        <f t="shared" si="174"/>
        <v>0</v>
      </c>
      <c r="LKO49" s="375">
        <f t="shared" si="174"/>
        <v>0</v>
      </c>
      <c r="LKP49" s="375">
        <f t="shared" si="174"/>
        <v>0</v>
      </c>
      <c r="LKQ49" s="375">
        <f t="shared" si="174"/>
        <v>0</v>
      </c>
      <c r="LKR49" s="375">
        <f t="shared" si="174"/>
        <v>0</v>
      </c>
      <c r="LKS49" s="375">
        <f t="shared" si="174"/>
        <v>0</v>
      </c>
      <c r="LKT49" s="375">
        <f t="shared" si="174"/>
        <v>0</v>
      </c>
      <c r="LKU49" s="375">
        <f t="shared" si="174"/>
        <v>0</v>
      </c>
      <c r="LKV49" s="375">
        <f t="shared" si="174"/>
        <v>0</v>
      </c>
      <c r="LKW49" s="375">
        <f t="shared" si="174"/>
        <v>0</v>
      </c>
      <c r="LKX49" s="375">
        <f t="shared" si="174"/>
        <v>0</v>
      </c>
      <c r="LKY49" s="375">
        <f t="shared" si="174"/>
        <v>0</v>
      </c>
      <c r="LKZ49" s="375">
        <f t="shared" si="174"/>
        <v>0</v>
      </c>
      <c r="LLA49" s="375">
        <f t="shared" si="174"/>
        <v>0</v>
      </c>
      <c r="LLB49" s="375">
        <f t="shared" si="174"/>
        <v>0</v>
      </c>
      <c r="LLC49" s="375">
        <f t="shared" si="174"/>
        <v>0</v>
      </c>
      <c r="LLD49" s="375">
        <f t="shared" si="174"/>
        <v>0</v>
      </c>
      <c r="LLE49" s="375">
        <f t="shared" si="174"/>
        <v>0</v>
      </c>
      <c r="LLF49" s="375">
        <f t="shared" si="174"/>
        <v>0</v>
      </c>
      <c r="LLG49" s="375">
        <f t="shared" si="174"/>
        <v>0</v>
      </c>
      <c r="LLH49" s="375">
        <f t="shared" si="174"/>
        <v>0</v>
      </c>
      <c r="LLI49" s="375">
        <f t="shared" si="174"/>
        <v>0</v>
      </c>
      <c r="LLJ49" s="375">
        <f t="shared" si="174"/>
        <v>0</v>
      </c>
      <c r="LLK49" s="375">
        <f t="shared" si="174"/>
        <v>0</v>
      </c>
      <c r="LLL49" s="375">
        <f t="shared" si="174"/>
        <v>0</v>
      </c>
      <c r="LLM49" s="375">
        <f t="shared" si="174"/>
        <v>0</v>
      </c>
      <c r="LLN49" s="375">
        <f t="shared" si="174"/>
        <v>0</v>
      </c>
      <c r="LLO49" s="375">
        <f t="shared" si="174"/>
        <v>0</v>
      </c>
      <c r="LLP49" s="375">
        <f t="shared" si="174"/>
        <v>0</v>
      </c>
      <c r="LLQ49" s="375">
        <f t="shared" si="174"/>
        <v>0</v>
      </c>
      <c r="LLR49" s="375">
        <f t="shared" si="174"/>
        <v>0</v>
      </c>
      <c r="LLS49" s="375">
        <f t="shared" si="174"/>
        <v>0</v>
      </c>
      <c r="LLT49" s="375">
        <f t="shared" si="174"/>
        <v>0</v>
      </c>
      <c r="LLU49" s="375">
        <f t="shared" si="174"/>
        <v>0</v>
      </c>
      <c r="LLV49" s="375">
        <f t="shared" si="174"/>
        <v>0</v>
      </c>
      <c r="LLW49" s="375">
        <f t="shared" si="174"/>
        <v>0</v>
      </c>
      <c r="LLX49" s="375">
        <f t="shared" si="174"/>
        <v>0</v>
      </c>
      <c r="LLY49" s="375">
        <f t="shared" ref="LLY49:LOJ49" si="175">LLY48*0.8</f>
        <v>0</v>
      </c>
      <c r="LLZ49" s="375">
        <f t="shared" si="175"/>
        <v>0</v>
      </c>
      <c r="LMA49" s="375">
        <f t="shared" si="175"/>
        <v>0</v>
      </c>
      <c r="LMB49" s="375">
        <f t="shared" si="175"/>
        <v>0</v>
      </c>
      <c r="LMC49" s="375">
        <f t="shared" si="175"/>
        <v>0</v>
      </c>
      <c r="LMD49" s="375">
        <f t="shared" si="175"/>
        <v>0</v>
      </c>
      <c r="LME49" s="375">
        <f t="shared" si="175"/>
        <v>0</v>
      </c>
      <c r="LMF49" s="375">
        <f t="shared" si="175"/>
        <v>0</v>
      </c>
      <c r="LMG49" s="375">
        <f t="shared" si="175"/>
        <v>0</v>
      </c>
      <c r="LMH49" s="375">
        <f t="shared" si="175"/>
        <v>0</v>
      </c>
      <c r="LMI49" s="375">
        <f t="shared" si="175"/>
        <v>0</v>
      </c>
      <c r="LMJ49" s="375">
        <f t="shared" si="175"/>
        <v>0</v>
      </c>
      <c r="LMK49" s="375">
        <f t="shared" si="175"/>
        <v>0</v>
      </c>
      <c r="LML49" s="375">
        <f t="shared" si="175"/>
        <v>0</v>
      </c>
      <c r="LMM49" s="375">
        <f t="shared" si="175"/>
        <v>0</v>
      </c>
      <c r="LMN49" s="375">
        <f t="shared" si="175"/>
        <v>0</v>
      </c>
      <c r="LMO49" s="375">
        <f t="shared" si="175"/>
        <v>0</v>
      </c>
      <c r="LMP49" s="375">
        <f t="shared" si="175"/>
        <v>0</v>
      </c>
      <c r="LMQ49" s="375">
        <f t="shared" si="175"/>
        <v>0</v>
      </c>
      <c r="LMR49" s="375">
        <f t="shared" si="175"/>
        <v>0</v>
      </c>
      <c r="LMS49" s="375">
        <f t="shared" si="175"/>
        <v>0</v>
      </c>
      <c r="LMT49" s="375">
        <f t="shared" si="175"/>
        <v>0</v>
      </c>
      <c r="LMU49" s="375">
        <f t="shared" si="175"/>
        <v>0</v>
      </c>
      <c r="LMV49" s="375">
        <f t="shared" si="175"/>
        <v>0</v>
      </c>
      <c r="LMW49" s="375">
        <f t="shared" si="175"/>
        <v>0</v>
      </c>
      <c r="LMX49" s="375">
        <f t="shared" si="175"/>
        <v>0</v>
      </c>
      <c r="LMY49" s="375">
        <f t="shared" si="175"/>
        <v>0</v>
      </c>
      <c r="LMZ49" s="375">
        <f t="shared" si="175"/>
        <v>0</v>
      </c>
      <c r="LNA49" s="375">
        <f t="shared" si="175"/>
        <v>0</v>
      </c>
      <c r="LNB49" s="375">
        <f t="shared" si="175"/>
        <v>0</v>
      </c>
      <c r="LNC49" s="375">
        <f t="shared" si="175"/>
        <v>0</v>
      </c>
      <c r="LND49" s="375">
        <f t="shared" si="175"/>
        <v>0</v>
      </c>
      <c r="LNE49" s="375">
        <f t="shared" si="175"/>
        <v>0</v>
      </c>
      <c r="LNF49" s="375">
        <f t="shared" si="175"/>
        <v>0</v>
      </c>
      <c r="LNG49" s="375">
        <f t="shared" si="175"/>
        <v>0</v>
      </c>
      <c r="LNH49" s="375">
        <f t="shared" si="175"/>
        <v>0</v>
      </c>
      <c r="LNI49" s="375">
        <f t="shared" si="175"/>
        <v>0</v>
      </c>
      <c r="LNJ49" s="375">
        <f t="shared" si="175"/>
        <v>0</v>
      </c>
      <c r="LNK49" s="375">
        <f t="shared" si="175"/>
        <v>0</v>
      </c>
      <c r="LNL49" s="375">
        <f t="shared" si="175"/>
        <v>0</v>
      </c>
      <c r="LNM49" s="375">
        <f t="shared" si="175"/>
        <v>0</v>
      </c>
      <c r="LNN49" s="375">
        <f t="shared" si="175"/>
        <v>0</v>
      </c>
      <c r="LNO49" s="375">
        <f t="shared" si="175"/>
        <v>0</v>
      </c>
      <c r="LNP49" s="375">
        <f t="shared" si="175"/>
        <v>0</v>
      </c>
      <c r="LNQ49" s="375">
        <f t="shared" si="175"/>
        <v>0</v>
      </c>
      <c r="LNR49" s="375">
        <f t="shared" si="175"/>
        <v>0</v>
      </c>
      <c r="LNS49" s="375">
        <f t="shared" si="175"/>
        <v>0</v>
      </c>
      <c r="LNT49" s="375">
        <f t="shared" si="175"/>
        <v>0</v>
      </c>
      <c r="LNU49" s="375">
        <f t="shared" si="175"/>
        <v>0</v>
      </c>
      <c r="LNV49" s="375">
        <f t="shared" si="175"/>
        <v>0</v>
      </c>
      <c r="LNW49" s="375">
        <f t="shared" si="175"/>
        <v>0</v>
      </c>
      <c r="LNX49" s="375">
        <f t="shared" si="175"/>
        <v>0</v>
      </c>
      <c r="LNY49" s="375">
        <f t="shared" si="175"/>
        <v>0</v>
      </c>
      <c r="LNZ49" s="375">
        <f t="shared" si="175"/>
        <v>0</v>
      </c>
      <c r="LOA49" s="375">
        <f t="shared" si="175"/>
        <v>0</v>
      </c>
      <c r="LOB49" s="375">
        <f t="shared" si="175"/>
        <v>0</v>
      </c>
      <c r="LOC49" s="375">
        <f t="shared" si="175"/>
        <v>0</v>
      </c>
      <c r="LOD49" s="375">
        <f t="shared" si="175"/>
        <v>0</v>
      </c>
      <c r="LOE49" s="375">
        <f t="shared" si="175"/>
        <v>0</v>
      </c>
      <c r="LOF49" s="375">
        <f t="shared" si="175"/>
        <v>0</v>
      </c>
      <c r="LOG49" s="375">
        <f t="shared" si="175"/>
        <v>0</v>
      </c>
      <c r="LOH49" s="375">
        <f t="shared" si="175"/>
        <v>0</v>
      </c>
      <c r="LOI49" s="375">
        <f t="shared" si="175"/>
        <v>0</v>
      </c>
      <c r="LOJ49" s="375">
        <f t="shared" si="175"/>
        <v>0</v>
      </c>
      <c r="LOK49" s="375">
        <f t="shared" ref="LOK49:LQV49" si="176">LOK48*0.8</f>
        <v>0</v>
      </c>
      <c r="LOL49" s="375">
        <f t="shared" si="176"/>
        <v>0</v>
      </c>
      <c r="LOM49" s="375">
        <f t="shared" si="176"/>
        <v>0</v>
      </c>
      <c r="LON49" s="375">
        <f t="shared" si="176"/>
        <v>0</v>
      </c>
      <c r="LOO49" s="375">
        <f t="shared" si="176"/>
        <v>0</v>
      </c>
      <c r="LOP49" s="375">
        <f t="shared" si="176"/>
        <v>0</v>
      </c>
      <c r="LOQ49" s="375">
        <f t="shared" si="176"/>
        <v>0</v>
      </c>
      <c r="LOR49" s="375">
        <f t="shared" si="176"/>
        <v>0</v>
      </c>
      <c r="LOS49" s="375">
        <f t="shared" si="176"/>
        <v>0</v>
      </c>
      <c r="LOT49" s="375">
        <f t="shared" si="176"/>
        <v>0</v>
      </c>
      <c r="LOU49" s="375">
        <f t="shared" si="176"/>
        <v>0</v>
      </c>
      <c r="LOV49" s="375">
        <f t="shared" si="176"/>
        <v>0</v>
      </c>
      <c r="LOW49" s="375">
        <f t="shared" si="176"/>
        <v>0</v>
      </c>
      <c r="LOX49" s="375">
        <f t="shared" si="176"/>
        <v>0</v>
      </c>
      <c r="LOY49" s="375">
        <f t="shared" si="176"/>
        <v>0</v>
      </c>
      <c r="LOZ49" s="375">
        <f t="shared" si="176"/>
        <v>0</v>
      </c>
      <c r="LPA49" s="375">
        <f t="shared" si="176"/>
        <v>0</v>
      </c>
      <c r="LPB49" s="375">
        <f t="shared" si="176"/>
        <v>0</v>
      </c>
      <c r="LPC49" s="375">
        <f t="shared" si="176"/>
        <v>0</v>
      </c>
      <c r="LPD49" s="375">
        <f t="shared" si="176"/>
        <v>0</v>
      </c>
      <c r="LPE49" s="375">
        <f t="shared" si="176"/>
        <v>0</v>
      </c>
      <c r="LPF49" s="375">
        <f t="shared" si="176"/>
        <v>0</v>
      </c>
      <c r="LPG49" s="375">
        <f t="shared" si="176"/>
        <v>0</v>
      </c>
      <c r="LPH49" s="375">
        <f t="shared" si="176"/>
        <v>0</v>
      </c>
      <c r="LPI49" s="375">
        <f t="shared" si="176"/>
        <v>0</v>
      </c>
      <c r="LPJ49" s="375">
        <f t="shared" si="176"/>
        <v>0</v>
      </c>
      <c r="LPK49" s="375">
        <f t="shared" si="176"/>
        <v>0</v>
      </c>
      <c r="LPL49" s="375">
        <f t="shared" si="176"/>
        <v>0</v>
      </c>
      <c r="LPM49" s="375">
        <f t="shared" si="176"/>
        <v>0</v>
      </c>
      <c r="LPN49" s="375">
        <f t="shared" si="176"/>
        <v>0</v>
      </c>
      <c r="LPO49" s="375">
        <f t="shared" si="176"/>
        <v>0</v>
      </c>
      <c r="LPP49" s="375">
        <f t="shared" si="176"/>
        <v>0</v>
      </c>
      <c r="LPQ49" s="375">
        <f t="shared" si="176"/>
        <v>0</v>
      </c>
      <c r="LPR49" s="375">
        <f t="shared" si="176"/>
        <v>0</v>
      </c>
      <c r="LPS49" s="375">
        <f t="shared" si="176"/>
        <v>0</v>
      </c>
      <c r="LPT49" s="375">
        <f t="shared" si="176"/>
        <v>0</v>
      </c>
      <c r="LPU49" s="375">
        <f t="shared" si="176"/>
        <v>0</v>
      </c>
      <c r="LPV49" s="375">
        <f t="shared" si="176"/>
        <v>0</v>
      </c>
      <c r="LPW49" s="375">
        <f t="shared" si="176"/>
        <v>0</v>
      </c>
      <c r="LPX49" s="375">
        <f t="shared" si="176"/>
        <v>0</v>
      </c>
      <c r="LPY49" s="375">
        <f t="shared" si="176"/>
        <v>0</v>
      </c>
      <c r="LPZ49" s="375">
        <f t="shared" si="176"/>
        <v>0</v>
      </c>
      <c r="LQA49" s="375">
        <f t="shared" si="176"/>
        <v>0</v>
      </c>
      <c r="LQB49" s="375">
        <f t="shared" si="176"/>
        <v>0</v>
      </c>
      <c r="LQC49" s="375">
        <f t="shared" si="176"/>
        <v>0</v>
      </c>
      <c r="LQD49" s="375">
        <f t="shared" si="176"/>
        <v>0</v>
      </c>
      <c r="LQE49" s="375">
        <f t="shared" si="176"/>
        <v>0</v>
      </c>
      <c r="LQF49" s="375">
        <f t="shared" si="176"/>
        <v>0</v>
      </c>
      <c r="LQG49" s="375">
        <f t="shared" si="176"/>
        <v>0</v>
      </c>
      <c r="LQH49" s="375">
        <f t="shared" si="176"/>
        <v>0</v>
      </c>
      <c r="LQI49" s="375">
        <f t="shared" si="176"/>
        <v>0</v>
      </c>
      <c r="LQJ49" s="375">
        <f t="shared" si="176"/>
        <v>0</v>
      </c>
      <c r="LQK49" s="375">
        <f t="shared" si="176"/>
        <v>0</v>
      </c>
      <c r="LQL49" s="375">
        <f t="shared" si="176"/>
        <v>0</v>
      </c>
      <c r="LQM49" s="375">
        <f t="shared" si="176"/>
        <v>0</v>
      </c>
      <c r="LQN49" s="375">
        <f t="shared" si="176"/>
        <v>0</v>
      </c>
      <c r="LQO49" s="375">
        <f t="shared" si="176"/>
        <v>0</v>
      </c>
      <c r="LQP49" s="375">
        <f t="shared" si="176"/>
        <v>0</v>
      </c>
      <c r="LQQ49" s="375">
        <f t="shared" si="176"/>
        <v>0</v>
      </c>
      <c r="LQR49" s="375">
        <f t="shared" si="176"/>
        <v>0</v>
      </c>
      <c r="LQS49" s="375">
        <f t="shared" si="176"/>
        <v>0</v>
      </c>
      <c r="LQT49" s="375">
        <f t="shared" si="176"/>
        <v>0</v>
      </c>
      <c r="LQU49" s="375">
        <f t="shared" si="176"/>
        <v>0</v>
      </c>
      <c r="LQV49" s="375">
        <f t="shared" si="176"/>
        <v>0</v>
      </c>
      <c r="LQW49" s="375">
        <f t="shared" ref="LQW49:LTH49" si="177">LQW48*0.8</f>
        <v>0</v>
      </c>
      <c r="LQX49" s="375">
        <f t="shared" si="177"/>
        <v>0</v>
      </c>
      <c r="LQY49" s="375">
        <f t="shared" si="177"/>
        <v>0</v>
      </c>
      <c r="LQZ49" s="375">
        <f t="shared" si="177"/>
        <v>0</v>
      </c>
      <c r="LRA49" s="375">
        <f t="shared" si="177"/>
        <v>0</v>
      </c>
      <c r="LRB49" s="375">
        <f t="shared" si="177"/>
        <v>0</v>
      </c>
      <c r="LRC49" s="375">
        <f t="shared" si="177"/>
        <v>0</v>
      </c>
      <c r="LRD49" s="375">
        <f t="shared" si="177"/>
        <v>0</v>
      </c>
      <c r="LRE49" s="375">
        <f t="shared" si="177"/>
        <v>0</v>
      </c>
      <c r="LRF49" s="375">
        <f t="shared" si="177"/>
        <v>0</v>
      </c>
      <c r="LRG49" s="375">
        <f t="shared" si="177"/>
        <v>0</v>
      </c>
      <c r="LRH49" s="375">
        <f t="shared" si="177"/>
        <v>0</v>
      </c>
      <c r="LRI49" s="375">
        <f t="shared" si="177"/>
        <v>0</v>
      </c>
      <c r="LRJ49" s="375">
        <f t="shared" si="177"/>
        <v>0</v>
      </c>
      <c r="LRK49" s="375">
        <f t="shared" si="177"/>
        <v>0</v>
      </c>
      <c r="LRL49" s="375">
        <f t="shared" si="177"/>
        <v>0</v>
      </c>
      <c r="LRM49" s="375">
        <f t="shared" si="177"/>
        <v>0</v>
      </c>
      <c r="LRN49" s="375">
        <f t="shared" si="177"/>
        <v>0</v>
      </c>
      <c r="LRO49" s="375">
        <f t="shared" si="177"/>
        <v>0</v>
      </c>
      <c r="LRP49" s="375">
        <f t="shared" si="177"/>
        <v>0</v>
      </c>
      <c r="LRQ49" s="375">
        <f t="shared" si="177"/>
        <v>0</v>
      </c>
      <c r="LRR49" s="375">
        <f t="shared" si="177"/>
        <v>0</v>
      </c>
      <c r="LRS49" s="375">
        <f t="shared" si="177"/>
        <v>0</v>
      </c>
      <c r="LRT49" s="375">
        <f t="shared" si="177"/>
        <v>0</v>
      </c>
      <c r="LRU49" s="375">
        <f t="shared" si="177"/>
        <v>0</v>
      </c>
      <c r="LRV49" s="375">
        <f t="shared" si="177"/>
        <v>0</v>
      </c>
      <c r="LRW49" s="375">
        <f t="shared" si="177"/>
        <v>0</v>
      </c>
      <c r="LRX49" s="375">
        <f t="shared" si="177"/>
        <v>0</v>
      </c>
      <c r="LRY49" s="375">
        <f t="shared" si="177"/>
        <v>0</v>
      </c>
      <c r="LRZ49" s="375">
        <f t="shared" si="177"/>
        <v>0</v>
      </c>
      <c r="LSA49" s="375">
        <f t="shared" si="177"/>
        <v>0</v>
      </c>
      <c r="LSB49" s="375">
        <f t="shared" si="177"/>
        <v>0</v>
      </c>
      <c r="LSC49" s="375">
        <f t="shared" si="177"/>
        <v>0</v>
      </c>
      <c r="LSD49" s="375">
        <f t="shared" si="177"/>
        <v>0</v>
      </c>
      <c r="LSE49" s="375">
        <f t="shared" si="177"/>
        <v>0</v>
      </c>
      <c r="LSF49" s="375">
        <f t="shared" si="177"/>
        <v>0</v>
      </c>
      <c r="LSG49" s="375">
        <f t="shared" si="177"/>
        <v>0</v>
      </c>
      <c r="LSH49" s="375">
        <f t="shared" si="177"/>
        <v>0</v>
      </c>
      <c r="LSI49" s="375">
        <f t="shared" si="177"/>
        <v>0</v>
      </c>
      <c r="LSJ49" s="375">
        <f t="shared" si="177"/>
        <v>0</v>
      </c>
      <c r="LSK49" s="375">
        <f t="shared" si="177"/>
        <v>0</v>
      </c>
      <c r="LSL49" s="375">
        <f t="shared" si="177"/>
        <v>0</v>
      </c>
      <c r="LSM49" s="375">
        <f t="shared" si="177"/>
        <v>0</v>
      </c>
      <c r="LSN49" s="375">
        <f t="shared" si="177"/>
        <v>0</v>
      </c>
      <c r="LSO49" s="375">
        <f t="shared" si="177"/>
        <v>0</v>
      </c>
      <c r="LSP49" s="375">
        <f t="shared" si="177"/>
        <v>0</v>
      </c>
      <c r="LSQ49" s="375">
        <f t="shared" si="177"/>
        <v>0</v>
      </c>
      <c r="LSR49" s="375">
        <f t="shared" si="177"/>
        <v>0</v>
      </c>
      <c r="LSS49" s="375">
        <f t="shared" si="177"/>
        <v>0</v>
      </c>
      <c r="LST49" s="375">
        <f t="shared" si="177"/>
        <v>0</v>
      </c>
      <c r="LSU49" s="375">
        <f t="shared" si="177"/>
        <v>0</v>
      </c>
      <c r="LSV49" s="375">
        <f t="shared" si="177"/>
        <v>0</v>
      </c>
      <c r="LSW49" s="375">
        <f t="shared" si="177"/>
        <v>0</v>
      </c>
      <c r="LSX49" s="375">
        <f t="shared" si="177"/>
        <v>0</v>
      </c>
      <c r="LSY49" s="375">
        <f t="shared" si="177"/>
        <v>0</v>
      </c>
      <c r="LSZ49" s="375">
        <f t="shared" si="177"/>
        <v>0</v>
      </c>
      <c r="LTA49" s="375">
        <f t="shared" si="177"/>
        <v>0</v>
      </c>
      <c r="LTB49" s="375">
        <f t="shared" si="177"/>
        <v>0</v>
      </c>
      <c r="LTC49" s="375">
        <f t="shared" si="177"/>
        <v>0</v>
      </c>
      <c r="LTD49" s="375">
        <f t="shared" si="177"/>
        <v>0</v>
      </c>
      <c r="LTE49" s="375">
        <f t="shared" si="177"/>
        <v>0</v>
      </c>
      <c r="LTF49" s="375">
        <f t="shared" si="177"/>
        <v>0</v>
      </c>
      <c r="LTG49" s="375">
        <f t="shared" si="177"/>
        <v>0</v>
      </c>
      <c r="LTH49" s="375">
        <f t="shared" si="177"/>
        <v>0</v>
      </c>
      <c r="LTI49" s="375">
        <f t="shared" ref="LTI49:LVT49" si="178">LTI48*0.8</f>
        <v>0</v>
      </c>
      <c r="LTJ49" s="375">
        <f t="shared" si="178"/>
        <v>0</v>
      </c>
      <c r="LTK49" s="375">
        <f t="shared" si="178"/>
        <v>0</v>
      </c>
      <c r="LTL49" s="375">
        <f t="shared" si="178"/>
        <v>0</v>
      </c>
      <c r="LTM49" s="375">
        <f t="shared" si="178"/>
        <v>0</v>
      </c>
      <c r="LTN49" s="375">
        <f t="shared" si="178"/>
        <v>0</v>
      </c>
      <c r="LTO49" s="375">
        <f t="shared" si="178"/>
        <v>0</v>
      </c>
      <c r="LTP49" s="375">
        <f t="shared" si="178"/>
        <v>0</v>
      </c>
      <c r="LTQ49" s="375">
        <f t="shared" si="178"/>
        <v>0</v>
      </c>
      <c r="LTR49" s="375">
        <f t="shared" si="178"/>
        <v>0</v>
      </c>
      <c r="LTS49" s="375">
        <f t="shared" si="178"/>
        <v>0</v>
      </c>
      <c r="LTT49" s="375">
        <f t="shared" si="178"/>
        <v>0</v>
      </c>
      <c r="LTU49" s="375">
        <f t="shared" si="178"/>
        <v>0</v>
      </c>
      <c r="LTV49" s="375">
        <f t="shared" si="178"/>
        <v>0</v>
      </c>
      <c r="LTW49" s="375">
        <f t="shared" si="178"/>
        <v>0</v>
      </c>
      <c r="LTX49" s="375">
        <f t="shared" si="178"/>
        <v>0</v>
      </c>
      <c r="LTY49" s="375">
        <f t="shared" si="178"/>
        <v>0</v>
      </c>
      <c r="LTZ49" s="375">
        <f t="shared" si="178"/>
        <v>0</v>
      </c>
      <c r="LUA49" s="375">
        <f t="shared" si="178"/>
        <v>0</v>
      </c>
      <c r="LUB49" s="375">
        <f t="shared" si="178"/>
        <v>0</v>
      </c>
      <c r="LUC49" s="375">
        <f t="shared" si="178"/>
        <v>0</v>
      </c>
      <c r="LUD49" s="375">
        <f t="shared" si="178"/>
        <v>0</v>
      </c>
      <c r="LUE49" s="375">
        <f t="shared" si="178"/>
        <v>0</v>
      </c>
      <c r="LUF49" s="375">
        <f t="shared" si="178"/>
        <v>0</v>
      </c>
      <c r="LUG49" s="375">
        <f t="shared" si="178"/>
        <v>0</v>
      </c>
      <c r="LUH49" s="375">
        <f t="shared" si="178"/>
        <v>0</v>
      </c>
      <c r="LUI49" s="375">
        <f t="shared" si="178"/>
        <v>0</v>
      </c>
      <c r="LUJ49" s="375">
        <f t="shared" si="178"/>
        <v>0</v>
      </c>
      <c r="LUK49" s="375">
        <f t="shared" si="178"/>
        <v>0</v>
      </c>
      <c r="LUL49" s="375">
        <f t="shared" si="178"/>
        <v>0</v>
      </c>
      <c r="LUM49" s="375">
        <f t="shared" si="178"/>
        <v>0</v>
      </c>
      <c r="LUN49" s="375">
        <f t="shared" si="178"/>
        <v>0</v>
      </c>
      <c r="LUO49" s="375">
        <f t="shared" si="178"/>
        <v>0</v>
      </c>
      <c r="LUP49" s="375">
        <f t="shared" si="178"/>
        <v>0</v>
      </c>
      <c r="LUQ49" s="375">
        <f t="shared" si="178"/>
        <v>0</v>
      </c>
      <c r="LUR49" s="375">
        <f t="shared" si="178"/>
        <v>0</v>
      </c>
      <c r="LUS49" s="375">
        <f t="shared" si="178"/>
        <v>0</v>
      </c>
      <c r="LUT49" s="375">
        <f t="shared" si="178"/>
        <v>0</v>
      </c>
      <c r="LUU49" s="375">
        <f t="shared" si="178"/>
        <v>0</v>
      </c>
      <c r="LUV49" s="375">
        <f t="shared" si="178"/>
        <v>0</v>
      </c>
      <c r="LUW49" s="375">
        <f t="shared" si="178"/>
        <v>0</v>
      </c>
      <c r="LUX49" s="375">
        <f t="shared" si="178"/>
        <v>0</v>
      </c>
      <c r="LUY49" s="375">
        <f t="shared" si="178"/>
        <v>0</v>
      </c>
      <c r="LUZ49" s="375">
        <f t="shared" si="178"/>
        <v>0</v>
      </c>
      <c r="LVA49" s="375">
        <f t="shared" si="178"/>
        <v>0</v>
      </c>
      <c r="LVB49" s="375">
        <f t="shared" si="178"/>
        <v>0</v>
      </c>
      <c r="LVC49" s="375">
        <f t="shared" si="178"/>
        <v>0</v>
      </c>
      <c r="LVD49" s="375">
        <f t="shared" si="178"/>
        <v>0</v>
      </c>
      <c r="LVE49" s="375">
        <f t="shared" si="178"/>
        <v>0</v>
      </c>
      <c r="LVF49" s="375">
        <f t="shared" si="178"/>
        <v>0</v>
      </c>
      <c r="LVG49" s="375">
        <f t="shared" si="178"/>
        <v>0</v>
      </c>
      <c r="LVH49" s="375">
        <f t="shared" si="178"/>
        <v>0</v>
      </c>
      <c r="LVI49" s="375">
        <f t="shared" si="178"/>
        <v>0</v>
      </c>
      <c r="LVJ49" s="375">
        <f t="shared" si="178"/>
        <v>0</v>
      </c>
      <c r="LVK49" s="375">
        <f t="shared" si="178"/>
        <v>0</v>
      </c>
      <c r="LVL49" s="375">
        <f t="shared" si="178"/>
        <v>0</v>
      </c>
      <c r="LVM49" s="375">
        <f t="shared" si="178"/>
        <v>0</v>
      </c>
      <c r="LVN49" s="375">
        <f t="shared" si="178"/>
        <v>0</v>
      </c>
      <c r="LVO49" s="375">
        <f t="shared" si="178"/>
        <v>0</v>
      </c>
      <c r="LVP49" s="375">
        <f t="shared" si="178"/>
        <v>0</v>
      </c>
      <c r="LVQ49" s="375">
        <f t="shared" si="178"/>
        <v>0</v>
      </c>
      <c r="LVR49" s="375">
        <f t="shared" si="178"/>
        <v>0</v>
      </c>
      <c r="LVS49" s="375">
        <f t="shared" si="178"/>
        <v>0</v>
      </c>
      <c r="LVT49" s="375">
        <f t="shared" si="178"/>
        <v>0</v>
      </c>
      <c r="LVU49" s="375">
        <f t="shared" ref="LVU49:LYF49" si="179">LVU48*0.8</f>
        <v>0</v>
      </c>
      <c r="LVV49" s="375">
        <f t="shared" si="179"/>
        <v>0</v>
      </c>
      <c r="LVW49" s="375">
        <f t="shared" si="179"/>
        <v>0</v>
      </c>
      <c r="LVX49" s="375">
        <f t="shared" si="179"/>
        <v>0</v>
      </c>
      <c r="LVY49" s="375">
        <f t="shared" si="179"/>
        <v>0</v>
      </c>
      <c r="LVZ49" s="375">
        <f t="shared" si="179"/>
        <v>0</v>
      </c>
      <c r="LWA49" s="375">
        <f t="shared" si="179"/>
        <v>0</v>
      </c>
      <c r="LWB49" s="375">
        <f t="shared" si="179"/>
        <v>0</v>
      </c>
      <c r="LWC49" s="375">
        <f t="shared" si="179"/>
        <v>0</v>
      </c>
      <c r="LWD49" s="375">
        <f t="shared" si="179"/>
        <v>0</v>
      </c>
      <c r="LWE49" s="375">
        <f t="shared" si="179"/>
        <v>0</v>
      </c>
      <c r="LWF49" s="375">
        <f t="shared" si="179"/>
        <v>0</v>
      </c>
      <c r="LWG49" s="375">
        <f t="shared" si="179"/>
        <v>0</v>
      </c>
      <c r="LWH49" s="375">
        <f t="shared" si="179"/>
        <v>0</v>
      </c>
      <c r="LWI49" s="375">
        <f t="shared" si="179"/>
        <v>0</v>
      </c>
      <c r="LWJ49" s="375">
        <f t="shared" si="179"/>
        <v>0</v>
      </c>
      <c r="LWK49" s="375">
        <f t="shared" si="179"/>
        <v>0</v>
      </c>
      <c r="LWL49" s="375">
        <f t="shared" si="179"/>
        <v>0</v>
      </c>
      <c r="LWM49" s="375">
        <f t="shared" si="179"/>
        <v>0</v>
      </c>
      <c r="LWN49" s="375">
        <f t="shared" si="179"/>
        <v>0</v>
      </c>
      <c r="LWO49" s="375">
        <f t="shared" si="179"/>
        <v>0</v>
      </c>
      <c r="LWP49" s="375">
        <f t="shared" si="179"/>
        <v>0</v>
      </c>
      <c r="LWQ49" s="375">
        <f t="shared" si="179"/>
        <v>0</v>
      </c>
      <c r="LWR49" s="375">
        <f t="shared" si="179"/>
        <v>0</v>
      </c>
      <c r="LWS49" s="375">
        <f t="shared" si="179"/>
        <v>0</v>
      </c>
      <c r="LWT49" s="375">
        <f t="shared" si="179"/>
        <v>0</v>
      </c>
      <c r="LWU49" s="375">
        <f t="shared" si="179"/>
        <v>0</v>
      </c>
      <c r="LWV49" s="375">
        <f t="shared" si="179"/>
        <v>0</v>
      </c>
      <c r="LWW49" s="375">
        <f t="shared" si="179"/>
        <v>0</v>
      </c>
      <c r="LWX49" s="375">
        <f t="shared" si="179"/>
        <v>0</v>
      </c>
      <c r="LWY49" s="375">
        <f t="shared" si="179"/>
        <v>0</v>
      </c>
      <c r="LWZ49" s="375">
        <f t="shared" si="179"/>
        <v>0</v>
      </c>
      <c r="LXA49" s="375">
        <f t="shared" si="179"/>
        <v>0</v>
      </c>
      <c r="LXB49" s="375">
        <f t="shared" si="179"/>
        <v>0</v>
      </c>
      <c r="LXC49" s="375">
        <f t="shared" si="179"/>
        <v>0</v>
      </c>
      <c r="LXD49" s="375">
        <f t="shared" si="179"/>
        <v>0</v>
      </c>
      <c r="LXE49" s="375">
        <f t="shared" si="179"/>
        <v>0</v>
      </c>
      <c r="LXF49" s="375">
        <f t="shared" si="179"/>
        <v>0</v>
      </c>
      <c r="LXG49" s="375">
        <f t="shared" si="179"/>
        <v>0</v>
      </c>
      <c r="LXH49" s="375">
        <f t="shared" si="179"/>
        <v>0</v>
      </c>
      <c r="LXI49" s="375">
        <f t="shared" si="179"/>
        <v>0</v>
      </c>
      <c r="LXJ49" s="375">
        <f t="shared" si="179"/>
        <v>0</v>
      </c>
      <c r="LXK49" s="375">
        <f t="shared" si="179"/>
        <v>0</v>
      </c>
      <c r="LXL49" s="375">
        <f t="shared" si="179"/>
        <v>0</v>
      </c>
      <c r="LXM49" s="375">
        <f t="shared" si="179"/>
        <v>0</v>
      </c>
      <c r="LXN49" s="375">
        <f t="shared" si="179"/>
        <v>0</v>
      </c>
      <c r="LXO49" s="375">
        <f t="shared" si="179"/>
        <v>0</v>
      </c>
      <c r="LXP49" s="375">
        <f t="shared" si="179"/>
        <v>0</v>
      </c>
      <c r="LXQ49" s="375">
        <f t="shared" si="179"/>
        <v>0</v>
      </c>
      <c r="LXR49" s="375">
        <f t="shared" si="179"/>
        <v>0</v>
      </c>
      <c r="LXS49" s="375">
        <f t="shared" si="179"/>
        <v>0</v>
      </c>
      <c r="LXT49" s="375">
        <f t="shared" si="179"/>
        <v>0</v>
      </c>
      <c r="LXU49" s="375">
        <f t="shared" si="179"/>
        <v>0</v>
      </c>
      <c r="LXV49" s="375">
        <f t="shared" si="179"/>
        <v>0</v>
      </c>
      <c r="LXW49" s="375">
        <f t="shared" si="179"/>
        <v>0</v>
      </c>
      <c r="LXX49" s="375">
        <f t="shared" si="179"/>
        <v>0</v>
      </c>
      <c r="LXY49" s="375">
        <f t="shared" si="179"/>
        <v>0</v>
      </c>
      <c r="LXZ49" s="375">
        <f t="shared" si="179"/>
        <v>0</v>
      </c>
      <c r="LYA49" s="375">
        <f t="shared" si="179"/>
        <v>0</v>
      </c>
      <c r="LYB49" s="375">
        <f t="shared" si="179"/>
        <v>0</v>
      </c>
      <c r="LYC49" s="375">
        <f t="shared" si="179"/>
        <v>0</v>
      </c>
      <c r="LYD49" s="375">
        <f t="shared" si="179"/>
        <v>0</v>
      </c>
      <c r="LYE49" s="375">
        <f t="shared" si="179"/>
        <v>0</v>
      </c>
      <c r="LYF49" s="375">
        <f t="shared" si="179"/>
        <v>0</v>
      </c>
      <c r="LYG49" s="375">
        <f t="shared" ref="LYG49:MAR49" si="180">LYG48*0.8</f>
        <v>0</v>
      </c>
      <c r="LYH49" s="375">
        <f t="shared" si="180"/>
        <v>0</v>
      </c>
      <c r="LYI49" s="375">
        <f t="shared" si="180"/>
        <v>0</v>
      </c>
      <c r="LYJ49" s="375">
        <f t="shared" si="180"/>
        <v>0</v>
      </c>
      <c r="LYK49" s="375">
        <f t="shared" si="180"/>
        <v>0</v>
      </c>
      <c r="LYL49" s="375">
        <f t="shared" si="180"/>
        <v>0</v>
      </c>
      <c r="LYM49" s="375">
        <f t="shared" si="180"/>
        <v>0</v>
      </c>
      <c r="LYN49" s="375">
        <f t="shared" si="180"/>
        <v>0</v>
      </c>
      <c r="LYO49" s="375">
        <f t="shared" si="180"/>
        <v>0</v>
      </c>
      <c r="LYP49" s="375">
        <f t="shared" si="180"/>
        <v>0</v>
      </c>
      <c r="LYQ49" s="375">
        <f t="shared" si="180"/>
        <v>0</v>
      </c>
      <c r="LYR49" s="375">
        <f t="shared" si="180"/>
        <v>0</v>
      </c>
      <c r="LYS49" s="375">
        <f t="shared" si="180"/>
        <v>0</v>
      </c>
      <c r="LYT49" s="375">
        <f t="shared" si="180"/>
        <v>0</v>
      </c>
      <c r="LYU49" s="375">
        <f t="shared" si="180"/>
        <v>0</v>
      </c>
      <c r="LYV49" s="375">
        <f t="shared" si="180"/>
        <v>0</v>
      </c>
      <c r="LYW49" s="375">
        <f t="shared" si="180"/>
        <v>0</v>
      </c>
      <c r="LYX49" s="375">
        <f t="shared" si="180"/>
        <v>0</v>
      </c>
      <c r="LYY49" s="375">
        <f t="shared" si="180"/>
        <v>0</v>
      </c>
      <c r="LYZ49" s="375">
        <f t="shared" si="180"/>
        <v>0</v>
      </c>
      <c r="LZA49" s="375">
        <f t="shared" si="180"/>
        <v>0</v>
      </c>
      <c r="LZB49" s="375">
        <f t="shared" si="180"/>
        <v>0</v>
      </c>
      <c r="LZC49" s="375">
        <f t="shared" si="180"/>
        <v>0</v>
      </c>
      <c r="LZD49" s="375">
        <f t="shared" si="180"/>
        <v>0</v>
      </c>
      <c r="LZE49" s="375">
        <f t="shared" si="180"/>
        <v>0</v>
      </c>
      <c r="LZF49" s="375">
        <f t="shared" si="180"/>
        <v>0</v>
      </c>
      <c r="LZG49" s="375">
        <f t="shared" si="180"/>
        <v>0</v>
      </c>
      <c r="LZH49" s="375">
        <f t="shared" si="180"/>
        <v>0</v>
      </c>
      <c r="LZI49" s="375">
        <f t="shared" si="180"/>
        <v>0</v>
      </c>
      <c r="LZJ49" s="375">
        <f t="shared" si="180"/>
        <v>0</v>
      </c>
      <c r="LZK49" s="375">
        <f t="shared" si="180"/>
        <v>0</v>
      </c>
      <c r="LZL49" s="375">
        <f t="shared" si="180"/>
        <v>0</v>
      </c>
      <c r="LZM49" s="375">
        <f t="shared" si="180"/>
        <v>0</v>
      </c>
      <c r="LZN49" s="375">
        <f t="shared" si="180"/>
        <v>0</v>
      </c>
      <c r="LZO49" s="375">
        <f t="shared" si="180"/>
        <v>0</v>
      </c>
      <c r="LZP49" s="375">
        <f t="shared" si="180"/>
        <v>0</v>
      </c>
      <c r="LZQ49" s="375">
        <f t="shared" si="180"/>
        <v>0</v>
      </c>
      <c r="LZR49" s="375">
        <f t="shared" si="180"/>
        <v>0</v>
      </c>
      <c r="LZS49" s="375">
        <f t="shared" si="180"/>
        <v>0</v>
      </c>
      <c r="LZT49" s="375">
        <f t="shared" si="180"/>
        <v>0</v>
      </c>
      <c r="LZU49" s="375">
        <f t="shared" si="180"/>
        <v>0</v>
      </c>
      <c r="LZV49" s="375">
        <f t="shared" si="180"/>
        <v>0</v>
      </c>
      <c r="LZW49" s="375">
        <f t="shared" si="180"/>
        <v>0</v>
      </c>
      <c r="LZX49" s="375">
        <f t="shared" si="180"/>
        <v>0</v>
      </c>
      <c r="LZY49" s="375">
        <f t="shared" si="180"/>
        <v>0</v>
      </c>
      <c r="LZZ49" s="375">
        <f t="shared" si="180"/>
        <v>0</v>
      </c>
      <c r="MAA49" s="375">
        <f t="shared" si="180"/>
        <v>0</v>
      </c>
      <c r="MAB49" s="375">
        <f t="shared" si="180"/>
        <v>0</v>
      </c>
      <c r="MAC49" s="375">
        <f t="shared" si="180"/>
        <v>0</v>
      </c>
      <c r="MAD49" s="375">
        <f t="shared" si="180"/>
        <v>0</v>
      </c>
      <c r="MAE49" s="375">
        <f t="shared" si="180"/>
        <v>0</v>
      </c>
      <c r="MAF49" s="375">
        <f t="shared" si="180"/>
        <v>0</v>
      </c>
      <c r="MAG49" s="375">
        <f t="shared" si="180"/>
        <v>0</v>
      </c>
      <c r="MAH49" s="375">
        <f t="shared" si="180"/>
        <v>0</v>
      </c>
      <c r="MAI49" s="375">
        <f t="shared" si="180"/>
        <v>0</v>
      </c>
      <c r="MAJ49" s="375">
        <f t="shared" si="180"/>
        <v>0</v>
      </c>
      <c r="MAK49" s="375">
        <f t="shared" si="180"/>
        <v>0</v>
      </c>
      <c r="MAL49" s="375">
        <f t="shared" si="180"/>
        <v>0</v>
      </c>
      <c r="MAM49" s="375">
        <f t="shared" si="180"/>
        <v>0</v>
      </c>
      <c r="MAN49" s="375">
        <f t="shared" si="180"/>
        <v>0</v>
      </c>
      <c r="MAO49" s="375">
        <f t="shared" si="180"/>
        <v>0</v>
      </c>
      <c r="MAP49" s="375">
        <f t="shared" si="180"/>
        <v>0</v>
      </c>
      <c r="MAQ49" s="375">
        <f t="shared" si="180"/>
        <v>0</v>
      </c>
      <c r="MAR49" s="375">
        <f t="shared" si="180"/>
        <v>0</v>
      </c>
      <c r="MAS49" s="375">
        <f t="shared" ref="MAS49:MDD49" si="181">MAS48*0.8</f>
        <v>0</v>
      </c>
      <c r="MAT49" s="375">
        <f t="shared" si="181"/>
        <v>0</v>
      </c>
      <c r="MAU49" s="375">
        <f t="shared" si="181"/>
        <v>0</v>
      </c>
      <c r="MAV49" s="375">
        <f t="shared" si="181"/>
        <v>0</v>
      </c>
      <c r="MAW49" s="375">
        <f t="shared" si="181"/>
        <v>0</v>
      </c>
      <c r="MAX49" s="375">
        <f t="shared" si="181"/>
        <v>0</v>
      </c>
      <c r="MAY49" s="375">
        <f t="shared" si="181"/>
        <v>0</v>
      </c>
      <c r="MAZ49" s="375">
        <f t="shared" si="181"/>
        <v>0</v>
      </c>
      <c r="MBA49" s="375">
        <f t="shared" si="181"/>
        <v>0</v>
      </c>
      <c r="MBB49" s="375">
        <f t="shared" si="181"/>
        <v>0</v>
      </c>
      <c r="MBC49" s="375">
        <f t="shared" si="181"/>
        <v>0</v>
      </c>
      <c r="MBD49" s="375">
        <f t="shared" si="181"/>
        <v>0</v>
      </c>
      <c r="MBE49" s="375">
        <f t="shared" si="181"/>
        <v>0</v>
      </c>
      <c r="MBF49" s="375">
        <f t="shared" si="181"/>
        <v>0</v>
      </c>
      <c r="MBG49" s="375">
        <f t="shared" si="181"/>
        <v>0</v>
      </c>
      <c r="MBH49" s="375">
        <f t="shared" si="181"/>
        <v>0</v>
      </c>
      <c r="MBI49" s="375">
        <f t="shared" si="181"/>
        <v>0</v>
      </c>
      <c r="MBJ49" s="375">
        <f t="shared" si="181"/>
        <v>0</v>
      </c>
      <c r="MBK49" s="375">
        <f t="shared" si="181"/>
        <v>0</v>
      </c>
      <c r="MBL49" s="375">
        <f t="shared" si="181"/>
        <v>0</v>
      </c>
      <c r="MBM49" s="375">
        <f t="shared" si="181"/>
        <v>0</v>
      </c>
      <c r="MBN49" s="375">
        <f t="shared" si="181"/>
        <v>0</v>
      </c>
      <c r="MBO49" s="375">
        <f t="shared" si="181"/>
        <v>0</v>
      </c>
      <c r="MBP49" s="375">
        <f t="shared" si="181"/>
        <v>0</v>
      </c>
      <c r="MBQ49" s="375">
        <f t="shared" si="181"/>
        <v>0</v>
      </c>
      <c r="MBR49" s="375">
        <f t="shared" si="181"/>
        <v>0</v>
      </c>
      <c r="MBS49" s="375">
        <f t="shared" si="181"/>
        <v>0</v>
      </c>
      <c r="MBT49" s="375">
        <f t="shared" si="181"/>
        <v>0</v>
      </c>
      <c r="MBU49" s="375">
        <f t="shared" si="181"/>
        <v>0</v>
      </c>
      <c r="MBV49" s="375">
        <f t="shared" si="181"/>
        <v>0</v>
      </c>
      <c r="MBW49" s="375">
        <f t="shared" si="181"/>
        <v>0</v>
      </c>
      <c r="MBX49" s="375">
        <f t="shared" si="181"/>
        <v>0</v>
      </c>
      <c r="MBY49" s="375">
        <f t="shared" si="181"/>
        <v>0</v>
      </c>
      <c r="MBZ49" s="375">
        <f t="shared" si="181"/>
        <v>0</v>
      </c>
      <c r="MCA49" s="375">
        <f t="shared" si="181"/>
        <v>0</v>
      </c>
      <c r="MCB49" s="375">
        <f t="shared" si="181"/>
        <v>0</v>
      </c>
      <c r="MCC49" s="375">
        <f t="shared" si="181"/>
        <v>0</v>
      </c>
      <c r="MCD49" s="375">
        <f t="shared" si="181"/>
        <v>0</v>
      </c>
      <c r="MCE49" s="375">
        <f t="shared" si="181"/>
        <v>0</v>
      </c>
      <c r="MCF49" s="375">
        <f t="shared" si="181"/>
        <v>0</v>
      </c>
      <c r="MCG49" s="375">
        <f t="shared" si="181"/>
        <v>0</v>
      </c>
      <c r="MCH49" s="375">
        <f t="shared" si="181"/>
        <v>0</v>
      </c>
      <c r="MCI49" s="375">
        <f t="shared" si="181"/>
        <v>0</v>
      </c>
      <c r="MCJ49" s="375">
        <f t="shared" si="181"/>
        <v>0</v>
      </c>
      <c r="MCK49" s="375">
        <f t="shared" si="181"/>
        <v>0</v>
      </c>
      <c r="MCL49" s="375">
        <f t="shared" si="181"/>
        <v>0</v>
      </c>
      <c r="MCM49" s="375">
        <f t="shared" si="181"/>
        <v>0</v>
      </c>
      <c r="MCN49" s="375">
        <f t="shared" si="181"/>
        <v>0</v>
      </c>
      <c r="MCO49" s="375">
        <f t="shared" si="181"/>
        <v>0</v>
      </c>
      <c r="MCP49" s="375">
        <f t="shared" si="181"/>
        <v>0</v>
      </c>
      <c r="MCQ49" s="375">
        <f t="shared" si="181"/>
        <v>0</v>
      </c>
      <c r="MCR49" s="375">
        <f t="shared" si="181"/>
        <v>0</v>
      </c>
      <c r="MCS49" s="375">
        <f t="shared" si="181"/>
        <v>0</v>
      </c>
      <c r="MCT49" s="375">
        <f t="shared" si="181"/>
        <v>0</v>
      </c>
      <c r="MCU49" s="375">
        <f t="shared" si="181"/>
        <v>0</v>
      </c>
      <c r="MCV49" s="375">
        <f t="shared" si="181"/>
        <v>0</v>
      </c>
      <c r="MCW49" s="375">
        <f t="shared" si="181"/>
        <v>0</v>
      </c>
      <c r="MCX49" s="375">
        <f t="shared" si="181"/>
        <v>0</v>
      </c>
      <c r="MCY49" s="375">
        <f t="shared" si="181"/>
        <v>0</v>
      </c>
      <c r="MCZ49" s="375">
        <f t="shared" si="181"/>
        <v>0</v>
      </c>
      <c r="MDA49" s="375">
        <f t="shared" si="181"/>
        <v>0</v>
      </c>
      <c r="MDB49" s="375">
        <f t="shared" si="181"/>
        <v>0</v>
      </c>
      <c r="MDC49" s="375">
        <f t="shared" si="181"/>
        <v>0</v>
      </c>
      <c r="MDD49" s="375">
        <f t="shared" si="181"/>
        <v>0</v>
      </c>
      <c r="MDE49" s="375">
        <f t="shared" ref="MDE49:MFP49" si="182">MDE48*0.8</f>
        <v>0</v>
      </c>
      <c r="MDF49" s="375">
        <f t="shared" si="182"/>
        <v>0</v>
      </c>
      <c r="MDG49" s="375">
        <f t="shared" si="182"/>
        <v>0</v>
      </c>
      <c r="MDH49" s="375">
        <f t="shared" si="182"/>
        <v>0</v>
      </c>
      <c r="MDI49" s="375">
        <f t="shared" si="182"/>
        <v>0</v>
      </c>
      <c r="MDJ49" s="375">
        <f t="shared" si="182"/>
        <v>0</v>
      </c>
      <c r="MDK49" s="375">
        <f t="shared" si="182"/>
        <v>0</v>
      </c>
      <c r="MDL49" s="375">
        <f t="shared" si="182"/>
        <v>0</v>
      </c>
      <c r="MDM49" s="375">
        <f t="shared" si="182"/>
        <v>0</v>
      </c>
      <c r="MDN49" s="375">
        <f t="shared" si="182"/>
        <v>0</v>
      </c>
      <c r="MDO49" s="375">
        <f t="shared" si="182"/>
        <v>0</v>
      </c>
      <c r="MDP49" s="375">
        <f t="shared" si="182"/>
        <v>0</v>
      </c>
      <c r="MDQ49" s="375">
        <f t="shared" si="182"/>
        <v>0</v>
      </c>
      <c r="MDR49" s="375">
        <f t="shared" si="182"/>
        <v>0</v>
      </c>
      <c r="MDS49" s="375">
        <f t="shared" si="182"/>
        <v>0</v>
      </c>
      <c r="MDT49" s="375">
        <f t="shared" si="182"/>
        <v>0</v>
      </c>
      <c r="MDU49" s="375">
        <f t="shared" si="182"/>
        <v>0</v>
      </c>
      <c r="MDV49" s="375">
        <f t="shared" si="182"/>
        <v>0</v>
      </c>
      <c r="MDW49" s="375">
        <f t="shared" si="182"/>
        <v>0</v>
      </c>
      <c r="MDX49" s="375">
        <f t="shared" si="182"/>
        <v>0</v>
      </c>
      <c r="MDY49" s="375">
        <f t="shared" si="182"/>
        <v>0</v>
      </c>
      <c r="MDZ49" s="375">
        <f t="shared" si="182"/>
        <v>0</v>
      </c>
      <c r="MEA49" s="375">
        <f t="shared" si="182"/>
        <v>0</v>
      </c>
      <c r="MEB49" s="375">
        <f t="shared" si="182"/>
        <v>0</v>
      </c>
      <c r="MEC49" s="375">
        <f t="shared" si="182"/>
        <v>0</v>
      </c>
      <c r="MED49" s="375">
        <f t="shared" si="182"/>
        <v>0</v>
      </c>
      <c r="MEE49" s="375">
        <f t="shared" si="182"/>
        <v>0</v>
      </c>
      <c r="MEF49" s="375">
        <f t="shared" si="182"/>
        <v>0</v>
      </c>
      <c r="MEG49" s="375">
        <f t="shared" si="182"/>
        <v>0</v>
      </c>
      <c r="MEH49" s="375">
        <f t="shared" si="182"/>
        <v>0</v>
      </c>
      <c r="MEI49" s="375">
        <f t="shared" si="182"/>
        <v>0</v>
      </c>
      <c r="MEJ49" s="375">
        <f t="shared" si="182"/>
        <v>0</v>
      </c>
      <c r="MEK49" s="375">
        <f t="shared" si="182"/>
        <v>0</v>
      </c>
      <c r="MEL49" s="375">
        <f t="shared" si="182"/>
        <v>0</v>
      </c>
      <c r="MEM49" s="375">
        <f t="shared" si="182"/>
        <v>0</v>
      </c>
      <c r="MEN49" s="375">
        <f t="shared" si="182"/>
        <v>0</v>
      </c>
      <c r="MEO49" s="375">
        <f t="shared" si="182"/>
        <v>0</v>
      </c>
      <c r="MEP49" s="375">
        <f t="shared" si="182"/>
        <v>0</v>
      </c>
      <c r="MEQ49" s="375">
        <f t="shared" si="182"/>
        <v>0</v>
      </c>
      <c r="MER49" s="375">
        <f t="shared" si="182"/>
        <v>0</v>
      </c>
      <c r="MES49" s="375">
        <f t="shared" si="182"/>
        <v>0</v>
      </c>
      <c r="MET49" s="375">
        <f t="shared" si="182"/>
        <v>0</v>
      </c>
      <c r="MEU49" s="375">
        <f t="shared" si="182"/>
        <v>0</v>
      </c>
      <c r="MEV49" s="375">
        <f t="shared" si="182"/>
        <v>0</v>
      </c>
      <c r="MEW49" s="375">
        <f t="shared" si="182"/>
        <v>0</v>
      </c>
      <c r="MEX49" s="375">
        <f t="shared" si="182"/>
        <v>0</v>
      </c>
      <c r="MEY49" s="375">
        <f t="shared" si="182"/>
        <v>0</v>
      </c>
      <c r="MEZ49" s="375">
        <f t="shared" si="182"/>
        <v>0</v>
      </c>
      <c r="MFA49" s="375">
        <f t="shared" si="182"/>
        <v>0</v>
      </c>
      <c r="MFB49" s="375">
        <f t="shared" si="182"/>
        <v>0</v>
      </c>
      <c r="MFC49" s="375">
        <f t="shared" si="182"/>
        <v>0</v>
      </c>
      <c r="MFD49" s="375">
        <f t="shared" si="182"/>
        <v>0</v>
      </c>
      <c r="MFE49" s="375">
        <f t="shared" si="182"/>
        <v>0</v>
      </c>
      <c r="MFF49" s="375">
        <f t="shared" si="182"/>
        <v>0</v>
      </c>
      <c r="MFG49" s="375">
        <f t="shared" si="182"/>
        <v>0</v>
      </c>
      <c r="MFH49" s="375">
        <f t="shared" si="182"/>
        <v>0</v>
      </c>
      <c r="MFI49" s="375">
        <f t="shared" si="182"/>
        <v>0</v>
      </c>
      <c r="MFJ49" s="375">
        <f t="shared" si="182"/>
        <v>0</v>
      </c>
      <c r="MFK49" s="375">
        <f t="shared" si="182"/>
        <v>0</v>
      </c>
      <c r="MFL49" s="375">
        <f t="shared" si="182"/>
        <v>0</v>
      </c>
      <c r="MFM49" s="375">
        <f t="shared" si="182"/>
        <v>0</v>
      </c>
      <c r="MFN49" s="375">
        <f t="shared" si="182"/>
        <v>0</v>
      </c>
      <c r="MFO49" s="375">
        <f t="shared" si="182"/>
        <v>0</v>
      </c>
      <c r="MFP49" s="375">
        <f t="shared" si="182"/>
        <v>0</v>
      </c>
      <c r="MFQ49" s="375">
        <f t="shared" ref="MFQ49:MIB49" si="183">MFQ48*0.8</f>
        <v>0</v>
      </c>
      <c r="MFR49" s="375">
        <f t="shared" si="183"/>
        <v>0</v>
      </c>
      <c r="MFS49" s="375">
        <f t="shared" si="183"/>
        <v>0</v>
      </c>
      <c r="MFT49" s="375">
        <f t="shared" si="183"/>
        <v>0</v>
      </c>
      <c r="MFU49" s="375">
        <f t="shared" si="183"/>
        <v>0</v>
      </c>
      <c r="MFV49" s="375">
        <f t="shared" si="183"/>
        <v>0</v>
      </c>
      <c r="MFW49" s="375">
        <f t="shared" si="183"/>
        <v>0</v>
      </c>
      <c r="MFX49" s="375">
        <f t="shared" si="183"/>
        <v>0</v>
      </c>
      <c r="MFY49" s="375">
        <f t="shared" si="183"/>
        <v>0</v>
      </c>
      <c r="MFZ49" s="375">
        <f t="shared" si="183"/>
        <v>0</v>
      </c>
      <c r="MGA49" s="375">
        <f t="shared" si="183"/>
        <v>0</v>
      </c>
      <c r="MGB49" s="375">
        <f t="shared" si="183"/>
        <v>0</v>
      </c>
      <c r="MGC49" s="375">
        <f t="shared" si="183"/>
        <v>0</v>
      </c>
      <c r="MGD49" s="375">
        <f t="shared" si="183"/>
        <v>0</v>
      </c>
      <c r="MGE49" s="375">
        <f t="shared" si="183"/>
        <v>0</v>
      </c>
      <c r="MGF49" s="375">
        <f t="shared" si="183"/>
        <v>0</v>
      </c>
      <c r="MGG49" s="375">
        <f t="shared" si="183"/>
        <v>0</v>
      </c>
      <c r="MGH49" s="375">
        <f t="shared" si="183"/>
        <v>0</v>
      </c>
      <c r="MGI49" s="375">
        <f t="shared" si="183"/>
        <v>0</v>
      </c>
      <c r="MGJ49" s="375">
        <f t="shared" si="183"/>
        <v>0</v>
      </c>
      <c r="MGK49" s="375">
        <f t="shared" si="183"/>
        <v>0</v>
      </c>
      <c r="MGL49" s="375">
        <f t="shared" si="183"/>
        <v>0</v>
      </c>
      <c r="MGM49" s="375">
        <f t="shared" si="183"/>
        <v>0</v>
      </c>
      <c r="MGN49" s="375">
        <f t="shared" si="183"/>
        <v>0</v>
      </c>
      <c r="MGO49" s="375">
        <f t="shared" si="183"/>
        <v>0</v>
      </c>
      <c r="MGP49" s="375">
        <f t="shared" si="183"/>
        <v>0</v>
      </c>
      <c r="MGQ49" s="375">
        <f t="shared" si="183"/>
        <v>0</v>
      </c>
      <c r="MGR49" s="375">
        <f t="shared" si="183"/>
        <v>0</v>
      </c>
      <c r="MGS49" s="375">
        <f t="shared" si="183"/>
        <v>0</v>
      </c>
      <c r="MGT49" s="375">
        <f t="shared" si="183"/>
        <v>0</v>
      </c>
      <c r="MGU49" s="375">
        <f t="shared" si="183"/>
        <v>0</v>
      </c>
      <c r="MGV49" s="375">
        <f t="shared" si="183"/>
        <v>0</v>
      </c>
      <c r="MGW49" s="375">
        <f t="shared" si="183"/>
        <v>0</v>
      </c>
      <c r="MGX49" s="375">
        <f t="shared" si="183"/>
        <v>0</v>
      </c>
      <c r="MGY49" s="375">
        <f t="shared" si="183"/>
        <v>0</v>
      </c>
      <c r="MGZ49" s="375">
        <f t="shared" si="183"/>
        <v>0</v>
      </c>
      <c r="MHA49" s="375">
        <f t="shared" si="183"/>
        <v>0</v>
      </c>
      <c r="MHB49" s="375">
        <f t="shared" si="183"/>
        <v>0</v>
      </c>
      <c r="MHC49" s="375">
        <f t="shared" si="183"/>
        <v>0</v>
      </c>
      <c r="MHD49" s="375">
        <f t="shared" si="183"/>
        <v>0</v>
      </c>
      <c r="MHE49" s="375">
        <f t="shared" si="183"/>
        <v>0</v>
      </c>
      <c r="MHF49" s="375">
        <f t="shared" si="183"/>
        <v>0</v>
      </c>
      <c r="MHG49" s="375">
        <f t="shared" si="183"/>
        <v>0</v>
      </c>
      <c r="MHH49" s="375">
        <f t="shared" si="183"/>
        <v>0</v>
      </c>
      <c r="MHI49" s="375">
        <f t="shared" si="183"/>
        <v>0</v>
      </c>
      <c r="MHJ49" s="375">
        <f t="shared" si="183"/>
        <v>0</v>
      </c>
      <c r="MHK49" s="375">
        <f t="shared" si="183"/>
        <v>0</v>
      </c>
      <c r="MHL49" s="375">
        <f t="shared" si="183"/>
        <v>0</v>
      </c>
      <c r="MHM49" s="375">
        <f t="shared" si="183"/>
        <v>0</v>
      </c>
      <c r="MHN49" s="375">
        <f t="shared" si="183"/>
        <v>0</v>
      </c>
      <c r="MHO49" s="375">
        <f t="shared" si="183"/>
        <v>0</v>
      </c>
      <c r="MHP49" s="375">
        <f t="shared" si="183"/>
        <v>0</v>
      </c>
      <c r="MHQ49" s="375">
        <f t="shared" si="183"/>
        <v>0</v>
      </c>
      <c r="MHR49" s="375">
        <f t="shared" si="183"/>
        <v>0</v>
      </c>
      <c r="MHS49" s="375">
        <f t="shared" si="183"/>
        <v>0</v>
      </c>
      <c r="MHT49" s="375">
        <f t="shared" si="183"/>
        <v>0</v>
      </c>
      <c r="MHU49" s="375">
        <f t="shared" si="183"/>
        <v>0</v>
      </c>
      <c r="MHV49" s="375">
        <f t="shared" si="183"/>
        <v>0</v>
      </c>
      <c r="MHW49" s="375">
        <f t="shared" si="183"/>
        <v>0</v>
      </c>
      <c r="MHX49" s="375">
        <f t="shared" si="183"/>
        <v>0</v>
      </c>
      <c r="MHY49" s="375">
        <f t="shared" si="183"/>
        <v>0</v>
      </c>
      <c r="MHZ49" s="375">
        <f t="shared" si="183"/>
        <v>0</v>
      </c>
      <c r="MIA49" s="375">
        <f t="shared" si="183"/>
        <v>0</v>
      </c>
      <c r="MIB49" s="375">
        <f t="shared" si="183"/>
        <v>0</v>
      </c>
      <c r="MIC49" s="375">
        <f t="shared" ref="MIC49:MKN49" si="184">MIC48*0.8</f>
        <v>0</v>
      </c>
      <c r="MID49" s="375">
        <f t="shared" si="184"/>
        <v>0</v>
      </c>
      <c r="MIE49" s="375">
        <f t="shared" si="184"/>
        <v>0</v>
      </c>
      <c r="MIF49" s="375">
        <f t="shared" si="184"/>
        <v>0</v>
      </c>
      <c r="MIG49" s="375">
        <f t="shared" si="184"/>
        <v>0</v>
      </c>
      <c r="MIH49" s="375">
        <f t="shared" si="184"/>
        <v>0</v>
      </c>
      <c r="MII49" s="375">
        <f t="shared" si="184"/>
        <v>0</v>
      </c>
      <c r="MIJ49" s="375">
        <f t="shared" si="184"/>
        <v>0</v>
      </c>
      <c r="MIK49" s="375">
        <f t="shared" si="184"/>
        <v>0</v>
      </c>
      <c r="MIL49" s="375">
        <f t="shared" si="184"/>
        <v>0</v>
      </c>
      <c r="MIM49" s="375">
        <f t="shared" si="184"/>
        <v>0</v>
      </c>
      <c r="MIN49" s="375">
        <f t="shared" si="184"/>
        <v>0</v>
      </c>
      <c r="MIO49" s="375">
        <f t="shared" si="184"/>
        <v>0</v>
      </c>
      <c r="MIP49" s="375">
        <f t="shared" si="184"/>
        <v>0</v>
      </c>
      <c r="MIQ49" s="375">
        <f t="shared" si="184"/>
        <v>0</v>
      </c>
      <c r="MIR49" s="375">
        <f t="shared" si="184"/>
        <v>0</v>
      </c>
      <c r="MIS49" s="375">
        <f t="shared" si="184"/>
        <v>0</v>
      </c>
      <c r="MIT49" s="375">
        <f t="shared" si="184"/>
        <v>0</v>
      </c>
      <c r="MIU49" s="375">
        <f t="shared" si="184"/>
        <v>0</v>
      </c>
      <c r="MIV49" s="375">
        <f t="shared" si="184"/>
        <v>0</v>
      </c>
      <c r="MIW49" s="375">
        <f t="shared" si="184"/>
        <v>0</v>
      </c>
      <c r="MIX49" s="375">
        <f t="shared" si="184"/>
        <v>0</v>
      </c>
      <c r="MIY49" s="375">
        <f t="shared" si="184"/>
        <v>0</v>
      </c>
      <c r="MIZ49" s="375">
        <f t="shared" si="184"/>
        <v>0</v>
      </c>
      <c r="MJA49" s="375">
        <f t="shared" si="184"/>
        <v>0</v>
      </c>
      <c r="MJB49" s="375">
        <f t="shared" si="184"/>
        <v>0</v>
      </c>
      <c r="MJC49" s="375">
        <f t="shared" si="184"/>
        <v>0</v>
      </c>
      <c r="MJD49" s="375">
        <f t="shared" si="184"/>
        <v>0</v>
      </c>
      <c r="MJE49" s="375">
        <f t="shared" si="184"/>
        <v>0</v>
      </c>
      <c r="MJF49" s="375">
        <f t="shared" si="184"/>
        <v>0</v>
      </c>
      <c r="MJG49" s="375">
        <f t="shared" si="184"/>
        <v>0</v>
      </c>
      <c r="MJH49" s="375">
        <f t="shared" si="184"/>
        <v>0</v>
      </c>
      <c r="MJI49" s="375">
        <f t="shared" si="184"/>
        <v>0</v>
      </c>
      <c r="MJJ49" s="375">
        <f t="shared" si="184"/>
        <v>0</v>
      </c>
      <c r="MJK49" s="375">
        <f t="shared" si="184"/>
        <v>0</v>
      </c>
      <c r="MJL49" s="375">
        <f t="shared" si="184"/>
        <v>0</v>
      </c>
      <c r="MJM49" s="375">
        <f t="shared" si="184"/>
        <v>0</v>
      </c>
      <c r="MJN49" s="375">
        <f t="shared" si="184"/>
        <v>0</v>
      </c>
      <c r="MJO49" s="375">
        <f t="shared" si="184"/>
        <v>0</v>
      </c>
      <c r="MJP49" s="375">
        <f t="shared" si="184"/>
        <v>0</v>
      </c>
      <c r="MJQ49" s="375">
        <f t="shared" si="184"/>
        <v>0</v>
      </c>
      <c r="MJR49" s="375">
        <f t="shared" si="184"/>
        <v>0</v>
      </c>
      <c r="MJS49" s="375">
        <f t="shared" si="184"/>
        <v>0</v>
      </c>
      <c r="MJT49" s="375">
        <f t="shared" si="184"/>
        <v>0</v>
      </c>
      <c r="MJU49" s="375">
        <f t="shared" si="184"/>
        <v>0</v>
      </c>
      <c r="MJV49" s="375">
        <f t="shared" si="184"/>
        <v>0</v>
      </c>
      <c r="MJW49" s="375">
        <f t="shared" si="184"/>
        <v>0</v>
      </c>
      <c r="MJX49" s="375">
        <f t="shared" si="184"/>
        <v>0</v>
      </c>
      <c r="MJY49" s="375">
        <f t="shared" si="184"/>
        <v>0</v>
      </c>
      <c r="MJZ49" s="375">
        <f t="shared" si="184"/>
        <v>0</v>
      </c>
      <c r="MKA49" s="375">
        <f t="shared" si="184"/>
        <v>0</v>
      </c>
      <c r="MKB49" s="375">
        <f t="shared" si="184"/>
        <v>0</v>
      </c>
      <c r="MKC49" s="375">
        <f t="shared" si="184"/>
        <v>0</v>
      </c>
      <c r="MKD49" s="375">
        <f t="shared" si="184"/>
        <v>0</v>
      </c>
      <c r="MKE49" s="375">
        <f t="shared" si="184"/>
        <v>0</v>
      </c>
      <c r="MKF49" s="375">
        <f t="shared" si="184"/>
        <v>0</v>
      </c>
      <c r="MKG49" s="375">
        <f t="shared" si="184"/>
        <v>0</v>
      </c>
      <c r="MKH49" s="375">
        <f t="shared" si="184"/>
        <v>0</v>
      </c>
      <c r="MKI49" s="375">
        <f t="shared" si="184"/>
        <v>0</v>
      </c>
      <c r="MKJ49" s="375">
        <f t="shared" si="184"/>
        <v>0</v>
      </c>
      <c r="MKK49" s="375">
        <f t="shared" si="184"/>
        <v>0</v>
      </c>
      <c r="MKL49" s="375">
        <f t="shared" si="184"/>
        <v>0</v>
      </c>
      <c r="MKM49" s="375">
        <f t="shared" si="184"/>
        <v>0</v>
      </c>
      <c r="MKN49" s="375">
        <f t="shared" si="184"/>
        <v>0</v>
      </c>
      <c r="MKO49" s="375">
        <f t="shared" ref="MKO49:MMZ49" si="185">MKO48*0.8</f>
        <v>0</v>
      </c>
      <c r="MKP49" s="375">
        <f t="shared" si="185"/>
        <v>0</v>
      </c>
      <c r="MKQ49" s="375">
        <f t="shared" si="185"/>
        <v>0</v>
      </c>
      <c r="MKR49" s="375">
        <f t="shared" si="185"/>
        <v>0</v>
      </c>
      <c r="MKS49" s="375">
        <f t="shared" si="185"/>
        <v>0</v>
      </c>
      <c r="MKT49" s="375">
        <f t="shared" si="185"/>
        <v>0</v>
      </c>
      <c r="MKU49" s="375">
        <f t="shared" si="185"/>
        <v>0</v>
      </c>
      <c r="MKV49" s="375">
        <f t="shared" si="185"/>
        <v>0</v>
      </c>
      <c r="MKW49" s="375">
        <f t="shared" si="185"/>
        <v>0</v>
      </c>
      <c r="MKX49" s="375">
        <f t="shared" si="185"/>
        <v>0</v>
      </c>
      <c r="MKY49" s="375">
        <f t="shared" si="185"/>
        <v>0</v>
      </c>
      <c r="MKZ49" s="375">
        <f t="shared" si="185"/>
        <v>0</v>
      </c>
      <c r="MLA49" s="375">
        <f t="shared" si="185"/>
        <v>0</v>
      </c>
      <c r="MLB49" s="375">
        <f t="shared" si="185"/>
        <v>0</v>
      </c>
      <c r="MLC49" s="375">
        <f t="shared" si="185"/>
        <v>0</v>
      </c>
      <c r="MLD49" s="375">
        <f t="shared" si="185"/>
        <v>0</v>
      </c>
      <c r="MLE49" s="375">
        <f t="shared" si="185"/>
        <v>0</v>
      </c>
      <c r="MLF49" s="375">
        <f t="shared" si="185"/>
        <v>0</v>
      </c>
      <c r="MLG49" s="375">
        <f t="shared" si="185"/>
        <v>0</v>
      </c>
      <c r="MLH49" s="375">
        <f t="shared" si="185"/>
        <v>0</v>
      </c>
      <c r="MLI49" s="375">
        <f t="shared" si="185"/>
        <v>0</v>
      </c>
      <c r="MLJ49" s="375">
        <f t="shared" si="185"/>
        <v>0</v>
      </c>
      <c r="MLK49" s="375">
        <f t="shared" si="185"/>
        <v>0</v>
      </c>
      <c r="MLL49" s="375">
        <f t="shared" si="185"/>
        <v>0</v>
      </c>
      <c r="MLM49" s="375">
        <f t="shared" si="185"/>
        <v>0</v>
      </c>
      <c r="MLN49" s="375">
        <f t="shared" si="185"/>
        <v>0</v>
      </c>
      <c r="MLO49" s="375">
        <f t="shared" si="185"/>
        <v>0</v>
      </c>
      <c r="MLP49" s="375">
        <f t="shared" si="185"/>
        <v>0</v>
      </c>
      <c r="MLQ49" s="375">
        <f t="shared" si="185"/>
        <v>0</v>
      </c>
      <c r="MLR49" s="375">
        <f t="shared" si="185"/>
        <v>0</v>
      </c>
      <c r="MLS49" s="375">
        <f t="shared" si="185"/>
        <v>0</v>
      </c>
      <c r="MLT49" s="375">
        <f t="shared" si="185"/>
        <v>0</v>
      </c>
      <c r="MLU49" s="375">
        <f t="shared" si="185"/>
        <v>0</v>
      </c>
      <c r="MLV49" s="375">
        <f t="shared" si="185"/>
        <v>0</v>
      </c>
      <c r="MLW49" s="375">
        <f t="shared" si="185"/>
        <v>0</v>
      </c>
      <c r="MLX49" s="375">
        <f t="shared" si="185"/>
        <v>0</v>
      </c>
      <c r="MLY49" s="375">
        <f t="shared" si="185"/>
        <v>0</v>
      </c>
      <c r="MLZ49" s="375">
        <f t="shared" si="185"/>
        <v>0</v>
      </c>
      <c r="MMA49" s="375">
        <f t="shared" si="185"/>
        <v>0</v>
      </c>
      <c r="MMB49" s="375">
        <f t="shared" si="185"/>
        <v>0</v>
      </c>
      <c r="MMC49" s="375">
        <f t="shared" si="185"/>
        <v>0</v>
      </c>
      <c r="MMD49" s="375">
        <f t="shared" si="185"/>
        <v>0</v>
      </c>
      <c r="MME49" s="375">
        <f t="shared" si="185"/>
        <v>0</v>
      </c>
      <c r="MMF49" s="375">
        <f t="shared" si="185"/>
        <v>0</v>
      </c>
      <c r="MMG49" s="375">
        <f t="shared" si="185"/>
        <v>0</v>
      </c>
      <c r="MMH49" s="375">
        <f t="shared" si="185"/>
        <v>0</v>
      </c>
      <c r="MMI49" s="375">
        <f t="shared" si="185"/>
        <v>0</v>
      </c>
      <c r="MMJ49" s="375">
        <f t="shared" si="185"/>
        <v>0</v>
      </c>
      <c r="MMK49" s="375">
        <f t="shared" si="185"/>
        <v>0</v>
      </c>
      <c r="MML49" s="375">
        <f t="shared" si="185"/>
        <v>0</v>
      </c>
      <c r="MMM49" s="375">
        <f t="shared" si="185"/>
        <v>0</v>
      </c>
      <c r="MMN49" s="375">
        <f t="shared" si="185"/>
        <v>0</v>
      </c>
      <c r="MMO49" s="375">
        <f t="shared" si="185"/>
        <v>0</v>
      </c>
      <c r="MMP49" s="375">
        <f t="shared" si="185"/>
        <v>0</v>
      </c>
      <c r="MMQ49" s="375">
        <f t="shared" si="185"/>
        <v>0</v>
      </c>
      <c r="MMR49" s="375">
        <f t="shared" si="185"/>
        <v>0</v>
      </c>
      <c r="MMS49" s="375">
        <f t="shared" si="185"/>
        <v>0</v>
      </c>
      <c r="MMT49" s="375">
        <f t="shared" si="185"/>
        <v>0</v>
      </c>
      <c r="MMU49" s="375">
        <f t="shared" si="185"/>
        <v>0</v>
      </c>
      <c r="MMV49" s="375">
        <f t="shared" si="185"/>
        <v>0</v>
      </c>
      <c r="MMW49" s="375">
        <f t="shared" si="185"/>
        <v>0</v>
      </c>
      <c r="MMX49" s="375">
        <f t="shared" si="185"/>
        <v>0</v>
      </c>
      <c r="MMY49" s="375">
        <f t="shared" si="185"/>
        <v>0</v>
      </c>
      <c r="MMZ49" s="375">
        <f t="shared" si="185"/>
        <v>0</v>
      </c>
      <c r="MNA49" s="375">
        <f t="shared" ref="MNA49:MPL49" si="186">MNA48*0.8</f>
        <v>0</v>
      </c>
      <c r="MNB49" s="375">
        <f t="shared" si="186"/>
        <v>0</v>
      </c>
      <c r="MNC49" s="375">
        <f t="shared" si="186"/>
        <v>0</v>
      </c>
      <c r="MND49" s="375">
        <f t="shared" si="186"/>
        <v>0</v>
      </c>
      <c r="MNE49" s="375">
        <f t="shared" si="186"/>
        <v>0</v>
      </c>
      <c r="MNF49" s="375">
        <f t="shared" si="186"/>
        <v>0</v>
      </c>
      <c r="MNG49" s="375">
        <f t="shared" si="186"/>
        <v>0</v>
      </c>
      <c r="MNH49" s="375">
        <f t="shared" si="186"/>
        <v>0</v>
      </c>
      <c r="MNI49" s="375">
        <f t="shared" si="186"/>
        <v>0</v>
      </c>
      <c r="MNJ49" s="375">
        <f t="shared" si="186"/>
        <v>0</v>
      </c>
      <c r="MNK49" s="375">
        <f t="shared" si="186"/>
        <v>0</v>
      </c>
      <c r="MNL49" s="375">
        <f t="shared" si="186"/>
        <v>0</v>
      </c>
      <c r="MNM49" s="375">
        <f t="shared" si="186"/>
        <v>0</v>
      </c>
      <c r="MNN49" s="375">
        <f t="shared" si="186"/>
        <v>0</v>
      </c>
      <c r="MNO49" s="375">
        <f t="shared" si="186"/>
        <v>0</v>
      </c>
      <c r="MNP49" s="375">
        <f t="shared" si="186"/>
        <v>0</v>
      </c>
      <c r="MNQ49" s="375">
        <f t="shared" si="186"/>
        <v>0</v>
      </c>
      <c r="MNR49" s="375">
        <f t="shared" si="186"/>
        <v>0</v>
      </c>
      <c r="MNS49" s="375">
        <f t="shared" si="186"/>
        <v>0</v>
      </c>
      <c r="MNT49" s="375">
        <f t="shared" si="186"/>
        <v>0</v>
      </c>
      <c r="MNU49" s="375">
        <f t="shared" si="186"/>
        <v>0</v>
      </c>
      <c r="MNV49" s="375">
        <f t="shared" si="186"/>
        <v>0</v>
      </c>
      <c r="MNW49" s="375">
        <f t="shared" si="186"/>
        <v>0</v>
      </c>
      <c r="MNX49" s="375">
        <f t="shared" si="186"/>
        <v>0</v>
      </c>
      <c r="MNY49" s="375">
        <f t="shared" si="186"/>
        <v>0</v>
      </c>
      <c r="MNZ49" s="375">
        <f t="shared" si="186"/>
        <v>0</v>
      </c>
      <c r="MOA49" s="375">
        <f t="shared" si="186"/>
        <v>0</v>
      </c>
      <c r="MOB49" s="375">
        <f t="shared" si="186"/>
        <v>0</v>
      </c>
      <c r="MOC49" s="375">
        <f t="shared" si="186"/>
        <v>0</v>
      </c>
      <c r="MOD49" s="375">
        <f t="shared" si="186"/>
        <v>0</v>
      </c>
      <c r="MOE49" s="375">
        <f t="shared" si="186"/>
        <v>0</v>
      </c>
      <c r="MOF49" s="375">
        <f t="shared" si="186"/>
        <v>0</v>
      </c>
      <c r="MOG49" s="375">
        <f t="shared" si="186"/>
        <v>0</v>
      </c>
      <c r="MOH49" s="375">
        <f t="shared" si="186"/>
        <v>0</v>
      </c>
      <c r="MOI49" s="375">
        <f t="shared" si="186"/>
        <v>0</v>
      </c>
      <c r="MOJ49" s="375">
        <f t="shared" si="186"/>
        <v>0</v>
      </c>
      <c r="MOK49" s="375">
        <f t="shared" si="186"/>
        <v>0</v>
      </c>
      <c r="MOL49" s="375">
        <f t="shared" si="186"/>
        <v>0</v>
      </c>
      <c r="MOM49" s="375">
        <f t="shared" si="186"/>
        <v>0</v>
      </c>
      <c r="MON49" s="375">
        <f t="shared" si="186"/>
        <v>0</v>
      </c>
      <c r="MOO49" s="375">
        <f t="shared" si="186"/>
        <v>0</v>
      </c>
      <c r="MOP49" s="375">
        <f t="shared" si="186"/>
        <v>0</v>
      </c>
      <c r="MOQ49" s="375">
        <f t="shared" si="186"/>
        <v>0</v>
      </c>
      <c r="MOR49" s="375">
        <f t="shared" si="186"/>
        <v>0</v>
      </c>
      <c r="MOS49" s="375">
        <f t="shared" si="186"/>
        <v>0</v>
      </c>
      <c r="MOT49" s="375">
        <f t="shared" si="186"/>
        <v>0</v>
      </c>
      <c r="MOU49" s="375">
        <f t="shared" si="186"/>
        <v>0</v>
      </c>
      <c r="MOV49" s="375">
        <f t="shared" si="186"/>
        <v>0</v>
      </c>
      <c r="MOW49" s="375">
        <f t="shared" si="186"/>
        <v>0</v>
      </c>
      <c r="MOX49" s="375">
        <f t="shared" si="186"/>
        <v>0</v>
      </c>
      <c r="MOY49" s="375">
        <f t="shared" si="186"/>
        <v>0</v>
      </c>
      <c r="MOZ49" s="375">
        <f t="shared" si="186"/>
        <v>0</v>
      </c>
      <c r="MPA49" s="375">
        <f t="shared" si="186"/>
        <v>0</v>
      </c>
      <c r="MPB49" s="375">
        <f t="shared" si="186"/>
        <v>0</v>
      </c>
      <c r="MPC49" s="375">
        <f t="shared" si="186"/>
        <v>0</v>
      </c>
      <c r="MPD49" s="375">
        <f t="shared" si="186"/>
        <v>0</v>
      </c>
      <c r="MPE49" s="375">
        <f t="shared" si="186"/>
        <v>0</v>
      </c>
      <c r="MPF49" s="375">
        <f t="shared" si="186"/>
        <v>0</v>
      </c>
      <c r="MPG49" s="375">
        <f t="shared" si="186"/>
        <v>0</v>
      </c>
      <c r="MPH49" s="375">
        <f t="shared" si="186"/>
        <v>0</v>
      </c>
      <c r="MPI49" s="375">
        <f t="shared" si="186"/>
        <v>0</v>
      </c>
      <c r="MPJ49" s="375">
        <f t="shared" si="186"/>
        <v>0</v>
      </c>
      <c r="MPK49" s="375">
        <f t="shared" si="186"/>
        <v>0</v>
      </c>
      <c r="MPL49" s="375">
        <f t="shared" si="186"/>
        <v>0</v>
      </c>
      <c r="MPM49" s="375">
        <f t="shared" ref="MPM49:MRX49" si="187">MPM48*0.8</f>
        <v>0</v>
      </c>
      <c r="MPN49" s="375">
        <f t="shared" si="187"/>
        <v>0</v>
      </c>
      <c r="MPO49" s="375">
        <f t="shared" si="187"/>
        <v>0</v>
      </c>
      <c r="MPP49" s="375">
        <f t="shared" si="187"/>
        <v>0</v>
      </c>
      <c r="MPQ49" s="375">
        <f t="shared" si="187"/>
        <v>0</v>
      </c>
      <c r="MPR49" s="375">
        <f t="shared" si="187"/>
        <v>0</v>
      </c>
      <c r="MPS49" s="375">
        <f t="shared" si="187"/>
        <v>0</v>
      </c>
      <c r="MPT49" s="375">
        <f t="shared" si="187"/>
        <v>0</v>
      </c>
      <c r="MPU49" s="375">
        <f t="shared" si="187"/>
        <v>0</v>
      </c>
      <c r="MPV49" s="375">
        <f t="shared" si="187"/>
        <v>0</v>
      </c>
      <c r="MPW49" s="375">
        <f t="shared" si="187"/>
        <v>0</v>
      </c>
      <c r="MPX49" s="375">
        <f t="shared" si="187"/>
        <v>0</v>
      </c>
      <c r="MPY49" s="375">
        <f t="shared" si="187"/>
        <v>0</v>
      </c>
      <c r="MPZ49" s="375">
        <f t="shared" si="187"/>
        <v>0</v>
      </c>
      <c r="MQA49" s="375">
        <f t="shared" si="187"/>
        <v>0</v>
      </c>
      <c r="MQB49" s="375">
        <f t="shared" si="187"/>
        <v>0</v>
      </c>
      <c r="MQC49" s="375">
        <f t="shared" si="187"/>
        <v>0</v>
      </c>
      <c r="MQD49" s="375">
        <f t="shared" si="187"/>
        <v>0</v>
      </c>
      <c r="MQE49" s="375">
        <f t="shared" si="187"/>
        <v>0</v>
      </c>
      <c r="MQF49" s="375">
        <f t="shared" si="187"/>
        <v>0</v>
      </c>
      <c r="MQG49" s="375">
        <f t="shared" si="187"/>
        <v>0</v>
      </c>
      <c r="MQH49" s="375">
        <f t="shared" si="187"/>
        <v>0</v>
      </c>
      <c r="MQI49" s="375">
        <f t="shared" si="187"/>
        <v>0</v>
      </c>
      <c r="MQJ49" s="375">
        <f t="shared" si="187"/>
        <v>0</v>
      </c>
      <c r="MQK49" s="375">
        <f t="shared" si="187"/>
        <v>0</v>
      </c>
      <c r="MQL49" s="375">
        <f t="shared" si="187"/>
        <v>0</v>
      </c>
      <c r="MQM49" s="375">
        <f t="shared" si="187"/>
        <v>0</v>
      </c>
      <c r="MQN49" s="375">
        <f t="shared" si="187"/>
        <v>0</v>
      </c>
      <c r="MQO49" s="375">
        <f t="shared" si="187"/>
        <v>0</v>
      </c>
      <c r="MQP49" s="375">
        <f t="shared" si="187"/>
        <v>0</v>
      </c>
      <c r="MQQ49" s="375">
        <f t="shared" si="187"/>
        <v>0</v>
      </c>
      <c r="MQR49" s="375">
        <f t="shared" si="187"/>
        <v>0</v>
      </c>
      <c r="MQS49" s="375">
        <f t="shared" si="187"/>
        <v>0</v>
      </c>
      <c r="MQT49" s="375">
        <f t="shared" si="187"/>
        <v>0</v>
      </c>
      <c r="MQU49" s="375">
        <f t="shared" si="187"/>
        <v>0</v>
      </c>
      <c r="MQV49" s="375">
        <f t="shared" si="187"/>
        <v>0</v>
      </c>
      <c r="MQW49" s="375">
        <f t="shared" si="187"/>
        <v>0</v>
      </c>
      <c r="MQX49" s="375">
        <f t="shared" si="187"/>
        <v>0</v>
      </c>
      <c r="MQY49" s="375">
        <f t="shared" si="187"/>
        <v>0</v>
      </c>
      <c r="MQZ49" s="375">
        <f t="shared" si="187"/>
        <v>0</v>
      </c>
      <c r="MRA49" s="375">
        <f t="shared" si="187"/>
        <v>0</v>
      </c>
      <c r="MRB49" s="375">
        <f t="shared" si="187"/>
        <v>0</v>
      </c>
      <c r="MRC49" s="375">
        <f t="shared" si="187"/>
        <v>0</v>
      </c>
      <c r="MRD49" s="375">
        <f t="shared" si="187"/>
        <v>0</v>
      </c>
      <c r="MRE49" s="375">
        <f t="shared" si="187"/>
        <v>0</v>
      </c>
      <c r="MRF49" s="375">
        <f t="shared" si="187"/>
        <v>0</v>
      </c>
      <c r="MRG49" s="375">
        <f t="shared" si="187"/>
        <v>0</v>
      </c>
      <c r="MRH49" s="375">
        <f t="shared" si="187"/>
        <v>0</v>
      </c>
      <c r="MRI49" s="375">
        <f t="shared" si="187"/>
        <v>0</v>
      </c>
      <c r="MRJ49" s="375">
        <f t="shared" si="187"/>
        <v>0</v>
      </c>
      <c r="MRK49" s="375">
        <f t="shared" si="187"/>
        <v>0</v>
      </c>
      <c r="MRL49" s="375">
        <f t="shared" si="187"/>
        <v>0</v>
      </c>
      <c r="MRM49" s="375">
        <f t="shared" si="187"/>
        <v>0</v>
      </c>
      <c r="MRN49" s="375">
        <f t="shared" si="187"/>
        <v>0</v>
      </c>
      <c r="MRO49" s="375">
        <f t="shared" si="187"/>
        <v>0</v>
      </c>
      <c r="MRP49" s="375">
        <f t="shared" si="187"/>
        <v>0</v>
      </c>
      <c r="MRQ49" s="375">
        <f t="shared" si="187"/>
        <v>0</v>
      </c>
      <c r="MRR49" s="375">
        <f t="shared" si="187"/>
        <v>0</v>
      </c>
      <c r="MRS49" s="375">
        <f t="shared" si="187"/>
        <v>0</v>
      </c>
      <c r="MRT49" s="375">
        <f t="shared" si="187"/>
        <v>0</v>
      </c>
      <c r="MRU49" s="375">
        <f t="shared" si="187"/>
        <v>0</v>
      </c>
      <c r="MRV49" s="375">
        <f t="shared" si="187"/>
        <v>0</v>
      </c>
      <c r="MRW49" s="375">
        <f t="shared" si="187"/>
        <v>0</v>
      </c>
      <c r="MRX49" s="375">
        <f t="shared" si="187"/>
        <v>0</v>
      </c>
      <c r="MRY49" s="375">
        <f t="shared" ref="MRY49:MUJ49" si="188">MRY48*0.8</f>
        <v>0</v>
      </c>
      <c r="MRZ49" s="375">
        <f t="shared" si="188"/>
        <v>0</v>
      </c>
      <c r="MSA49" s="375">
        <f t="shared" si="188"/>
        <v>0</v>
      </c>
      <c r="MSB49" s="375">
        <f t="shared" si="188"/>
        <v>0</v>
      </c>
      <c r="MSC49" s="375">
        <f t="shared" si="188"/>
        <v>0</v>
      </c>
      <c r="MSD49" s="375">
        <f t="shared" si="188"/>
        <v>0</v>
      </c>
      <c r="MSE49" s="375">
        <f t="shared" si="188"/>
        <v>0</v>
      </c>
      <c r="MSF49" s="375">
        <f t="shared" si="188"/>
        <v>0</v>
      </c>
      <c r="MSG49" s="375">
        <f t="shared" si="188"/>
        <v>0</v>
      </c>
      <c r="MSH49" s="375">
        <f t="shared" si="188"/>
        <v>0</v>
      </c>
      <c r="MSI49" s="375">
        <f t="shared" si="188"/>
        <v>0</v>
      </c>
      <c r="MSJ49" s="375">
        <f t="shared" si="188"/>
        <v>0</v>
      </c>
      <c r="MSK49" s="375">
        <f t="shared" si="188"/>
        <v>0</v>
      </c>
      <c r="MSL49" s="375">
        <f t="shared" si="188"/>
        <v>0</v>
      </c>
      <c r="MSM49" s="375">
        <f t="shared" si="188"/>
        <v>0</v>
      </c>
      <c r="MSN49" s="375">
        <f t="shared" si="188"/>
        <v>0</v>
      </c>
      <c r="MSO49" s="375">
        <f t="shared" si="188"/>
        <v>0</v>
      </c>
      <c r="MSP49" s="375">
        <f t="shared" si="188"/>
        <v>0</v>
      </c>
      <c r="MSQ49" s="375">
        <f t="shared" si="188"/>
        <v>0</v>
      </c>
      <c r="MSR49" s="375">
        <f t="shared" si="188"/>
        <v>0</v>
      </c>
      <c r="MSS49" s="375">
        <f t="shared" si="188"/>
        <v>0</v>
      </c>
      <c r="MST49" s="375">
        <f t="shared" si="188"/>
        <v>0</v>
      </c>
      <c r="MSU49" s="375">
        <f t="shared" si="188"/>
        <v>0</v>
      </c>
      <c r="MSV49" s="375">
        <f t="shared" si="188"/>
        <v>0</v>
      </c>
      <c r="MSW49" s="375">
        <f t="shared" si="188"/>
        <v>0</v>
      </c>
      <c r="MSX49" s="375">
        <f t="shared" si="188"/>
        <v>0</v>
      </c>
      <c r="MSY49" s="375">
        <f t="shared" si="188"/>
        <v>0</v>
      </c>
      <c r="MSZ49" s="375">
        <f t="shared" si="188"/>
        <v>0</v>
      </c>
      <c r="MTA49" s="375">
        <f t="shared" si="188"/>
        <v>0</v>
      </c>
      <c r="MTB49" s="375">
        <f t="shared" si="188"/>
        <v>0</v>
      </c>
      <c r="MTC49" s="375">
        <f t="shared" si="188"/>
        <v>0</v>
      </c>
      <c r="MTD49" s="375">
        <f t="shared" si="188"/>
        <v>0</v>
      </c>
      <c r="MTE49" s="375">
        <f t="shared" si="188"/>
        <v>0</v>
      </c>
      <c r="MTF49" s="375">
        <f t="shared" si="188"/>
        <v>0</v>
      </c>
      <c r="MTG49" s="375">
        <f t="shared" si="188"/>
        <v>0</v>
      </c>
      <c r="MTH49" s="375">
        <f t="shared" si="188"/>
        <v>0</v>
      </c>
      <c r="MTI49" s="375">
        <f t="shared" si="188"/>
        <v>0</v>
      </c>
      <c r="MTJ49" s="375">
        <f t="shared" si="188"/>
        <v>0</v>
      </c>
      <c r="MTK49" s="375">
        <f t="shared" si="188"/>
        <v>0</v>
      </c>
      <c r="MTL49" s="375">
        <f t="shared" si="188"/>
        <v>0</v>
      </c>
      <c r="MTM49" s="375">
        <f t="shared" si="188"/>
        <v>0</v>
      </c>
      <c r="MTN49" s="375">
        <f t="shared" si="188"/>
        <v>0</v>
      </c>
      <c r="MTO49" s="375">
        <f t="shared" si="188"/>
        <v>0</v>
      </c>
      <c r="MTP49" s="375">
        <f t="shared" si="188"/>
        <v>0</v>
      </c>
      <c r="MTQ49" s="375">
        <f t="shared" si="188"/>
        <v>0</v>
      </c>
      <c r="MTR49" s="375">
        <f t="shared" si="188"/>
        <v>0</v>
      </c>
      <c r="MTS49" s="375">
        <f t="shared" si="188"/>
        <v>0</v>
      </c>
      <c r="MTT49" s="375">
        <f t="shared" si="188"/>
        <v>0</v>
      </c>
      <c r="MTU49" s="375">
        <f t="shared" si="188"/>
        <v>0</v>
      </c>
      <c r="MTV49" s="375">
        <f t="shared" si="188"/>
        <v>0</v>
      </c>
      <c r="MTW49" s="375">
        <f t="shared" si="188"/>
        <v>0</v>
      </c>
      <c r="MTX49" s="375">
        <f t="shared" si="188"/>
        <v>0</v>
      </c>
      <c r="MTY49" s="375">
        <f t="shared" si="188"/>
        <v>0</v>
      </c>
      <c r="MTZ49" s="375">
        <f t="shared" si="188"/>
        <v>0</v>
      </c>
      <c r="MUA49" s="375">
        <f t="shared" si="188"/>
        <v>0</v>
      </c>
      <c r="MUB49" s="375">
        <f t="shared" si="188"/>
        <v>0</v>
      </c>
      <c r="MUC49" s="375">
        <f t="shared" si="188"/>
        <v>0</v>
      </c>
      <c r="MUD49" s="375">
        <f t="shared" si="188"/>
        <v>0</v>
      </c>
      <c r="MUE49" s="375">
        <f t="shared" si="188"/>
        <v>0</v>
      </c>
      <c r="MUF49" s="375">
        <f t="shared" si="188"/>
        <v>0</v>
      </c>
      <c r="MUG49" s="375">
        <f t="shared" si="188"/>
        <v>0</v>
      </c>
      <c r="MUH49" s="375">
        <f t="shared" si="188"/>
        <v>0</v>
      </c>
      <c r="MUI49" s="375">
        <f t="shared" si="188"/>
        <v>0</v>
      </c>
      <c r="MUJ49" s="375">
        <f t="shared" si="188"/>
        <v>0</v>
      </c>
      <c r="MUK49" s="375">
        <f t="shared" ref="MUK49:MWV49" si="189">MUK48*0.8</f>
        <v>0</v>
      </c>
      <c r="MUL49" s="375">
        <f t="shared" si="189"/>
        <v>0</v>
      </c>
      <c r="MUM49" s="375">
        <f t="shared" si="189"/>
        <v>0</v>
      </c>
      <c r="MUN49" s="375">
        <f t="shared" si="189"/>
        <v>0</v>
      </c>
      <c r="MUO49" s="375">
        <f t="shared" si="189"/>
        <v>0</v>
      </c>
      <c r="MUP49" s="375">
        <f t="shared" si="189"/>
        <v>0</v>
      </c>
      <c r="MUQ49" s="375">
        <f t="shared" si="189"/>
        <v>0</v>
      </c>
      <c r="MUR49" s="375">
        <f t="shared" si="189"/>
        <v>0</v>
      </c>
      <c r="MUS49" s="375">
        <f t="shared" si="189"/>
        <v>0</v>
      </c>
      <c r="MUT49" s="375">
        <f t="shared" si="189"/>
        <v>0</v>
      </c>
      <c r="MUU49" s="375">
        <f t="shared" si="189"/>
        <v>0</v>
      </c>
      <c r="MUV49" s="375">
        <f t="shared" si="189"/>
        <v>0</v>
      </c>
      <c r="MUW49" s="375">
        <f t="shared" si="189"/>
        <v>0</v>
      </c>
      <c r="MUX49" s="375">
        <f t="shared" si="189"/>
        <v>0</v>
      </c>
      <c r="MUY49" s="375">
        <f t="shared" si="189"/>
        <v>0</v>
      </c>
      <c r="MUZ49" s="375">
        <f t="shared" si="189"/>
        <v>0</v>
      </c>
      <c r="MVA49" s="375">
        <f t="shared" si="189"/>
        <v>0</v>
      </c>
      <c r="MVB49" s="375">
        <f t="shared" si="189"/>
        <v>0</v>
      </c>
      <c r="MVC49" s="375">
        <f t="shared" si="189"/>
        <v>0</v>
      </c>
      <c r="MVD49" s="375">
        <f t="shared" si="189"/>
        <v>0</v>
      </c>
      <c r="MVE49" s="375">
        <f t="shared" si="189"/>
        <v>0</v>
      </c>
      <c r="MVF49" s="375">
        <f t="shared" si="189"/>
        <v>0</v>
      </c>
      <c r="MVG49" s="375">
        <f t="shared" si="189"/>
        <v>0</v>
      </c>
      <c r="MVH49" s="375">
        <f t="shared" si="189"/>
        <v>0</v>
      </c>
      <c r="MVI49" s="375">
        <f t="shared" si="189"/>
        <v>0</v>
      </c>
      <c r="MVJ49" s="375">
        <f t="shared" si="189"/>
        <v>0</v>
      </c>
      <c r="MVK49" s="375">
        <f t="shared" si="189"/>
        <v>0</v>
      </c>
      <c r="MVL49" s="375">
        <f t="shared" si="189"/>
        <v>0</v>
      </c>
      <c r="MVM49" s="375">
        <f t="shared" si="189"/>
        <v>0</v>
      </c>
      <c r="MVN49" s="375">
        <f t="shared" si="189"/>
        <v>0</v>
      </c>
      <c r="MVO49" s="375">
        <f t="shared" si="189"/>
        <v>0</v>
      </c>
      <c r="MVP49" s="375">
        <f t="shared" si="189"/>
        <v>0</v>
      </c>
      <c r="MVQ49" s="375">
        <f t="shared" si="189"/>
        <v>0</v>
      </c>
      <c r="MVR49" s="375">
        <f t="shared" si="189"/>
        <v>0</v>
      </c>
      <c r="MVS49" s="375">
        <f t="shared" si="189"/>
        <v>0</v>
      </c>
      <c r="MVT49" s="375">
        <f t="shared" si="189"/>
        <v>0</v>
      </c>
      <c r="MVU49" s="375">
        <f t="shared" si="189"/>
        <v>0</v>
      </c>
      <c r="MVV49" s="375">
        <f t="shared" si="189"/>
        <v>0</v>
      </c>
      <c r="MVW49" s="375">
        <f t="shared" si="189"/>
        <v>0</v>
      </c>
      <c r="MVX49" s="375">
        <f t="shared" si="189"/>
        <v>0</v>
      </c>
      <c r="MVY49" s="375">
        <f t="shared" si="189"/>
        <v>0</v>
      </c>
      <c r="MVZ49" s="375">
        <f t="shared" si="189"/>
        <v>0</v>
      </c>
      <c r="MWA49" s="375">
        <f t="shared" si="189"/>
        <v>0</v>
      </c>
      <c r="MWB49" s="375">
        <f t="shared" si="189"/>
        <v>0</v>
      </c>
      <c r="MWC49" s="375">
        <f t="shared" si="189"/>
        <v>0</v>
      </c>
      <c r="MWD49" s="375">
        <f t="shared" si="189"/>
        <v>0</v>
      </c>
      <c r="MWE49" s="375">
        <f t="shared" si="189"/>
        <v>0</v>
      </c>
      <c r="MWF49" s="375">
        <f t="shared" si="189"/>
        <v>0</v>
      </c>
      <c r="MWG49" s="375">
        <f t="shared" si="189"/>
        <v>0</v>
      </c>
      <c r="MWH49" s="375">
        <f t="shared" si="189"/>
        <v>0</v>
      </c>
      <c r="MWI49" s="375">
        <f t="shared" si="189"/>
        <v>0</v>
      </c>
      <c r="MWJ49" s="375">
        <f t="shared" si="189"/>
        <v>0</v>
      </c>
      <c r="MWK49" s="375">
        <f t="shared" si="189"/>
        <v>0</v>
      </c>
      <c r="MWL49" s="375">
        <f t="shared" si="189"/>
        <v>0</v>
      </c>
      <c r="MWM49" s="375">
        <f t="shared" si="189"/>
        <v>0</v>
      </c>
      <c r="MWN49" s="375">
        <f t="shared" si="189"/>
        <v>0</v>
      </c>
      <c r="MWO49" s="375">
        <f t="shared" si="189"/>
        <v>0</v>
      </c>
      <c r="MWP49" s="375">
        <f t="shared" si="189"/>
        <v>0</v>
      </c>
      <c r="MWQ49" s="375">
        <f t="shared" si="189"/>
        <v>0</v>
      </c>
      <c r="MWR49" s="375">
        <f t="shared" si="189"/>
        <v>0</v>
      </c>
      <c r="MWS49" s="375">
        <f t="shared" si="189"/>
        <v>0</v>
      </c>
      <c r="MWT49" s="375">
        <f t="shared" si="189"/>
        <v>0</v>
      </c>
      <c r="MWU49" s="375">
        <f t="shared" si="189"/>
        <v>0</v>
      </c>
      <c r="MWV49" s="375">
        <f t="shared" si="189"/>
        <v>0</v>
      </c>
      <c r="MWW49" s="375">
        <f t="shared" ref="MWW49:MZH49" si="190">MWW48*0.8</f>
        <v>0</v>
      </c>
      <c r="MWX49" s="375">
        <f t="shared" si="190"/>
        <v>0</v>
      </c>
      <c r="MWY49" s="375">
        <f t="shared" si="190"/>
        <v>0</v>
      </c>
      <c r="MWZ49" s="375">
        <f t="shared" si="190"/>
        <v>0</v>
      </c>
      <c r="MXA49" s="375">
        <f t="shared" si="190"/>
        <v>0</v>
      </c>
      <c r="MXB49" s="375">
        <f t="shared" si="190"/>
        <v>0</v>
      </c>
      <c r="MXC49" s="375">
        <f t="shared" si="190"/>
        <v>0</v>
      </c>
      <c r="MXD49" s="375">
        <f t="shared" si="190"/>
        <v>0</v>
      </c>
      <c r="MXE49" s="375">
        <f t="shared" si="190"/>
        <v>0</v>
      </c>
      <c r="MXF49" s="375">
        <f t="shared" si="190"/>
        <v>0</v>
      </c>
      <c r="MXG49" s="375">
        <f t="shared" si="190"/>
        <v>0</v>
      </c>
      <c r="MXH49" s="375">
        <f t="shared" si="190"/>
        <v>0</v>
      </c>
      <c r="MXI49" s="375">
        <f t="shared" si="190"/>
        <v>0</v>
      </c>
      <c r="MXJ49" s="375">
        <f t="shared" si="190"/>
        <v>0</v>
      </c>
      <c r="MXK49" s="375">
        <f t="shared" si="190"/>
        <v>0</v>
      </c>
      <c r="MXL49" s="375">
        <f t="shared" si="190"/>
        <v>0</v>
      </c>
      <c r="MXM49" s="375">
        <f t="shared" si="190"/>
        <v>0</v>
      </c>
      <c r="MXN49" s="375">
        <f t="shared" si="190"/>
        <v>0</v>
      </c>
      <c r="MXO49" s="375">
        <f t="shared" si="190"/>
        <v>0</v>
      </c>
      <c r="MXP49" s="375">
        <f t="shared" si="190"/>
        <v>0</v>
      </c>
      <c r="MXQ49" s="375">
        <f t="shared" si="190"/>
        <v>0</v>
      </c>
      <c r="MXR49" s="375">
        <f t="shared" si="190"/>
        <v>0</v>
      </c>
      <c r="MXS49" s="375">
        <f t="shared" si="190"/>
        <v>0</v>
      </c>
      <c r="MXT49" s="375">
        <f t="shared" si="190"/>
        <v>0</v>
      </c>
      <c r="MXU49" s="375">
        <f t="shared" si="190"/>
        <v>0</v>
      </c>
      <c r="MXV49" s="375">
        <f t="shared" si="190"/>
        <v>0</v>
      </c>
      <c r="MXW49" s="375">
        <f t="shared" si="190"/>
        <v>0</v>
      </c>
      <c r="MXX49" s="375">
        <f t="shared" si="190"/>
        <v>0</v>
      </c>
      <c r="MXY49" s="375">
        <f t="shared" si="190"/>
        <v>0</v>
      </c>
      <c r="MXZ49" s="375">
        <f t="shared" si="190"/>
        <v>0</v>
      </c>
      <c r="MYA49" s="375">
        <f t="shared" si="190"/>
        <v>0</v>
      </c>
      <c r="MYB49" s="375">
        <f t="shared" si="190"/>
        <v>0</v>
      </c>
      <c r="MYC49" s="375">
        <f t="shared" si="190"/>
        <v>0</v>
      </c>
      <c r="MYD49" s="375">
        <f t="shared" si="190"/>
        <v>0</v>
      </c>
      <c r="MYE49" s="375">
        <f t="shared" si="190"/>
        <v>0</v>
      </c>
      <c r="MYF49" s="375">
        <f t="shared" si="190"/>
        <v>0</v>
      </c>
      <c r="MYG49" s="375">
        <f t="shared" si="190"/>
        <v>0</v>
      </c>
      <c r="MYH49" s="375">
        <f t="shared" si="190"/>
        <v>0</v>
      </c>
      <c r="MYI49" s="375">
        <f t="shared" si="190"/>
        <v>0</v>
      </c>
      <c r="MYJ49" s="375">
        <f t="shared" si="190"/>
        <v>0</v>
      </c>
      <c r="MYK49" s="375">
        <f t="shared" si="190"/>
        <v>0</v>
      </c>
      <c r="MYL49" s="375">
        <f t="shared" si="190"/>
        <v>0</v>
      </c>
      <c r="MYM49" s="375">
        <f t="shared" si="190"/>
        <v>0</v>
      </c>
      <c r="MYN49" s="375">
        <f t="shared" si="190"/>
        <v>0</v>
      </c>
      <c r="MYO49" s="375">
        <f t="shared" si="190"/>
        <v>0</v>
      </c>
      <c r="MYP49" s="375">
        <f t="shared" si="190"/>
        <v>0</v>
      </c>
      <c r="MYQ49" s="375">
        <f t="shared" si="190"/>
        <v>0</v>
      </c>
      <c r="MYR49" s="375">
        <f t="shared" si="190"/>
        <v>0</v>
      </c>
      <c r="MYS49" s="375">
        <f t="shared" si="190"/>
        <v>0</v>
      </c>
      <c r="MYT49" s="375">
        <f t="shared" si="190"/>
        <v>0</v>
      </c>
      <c r="MYU49" s="375">
        <f t="shared" si="190"/>
        <v>0</v>
      </c>
      <c r="MYV49" s="375">
        <f t="shared" si="190"/>
        <v>0</v>
      </c>
      <c r="MYW49" s="375">
        <f t="shared" si="190"/>
        <v>0</v>
      </c>
      <c r="MYX49" s="375">
        <f t="shared" si="190"/>
        <v>0</v>
      </c>
      <c r="MYY49" s="375">
        <f t="shared" si="190"/>
        <v>0</v>
      </c>
      <c r="MYZ49" s="375">
        <f t="shared" si="190"/>
        <v>0</v>
      </c>
      <c r="MZA49" s="375">
        <f t="shared" si="190"/>
        <v>0</v>
      </c>
      <c r="MZB49" s="375">
        <f t="shared" si="190"/>
        <v>0</v>
      </c>
      <c r="MZC49" s="375">
        <f t="shared" si="190"/>
        <v>0</v>
      </c>
      <c r="MZD49" s="375">
        <f t="shared" si="190"/>
        <v>0</v>
      </c>
      <c r="MZE49" s="375">
        <f t="shared" si="190"/>
        <v>0</v>
      </c>
      <c r="MZF49" s="375">
        <f t="shared" si="190"/>
        <v>0</v>
      </c>
      <c r="MZG49" s="375">
        <f t="shared" si="190"/>
        <v>0</v>
      </c>
      <c r="MZH49" s="375">
        <f t="shared" si="190"/>
        <v>0</v>
      </c>
      <c r="MZI49" s="375">
        <f t="shared" ref="MZI49:NBT49" si="191">MZI48*0.8</f>
        <v>0</v>
      </c>
      <c r="MZJ49" s="375">
        <f t="shared" si="191"/>
        <v>0</v>
      </c>
      <c r="MZK49" s="375">
        <f t="shared" si="191"/>
        <v>0</v>
      </c>
      <c r="MZL49" s="375">
        <f t="shared" si="191"/>
        <v>0</v>
      </c>
      <c r="MZM49" s="375">
        <f t="shared" si="191"/>
        <v>0</v>
      </c>
      <c r="MZN49" s="375">
        <f t="shared" si="191"/>
        <v>0</v>
      </c>
      <c r="MZO49" s="375">
        <f t="shared" si="191"/>
        <v>0</v>
      </c>
      <c r="MZP49" s="375">
        <f t="shared" si="191"/>
        <v>0</v>
      </c>
      <c r="MZQ49" s="375">
        <f t="shared" si="191"/>
        <v>0</v>
      </c>
      <c r="MZR49" s="375">
        <f t="shared" si="191"/>
        <v>0</v>
      </c>
      <c r="MZS49" s="375">
        <f t="shared" si="191"/>
        <v>0</v>
      </c>
      <c r="MZT49" s="375">
        <f t="shared" si="191"/>
        <v>0</v>
      </c>
      <c r="MZU49" s="375">
        <f t="shared" si="191"/>
        <v>0</v>
      </c>
      <c r="MZV49" s="375">
        <f t="shared" si="191"/>
        <v>0</v>
      </c>
      <c r="MZW49" s="375">
        <f t="shared" si="191"/>
        <v>0</v>
      </c>
      <c r="MZX49" s="375">
        <f t="shared" si="191"/>
        <v>0</v>
      </c>
      <c r="MZY49" s="375">
        <f t="shared" si="191"/>
        <v>0</v>
      </c>
      <c r="MZZ49" s="375">
        <f t="shared" si="191"/>
        <v>0</v>
      </c>
      <c r="NAA49" s="375">
        <f t="shared" si="191"/>
        <v>0</v>
      </c>
      <c r="NAB49" s="375">
        <f t="shared" si="191"/>
        <v>0</v>
      </c>
      <c r="NAC49" s="375">
        <f t="shared" si="191"/>
        <v>0</v>
      </c>
      <c r="NAD49" s="375">
        <f t="shared" si="191"/>
        <v>0</v>
      </c>
      <c r="NAE49" s="375">
        <f t="shared" si="191"/>
        <v>0</v>
      </c>
      <c r="NAF49" s="375">
        <f t="shared" si="191"/>
        <v>0</v>
      </c>
      <c r="NAG49" s="375">
        <f t="shared" si="191"/>
        <v>0</v>
      </c>
      <c r="NAH49" s="375">
        <f t="shared" si="191"/>
        <v>0</v>
      </c>
      <c r="NAI49" s="375">
        <f t="shared" si="191"/>
        <v>0</v>
      </c>
      <c r="NAJ49" s="375">
        <f t="shared" si="191"/>
        <v>0</v>
      </c>
      <c r="NAK49" s="375">
        <f t="shared" si="191"/>
        <v>0</v>
      </c>
      <c r="NAL49" s="375">
        <f t="shared" si="191"/>
        <v>0</v>
      </c>
      <c r="NAM49" s="375">
        <f t="shared" si="191"/>
        <v>0</v>
      </c>
      <c r="NAN49" s="375">
        <f t="shared" si="191"/>
        <v>0</v>
      </c>
      <c r="NAO49" s="375">
        <f t="shared" si="191"/>
        <v>0</v>
      </c>
      <c r="NAP49" s="375">
        <f t="shared" si="191"/>
        <v>0</v>
      </c>
      <c r="NAQ49" s="375">
        <f t="shared" si="191"/>
        <v>0</v>
      </c>
      <c r="NAR49" s="375">
        <f t="shared" si="191"/>
        <v>0</v>
      </c>
      <c r="NAS49" s="375">
        <f t="shared" si="191"/>
        <v>0</v>
      </c>
      <c r="NAT49" s="375">
        <f t="shared" si="191"/>
        <v>0</v>
      </c>
      <c r="NAU49" s="375">
        <f t="shared" si="191"/>
        <v>0</v>
      </c>
      <c r="NAV49" s="375">
        <f t="shared" si="191"/>
        <v>0</v>
      </c>
      <c r="NAW49" s="375">
        <f t="shared" si="191"/>
        <v>0</v>
      </c>
      <c r="NAX49" s="375">
        <f t="shared" si="191"/>
        <v>0</v>
      </c>
      <c r="NAY49" s="375">
        <f t="shared" si="191"/>
        <v>0</v>
      </c>
      <c r="NAZ49" s="375">
        <f t="shared" si="191"/>
        <v>0</v>
      </c>
      <c r="NBA49" s="375">
        <f t="shared" si="191"/>
        <v>0</v>
      </c>
      <c r="NBB49" s="375">
        <f t="shared" si="191"/>
        <v>0</v>
      </c>
      <c r="NBC49" s="375">
        <f t="shared" si="191"/>
        <v>0</v>
      </c>
      <c r="NBD49" s="375">
        <f t="shared" si="191"/>
        <v>0</v>
      </c>
      <c r="NBE49" s="375">
        <f t="shared" si="191"/>
        <v>0</v>
      </c>
      <c r="NBF49" s="375">
        <f t="shared" si="191"/>
        <v>0</v>
      </c>
      <c r="NBG49" s="375">
        <f t="shared" si="191"/>
        <v>0</v>
      </c>
      <c r="NBH49" s="375">
        <f t="shared" si="191"/>
        <v>0</v>
      </c>
      <c r="NBI49" s="375">
        <f t="shared" si="191"/>
        <v>0</v>
      </c>
      <c r="NBJ49" s="375">
        <f t="shared" si="191"/>
        <v>0</v>
      </c>
      <c r="NBK49" s="375">
        <f t="shared" si="191"/>
        <v>0</v>
      </c>
      <c r="NBL49" s="375">
        <f t="shared" si="191"/>
        <v>0</v>
      </c>
      <c r="NBM49" s="375">
        <f t="shared" si="191"/>
        <v>0</v>
      </c>
      <c r="NBN49" s="375">
        <f t="shared" si="191"/>
        <v>0</v>
      </c>
      <c r="NBO49" s="375">
        <f t="shared" si="191"/>
        <v>0</v>
      </c>
      <c r="NBP49" s="375">
        <f t="shared" si="191"/>
        <v>0</v>
      </c>
      <c r="NBQ49" s="375">
        <f t="shared" si="191"/>
        <v>0</v>
      </c>
      <c r="NBR49" s="375">
        <f t="shared" si="191"/>
        <v>0</v>
      </c>
      <c r="NBS49" s="375">
        <f t="shared" si="191"/>
        <v>0</v>
      </c>
      <c r="NBT49" s="375">
        <f t="shared" si="191"/>
        <v>0</v>
      </c>
      <c r="NBU49" s="375">
        <f t="shared" ref="NBU49:NEF49" si="192">NBU48*0.8</f>
        <v>0</v>
      </c>
      <c r="NBV49" s="375">
        <f t="shared" si="192"/>
        <v>0</v>
      </c>
      <c r="NBW49" s="375">
        <f t="shared" si="192"/>
        <v>0</v>
      </c>
      <c r="NBX49" s="375">
        <f t="shared" si="192"/>
        <v>0</v>
      </c>
      <c r="NBY49" s="375">
        <f t="shared" si="192"/>
        <v>0</v>
      </c>
      <c r="NBZ49" s="375">
        <f t="shared" si="192"/>
        <v>0</v>
      </c>
      <c r="NCA49" s="375">
        <f t="shared" si="192"/>
        <v>0</v>
      </c>
      <c r="NCB49" s="375">
        <f t="shared" si="192"/>
        <v>0</v>
      </c>
      <c r="NCC49" s="375">
        <f t="shared" si="192"/>
        <v>0</v>
      </c>
      <c r="NCD49" s="375">
        <f t="shared" si="192"/>
        <v>0</v>
      </c>
      <c r="NCE49" s="375">
        <f t="shared" si="192"/>
        <v>0</v>
      </c>
      <c r="NCF49" s="375">
        <f t="shared" si="192"/>
        <v>0</v>
      </c>
      <c r="NCG49" s="375">
        <f t="shared" si="192"/>
        <v>0</v>
      </c>
      <c r="NCH49" s="375">
        <f t="shared" si="192"/>
        <v>0</v>
      </c>
      <c r="NCI49" s="375">
        <f t="shared" si="192"/>
        <v>0</v>
      </c>
      <c r="NCJ49" s="375">
        <f t="shared" si="192"/>
        <v>0</v>
      </c>
      <c r="NCK49" s="375">
        <f t="shared" si="192"/>
        <v>0</v>
      </c>
      <c r="NCL49" s="375">
        <f t="shared" si="192"/>
        <v>0</v>
      </c>
      <c r="NCM49" s="375">
        <f t="shared" si="192"/>
        <v>0</v>
      </c>
      <c r="NCN49" s="375">
        <f t="shared" si="192"/>
        <v>0</v>
      </c>
      <c r="NCO49" s="375">
        <f t="shared" si="192"/>
        <v>0</v>
      </c>
      <c r="NCP49" s="375">
        <f t="shared" si="192"/>
        <v>0</v>
      </c>
      <c r="NCQ49" s="375">
        <f t="shared" si="192"/>
        <v>0</v>
      </c>
      <c r="NCR49" s="375">
        <f t="shared" si="192"/>
        <v>0</v>
      </c>
      <c r="NCS49" s="375">
        <f t="shared" si="192"/>
        <v>0</v>
      </c>
      <c r="NCT49" s="375">
        <f t="shared" si="192"/>
        <v>0</v>
      </c>
      <c r="NCU49" s="375">
        <f t="shared" si="192"/>
        <v>0</v>
      </c>
      <c r="NCV49" s="375">
        <f t="shared" si="192"/>
        <v>0</v>
      </c>
      <c r="NCW49" s="375">
        <f t="shared" si="192"/>
        <v>0</v>
      </c>
      <c r="NCX49" s="375">
        <f t="shared" si="192"/>
        <v>0</v>
      </c>
      <c r="NCY49" s="375">
        <f t="shared" si="192"/>
        <v>0</v>
      </c>
      <c r="NCZ49" s="375">
        <f t="shared" si="192"/>
        <v>0</v>
      </c>
      <c r="NDA49" s="375">
        <f t="shared" si="192"/>
        <v>0</v>
      </c>
      <c r="NDB49" s="375">
        <f t="shared" si="192"/>
        <v>0</v>
      </c>
      <c r="NDC49" s="375">
        <f t="shared" si="192"/>
        <v>0</v>
      </c>
      <c r="NDD49" s="375">
        <f t="shared" si="192"/>
        <v>0</v>
      </c>
      <c r="NDE49" s="375">
        <f t="shared" si="192"/>
        <v>0</v>
      </c>
      <c r="NDF49" s="375">
        <f t="shared" si="192"/>
        <v>0</v>
      </c>
      <c r="NDG49" s="375">
        <f t="shared" si="192"/>
        <v>0</v>
      </c>
      <c r="NDH49" s="375">
        <f t="shared" si="192"/>
        <v>0</v>
      </c>
      <c r="NDI49" s="375">
        <f t="shared" si="192"/>
        <v>0</v>
      </c>
      <c r="NDJ49" s="375">
        <f t="shared" si="192"/>
        <v>0</v>
      </c>
      <c r="NDK49" s="375">
        <f t="shared" si="192"/>
        <v>0</v>
      </c>
      <c r="NDL49" s="375">
        <f t="shared" si="192"/>
        <v>0</v>
      </c>
      <c r="NDM49" s="375">
        <f t="shared" si="192"/>
        <v>0</v>
      </c>
      <c r="NDN49" s="375">
        <f t="shared" si="192"/>
        <v>0</v>
      </c>
      <c r="NDO49" s="375">
        <f t="shared" si="192"/>
        <v>0</v>
      </c>
      <c r="NDP49" s="375">
        <f t="shared" si="192"/>
        <v>0</v>
      </c>
      <c r="NDQ49" s="375">
        <f t="shared" si="192"/>
        <v>0</v>
      </c>
      <c r="NDR49" s="375">
        <f t="shared" si="192"/>
        <v>0</v>
      </c>
      <c r="NDS49" s="375">
        <f t="shared" si="192"/>
        <v>0</v>
      </c>
      <c r="NDT49" s="375">
        <f t="shared" si="192"/>
        <v>0</v>
      </c>
      <c r="NDU49" s="375">
        <f t="shared" si="192"/>
        <v>0</v>
      </c>
      <c r="NDV49" s="375">
        <f t="shared" si="192"/>
        <v>0</v>
      </c>
      <c r="NDW49" s="375">
        <f t="shared" si="192"/>
        <v>0</v>
      </c>
      <c r="NDX49" s="375">
        <f t="shared" si="192"/>
        <v>0</v>
      </c>
      <c r="NDY49" s="375">
        <f t="shared" si="192"/>
        <v>0</v>
      </c>
      <c r="NDZ49" s="375">
        <f t="shared" si="192"/>
        <v>0</v>
      </c>
      <c r="NEA49" s="375">
        <f t="shared" si="192"/>
        <v>0</v>
      </c>
      <c r="NEB49" s="375">
        <f t="shared" si="192"/>
        <v>0</v>
      </c>
      <c r="NEC49" s="375">
        <f t="shared" si="192"/>
        <v>0</v>
      </c>
      <c r="NED49" s="375">
        <f t="shared" si="192"/>
        <v>0</v>
      </c>
      <c r="NEE49" s="375">
        <f t="shared" si="192"/>
        <v>0</v>
      </c>
      <c r="NEF49" s="375">
        <f t="shared" si="192"/>
        <v>0</v>
      </c>
      <c r="NEG49" s="375">
        <f t="shared" ref="NEG49:NGR49" si="193">NEG48*0.8</f>
        <v>0</v>
      </c>
      <c r="NEH49" s="375">
        <f t="shared" si="193"/>
        <v>0</v>
      </c>
      <c r="NEI49" s="375">
        <f t="shared" si="193"/>
        <v>0</v>
      </c>
      <c r="NEJ49" s="375">
        <f t="shared" si="193"/>
        <v>0</v>
      </c>
      <c r="NEK49" s="375">
        <f t="shared" si="193"/>
        <v>0</v>
      </c>
      <c r="NEL49" s="375">
        <f t="shared" si="193"/>
        <v>0</v>
      </c>
      <c r="NEM49" s="375">
        <f t="shared" si="193"/>
        <v>0</v>
      </c>
      <c r="NEN49" s="375">
        <f t="shared" si="193"/>
        <v>0</v>
      </c>
      <c r="NEO49" s="375">
        <f t="shared" si="193"/>
        <v>0</v>
      </c>
      <c r="NEP49" s="375">
        <f t="shared" si="193"/>
        <v>0</v>
      </c>
      <c r="NEQ49" s="375">
        <f t="shared" si="193"/>
        <v>0</v>
      </c>
      <c r="NER49" s="375">
        <f t="shared" si="193"/>
        <v>0</v>
      </c>
      <c r="NES49" s="375">
        <f t="shared" si="193"/>
        <v>0</v>
      </c>
      <c r="NET49" s="375">
        <f t="shared" si="193"/>
        <v>0</v>
      </c>
      <c r="NEU49" s="375">
        <f t="shared" si="193"/>
        <v>0</v>
      </c>
      <c r="NEV49" s="375">
        <f t="shared" si="193"/>
        <v>0</v>
      </c>
      <c r="NEW49" s="375">
        <f t="shared" si="193"/>
        <v>0</v>
      </c>
      <c r="NEX49" s="375">
        <f t="shared" si="193"/>
        <v>0</v>
      </c>
      <c r="NEY49" s="375">
        <f t="shared" si="193"/>
        <v>0</v>
      </c>
      <c r="NEZ49" s="375">
        <f t="shared" si="193"/>
        <v>0</v>
      </c>
      <c r="NFA49" s="375">
        <f t="shared" si="193"/>
        <v>0</v>
      </c>
      <c r="NFB49" s="375">
        <f t="shared" si="193"/>
        <v>0</v>
      </c>
      <c r="NFC49" s="375">
        <f t="shared" si="193"/>
        <v>0</v>
      </c>
      <c r="NFD49" s="375">
        <f t="shared" si="193"/>
        <v>0</v>
      </c>
      <c r="NFE49" s="375">
        <f t="shared" si="193"/>
        <v>0</v>
      </c>
      <c r="NFF49" s="375">
        <f t="shared" si="193"/>
        <v>0</v>
      </c>
      <c r="NFG49" s="375">
        <f t="shared" si="193"/>
        <v>0</v>
      </c>
      <c r="NFH49" s="375">
        <f t="shared" si="193"/>
        <v>0</v>
      </c>
      <c r="NFI49" s="375">
        <f t="shared" si="193"/>
        <v>0</v>
      </c>
      <c r="NFJ49" s="375">
        <f t="shared" si="193"/>
        <v>0</v>
      </c>
      <c r="NFK49" s="375">
        <f t="shared" si="193"/>
        <v>0</v>
      </c>
      <c r="NFL49" s="375">
        <f t="shared" si="193"/>
        <v>0</v>
      </c>
      <c r="NFM49" s="375">
        <f t="shared" si="193"/>
        <v>0</v>
      </c>
      <c r="NFN49" s="375">
        <f t="shared" si="193"/>
        <v>0</v>
      </c>
      <c r="NFO49" s="375">
        <f t="shared" si="193"/>
        <v>0</v>
      </c>
      <c r="NFP49" s="375">
        <f t="shared" si="193"/>
        <v>0</v>
      </c>
      <c r="NFQ49" s="375">
        <f t="shared" si="193"/>
        <v>0</v>
      </c>
      <c r="NFR49" s="375">
        <f t="shared" si="193"/>
        <v>0</v>
      </c>
      <c r="NFS49" s="375">
        <f t="shared" si="193"/>
        <v>0</v>
      </c>
      <c r="NFT49" s="375">
        <f t="shared" si="193"/>
        <v>0</v>
      </c>
      <c r="NFU49" s="375">
        <f t="shared" si="193"/>
        <v>0</v>
      </c>
      <c r="NFV49" s="375">
        <f t="shared" si="193"/>
        <v>0</v>
      </c>
      <c r="NFW49" s="375">
        <f t="shared" si="193"/>
        <v>0</v>
      </c>
      <c r="NFX49" s="375">
        <f t="shared" si="193"/>
        <v>0</v>
      </c>
      <c r="NFY49" s="375">
        <f t="shared" si="193"/>
        <v>0</v>
      </c>
      <c r="NFZ49" s="375">
        <f t="shared" si="193"/>
        <v>0</v>
      </c>
      <c r="NGA49" s="375">
        <f t="shared" si="193"/>
        <v>0</v>
      </c>
      <c r="NGB49" s="375">
        <f t="shared" si="193"/>
        <v>0</v>
      </c>
      <c r="NGC49" s="375">
        <f t="shared" si="193"/>
        <v>0</v>
      </c>
      <c r="NGD49" s="375">
        <f t="shared" si="193"/>
        <v>0</v>
      </c>
      <c r="NGE49" s="375">
        <f t="shared" si="193"/>
        <v>0</v>
      </c>
      <c r="NGF49" s="375">
        <f t="shared" si="193"/>
        <v>0</v>
      </c>
      <c r="NGG49" s="375">
        <f t="shared" si="193"/>
        <v>0</v>
      </c>
      <c r="NGH49" s="375">
        <f t="shared" si="193"/>
        <v>0</v>
      </c>
      <c r="NGI49" s="375">
        <f t="shared" si="193"/>
        <v>0</v>
      </c>
      <c r="NGJ49" s="375">
        <f t="shared" si="193"/>
        <v>0</v>
      </c>
      <c r="NGK49" s="375">
        <f t="shared" si="193"/>
        <v>0</v>
      </c>
      <c r="NGL49" s="375">
        <f t="shared" si="193"/>
        <v>0</v>
      </c>
      <c r="NGM49" s="375">
        <f t="shared" si="193"/>
        <v>0</v>
      </c>
      <c r="NGN49" s="375">
        <f t="shared" si="193"/>
        <v>0</v>
      </c>
      <c r="NGO49" s="375">
        <f t="shared" si="193"/>
        <v>0</v>
      </c>
      <c r="NGP49" s="375">
        <f t="shared" si="193"/>
        <v>0</v>
      </c>
      <c r="NGQ49" s="375">
        <f t="shared" si="193"/>
        <v>0</v>
      </c>
      <c r="NGR49" s="375">
        <f t="shared" si="193"/>
        <v>0</v>
      </c>
      <c r="NGS49" s="375">
        <f t="shared" ref="NGS49:NJD49" si="194">NGS48*0.8</f>
        <v>0</v>
      </c>
      <c r="NGT49" s="375">
        <f t="shared" si="194"/>
        <v>0</v>
      </c>
      <c r="NGU49" s="375">
        <f t="shared" si="194"/>
        <v>0</v>
      </c>
      <c r="NGV49" s="375">
        <f t="shared" si="194"/>
        <v>0</v>
      </c>
      <c r="NGW49" s="375">
        <f t="shared" si="194"/>
        <v>0</v>
      </c>
      <c r="NGX49" s="375">
        <f t="shared" si="194"/>
        <v>0</v>
      </c>
      <c r="NGY49" s="375">
        <f t="shared" si="194"/>
        <v>0</v>
      </c>
      <c r="NGZ49" s="375">
        <f t="shared" si="194"/>
        <v>0</v>
      </c>
      <c r="NHA49" s="375">
        <f t="shared" si="194"/>
        <v>0</v>
      </c>
      <c r="NHB49" s="375">
        <f t="shared" si="194"/>
        <v>0</v>
      </c>
      <c r="NHC49" s="375">
        <f t="shared" si="194"/>
        <v>0</v>
      </c>
      <c r="NHD49" s="375">
        <f t="shared" si="194"/>
        <v>0</v>
      </c>
      <c r="NHE49" s="375">
        <f t="shared" si="194"/>
        <v>0</v>
      </c>
      <c r="NHF49" s="375">
        <f t="shared" si="194"/>
        <v>0</v>
      </c>
      <c r="NHG49" s="375">
        <f t="shared" si="194"/>
        <v>0</v>
      </c>
      <c r="NHH49" s="375">
        <f t="shared" si="194"/>
        <v>0</v>
      </c>
      <c r="NHI49" s="375">
        <f t="shared" si="194"/>
        <v>0</v>
      </c>
      <c r="NHJ49" s="375">
        <f t="shared" si="194"/>
        <v>0</v>
      </c>
      <c r="NHK49" s="375">
        <f t="shared" si="194"/>
        <v>0</v>
      </c>
      <c r="NHL49" s="375">
        <f t="shared" si="194"/>
        <v>0</v>
      </c>
      <c r="NHM49" s="375">
        <f t="shared" si="194"/>
        <v>0</v>
      </c>
      <c r="NHN49" s="375">
        <f t="shared" si="194"/>
        <v>0</v>
      </c>
      <c r="NHO49" s="375">
        <f t="shared" si="194"/>
        <v>0</v>
      </c>
      <c r="NHP49" s="375">
        <f t="shared" si="194"/>
        <v>0</v>
      </c>
      <c r="NHQ49" s="375">
        <f t="shared" si="194"/>
        <v>0</v>
      </c>
      <c r="NHR49" s="375">
        <f t="shared" si="194"/>
        <v>0</v>
      </c>
      <c r="NHS49" s="375">
        <f t="shared" si="194"/>
        <v>0</v>
      </c>
      <c r="NHT49" s="375">
        <f t="shared" si="194"/>
        <v>0</v>
      </c>
      <c r="NHU49" s="375">
        <f t="shared" si="194"/>
        <v>0</v>
      </c>
      <c r="NHV49" s="375">
        <f t="shared" si="194"/>
        <v>0</v>
      </c>
      <c r="NHW49" s="375">
        <f t="shared" si="194"/>
        <v>0</v>
      </c>
      <c r="NHX49" s="375">
        <f t="shared" si="194"/>
        <v>0</v>
      </c>
      <c r="NHY49" s="375">
        <f t="shared" si="194"/>
        <v>0</v>
      </c>
      <c r="NHZ49" s="375">
        <f t="shared" si="194"/>
        <v>0</v>
      </c>
      <c r="NIA49" s="375">
        <f t="shared" si="194"/>
        <v>0</v>
      </c>
      <c r="NIB49" s="375">
        <f t="shared" si="194"/>
        <v>0</v>
      </c>
      <c r="NIC49" s="375">
        <f t="shared" si="194"/>
        <v>0</v>
      </c>
      <c r="NID49" s="375">
        <f t="shared" si="194"/>
        <v>0</v>
      </c>
      <c r="NIE49" s="375">
        <f t="shared" si="194"/>
        <v>0</v>
      </c>
      <c r="NIF49" s="375">
        <f t="shared" si="194"/>
        <v>0</v>
      </c>
      <c r="NIG49" s="375">
        <f t="shared" si="194"/>
        <v>0</v>
      </c>
      <c r="NIH49" s="375">
        <f t="shared" si="194"/>
        <v>0</v>
      </c>
      <c r="NII49" s="375">
        <f t="shared" si="194"/>
        <v>0</v>
      </c>
      <c r="NIJ49" s="375">
        <f t="shared" si="194"/>
        <v>0</v>
      </c>
      <c r="NIK49" s="375">
        <f t="shared" si="194"/>
        <v>0</v>
      </c>
      <c r="NIL49" s="375">
        <f t="shared" si="194"/>
        <v>0</v>
      </c>
      <c r="NIM49" s="375">
        <f t="shared" si="194"/>
        <v>0</v>
      </c>
      <c r="NIN49" s="375">
        <f t="shared" si="194"/>
        <v>0</v>
      </c>
      <c r="NIO49" s="375">
        <f t="shared" si="194"/>
        <v>0</v>
      </c>
      <c r="NIP49" s="375">
        <f t="shared" si="194"/>
        <v>0</v>
      </c>
      <c r="NIQ49" s="375">
        <f t="shared" si="194"/>
        <v>0</v>
      </c>
      <c r="NIR49" s="375">
        <f t="shared" si="194"/>
        <v>0</v>
      </c>
      <c r="NIS49" s="375">
        <f t="shared" si="194"/>
        <v>0</v>
      </c>
      <c r="NIT49" s="375">
        <f t="shared" si="194"/>
        <v>0</v>
      </c>
      <c r="NIU49" s="375">
        <f t="shared" si="194"/>
        <v>0</v>
      </c>
      <c r="NIV49" s="375">
        <f t="shared" si="194"/>
        <v>0</v>
      </c>
      <c r="NIW49" s="375">
        <f t="shared" si="194"/>
        <v>0</v>
      </c>
      <c r="NIX49" s="375">
        <f t="shared" si="194"/>
        <v>0</v>
      </c>
      <c r="NIY49" s="375">
        <f t="shared" si="194"/>
        <v>0</v>
      </c>
      <c r="NIZ49" s="375">
        <f t="shared" si="194"/>
        <v>0</v>
      </c>
      <c r="NJA49" s="375">
        <f t="shared" si="194"/>
        <v>0</v>
      </c>
      <c r="NJB49" s="375">
        <f t="shared" si="194"/>
        <v>0</v>
      </c>
      <c r="NJC49" s="375">
        <f t="shared" si="194"/>
        <v>0</v>
      </c>
      <c r="NJD49" s="375">
        <f t="shared" si="194"/>
        <v>0</v>
      </c>
      <c r="NJE49" s="375">
        <f t="shared" ref="NJE49:NLP49" si="195">NJE48*0.8</f>
        <v>0</v>
      </c>
      <c r="NJF49" s="375">
        <f t="shared" si="195"/>
        <v>0</v>
      </c>
      <c r="NJG49" s="375">
        <f t="shared" si="195"/>
        <v>0</v>
      </c>
      <c r="NJH49" s="375">
        <f t="shared" si="195"/>
        <v>0</v>
      </c>
      <c r="NJI49" s="375">
        <f t="shared" si="195"/>
        <v>0</v>
      </c>
      <c r="NJJ49" s="375">
        <f t="shared" si="195"/>
        <v>0</v>
      </c>
      <c r="NJK49" s="375">
        <f t="shared" si="195"/>
        <v>0</v>
      </c>
      <c r="NJL49" s="375">
        <f t="shared" si="195"/>
        <v>0</v>
      </c>
      <c r="NJM49" s="375">
        <f t="shared" si="195"/>
        <v>0</v>
      </c>
      <c r="NJN49" s="375">
        <f t="shared" si="195"/>
        <v>0</v>
      </c>
      <c r="NJO49" s="375">
        <f t="shared" si="195"/>
        <v>0</v>
      </c>
      <c r="NJP49" s="375">
        <f t="shared" si="195"/>
        <v>0</v>
      </c>
      <c r="NJQ49" s="375">
        <f t="shared" si="195"/>
        <v>0</v>
      </c>
      <c r="NJR49" s="375">
        <f t="shared" si="195"/>
        <v>0</v>
      </c>
      <c r="NJS49" s="375">
        <f t="shared" si="195"/>
        <v>0</v>
      </c>
      <c r="NJT49" s="375">
        <f t="shared" si="195"/>
        <v>0</v>
      </c>
      <c r="NJU49" s="375">
        <f t="shared" si="195"/>
        <v>0</v>
      </c>
      <c r="NJV49" s="375">
        <f t="shared" si="195"/>
        <v>0</v>
      </c>
      <c r="NJW49" s="375">
        <f t="shared" si="195"/>
        <v>0</v>
      </c>
      <c r="NJX49" s="375">
        <f t="shared" si="195"/>
        <v>0</v>
      </c>
      <c r="NJY49" s="375">
        <f t="shared" si="195"/>
        <v>0</v>
      </c>
      <c r="NJZ49" s="375">
        <f t="shared" si="195"/>
        <v>0</v>
      </c>
      <c r="NKA49" s="375">
        <f t="shared" si="195"/>
        <v>0</v>
      </c>
      <c r="NKB49" s="375">
        <f t="shared" si="195"/>
        <v>0</v>
      </c>
      <c r="NKC49" s="375">
        <f t="shared" si="195"/>
        <v>0</v>
      </c>
      <c r="NKD49" s="375">
        <f t="shared" si="195"/>
        <v>0</v>
      </c>
      <c r="NKE49" s="375">
        <f t="shared" si="195"/>
        <v>0</v>
      </c>
      <c r="NKF49" s="375">
        <f t="shared" si="195"/>
        <v>0</v>
      </c>
      <c r="NKG49" s="375">
        <f t="shared" si="195"/>
        <v>0</v>
      </c>
      <c r="NKH49" s="375">
        <f t="shared" si="195"/>
        <v>0</v>
      </c>
      <c r="NKI49" s="375">
        <f t="shared" si="195"/>
        <v>0</v>
      </c>
      <c r="NKJ49" s="375">
        <f t="shared" si="195"/>
        <v>0</v>
      </c>
      <c r="NKK49" s="375">
        <f t="shared" si="195"/>
        <v>0</v>
      </c>
      <c r="NKL49" s="375">
        <f t="shared" si="195"/>
        <v>0</v>
      </c>
      <c r="NKM49" s="375">
        <f t="shared" si="195"/>
        <v>0</v>
      </c>
      <c r="NKN49" s="375">
        <f t="shared" si="195"/>
        <v>0</v>
      </c>
      <c r="NKO49" s="375">
        <f t="shared" si="195"/>
        <v>0</v>
      </c>
      <c r="NKP49" s="375">
        <f t="shared" si="195"/>
        <v>0</v>
      </c>
      <c r="NKQ49" s="375">
        <f t="shared" si="195"/>
        <v>0</v>
      </c>
      <c r="NKR49" s="375">
        <f t="shared" si="195"/>
        <v>0</v>
      </c>
      <c r="NKS49" s="375">
        <f t="shared" si="195"/>
        <v>0</v>
      </c>
      <c r="NKT49" s="375">
        <f t="shared" si="195"/>
        <v>0</v>
      </c>
      <c r="NKU49" s="375">
        <f t="shared" si="195"/>
        <v>0</v>
      </c>
      <c r="NKV49" s="375">
        <f t="shared" si="195"/>
        <v>0</v>
      </c>
      <c r="NKW49" s="375">
        <f t="shared" si="195"/>
        <v>0</v>
      </c>
      <c r="NKX49" s="375">
        <f t="shared" si="195"/>
        <v>0</v>
      </c>
      <c r="NKY49" s="375">
        <f t="shared" si="195"/>
        <v>0</v>
      </c>
      <c r="NKZ49" s="375">
        <f t="shared" si="195"/>
        <v>0</v>
      </c>
      <c r="NLA49" s="375">
        <f t="shared" si="195"/>
        <v>0</v>
      </c>
      <c r="NLB49" s="375">
        <f t="shared" si="195"/>
        <v>0</v>
      </c>
      <c r="NLC49" s="375">
        <f t="shared" si="195"/>
        <v>0</v>
      </c>
      <c r="NLD49" s="375">
        <f t="shared" si="195"/>
        <v>0</v>
      </c>
      <c r="NLE49" s="375">
        <f t="shared" si="195"/>
        <v>0</v>
      </c>
      <c r="NLF49" s="375">
        <f t="shared" si="195"/>
        <v>0</v>
      </c>
      <c r="NLG49" s="375">
        <f t="shared" si="195"/>
        <v>0</v>
      </c>
      <c r="NLH49" s="375">
        <f t="shared" si="195"/>
        <v>0</v>
      </c>
      <c r="NLI49" s="375">
        <f t="shared" si="195"/>
        <v>0</v>
      </c>
      <c r="NLJ49" s="375">
        <f t="shared" si="195"/>
        <v>0</v>
      </c>
      <c r="NLK49" s="375">
        <f t="shared" si="195"/>
        <v>0</v>
      </c>
      <c r="NLL49" s="375">
        <f t="shared" si="195"/>
        <v>0</v>
      </c>
      <c r="NLM49" s="375">
        <f t="shared" si="195"/>
        <v>0</v>
      </c>
      <c r="NLN49" s="375">
        <f t="shared" si="195"/>
        <v>0</v>
      </c>
      <c r="NLO49" s="375">
        <f t="shared" si="195"/>
        <v>0</v>
      </c>
      <c r="NLP49" s="375">
        <f t="shared" si="195"/>
        <v>0</v>
      </c>
      <c r="NLQ49" s="375">
        <f t="shared" ref="NLQ49:NOB49" si="196">NLQ48*0.8</f>
        <v>0</v>
      </c>
      <c r="NLR49" s="375">
        <f t="shared" si="196"/>
        <v>0</v>
      </c>
      <c r="NLS49" s="375">
        <f t="shared" si="196"/>
        <v>0</v>
      </c>
      <c r="NLT49" s="375">
        <f t="shared" si="196"/>
        <v>0</v>
      </c>
      <c r="NLU49" s="375">
        <f t="shared" si="196"/>
        <v>0</v>
      </c>
      <c r="NLV49" s="375">
        <f t="shared" si="196"/>
        <v>0</v>
      </c>
      <c r="NLW49" s="375">
        <f t="shared" si="196"/>
        <v>0</v>
      </c>
      <c r="NLX49" s="375">
        <f t="shared" si="196"/>
        <v>0</v>
      </c>
      <c r="NLY49" s="375">
        <f t="shared" si="196"/>
        <v>0</v>
      </c>
      <c r="NLZ49" s="375">
        <f t="shared" si="196"/>
        <v>0</v>
      </c>
      <c r="NMA49" s="375">
        <f t="shared" si="196"/>
        <v>0</v>
      </c>
      <c r="NMB49" s="375">
        <f t="shared" si="196"/>
        <v>0</v>
      </c>
      <c r="NMC49" s="375">
        <f t="shared" si="196"/>
        <v>0</v>
      </c>
      <c r="NMD49" s="375">
        <f t="shared" si="196"/>
        <v>0</v>
      </c>
      <c r="NME49" s="375">
        <f t="shared" si="196"/>
        <v>0</v>
      </c>
      <c r="NMF49" s="375">
        <f t="shared" si="196"/>
        <v>0</v>
      </c>
      <c r="NMG49" s="375">
        <f t="shared" si="196"/>
        <v>0</v>
      </c>
      <c r="NMH49" s="375">
        <f t="shared" si="196"/>
        <v>0</v>
      </c>
      <c r="NMI49" s="375">
        <f t="shared" si="196"/>
        <v>0</v>
      </c>
      <c r="NMJ49" s="375">
        <f t="shared" si="196"/>
        <v>0</v>
      </c>
      <c r="NMK49" s="375">
        <f t="shared" si="196"/>
        <v>0</v>
      </c>
      <c r="NML49" s="375">
        <f t="shared" si="196"/>
        <v>0</v>
      </c>
      <c r="NMM49" s="375">
        <f t="shared" si="196"/>
        <v>0</v>
      </c>
      <c r="NMN49" s="375">
        <f t="shared" si="196"/>
        <v>0</v>
      </c>
      <c r="NMO49" s="375">
        <f t="shared" si="196"/>
        <v>0</v>
      </c>
      <c r="NMP49" s="375">
        <f t="shared" si="196"/>
        <v>0</v>
      </c>
      <c r="NMQ49" s="375">
        <f t="shared" si="196"/>
        <v>0</v>
      </c>
      <c r="NMR49" s="375">
        <f t="shared" si="196"/>
        <v>0</v>
      </c>
      <c r="NMS49" s="375">
        <f t="shared" si="196"/>
        <v>0</v>
      </c>
      <c r="NMT49" s="375">
        <f t="shared" si="196"/>
        <v>0</v>
      </c>
      <c r="NMU49" s="375">
        <f t="shared" si="196"/>
        <v>0</v>
      </c>
      <c r="NMV49" s="375">
        <f t="shared" si="196"/>
        <v>0</v>
      </c>
      <c r="NMW49" s="375">
        <f t="shared" si="196"/>
        <v>0</v>
      </c>
      <c r="NMX49" s="375">
        <f t="shared" si="196"/>
        <v>0</v>
      </c>
      <c r="NMY49" s="375">
        <f t="shared" si="196"/>
        <v>0</v>
      </c>
      <c r="NMZ49" s="375">
        <f t="shared" si="196"/>
        <v>0</v>
      </c>
      <c r="NNA49" s="375">
        <f t="shared" si="196"/>
        <v>0</v>
      </c>
      <c r="NNB49" s="375">
        <f t="shared" si="196"/>
        <v>0</v>
      </c>
      <c r="NNC49" s="375">
        <f t="shared" si="196"/>
        <v>0</v>
      </c>
      <c r="NND49" s="375">
        <f t="shared" si="196"/>
        <v>0</v>
      </c>
      <c r="NNE49" s="375">
        <f t="shared" si="196"/>
        <v>0</v>
      </c>
      <c r="NNF49" s="375">
        <f t="shared" si="196"/>
        <v>0</v>
      </c>
      <c r="NNG49" s="375">
        <f t="shared" si="196"/>
        <v>0</v>
      </c>
      <c r="NNH49" s="375">
        <f t="shared" si="196"/>
        <v>0</v>
      </c>
      <c r="NNI49" s="375">
        <f t="shared" si="196"/>
        <v>0</v>
      </c>
      <c r="NNJ49" s="375">
        <f t="shared" si="196"/>
        <v>0</v>
      </c>
      <c r="NNK49" s="375">
        <f t="shared" si="196"/>
        <v>0</v>
      </c>
      <c r="NNL49" s="375">
        <f t="shared" si="196"/>
        <v>0</v>
      </c>
      <c r="NNM49" s="375">
        <f t="shared" si="196"/>
        <v>0</v>
      </c>
      <c r="NNN49" s="375">
        <f t="shared" si="196"/>
        <v>0</v>
      </c>
      <c r="NNO49" s="375">
        <f t="shared" si="196"/>
        <v>0</v>
      </c>
      <c r="NNP49" s="375">
        <f t="shared" si="196"/>
        <v>0</v>
      </c>
      <c r="NNQ49" s="375">
        <f t="shared" si="196"/>
        <v>0</v>
      </c>
      <c r="NNR49" s="375">
        <f t="shared" si="196"/>
        <v>0</v>
      </c>
      <c r="NNS49" s="375">
        <f t="shared" si="196"/>
        <v>0</v>
      </c>
      <c r="NNT49" s="375">
        <f t="shared" si="196"/>
        <v>0</v>
      </c>
      <c r="NNU49" s="375">
        <f t="shared" si="196"/>
        <v>0</v>
      </c>
      <c r="NNV49" s="375">
        <f t="shared" si="196"/>
        <v>0</v>
      </c>
      <c r="NNW49" s="375">
        <f t="shared" si="196"/>
        <v>0</v>
      </c>
      <c r="NNX49" s="375">
        <f t="shared" si="196"/>
        <v>0</v>
      </c>
      <c r="NNY49" s="375">
        <f t="shared" si="196"/>
        <v>0</v>
      </c>
      <c r="NNZ49" s="375">
        <f t="shared" si="196"/>
        <v>0</v>
      </c>
      <c r="NOA49" s="375">
        <f t="shared" si="196"/>
        <v>0</v>
      </c>
      <c r="NOB49" s="375">
        <f t="shared" si="196"/>
        <v>0</v>
      </c>
      <c r="NOC49" s="375">
        <f t="shared" ref="NOC49:NQN49" si="197">NOC48*0.8</f>
        <v>0</v>
      </c>
      <c r="NOD49" s="375">
        <f t="shared" si="197"/>
        <v>0</v>
      </c>
      <c r="NOE49" s="375">
        <f t="shared" si="197"/>
        <v>0</v>
      </c>
      <c r="NOF49" s="375">
        <f t="shared" si="197"/>
        <v>0</v>
      </c>
      <c r="NOG49" s="375">
        <f t="shared" si="197"/>
        <v>0</v>
      </c>
      <c r="NOH49" s="375">
        <f t="shared" si="197"/>
        <v>0</v>
      </c>
      <c r="NOI49" s="375">
        <f t="shared" si="197"/>
        <v>0</v>
      </c>
      <c r="NOJ49" s="375">
        <f t="shared" si="197"/>
        <v>0</v>
      </c>
      <c r="NOK49" s="375">
        <f t="shared" si="197"/>
        <v>0</v>
      </c>
      <c r="NOL49" s="375">
        <f t="shared" si="197"/>
        <v>0</v>
      </c>
      <c r="NOM49" s="375">
        <f t="shared" si="197"/>
        <v>0</v>
      </c>
      <c r="NON49" s="375">
        <f t="shared" si="197"/>
        <v>0</v>
      </c>
      <c r="NOO49" s="375">
        <f t="shared" si="197"/>
        <v>0</v>
      </c>
      <c r="NOP49" s="375">
        <f t="shared" si="197"/>
        <v>0</v>
      </c>
      <c r="NOQ49" s="375">
        <f t="shared" si="197"/>
        <v>0</v>
      </c>
      <c r="NOR49" s="375">
        <f t="shared" si="197"/>
        <v>0</v>
      </c>
      <c r="NOS49" s="375">
        <f t="shared" si="197"/>
        <v>0</v>
      </c>
      <c r="NOT49" s="375">
        <f t="shared" si="197"/>
        <v>0</v>
      </c>
      <c r="NOU49" s="375">
        <f t="shared" si="197"/>
        <v>0</v>
      </c>
      <c r="NOV49" s="375">
        <f t="shared" si="197"/>
        <v>0</v>
      </c>
      <c r="NOW49" s="375">
        <f t="shared" si="197"/>
        <v>0</v>
      </c>
      <c r="NOX49" s="375">
        <f t="shared" si="197"/>
        <v>0</v>
      </c>
      <c r="NOY49" s="375">
        <f t="shared" si="197"/>
        <v>0</v>
      </c>
      <c r="NOZ49" s="375">
        <f t="shared" si="197"/>
        <v>0</v>
      </c>
      <c r="NPA49" s="375">
        <f t="shared" si="197"/>
        <v>0</v>
      </c>
      <c r="NPB49" s="375">
        <f t="shared" si="197"/>
        <v>0</v>
      </c>
      <c r="NPC49" s="375">
        <f t="shared" si="197"/>
        <v>0</v>
      </c>
      <c r="NPD49" s="375">
        <f t="shared" si="197"/>
        <v>0</v>
      </c>
      <c r="NPE49" s="375">
        <f t="shared" si="197"/>
        <v>0</v>
      </c>
      <c r="NPF49" s="375">
        <f t="shared" si="197"/>
        <v>0</v>
      </c>
      <c r="NPG49" s="375">
        <f t="shared" si="197"/>
        <v>0</v>
      </c>
      <c r="NPH49" s="375">
        <f t="shared" si="197"/>
        <v>0</v>
      </c>
      <c r="NPI49" s="375">
        <f t="shared" si="197"/>
        <v>0</v>
      </c>
      <c r="NPJ49" s="375">
        <f t="shared" si="197"/>
        <v>0</v>
      </c>
      <c r="NPK49" s="375">
        <f t="shared" si="197"/>
        <v>0</v>
      </c>
      <c r="NPL49" s="375">
        <f t="shared" si="197"/>
        <v>0</v>
      </c>
      <c r="NPM49" s="375">
        <f t="shared" si="197"/>
        <v>0</v>
      </c>
      <c r="NPN49" s="375">
        <f t="shared" si="197"/>
        <v>0</v>
      </c>
      <c r="NPO49" s="375">
        <f t="shared" si="197"/>
        <v>0</v>
      </c>
      <c r="NPP49" s="375">
        <f t="shared" si="197"/>
        <v>0</v>
      </c>
      <c r="NPQ49" s="375">
        <f t="shared" si="197"/>
        <v>0</v>
      </c>
      <c r="NPR49" s="375">
        <f t="shared" si="197"/>
        <v>0</v>
      </c>
      <c r="NPS49" s="375">
        <f t="shared" si="197"/>
        <v>0</v>
      </c>
      <c r="NPT49" s="375">
        <f t="shared" si="197"/>
        <v>0</v>
      </c>
      <c r="NPU49" s="375">
        <f t="shared" si="197"/>
        <v>0</v>
      </c>
      <c r="NPV49" s="375">
        <f t="shared" si="197"/>
        <v>0</v>
      </c>
      <c r="NPW49" s="375">
        <f t="shared" si="197"/>
        <v>0</v>
      </c>
      <c r="NPX49" s="375">
        <f t="shared" si="197"/>
        <v>0</v>
      </c>
      <c r="NPY49" s="375">
        <f t="shared" si="197"/>
        <v>0</v>
      </c>
      <c r="NPZ49" s="375">
        <f t="shared" si="197"/>
        <v>0</v>
      </c>
      <c r="NQA49" s="375">
        <f t="shared" si="197"/>
        <v>0</v>
      </c>
      <c r="NQB49" s="375">
        <f t="shared" si="197"/>
        <v>0</v>
      </c>
      <c r="NQC49" s="375">
        <f t="shared" si="197"/>
        <v>0</v>
      </c>
      <c r="NQD49" s="375">
        <f t="shared" si="197"/>
        <v>0</v>
      </c>
      <c r="NQE49" s="375">
        <f t="shared" si="197"/>
        <v>0</v>
      </c>
      <c r="NQF49" s="375">
        <f t="shared" si="197"/>
        <v>0</v>
      </c>
      <c r="NQG49" s="375">
        <f t="shared" si="197"/>
        <v>0</v>
      </c>
      <c r="NQH49" s="375">
        <f t="shared" si="197"/>
        <v>0</v>
      </c>
      <c r="NQI49" s="375">
        <f t="shared" si="197"/>
        <v>0</v>
      </c>
      <c r="NQJ49" s="375">
        <f t="shared" si="197"/>
        <v>0</v>
      </c>
      <c r="NQK49" s="375">
        <f t="shared" si="197"/>
        <v>0</v>
      </c>
      <c r="NQL49" s="375">
        <f t="shared" si="197"/>
        <v>0</v>
      </c>
      <c r="NQM49" s="375">
        <f t="shared" si="197"/>
        <v>0</v>
      </c>
      <c r="NQN49" s="375">
        <f t="shared" si="197"/>
        <v>0</v>
      </c>
      <c r="NQO49" s="375">
        <f t="shared" ref="NQO49:NSZ49" si="198">NQO48*0.8</f>
        <v>0</v>
      </c>
      <c r="NQP49" s="375">
        <f t="shared" si="198"/>
        <v>0</v>
      </c>
      <c r="NQQ49" s="375">
        <f t="shared" si="198"/>
        <v>0</v>
      </c>
      <c r="NQR49" s="375">
        <f t="shared" si="198"/>
        <v>0</v>
      </c>
      <c r="NQS49" s="375">
        <f t="shared" si="198"/>
        <v>0</v>
      </c>
      <c r="NQT49" s="375">
        <f t="shared" si="198"/>
        <v>0</v>
      </c>
      <c r="NQU49" s="375">
        <f t="shared" si="198"/>
        <v>0</v>
      </c>
      <c r="NQV49" s="375">
        <f t="shared" si="198"/>
        <v>0</v>
      </c>
      <c r="NQW49" s="375">
        <f t="shared" si="198"/>
        <v>0</v>
      </c>
      <c r="NQX49" s="375">
        <f t="shared" si="198"/>
        <v>0</v>
      </c>
      <c r="NQY49" s="375">
        <f t="shared" si="198"/>
        <v>0</v>
      </c>
      <c r="NQZ49" s="375">
        <f t="shared" si="198"/>
        <v>0</v>
      </c>
      <c r="NRA49" s="375">
        <f t="shared" si="198"/>
        <v>0</v>
      </c>
      <c r="NRB49" s="375">
        <f t="shared" si="198"/>
        <v>0</v>
      </c>
      <c r="NRC49" s="375">
        <f t="shared" si="198"/>
        <v>0</v>
      </c>
      <c r="NRD49" s="375">
        <f t="shared" si="198"/>
        <v>0</v>
      </c>
      <c r="NRE49" s="375">
        <f t="shared" si="198"/>
        <v>0</v>
      </c>
      <c r="NRF49" s="375">
        <f t="shared" si="198"/>
        <v>0</v>
      </c>
      <c r="NRG49" s="375">
        <f t="shared" si="198"/>
        <v>0</v>
      </c>
      <c r="NRH49" s="375">
        <f t="shared" si="198"/>
        <v>0</v>
      </c>
      <c r="NRI49" s="375">
        <f t="shared" si="198"/>
        <v>0</v>
      </c>
      <c r="NRJ49" s="375">
        <f t="shared" si="198"/>
        <v>0</v>
      </c>
      <c r="NRK49" s="375">
        <f t="shared" si="198"/>
        <v>0</v>
      </c>
      <c r="NRL49" s="375">
        <f t="shared" si="198"/>
        <v>0</v>
      </c>
      <c r="NRM49" s="375">
        <f t="shared" si="198"/>
        <v>0</v>
      </c>
      <c r="NRN49" s="375">
        <f t="shared" si="198"/>
        <v>0</v>
      </c>
      <c r="NRO49" s="375">
        <f t="shared" si="198"/>
        <v>0</v>
      </c>
      <c r="NRP49" s="375">
        <f t="shared" si="198"/>
        <v>0</v>
      </c>
      <c r="NRQ49" s="375">
        <f t="shared" si="198"/>
        <v>0</v>
      </c>
      <c r="NRR49" s="375">
        <f t="shared" si="198"/>
        <v>0</v>
      </c>
      <c r="NRS49" s="375">
        <f t="shared" si="198"/>
        <v>0</v>
      </c>
      <c r="NRT49" s="375">
        <f t="shared" si="198"/>
        <v>0</v>
      </c>
      <c r="NRU49" s="375">
        <f t="shared" si="198"/>
        <v>0</v>
      </c>
      <c r="NRV49" s="375">
        <f t="shared" si="198"/>
        <v>0</v>
      </c>
      <c r="NRW49" s="375">
        <f t="shared" si="198"/>
        <v>0</v>
      </c>
      <c r="NRX49" s="375">
        <f t="shared" si="198"/>
        <v>0</v>
      </c>
      <c r="NRY49" s="375">
        <f t="shared" si="198"/>
        <v>0</v>
      </c>
      <c r="NRZ49" s="375">
        <f t="shared" si="198"/>
        <v>0</v>
      </c>
      <c r="NSA49" s="375">
        <f t="shared" si="198"/>
        <v>0</v>
      </c>
      <c r="NSB49" s="375">
        <f t="shared" si="198"/>
        <v>0</v>
      </c>
      <c r="NSC49" s="375">
        <f t="shared" si="198"/>
        <v>0</v>
      </c>
      <c r="NSD49" s="375">
        <f t="shared" si="198"/>
        <v>0</v>
      </c>
      <c r="NSE49" s="375">
        <f t="shared" si="198"/>
        <v>0</v>
      </c>
      <c r="NSF49" s="375">
        <f t="shared" si="198"/>
        <v>0</v>
      </c>
      <c r="NSG49" s="375">
        <f t="shared" si="198"/>
        <v>0</v>
      </c>
      <c r="NSH49" s="375">
        <f t="shared" si="198"/>
        <v>0</v>
      </c>
      <c r="NSI49" s="375">
        <f t="shared" si="198"/>
        <v>0</v>
      </c>
      <c r="NSJ49" s="375">
        <f t="shared" si="198"/>
        <v>0</v>
      </c>
      <c r="NSK49" s="375">
        <f t="shared" si="198"/>
        <v>0</v>
      </c>
      <c r="NSL49" s="375">
        <f t="shared" si="198"/>
        <v>0</v>
      </c>
      <c r="NSM49" s="375">
        <f t="shared" si="198"/>
        <v>0</v>
      </c>
      <c r="NSN49" s="375">
        <f t="shared" si="198"/>
        <v>0</v>
      </c>
      <c r="NSO49" s="375">
        <f t="shared" si="198"/>
        <v>0</v>
      </c>
      <c r="NSP49" s="375">
        <f t="shared" si="198"/>
        <v>0</v>
      </c>
      <c r="NSQ49" s="375">
        <f t="shared" si="198"/>
        <v>0</v>
      </c>
      <c r="NSR49" s="375">
        <f t="shared" si="198"/>
        <v>0</v>
      </c>
      <c r="NSS49" s="375">
        <f t="shared" si="198"/>
        <v>0</v>
      </c>
      <c r="NST49" s="375">
        <f t="shared" si="198"/>
        <v>0</v>
      </c>
      <c r="NSU49" s="375">
        <f t="shared" si="198"/>
        <v>0</v>
      </c>
      <c r="NSV49" s="375">
        <f t="shared" si="198"/>
        <v>0</v>
      </c>
      <c r="NSW49" s="375">
        <f t="shared" si="198"/>
        <v>0</v>
      </c>
      <c r="NSX49" s="375">
        <f t="shared" si="198"/>
        <v>0</v>
      </c>
      <c r="NSY49" s="375">
        <f t="shared" si="198"/>
        <v>0</v>
      </c>
      <c r="NSZ49" s="375">
        <f t="shared" si="198"/>
        <v>0</v>
      </c>
      <c r="NTA49" s="375">
        <f t="shared" ref="NTA49:NVL49" si="199">NTA48*0.8</f>
        <v>0</v>
      </c>
      <c r="NTB49" s="375">
        <f t="shared" si="199"/>
        <v>0</v>
      </c>
      <c r="NTC49" s="375">
        <f t="shared" si="199"/>
        <v>0</v>
      </c>
      <c r="NTD49" s="375">
        <f t="shared" si="199"/>
        <v>0</v>
      </c>
      <c r="NTE49" s="375">
        <f t="shared" si="199"/>
        <v>0</v>
      </c>
      <c r="NTF49" s="375">
        <f t="shared" si="199"/>
        <v>0</v>
      </c>
      <c r="NTG49" s="375">
        <f t="shared" si="199"/>
        <v>0</v>
      </c>
      <c r="NTH49" s="375">
        <f t="shared" si="199"/>
        <v>0</v>
      </c>
      <c r="NTI49" s="375">
        <f t="shared" si="199"/>
        <v>0</v>
      </c>
      <c r="NTJ49" s="375">
        <f t="shared" si="199"/>
        <v>0</v>
      </c>
      <c r="NTK49" s="375">
        <f t="shared" si="199"/>
        <v>0</v>
      </c>
      <c r="NTL49" s="375">
        <f t="shared" si="199"/>
        <v>0</v>
      </c>
      <c r="NTM49" s="375">
        <f t="shared" si="199"/>
        <v>0</v>
      </c>
      <c r="NTN49" s="375">
        <f t="shared" si="199"/>
        <v>0</v>
      </c>
      <c r="NTO49" s="375">
        <f t="shared" si="199"/>
        <v>0</v>
      </c>
      <c r="NTP49" s="375">
        <f t="shared" si="199"/>
        <v>0</v>
      </c>
      <c r="NTQ49" s="375">
        <f t="shared" si="199"/>
        <v>0</v>
      </c>
      <c r="NTR49" s="375">
        <f t="shared" si="199"/>
        <v>0</v>
      </c>
      <c r="NTS49" s="375">
        <f t="shared" si="199"/>
        <v>0</v>
      </c>
      <c r="NTT49" s="375">
        <f t="shared" si="199"/>
        <v>0</v>
      </c>
      <c r="NTU49" s="375">
        <f t="shared" si="199"/>
        <v>0</v>
      </c>
      <c r="NTV49" s="375">
        <f t="shared" si="199"/>
        <v>0</v>
      </c>
      <c r="NTW49" s="375">
        <f t="shared" si="199"/>
        <v>0</v>
      </c>
      <c r="NTX49" s="375">
        <f t="shared" si="199"/>
        <v>0</v>
      </c>
      <c r="NTY49" s="375">
        <f t="shared" si="199"/>
        <v>0</v>
      </c>
      <c r="NTZ49" s="375">
        <f t="shared" si="199"/>
        <v>0</v>
      </c>
      <c r="NUA49" s="375">
        <f t="shared" si="199"/>
        <v>0</v>
      </c>
      <c r="NUB49" s="375">
        <f t="shared" si="199"/>
        <v>0</v>
      </c>
      <c r="NUC49" s="375">
        <f t="shared" si="199"/>
        <v>0</v>
      </c>
      <c r="NUD49" s="375">
        <f t="shared" si="199"/>
        <v>0</v>
      </c>
      <c r="NUE49" s="375">
        <f t="shared" si="199"/>
        <v>0</v>
      </c>
      <c r="NUF49" s="375">
        <f t="shared" si="199"/>
        <v>0</v>
      </c>
      <c r="NUG49" s="375">
        <f t="shared" si="199"/>
        <v>0</v>
      </c>
      <c r="NUH49" s="375">
        <f t="shared" si="199"/>
        <v>0</v>
      </c>
      <c r="NUI49" s="375">
        <f t="shared" si="199"/>
        <v>0</v>
      </c>
      <c r="NUJ49" s="375">
        <f t="shared" si="199"/>
        <v>0</v>
      </c>
      <c r="NUK49" s="375">
        <f t="shared" si="199"/>
        <v>0</v>
      </c>
      <c r="NUL49" s="375">
        <f t="shared" si="199"/>
        <v>0</v>
      </c>
      <c r="NUM49" s="375">
        <f t="shared" si="199"/>
        <v>0</v>
      </c>
      <c r="NUN49" s="375">
        <f t="shared" si="199"/>
        <v>0</v>
      </c>
      <c r="NUO49" s="375">
        <f t="shared" si="199"/>
        <v>0</v>
      </c>
      <c r="NUP49" s="375">
        <f t="shared" si="199"/>
        <v>0</v>
      </c>
      <c r="NUQ49" s="375">
        <f t="shared" si="199"/>
        <v>0</v>
      </c>
      <c r="NUR49" s="375">
        <f t="shared" si="199"/>
        <v>0</v>
      </c>
      <c r="NUS49" s="375">
        <f t="shared" si="199"/>
        <v>0</v>
      </c>
      <c r="NUT49" s="375">
        <f t="shared" si="199"/>
        <v>0</v>
      </c>
      <c r="NUU49" s="375">
        <f t="shared" si="199"/>
        <v>0</v>
      </c>
      <c r="NUV49" s="375">
        <f t="shared" si="199"/>
        <v>0</v>
      </c>
      <c r="NUW49" s="375">
        <f t="shared" si="199"/>
        <v>0</v>
      </c>
      <c r="NUX49" s="375">
        <f t="shared" si="199"/>
        <v>0</v>
      </c>
      <c r="NUY49" s="375">
        <f t="shared" si="199"/>
        <v>0</v>
      </c>
      <c r="NUZ49" s="375">
        <f t="shared" si="199"/>
        <v>0</v>
      </c>
      <c r="NVA49" s="375">
        <f t="shared" si="199"/>
        <v>0</v>
      </c>
      <c r="NVB49" s="375">
        <f t="shared" si="199"/>
        <v>0</v>
      </c>
      <c r="NVC49" s="375">
        <f t="shared" si="199"/>
        <v>0</v>
      </c>
      <c r="NVD49" s="375">
        <f t="shared" si="199"/>
        <v>0</v>
      </c>
      <c r="NVE49" s="375">
        <f t="shared" si="199"/>
        <v>0</v>
      </c>
      <c r="NVF49" s="375">
        <f t="shared" si="199"/>
        <v>0</v>
      </c>
      <c r="NVG49" s="375">
        <f t="shared" si="199"/>
        <v>0</v>
      </c>
      <c r="NVH49" s="375">
        <f t="shared" si="199"/>
        <v>0</v>
      </c>
      <c r="NVI49" s="375">
        <f t="shared" si="199"/>
        <v>0</v>
      </c>
      <c r="NVJ49" s="375">
        <f t="shared" si="199"/>
        <v>0</v>
      </c>
      <c r="NVK49" s="375">
        <f t="shared" si="199"/>
        <v>0</v>
      </c>
      <c r="NVL49" s="375">
        <f t="shared" si="199"/>
        <v>0</v>
      </c>
      <c r="NVM49" s="375">
        <f t="shared" ref="NVM49:NXX49" si="200">NVM48*0.8</f>
        <v>0</v>
      </c>
      <c r="NVN49" s="375">
        <f t="shared" si="200"/>
        <v>0</v>
      </c>
      <c r="NVO49" s="375">
        <f t="shared" si="200"/>
        <v>0</v>
      </c>
      <c r="NVP49" s="375">
        <f t="shared" si="200"/>
        <v>0</v>
      </c>
      <c r="NVQ49" s="375">
        <f t="shared" si="200"/>
        <v>0</v>
      </c>
      <c r="NVR49" s="375">
        <f t="shared" si="200"/>
        <v>0</v>
      </c>
      <c r="NVS49" s="375">
        <f t="shared" si="200"/>
        <v>0</v>
      </c>
      <c r="NVT49" s="375">
        <f t="shared" si="200"/>
        <v>0</v>
      </c>
      <c r="NVU49" s="375">
        <f t="shared" si="200"/>
        <v>0</v>
      </c>
      <c r="NVV49" s="375">
        <f t="shared" si="200"/>
        <v>0</v>
      </c>
      <c r="NVW49" s="375">
        <f t="shared" si="200"/>
        <v>0</v>
      </c>
      <c r="NVX49" s="375">
        <f t="shared" si="200"/>
        <v>0</v>
      </c>
      <c r="NVY49" s="375">
        <f t="shared" si="200"/>
        <v>0</v>
      </c>
      <c r="NVZ49" s="375">
        <f t="shared" si="200"/>
        <v>0</v>
      </c>
      <c r="NWA49" s="375">
        <f t="shared" si="200"/>
        <v>0</v>
      </c>
      <c r="NWB49" s="375">
        <f t="shared" si="200"/>
        <v>0</v>
      </c>
      <c r="NWC49" s="375">
        <f t="shared" si="200"/>
        <v>0</v>
      </c>
      <c r="NWD49" s="375">
        <f t="shared" si="200"/>
        <v>0</v>
      </c>
      <c r="NWE49" s="375">
        <f t="shared" si="200"/>
        <v>0</v>
      </c>
      <c r="NWF49" s="375">
        <f t="shared" si="200"/>
        <v>0</v>
      </c>
      <c r="NWG49" s="375">
        <f t="shared" si="200"/>
        <v>0</v>
      </c>
      <c r="NWH49" s="375">
        <f t="shared" si="200"/>
        <v>0</v>
      </c>
      <c r="NWI49" s="375">
        <f t="shared" si="200"/>
        <v>0</v>
      </c>
      <c r="NWJ49" s="375">
        <f t="shared" si="200"/>
        <v>0</v>
      </c>
      <c r="NWK49" s="375">
        <f t="shared" si="200"/>
        <v>0</v>
      </c>
      <c r="NWL49" s="375">
        <f t="shared" si="200"/>
        <v>0</v>
      </c>
      <c r="NWM49" s="375">
        <f t="shared" si="200"/>
        <v>0</v>
      </c>
      <c r="NWN49" s="375">
        <f t="shared" si="200"/>
        <v>0</v>
      </c>
      <c r="NWO49" s="375">
        <f t="shared" si="200"/>
        <v>0</v>
      </c>
      <c r="NWP49" s="375">
        <f t="shared" si="200"/>
        <v>0</v>
      </c>
      <c r="NWQ49" s="375">
        <f t="shared" si="200"/>
        <v>0</v>
      </c>
      <c r="NWR49" s="375">
        <f t="shared" si="200"/>
        <v>0</v>
      </c>
      <c r="NWS49" s="375">
        <f t="shared" si="200"/>
        <v>0</v>
      </c>
      <c r="NWT49" s="375">
        <f t="shared" si="200"/>
        <v>0</v>
      </c>
      <c r="NWU49" s="375">
        <f t="shared" si="200"/>
        <v>0</v>
      </c>
      <c r="NWV49" s="375">
        <f t="shared" si="200"/>
        <v>0</v>
      </c>
      <c r="NWW49" s="375">
        <f t="shared" si="200"/>
        <v>0</v>
      </c>
      <c r="NWX49" s="375">
        <f t="shared" si="200"/>
        <v>0</v>
      </c>
      <c r="NWY49" s="375">
        <f t="shared" si="200"/>
        <v>0</v>
      </c>
      <c r="NWZ49" s="375">
        <f t="shared" si="200"/>
        <v>0</v>
      </c>
      <c r="NXA49" s="375">
        <f t="shared" si="200"/>
        <v>0</v>
      </c>
      <c r="NXB49" s="375">
        <f t="shared" si="200"/>
        <v>0</v>
      </c>
      <c r="NXC49" s="375">
        <f t="shared" si="200"/>
        <v>0</v>
      </c>
      <c r="NXD49" s="375">
        <f t="shared" si="200"/>
        <v>0</v>
      </c>
      <c r="NXE49" s="375">
        <f t="shared" si="200"/>
        <v>0</v>
      </c>
      <c r="NXF49" s="375">
        <f t="shared" si="200"/>
        <v>0</v>
      </c>
      <c r="NXG49" s="375">
        <f t="shared" si="200"/>
        <v>0</v>
      </c>
      <c r="NXH49" s="375">
        <f t="shared" si="200"/>
        <v>0</v>
      </c>
      <c r="NXI49" s="375">
        <f t="shared" si="200"/>
        <v>0</v>
      </c>
      <c r="NXJ49" s="375">
        <f t="shared" si="200"/>
        <v>0</v>
      </c>
      <c r="NXK49" s="375">
        <f t="shared" si="200"/>
        <v>0</v>
      </c>
      <c r="NXL49" s="375">
        <f t="shared" si="200"/>
        <v>0</v>
      </c>
      <c r="NXM49" s="375">
        <f t="shared" si="200"/>
        <v>0</v>
      </c>
      <c r="NXN49" s="375">
        <f t="shared" si="200"/>
        <v>0</v>
      </c>
      <c r="NXO49" s="375">
        <f t="shared" si="200"/>
        <v>0</v>
      </c>
      <c r="NXP49" s="375">
        <f t="shared" si="200"/>
        <v>0</v>
      </c>
      <c r="NXQ49" s="375">
        <f t="shared" si="200"/>
        <v>0</v>
      </c>
      <c r="NXR49" s="375">
        <f t="shared" si="200"/>
        <v>0</v>
      </c>
      <c r="NXS49" s="375">
        <f t="shared" si="200"/>
        <v>0</v>
      </c>
      <c r="NXT49" s="375">
        <f t="shared" si="200"/>
        <v>0</v>
      </c>
      <c r="NXU49" s="375">
        <f t="shared" si="200"/>
        <v>0</v>
      </c>
      <c r="NXV49" s="375">
        <f t="shared" si="200"/>
        <v>0</v>
      </c>
      <c r="NXW49" s="375">
        <f t="shared" si="200"/>
        <v>0</v>
      </c>
      <c r="NXX49" s="375">
        <f t="shared" si="200"/>
        <v>0</v>
      </c>
      <c r="NXY49" s="375">
        <f t="shared" ref="NXY49:OAJ49" si="201">NXY48*0.8</f>
        <v>0</v>
      </c>
      <c r="NXZ49" s="375">
        <f t="shared" si="201"/>
        <v>0</v>
      </c>
      <c r="NYA49" s="375">
        <f t="shared" si="201"/>
        <v>0</v>
      </c>
      <c r="NYB49" s="375">
        <f t="shared" si="201"/>
        <v>0</v>
      </c>
      <c r="NYC49" s="375">
        <f t="shared" si="201"/>
        <v>0</v>
      </c>
      <c r="NYD49" s="375">
        <f t="shared" si="201"/>
        <v>0</v>
      </c>
      <c r="NYE49" s="375">
        <f t="shared" si="201"/>
        <v>0</v>
      </c>
      <c r="NYF49" s="375">
        <f t="shared" si="201"/>
        <v>0</v>
      </c>
      <c r="NYG49" s="375">
        <f t="shared" si="201"/>
        <v>0</v>
      </c>
      <c r="NYH49" s="375">
        <f t="shared" si="201"/>
        <v>0</v>
      </c>
      <c r="NYI49" s="375">
        <f t="shared" si="201"/>
        <v>0</v>
      </c>
      <c r="NYJ49" s="375">
        <f t="shared" si="201"/>
        <v>0</v>
      </c>
      <c r="NYK49" s="375">
        <f t="shared" si="201"/>
        <v>0</v>
      </c>
      <c r="NYL49" s="375">
        <f t="shared" si="201"/>
        <v>0</v>
      </c>
      <c r="NYM49" s="375">
        <f t="shared" si="201"/>
        <v>0</v>
      </c>
      <c r="NYN49" s="375">
        <f t="shared" si="201"/>
        <v>0</v>
      </c>
      <c r="NYO49" s="375">
        <f t="shared" si="201"/>
        <v>0</v>
      </c>
      <c r="NYP49" s="375">
        <f t="shared" si="201"/>
        <v>0</v>
      </c>
      <c r="NYQ49" s="375">
        <f t="shared" si="201"/>
        <v>0</v>
      </c>
      <c r="NYR49" s="375">
        <f t="shared" si="201"/>
        <v>0</v>
      </c>
      <c r="NYS49" s="375">
        <f t="shared" si="201"/>
        <v>0</v>
      </c>
      <c r="NYT49" s="375">
        <f t="shared" si="201"/>
        <v>0</v>
      </c>
      <c r="NYU49" s="375">
        <f t="shared" si="201"/>
        <v>0</v>
      </c>
      <c r="NYV49" s="375">
        <f t="shared" si="201"/>
        <v>0</v>
      </c>
      <c r="NYW49" s="375">
        <f t="shared" si="201"/>
        <v>0</v>
      </c>
      <c r="NYX49" s="375">
        <f t="shared" si="201"/>
        <v>0</v>
      </c>
      <c r="NYY49" s="375">
        <f t="shared" si="201"/>
        <v>0</v>
      </c>
      <c r="NYZ49" s="375">
        <f t="shared" si="201"/>
        <v>0</v>
      </c>
      <c r="NZA49" s="375">
        <f t="shared" si="201"/>
        <v>0</v>
      </c>
      <c r="NZB49" s="375">
        <f t="shared" si="201"/>
        <v>0</v>
      </c>
      <c r="NZC49" s="375">
        <f t="shared" si="201"/>
        <v>0</v>
      </c>
      <c r="NZD49" s="375">
        <f t="shared" si="201"/>
        <v>0</v>
      </c>
      <c r="NZE49" s="375">
        <f t="shared" si="201"/>
        <v>0</v>
      </c>
      <c r="NZF49" s="375">
        <f t="shared" si="201"/>
        <v>0</v>
      </c>
      <c r="NZG49" s="375">
        <f t="shared" si="201"/>
        <v>0</v>
      </c>
      <c r="NZH49" s="375">
        <f t="shared" si="201"/>
        <v>0</v>
      </c>
      <c r="NZI49" s="375">
        <f t="shared" si="201"/>
        <v>0</v>
      </c>
      <c r="NZJ49" s="375">
        <f t="shared" si="201"/>
        <v>0</v>
      </c>
      <c r="NZK49" s="375">
        <f t="shared" si="201"/>
        <v>0</v>
      </c>
      <c r="NZL49" s="375">
        <f t="shared" si="201"/>
        <v>0</v>
      </c>
      <c r="NZM49" s="375">
        <f t="shared" si="201"/>
        <v>0</v>
      </c>
      <c r="NZN49" s="375">
        <f t="shared" si="201"/>
        <v>0</v>
      </c>
      <c r="NZO49" s="375">
        <f t="shared" si="201"/>
        <v>0</v>
      </c>
      <c r="NZP49" s="375">
        <f t="shared" si="201"/>
        <v>0</v>
      </c>
      <c r="NZQ49" s="375">
        <f t="shared" si="201"/>
        <v>0</v>
      </c>
      <c r="NZR49" s="375">
        <f t="shared" si="201"/>
        <v>0</v>
      </c>
      <c r="NZS49" s="375">
        <f t="shared" si="201"/>
        <v>0</v>
      </c>
      <c r="NZT49" s="375">
        <f t="shared" si="201"/>
        <v>0</v>
      </c>
      <c r="NZU49" s="375">
        <f t="shared" si="201"/>
        <v>0</v>
      </c>
      <c r="NZV49" s="375">
        <f t="shared" si="201"/>
        <v>0</v>
      </c>
      <c r="NZW49" s="375">
        <f t="shared" si="201"/>
        <v>0</v>
      </c>
      <c r="NZX49" s="375">
        <f t="shared" si="201"/>
        <v>0</v>
      </c>
      <c r="NZY49" s="375">
        <f t="shared" si="201"/>
        <v>0</v>
      </c>
      <c r="NZZ49" s="375">
        <f t="shared" si="201"/>
        <v>0</v>
      </c>
      <c r="OAA49" s="375">
        <f t="shared" si="201"/>
        <v>0</v>
      </c>
      <c r="OAB49" s="375">
        <f t="shared" si="201"/>
        <v>0</v>
      </c>
      <c r="OAC49" s="375">
        <f t="shared" si="201"/>
        <v>0</v>
      </c>
      <c r="OAD49" s="375">
        <f t="shared" si="201"/>
        <v>0</v>
      </c>
      <c r="OAE49" s="375">
        <f t="shared" si="201"/>
        <v>0</v>
      </c>
      <c r="OAF49" s="375">
        <f t="shared" si="201"/>
        <v>0</v>
      </c>
      <c r="OAG49" s="375">
        <f t="shared" si="201"/>
        <v>0</v>
      </c>
      <c r="OAH49" s="375">
        <f t="shared" si="201"/>
        <v>0</v>
      </c>
      <c r="OAI49" s="375">
        <f t="shared" si="201"/>
        <v>0</v>
      </c>
      <c r="OAJ49" s="375">
        <f t="shared" si="201"/>
        <v>0</v>
      </c>
      <c r="OAK49" s="375">
        <f t="shared" ref="OAK49:OCV49" si="202">OAK48*0.8</f>
        <v>0</v>
      </c>
      <c r="OAL49" s="375">
        <f t="shared" si="202"/>
        <v>0</v>
      </c>
      <c r="OAM49" s="375">
        <f t="shared" si="202"/>
        <v>0</v>
      </c>
      <c r="OAN49" s="375">
        <f t="shared" si="202"/>
        <v>0</v>
      </c>
      <c r="OAO49" s="375">
        <f t="shared" si="202"/>
        <v>0</v>
      </c>
      <c r="OAP49" s="375">
        <f t="shared" si="202"/>
        <v>0</v>
      </c>
      <c r="OAQ49" s="375">
        <f t="shared" si="202"/>
        <v>0</v>
      </c>
      <c r="OAR49" s="375">
        <f t="shared" si="202"/>
        <v>0</v>
      </c>
      <c r="OAS49" s="375">
        <f t="shared" si="202"/>
        <v>0</v>
      </c>
      <c r="OAT49" s="375">
        <f t="shared" si="202"/>
        <v>0</v>
      </c>
      <c r="OAU49" s="375">
        <f t="shared" si="202"/>
        <v>0</v>
      </c>
      <c r="OAV49" s="375">
        <f t="shared" si="202"/>
        <v>0</v>
      </c>
      <c r="OAW49" s="375">
        <f t="shared" si="202"/>
        <v>0</v>
      </c>
      <c r="OAX49" s="375">
        <f t="shared" si="202"/>
        <v>0</v>
      </c>
      <c r="OAY49" s="375">
        <f t="shared" si="202"/>
        <v>0</v>
      </c>
      <c r="OAZ49" s="375">
        <f t="shared" si="202"/>
        <v>0</v>
      </c>
      <c r="OBA49" s="375">
        <f t="shared" si="202"/>
        <v>0</v>
      </c>
      <c r="OBB49" s="375">
        <f t="shared" si="202"/>
        <v>0</v>
      </c>
      <c r="OBC49" s="375">
        <f t="shared" si="202"/>
        <v>0</v>
      </c>
      <c r="OBD49" s="375">
        <f t="shared" si="202"/>
        <v>0</v>
      </c>
      <c r="OBE49" s="375">
        <f t="shared" si="202"/>
        <v>0</v>
      </c>
      <c r="OBF49" s="375">
        <f t="shared" si="202"/>
        <v>0</v>
      </c>
      <c r="OBG49" s="375">
        <f t="shared" si="202"/>
        <v>0</v>
      </c>
      <c r="OBH49" s="375">
        <f t="shared" si="202"/>
        <v>0</v>
      </c>
      <c r="OBI49" s="375">
        <f t="shared" si="202"/>
        <v>0</v>
      </c>
      <c r="OBJ49" s="375">
        <f t="shared" si="202"/>
        <v>0</v>
      </c>
      <c r="OBK49" s="375">
        <f t="shared" si="202"/>
        <v>0</v>
      </c>
      <c r="OBL49" s="375">
        <f t="shared" si="202"/>
        <v>0</v>
      </c>
      <c r="OBM49" s="375">
        <f t="shared" si="202"/>
        <v>0</v>
      </c>
      <c r="OBN49" s="375">
        <f t="shared" si="202"/>
        <v>0</v>
      </c>
      <c r="OBO49" s="375">
        <f t="shared" si="202"/>
        <v>0</v>
      </c>
      <c r="OBP49" s="375">
        <f t="shared" si="202"/>
        <v>0</v>
      </c>
      <c r="OBQ49" s="375">
        <f t="shared" si="202"/>
        <v>0</v>
      </c>
      <c r="OBR49" s="375">
        <f t="shared" si="202"/>
        <v>0</v>
      </c>
      <c r="OBS49" s="375">
        <f t="shared" si="202"/>
        <v>0</v>
      </c>
      <c r="OBT49" s="375">
        <f t="shared" si="202"/>
        <v>0</v>
      </c>
      <c r="OBU49" s="375">
        <f t="shared" si="202"/>
        <v>0</v>
      </c>
      <c r="OBV49" s="375">
        <f t="shared" si="202"/>
        <v>0</v>
      </c>
      <c r="OBW49" s="375">
        <f t="shared" si="202"/>
        <v>0</v>
      </c>
      <c r="OBX49" s="375">
        <f t="shared" si="202"/>
        <v>0</v>
      </c>
      <c r="OBY49" s="375">
        <f t="shared" si="202"/>
        <v>0</v>
      </c>
      <c r="OBZ49" s="375">
        <f t="shared" si="202"/>
        <v>0</v>
      </c>
      <c r="OCA49" s="375">
        <f t="shared" si="202"/>
        <v>0</v>
      </c>
      <c r="OCB49" s="375">
        <f t="shared" si="202"/>
        <v>0</v>
      </c>
      <c r="OCC49" s="375">
        <f t="shared" si="202"/>
        <v>0</v>
      </c>
      <c r="OCD49" s="375">
        <f t="shared" si="202"/>
        <v>0</v>
      </c>
      <c r="OCE49" s="375">
        <f t="shared" si="202"/>
        <v>0</v>
      </c>
      <c r="OCF49" s="375">
        <f t="shared" si="202"/>
        <v>0</v>
      </c>
      <c r="OCG49" s="375">
        <f t="shared" si="202"/>
        <v>0</v>
      </c>
      <c r="OCH49" s="375">
        <f t="shared" si="202"/>
        <v>0</v>
      </c>
      <c r="OCI49" s="375">
        <f t="shared" si="202"/>
        <v>0</v>
      </c>
      <c r="OCJ49" s="375">
        <f t="shared" si="202"/>
        <v>0</v>
      </c>
      <c r="OCK49" s="375">
        <f t="shared" si="202"/>
        <v>0</v>
      </c>
      <c r="OCL49" s="375">
        <f t="shared" si="202"/>
        <v>0</v>
      </c>
      <c r="OCM49" s="375">
        <f t="shared" si="202"/>
        <v>0</v>
      </c>
      <c r="OCN49" s="375">
        <f t="shared" si="202"/>
        <v>0</v>
      </c>
      <c r="OCO49" s="375">
        <f t="shared" si="202"/>
        <v>0</v>
      </c>
      <c r="OCP49" s="375">
        <f t="shared" si="202"/>
        <v>0</v>
      </c>
      <c r="OCQ49" s="375">
        <f t="shared" si="202"/>
        <v>0</v>
      </c>
      <c r="OCR49" s="375">
        <f t="shared" si="202"/>
        <v>0</v>
      </c>
      <c r="OCS49" s="375">
        <f t="shared" si="202"/>
        <v>0</v>
      </c>
      <c r="OCT49" s="375">
        <f t="shared" si="202"/>
        <v>0</v>
      </c>
      <c r="OCU49" s="375">
        <f t="shared" si="202"/>
        <v>0</v>
      </c>
      <c r="OCV49" s="375">
        <f t="shared" si="202"/>
        <v>0</v>
      </c>
      <c r="OCW49" s="375">
        <f t="shared" ref="OCW49:OFH49" si="203">OCW48*0.8</f>
        <v>0</v>
      </c>
      <c r="OCX49" s="375">
        <f t="shared" si="203"/>
        <v>0</v>
      </c>
      <c r="OCY49" s="375">
        <f t="shared" si="203"/>
        <v>0</v>
      </c>
      <c r="OCZ49" s="375">
        <f t="shared" si="203"/>
        <v>0</v>
      </c>
      <c r="ODA49" s="375">
        <f t="shared" si="203"/>
        <v>0</v>
      </c>
      <c r="ODB49" s="375">
        <f t="shared" si="203"/>
        <v>0</v>
      </c>
      <c r="ODC49" s="375">
        <f t="shared" si="203"/>
        <v>0</v>
      </c>
      <c r="ODD49" s="375">
        <f t="shared" si="203"/>
        <v>0</v>
      </c>
      <c r="ODE49" s="375">
        <f t="shared" si="203"/>
        <v>0</v>
      </c>
      <c r="ODF49" s="375">
        <f t="shared" si="203"/>
        <v>0</v>
      </c>
      <c r="ODG49" s="375">
        <f t="shared" si="203"/>
        <v>0</v>
      </c>
      <c r="ODH49" s="375">
        <f t="shared" si="203"/>
        <v>0</v>
      </c>
      <c r="ODI49" s="375">
        <f t="shared" si="203"/>
        <v>0</v>
      </c>
      <c r="ODJ49" s="375">
        <f t="shared" si="203"/>
        <v>0</v>
      </c>
      <c r="ODK49" s="375">
        <f t="shared" si="203"/>
        <v>0</v>
      </c>
      <c r="ODL49" s="375">
        <f t="shared" si="203"/>
        <v>0</v>
      </c>
      <c r="ODM49" s="375">
        <f t="shared" si="203"/>
        <v>0</v>
      </c>
      <c r="ODN49" s="375">
        <f t="shared" si="203"/>
        <v>0</v>
      </c>
      <c r="ODO49" s="375">
        <f t="shared" si="203"/>
        <v>0</v>
      </c>
      <c r="ODP49" s="375">
        <f t="shared" si="203"/>
        <v>0</v>
      </c>
      <c r="ODQ49" s="375">
        <f t="shared" si="203"/>
        <v>0</v>
      </c>
      <c r="ODR49" s="375">
        <f t="shared" si="203"/>
        <v>0</v>
      </c>
      <c r="ODS49" s="375">
        <f t="shared" si="203"/>
        <v>0</v>
      </c>
      <c r="ODT49" s="375">
        <f t="shared" si="203"/>
        <v>0</v>
      </c>
      <c r="ODU49" s="375">
        <f t="shared" si="203"/>
        <v>0</v>
      </c>
      <c r="ODV49" s="375">
        <f t="shared" si="203"/>
        <v>0</v>
      </c>
      <c r="ODW49" s="375">
        <f t="shared" si="203"/>
        <v>0</v>
      </c>
      <c r="ODX49" s="375">
        <f t="shared" si="203"/>
        <v>0</v>
      </c>
      <c r="ODY49" s="375">
        <f t="shared" si="203"/>
        <v>0</v>
      </c>
      <c r="ODZ49" s="375">
        <f t="shared" si="203"/>
        <v>0</v>
      </c>
      <c r="OEA49" s="375">
        <f t="shared" si="203"/>
        <v>0</v>
      </c>
      <c r="OEB49" s="375">
        <f t="shared" si="203"/>
        <v>0</v>
      </c>
      <c r="OEC49" s="375">
        <f t="shared" si="203"/>
        <v>0</v>
      </c>
      <c r="OED49" s="375">
        <f t="shared" si="203"/>
        <v>0</v>
      </c>
      <c r="OEE49" s="375">
        <f t="shared" si="203"/>
        <v>0</v>
      </c>
      <c r="OEF49" s="375">
        <f t="shared" si="203"/>
        <v>0</v>
      </c>
      <c r="OEG49" s="375">
        <f t="shared" si="203"/>
        <v>0</v>
      </c>
      <c r="OEH49" s="375">
        <f t="shared" si="203"/>
        <v>0</v>
      </c>
      <c r="OEI49" s="375">
        <f t="shared" si="203"/>
        <v>0</v>
      </c>
      <c r="OEJ49" s="375">
        <f t="shared" si="203"/>
        <v>0</v>
      </c>
      <c r="OEK49" s="375">
        <f t="shared" si="203"/>
        <v>0</v>
      </c>
      <c r="OEL49" s="375">
        <f t="shared" si="203"/>
        <v>0</v>
      </c>
      <c r="OEM49" s="375">
        <f t="shared" si="203"/>
        <v>0</v>
      </c>
      <c r="OEN49" s="375">
        <f t="shared" si="203"/>
        <v>0</v>
      </c>
      <c r="OEO49" s="375">
        <f t="shared" si="203"/>
        <v>0</v>
      </c>
      <c r="OEP49" s="375">
        <f t="shared" si="203"/>
        <v>0</v>
      </c>
      <c r="OEQ49" s="375">
        <f t="shared" si="203"/>
        <v>0</v>
      </c>
      <c r="OER49" s="375">
        <f t="shared" si="203"/>
        <v>0</v>
      </c>
      <c r="OES49" s="375">
        <f t="shared" si="203"/>
        <v>0</v>
      </c>
      <c r="OET49" s="375">
        <f t="shared" si="203"/>
        <v>0</v>
      </c>
      <c r="OEU49" s="375">
        <f t="shared" si="203"/>
        <v>0</v>
      </c>
      <c r="OEV49" s="375">
        <f t="shared" si="203"/>
        <v>0</v>
      </c>
      <c r="OEW49" s="375">
        <f t="shared" si="203"/>
        <v>0</v>
      </c>
      <c r="OEX49" s="375">
        <f t="shared" si="203"/>
        <v>0</v>
      </c>
      <c r="OEY49" s="375">
        <f t="shared" si="203"/>
        <v>0</v>
      </c>
      <c r="OEZ49" s="375">
        <f t="shared" si="203"/>
        <v>0</v>
      </c>
      <c r="OFA49" s="375">
        <f t="shared" si="203"/>
        <v>0</v>
      </c>
      <c r="OFB49" s="375">
        <f t="shared" si="203"/>
        <v>0</v>
      </c>
      <c r="OFC49" s="375">
        <f t="shared" si="203"/>
        <v>0</v>
      </c>
      <c r="OFD49" s="375">
        <f t="shared" si="203"/>
        <v>0</v>
      </c>
      <c r="OFE49" s="375">
        <f t="shared" si="203"/>
        <v>0</v>
      </c>
      <c r="OFF49" s="375">
        <f t="shared" si="203"/>
        <v>0</v>
      </c>
      <c r="OFG49" s="375">
        <f t="shared" si="203"/>
        <v>0</v>
      </c>
      <c r="OFH49" s="375">
        <f t="shared" si="203"/>
        <v>0</v>
      </c>
      <c r="OFI49" s="375">
        <f t="shared" ref="OFI49:OHT49" si="204">OFI48*0.8</f>
        <v>0</v>
      </c>
      <c r="OFJ49" s="375">
        <f t="shared" si="204"/>
        <v>0</v>
      </c>
      <c r="OFK49" s="375">
        <f t="shared" si="204"/>
        <v>0</v>
      </c>
      <c r="OFL49" s="375">
        <f t="shared" si="204"/>
        <v>0</v>
      </c>
      <c r="OFM49" s="375">
        <f t="shared" si="204"/>
        <v>0</v>
      </c>
      <c r="OFN49" s="375">
        <f t="shared" si="204"/>
        <v>0</v>
      </c>
      <c r="OFO49" s="375">
        <f t="shared" si="204"/>
        <v>0</v>
      </c>
      <c r="OFP49" s="375">
        <f t="shared" si="204"/>
        <v>0</v>
      </c>
      <c r="OFQ49" s="375">
        <f t="shared" si="204"/>
        <v>0</v>
      </c>
      <c r="OFR49" s="375">
        <f t="shared" si="204"/>
        <v>0</v>
      </c>
      <c r="OFS49" s="375">
        <f t="shared" si="204"/>
        <v>0</v>
      </c>
      <c r="OFT49" s="375">
        <f t="shared" si="204"/>
        <v>0</v>
      </c>
      <c r="OFU49" s="375">
        <f t="shared" si="204"/>
        <v>0</v>
      </c>
      <c r="OFV49" s="375">
        <f t="shared" si="204"/>
        <v>0</v>
      </c>
      <c r="OFW49" s="375">
        <f t="shared" si="204"/>
        <v>0</v>
      </c>
      <c r="OFX49" s="375">
        <f t="shared" si="204"/>
        <v>0</v>
      </c>
      <c r="OFY49" s="375">
        <f t="shared" si="204"/>
        <v>0</v>
      </c>
      <c r="OFZ49" s="375">
        <f t="shared" si="204"/>
        <v>0</v>
      </c>
      <c r="OGA49" s="375">
        <f t="shared" si="204"/>
        <v>0</v>
      </c>
      <c r="OGB49" s="375">
        <f t="shared" si="204"/>
        <v>0</v>
      </c>
      <c r="OGC49" s="375">
        <f t="shared" si="204"/>
        <v>0</v>
      </c>
      <c r="OGD49" s="375">
        <f t="shared" si="204"/>
        <v>0</v>
      </c>
      <c r="OGE49" s="375">
        <f t="shared" si="204"/>
        <v>0</v>
      </c>
      <c r="OGF49" s="375">
        <f t="shared" si="204"/>
        <v>0</v>
      </c>
      <c r="OGG49" s="375">
        <f t="shared" si="204"/>
        <v>0</v>
      </c>
      <c r="OGH49" s="375">
        <f t="shared" si="204"/>
        <v>0</v>
      </c>
      <c r="OGI49" s="375">
        <f t="shared" si="204"/>
        <v>0</v>
      </c>
      <c r="OGJ49" s="375">
        <f t="shared" si="204"/>
        <v>0</v>
      </c>
      <c r="OGK49" s="375">
        <f t="shared" si="204"/>
        <v>0</v>
      </c>
      <c r="OGL49" s="375">
        <f t="shared" si="204"/>
        <v>0</v>
      </c>
      <c r="OGM49" s="375">
        <f t="shared" si="204"/>
        <v>0</v>
      </c>
      <c r="OGN49" s="375">
        <f t="shared" si="204"/>
        <v>0</v>
      </c>
      <c r="OGO49" s="375">
        <f t="shared" si="204"/>
        <v>0</v>
      </c>
      <c r="OGP49" s="375">
        <f t="shared" si="204"/>
        <v>0</v>
      </c>
      <c r="OGQ49" s="375">
        <f t="shared" si="204"/>
        <v>0</v>
      </c>
      <c r="OGR49" s="375">
        <f t="shared" si="204"/>
        <v>0</v>
      </c>
      <c r="OGS49" s="375">
        <f t="shared" si="204"/>
        <v>0</v>
      </c>
      <c r="OGT49" s="375">
        <f t="shared" si="204"/>
        <v>0</v>
      </c>
      <c r="OGU49" s="375">
        <f t="shared" si="204"/>
        <v>0</v>
      </c>
      <c r="OGV49" s="375">
        <f t="shared" si="204"/>
        <v>0</v>
      </c>
      <c r="OGW49" s="375">
        <f t="shared" si="204"/>
        <v>0</v>
      </c>
      <c r="OGX49" s="375">
        <f t="shared" si="204"/>
        <v>0</v>
      </c>
      <c r="OGY49" s="375">
        <f t="shared" si="204"/>
        <v>0</v>
      </c>
      <c r="OGZ49" s="375">
        <f t="shared" si="204"/>
        <v>0</v>
      </c>
      <c r="OHA49" s="375">
        <f t="shared" si="204"/>
        <v>0</v>
      </c>
      <c r="OHB49" s="375">
        <f t="shared" si="204"/>
        <v>0</v>
      </c>
      <c r="OHC49" s="375">
        <f t="shared" si="204"/>
        <v>0</v>
      </c>
      <c r="OHD49" s="375">
        <f t="shared" si="204"/>
        <v>0</v>
      </c>
      <c r="OHE49" s="375">
        <f t="shared" si="204"/>
        <v>0</v>
      </c>
      <c r="OHF49" s="375">
        <f t="shared" si="204"/>
        <v>0</v>
      </c>
      <c r="OHG49" s="375">
        <f t="shared" si="204"/>
        <v>0</v>
      </c>
      <c r="OHH49" s="375">
        <f t="shared" si="204"/>
        <v>0</v>
      </c>
      <c r="OHI49" s="375">
        <f t="shared" si="204"/>
        <v>0</v>
      </c>
      <c r="OHJ49" s="375">
        <f t="shared" si="204"/>
        <v>0</v>
      </c>
      <c r="OHK49" s="375">
        <f t="shared" si="204"/>
        <v>0</v>
      </c>
      <c r="OHL49" s="375">
        <f t="shared" si="204"/>
        <v>0</v>
      </c>
      <c r="OHM49" s="375">
        <f t="shared" si="204"/>
        <v>0</v>
      </c>
      <c r="OHN49" s="375">
        <f t="shared" si="204"/>
        <v>0</v>
      </c>
      <c r="OHO49" s="375">
        <f t="shared" si="204"/>
        <v>0</v>
      </c>
      <c r="OHP49" s="375">
        <f t="shared" si="204"/>
        <v>0</v>
      </c>
      <c r="OHQ49" s="375">
        <f t="shared" si="204"/>
        <v>0</v>
      </c>
      <c r="OHR49" s="375">
        <f t="shared" si="204"/>
        <v>0</v>
      </c>
      <c r="OHS49" s="375">
        <f t="shared" si="204"/>
        <v>0</v>
      </c>
      <c r="OHT49" s="375">
        <f t="shared" si="204"/>
        <v>0</v>
      </c>
      <c r="OHU49" s="375">
        <f t="shared" ref="OHU49:OKF49" si="205">OHU48*0.8</f>
        <v>0</v>
      </c>
      <c r="OHV49" s="375">
        <f t="shared" si="205"/>
        <v>0</v>
      </c>
      <c r="OHW49" s="375">
        <f t="shared" si="205"/>
        <v>0</v>
      </c>
      <c r="OHX49" s="375">
        <f t="shared" si="205"/>
        <v>0</v>
      </c>
      <c r="OHY49" s="375">
        <f t="shared" si="205"/>
        <v>0</v>
      </c>
      <c r="OHZ49" s="375">
        <f t="shared" si="205"/>
        <v>0</v>
      </c>
      <c r="OIA49" s="375">
        <f t="shared" si="205"/>
        <v>0</v>
      </c>
      <c r="OIB49" s="375">
        <f t="shared" si="205"/>
        <v>0</v>
      </c>
      <c r="OIC49" s="375">
        <f t="shared" si="205"/>
        <v>0</v>
      </c>
      <c r="OID49" s="375">
        <f t="shared" si="205"/>
        <v>0</v>
      </c>
      <c r="OIE49" s="375">
        <f t="shared" si="205"/>
        <v>0</v>
      </c>
      <c r="OIF49" s="375">
        <f t="shared" si="205"/>
        <v>0</v>
      </c>
      <c r="OIG49" s="375">
        <f t="shared" si="205"/>
        <v>0</v>
      </c>
      <c r="OIH49" s="375">
        <f t="shared" si="205"/>
        <v>0</v>
      </c>
      <c r="OII49" s="375">
        <f t="shared" si="205"/>
        <v>0</v>
      </c>
      <c r="OIJ49" s="375">
        <f t="shared" si="205"/>
        <v>0</v>
      </c>
      <c r="OIK49" s="375">
        <f t="shared" si="205"/>
        <v>0</v>
      </c>
      <c r="OIL49" s="375">
        <f t="shared" si="205"/>
        <v>0</v>
      </c>
      <c r="OIM49" s="375">
        <f t="shared" si="205"/>
        <v>0</v>
      </c>
      <c r="OIN49" s="375">
        <f t="shared" si="205"/>
        <v>0</v>
      </c>
      <c r="OIO49" s="375">
        <f t="shared" si="205"/>
        <v>0</v>
      </c>
      <c r="OIP49" s="375">
        <f t="shared" si="205"/>
        <v>0</v>
      </c>
      <c r="OIQ49" s="375">
        <f t="shared" si="205"/>
        <v>0</v>
      </c>
      <c r="OIR49" s="375">
        <f t="shared" si="205"/>
        <v>0</v>
      </c>
      <c r="OIS49" s="375">
        <f t="shared" si="205"/>
        <v>0</v>
      </c>
      <c r="OIT49" s="375">
        <f t="shared" si="205"/>
        <v>0</v>
      </c>
      <c r="OIU49" s="375">
        <f t="shared" si="205"/>
        <v>0</v>
      </c>
      <c r="OIV49" s="375">
        <f t="shared" si="205"/>
        <v>0</v>
      </c>
      <c r="OIW49" s="375">
        <f t="shared" si="205"/>
        <v>0</v>
      </c>
      <c r="OIX49" s="375">
        <f t="shared" si="205"/>
        <v>0</v>
      </c>
      <c r="OIY49" s="375">
        <f t="shared" si="205"/>
        <v>0</v>
      </c>
      <c r="OIZ49" s="375">
        <f t="shared" si="205"/>
        <v>0</v>
      </c>
      <c r="OJA49" s="375">
        <f t="shared" si="205"/>
        <v>0</v>
      </c>
      <c r="OJB49" s="375">
        <f t="shared" si="205"/>
        <v>0</v>
      </c>
      <c r="OJC49" s="375">
        <f t="shared" si="205"/>
        <v>0</v>
      </c>
      <c r="OJD49" s="375">
        <f t="shared" si="205"/>
        <v>0</v>
      </c>
      <c r="OJE49" s="375">
        <f t="shared" si="205"/>
        <v>0</v>
      </c>
      <c r="OJF49" s="375">
        <f t="shared" si="205"/>
        <v>0</v>
      </c>
      <c r="OJG49" s="375">
        <f t="shared" si="205"/>
        <v>0</v>
      </c>
      <c r="OJH49" s="375">
        <f t="shared" si="205"/>
        <v>0</v>
      </c>
      <c r="OJI49" s="375">
        <f t="shared" si="205"/>
        <v>0</v>
      </c>
      <c r="OJJ49" s="375">
        <f t="shared" si="205"/>
        <v>0</v>
      </c>
      <c r="OJK49" s="375">
        <f t="shared" si="205"/>
        <v>0</v>
      </c>
      <c r="OJL49" s="375">
        <f t="shared" si="205"/>
        <v>0</v>
      </c>
      <c r="OJM49" s="375">
        <f t="shared" si="205"/>
        <v>0</v>
      </c>
      <c r="OJN49" s="375">
        <f t="shared" si="205"/>
        <v>0</v>
      </c>
      <c r="OJO49" s="375">
        <f t="shared" si="205"/>
        <v>0</v>
      </c>
      <c r="OJP49" s="375">
        <f t="shared" si="205"/>
        <v>0</v>
      </c>
      <c r="OJQ49" s="375">
        <f t="shared" si="205"/>
        <v>0</v>
      </c>
      <c r="OJR49" s="375">
        <f t="shared" si="205"/>
        <v>0</v>
      </c>
      <c r="OJS49" s="375">
        <f t="shared" si="205"/>
        <v>0</v>
      </c>
      <c r="OJT49" s="375">
        <f t="shared" si="205"/>
        <v>0</v>
      </c>
      <c r="OJU49" s="375">
        <f t="shared" si="205"/>
        <v>0</v>
      </c>
      <c r="OJV49" s="375">
        <f t="shared" si="205"/>
        <v>0</v>
      </c>
      <c r="OJW49" s="375">
        <f t="shared" si="205"/>
        <v>0</v>
      </c>
      <c r="OJX49" s="375">
        <f t="shared" si="205"/>
        <v>0</v>
      </c>
      <c r="OJY49" s="375">
        <f t="shared" si="205"/>
        <v>0</v>
      </c>
      <c r="OJZ49" s="375">
        <f t="shared" si="205"/>
        <v>0</v>
      </c>
      <c r="OKA49" s="375">
        <f t="shared" si="205"/>
        <v>0</v>
      </c>
      <c r="OKB49" s="375">
        <f t="shared" si="205"/>
        <v>0</v>
      </c>
      <c r="OKC49" s="375">
        <f t="shared" si="205"/>
        <v>0</v>
      </c>
      <c r="OKD49" s="375">
        <f t="shared" si="205"/>
        <v>0</v>
      </c>
      <c r="OKE49" s="375">
        <f t="shared" si="205"/>
        <v>0</v>
      </c>
      <c r="OKF49" s="375">
        <f t="shared" si="205"/>
        <v>0</v>
      </c>
      <c r="OKG49" s="375">
        <f t="shared" ref="OKG49:OMR49" si="206">OKG48*0.8</f>
        <v>0</v>
      </c>
      <c r="OKH49" s="375">
        <f t="shared" si="206"/>
        <v>0</v>
      </c>
      <c r="OKI49" s="375">
        <f t="shared" si="206"/>
        <v>0</v>
      </c>
      <c r="OKJ49" s="375">
        <f t="shared" si="206"/>
        <v>0</v>
      </c>
      <c r="OKK49" s="375">
        <f t="shared" si="206"/>
        <v>0</v>
      </c>
      <c r="OKL49" s="375">
        <f t="shared" si="206"/>
        <v>0</v>
      </c>
      <c r="OKM49" s="375">
        <f t="shared" si="206"/>
        <v>0</v>
      </c>
      <c r="OKN49" s="375">
        <f t="shared" si="206"/>
        <v>0</v>
      </c>
      <c r="OKO49" s="375">
        <f t="shared" si="206"/>
        <v>0</v>
      </c>
      <c r="OKP49" s="375">
        <f t="shared" si="206"/>
        <v>0</v>
      </c>
      <c r="OKQ49" s="375">
        <f t="shared" si="206"/>
        <v>0</v>
      </c>
      <c r="OKR49" s="375">
        <f t="shared" si="206"/>
        <v>0</v>
      </c>
      <c r="OKS49" s="375">
        <f t="shared" si="206"/>
        <v>0</v>
      </c>
      <c r="OKT49" s="375">
        <f t="shared" si="206"/>
        <v>0</v>
      </c>
      <c r="OKU49" s="375">
        <f t="shared" si="206"/>
        <v>0</v>
      </c>
      <c r="OKV49" s="375">
        <f t="shared" si="206"/>
        <v>0</v>
      </c>
      <c r="OKW49" s="375">
        <f t="shared" si="206"/>
        <v>0</v>
      </c>
      <c r="OKX49" s="375">
        <f t="shared" si="206"/>
        <v>0</v>
      </c>
      <c r="OKY49" s="375">
        <f t="shared" si="206"/>
        <v>0</v>
      </c>
      <c r="OKZ49" s="375">
        <f t="shared" si="206"/>
        <v>0</v>
      </c>
      <c r="OLA49" s="375">
        <f t="shared" si="206"/>
        <v>0</v>
      </c>
      <c r="OLB49" s="375">
        <f t="shared" si="206"/>
        <v>0</v>
      </c>
      <c r="OLC49" s="375">
        <f t="shared" si="206"/>
        <v>0</v>
      </c>
      <c r="OLD49" s="375">
        <f t="shared" si="206"/>
        <v>0</v>
      </c>
      <c r="OLE49" s="375">
        <f t="shared" si="206"/>
        <v>0</v>
      </c>
      <c r="OLF49" s="375">
        <f t="shared" si="206"/>
        <v>0</v>
      </c>
      <c r="OLG49" s="375">
        <f t="shared" si="206"/>
        <v>0</v>
      </c>
      <c r="OLH49" s="375">
        <f t="shared" si="206"/>
        <v>0</v>
      </c>
      <c r="OLI49" s="375">
        <f t="shared" si="206"/>
        <v>0</v>
      </c>
      <c r="OLJ49" s="375">
        <f t="shared" si="206"/>
        <v>0</v>
      </c>
      <c r="OLK49" s="375">
        <f t="shared" si="206"/>
        <v>0</v>
      </c>
      <c r="OLL49" s="375">
        <f t="shared" si="206"/>
        <v>0</v>
      </c>
      <c r="OLM49" s="375">
        <f t="shared" si="206"/>
        <v>0</v>
      </c>
      <c r="OLN49" s="375">
        <f t="shared" si="206"/>
        <v>0</v>
      </c>
      <c r="OLO49" s="375">
        <f t="shared" si="206"/>
        <v>0</v>
      </c>
      <c r="OLP49" s="375">
        <f t="shared" si="206"/>
        <v>0</v>
      </c>
      <c r="OLQ49" s="375">
        <f t="shared" si="206"/>
        <v>0</v>
      </c>
      <c r="OLR49" s="375">
        <f t="shared" si="206"/>
        <v>0</v>
      </c>
      <c r="OLS49" s="375">
        <f t="shared" si="206"/>
        <v>0</v>
      </c>
      <c r="OLT49" s="375">
        <f t="shared" si="206"/>
        <v>0</v>
      </c>
      <c r="OLU49" s="375">
        <f t="shared" si="206"/>
        <v>0</v>
      </c>
      <c r="OLV49" s="375">
        <f t="shared" si="206"/>
        <v>0</v>
      </c>
      <c r="OLW49" s="375">
        <f t="shared" si="206"/>
        <v>0</v>
      </c>
      <c r="OLX49" s="375">
        <f t="shared" si="206"/>
        <v>0</v>
      </c>
      <c r="OLY49" s="375">
        <f t="shared" si="206"/>
        <v>0</v>
      </c>
      <c r="OLZ49" s="375">
        <f t="shared" si="206"/>
        <v>0</v>
      </c>
      <c r="OMA49" s="375">
        <f t="shared" si="206"/>
        <v>0</v>
      </c>
      <c r="OMB49" s="375">
        <f t="shared" si="206"/>
        <v>0</v>
      </c>
      <c r="OMC49" s="375">
        <f t="shared" si="206"/>
        <v>0</v>
      </c>
      <c r="OMD49" s="375">
        <f t="shared" si="206"/>
        <v>0</v>
      </c>
      <c r="OME49" s="375">
        <f t="shared" si="206"/>
        <v>0</v>
      </c>
      <c r="OMF49" s="375">
        <f t="shared" si="206"/>
        <v>0</v>
      </c>
      <c r="OMG49" s="375">
        <f t="shared" si="206"/>
        <v>0</v>
      </c>
      <c r="OMH49" s="375">
        <f t="shared" si="206"/>
        <v>0</v>
      </c>
      <c r="OMI49" s="375">
        <f t="shared" si="206"/>
        <v>0</v>
      </c>
      <c r="OMJ49" s="375">
        <f t="shared" si="206"/>
        <v>0</v>
      </c>
      <c r="OMK49" s="375">
        <f t="shared" si="206"/>
        <v>0</v>
      </c>
      <c r="OML49" s="375">
        <f t="shared" si="206"/>
        <v>0</v>
      </c>
      <c r="OMM49" s="375">
        <f t="shared" si="206"/>
        <v>0</v>
      </c>
      <c r="OMN49" s="375">
        <f t="shared" si="206"/>
        <v>0</v>
      </c>
      <c r="OMO49" s="375">
        <f t="shared" si="206"/>
        <v>0</v>
      </c>
      <c r="OMP49" s="375">
        <f t="shared" si="206"/>
        <v>0</v>
      </c>
      <c r="OMQ49" s="375">
        <f t="shared" si="206"/>
        <v>0</v>
      </c>
      <c r="OMR49" s="375">
        <f t="shared" si="206"/>
        <v>0</v>
      </c>
      <c r="OMS49" s="375">
        <f t="shared" ref="OMS49:OPD49" si="207">OMS48*0.8</f>
        <v>0</v>
      </c>
      <c r="OMT49" s="375">
        <f t="shared" si="207"/>
        <v>0</v>
      </c>
      <c r="OMU49" s="375">
        <f t="shared" si="207"/>
        <v>0</v>
      </c>
      <c r="OMV49" s="375">
        <f t="shared" si="207"/>
        <v>0</v>
      </c>
      <c r="OMW49" s="375">
        <f t="shared" si="207"/>
        <v>0</v>
      </c>
      <c r="OMX49" s="375">
        <f t="shared" si="207"/>
        <v>0</v>
      </c>
      <c r="OMY49" s="375">
        <f t="shared" si="207"/>
        <v>0</v>
      </c>
      <c r="OMZ49" s="375">
        <f t="shared" si="207"/>
        <v>0</v>
      </c>
      <c r="ONA49" s="375">
        <f t="shared" si="207"/>
        <v>0</v>
      </c>
      <c r="ONB49" s="375">
        <f t="shared" si="207"/>
        <v>0</v>
      </c>
      <c r="ONC49" s="375">
        <f t="shared" si="207"/>
        <v>0</v>
      </c>
      <c r="OND49" s="375">
        <f t="shared" si="207"/>
        <v>0</v>
      </c>
      <c r="ONE49" s="375">
        <f t="shared" si="207"/>
        <v>0</v>
      </c>
      <c r="ONF49" s="375">
        <f t="shared" si="207"/>
        <v>0</v>
      </c>
      <c r="ONG49" s="375">
        <f t="shared" si="207"/>
        <v>0</v>
      </c>
      <c r="ONH49" s="375">
        <f t="shared" si="207"/>
        <v>0</v>
      </c>
      <c r="ONI49" s="375">
        <f t="shared" si="207"/>
        <v>0</v>
      </c>
      <c r="ONJ49" s="375">
        <f t="shared" si="207"/>
        <v>0</v>
      </c>
      <c r="ONK49" s="375">
        <f t="shared" si="207"/>
        <v>0</v>
      </c>
      <c r="ONL49" s="375">
        <f t="shared" si="207"/>
        <v>0</v>
      </c>
      <c r="ONM49" s="375">
        <f t="shared" si="207"/>
        <v>0</v>
      </c>
      <c r="ONN49" s="375">
        <f t="shared" si="207"/>
        <v>0</v>
      </c>
      <c r="ONO49" s="375">
        <f t="shared" si="207"/>
        <v>0</v>
      </c>
      <c r="ONP49" s="375">
        <f t="shared" si="207"/>
        <v>0</v>
      </c>
      <c r="ONQ49" s="375">
        <f t="shared" si="207"/>
        <v>0</v>
      </c>
      <c r="ONR49" s="375">
        <f t="shared" si="207"/>
        <v>0</v>
      </c>
      <c r="ONS49" s="375">
        <f t="shared" si="207"/>
        <v>0</v>
      </c>
      <c r="ONT49" s="375">
        <f t="shared" si="207"/>
        <v>0</v>
      </c>
      <c r="ONU49" s="375">
        <f t="shared" si="207"/>
        <v>0</v>
      </c>
      <c r="ONV49" s="375">
        <f t="shared" si="207"/>
        <v>0</v>
      </c>
      <c r="ONW49" s="375">
        <f t="shared" si="207"/>
        <v>0</v>
      </c>
      <c r="ONX49" s="375">
        <f t="shared" si="207"/>
        <v>0</v>
      </c>
      <c r="ONY49" s="375">
        <f t="shared" si="207"/>
        <v>0</v>
      </c>
      <c r="ONZ49" s="375">
        <f t="shared" si="207"/>
        <v>0</v>
      </c>
      <c r="OOA49" s="375">
        <f t="shared" si="207"/>
        <v>0</v>
      </c>
      <c r="OOB49" s="375">
        <f t="shared" si="207"/>
        <v>0</v>
      </c>
      <c r="OOC49" s="375">
        <f t="shared" si="207"/>
        <v>0</v>
      </c>
      <c r="OOD49" s="375">
        <f t="shared" si="207"/>
        <v>0</v>
      </c>
      <c r="OOE49" s="375">
        <f t="shared" si="207"/>
        <v>0</v>
      </c>
      <c r="OOF49" s="375">
        <f t="shared" si="207"/>
        <v>0</v>
      </c>
      <c r="OOG49" s="375">
        <f t="shared" si="207"/>
        <v>0</v>
      </c>
      <c r="OOH49" s="375">
        <f t="shared" si="207"/>
        <v>0</v>
      </c>
      <c r="OOI49" s="375">
        <f t="shared" si="207"/>
        <v>0</v>
      </c>
      <c r="OOJ49" s="375">
        <f t="shared" si="207"/>
        <v>0</v>
      </c>
      <c r="OOK49" s="375">
        <f t="shared" si="207"/>
        <v>0</v>
      </c>
      <c r="OOL49" s="375">
        <f t="shared" si="207"/>
        <v>0</v>
      </c>
      <c r="OOM49" s="375">
        <f t="shared" si="207"/>
        <v>0</v>
      </c>
      <c r="OON49" s="375">
        <f t="shared" si="207"/>
        <v>0</v>
      </c>
      <c r="OOO49" s="375">
        <f t="shared" si="207"/>
        <v>0</v>
      </c>
      <c r="OOP49" s="375">
        <f t="shared" si="207"/>
        <v>0</v>
      </c>
      <c r="OOQ49" s="375">
        <f t="shared" si="207"/>
        <v>0</v>
      </c>
      <c r="OOR49" s="375">
        <f t="shared" si="207"/>
        <v>0</v>
      </c>
      <c r="OOS49" s="375">
        <f t="shared" si="207"/>
        <v>0</v>
      </c>
      <c r="OOT49" s="375">
        <f t="shared" si="207"/>
        <v>0</v>
      </c>
      <c r="OOU49" s="375">
        <f t="shared" si="207"/>
        <v>0</v>
      </c>
      <c r="OOV49" s="375">
        <f t="shared" si="207"/>
        <v>0</v>
      </c>
      <c r="OOW49" s="375">
        <f t="shared" si="207"/>
        <v>0</v>
      </c>
      <c r="OOX49" s="375">
        <f t="shared" si="207"/>
        <v>0</v>
      </c>
      <c r="OOY49" s="375">
        <f t="shared" si="207"/>
        <v>0</v>
      </c>
      <c r="OOZ49" s="375">
        <f t="shared" si="207"/>
        <v>0</v>
      </c>
      <c r="OPA49" s="375">
        <f t="shared" si="207"/>
        <v>0</v>
      </c>
      <c r="OPB49" s="375">
        <f t="shared" si="207"/>
        <v>0</v>
      </c>
      <c r="OPC49" s="375">
        <f t="shared" si="207"/>
        <v>0</v>
      </c>
      <c r="OPD49" s="375">
        <f t="shared" si="207"/>
        <v>0</v>
      </c>
      <c r="OPE49" s="375">
        <f t="shared" ref="OPE49:ORP49" si="208">OPE48*0.8</f>
        <v>0</v>
      </c>
      <c r="OPF49" s="375">
        <f t="shared" si="208"/>
        <v>0</v>
      </c>
      <c r="OPG49" s="375">
        <f t="shared" si="208"/>
        <v>0</v>
      </c>
      <c r="OPH49" s="375">
        <f t="shared" si="208"/>
        <v>0</v>
      </c>
      <c r="OPI49" s="375">
        <f t="shared" si="208"/>
        <v>0</v>
      </c>
      <c r="OPJ49" s="375">
        <f t="shared" si="208"/>
        <v>0</v>
      </c>
      <c r="OPK49" s="375">
        <f t="shared" si="208"/>
        <v>0</v>
      </c>
      <c r="OPL49" s="375">
        <f t="shared" si="208"/>
        <v>0</v>
      </c>
      <c r="OPM49" s="375">
        <f t="shared" si="208"/>
        <v>0</v>
      </c>
      <c r="OPN49" s="375">
        <f t="shared" si="208"/>
        <v>0</v>
      </c>
      <c r="OPO49" s="375">
        <f t="shared" si="208"/>
        <v>0</v>
      </c>
      <c r="OPP49" s="375">
        <f t="shared" si="208"/>
        <v>0</v>
      </c>
      <c r="OPQ49" s="375">
        <f t="shared" si="208"/>
        <v>0</v>
      </c>
      <c r="OPR49" s="375">
        <f t="shared" si="208"/>
        <v>0</v>
      </c>
      <c r="OPS49" s="375">
        <f t="shared" si="208"/>
        <v>0</v>
      </c>
      <c r="OPT49" s="375">
        <f t="shared" si="208"/>
        <v>0</v>
      </c>
      <c r="OPU49" s="375">
        <f t="shared" si="208"/>
        <v>0</v>
      </c>
      <c r="OPV49" s="375">
        <f t="shared" si="208"/>
        <v>0</v>
      </c>
      <c r="OPW49" s="375">
        <f t="shared" si="208"/>
        <v>0</v>
      </c>
      <c r="OPX49" s="375">
        <f t="shared" si="208"/>
        <v>0</v>
      </c>
      <c r="OPY49" s="375">
        <f t="shared" si="208"/>
        <v>0</v>
      </c>
      <c r="OPZ49" s="375">
        <f t="shared" si="208"/>
        <v>0</v>
      </c>
      <c r="OQA49" s="375">
        <f t="shared" si="208"/>
        <v>0</v>
      </c>
      <c r="OQB49" s="375">
        <f t="shared" si="208"/>
        <v>0</v>
      </c>
      <c r="OQC49" s="375">
        <f t="shared" si="208"/>
        <v>0</v>
      </c>
      <c r="OQD49" s="375">
        <f t="shared" si="208"/>
        <v>0</v>
      </c>
      <c r="OQE49" s="375">
        <f t="shared" si="208"/>
        <v>0</v>
      </c>
      <c r="OQF49" s="375">
        <f t="shared" si="208"/>
        <v>0</v>
      </c>
      <c r="OQG49" s="375">
        <f t="shared" si="208"/>
        <v>0</v>
      </c>
      <c r="OQH49" s="375">
        <f t="shared" si="208"/>
        <v>0</v>
      </c>
      <c r="OQI49" s="375">
        <f t="shared" si="208"/>
        <v>0</v>
      </c>
      <c r="OQJ49" s="375">
        <f t="shared" si="208"/>
        <v>0</v>
      </c>
      <c r="OQK49" s="375">
        <f t="shared" si="208"/>
        <v>0</v>
      </c>
      <c r="OQL49" s="375">
        <f t="shared" si="208"/>
        <v>0</v>
      </c>
      <c r="OQM49" s="375">
        <f t="shared" si="208"/>
        <v>0</v>
      </c>
      <c r="OQN49" s="375">
        <f t="shared" si="208"/>
        <v>0</v>
      </c>
      <c r="OQO49" s="375">
        <f t="shared" si="208"/>
        <v>0</v>
      </c>
      <c r="OQP49" s="375">
        <f t="shared" si="208"/>
        <v>0</v>
      </c>
      <c r="OQQ49" s="375">
        <f t="shared" si="208"/>
        <v>0</v>
      </c>
      <c r="OQR49" s="375">
        <f t="shared" si="208"/>
        <v>0</v>
      </c>
      <c r="OQS49" s="375">
        <f t="shared" si="208"/>
        <v>0</v>
      </c>
      <c r="OQT49" s="375">
        <f t="shared" si="208"/>
        <v>0</v>
      </c>
      <c r="OQU49" s="375">
        <f t="shared" si="208"/>
        <v>0</v>
      </c>
      <c r="OQV49" s="375">
        <f t="shared" si="208"/>
        <v>0</v>
      </c>
      <c r="OQW49" s="375">
        <f t="shared" si="208"/>
        <v>0</v>
      </c>
      <c r="OQX49" s="375">
        <f t="shared" si="208"/>
        <v>0</v>
      </c>
      <c r="OQY49" s="375">
        <f t="shared" si="208"/>
        <v>0</v>
      </c>
      <c r="OQZ49" s="375">
        <f t="shared" si="208"/>
        <v>0</v>
      </c>
      <c r="ORA49" s="375">
        <f t="shared" si="208"/>
        <v>0</v>
      </c>
      <c r="ORB49" s="375">
        <f t="shared" si="208"/>
        <v>0</v>
      </c>
      <c r="ORC49" s="375">
        <f t="shared" si="208"/>
        <v>0</v>
      </c>
      <c r="ORD49" s="375">
        <f t="shared" si="208"/>
        <v>0</v>
      </c>
      <c r="ORE49" s="375">
        <f t="shared" si="208"/>
        <v>0</v>
      </c>
      <c r="ORF49" s="375">
        <f t="shared" si="208"/>
        <v>0</v>
      </c>
      <c r="ORG49" s="375">
        <f t="shared" si="208"/>
        <v>0</v>
      </c>
      <c r="ORH49" s="375">
        <f t="shared" si="208"/>
        <v>0</v>
      </c>
      <c r="ORI49" s="375">
        <f t="shared" si="208"/>
        <v>0</v>
      </c>
      <c r="ORJ49" s="375">
        <f t="shared" si="208"/>
        <v>0</v>
      </c>
      <c r="ORK49" s="375">
        <f t="shared" si="208"/>
        <v>0</v>
      </c>
      <c r="ORL49" s="375">
        <f t="shared" si="208"/>
        <v>0</v>
      </c>
      <c r="ORM49" s="375">
        <f t="shared" si="208"/>
        <v>0</v>
      </c>
      <c r="ORN49" s="375">
        <f t="shared" si="208"/>
        <v>0</v>
      </c>
      <c r="ORO49" s="375">
        <f t="shared" si="208"/>
        <v>0</v>
      </c>
      <c r="ORP49" s="375">
        <f t="shared" si="208"/>
        <v>0</v>
      </c>
      <c r="ORQ49" s="375">
        <f t="shared" ref="ORQ49:OUB49" si="209">ORQ48*0.8</f>
        <v>0</v>
      </c>
      <c r="ORR49" s="375">
        <f t="shared" si="209"/>
        <v>0</v>
      </c>
      <c r="ORS49" s="375">
        <f t="shared" si="209"/>
        <v>0</v>
      </c>
      <c r="ORT49" s="375">
        <f t="shared" si="209"/>
        <v>0</v>
      </c>
      <c r="ORU49" s="375">
        <f t="shared" si="209"/>
        <v>0</v>
      </c>
      <c r="ORV49" s="375">
        <f t="shared" si="209"/>
        <v>0</v>
      </c>
      <c r="ORW49" s="375">
        <f t="shared" si="209"/>
        <v>0</v>
      </c>
      <c r="ORX49" s="375">
        <f t="shared" si="209"/>
        <v>0</v>
      </c>
      <c r="ORY49" s="375">
        <f t="shared" si="209"/>
        <v>0</v>
      </c>
      <c r="ORZ49" s="375">
        <f t="shared" si="209"/>
        <v>0</v>
      </c>
      <c r="OSA49" s="375">
        <f t="shared" si="209"/>
        <v>0</v>
      </c>
      <c r="OSB49" s="375">
        <f t="shared" si="209"/>
        <v>0</v>
      </c>
      <c r="OSC49" s="375">
        <f t="shared" si="209"/>
        <v>0</v>
      </c>
      <c r="OSD49" s="375">
        <f t="shared" si="209"/>
        <v>0</v>
      </c>
      <c r="OSE49" s="375">
        <f t="shared" si="209"/>
        <v>0</v>
      </c>
      <c r="OSF49" s="375">
        <f t="shared" si="209"/>
        <v>0</v>
      </c>
      <c r="OSG49" s="375">
        <f t="shared" si="209"/>
        <v>0</v>
      </c>
      <c r="OSH49" s="375">
        <f t="shared" si="209"/>
        <v>0</v>
      </c>
      <c r="OSI49" s="375">
        <f t="shared" si="209"/>
        <v>0</v>
      </c>
      <c r="OSJ49" s="375">
        <f t="shared" si="209"/>
        <v>0</v>
      </c>
      <c r="OSK49" s="375">
        <f t="shared" si="209"/>
        <v>0</v>
      </c>
      <c r="OSL49" s="375">
        <f t="shared" si="209"/>
        <v>0</v>
      </c>
      <c r="OSM49" s="375">
        <f t="shared" si="209"/>
        <v>0</v>
      </c>
      <c r="OSN49" s="375">
        <f t="shared" si="209"/>
        <v>0</v>
      </c>
      <c r="OSO49" s="375">
        <f t="shared" si="209"/>
        <v>0</v>
      </c>
      <c r="OSP49" s="375">
        <f t="shared" si="209"/>
        <v>0</v>
      </c>
      <c r="OSQ49" s="375">
        <f t="shared" si="209"/>
        <v>0</v>
      </c>
      <c r="OSR49" s="375">
        <f t="shared" si="209"/>
        <v>0</v>
      </c>
      <c r="OSS49" s="375">
        <f t="shared" si="209"/>
        <v>0</v>
      </c>
      <c r="OST49" s="375">
        <f t="shared" si="209"/>
        <v>0</v>
      </c>
      <c r="OSU49" s="375">
        <f t="shared" si="209"/>
        <v>0</v>
      </c>
      <c r="OSV49" s="375">
        <f t="shared" si="209"/>
        <v>0</v>
      </c>
      <c r="OSW49" s="375">
        <f t="shared" si="209"/>
        <v>0</v>
      </c>
      <c r="OSX49" s="375">
        <f t="shared" si="209"/>
        <v>0</v>
      </c>
      <c r="OSY49" s="375">
        <f t="shared" si="209"/>
        <v>0</v>
      </c>
      <c r="OSZ49" s="375">
        <f t="shared" si="209"/>
        <v>0</v>
      </c>
      <c r="OTA49" s="375">
        <f t="shared" si="209"/>
        <v>0</v>
      </c>
      <c r="OTB49" s="375">
        <f t="shared" si="209"/>
        <v>0</v>
      </c>
      <c r="OTC49" s="375">
        <f t="shared" si="209"/>
        <v>0</v>
      </c>
      <c r="OTD49" s="375">
        <f t="shared" si="209"/>
        <v>0</v>
      </c>
      <c r="OTE49" s="375">
        <f t="shared" si="209"/>
        <v>0</v>
      </c>
      <c r="OTF49" s="375">
        <f t="shared" si="209"/>
        <v>0</v>
      </c>
      <c r="OTG49" s="375">
        <f t="shared" si="209"/>
        <v>0</v>
      </c>
      <c r="OTH49" s="375">
        <f t="shared" si="209"/>
        <v>0</v>
      </c>
      <c r="OTI49" s="375">
        <f t="shared" si="209"/>
        <v>0</v>
      </c>
      <c r="OTJ49" s="375">
        <f t="shared" si="209"/>
        <v>0</v>
      </c>
      <c r="OTK49" s="375">
        <f t="shared" si="209"/>
        <v>0</v>
      </c>
      <c r="OTL49" s="375">
        <f t="shared" si="209"/>
        <v>0</v>
      </c>
      <c r="OTM49" s="375">
        <f t="shared" si="209"/>
        <v>0</v>
      </c>
      <c r="OTN49" s="375">
        <f t="shared" si="209"/>
        <v>0</v>
      </c>
      <c r="OTO49" s="375">
        <f t="shared" si="209"/>
        <v>0</v>
      </c>
      <c r="OTP49" s="375">
        <f t="shared" si="209"/>
        <v>0</v>
      </c>
      <c r="OTQ49" s="375">
        <f t="shared" si="209"/>
        <v>0</v>
      </c>
      <c r="OTR49" s="375">
        <f t="shared" si="209"/>
        <v>0</v>
      </c>
      <c r="OTS49" s="375">
        <f t="shared" si="209"/>
        <v>0</v>
      </c>
      <c r="OTT49" s="375">
        <f t="shared" si="209"/>
        <v>0</v>
      </c>
      <c r="OTU49" s="375">
        <f t="shared" si="209"/>
        <v>0</v>
      </c>
      <c r="OTV49" s="375">
        <f t="shared" si="209"/>
        <v>0</v>
      </c>
      <c r="OTW49" s="375">
        <f t="shared" si="209"/>
        <v>0</v>
      </c>
      <c r="OTX49" s="375">
        <f t="shared" si="209"/>
        <v>0</v>
      </c>
      <c r="OTY49" s="375">
        <f t="shared" si="209"/>
        <v>0</v>
      </c>
      <c r="OTZ49" s="375">
        <f t="shared" si="209"/>
        <v>0</v>
      </c>
      <c r="OUA49" s="375">
        <f t="shared" si="209"/>
        <v>0</v>
      </c>
      <c r="OUB49" s="375">
        <f t="shared" si="209"/>
        <v>0</v>
      </c>
      <c r="OUC49" s="375">
        <f t="shared" ref="OUC49:OWN49" si="210">OUC48*0.8</f>
        <v>0</v>
      </c>
      <c r="OUD49" s="375">
        <f t="shared" si="210"/>
        <v>0</v>
      </c>
      <c r="OUE49" s="375">
        <f t="shared" si="210"/>
        <v>0</v>
      </c>
      <c r="OUF49" s="375">
        <f t="shared" si="210"/>
        <v>0</v>
      </c>
      <c r="OUG49" s="375">
        <f t="shared" si="210"/>
        <v>0</v>
      </c>
      <c r="OUH49" s="375">
        <f t="shared" si="210"/>
        <v>0</v>
      </c>
      <c r="OUI49" s="375">
        <f t="shared" si="210"/>
        <v>0</v>
      </c>
      <c r="OUJ49" s="375">
        <f t="shared" si="210"/>
        <v>0</v>
      </c>
      <c r="OUK49" s="375">
        <f t="shared" si="210"/>
        <v>0</v>
      </c>
      <c r="OUL49" s="375">
        <f t="shared" si="210"/>
        <v>0</v>
      </c>
      <c r="OUM49" s="375">
        <f t="shared" si="210"/>
        <v>0</v>
      </c>
      <c r="OUN49" s="375">
        <f t="shared" si="210"/>
        <v>0</v>
      </c>
      <c r="OUO49" s="375">
        <f t="shared" si="210"/>
        <v>0</v>
      </c>
      <c r="OUP49" s="375">
        <f t="shared" si="210"/>
        <v>0</v>
      </c>
      <c r="OUQ49" s="375">
        <f t="shared" si="210"/>
        <v>0</v>
      </c>
      <c r="OUR49" s="375">
        <f t="shared" si="210"/>
        <v>0</v>
      </c>
      <c r="OUS49" s="375">
        <f t="shared" si="210"/>
        <v>0</v>
      </c>
      <c r="OUT49" s="375">
        <f t="shared" si="210"/>
        <v>0</v>
      </c>
      <c r="OUU49" s="375">
        <f t="shared" si="210"/>
        <v>0</v>
      </c>
      <c r="OUV49" s="375">
        <f t="shared" si="210"/>
        <v>0</v>
      </c>
      <c r="OUW49" s="375">
        <f t="shared" si="210"/>
        <v>0</v>
      </c>
      <c r="OUX49" s="375">
        <f t="shared" si="210"/>
        <v>0</v>
      </c>
      <c r="OUY49" s="375">
        <f t="shared" si="210"/>
        <v>0</v>
      </c>
      <c r="OUZ49" s="375">
        <f t="shared" si="210"/>
        <v>0</v>
      </c>
      <c r="OVA49" s="375">
        <f t="shared" si="210"/>
        <v>0</v>
      </c>
      <c r="OVB49" s="375">
        <f t="shared" si="210"/>
        <v>0</v>
      </c>
      <c r="OVC49" s="375">
        <f t="shared" si="210"/>
        <v>0</v>
      </c>
      <c r="OVD49" s="375">
        <f t="shared" si="210"/>
        <v>0</v>
      </c>
      <c r="OVE49" s="375">
        <f t="shared" si="210"/>
        <v>0</v>
      </c>
      <c r="OVF49" s="375">
        <f t="shared" si="210"/>
        <v>0</v>
      </c>
      <c r="OVG49" s="375">
        <f t="shared" si="210"/>
        <v>0</v>
      </c>
      <c r="OVH49" s="375">
        <f t="shared" si="210"/>
        <v>0</v>
      </c>
      <c r="OVI49" s="375">
        <f t="shared" si="210"/>
        <v>0</v>
      </c>
      <c r="OVJ49" s="375">
        <f t="shared" si="210"/>
        <v>0</v>
      </c>
      <c r="OVK49" s="375">
        <f t="shared" si="210"/>
        <v>0</v>
      </c>
      <c r="OVL49" s="375">
        <f t="shared" si="210"/>
        <v>0</v>
      </c>
      <c r="OVM49" s="375">
        <f t="shared" si="210"/>
        <v>0</v>
      </c>
      <c r="OVN49" s="375">
        <f t="shared" si="210"/>
        <v>0</v>
      </c>
      <c r="OVO49" s="375">
        <f t="shared" si="210"/>
        <v>0</v>
      </c>
      <c r="OVP49" s="375">
        <f t="shared" si="210"/>
        <v>0</v>
      </c>
      <c r="OVQ49" s="375">
        <f t="shared" si="210"/>
        <v>0</v>
      </c>
      <c r="OVR49" s="375">
        <f t="shared" si="210"/>
        <v>0</v>
      </c>
      <c r="OVS49" s="375">
        <f t="shared" si="210"/>
        <v>0</v>
      </c>
      <c r="OVT49" s="375">
        <f t="shared" si="210"/>
        <v>0</v>
      </c>
      <c r="OVU49" s="375">
        <f t="shared" si="210"/>
        <v>0</v>
      </c>
      <c r="OVV49" s="375">
        <f t="shared" si="210"/>
        <v>0</v>
      </c>
      <c r="OVW49" s="375">
        <f t="shared" si="210"/>
        <v>0</v>
      </c>
      <c r="OVX49" s="375">
        <f t="shared" si="210"/>
        <v>0</v>
      </c>
      <c r="OVY49" s="375">
        <f t="shared" si="210"/>
        <v>0</v>
      </c>
      <c r="OVZ49" s="375">
        <f t="shared" si="210"/>
        <v>0</v>
      </c>
      <c r="OWA49" s="375">
        <f t="shared" si="210"/>
        <v>0</v>
      </c>
      <c r="OWB49" s="375">
        <f t="shared" si="210"/>
        <v>0</v>
      </c>
      <c r="OWC49" s="375">
        <f t="shared" si="210"/>
        <v>0</v>
      </c>
      <c r="OWD49" s="375">
        <f t="shared" si="210"/>
        <v>0</v>
      </c>
      <c r="OWE49" s="375">
        <f t="shared" si="210"/>
        <v>0</v>
      </c>
      <c r="OWF49" s="375">
        <f t="shared" si="210"/>
        <v>0</v>
      </c>
      <c r="OWG49" s="375">
        <f t="shared" si="210"/>
        <v>0</v>
      </c>
      <c r="OWH49" s="375">
        <f t="shared" si="210"/>
        <v>0</v>
      </c>
      <c r="OWI49" s="375">
        <f t="shared" si="210"/>
        <v>0</v>
      </c>
      <c r="OWJ49" s="375">
        <f t="shared" si="210"/>
        <v>0</v>
      </c>
      <c r="OWK49" s="375">
        <f t="shared" si="210"/>
        <v>0</v>
      </c>
      <c r="OWL49" s="375">
        <f t="shared" si="210"/>
        <v>0</v>
      </c>
      <c r="OWM49" s="375">
        <f t="shared" si="210"/>
        <v>0</v>
      </c>
      <c r="OWN49" s="375">
        <f t="shared" si="210"/>
        <v>0</v>
      </c>
      <c r="OWO49" s="375">
        <f t="shared" ref="OWO49:OYZ49" si="211">OWO48*0.8</f>
        <v>0</v>
      </c>
      <c r="OWP49" s="375">
        <f t="shared" si="211"/>
        <v>0</v>
      </c>
      <c r="OWQ49" s="375">
        <f t="shared" si="211"/>
        <v>0</v>
      </c>
      <c r="OWR49" s="375">
        <f t="shared" si="211"/>
        <v>0</v>
      </c>
      <c r="OWS49" s="375">
        <f t="shared" si="211"/>
        <v>0</v>
      </c>
      <c r="OWT49" s="375">
        <f t="shared" si="211"/>
        <v>0</v>
      </c>
      <c r="OWU49" s="375">
        <f t="shared" si="211"/>
        <v>0</v>
      </c>
      <c r="OWV49" s="375">
        <f t="shared" si="211"/>
        <v>0</v>
      </c>
      <c r="OWW49" s="375">
        <f t="shared" si="211"/>
        <v>0</v>
      </c>
      <c r="OWX49" s="375">
        <f t="shared" si="211"/>
        <v>0</v>
      </c>
      <c r="OWY49" s="375">
        <f t="shared" si="211"/>
        <v>0</v>
      </c>
      <c r="OWZ49" s="375">
        <f t="shared" si="211"/>
        <v>0</v>
      </c>
      <c r="OXA49" s="375">
        <f t="shared" si="211"/>
        <v>0</v>
      </c>
      <c r="OXB49" s="375">
        <f t="shared" si="211"/>
        <v>0</v>
      </c>
      <c r="OXC49" s="375">
        <f t="shared" si="211"/>
        <v>0</v>
      </c>
      <c r="OXD49" s="375">
        <f t="shared" si="211"/>
        <v>0</v>
      </c>
      <c r="OXE49" s="375">
        <f t="shared" si="211"/>
        <v>0</v>
      </c>
      <c r="OXF49" s="375">
        <f t="shared" si="211"/>
        <v>0</v>
      </c>
      <c r="OXG49" s="375">
        <f t="shared" si="211"/>
        <v>0</v>
      </c>
      <c r="OXH49" s="375">
        <f t="shared" si="211"/>
        <v>0</v>
      </c>
      <c r="OXI49" s="375">
        <f t="shared" si="211"/>
        <v>0</v>
      </c>
      <c r="OXJ49" s="375">
        <f t="shared" si="211"/>
        <v>0</v>
      </c>
      <c r="OXK49" s="375">
        <f t="shared" si="211"/>
        <v>0</v>
      </c>
      <c r="OXL49" s="375">
        <f t="shared" si="211"/>
        <v>0</v>
      </c>
      <c r="OXM49" s="375">
        <f t="shared" si="211"/>
        <v>0</v>
      </c>
      <c r="OXN49" s="375">
        <f t="shared" si="211"/>
        <v>0</v>
      </c>
      <c r="OXO49" s="375">
        <f t="shared" si="211"/>
        <v>0</v>
      </c>
      <c r="OXP49" s="375">
        <f t="shared" si="211"/>
        <v>0</v>
      </c>
      <c r="OXQ49" s="375">
        <f t="shared" si="211"/>
        <v>0</v>
      </c>
      <c r="OXR49" s="375">
        <f t="shared" si="211"/>
        <v>0</v>
      </c>
      <c r="OXS49" s="375">
        <f t="shared" si="211"/>
        <v>0</v>
      </c>
      <c r="OXT49" s="375">
        <f t="shared" si="211"/>
        <v>0</v>
      </c>
      <c r="OXU49" s="375">
        <f t="shared" si="211"/>
        <v>0</v>
      </c>
      <c r="OXV49" s="375">
        <f t="shared" si="211"/>
        <v>0</v>
      </c>
      <c r="OXW49" s="375">
        <f t="shared" si="211"/>
        <v>0</v>
      </c>
      <c r="OXX49" s="375">
        <f t="shared" si="211"/>
        <v>0</v>
      </c>
      <c r="OXY49" s="375">
        <f t="shared" si="211"/>
        <v>0</v>
      </c>
      <c r="OXZ49" s="375">
        <f t="shared" si="211"/>
        <v>0</v>
      </c>
      <c r="OYA49" s="375">
        <f t="shared" si="211"/>
        <v>0</v>
      </c>
      <c r="OYB49" s="375">
        <f t="shared" si="211"/>
        <v>0</v>
      </c>
      <c r="OYC49" s="375">
        <f t="shared" si="211"/>
        <v>0</v>
      </c>
      <c r="OYD49" s="375">
        <f t="shared" si="211"/>
        <v>0</v>
      </c>
      <c r="OYE49" s="375">
        <f t="shared" si="211"/>
        <v>0</v>
      </c>
      <c r="OYF49" s="375">
        <f t="shared" si="211"/>
        <v>0</v>
      </c>
      <c r="OYG49" s="375">
        <f t="shared" si="211"/>
        <v>0</v>
      </c>
      <c r="OYH49" s="375">
        <f t="shared" si="211"/>
        <v>0</v>
      </c>
      <c r="OYI49" s="375">
        <f t="shared" si="211"/>
        <v>0</v>
      </c>
      <c r="OYJ49" s="375">
        <f t="shared" si="211"/>
        <v>0</v>
      </c>
      <c r="OYK49" s="375">
        <f t="shared" si="211"/>
        <v>0</v>
      </c>
      <c r="OYL49" s="375">
        <f t="shared" si="211"/>
        <v>0</v>
      </c>
      <c r="OYM49" s="375">
        <f t="shared" si="211"/>
        <v>0</v>
      </c>
      <c r="OYN49" s="375">
        <f t="shared" si="211"/>
        <v>0</v>
      </c>
      <c r="OYO49" s="375">
        <f t="shared" si="211"/>
        <v>0</v>
      </c>
      <c r="OYP49" s="375">
        <f t="shared" si="211"/>
        <v>0</v>
      </c>
      <c r="OYQ49" s="375">
        <f t="shared" si="211"/>
        <v>0</v>
      </c>
      <c r="OYR49" s="375">
        <f t="shared" si="211"/>
        <v>0</v>
      </c>
      <c r="OYS49" s="375">
        <f t="shared" si="211"/>
        <v>0</v>
      </c>
      <c r="OYT49" s="375">
        <f t="shared" si="211"/>
        <v>0</v>
      </c>
      <c r="OYU49" s="375">
        <f t="shared" si="211"/>
        <v>0</v>
      </c>
      <c r="OYV49" s="375">
        <f t="shared" si="211"/>
        <v>0</v>
      </c>
      <c r="OYW49" s="375">
        <f t="shared" si="211"/>
        <v>0</v>
      </c>
      <c r="OYX49" s="375">
        <f t="shared" si="211"/>
        <v>0</v>
      </c>
      <c r="OYY49" s="375">
        <f t="shared" si="211"/>
        <v>0</v>
      </c>
      <c r="OYZ49" s="375">
        <f t="shared" si="211"/>
        <v>0</v>
      </c>
      <c r="OZA49" s="375">
        <f t="shared" ref="OZA49:PBL49" si="212">OZA48*0.8</f>
        <v>0</v>
      </c>
      <c r="OZB49" s="375">
        <f t="shared" si="212"/>
        <v>0</v>
      </c>
      <c r="OZC49" s="375">
        <f t="shared" si="212"/>
        <v>0</v>
      </c>
      <c r="OZD49" s="375">
        <f t="shared" si="212"/>
        <v>0</v>
      </c>
      <c r="OZE49" s="375">
        <f t="shared" si="212"/>
        <v>0</v>
      </c>
      <c r="OZF49" s="375">
        <f t="shared" si="212"/>
        <v>0</v>
      </c>
      <c r="OZG49" s="375">
        <f t="shared" si="212"/>
        <v>0</v>
      </c>
      <c r="OZH49" s="375">
        <f t="shared" si="212"/>
        <v>0</v>
      </c>
      <c r="OZI49" s="375">
        <f t="shared" si="212"/>
        <v>0</v>
      </c>
      <c r="OZJ49" s="375">
        <f t="shared" si="212"/>
        <v>0</v>
      </c>
      <c r="OZK49" s="375">
        <f t="shared" si="212"/>
        <v>0</v>
      </c>
      <c r="OZL49" s="375">
        <f t="shared" si="212"/>
        <v>0</v>
      </c>
      <c r="OZM49" s="375">
        <f t="shared" si="212"/>
        <v>0</v>
      </c>
      <c r="OZN49" s="375">
        <f t="shared" si="212"/>
        <v>0</v>
      </c>
      <c r="OZO49" s="375">
        <f t="shared" si="212"/>
        <v>0</v>
      </c>
      <c r="OZP49" s="375">
        <f t="shared" si="212"/>
        <v>0</v>
      </c>
      <c r="OZQ49" s="375">
        <f t="shared" si="212"/>
        <v>0</v>
      </c>
      <c r="OZR49" s="375">
        <f t="shared" si="212"/>
        <v>0</v>
      </c>
      <c r="OZS49" s="375">
        <f t="shared" si="212"/>
        <v>0</v>
      </c>
      <c r="OZT49" s="375">
        <f t="shared" si="212"/>
        <v>0</v>
      </c>
      <c r="OZU49" s="375">
        <f t="shared" si="212"/>
        <v>0</v>
      </c>
      <c r="OZV49" s="375">
        <f t="shared" si="212"/>
        <v>0</v>
      </c>
      <c r="OZW49" s="375">
        <f t="shared" si="212"/>
        <v>0</v>
      </c>
      <c r="OZX49" s="375">
        <f t="shared" si="212"/>
        <v>0</v>
      </c>
      <c r="OZY49" s="375">
        <f t="shared" si="212"/>
        <v>0</v>
      </c>
      <c r="OZZ49" s="375">
        <f t="shared" si="212"/>
        <v>0</v>
      </c>
      <c r="PAA49" s="375">
        <f t="shared" si="212"/>
        <v>0</v>
      </c>
      <c r="PAB49" s="375">
        <f t="shared" si="212"/>
        <v>0</v>
      </c>
      <c r="PAC49" s="375">
        <f t="shared" si="212"/>
        <v>0</v>
      </c>
      <c r="PAD49" s="375">
        <f t="shared" si="212"/>
        <v>0</v>
      </c>
      <c r="PAE49" s="375">
        <f t="shared" si="212"/>
        <v>0</v>
      </c>
      <c r="PAF49" s="375">
        <f t="shared" si="212"/>
        <v>0</v>
      </c>
      <c r="PAG49" s="375">
        <f t="shared" si="212"/>
        <v>0</v>
      </c>
      <c r="PAH49" s="375">
        <f t="shared" si="212"/>
        <v>0</v>
      </c>
      <c r="PAI49" s="375">
        <f t="shared" si="212"/>
        <v>0</v>
      </c>
      <c r="PAJ49" s="375">
        <f t="shared" si="212"/>
        <v>0</v>
      </c>
      <c r="PAK49" s="375">
        <f t="shared" si="212"/>
        <v>0</v>
      </c>
      <c r="PAL49" s="375">
        <f t="shared" si="212"/>
        <v>0</v>
      </c>
      <c r="PAM49" s="375">
        <f t="shared" si="212"/>
        <v>0</v>
      </c>
      <c r="PAN49" s="375">
        <f t="shared" si="212"/>
        <v>0</v>
      </c>
      <c r="PAO49" s="375">
        <f t="shared" si="212"/>
        <v>0</v>
      </c>
      <c r="PAP49" s="375">
        <f t="shared" si="212"/>
        <v>0</v>
      </c>
      <c r="PAQ49" s="375">
        <f t="shared" si="212"/>
        <v>0</v>
      </c>
      <c r="PAR49" s="375">
        <f t="shared" si="212"/>
        <v>0</v>
      </c>
      <c r="PAS49" s="375">
        <f t="shared" si="212"/>
        <v>0</v>
      </c>
      <c r="PAT49" s="375">
        <f t="shared" si="212"/>
        <v>0</v>
      </c>
      <c r="PAU49" s="375">
        <f t="shared" si="212"/>
        <v>0</v>
      </c>
      <c r="PAV49" s="375">
        <f t="shared" si="212"/>
        <v>0</v>
      </c>
      <c r="PAW49" s="375">
        <f t="shared" si="212"/>
        <v>0</v>
      </c>
      <c r="PAX49" s="375">
        <f t="shared" si="212"/>
        <v>0</v>
      </c>
      <c r="PAY49" s="375">
        <f t="shared" si="212"/>
        <v>0</v>
      </c>
      <c r="PAZ49" s="375">
        <f t="shared" si="212"/>
        <v>0</v>
      </c>
      <c r="PBA49" s="375">
        <f t="shared" si="212"/>
        <v>0</v>
      </c>
      <c r="PBB49" s="375">
        <f t="shared" si="212"/>
        <v>0</v>
      </c>
      <c r="PBC49" s="375">
        <f t="shared" si="212"/>
        <v>0</v>
      </c>
      <c r="PBD49" s="375">
        <f t="shared" si="212"/>
        <v>0</v>
      </c>
      <c r="PBE49" s="375">
        <f t="shared" si="212"/>
        <v>0</v>
      </c>
      <c r="PBF49" s="375">
        <f t="shared" si="212"/>
        <v>0</v>
      </c>
      <c r="PBG49" s="375">
        <f t="shared" si="212"/>
        <v>0</v>
      </c>
      <c r="PBH49" s="375">
        <f t="shared" si="212"/>
        <v>0</v>
      </c>
      <c r="PBI49" s="375">
        <f t="shared" si="212"/>
        <v>0</v>
      </c>
      <c r="PBJ49" s="375">
        <f t="shared" si="212"/>
        <v>0</v>
      </c>
      <c r="PBK49" s="375">
        <f t="shared" si="212"/>
        <v>0</v>
      </c>
      <c r="PBL49" s="375">
        <f t="shared" si="212"/>
        <v>0</v>
      </c>
      <c r="PBM49" s="375">
        <f t="shared" ref="PBM49:PDX49" si="213">PBM48*0.8</f>
        <v>0</v>
      </c>
      <c r="PBN49" s="375">
        <f t="shared" si="213"/>
        <v>0</v>
      </c>
      <c r="PBO49" s="375">
        <f t="shared" si="213"/>
        <v>0</v>
      </c>
      <c r="PBP49" s="375">
        <f t="shared" si="213"/>
        <v>0</v>
      </c>
      <c r="PBQ49" s="375">
        <f t="shared" si="213"/>
        <v>0</v>
      </c>
      <c r="PBR49" s="375">
        <f t="shared" si="213"/>
        <v>0</v>
      </c>
      <c r="PBS49" s="375">
        <f t="shared" si="213"/>
        <v>0</v>
      </c>
      <c r="PBT49" s="375">
        <f t="shared" si="213"/>
        <v>0</v>
      </c>
      <c r="PBU49" s="375">
        <f t="shared" si="213"/>
        <v>0</v>
      </c>
      <c r="PBV49" s="375">
        <f t="shared" si="213"/>
        <v>0</v>
      </c>
      <c r="PBW49" s="375">
        <f t="shared" si="213"/>
        <v>0</v>
      </c>
      <c r="PBX49" s="375">
        <f t="shared" si="213"/>
        <v>0</v>
      </c>
      <c r="PBY49" s="375">
        <f t="shared" si="213"/>
        <v>0</v>
      </c>
      <c r="PBZ49" s="375">
        <f t="shared" si="213"/>
        <v>0</v>
      </c>
      <c r="PCA49" s="375">
        <f t="shared" si="213"/>
        <v>0</v>
      </c>
      <c r="PCB49" s="375">
        <f t="shared" si="213"/>
        <v>0</v>
      </c>
      <c r="PCC49" s="375">
        <f t="shared" si="213"/>
        <v>0</v>
      </c>
      <c r="PCD49" s="375">
        <f t="shared" si="213"/>
        <v>0</v>
      </c>
      <c r="PCE49" s="375">
        <f t="shared" si="213"/>
        <v>0</v>
      </c>
      <c r="PCF49" s="375">
        <f t="shared" si="213"/>
        <v>0</v>
      </c>
      <c r="PCG49" s="375">
        <f t="shared" si="213"/>
        <v>0</v>
      </c>
      <c r="PCH49" s="375">
        <f t="shared" si="213"/>
        <v>0</v>
      </c>
      <c r="PCI49" s="375">
        <f t="shared" si="213"/>
        <v>0</v>
      </c>
      <c r="PCJ49" s="375">
        <f t="shared" si="213"/>
        <v>0</v>
      </c>
      <c r="PCK49" s="375">
        <f t="shared" si="213"/>
        <v>0</v>
      </c>
      <c r="PCL49" s="375">
        <f t="shared" si="213"/>
        <v>0</v>
      </c>
      <c r="PCM49" s="375">
        <f t="shared" si="213"/>
        <v>0</v>
      </c>
      <c r="PCN49" s="375">
        <f t="shared" si="213"/>
        <v>0</v>
      </c>
      <c r="PCO49" s="375">
        <f t="shared" si="213"/>
        <v>0</v>
      </c>
      <c r="PCP49" s="375">
        <f t="shared" si="213"/>
        <v>0</v>
      </c>
      <c r="PCQ49" s="375">
        <f t="shared" si="213"/>
        <v>0</v>
      </c>
      <c r="PCR49" s="375">
        <f t="shared" si="213"/>
        <v>0</v>
      </c>
      <c r="PCS49" s="375">
        <f t="shared" si="213"/>
        <v>0</v>
      </c>
      <c r="PCT49" s="375">
        <f t="shared" si="213"/>
        <v>0</v>
      </c>
      <c r="PCU49" s="375">
        <f t="shared" si="213"/>
        <v>0</v>
      </c>
      <c r="PCV49" s="375">
        <f t="shared" si="213"/>
        <v>0</v>
      </c>
      <c r="PCW49" s="375">
        <f t="shared" si="213"/>
        <v>0</v>
      </c>
      <c r="PCX49" s="375">
        <f t="shared" si="213"/>
        <v>0</v>
      </c>
      <c r="PCY49" s="375">
        <f t="shared" si="213"/>
        <v>0</v>
      </c>
      <c r="PCZ49" s="375">
        <f t="shared" si="213"/>
        <v>0</v>
      </c>
      <c r="PDA49" s="375">
        <f t="shared" si="213"/>
        <v>0</v>
      </c>
      <c r="PDB49" s="375">
        <f t="shared" si="213"/>
        <v>0</v>
      </c>
      <c r="PDC49" s="375">
        <f t="shared" si="213"/>
        <v>0</v>
      </c>
      <c r="PDD49" s="375">
        <f t="shared" si="213"/>
        <v>0</v>
      </c>
      <c r="PDE49" s="375">
        <f t="shared" si="213"/>
        <v>0</v>
      </c>
      <c r="PDF49" s="375">
        <f t="shared" si="213"/>
        <v>0</v>
      </c>
      <c r="PDG49" s="375">
        <f t="shared" si="213"/>
        <v>0</v>
      </c>
      <c r="PDH49" s="375">
        <f t="shared" si="213"/>
        <v>0</v>
      </c>
      <c r="PDI49" s="375">
        <f t="shared" si="213"/>
        <v>0</v>
      </c>
      <c r="PDJ49" s="375">
        <f t="shared" si="213"/>
        <v>0</v>
      </c>
      <c r="PDK49" s="375">
        <f t="shared" si="213"/>
        <v>0</v>
      </c>
      <c r="PDL49" s="375">
        <f t="shared" si="213"/>
        <v>0</v>
      </c>
      <c r="PDM49" s="375">
        <f t="shared" si="213"/>
        <v>0</v>
      </c>
      <c r="PDN49" s="375">
        <f t="shared" si="213"/>
        <v>0</v>
      </c>
      <c r="PDO49" s="375">
        <f t="shared" si="213"/>
        <v>0</v>
      </c>
      <c r="PDP49" s="375">
        <f t="shared" si="213"/>
        <v>0</v>
      </c>
      <c r="PDQ49" s="375">
        <f t="shared" si="213"/>
        <v>0</v>
      </c>
      <c r="PDR49" s="375">
        <f t="shared" si="213"/>
        <v>0</v>
      </c>
      <c r="PDS49" s="375">
        <f t="shared" si="213"/>
        <v>0</v>
      </c>
      <c r="PDT49" s="375">
        <f t="shared" si="213"/>
        <v>0</v>
      </c>
      <c r="PDU49" s="375">
        <f t="shared" si="213"/>
        <v>0</v>
      </c>
      <c r="PDV49" s="375">
        <f t="shared" si="213"/>
        <v>0</v>
      </c>
      <c r="PDW49" s="375">
        <f t="shared" si="213"/>
        <v>0</v>
      </c>
      <c r="PDX49" s="375">
        <f t="shared" si="213"/>
        <v>0</v>
      </c>
      <c r="PDY49" s="375">
        <f t="shared" ref="PDY49:PGJ49" si="214">PDY48*0.8</f>
        <v>0</v>
      </c>
      <c r="PDZ49" s="375">
        <f t="shared" si="214"/>
        <v>0</v>
      </c>
      <c r="PEA49" s="375">
        <f t="shared" si="214"/>
        <v>0</v>
      </c>
      <c r="PEB49" s="375">
        <f t="shared" si="214"/>
        <v>0</v>
      </c>
      <c r="PEC49" s="375">
        <f t="shared" si="214"/>
        <v>0</v>
      </c>
      <c r="PED49" s="375">
        <f t="shared" si="214"/>
        <v>0</v>
      </c>
      <c r="PEE49" s="375">
        <f t="shared" si="214"/>
        <v>0</v>
      </c>
      <c r="PEF49" s="375">
        <f t="shared" si="214"/>
        <v>0</v>
      </c>
      <c r="PEG49" s="375">
        <f t="shared" si="214"/>
        <v>0</v>
      </c>
      <c r="PEH49" s="375">
        <f t="shared" si="214"/>
        <v>0</v>
      </c>
      <c r="PEI49" s="375">
        <f t="shared" si="214"/>
        <v>0</v>
      </c>
      <c r="PEJ49" s="375">
        <f t="shared" si="214"/>
        <v>0</v>
      </c>
      <c r="PEK49" s="375">
        <f t="shared" si="214"/>
        <v>0</v>
      </c>
      <c r="PEL49" s="375">
        <f t="shared" si="214"/>
        <v>0</v>
      </c>
      <c r="PEM49" s="375">
        <f t="shared" si="214"/>
        <v>0</v>
      </c>
      <c r="PEN49" s="375">
        <f t="shared" si="214"/>
        <v>0</v>
      </c>
      <c r="PEO49" s="375">
        <f t="shared" si="214"/>
        <v>0</v>
      </c>
      <c r="PEP49" s="375">
        <f t="shared" si="214"/>
        <v>0</v>
      </c>
      <c r="PEQ49" s="375">
        <f t="shared" si="214"/>
        <v>0</v>
      </c>
      <c r="PER49" s="375">
        <f t="shared" si="214"/>
        <v>0</v>
      </c>
      <c r="PES49" s="375">
        <f t="shared" si="214"/>
        <v>0</v>
      </c>
      <c r="PET49" s="375">
        <f t="shared" si="214"/>
        <v>0</v>
      </c>
      <c r="PEU49" s="375">
        <f t="shared" si="214"/>
        <v>0</v>
      </c>
      <c r="PEV49" s="375">
        <f t="shared" si="214"/>
        <v>0</v>
      </c>
      <c r="PEW49" s="375">
        <f t="shared" si="214"/>
        <v>0</v>
      </c>
      <c r="PEX49" s="375">
        <f t="shared" si="214"/>
        <v>0</v>
      </c>
      <c r="PEY49" s="375">
        <f t="shared" si="214"/>
        <v>0</v>
      </c>
      <c r="PEZ49" s="375">
        <f t="shared" si="214"/>
        <v>0</v>
      </c>
      <c r="PFA49" s="375">
        <f t="shared" si="214"/>
        <v>0</v>
      </c>
      <c r="PFB49" s="375">
        <f t="shared" si="214"/>
        <v>0</v>
      </c>
      <c r="PFC49" s="375">
        <f t="shared" si="214"/>
        <v>0</v>
      </c>
      <c r="PFD49" s="375">
        <f t="shared" si="214"/>
        <v>0</v>
      </c>
      <c r="PFE49" s="375">
        <f t="shared" si="214"/>
        <v>0</v>
      </c>
      <c r="PFF49" s="375">
        <f t="shared" si="214"/>
        <v>0</v>
      </c>
      <c r="PFG49" s="375">
        <f t="shared" si="214"/>
        <v>0</v>
      </c>
      <c r="PFH49" s="375">
        <f t="shared" si="214"/>
        <v>0</v>
      </c>
      <c r="PFI49" s="375">
        <f t="shared" si="214"/>
        <v>0</v>
      </c>
      <c r="PFJ49" s="375">
        <f t="shared" si="214"/>
        <v>0</v>
      </c>
      <c r="PFK49" s="375">
        <f t="shared" si="214"/>
        <v>0</v>
      </c>
      <c r="PFL49" s="375">
        <f t="shared" si="214"/>
        <v>0</v>
      </c>
      <c r="PFM49" s="375">
        <f t="shared" si="214"/>
        <v>0</v>
      </c>
      <c r="PFN49" s="375">
        <f t="shared" si="214"/>
        <v>0</v>
      </c>
      <c r="PFO49" s="375">
        <f t="shared" si="214"/>
        <v>0</v>
      </c>
      <c r="PFP49" s="375">
        <f t="shared" si="214"/>
        <v>0</v>
      </c>
      <c r="PFQ49" s="375">
        <f t="shared" si="214"/>
        <v>0</v>
      </c>
      <c r="PFR49" s="375">
        <f t="shared" si="214"/>
        <v>0</v>
      </c>
      <c r="PFS49" s="375">
        <f t="shared" si="214"/>
        <v>0</v>
      </c>
      <c r="PFT49" s="375">
        <f t="shared" si="214"/>
        <v>0</v>
      </c>
      <c r="PFU49" s="375">
        <f t="shared" si="214"/>
        <v>0</v>
      </c>
      <c r="PFV49" s="375">
        <f t="shared" si="214"/>
        <v>0</v>
      </c>
      <c r="PFW49" s="375">
        <f t="shared" si="214"/>
        <v>0</v>
      </c>
      <c r="PFX49" s="375">
        <f t="shared" si="214"/>
        <v>0</v>
      </c>
      <c r="PFY49" s="375">
        <f t="shared" si="214"/>
        <v>0</v>
      </c>
      <c r="PFZ49" s="375">
        <f t="shared" si="214"/>
        <v>0</v>
      </c>
      <c r="PGA49" s="375">
        <f t="shared" si="214"/>
        <v>0</v>
      </c>
      <c r="PGB49" s="375">
        <f t="shared" si="214"/>
        <v>0</v>
      </c>
      <c r="PGC49" s="375">
        <f t="shared" si="214"/>
        <v>0</v>
      </c>
      <c r="PGD49" s="375">
        <f t="shared" si="214"/>
        <v>0</v>
      </c>
      <c r="PGE49" s="375">
        <f t="shared" si="214"/>
        <v>0</v>
      </c>
      <c r="PGF49" s="375">
        <f t="shared" si="214"/>
        <v>0</v>
      </c>
      <c r="PGG49" s="375">
        <f t="shared" si="214"/>
        <v>0</v>
      </c>
      <c r="PGH49" s="375">
        <f t="shared" si="214"/>
        <v>0</v>
      </c>
      <c r="PGI49" s="375">
        <f t="shared" si="214"/>
        <v>0</v>
      </c>
      <c r="PGJ49" s="375">
        <f t="shared" si="214"/>
        <v>0</v>
      </c>
      <c r="PGK49" s="375">
        <f t="shared" ref="PGK49:PIV49" si="215">PGK48*0.8</f>
        <v>0</v>
      </c>
      <c r="PGL49" s="375">
        <f t="shared" si="215"/>
        <v>0</v>
      </c>
      <c r="PGM49" s="375">
        <f t="shared" si="215"/>
        <v>0</v>
      </c>
      <c r="PGN49" s="375">
        <f t="shared" si="215"/>
        <v>0</v>
      </c>
      <c r="PGO49" s="375">
        <f t="shared" si="215"/>
        <v>0</v>
      </c>
      <c r="PGP49" s="375">
        <f t="shared" si="215"/>
        <v>0</v>
      </c>
      <c r="PGQ49" s="375">
        <f t="shared" si="215"/>
        <v>0</v>
      </c>
      <c r="PGR49" s="375">
        <f t="shared" si="215"/>
        <v>0</v>
      </c>
      <c r="PGS49" s="375">
        <f t="shared" si="215"/>
        <v>0</v>
      </c>
      <c r="PGT49" s="375">
        <f t="shared" si="215"/>
        <v>0</v>
      </c>
      <c r="PGU49" s="375">
        <f t="shared" si="215"/>
        <v>0</v>
      </c>
      <c r="PGV49" s="375">
        <f t="shared" si="215"/>
        <v>0</v>
      </c>
      <c r="PGW49" s="375">
        <f t="shared" si="215"/>
        <v>0</v>
      </c>
      <c r="PGX49" s="375">
        <f t="shared" si="215"/>
        <v>0</v>
      </c>
      <c r="PGY49" s="375">
        <f t="shared" si="215"/>
        <v>0</v>
      </c>
      <c r="PGZ49" s="375">
        <f t="shared" si="215"/>
        <v>0</v>
      </c>
      <c r="PHA49" s="375">
        <f t="shared" si="215"/>
        <v>0</v>
      </c>
      <c r="PHB49" s="375">
        <f t="shared" si="215"/>
        <v>0</v>
      </c>
      <c r="PHC49" s="375">
        <f t="shared" si="215"/>
        <v>0</v>
      </c>
      <c r="PHD49" s="375">
        <f t="shared" si="215"/>
        <v>0</v>
      </c>
      <c r="PHE49" s="375">
        <f t="shared" si="215"/>
        <v>0</v>
      </c>
      <c r="PHF49" s="375">
        <f t="shared" si="215"/>
        <v>0</v>
      </c>
      <c r="PHG49" s="375">
        <f t="shared" si="215"/>
        <v>0</v>
      </c>
      <c r="PHH49" s="375">
        <f t="shared" si="215"/>
        <v>0</v>
      </c>
      <c r="PHI49" s="375">
        <f t="shared" si="215"/>
        <v>0</v>
      </c>
      <c r="PHJ49" s="375">
        <f t="shared" si="215"/>
        <v>0</v>
      </c>
      <c r="PHK49" s="375">
        <f t="shared" si="215"/>
        <v>0</v>
      </c>
      <c r="PHL49" s="375">
        <f t="shared" si="215"/>
        <v>0</v>
      </c>
      <c r="PHM49" s="375">
        <f t="shared" si="215"/>
        <v>0</v>
      </c>
      <c r="PHN49" s="375">
        <f t="shared" si="215"/>
        <v>0</v>
      </c>
      <c r="PHO49" s="375">
        <f t="shared" si="215"/>
        <v>0</v>
      </c>
      <c r="PHP49" s="375">
        <f t="shared" si="215"/>
        <v>0</v>
      </c>
      <c r="PHQ49" s="375">
        <f t="shared" si="215"/>
        <v>0</v>
      </c>
      <c r="PHR49" s="375">
        <f t="shared" si="215"/>
        <v>0</v>
      </c>
      <c r="PHS49" s="375">
        <f t="shared" si="215"/>
        <v>0</v>
      </c>
      <c r="PHT49" s="375">
        <f t="shared" si="215"/>
        <v>0</v>
      </c>
      <c r="PHU49" s="375">
        <f t="shared" si="215"/>
        <v>0</v>
      </c>
      <c r="PHV49" s="375">
        <f t="shared" si="215"/>
        <v>0</v>
      </c>
      <c r="PHW49" s="375">
        <f t="shared" si="215"/>
        <v>0</v>
      </c>
      <c r="PHX49" s="375">
        <f t="shared" si="215"/>
        <v>0</v>
      </c>
      <c r="PHY49" s="375">
        <f t="shared" si="215"/>
        <v>0</v>
      </c>
      <c r="PHZ49" s="375">
        <f t="shared" si="215"/>
        <v>0</v>
      </c>
      <c r="PIA49" s="375">
        <f t="shared" si="215"/>
        <v>0</v>
      </c>
      <c r="PIB49" s="375">
        <f t="shared" si="215"/>
        <v>0</v>
      </c>
      <c r="PIC49" s="375">
        <f t="shared" si="215"/>
        <v>0</v>
      </c>
      <c r="PID49" s="375">
        <f t="shared" si="215"/>
        <v>0</v>
      </c>
      <c r="PIE49" s="375">
        <f t="shared" si="215"/>
        <v>0</v>
      </c>
      <c r="PIF49" s="375">
        <f t="shared" si="215"/>
        <v>0</v>
      </c>
      <c r="PIG49" s="375">
        <f t="shared" si="215"/>
        <v>0</v>
      </c>
      <c r="PIH49" s="375">
        <f t="shared" si="215"/>
        <v>0</v>
      </c>
      <c r="PII49" s="375">
        <f t="shared" si="215"/>
        <v>0</v>
      </c>
      <c r="PIJ49" s="375">
        <f t="shared" si="215"/>
        <v>0</v>
      </c>
      <c r="PIK49" s="375">
        <f t="shared" si="215"/>
        <v>0</v>
      </c>
      <c r="PIL49" s="375">
        <f t="shared" si="215"/>
        <v>0</v>
      </c>
      <c r="PIM49" s="375">
        <f t="shared" si="215"/>
        <v>0</v>
      </c>
      <c r="PIN49" s="375">
        <f t="shared" si="215"/>
        <v>0</v>
      </c>
      <c r="PIO49" s="375">
        <f t="shared" si="215"/>
        <v>0</v>
      </c>
      <c r="PIP49" s="375">
        <f t="shared" si="215"/>
        <v>0</v>
      </c>
      <c r="PIQ49" s="375">
        <f t="shared" si="215"/>
        <v>0</v>
      </c>
      <c r="PIR49" s="375">
        <f t="shared" si="215"/>
        <v>0</v>
      </c>
      <c r="PIS49" s="375">
        <f t="shared" si="215"/>
        <v>0</v>
      </c>
      <c r="PIT49" s="375">
        <f t="shared" si="215"/>
        <v>0</v>
      </c>
      <c r="PIU49" s="375">
        <f t="shared" si="215"/>
        <v>0</v>
      </c>
      <c r="PIV49" s="375">
        <f t="shared" si="215"/>
        <v>0</v>
      </c>
      <c r="PIW49" s="375">
        <f t="shared" ref="PIW49:PLH49" si="216">PIW48*0.8</f>
        <v>0</v>
      </c>
      <c r="PIX49" s="375">
        <f t="shared" si="216"/>
        <v>0</v>
      </c>
      <c r="PIY49" s="375">
        <f t="shared" si="216"/>
        <v>0</v>
      </c>
      <c r="PIZ49" s="375">
        <f t="shared" si="216"/>
        <v>0</v>
      </c>
      <c r="PJA49" s="375">
        <f t="shared" si="216"/>
        <v>0</v>
      </c>
      <c r="PJB49" s="375">
        <f t="shared" si="216"/>
        <v>0</v>
      </c>
      <c r="PJC49" s="375">
        <f t="shared" si="216"/>
        <v>0</v>
      </c>
      <c r="PJD49" s="375">
        <f t="shared" si="216"/>
        <v>0</v>
      </c>
      <c r="PJE49" s="375">
        <f t="shared" si="216"/>
        <v>0</v>
      </c>
      <c r="PJF49" s="375">
        <f t="shared" si="216"/>
        <v>0</v>
      </c>
      <c r="PJG49" s="375">
        <f t="shared" si="216"/>
        <v>0</v>
      </c>
      <c r="PJH49" s="375">
        <f t="shared" si="216"/>
        <v>0</v>
      </c>
      <c r="PJI49" s="375">
        <f t="shared" si="216"/>
        <v>0</v>
      </c>
      <c r="PJJ49" s="375">
        <f t="shared" si="216"/>
        <v>0</v>
      </c>
      <c r="PJK49" s="375">
        <f t="shared" si="216"/>
        <v>0</v>
      </c>
      <c r="PJL49" s="375">
        <f t="shared" si="216"/>
        <v>0</v>
      </c>
      <c r="PJM49" s="375">
        <f t="shared" si="216"/>
        <v>0</v>
      </c>
      <c r="PJN49" s="375">
        <f t="shared" si="216"/>
        <v>0</v>
      </c>
      <c r="PJO49" s="375">
        <f t="shared" si="216"/>
        <v>0</v>
      </c>
      <c r="PJP49" s="375">
        <f t="shared" si="216"/>
        <v>0</v>
      </c>
      <c r="PJQ49" s="375">
        <f t="shared" si="216"/>
        <v>0</v>
      </c>
      <c r="PJR49" s="375">
        <f t="shared" si="216"/>
        <v>0</v>
      </c>
      <c r="PJS49" s="375">
        <f t="shared" si="216"/>
        <v>0</v>
      </c>
      <c r="PJT49" s="375">
        <f t="shared" si="216"/>
        <v>0</v>
      </c>
      <c r="PJU49" s="375">
        <f t="shared" si="216"/>
        <v>0</v>
      </c>
      <c r="PJV49" s="375">
        <f t="shared" si="216"/>
        <v>0</v>
      </c>
      <c r="PJW49" s="375">
        <f t="shared" si="216"/>
        <v>0</v>
      </c>
      <c r="PJX49" s="375">
        <f t="shared" si="216"/>
        <v>0</v>
      </c>
      <c r="PJY49" s="375">
        <f t="shared" si="216"/>
        <v>0</v>
      </c>
      <c r="PJZ49" s="375">
        <f t="shared" si="216"/>
        <v>0</v>
      </c>
      <c r="PKA49" s="375">
        <f t="shared" si="216"/>
        <v>0</v>
      </c>
      <c r="PKB49" s="375">
        <f t="shared" si="216"/>
        <v>0</v>
      </c>
      <c r="PKC49" s="375">
        <f t="shared" si="216"/>
        <v>0</v>
      </c>
      <c r="PKD49" s="375">
        <f t="shared" si="216"/>
        <v>0</v>
      </c>
      <c r="PKE49" s="375">
        <f t="shared" si="216"/>
        <v>0</v>
      </c>
      <c r="PKF49" s="375">
        <f t="shared" si="216"/>
        <v>0</v>
      </c>
      <c r="PKG49" s="375">
        <f t="shared" si="216"/>
        <v>0</v>
      </c>
      <c r="PKH49" s="375">
        <f t="shared" si="216"/>
        <v>0</v>
      </c>
      <c r="PKI49" s="375">
        <f t="shared" si="216"/>
        <v>0</v>
      </c>
      <c r="PKJ49" s="375">
        <f t="shared" si="216"/>
        <v>0</v>
      </c>
      <c r="PKK49" s="375">
        <f t="shared" si="216"/>
        <v>0</v>
      </c>
      <c r="PKL49" s="375">
        <f t="shared" si="216"/>
        <v>0</v>
      </c>
      <c r="PKM49" s="375">
        <f t="shared" si="216"/>
        <v>0</v>
      </c>
      <c r="PKN49" s="375">
        <f t="shared" si="216"/>
        <v>0</v>
      </c>
      <c r="PKO49" s="375">
        <f t="shared" si="216"/>
        <v>0</v>
      </c>
      <c r="PKP49" s="375">
        <f t="shared" si="216"/>
        <v>0</v>
      </c>
      <c r="PKQ49" s="375">
        <f t="shared" si="216"/>
        <v>0</v>
      </c>
      <c r="PKR49" s="375">
        <f t="shared" si="216"/>
        <v>0</v>
      </c>
      <c r="PKS49" s="375">
        <f t="shared" si="216"/>
        <v>0</v>
      </c>
      <c r="PKT49" s="375">
        <f t="shared" si="216"/>
        <v>0</v>
      </c>
      <c r="PKU49" s="375">
        <f t="shared" si="216"/>
        <v>0</v>
      </c>
      <c r="PKV49" s="375">
        <f t="shared" si="216"/>
        <v>0</v>
      </c>
      <c r="PKW49" s="375">
        <f t="shared" si="216"/>
        <v>0</v>
      </c>
      <c r="PKX49" s="375">
        <f t="shared" si="216"/>
        <v>0</v>
      </c>
      <c r="PKY49" s="375">
        <f t="shared" si="216"/>
        <v>0</v>
      </c>
      <c r="PKZ49" s="375">
        <f t="shared" si="216"/>
        <v>0</v>
      </c>
      <c r="PLA49" s="375">
        <f t="shared" si="216"/>
        <v>0</v>
      </c>
      <c r="PLB49" s="375">
        <f t="shared" si="216"/>
        <v>0</v>
      </c>
      <c r="PLC49" s="375">
        <f t="shared" si="216"/>
        <v>0</v>
      </c>
      <c r="PLD49" s="375">
        <f t="shared" si="216"/>
        <v>0</v>
      </c>
      <c r="PLE49" s="375">
        <f t="shared" si="216"/>
        <v>0</v>
      </c>
      <c r="PLF49" s="375">
        <f t="shared" si="216"/>
        <v>0</v>
      </c>
      <c r="PLG49" s="375">
        <f t="shared" si="216"/>
        <v>0</v>
      </c>
      <c r="PLH49" s="375">
        <f t="shared" si="216"/>
        <v>0</v>
      </c>
      <c r="PLI49" s="375">
        <f t="shared" ref="PLI49:PNT49" si="217">PLI48*0.8</f>
        <v>0</v>
      </c>
      <c r="PLJ49" s="375">
        <f t="shared" si="217"/>
        <v>0</v>
      </c>
      <c r="PLK49" s="375">
        <f t="shared" si="217"/>
        <v>0</v>
      </c>
      <c r="PLL49" s="375">
        <f t="shared" si="217"/>
        <v>0</v>
      </c>
      <c r="PLM49" s="375">
        <f t="shared" si="217"/>
        <v>0</v>
      </c>
      <c r="PLN49" s="375">
        <f t="shared" si="217"/>
        <v>0</v>
      </c>
      <c r="PLO49" s="375">
        <f t="shared" si="217"/>
        <v>0</v>
      </c>
      <c r="PLP49" s="375">
        <f t="shared" si="217"/>
        <v>0</v>
      </c>
      <c r="PLQ49" s="375">
        <f t="shared" si="217"/>
        <v>0</v>
      </c>
      <c r="PLR49" s="375">
        <f t="shared" si="217"/>
        <v>0</v>
      </c>
      <c r="PLS49" s="375">
        <f t="shared" si="217"/>
        <v>0</v>
      </c>
      <c r="PLT49" s="375">
        <f t="shared" si="217"/>
        <v>0</v>
      </c>
      <c r="PLU49" s="375">
        <f t="shared" si="217"/>
        <v>0</v>
      </c>
      <c r="PLV49" s="375">
        <f t="shared" si="217"/>
        <v>0</v>
      </c>
      <c r="PLW49" s="375">
        <f t="shared" si="217"/>
        <v>0</v>
      </c>
      <c r="PLX49" s="375">
        <f t="shared" si="217"/>
        <v>0</v>
      </c>
      <c r="PLY49" s="375">
        <f t="shared" si="217"/>
        <v>0</v>
      </c>
      <c r="PLZ49" s="375">
        <f t="shared" si="217"/>
        <v>0</v>
      </c>
      <c r="PMA49" s="375">
        <f t="shared" si="217"/>
        <v>0</v>
      </c>
      <c r="PMB49" s="375">
        <f t="shared" si="217"/>
        <v>0</v>
      </c>
      <c r="PMC49" s="375">
        <f t="shared" si="217"/>
        <v>0</v>
      </c>
      <c r="PMD49" s="375">
        <f t="shared" si="217"/>
        <v>0</v>
      </c>
      <c r="PME49" s="375">
        <f t="shared" si="217"/>
        <v>0</v>
      </c>
      <c r="PMF49" s="375">
        <f t="shared" si="217"/>
        <v>0</v>
      </c>
      <c r="PMG49" s="375">
        <f t="shared" si="217"/>
        <v>0</v>
      </c>
      <c r="PMH49" s="375">
        <f t="shared" si="217"/>
        <v>0</v>
      </c>
      <c r="PMI49" s="375">
        <f t="shared" si="217"/>
        <v>0</v>
      </c>
      <c r="PMJ49" s="375">
        <f t="shared" si="217"/>
        <v>0</v>
      </c>
      <c r="PMK49" s="375">
        <f t="shared" si="217"/>
        <v>0</v>
      </c>
      <c r="PML49" s="375">
        <f t="shared" si="217"/>
        <v>0</v>
      </c>
      <c r="PMM49" s="375">
        <f t="shared" si="217"/>
        <v>0</v>
      </c>
      <c r="PMN49" s="375">
        <f t="shared" si="217"/>
        <v>0</v>
      </c>
      <c r="PMO49" s="375">
        <f t="shared" si="217"/>
        <v>0</v>
      </c>
      <c r="PMP49" s="375">
        <f t="shared" si="217"/>
        <v>0</v>
      </c>
      <c r="PMQ49" s="375">
        <f t="shared" si="217"/>
        <v>0</v>
      </c>
      <c r="PMR49" s="375">
        <f t="shared" si="217"/>
        <v>0</v>
      </c>
      <c r="PMS49" s="375">
        <f t="shared" si="217"/>
        <v>0</v>
      </c>
      <c r="PMT49" s="375">
        <f t="shared" si="217"/>
        <v>0</v>
      </c>
      <c r="PMU49" s="375">
        <f t="shared" si="217"/>
        <v>0</v>
      </c>
      <c r="PMV49" s="375">
        <f t="shared" si="217"/>
        <v>0</v>
      </c>
      <c r="PMW49" s="375">
        <f t="shared" si="217"/>
        <v>0</v>
      </c>
      <c r="PMX49" s="375">
        <f t="shared" si="217"/>
        <v>0</v>
      </c>
      <c r="PMY49" s="375">
        <f t="shared" si="217"/>
        <v>0</v>
      </c>
      <c r="PMZ49" s="375">
        <f t="shared" si="217"/>
        <v>0</v>
      </c>
      <c r="PNA49" s="375">
        <f t="shared" si="217"/>
        <v>0</v>
      </c>
      <c r="PNB49" s="375">
        <f t="shared" si="217"/>
        <v>0</v>
      </c>
      <c r="PNC49" s="375">
        <f t="shared" si="217"/>
        <v>0</v>
      </c>
      <c r="PND49" s="375">
        <f t="shared" si="217"/>
        <v>0</v>
      </c>
      <c r="PNE49" s="375">
        <f t="shared" si="217"/>
        <v>0</v>
      </c>
      <c r="PNF49" s="375">
        <f t="shared" si="217"/>
        <v>0</v>
      </c>
      <c r="PNG49" s="375">
        <f t="shared" si="217"/>
        <v>0</v>
      </c>
      <c r="PNH49" s="375">
        <f t="shared" si="217"/>
        <v>0</v>
      </c>
      <c r="PNI49" s="375">
        <f t="shared" si="217"/>
        <v>0</v>
      </c>
      <c r="PNJ49" s="375">
        <f t="shared" si="217"/>
        <v>0</v>
      </c>
      <c r="PNK49" s="375">
        <f t="shared" si="217"/>
        <v>0</v>
      </c>
      <c r="PNL49" s="375">
        <f t="shared" si="217"/>
        <v>0</v>
      </c>
      <c r="PNM49" s="375">
        <f t="shared" si="217"/>
        <v>0</v>
      </c>
      <c r="PNN49" s="375">
        <f t="shared" si="217"/>
        <v>0</v>
      </c>
      <c r="PNO49" s="375">
        <f t="shared" si="217"/>
        <v>0</v>
      </c>
      <c r="PNP49" s="375">
        <f t="shared" si="217"/>
        <v>0</v>
      </c>
      <c r="PNQ49" s="375">
        <f t="shared" si="217"/>
        <v>0</v>
      </c>
      <c r="PNR49" s="375">
        <f t="shared" si="217"/>
        <v>0</v>
      </c>
      <c r="PNS49" s="375">
        <f t="shared" si="217"/>
        <v>0</v>
      </c>
      <c r="PNT49" s="375">
        <f t="shared" si="217"/>
        <v>0</v>
      </c>
      <c r="PNU49" s="375">
        <f t="shared" ref="PNU49:PQF49" si="218">PNU48*0.8</f>
        <v>0</v>
      </c>
      <c r="PNV49" s="375">
        <f t="shared" si="218"/>
        <v>0</v>
      </c>
      <c r="PNW49" s="375">
        <f t="shared" si="218"/>
        <v>0</v>
      </c>
      <c r="PNX49" s="375">
        <f t="shared" si="218"/>
        <v>0</v>
      </c>
      <c r="PNY49" s="375">
        <f t="shared" si="218"/>
        <v>0</v>
      </c>
      <c r="PNZ49" s="375">
        <f t="shared" si="218"/>
        <v>0</v>
      </c>
      <c r="POA49" s="375">
        <f t="shared" si="218"/>
        <v>0</v>
      </c>
      <c r="POB49" s="375">
        <f t="shared" si="218"/>
        <v>0</v>
      </c>
      <c r="POC49" s="375">
        <f t="shared" si="218"/>
        <v>0</v>
      </c>
      <c r="POD49" s="375">
        <f t="shared" si="218"/>
        <v>0</v>
      </c>
      <c r="POE49" s="375">
        <f t="shared" si="218"/>
        <v>0</v>
      </c>
      <c r="POF49" s="375">
        <f t="shared" si="218"/>
        <v>0</v>
      </c>
      <c r="POG49" s="375">
        <f t="shared" si="218"/>
        <v>0</v>
      </c>
      <c r="POH49" s="375">
        <f t="shared" si="218"/>
        <v>0</v>
      </c>
      <c r="POI49" s="375">
        <f t="shared" si="218"/>
        <v>0</v>
      </c>
      <c r="POJ49" s="375">
        <f t="shared" si="218"/>
        <v>0</v>
      </c>
      <c r="POK49" s="375">
        <f t="shared" si="218"/>
        <v>0</v>
      </c>
      <c r="POL49" s="375">
        <f t="shared" si="218"/>
        <v>0</v>
      </c>
      <c r="POM49" s="375">
        <f t="shared" si="218"/>
        <v>0</v>
      </c>
      <c r="PON49" s="375">
        <f t="shared" si="218"/>
        <v>0</v>
      </c>
      <c r="POO49" s="375">
        <f t="shared" si="218"/>
        <v>0</v>
      </c>
      <c r="POP49" s="375">
        <f t="shared" si="218"/>
        <v>0</v>
      </c>
      <c r="POQ49" s="375">
        <f t="shared" si="218"/>
        <v>0</v>
      </c>
      <c r="POR49" s="375">
        <f t="shared" si="218"/>
        <v>0</v>
      </c>
      <c r="POS49" s="375">
        <f t="shared" si="218"/>
        <v>0</v>
      </c>
      <c r="POT49" s="375">
        <f t="shared" si="218"/>
        <v>0</v>
      </c>
      <c r="POU49" s="375">
        <f t="shared" si="218"/>
        <v>0</v>
      </c>
      <c r="POV49" s="375">
        <f t="shared" si="218"/>
        <v>0</v>
      </c>
      <c r="POW49" s="375">
        <f t="shared" si="218"/>
        <v>0</v>
      </c>
      <c r="POX49" s="375">
        <f t="shared" si="218"/>
        <v>0</v>
      </c>
      <c r="POY49" s="375">
        <f t="shared" si="218"/>
        <v>0</v>
      </c>
      <c r="POZ49" s="375">
        <f t="shared" si="218"/>
        <v>0</v>
      </c>
      <c r="PPA49" s="375">
        <f t="shared" si="218"/>
        <v>0</v>
      </c>
      <c r="PPB49" s="375">
        <f t="shared" si="218"/>
        <v>0</v>
      </c>
      <c r="PPC49" s="375">
        <f t="shared" si="218"/>
        <v>0</v>
      </c>
      <c r="PPD49" s="375">
        <f t="shared" si="218"/>
        <v>0</v>
      </c>
      <c r="PPE49" s="375">
        <f t="shared" si="218"/>
        <v>0</v>
      </c>
      <c r="PPF49" s="375">
        <f t="shared" si="218"/>
        <v>0</v>
      </c>
      <c r="PPG49" s="375">
        <f t="shared" si="218"/>
        <v>0</v>
      </c>
      <c r="PPH49" s="375">
        <f t="shared" si="218"/>
        <v>0</v>
      </c>
      <c r="PPI49" s="375">
        <f t="shared" si="218"/>
        <v>0</v>
      </c>
      <c r="PPJ49" s="375">
        <f t="shared" si="218"/>
        <v>0</v>
      </c>
      <c r="PPK49" s="375">
        <f t="shared" si="218"/>
        <v>0</v>
      </c>
      <c r="PPL49" s="375">
        <f t="shared" si="218"/>
        <v>0</v>
      </c>
      <c r="PPM49" s="375">
        <f t="shared" si="218"/>
        <v>0</v>
      </c>
      <c r="PPN49" s="375">
        <f t="shared" si="218"/>
        <v>0</v>
      </c>
      <c r="PPO49" s="375">
        <f t="shared" si="218"/>
        <v>0</v>
      </c>
      <c r="PPP49" s="375">
        <f t="shared" si="218"/>
        <v>0</v>
      </c>
      <c r="PPQ49" s="375">
        <f t="shared" si="218"/>
        <v>0</v>
      </c>
      <c r="PPR49" s="375">
        <f t="shared" si="218"/>
        <v>0</v>
      </c>
      <c r="PPS49" s="375">
        <f t="shared" si="218"/>
        <v>0</v>
      </c>
      <c r="PPT49" s="375">
        <f t="shared" si="218"/>
        <v>0</v>
      </c>
      <c r="PPU49" s="375">
        <f t="shared" si="218"/>
        <v>0</v>
      </c>
      <c r="PPV49" s="375">
        <f t="shared" si="218"/>
        <v>0</v>
      </c>
      <c r="PPW49" s="375">
        <f t="shared" si="218"/>
        <v>0</v>
      </c>
      <c r="PPX49" s="375">
        <f t="shared" si="218"/>
        <v>0</v>
      </c>
      <c r="PPY49" s="375">
        <f t="shared" si="218"/>
        <v>0</v>
      </c>
      <c r="PPZ49" s="375">
        <f t="shared" si="218"/>
        <v>0</v>
      </c>
      <c r="PQA49" s="375">
        <f t="shared" si="218"/>
        <v>0</v>
      </c>
      <c r="PQB49" s="375">
        <f t="shared" si="218"/>
        <v>0</v>
      </c>
      <c r="PQC49" s="375">
        <f t="shared" si="218"/>
        <v>0</v>
      </c>
      <c r="PQD49" s="375">
        <f t="shared" si="218"/>
        <v>0</v>
      </c>
      <c r="PQE49" s="375">
        <f t="shared" si="218"/>
        <v>0</v>
      </c>
      <c r="PQF49" s="375">
        <f t="shared" si="218"/>
        <v>0</v>
      </c>
      <c r="PQG49" s="375">
        <f t="shared" ref="PQG49:PSR49" si="219">PQG48*0.8</f>
        <v>0</v>
      </c>
      <c r="PQH49" s="375">
        <f t="shared" si="219"/>
        <v>0</v>
      </c>
      <c r="PQI49" s="375">
        <f t="shared" si="219"/>
        <v>0</v>
      </c>
      <c r="PQJ49" s="375">
        <f t="shared" si="219"/>
        <v>0</v>
      </c>
      <c r="PQK49" s="375">
        <f t="shared" si="219"/>
        <v>0</v>
      </c>
      <c r="PQL49" s="375">
        <f t="shared" si="219"/>
        <v>0</v>
      </c>
      <c r="PQM49" s="375">
        <f t="shared" si="219"/>
        <v>0</v>
      </c>
      <c r="PQN49" s="375">
        <f t="shared" si="219"/>
        <v>0</v>
      </c>
      <c r="PQO49" s="375">
        <f t="shared" si="219"/>
        <v>0</v>
      </c>
      <c r="PQP49" s="375">
        <f t="shared" si="219"/>
        <v>0</v>
      </c>
      <c r="PQQ49" s="375">
        <f t="shared" si="219"/>
        <v>0</v>
      </c>
      <c r="PQR49" s="375">
        <f t="shared" si="219"/>
        <v>0</v>
      </c>
      <c r="PQS49" s="375">
        <f t="shared" si="219"/>
        <v>0</v>
      </c>
      <c r="PQT49" s="375">
        <f t="shared" si="219"/>
        <v>0</v>
      </c>
      <c r="PQU49" s="375">
        <f t="shared" si="219"/>
        <v>0</v>
      </c>
      <c r="PQV49" s="375">
        <f t="shared" si="219"/>
        <v>0</v>
      </c>
      <c r="PQW49" s="375">
        <f t="shared" si="219"/>
        <v>0</v>
      </c>
      <c r="PQX49" s="375">
        <f t="shared" si="219"/>
        <v>0</v>
      </c>
      <c r="PQY49" s="375">
        <f t="shared" si="219"/>
        <v>0</v>
      </c>
      <c r="PQZ49" s="375">
        <f t="shared" si="219"/>
        <v>0</v>
      </c>
      <c r="PRA49" s="375">
        <f t="shared" si="219"/>
        <v>0</v>
      </c>
      <c r="PRB49" s="375">
        <f t="shared" si="219"/>
        <v>0</v>
      </c>
      <c r="PRC49" s="375">
        <f t="shared" si="219"/>
        <v>0</v>
      </c>
      <c r="PRD49" s="375">
        <f t="shared" si="219"/>
        <v>0</v>
      </c>
      <c r="PRE49" s="375">
        <f t="shared" si="219"/>
        <v>0</v>
      </c>
      <c r="PRF49" s="375">
        <f t="shared" si="219"/>
        <v>0</v>
      </c>
      <c r="PRG49" s="375">
        <f t="shared" si="219"/>
        <v>0</v>
      </c>
      <c r="PRH49" s="375">
        <f t="shared" si="219"/>
        <v>0</v>
      </c>
      <c r="PRI49" s="375">
        <f t="shared" si="219"/>
        <v>0</v>
      </c>
      <c r="PRJ49" s="375">
        <f t="shared" si="219"/>
        <v>0</v>
      </c>
      <c r="PRK49" s="375">
        <f t="shared" si="219"/>
        <v>0</v>
      </c>
      <c r="PRL49" s="375">
        <f t="shared" si="219"/>
        <v>0</v>
      </c>
      <c r="PRM49" s="375">
        <f t="shared" si="219"/>
        <v>0</v>
      </c>
      <c r="PRN49" s="375">
        <f t="shared" si="219"/>
        <v>0</v>
      </c>
      <c r="PRO49" s="375">
        <f t="shared" si="219"/>
        <v>0</v>
      </c>
      <c r="PRP49" s="375">
        <f t="shared" si="219"/>
        <v>0</v>
      </c>
      <c r="PRQ49" s="375">
        <f t="shared" si="219"/>
        <v>0</v>
      </c>
      <c r="PRR49" s="375">
        <f t="shared" si="219"/>
        <v>0</v>
      </c>
      <c r="PRS49" s="375">
        <f t="shared" si="219"/>
        <v>0</v>
      </c>
      <c r="PRT49" s="375">
        <f t="shared" si="219"/>
        <v>0</v>
      </c>
      <c r="PRU49" s="375">
        <f t="shared" si="219"/>
        <v>0</v>
      </c>
      <c r="PRV49" s="375">
        <f t="shared" si="219"/>
        <v>0</v>
      </c>
      <c r="PRW49" s="375">
        <f t="shared" si="219"/>
        <v>0</v>
      </c>
      <c r="PRX49" s="375">
        <f t="shared" si="219"/>
        <v>0</v>
      </c>
      <c r="PRY49" s="375">
        <f t="shared" si="219"/>
        <v>0</v>
      </c>
      <c r="PRZ49" s="375">
        <f t="shared" si="219"/>
        <v>0</v>
      </c>
      <c r="PSA49" s="375">
        <f t="shared" si="219"/>
        <v>0</v>
      </c>
      <c r="PSB49" s="375">
        <f t="shared" si="219"/>
        <v>0</v>
      </c>
      <c r="PSC49" s="375">
        <f t="shared" si="219"/>
        <v>0</v>
      </c>
      <c r="PSD49" s="375">
        <f t="shared" si="219"/>
        <v>0</v>
      </c>
      <c r="PSE49" s="375">
        <f t="shared" si="219"/>
        <v>0</v>
      </c>
      <c r="PSF49" s="375">
        <f t="shared" si="219"/>
        <v>0</v>
      </c>
      <c r="PSG49" s="375">
        <f t="shared" si="219"/>
        <v>0</v>
      </c>
      <c r="PSH49" s="375">
        <f t="shared" si="219"/>
        <v>0</v>
      </c>
      <c r="PSI49" s="375">
        <f t="shared" si="219"/>
        <v>0</v>
      </c>
      <c r="PSJ49" s="375">
        <f t="shared" si="219"/>
        <v>0</v>
      </c>
      <c r="PSK49" s="375">
        <f t="shared" si="219"/>
        <v>0</v>
      </c>
      <c r="PSL49" s="375">
        <f t="shared" si="219"/>
        <v>0</v>
      </c>
      <c r="PSM49" s="375">
        <f t="shared" si="219"/>
        <v>0</v>
      </c>
      <c r="PSN49" s="375">
        <f t="shared" si="219"/>
        <v>0</v>
      </c>
      <c r="PSO49" s="375">
        <f t="shared" si="219"/>
        <v>0</v>
      </c>
      <c r="PSP49" s="375">
        <f t="shared" si="219"/>
        <v>0</v>
      </c>
      <c r="PSQ49" s="375">
        <f t="shared" si="219"/>
        <v>0</v>
      </c>
      <c r="PSR49" s="375">
        <f t="shared" si="219"/>
        <v>0</v>
      </c>
      <c r="PSS49" s="375">
        <f t="shared" ref="PSS49:PVD49" si="220">PSS48*0.8</f>
        <v>0</v>
      </c>
      <c r="PST49" s="375">
        <f t="shared" si="220"/>
        <v>0</v>
      </c>
      <c r="PSU49" s="375">
        <f t="shared" si="220"/>
        <v>0</v>
      </c>
      <c r="PSV49" s="375">
        <f t="shared" si="220"/>
        <v>0</v>
      </c>
      <c r="PSW49" s="375">
        <f t="shared" si="220"/>
        <v>0</v>
      </c>
      <c r="PSX49" s="375">
        <f t="shared" si="220"/>
        <v>0</v>
      </c>
      <c r="PSY49" s="375">
        <f t="shared" si="220"/>
        <v>0</v>
      </c>
      <c r="PSZ49" s="375">
        <f t="shared" si="220"/>
        <v>0</v>
      </c>
      <c r="PTA49" s="375">
        <f t="shared" si="220"/>
        <v>0</v>
      </c>
      <c r="PTB49" s="375">
        <f t="shared" si="220"/>
        <v>0</v>
      </c>
      <c r="PTC49" s="375">
        <f t="shared" si="220"/>
        <v>0</v>
      </c>
      <c r="PTD49" s="375">
        <f t="shared" si="220"/>
        <v>0</v>
      </c>
      <c r="PTE49" s="375">
        <f t="shared" si="220"/>
        <v>0</v>
      </c>
      <c r="PTF49" s="375">
        <f t="shared" si="220"/>
        <v>0</v>
      </c>
      <c r="PTG49" s="375">
        <f t="shared" si="220"/>
        <v>0</v>
      </c>
      <c r="PTH49" s="375">
        <f t="shared" si="220"/>
        <v>0</v>
      </c>
      <c r="PTI49" s="375">
        <f t="shared" si="220"/>
        <v>0</v>
      </c>
      <c r="PTJ49" s="375">
        <f t="shared" si="220"/>
        <v>0</v>
      </c>
      <c r="PTK49" s="375">
        <f t="shared" si="220"/>
        <v>0</v>
      </c>
      <c r="PTL49" s="375">
        <f t="shared" si="220"/>
        <v>0</v>
      </c>
      <c r="PTM49" s="375">
        <f t="shared" si="220"/>
        <v>0</v>
      </c>
      <c r="PTN49" s="375">
        <f t="shared" si="220"/>
        <v>0</v>
      </c>
      <c r="PTO49" s="375">
        <f t="shared" si="220"/>
        <v>0</v>
      </c>
      <c r="PTP49" s="375">
        <f t="shared" si="220"/>
        <v>0</v>
      </c>
      <c r="PTQ49" s="375">
        <f t="shared" si="220"/>
        <v>0</v>
      </c>
      <c r="PTR49" s="375">
        <f t="shared" si="220"/>
        <v>0</v>
      </c>
      <c r="PTS49" s="375">
        <f t="shared" si="220"/>
        <v>0</v>
      </c>
      <c r="PTT49" s="375">
        <f t="shared" si="220"/>
        <v>0</v>
      </c>
      <c r="PTU49" s="375">
        <f t="shared" si="220"/>
        <v>0</v>
      </c>
      <c r="PTV49" s="375">
        <f t="shared" si="220"/>
        <v>0</v>
      </c>
      <c r="PTW49" s="375">
        <f t="shared" si="220"/>
        <v>0</v>
      </c>
      <c r="PTX49" s="375">
        <f t="shared" si="220"/>
        <v>0</v>
      </c>
      <c r="PTY49" s="375">
        <f t="shared" si="220"/>
        <v>0</v>
      </c>
      <c r="PTZ49" s="375">
        <f t="shared" si="220"/>
        <v>0</v>
      </c>
      <c r="PUA49" s="375">
        <f t="shared" si="220"/>
        <v>0</v>
      </c>
      <c r="PUB49" s="375">
        <f t="shared" si="220"/>
        <v>0</v>
      </c>
      <c r="PUC49" s="375">
        <f t="shared" si="220"/>
        <v>0</v>
      </c>
      <c r="PUD49" s="375">
        <f t="shared" si="220"/>
        <v>0</v>
      </c>
      <c r="PUE49" s="375">
        <f t="shared" si="220"/>
        <v>0</v>
      </c>
      <c r="PUF49" s="375">
        <f t="shared" si="220"/>
        <v>0</v>
      </c>
      <c r="PUG49" s="375">
        <f t="shared" si="220"/>
        <v>0</v>
      </c>
      <c r="PUH49" s="375">
        <f t="shared" si="220"/>
        <v>0</v>
      </c>
      <c r="PUI49" s="375">
        <f t="shared" si="220"/>
        <v>0</v>
      </c>
      <c r="PUJ49" s="375">
        <f t="shared" si="220"/>
        <v>0</v>
      </c>
      <c r="PUK49" s="375">
        <f t="shared" si="220"/>
        <v>0</v>
      </c>
      <c r="PUL49" s="375">
        <f t="shared" si="220"/>
        <v>0</v>
      </c>
      <c r="PUM49" s="375">
        <f t="shared" si="220"/>
        <v>0</v>
      </c>
      <c r="PUN49" s="375">
        <f t="shared" si="220"/>
        <v>0</v>
      </c>
      <c r="PUO49" s="375">
        <f t="shared" si="220"/>
        <v>0</v>
      </c>
      <c r="PUP49" s="375">
        <f t="shared" si="220"/>
        <v>0</v>
      </c>
      <c r="PUQ49" s="375">
        <f t="shared" si="220"/>
        <v>0</v>
      </c>
      <c r="PUR49" s="375">
        <f t="shared" si="220"/>
        <v>0</v>
      </c>
      <c r="PUS49" s="375">
        <f t="shared" si="220"/>
        <v>0</v>
      </c>
      <c r="PUT49" s="375">
        <f t="shared" si="220"/>
        <v>0</v>
      </c>
      <c r="PUU49" s="375">
        <f t="shared" si="220"/>
        <v>0</v>
      </c>
      <c r="PUV49" s="375">
        <f t="shared" si="220"/>
        <v>0</v>
      </c>
      <c r="PUW49" s="375">
        <f t="shared" si="220"/>
        <v>0</v>
      </c>
      <c r="PUX49" s="375">
        <f t="shared" si="220"/>
        <v>0</v>
      </c>
      <c r="PUY49" s="375">
        <f t="shared" si="220"/>
        <v>0</v>
      </c>
      <c r="PUZ49" s="375">
        <f t="shared" si="220"/>
        <v>0</v>
      </c>
      <c r="PVA49" s="375">
        <f t="shared" si="220"/>
        <v>0</v>
      </c>
      <c r="PVB49" s="375">
        <f t="shared" si="220"/>
        <v>0</v>
      </c>
      <c r="PVC49" s="375">
        <f t="shared" si="220"/>
        <v>0</v>
      </c>
      <c r="PVD49" s="375">
        <f t="shared" si="220"/>
        <v>0</v>
      </c>
      <c r="PVE49" s="375">
        <f t="shared" ref="PVE49:PXP49" si="221">PVE48*0.8</f>
        <v>0</v>
      </c>
      <c r="PVF49" s="375">
        <f t="shared" si="221"/>
        <v>0</v>
      </c>
      <c r="PVG49" s="375">
        <f t="shared" si="221"/>
        <v>0</v>
      </c>
      <c r="PVH49" s="375">
        <f t="shared" si="221"/>
        <v>0</v>
      </c>
      <c r="PVI49" s="375">
        <f t="shared" si="221"/>
        <v>0</v>
      </c>
      <c r="PVJ49" s="375">
        <f t="shared" si="221"/>
        <v>0</v>
      </c>
      <c r="PVK49" s="375">
        <f t="shared" si="221"/>
        <v>0</v>
      </c>
      <c r="PVL49" s="375">
        <f t="shared" si="221"/>
        <v>0</v>
      </c>
      <c r="PVM49" s="375">
        <f t="shared" si="221"/>
        <v>0</v>
      </c>
      <c r="PVN49" s="375">
        <f t="shared" si="221"/>
        <v>0</v>
      </c>
      <c r="PVO49" s="375">
        <f t="shared" si="221"/>
        <v>0</v>
      </c>
      <c r="PVP49" s="375">
        <f t="shared" si="221"/>
        <v>0</v>
      </c>
      <c r="PVQ49" s="375">
        <f t="shared" si="221"/>
        <v>0</v>
      </c>
      <c r="PVR49" s="375">
        <f t="shared" si="221"/>
        <v>0</v>
      </c>
      <c r="PVS49" s="375">
        <f t="shared" si="221"/>
        <v>0</v>
      </c>
      <c r="PVT49" s="375">
        <f t="shared" si="221"/>
        <v>0</v>
      </c>
      <c r="PVU49" s="375">
        <f t="shared" si="221"/>
        <v>0</v>
      </c>
      <c r="PVV49" s="375">
        <f t="shared" si="221"/>
        <v>0</v>
      </c>
      <c r="PVW49" s="375">
        <f t="shared" si="221"/>
        <v>0</v>
      </c>
      <c r="PVX49" s="375">
        <f t="shared" si="221"/>
        <v>0</v>
      </c>
      <c r="PVY49" s="375">
        <f t="shared" si="221"/>
        <v>0</v>
      </c>
      <c r="PVZ49" s="375">
        <f t="shared" si="221"/>
        <v>0</v>
      </c>
      <c r="PWA49" s="375">
        <f t="shared" si="221"/>
        <v>0</v>
      </c>
      <c r="PWB49" s="375">
        <f t="shared" si="221"/>
        <v>0</v>
      </c>
      <c r="PWC49" s="375">
        <f t="shared" si="221"/>
        <v>0</v>
      </c>
      <c r="PWD49" s="375">
        <f t="shared" si="221"/>
        <v>0</v>
      </c>
      <c r="PWE49" s="375">
        <f t="shared" si="221"/>
        <v>0</v>
      </c>
      <c r="PWF49" s="375">
        <f t="shared" si="221"/>
        <v>0</v>
      </c>
      <c r="PWG49" s="375">
        <f t="shared" si="221"/>
        <v>0</v>
      </c>
      <c r="PWH49" s="375">
        <f t="shared" si="221"/>
        <v>0</v>
      </c>
      <c r="PWI49" s="375">
        <f t="shared" si="221"/>
        <v>0</v>
      </c>
      <c r="PWJ49" s="375">
        <f t="shared" si="221"/>
        <v>0</v>
      </c>
      <c r="PWK49" s="375">
        <f t="shared" si="221"/>
        <v>0</v>
      </c>
      <c r="PWL49" s="375">
        <f t="shared" si="221"/>
        <v>0</v>
      </c>
      <c r="PWM49" s="375">
        <f t="shared" si="221"/>
        <v>0</v>
      </c>
      <c r="PWN49" s="375">
        <f t="shared" si="221"/>
        <v>0</v>
      </c>
      <c r="PWO49" s="375">
        <f t="shared" si="221"/>
        <v>0</v>
      </c>
      <c r="PWP49" s="375">
        <f t="shared" si="221"/>
        <v>0</v>
      </c>
      <c r="PWQ49" s="375">
        <f t="shared" si="221"/>
        <v>0</v>
      </c>
      <c r="PWR49" s="375">
        <f t="shared" si="221"/>
        <v>0</v>
      </c>
      <c r="PWS49" s="375">
        <f t="shared" si="221"/>
        <v>0</v>
      </c>
      <c r="PWT49" s="375">
        <f t="shared" si="221"/>
        <v>0</v>
      </c>
      <c r="PWU49" s="375">
        <f t="shared" si="221"/>
        <v>0</v>
      </c>
      <c r="PWV49" s="375">
        <f t="shared" si="221"/>
        <v>0</v>
      </c>
      <c r="PWW49" s="375">
        <f t="shared" si="221"/>
        <v>0</v>
      </c>
      <c r="PWX49" s="375">
        <f t="shared" si="221"/>
        <v>0</v>
      </c>
      <c r="PWY49" s="375">
        <f t="shared" si="221"/>
        <v>0</v>
      </c>
      <c r="PWZ49" s="375">
        <f t="shared" si="221"/>
        <v>0</v>
      </c>
      <c r="PXA49" s="375">
        <f t="shared" si="221"/>
        <v>0</v>
      </c>
      <c r="PXB49" s="375">
        <f t="shared" si="221"/>
        <v>0</v>
      </c>
      <c r="PXC49" s="375">
        <f t="shared" si="221"/>
        <v>0</v>
      </c>
      <c r="PXD49" s="375">
        <f t="shared" si="221"/>
        <v>0</v>
      </c>
      <c r="PXE49" s="375">
        <f t="shared" si="221"/>
        <v>0</v>
      </c>
      <c r="PXF49" s="375">
        <f t="shared" si="221"/>
        <v>0</v>
      </c>
      <c r="PXG49" s="375">
        <f t="shared" si="221"/>
        <v>0</v>
      </c>
      <c r="PXH49" s="375">
        <f t="shared" si="221"/>
        <v>0</v>
      </c>
      <c r="PXI49" s="375">
        <f t="shared" si="221"/>
        <v>0</v>
      </c>
      <c r="PXJ49" s="375">
        <f t="shared" si="221"/>
        <v>0</v>
      </c>
      <c r="PXK49" s="375">
        <f t="shared" si="221"/>
        <v>0</v>
      </c>
      <c r="PXL49" s="375">
        <f t="shared" si="221"/>
        <v>0</v>
      </c>
      <c r="PXM49" s="375">
        <f t="shared" si="221"/>
        <v>0</v>
      </c>
      <c r="PXN49" s="375">
        <f t="shared" si="221"/>
        <v>0</v>
      </c>
      <c r="PXO49" s="375">
        <f t="shared" si="221"/>
        <v>0</v>
      </c>
      <c r="PXP49" s="375">
        <f t="shared" si="221"/>
        <v>0</v>
      </c>
      <c r="PXQ49" s="375">
        <f t="shared" ref="PXQ49:QAB49" si="222">PXQ48*0.8</f>
        <v>0</v>
      </c>
      <c r="PXR49" s="375">
        <f t="shared" si="222"/>
        <v>0</v>
      </c>
      <c r="PXS49" s="375">
        <f t="shared" si="222"/>
        <v>0</v>
      </c>
      <c r="PXT49" s="375">
        <f t="shared" si="222"/>
        <v>0</v>
      </c>
      <c r="PXU49" s="375">
        <f t="shared" si="222"/>
        <v>0</v>
      </c>
      <c r="PXV49" s="375">
        <f t="shared" si="222"/>
        <v>0</v>
      </c>
      <c r="PXW49" s="375">
        <f t="shared" si="222"/>
        <v>0</v>
      </c>
      <c r="PXX49" s="375">
        <f t="shared" si="222"/>
        <v>0</v>
      </c>
      <c r="PXY49" s="375">
        <f t="shared" si="222"/>
        <v>0</v>
      </c>
      <c r="PXZ49" s="375">
        <f t="shared" si="222"/>
        <v>0</v>
      </c>
      <c r="PYA49" s="375">
        <f t="shared" si="222"/>
        <v>0</v>
      </c>
      <c r="PYB49" s="375">
        <f t="shared" si="222"/>
        <v>0</v>
      </c>
      <c r="PYC49" s="375">
        <f t="shared" si="222"/>
        <v>0</v>
      </c>
      <c r="PYD49" s="375">
        <f t="shared" si="222"/>
        <v>0</v>
      </c>
      <c r="PYE49" s="375">
        <f t="shared" si="222"/>
        <v>0</v>
      </c>
      <c r="PYF49" s="375">
        <f t="shared" si="222"/>
        <v>0</v>
      </c>
      <c r="PYG49" s="375">
        <f t="shared" si="222"/>
        <v>0</v>
      </c>
      <c r="PYH49" s="375">
        <f t="shared" si="222"/>
        <v>0</v>
      </c>
      <c r="PYI49" s="375">
        <f t="shared" si="222"/>
        <v>0</v>
      </c>
      <c r="PYJ49" s="375">
        <f t="shared" si="222"/>
        <v>0</v>
      </c>
      <c r="PYK49" s="375">
        <f t="shared" si="222"/>
        <v>0</v>
      </c>
      <c r="PYL49" s="375">
        <f t="shared" si="222"/>
        <v>0</v>
      </c>
      <c r="PYM49" s="375">
        <f t="shared" si="222"/>
        <v>0</v>
      </c>
      <c r="PYN49" s="375">
        <f t="shared" si="222"/>
        <v>0</v>
      </c>
      <c r="PYO49" s="375">
        <f t="shared" si="222"/>
        <v>0</v>
      </c>
      <c r="PYP49" s="375">
        <f t="shared" si="222"/>
        <v>0</v>
      </c>
      <c r="PYQ49" s="375">
        <f t="shared" si="222"/>
        <v>0</v>
      </c>
      <c r="PYR49" s="375">
        <f t="shared" si="222"/>
        <v>0</v>
      </c>
      <c r="PYS49" s="375">
        <f t="shared" si="222"/>
        <v>0</v>
      </c>
      <c r="PYT49" s="375">
        <f t="shared" si="222"/>
        <v>0</v>
      </c>
      <c r="PYU49" s="375">
        <f t="shared" si="222"/>
        <v>0</v>
      </c>
      <c r="PYV49" s="375">
        <f t="shared" si="222"/>
        <v>0</v>
      </c>
      <c r="PYW49" s="375">
        <f t="shared" si="222"/>
        <v>0</v>
      </c>
      <c r="PYX49" s="375">
        <f t="shared" si="222"/>
        <v>0</v>
      </c>
      <c r="PYY49" s="375">
        <f t="shared" si="222"/>
        <v>0</v>
      </c>
      <c r="PYZ49" s="375">
        <f t="shared" si="222"/>
        <v>0</v>
      </c>
      <c r="PZA49" s="375">
        <f t="shared" si="222"/>
        <v>0</v>
      </c>
      <c r="PZB49" s="375">
        <f t="shared" si="222"/>
        <v>0</v>
      </c>
      <c r="PZC49" s="375">
        <f t="shared" si="222"/>
        <v>0</v>
      </c>
      <c r="PZD49" s="375">
        <f t="shared" si="222"/>
        <v>0</v>
      </c>
      <c r="PZE49" s="375">
        <f t="shared" si="222"/>
        <v>0</v>
      </c>
      <c r="PZF49" s="375">
        <f t="shared" si="222"/>
        <v>0</v>
      </c>
      <c r="PZG49" s="375">
        <f t="shared" si="222"/>
        <v>0</v>
      </c>
      <c r="PZH49" s="375">
        <f t="shared" si="222"/>
        <v>0</v>
      </c>
      <c r="PZI49" s="375">
        <f t="shared" si="222"/>
        <v>0</v>
      </c>
      <c r="PZJ49" s="375">
        <f t="shared" si="222"/>
        <v>0</v>
      </c>
      <c r="PZK49" s="375">
        <f t="shared" si="222"/>
        <v>0</v>
      </c>
      <c r="PZL49" s="375">
        <f t="shared" si="222"/>
        <v>0</v>
      </c>
      <c r="PZM49" s="375">
        <f t="shared" si="222"/>
        <v>0</v>
      </c>
      <c r="PZN49" s="375">
        <f t="shared" si="222"/>
        <v>0</v>
      </c>
      <c r="PZO49" s="375">
        <f t="shared" si="222"/>
        <v>0</v>
      </c>
      <c r="PZP49" s="375">
        <f t="shared" si="222"/>
        <v>0</v>
      </c>
      <c r="PZQ49" s="375">
        <f t="shared" si="222"/>
        <v>0</v>
      </c>
      <c r="PZR49" s="375">
        <f t="shared" si="222"/>
        <v>0</v>
      </c>
      <c r="PZS49" s="375">
        <f t="shared" si="222"/>
        <v>0</v>
      </c>
      <c r="PZT49" s="375">
        <f t="shared" si="222"/>
        <v>0</v>
      </c>
      <c r="PZU49" s="375">
        <f t="shared" si="222"/>
        <v>0</v>
      </c>
      <c r="PZV49" s="375">
        <f t="shared" si="222"/>
        <v>0</v>
      </c>
      <c r="PZW49" s="375">
        <f t="shared" si="222"/>
        <v>0</v>
      </c>
      <c r="PZX49" s="375">
        <f t="shared" si="222"/>
        <v>0</v>
      </c>
      <c r="PZY49" s="375">
        <f t="shared" si="222"/>
        <v>0</v>
      </c>
      <c r="PZZ49" s="375">
        <f t="shared" si="222"/>
        <v>0</v>
      </c>
      <c r="QAA49" s="375">
        <f t="shared" si="222"/>
        <v>0</v>
      </c>
      <c r="QAB49" s="375">
        <f t="shared" si="222"/>
        <v>0</v>
      </c>
      <c r="QAC49" s="375">
        <f t="shared" ref="QAC49:QCN49" si="223">QAC48*0.8</f>
        <v>0</v>
      </c>
      <c r="QAD49" s="375">
        <f t="shared" si="223"/>
        <v>0</v>
      </c>
      <c r="QAE49" s="375">
        <f t="shared" si="223"/>
        <v>0</v>
      </c>
      <c r="QAF49" s="375">
        <f t="shared" si="223"/>
        <v>0</v>
      </c>
      <c r="QAG49" s="375">
        <f t="shared" si="223"/>
        <v>0</v>
      </c>
      <c r="QAH49" s="375">
        <f t="shared" si="223"/>
        <v>0</v>
      </c>
      <c r="QAI49" s="375">
        <f t="shared" si="223"/>
        <v>0</v>
      </c>
      <c r="QAJ49" s="375">
        <f t="shared" si="223"/>
        <v>0</v>
      </c>
      <c r="QAK49" s="375">
        <f t="shared" si="223"/>
        <v>0</v>
      </c>
      <c r="QAL49" s="375">
        <f t="shared" si="223"/>
        <v>0</v>
      </c>
      <c r="QAM49" s="375">
        <f t="shared" si="223"/>
        <v>0</v>
      </c>
      <c r="QAN49" s="375">
        <f t="shared" si="223"/>
        <v>0</v>
      </c>
      <c r="QAO49" s="375">
        <f t="shared" si="223"/>
        <v>0</v>
      </c>
      <c r="QAP49" s="375">
        <f t="shared" si="223"/>
        <v>0</v>
      </c>
      <c r="QAQ49" s="375">
        <f t="shared" si="223"/>
        <v>0</v>
      </c>
      <c r="QAR49" s="375">
        <f t="shared" si="223"/>
        <v>0</v>
      </c>
      <c r="QAS49" s="375">
        <f t="shared" si="223"/>
        <v>0</v>
      </c>
      <c r="QAT49" s="375">
        <f t="shared" si="223"/>
        <v>0</v>
      </c>
      <c r="QAU49" s="375">
        <f t="shared" si="223"/>
        <v>0</v>
      </c>
      <c r="QAV49" s="375">
        <f t="shared" si="223"/>
        <v>0</v>
      </c>
      <c r="QAW49" s="375">
        <f t="shared" si="223"/>
        <v>0</v>
      </c>
      <c r="QAX49" s="375">
        <f t="shared" si="223"/>
        <v>0</v>
      </c>
      <c r="QAY49" s="375">
        <f t="shared" si="223"/>
        <v>0</v>
      </c>
      <c r="QAZ49" s="375">
        <f t="shared" si="223"/>
        <v>0</v>
      </c>
      <c r="QBA49" s="375">
        <f t="shared" si="223"/>
        <v>0</v>
      </c>
      <c r="QBB49" s="375">
        <f t="shared" si="223"/>
        <v>0</v>
      </c>
      <c r="QBC49" s="375">
        <f t="shared" si="223"/>
        <v>0</v>
      </c>
      <c r="QBD49" s="375">
        <f t="shared" si="223"/>
        <v>0</v>
      </c>
      <c r="QBE49" s="375">
        <f t="shared" si="223"/>
        <v>0</v>
      </c>
      <c r="QBF49" s="375">
        <f t="shared" si="223"/>
        <v>0</v>
      </c>
      <c r="QBG49" s="375">
        <f t="shared" si="223"/>
        <v>0</v>
      </c>
      <c r="QBH49" s="375">
        <f t="shared" si="223"/>
        <v>0</v>
      </c>
      <c r="QBI49" s="375">
        <f t="shared" si="223"/>
        <v>0</v>
      </c>
      <c r="QBJ49" s="375">
        <f t="shared" si="223"/>
        <v>0</v>
      </c>
      <c r="QBK49" s="375">
        <f t="shared" si="223"/>
        <v>0</v>
      </c>
      <c r="QBL49" s="375">
        <f t="shared" si="223"/>
        <v>0</v>
      </c>
      <c r="QBM49" s="375">
        <f t="shared" si="223"/>
        <v>0</v>
      </c>
      <c r="QBN49" s="375">
        <f t="shared" si="223"/>
        <v>0</v>
      </c>
      <c r="QBO49" s="375">
        <f t="shared" si="223"/>
        <v>0</v>
      </c>
      <c r="QBP49" s="375">
        <f t="shared" si="223"/>
        <v>0</v>
      </c>
      <c r="QBQ49" s="375">
        <f t="shared" si="223"/>
        <v>0</v>
      </c>
      <c r="QBR49" s="375">
        <f t="shared" si="223"/>
        <v>0</v>
      </c>
      <c r="QBS49" s="375">
        <f t="shared" si="223"/>
        <v>0</v>
      </c>
      <c r="QBT49" s="375">
        <f t="shared" si="223"/>
        <v>0</v>
      </c>
      <c r="QBU49" s="375">
        <f t="shared" si="223"/>
        <v>0</v>
      </c>
      <c r="QBV49" s="375">
        <f t="shared" si="223"/>
        <v>0</v>
      </c>
      <c r="QBW49" s="375">
        <f t="shared" si="223"/>
        <v>0</v>
      </c>
      <c r="QBX49" s="375">
        <f t="shared" si="223"/>
        <v>0</v>
      </c>
      <c r="QBY49" s="375">
        <f t="shared" si="223"/>
        <v>0</v>
      </c>
      <c r="QBZ49" s="375">
        <f t="shared" si="223"/>
        <v>0</v>
      </c>
      <c r="QCA49" s="375">
        <f t="shared" si="223"/>
        <v>0</v>
      </c>
      <c r="QCB49" s="375">
        <f t="shared" si="223"/>
        <v>0</v>
      </c>
      <c r="QCC49" s="375">
        <f t="shared" si="223"/>
        <v>0</v>
      </c>
      <c r="QCD49" s="375">
        <f t="shared" si="223"/>
        <v>0</v>
      </c>
      <c r="QCE49" s="375">
        <f t="shared" si="223"/>
        <v>0</v>
      </c>
      <c r="QCF49" s="375">
        <f t="shared" si="223"/>
        <v>0</v>
      </c>
      <c r="QCG49" s="375">
        <f t="shared" si="223"/>
        <v>0</v>
      </c>
      <c r="QCH49" s="375">
        <f t="shared" si="223"/>
        <v>0</v>
      </c>
      <c r="QCI49" s="375">
        <f t="shared" si="223"/>
        <v>0</v>
      </c>
      <c r="QCJ49" s="375">
        <f t="shared" si="223"/>
        <v>0</v>
      </c>
      <c r="QCK49" s="375">
        <f t="shared" si="223"/>
        <v>0</v>
      </c>
      <c r="QCL49" s="375">
        <f t="shared" si="223"/>
        <v>0</v>
      </c>
      <c r="QCM49" s="375">
        <f t="shared" si="223"/>
        <v>0</v>
      </c>
      <c r="QCN49" s="375">
        <f t="shared" si="223"/>
        <v>0</v>
      </c>
      <c r="QCO49" s="375">
        <f t="shared" ref="QCO49:QEZ49" si="224">QCO48*0.8</f>
        <v>0</v>
      </c>
      <c r="QCP49" s="375">
        <f t="shared" si="224"/>
        <v>0</v>
      </c>
      <c r="QCQ49" s="375">
        <f t="shared" si="224"/>
        <v>0</v>
      </c>
      <c r="QCR49" s="375">
        <f t="shared" si="224"/>
        <v>0</v>
      </c>
      <c r="QCS49" s="375">
        <f t="shared" si="224"/>
        <v>0</v>
      </c>
      <c r="QCT49" s="375">
        <f t="shared" si="224"/>
        <v>0</v>
      </c>
      <c r="QCU49" s="375">
        <f t="shared" si="224"/>
        <v>0</v>
      </c>
      <c r="QCV49" s="375">
        <f t="shared" si="224"/>
        <v>0</v>
      </c>
      <c r="QCW49" s="375">
        <f t="shared" si="224"/>
        <v>0</v>
      </c>
      <c r="QCX49" s="375">
        <f t="shared" si="224"/>
        <v>0</v>
      </c>
      <c r="QCY49" s="375">
        <f t="shared" si="224"/>
        <v>0</v>
      </c>
      <c r="QCZ49" s="375">
        <f t="shared" si="224"/>
        <v>0</v>
      </c>
      <c r="QDA49" s="375">
        <f t="shared" si="224"/>
        <v>0</v>
      </c>
      <c r="QDB49" s="375">
        <f t="shared" si="224"/>
        <v>0</v>
      </c>
      <c r="QDC49" s="375">
        <f t="shared" si="224"/>
        <v>0</v>
      </c>
      <c r="QDD49" s="375">
        <f t="shared" si="224"/>
        <v>0</v>
      </c>
      <c r="QDE49" s="375">
        <f t="shared" si="224"/>
        <v>0</v>
      </c>
      <c r="QDF49" s="375">
        <f t="shared" si="224"/>
        <v>0</v>
      </c>
      <c r="QDG49" s="375">
        <f t="shared" si="224"/>
        <v>0</v>
      </c>
      <c r="QDH49" s="375">
        <f t="shared" si="224"/>
        <v>0</v>
      </c>
      <c r="QDI49" s="375">
        <f t="shared" si="224"/>
        <v>0</v>
      </c>
      <c r="QDJ49" s="375">
        <f t="shared" si="224"/>
        <v>0</v>
      </c>
      <c r="QDK49" s="375">
        <f t="shared" si="224"/>
        <v>0</v>
      </c>
      <c r="QDL49" s="375">
        <f t="shared" si="224"/>
        <v>0</v>
      </c>
      <c r="QDM49" s="375">
        <f t="shared" si="224"/>
        <v>0</v>
      </c>
      <c r="QDN49" s="375">
        <f t="shared" si="224"/>
        <v>0</v>
      </c>
      <c r="QDO49" s="375">
        <f t="shared" si="224"/>
        <v>0</v>
      </c>
      <c r="QDP49" s="375">
        <f t="shared" si="224"/>
        <v>0</v>
      </c>
      <c r="QDQ49" s="375">
        <f t="shared" si="224"/>
        <v>0</v>
      </c>
      <c r="QDR49" s="375">
        <f t="shared" si="224"/>
        <v>0</v>
      </c>
      <c r="QDS49" s="375">
        <f t="shared" si="224"/>
        <v>0</v>
      </c>
      <c r="QDT49" s="375">
        <f t="shared" si="224"/>
        <v>0</v>
      </c>
      <c r="QDU49" s="375">
        <f t="shared" si="224"/>
        <v>0</v>
      </c>
      <c r="QDV49" s="375">
        <f t="shared" si="224"/>
        <v>0</v>
      </c>
      <c r="QDW49" s="375">
        <f t="shared" si="224"/>
        <v>0</v>
      </c>
      <c r="QDX49" s="375">
        <f t="shared" si="224"/>
        <v>0</v>
      </c>
      <c r="QDY49" s="375">
        <f t="shared" si="224"/>
        <v>0</v>
      </c>
      <c r="QDZ49" s="375">
        <f t="shared" si="224"/>
        <v>0</v>
      </c>
      <c r="QEA49" s="375">
        <f t="shared" si="224"/>
        <v>0</v>
      </c>
      <c r="QEB49" s="375">
        <f t="shared" si="224"/>
        <v>0</v>
      </c>
      <c r="QEC49" s="375">
        <f t="shared" si="224"/>
        <v>0</v>
      </c>
      <c r="QED49" s="375">
        <f t="shared" si="224"/>
        <v>0</v>
      </c>
      <c r="QEE49" s="375">
        <f t="shared" si="224"/>
        <v>0</v>
      </c>
      <c r="QEF49" s="375">
        <f t="shared" si="224"/>
        <v>0</v>
      </c>
      <c r="QEG49" s="375">
        <f t="shared" si="224"/>
        <v>0</v>
      </c>
      <c r="QEH49" s="375">
        <f t="shared" si="224"/>
        <v>0</v>
      </c>
      <c r="QEI49" s="375">
        <f t="shared" si="224"/>
        <v>0</v>
      </c>
      <c r="QEJ49" s="375">
        <f t="shared" si="224"/>
        <v>0</v>
      </c>
      <c r="QEK49" s="375">
        <f t="shared" si="224"/>
        <v>0</v>
      </c>
      <c r="QEL49" s="375">
        <f t="shared" si="224"/>
        <v>0</v>
      </c>
      <c r="QEM49" s="375">
        <f t="shared" si="224"/>
        <v>0</v>
      </c>
      <c r="QEN49" s="375">
        <f t="shared" si="224"/>
        <v>0</v>
      </c>
      <c r="QEO49" s="375">
        <f t="shared" si="224"/>
        <v>0</v>
      </c>
      <c r="QEP49" s="375">
        <f t="shared" si="224"/>
        <v>0</v>
      </c>
      <c r="QEQ49" s="375">
        <f t="shared" si="224"/>
        <v>0</v>
      </c>
      <c r="QER49" s="375">
        <f t="shared" si="224"/>
        <v>0</v>
      </c>
      <c r="QES49" s="375">
        <f t="shared" si="224"/>
        <v>0</v>
      </c>
      <c r="QET49" s="375">
        <f t="shared" si="224"/>
        <v>0</v>
      </c>
      <c r="QEU49" s="375">
        <f t="shared" si="224"/>
        <v>0</v>
      </c>
      <c r="QEV49" s="375">
        <f t="shared" si="224"/>
        <v>0</v>
      </c>
      <c r="QEW49" s="375">
        <f t="shared" si="224"/>
        <v>0</v>
      </c>
      <c r="QEX49" s="375">
        <f t="shared" si="224"/>
        <v>0</v>
      </c>
      <c r="QEY49" s="375">
        <f t="shared" si="224"/>
        <v>0</v>
      </c>
      <c r="QEZ49" s="375">
        <f t="shared" si="224"/>
        <v>0</v>
      </c>
      <c r="QFA49" s="375">
        <f t="shared" ref="QFA49:QHL49" si="225">QFA48*0.8</f>
        <v>0</v>
      </c>
      <c r="QFB49" s="375">
        <f t="shared" si="225"/>
        <v>0</v>
      </c>
      <c r="QFC49" s="375">
        <f t="shared" si="225"/>
        <v>0</v>
      </c>
      <c r="QFD49" s="375">
        <f t="shared" si="225"/>
        <v>0</v>
      </c>
      <c r="QFE49" s="375">
        <f t="shared" si="225"/>
        <v>0</v>
      </c>
      <c r="QFF49" s="375">
        <f t="shared" si="225"/>
        <v>0</v>
      </c>
      <c r="QFG49" s="375">
        <f t="shared" si="225"/>
        <v>0</v>
      </c>
      <c r="QFH49" s="375">
        <f t="shared" si="225"/>
        <v>0</v>
      </c>
      <c r="QFI49" s="375">
        <f t="shared" si="225"/>
        <v>0</v>
      </c>
      <c r="QFJ49" s="375">
        <f t="shared" si="225"/>
        <v>0</v>
      </c>
      <c r="QFK49" s="375">
        <f t="shared" si="225"/>
        <v>0</v>
      </c>
      <c r="QFL49" s="375">
        <f t="shared" si="225"/>
        <v>0</v>
      </c>
      <c r="QFM49" s="375">
        <f t="shared" si="225"/>
        <v>0</v>
      </c>
      <c r="QFN49" s="375">
        <f t="shared" si="225"/>
        <v>0</v>
      </c>
      <c r="QFO49" s="375">
        <f t="shared" si="225"/>
        <v>0</v>
      </c>
      <c r="QFP49" s="375">
        <f t="shared" si="225"/>
        <v>0</v>
      </c>
      <c r="QFQ49" s="375">
        <f t="shared" si="225"/>
        <v>0</v>
      </c>
      <c r="QFR49" s="375">
        <f t="shared" si="225"/>
        <v>0</v>
      </c>
      <c r="QFS49" s="375">
        <f t="shared" si="225"/>
        <v>0</v>
      </c>
      <c r="QFT49" s="375">
        <f t="shared" si="225"/>
        <v>0</v>
      </c>
      <c r="QFU49" s="375">
        <f t="shared" si="225"/>
        <v>0</v>
      </c>
      <c r="QFV49" s="375">
        <f t="shared" si="225"/>
        <v>0</v>
      </c>
      <c r="QFW49" s="375">
        <f t="shared" si="225"/>
        <v>0</v>
      </c>
      <c r="QFX49" s="375">
        <f t="shared" si="225"/>
        <v>0</v>
      </c>
      <c r="QFY49" s="375">
        <f t="shared" si="225"/>
        <v>0</v>
      </c>
      <c r="QFZ49" s="375">
        <f t="shared" si="225"/>
        <v>0</v>
      </c>
      <c r="QGA49" s="375">
        <f t="shared" si="225"/>
        <v>0</v>
      </c>
      <c r="QGB49" s="375">
        <f t="shared" si="225"/>
        <v>0</v>
      </c>
      <c r="QGC49" s="375">
        <f t="shared" si="225"/>
        <v>0</v>
      </c>
      <c r="QGD49" s="375">
        <f t="shared" si="225"/>
        <v>0</v>
      </c>
      <c r="QGE49" s="375">
        <f t="shared" si="225"/>
        <v>0</v>
      </c>
      <c r="QGF49" s="375">
        <f t="shared" si="225"/>
        <v>0</v>
      </c>
      <c r="QGG49" s="375">
        <f t="shared" si="225"/>
        <v>0</v>
      </c>
      <c r="QGH49" s="375">
        <f t="shared" si="225"/>
        <v>0</v>
      </c>
      <c r="QGI49" s="375">
        <f t="shared" si="225"/>
        <v>0</v>
      </c>
      <c r="QGJ49" s="375">
        <f t="shared" si="225"/>
        <v>0</v>
      </c>
      <c r="QGK49" s="375">
        <f t="shared" si="225"/>
        <v>0</v>
      </c>
      <c r="QGL49" s="375">
        <f t="shared" si="225"/>
        <v>0</v>
      </c>
      <c r="QGM49" s="375">
        <f t="shared" si="225"/>
        <v>0</v>
      </c>
      <c r="QGN49" s="375">
        <f t="shared" si="225"/>
        <v>0</v>
      </c>
      <c r="QGO49" s="375">
        <f t="shared" si="225"/>
        <v>0</v>
      </c>
      <c r="QGP49" s="375">
        <f t="shared" si="225"/>
        <v>0</v>
      </c>
      <c r="QGQ49" s="375">
        <f t="shared" si="225"/>
        <v>0</v>
      </c>
      <c r="QGR49" s="375">
        <f t="shared" si="225"/>
        <v>0</v>
      </c>
      <c r="QGS49" s="375">
        <f t="shared" si="225"/>
        <v>0</v>
      </c>
      <c r="QGT49" s="375">
        <f t="shared" si="225"/>
        <v>0</v>
      </c>
      <c r="QGU49" s="375">
        <f t="shared" si="225"/>
        <v>0</v>
      </c>
      <c r="QGV49" s="375">
        <f t="shared" si="225"/>
        <v>0</v>
      </c>
      <c r="QGW49" s="375">
        <f t="shared" si="225"/>
        <v>0</v>
      </c>
      <c r="QGX49" s="375">
        <f t="shared" si="225"/>
        <v>0</v>
      </c>
      <c r="QGY49" s="375">
        <f t="shared" si="225"/>
        <v>0</v>
      </c>
      <c r="QGZ49" s="375">
        <f t="shared" si="225"/>
        <v>0</v>
      </c>
      <c r="QHA49" s="375">
        <f t="shared" si="225"/>
        <v>0</v>
      </c>
      <c r="QHB49" s="375">
        <f t="shared" si="225"/>
        <v>0</v>
      </c>
      <c r="QHC49" s="375">
        <f t="shared" si="225"/>
        <v>0</v>
      </c>
      <c r="QHD49" s="375">
        <f t="shared" si="225"/>
        <v>0</v>
      </c>
      <c r="QHE49" s="375">
        <f t="shared" si="225"/>
        <v>0</v>
      </c>
      <c r="QHF49" s="375">
        <f t="shared" si="225"/>
        <v>0</v>
      </c>
      <c r="QHG49" s="375">
        <f t="shared" si="225"/>
        <v>0</v>
      </c>
      <c r="QHH49" s="375">
        <f t="shared" si="225"/>
        <v>0</v>
      </c>
      <c r="QHI49" s="375">
        <f t="shared" si="225"/>
        <v>0</v>
      </c>
      <c r="QHJ49" s="375">
        <f t="shared" si="225"/>
        <v>0</v>
      </c>
      <c r="QHK49" s="375">
        <f t="shared" si="225"/>
        <v>0</v>
      </c>
      <c r="QHL49" s="375">
        <f t="shared" si="225"/>
        <v>0</v>
      </c>
      <c r="QHM49" s="375">
        <f t="shared" ref="QHM49:QJX49" si="226">QHM48*0.8</f>
        <v>0</v>
      </c>
      <c r="QHN49" s="375">
        <f t="shared" si="226"/>
        <v>0</v>
      </c>
      <c r="QHO49" s="375">
        <f t="shared" si="226"/>
        <v>0</v>
      </c>
      <c r="QHP49" s="375">
        <f t="shared" si="226"/>
        <v>0</v>
      </c>
      <c r="QHQ49" s="375">
        <f t="shared" si="226"/>
        <v>0</v>
      </c>
      <c r="QHR49" s="375">
        <f t="shared" si="226"/>
        <v>0</v>
      </c>
      <c r="QHS49" s="375">
        <f t="shared" si="226"/>
        <v>0</v>
      </c>
      <c r="QHT49" s="375">
        <f t="shared" si="226"/>
        <v>0</v>
      </c>
      <c r="QHU49" s="375">
        <f t="shared" si="226"/>
        <v>0</v>
      </c>
      <c r="QHV49" s="375">
        <f t="shared" si="226"/>
        <v>0</v>
      </c>
      <c r="QHW49" s="375">
        <f t="shared" si="226"/>
        <v>0</v>
      </c>
      <c r="QHX49" s="375">
        <f t="shared" si="226"/>
        <v>0</v>
      </c>
      <c r="QHY49" s="375">
        <f t="shared" si="226"/>
        <v>0</v>
      </c>
      <c r="QHZ49" s="375">
        <f t="shared" si="226"/>
        <v>0</v>
      </c>
      <c r="QIA49" s="375">
        <f t="shared" si="226"/>
        <v>0</v>
      </c>
      <c r="QIB49" s="375">
        <f t="shared" si="226"/>
        <v>0</v>
      </c>
      <c r="QIC49" s="375">
        <f t="shared" si="226"/>
        <v>0</v>
      </c>
      <c r="QID49" s="375">
        <f t="shared" si="226"/>
        <v>0</v>
      </c>
      <c r="QIE49" s="375">
        <f t="shared" si="226"/>
        <v>0</v>
      </c>
      <c r="QIF49" s="375">
        <f t="shared" si="226"/>
        <v>0</v>
      </c>
      <c r="QIG49" s="375">
        <f t="shared" si="226"/>
        <v>0</v>
      </c>
      <c r="QIH49" s="375">
        <f t="shared" si="226"/>
        <v>0</v>
      </c>
      <c r="QII49" s="375">
        <f t="shared" si="226"/>
        <v>0</v>
      </c>
      <c r="QIJ49" s="375">
        <f t="shared" si="226"/>
        <v>0</v>
      </c>
      <c r="QIK49" s="375">
        <f t="shared" si="226"/>
        <v>0</v>
      </c>
      <c r="QIL49" s="375">
        <f t="shared" si="226"/>
        <v>0</v>
      </c>
      <c r="QIM49" s="375">
        <f t="shared" si="226"/>
        <v>0</v>
      </c>
      <c r="QIN49" s="375">
        <f t="shared" si="226"/>
        <v>0</v>
      </c>
      <c r="QIO49" s="375">
        <f t="shared" si="226"/>
        <v>0</v>
      </c>
      <c r="QIP49" s="375">
        <f t="shared" si="226"/>
        <v>0</v>
      </c>
      <c r="QIQ49" s="375">
        <f t="shared" si="226"/>
        <v>0</v>
      </c>
      <c r="QIR49" s="375">
        <f t="shared" si="226"/>
        <v>0</v>
      </c>
      <c r="QIS49" s="375">
        <f t="shared" si="226"/>
        <v>0</v>
      </c>
      <c r="QIT49" s="375">
        <f t="shared" si="226"/>
        <v>0</v>
      </c>
      <c r="QIU49" s="375">
        <f t="shared" si="226"/>
        <v>0</v>
      </c>
      <c r="QIV49" s="375">
        <f t="shared" si="226"/>
        <v>0</v>
      </c>
      <c r="QIW49" s="375">
        <f t="shared" si="226"/>
        <v>0</v>
      </c>
      <c r="QIX49" s="375">
        <f t="shared" si="226"/>
        <v>0</v>
      </c>
      <c r="QIY49" s="375">
        <f t="shared" si="226"/>
        <v>0</v>
      </c>
      <c r="QIZ49" s="375">
        <f t="shared" si="226"/>
        <v>0</v>
      </c>
      <c r="QJA49" s="375">
        <f t="shared" si="226"/>
        <v>0</v>
      </c>
      <c r="QJB49" s="375">
        <f t="shared" si="226"/>
        <v>0</v>
      </c>
      <c r="QJC49" s="375">
        <f t="shared" si="226"/>
        <v>0</v>
      </c>
      <c r="QJD49" s="375">
        <f t="shared" si="226"/>
        <v>0</v>
      </c>
      <c r="QJE49" s="375">
        <f t="shared" si="226"/>
        <v>0</v>
      </c>
      <c r="QJF49" s="375">
        <f t="shared" si="226"/>
        <v>0</v>
      </c>
      <c r="QJG49" s="375">
        <f t="shared" si="226"/>
        <v>0</v>
      </c>
      <c r="QJH49" s="375">
        <f t="shared" si="226"/>
        <v>0</v>
      </c>
      <c r="QJI49" s="375">
        <f t="shared" si="226"/>
        <v>0</v>
      </c>
      <c r="QJJ49" s="375">
        <f t="shared" si="226"/>
        <v>0</v>
      </c>
      <c r="QJK49" s="375">
        <f t="shared" si="226"/>
        <v>0</v>
      </c>
      <c r="QJL49" s="375">
        <f t="shared" si="226"/>
        <v>0</v>
      </c>
      <c r="QJM49" s="375">
        <f t="shared" si="226"/>
        <v>0</v>
      </c>
      <c r="QJN49" s="375">
        <f t="shared" si="226"/>
        <v>0</v>
      </c>
      <c r="QJO49" s="375">
        <f t="shared" si="226"/>
        <v>0</v>
      </c>
      <c r="QJP49" s="375">
        <f t="shared" si="226"/>
        <v>0</v>
      </c>
      <c r="QJQ49" s="375">
        <f t="shared" si="226"/>
        <v>0</v>
      </c>
      <c r="QJR49" s="375">
        <f t="shared" si="226"/>
        <v>0</v>
      </c>
      <c r="QJS49" s="375">
        <f t="shared" si="226"/>
        <v>0</v>
      </c>
      <c r="QJT49" s="375">
        <f t="shared" si="226"/>
        <v>0</v>
      </c>
      <c r="QJU49" s="375">
        <f t="shared" si="226"/>
        <v>0</v>
      </c>
      <c r="QJV49" s="375">
        <f t="shared" si="226"/>
        <v>0</v>
      </c>
      <c r="QJW49" s="375">
        <f t="shared" si="226"/>
        <v>0</v>
      </c>
      <c r="QJX49" s="375">
        <f t="shared" si="226"/>
        <v>0</v>
      </c>
      <c r="QJY49" s="375">
        <f t="shared" ref="QJY49:QMJ49" si="227">QJY48*0.8</f>
        <v>0</v>
      </c>
      <c r="QJZ49" s="375">
        <f t="shared" si="227"/>
        <v>0</v>
      </c>
      <c r="QKA49" s="375">
        <f t="shared" si="227"/>
        <v>0</v>
      </c>
      <c r="QKB49" s="375">
        <f t="shared" si="227"/>
        <v>0</v>
      </c>
      <c r="QKC49" s="375">
        <f t="shared" si="227"/>
        <v>0</v>
      </c>
      <c r="QKD49" s="375">
        <f t="shared" si="227"/>
        <v>0</v>
      </c>
      <c r="QKE49" s="375">
        <f t="shared" si="227"/>
        <v>0</v>
      </c>
      <c r="QKF49" s="375">
        <f t="shared" si="227"/>
        <v>0</v>
      </c>
      <c r="QKG49" s="375">
        <f t="shared" si="227"/>
        <v>0</v>
      </c>
      <c r="QKH49" s="375">
        <f t="shared" si="227"/>
        <v>0</v>
      </c>
      <c r="QKI49" s="375">
        <f t="shared" si="227"/>
        <v>0</v>
      </c>
      <c r="QKJ49" s="375">
        <f t="shared" si="227"/>
        <v>0</v>
      </c>
      <c r="QKK49" s="375">
        <f t="shared" si="227"/>
        <v>0</v>
      </c>
      <c r="QKL49" s="375">
        <f t="shared" si="227"/>
        <v>0</v>
      </c>
      <c r="QKM49" s="375">
        <f t="shared" si="227"/>
        <v>0</v>
      </c>
      <c r="QKN49" s="375">
        <f t="shared" si="227"/>
        <v>0</v>
      </c>
      <c r="QKO49" s="375">
        <f t="shared" si="227"/>
        <v>0</v>
      </c>
      <c r="QKP49" s="375">
        <f t="shared" si="227"/>
        <v>0</v>
      </c>
      <c r="QKQ49" s="375">
        <f t="shared" si="227"/>
        <v>0</v>
      </c>
      <c r="QKR49" s="375">
        <f t="shared" si="227"/>
        <v>0</v>
      </c>
      <c r="QKS49" s="375">
        <f t="shared" si="227"/>
        <v>0</v>
      </c>
      <c r="QKT49" s="375">
        <f t="shared" si="227"/>
        <v>0</v>
      </c>
      <c r="QKU49" s="375">
        <f t="shared" si="227"/>
        <v>0</v>
      </c>
      <c r="QKV49" s="375">
        <f t="shared" si="227"/>
        <v>0</v>
      </c>
      <c r="QKW49" s="375">
        <f t="shared" si="227"/>
        <v>0</v>
      </c>
      <c r="QKX49" s="375">
        <f t="shared" si="227"/>
        <v>0</v>
      </c>
      <c r="QKY49" s="375">
        <f t="shared" si="227"/>
        <v>0</v>
      </c>
      <c r="QKZ49" s="375">
        <f t="shared" si="227"/>
        <v>0</v>
      </c>
      <c r="QLA49" s="375">
        <f t="shared" si="227"/>
        <v>0</v>
      </c>
      <c r="QLB49" s="375">
        <f t="shared" si="227"/>
        <v>0</v>
      </c>
      <c r="QLC49" s="375">
        <f t="shared" si="227"/>
        <v>0</v>
      </c>
      <c r="QLD49" s="375">
        <f t="shared" si="227"/>
        <v>0</v>
      </c>
      <c r="QLE49" s="375">
        <f t="shared" si="227"/>
        <v>0</v>
      </c>
      <c r="QLF49" s="375">
        <f t="shared" si="227"/>
        <v>0</v>
      </c>
      <c r="QLG49" s="375">
        <f t="shared" si="227"/>
        <v>0</v>
      </c>
      <c r="QLH49" s="375">
        <f t="shared" si="227"/>
        <v>0</v>
      </c>
      <c r="QLI49" s="375">
        <f t="shared" si="227"/>
        <v>0</v>
      </c>
      <c r="QLJ49" s="375">
        <f t="shared" si="227"/>
        <v>0</v>
      </c>
      <c r="QLK49" s="375">
        <f t="shared" si="227"/>
        <v>0</v>
      </c>
      <c r="QLL49" s="375">
        <f t="shared" si="227"/>
        <v>0</v>
      </c>
      <c r="QLM49" s="375">
        <f t="shared" si="227"/>
        <v>0</v>
      </c>
      <c r="QLN49" s="375">
        <f t="shared" si="227"/>
        <v>0</v>
      </c>
      <c r="QLO49" s="375">
        <f t="shared" si="227"/>
        <v>0</v>
      </c>
      <c r="QLP49" s="375">
        <f t="shared" si="227"/>
        <v>0</v>
      </c>
      <c r="QLQ49" s="375">
        <f t="shared" si="227"/>
        <v>0</v>
      </c>
      <c r="QLR49" s="375">
        <f t="shared" si="227"/>
        <v>0</v>
      </c>
      <c r="QLS49" s="375">
        <f t="shared" si="227"/>
        <v>0</v>
      </c>
      <c r="QLT49" s="375">
        <f t="shared" si="227"/>
        <v>0</v>
      </c>
      <c r="QLU49" s="375">
        <f t="shared" si="227"/>
        <v>0</v>
      </c>
      <c r="QLV49" s="375">
        <f t="shared" si="227"/>
        <v>0</v>
      </c>
      <c r="QLW49" s="375">
        <f t="shared" si="227"/>
        <v>0</v>
      </c>
      <c r="QLX49" s="375">
        <f t="shared" si="227"/>
        <v>0</v>
      </c>
      <c r="QLY49" s="375">
        <f t="shared" si="227"/>
        <v>0</v>
      </c>
      <c r="QLZ49" s="375">
        <f t="shared" si="227"/>
        <v>0</v>
      </c>
      <c r="QMA49" s="375">
        <f t="shared" si="227"/>
        <v>0</v>
      </c>
      <c r="QMB49" s="375">
        <f t="shared" si="227"/>
        <v>0</v>
      </c>
      <c r="QMC49" s="375">
        <f t="shared" si="227"/>
        <v>0</v>
      </c>
      <c r="QMD49" s="375">
        <f t="shared" si="227"/>
        <v>0</v>
      </c>
      <c r="QME49" s="375">
        <f t="shared" si="227"/>
        <v>0</v>
      </c>
      <c r="QMF49" s="375">
        <f t="shared" si="227"/>
        <v>0</v>
      </c>
      <c r="QMG49" s="375">
        <f t="shared" si="227"/>
        <v>0</v>
      </c>
      <c r="QMH49" s="375">
        <f t="shared" si="227"/>
        <v>0</v>
      </c>
      <c r="QMI49" s="375">
        <f t="shared" si="227"/>
        <v>0</v>
      </c>
      <c r="QMJ49" s="375">
        <f t="shared" si="227"/>
        <v>0</v>
      </c>
      <c r="QMK49" s="375">
        <f t="shared" ref="QMK49:QOV49" si="228">QMK48*0.8</f>
        <v>0</v>
      </c>
      <c r="QML49" s="375">
        <f t="shared" si="228"/>
        <v>0</v>
      </c>
      <c r="QMM49" s="375">
        <f t="shared" si="228"/>
        <v>0</v>
      </c>
      <c r="QMN49" s="375">
        <f t="shared" si="228"/>
        <v>0</v>
      </c>
      <c r="QMO49" s="375">
        <f t="shared" si="228"/>
        <v>0</v>
      </c>
      <c r="QMP49" s="375">
        <f t="shared" si="228"/>
        <v>0</v>
      </c>
      <c r="QMQ49" s="375">
        <f t="shared" si="228"/>
        <v>0</v>
      </c>
      <c r="QMR49" s="375">
        <f t="shared" si="228"/>
        <v>0</v>
      </c>
      <c r="QMS49" s="375">
        <f t="shared" si="228"/>
        <v>0</v>
      </c>
      <c r="QMT49" s="375">
        <f t="shared" si="228"/>
        <v>0</v>
      </c>
      <c r="QMU49" s="375">
        <f t="shared" si="228"/>
        <v>0</v>
      </c>
      <c r="QMV49" s="375">
        <f t="shared" si="228"/>
        <v>0</v>
      </c>
      <c r="QMW49" s="375">
        <f t="shared" si="228"/>
        <v>0</v>
      </c>
      <c r="QMX49" s="375">
        <f t="shared" si="228"/>
        <v>0</v>
      </c>
      <c r="QMY49" s="375">
        <f t="shared" si="228"/>
        <v>0</v>
      </c>
      <c r="QMZ49" s="375">
        <f t="shared" si="228"/>
        <v>0</v>
      </c>
      <c r="QNA49" s="375">
        <f t="shared" si="228"/>
        <v>0</v>
      </c>
      <c r="QNB49" s="375">
        <f t="shared" si="228"/>
        <v>0</v>
      </c>
      <c r="QNC49" s="375">
        <f t="shared" si="228"/>
        <v>0</v>
      </c>
      <c r="QND49" s="375">
        <f t="shared" si="228"/>
        <v>0</v>
      </c>
      <c r="QNE49" s="375">
        <f t="shared" si="228"/>
        <v>0</v>
      </c>
      <c r="QNF49" s="375">
        <f t="shared" si="228"/>
        <v>0</v>
      </c>
      <c r="QNG49" s="375">
        <f t="shared" si="228"/>
        <v>0</v>
      </c>
      <c r="QNH49" s="375">
        <f t="shared" si="228"/>
        <v>0</v>
      </c>
      <c r="QNI49" s="375">
        <f t="shared" si="228"/>
        <v>0</v>
      </c>
      <c r="QNJ49" s="375">
        <f t="shared" si="228"/>
        <v>0</v>
      </c>
      <c r="QNK49" s="375">
        <f t="shared" si="228"/>
        <v>0</v>
      </c>
      <c r="QNL49" s="375">
        <f t="shared" si="228"/>
        <v>0</v>
      </c>
      <c r="QNM49" s="375">
        <f t="shared" si="228"/>
        <v>0</v>
      </c>
      <c r="QNN49" s="375">
        <f t="shared" si="228"/>
        <v>0</v>
      </c>
      <c r="QNO49" s="375">
        <f t="shared" si="228"/>
        <v>0</v>
      </c>
      <c r="QNP49" s="375">
        <f t="shared" si="228"/>
        <v>0</v>
      </c>
      <c r="QNQ49" s="375">
        <f t="shared" si="228"/>
        <v>0</v>
      </c>
      <c r="QNR49" s="375">
        <f t="shared" si="228"/>
        <v>0</v>
      </c>
      <c r="QNS49" s="375">
        <f t="shared" si="228"/>
        <v>0</v>
      </c>
      <c r="QNT49" s="375">
        <f t="shared" si="228"/>
        <v>0</v>
      </c>
      <c r="QNU49" s="375">
        <f t="shared" si="228"/>
        <v>0</v>
      </c>
      <c r="QNV49" s="375">
        <f t="shared" si="228"/>
        <v>0</v>
      </c>
      <c r="QNW49" s="375">
        <f t="shared" si="228"/>
        <v>0</v>
      </c>
      <c r="QNX49" s="375">
        <f t="shared" si="228"/>
        <v>0</v>
      </c>
      <c r="QNY49" s="375">
        <f t="shared" si="228"/>
        <v>0</v>
      </c>
      <c r="QNZ49" s="375">
        <f t="shared" si="228"/>
        <v>0</v>
      </c>
      <c r="QOA49" s="375">
        <f t="shared" si="228"/>
        <v>0</v>
      </c>
      <c r="QOB49" s="375">
        <f t="shared" si="228"/>
        <v>0</v>
      </c>
      <c r="QOC49" s="375">
        <f t="shared" si="228"/>
        <v>0</v>
      </c>
      <c r="QOD49" s="375">
        <f t="shared" si="228"/>
        <v>0</v>
      </c>
      <c r="QOE49" s="375">
        <f t="shared" si="228"/>
        <v>0</v>
      </c>
      <c r="QOF49" s="375">
        <f t="shared" si="228"/>
        <v>0</v>
      </c>
      <c r="QOG49" s="375">
        <f t="shared" si="228"/>
        <v>0</v>
      </c>
      <c r="QOH49" s="375">
        <f t="shared" si="228"/>
        <v>0</v>
      </c>
      <c r="QOI49" s="375">
        <f t="shared" si="228"/>
        <v>0</v>
      </c>
      <c r="QOJ49" s="375">
        <f t="shared" si="228"/>
        <v>0</v>
      </c>
      <c r="QOK49" s="375">
        <f t="shared" si="228"/>
        <v>0</v>
      </c>
      <c r="QOL49" s="375">
        <f t="shared" si="228"/>
        <v>0</v>
      </c>
      <c r="QOM49" s="375">
        <f t="shared" si="228"/>
        <v>0</v>
      </c>
      <c r="QON49" s="375">
        <f t="shared" si="228"/>
        <v>0</v>
      </c>
      <c r="QOO49" s="375">
        <f t="shared" si="228"/>
        <v>0</v>
      </c>
      <c r="QOP49" s="375">
        <f t="shared" si="228"/>
        <v>0</v>
      </c>
      <c r="QOQ49" s="375">
        <f t="shared" si="228"/>
        <v>0</v>
      </c>
      <c r="QOR49" s="375">
        <f t="shared" si="228"/>
        <v>0</v>
      </c>
      <c r="QOS49" s="375">
        <f t="shared" si="228"/>
        <v>0</v>
      </c>
      <c r="QOT49" s="375">
        <f t="shared" si="228"/>
        <v>0</v>
      </c>
      <c r="QOU49" s="375">
        <f t="shared" si="228"/>
        <v>0</v>
      </c>
      <c r="QOV49" s="375">
        <f t="shared" si="228"/>
        <v>0</v>
      </c>
      <c r="QOW49" s="375">
        <f t="shared" ref="QOW49:QRH49" si="229">QOW48*0.8</f>
        <v>0</v>
      </c>
      <c r="QOX49" s="375">
        <f t="shared" si="229"/>
        <v>0</v>
      </c>
      <c r="QOY49" s="375">
        <f t="shared" si="229"/>
        <v>0</v>
      </c>
      <c r="QOZ49" s="375">
        <f t="shared" si="229"/>
        <v>0</v>
      </c>
      <c r="QPA49" s="375">
        <f t="shared" si="229"/>
        <v>0</v>
      </c>
      <c r="QPB49" s="375">
        <f t="shared" si="229"/>
        <v>0</v>
      </c>
      <c r="QPC49" s="375">
        <f t="shared" si="229"/>
        <v>0</v>
      </c>
      <c r="QPD49" s="375">
        <f t="shared" si="229"/>
        <v>0</v>
      </c>
      <c r="QPE49" s="375">
        <f t="shared" si="229"/>
        <v>0</v>
      </c>
      <c r="QPF49" s="375">
        <f t="shared" si="229"/>
        <v>0</v>
      </c>
      <c r="QPG49" s="375">
        <f t="shared" si="229"/>
        <v>0</v>
      </c>
      <c r="QPH49" s="375">
        <f t="shared" si="229"/>
        <v>0</v>
      </c>
      <c r="QPI49" s="375">
        <f t="shared" si="229"/>
        <v>0</v>
      </c>
      <c r="QPJ49" s="375">
        <f t="shared" si="229"/>
        <v>0</v>
      </c>
      <c r="QPK49" s="375">
        <f t="shared" si="229"/>
        <v>0</v>
      </c>
      <c r="QPL49" s="375">
        <f t="shared" si="229"/>
        <v>0</v>
      </c>
      <c r="QPM49" s="375">
        <f t="shared" si="229"/>
        <v>0</v>
      </c>
      <c r="QPN49" s="375">
        <f t="shared" si="229"/>
        <v>0</v>
      </c>
      <c r="QPO49" s="375">
        <f t="shared" si="229"/>
        <v>0</v>
      </c>
      <c r="QPP49" s="375">
        <f t="shared" si="229"/>
        <v>0</v>
      </c>
      <c r="QPQ49" s="375">
        <f t="shared" si="229"/>
        <v>0</v>
      </c>
      <c r="QPR49" s="375">
        <f t="shared" si="229"/>
        <v>0</v>
      </c>
      <c r="QPS49" s="375">
        <f t="shared" si="229"/>
        <v>0</v>
      </c>
      <c r="QPT49" s="375">
        <f t="shared" si="229"/>
        <v>0</v>
      </c>
      <c r="QPU49" s="375">
        <f t="shared" si="229"/>
        <v>0</v>
      </c>
      <c r="QPV49" s="375">
        <f t="shared" si="229"/>
        <v>0</v>
      </c>
      <c r="QPW49" s="375">
        <f t="shared" si="229"/>
        <v>0</v>
      </c>
      <c r="QPX49" s="375">
        <f t="shared" si="229"/>
        <v>0</v>
      </c>
      <c r="QPY49" s="375">
        <f t="shared" si="229"/>
        <v>0</v>
      </c>
      <c r="QPZ49" s="375">
        <f t="shared" si="229"/>
        <v>0</v>
      </c>
      <c r="QQA49" s="375">
        <f t="shared" si="229"/>
        <v>0</v>
      </c>
      <c r="QQB49" s="375">
        <f t="shared" si="229"/>
        <v>0</v>
      </c>
      <c r="QQC49" s="375">
        <f t="shared" si="229"/>
        <v>0</v>
      </c>
      <c r="QQD49" s="375">
        <f t="shared" si="229"/>
        <v>0</v>
      </c>
      <c r="QQE49" s="375">
        <f t="shared" si="229"/>
        <v>0</v>
      </c>
      <c r="QQF49" s="375">
        <f t="shared" si="229"/>
        <v>0</v>
      </c>
      <c r="QQG49" s="375">
        <f t="shared" si="229"/>
        <v>0</v>
      </c>
      <c r="QQH49" s="375">
        <f t="shared" si="229"/>
        <v>0</v>
      </c>
      <c r="QQI49" s="375">
        <f t="shared" si="229"/>
        <v>0</v>
      </c>
      <c r="QQJ49" s="375">
        <f t="shared" si="229"/>
        <v>0</v>
      </c>
      <c r="QQK49" s="375">
        <f t="shared" si="229"/>
        <v>0</v>
      </c>
      <c r="QQL49" s="375">
        <f t="shared" si="229"/>
        <v>0</v>
      </c>
      <c r="QQM49" s="375">
        <f t="shared" si="229"/>
        <v>0</v>
      </c>
      <c r="QQN49" s="375">
        <f t="shared" si="229"/>
        <v>0</v>
      </c>
      <c r="QQO49" s="375">
        <f t="shared" si="229"/>
        <v>0</v>
      </c>
      <c r="QQP49" s="375">
        <f t="shared" si="229"/>
        <v>0</v>
      </c>
      <c r="QQQ49" s="375">
        <f t="shared" si="229"/>
        <v>0</v>
      </c>
      <c r="QQR49" s="375">
        <f t="shared" si="229"/>
        <v>0</v>
      </c>
      <c r="QQS49" s="375">
        <f t="shared" si="229"/>
        <v>0</v>
      </c>
      <c r="QQT49" s="375">
        <f t="shared" si="229"/>
        <v>0</v>
      </c>
      <c r="QQU49" s="375">
        <f t="shared" si="229"/>
        <v>0</v>
      </c>
      <c r="QQV49" s="375">
        <f t="shared" si="229"/>
        <v>0</v>
      </c>
      <c r="QQW49" s="375">
        <f t="shared" si="229"/>
        <v>0</v>
      </c>
      <c r="QQX49" s="375">
        <f t="shared" si="229"/>
        <v>0</v>
      </c>
      <c r="QQY49" s="375">
        <f t="shared" si="229"/>
        <v>0</v>
      </c>
      <c r="QQZ49" s="375">
        <f t="shared" si="229"/>
        <v>0</v>
      </c>
      <c r="QRA49" s="375">
        <f t="shared" si="229"/>
        <v>0</v>
      </c>
      <c r="QRB49" s="375">
        <f t="shared" si="229"/>
        <v>0</v>
      </c>
      <c r="QRC49" s="375">
        <f t="shared" si="229"/>
        <v>0</v>
      </c>
      <c r="QRD49" s="375">
        <f t="shared" si="229"/>
        <v>0</v>
      </c>
      <c r="QRE49" s="375">
        <f t="shared" si="229"/>
        <v>0</v>
      </c>
      <c r="QRF49" s="375">
        <f t="shared" si="229"/>
        <v>0</v>
      </c>
      <c r="QRG49" s="375">
        <f t="shared" si="229"/>
        <v>0</v>
      </c>
      <c r="QRH49" s="375">
        <f t="shared" si="229"/>
        <v>0</v>
      </c>
      <c r="QRI49" s="375">
        <f t="shared" ref="QRI49:QTT49" si="230">QRI48*0.8</f>
        <v>0</v>
      </c>
      <c r="QRJ49" s="375">
        <f t="shared" si="230"/>
        <v>0</v>
      </c>
      <c r="QRK49" s="375">
        <f t="shared" si="230"/>
        <v>0</v>
      </c>
      <c r="QRL49" s="375">
        <f t="shared" si="230"/>
        <v>0</v>
      </c>
      <c r="QRM49" s="375">
        <f t="shared" si="230"/>
        <v>0</v>
      </c>
      <c r="QRN49" s="375">
        <f t="shared" si="230"/>
        <v>0</v>
      </c>
      <c r="QRO49" s="375">
        <f t="shared" si="230"/>
        <v>0</v>
      </c>
      <c r="QRP49" s="375">
        <f t="shared" si="230"/>
        <v>0</v>
      </c>
      <c r="QRQ49" s="375">
        <f t="shared" si="230"/>
        <v>0</v>
      </c>
      <c r="QRR49" s="375">
        <f t="shared" si="230"/>
        <v>0</v>
      </c>
      <c r="QRS49" s="375">
        <f t="shared" si="230"/>
        <v>0</v>
      </c>
      <c r="QRT49" s="375">
        <f t="shared" si="230"/>
        <v>0</v>
      </c>
      <c r="QRU49" s="375">
        <f t="shared" si="230"/>
        <v>0</v>
      </c>
      <c r="QRV49" s="375">
        <f t="shared" si="230"/>
        <v>0</v>
      </c>
      <c r="QRW49" s="375">
        <f t="shared" si="230"/>
        <v>0</v>
      </c>
      <c r="QRX49" s="375">
        <f t="shared" si="230"/>
        <v>0</v>
      </c>
      <c r="QRY49" s="375">
        <f t="shared" si="230"/>
        <v>0</v>
      </c>
      <c r="QRZ49" s="375">
        <f t="shared" si="230"/>
        <v>0</v>
      </c>
      <c r="QSA49" s="375">
        <f t="shared" si="230"/>
        <v>0</v>
      </c>
      <c r="QSB49" s="375">
        <f t="shared" si="230"/>
        <v>0</v>
      </c>
      <c r="QSC49" s="375">
        <f t="shared" si="230"/>
        <v>0</v>
      </c>
      <c r="QSD49" s="375">
        <f t="shared" si="230"/>
        <v>0</v>
      </c>
      <c r="QSE49" s="375">
        <f t="shared" si="230"/>
        <v>0</v>
      </c>
      <c r="QSF49" s="375">
        <f t="shared" si="230"/>
        <v>0</v>
      </c>
      <c r="QSG49" s="375">
        <f t="shared" si="230"/>
        <v>0</v>
      </c>
      <c r="QSH49" s="375">
        <f t="shared" si="230"/>
        <v>0</v>
      </c>
      <c r="QSI49" s="375">
        <f t="shared" si="230"/>
        <v>0</v>
      </c>
      <c r="QSJ49" s="375">
        <f t="shared" si="230"/>
        <v>0</v>
      </c>
      <c r="QSK49" s="375">
        <f t="shared" si="230"/>
        <v>0</v>
      </c>
      <c r="QSL49" s="375">
        <f t="shared" si="230"/>
        <v>0</v>
      </c>
      <c r="QSM49" s="375">
        <f t="shared" si="230"/>
        <v>0</v>
      </c>
      <c r="QSN49" s="375">
        <f t="shared" si="230"/>
        <v>0</v>
      </c>
      <c r="QSO49" s="375">
        <f t="shared" si="230"/>
        <v>0</v>
      </c>
      <c r="QSP49" s="375">
        <f t="shared" si="230"/>
        <v>0</v>
      </c>
      <c r="QSQ49" s="375">
        <f t="shared" si="230"/>
        <v>0</v>
      </c>
      <c r="QSR49" s="375">
        <f t="shared" si="230"/>
        <v>0</v>
      </c>
      <c r="QSS49" s="375">
        <f t="shared" si="230"/>
        <v>0</v>
      </c>
      <c r="QST49" s="375">
        <f t="shared" si="230"/>
        <v>0</v>
      </c>
      <c r="QSU49" s="375">
        <f t="shared" si="230"/>
        <v>0</v>
      </c>
      <c r="QSV49" s="375">
        <f t="shared" si="230"/>
        <v>0</v>
      </c>
      <c r="QSW49" s="375">
        <f t="shared" si="230"/>
        <v>0</v>
      </c>
      <c r="QSX49" s="375">
        <f t="shared" si="230"/>
        <v>0</v>
      </c>
      <c r="QSY49" s="375">
        <f t="shared" si="230"/>
        <v>0</v>
      </c>
      <c r="QSZ49" s="375">
        <f t="shared" si="230"/>
        <v>0</v>
      </c>
      <c r="QTA49" s="375">
        <f t="shared" si="230"/>
        <v>0</v>
      </c>
      <c r="QTB49" s="375">
        <f t="shared" si="230"/>
        <v>0</v>
      </c>
      <c r="QTC49" s="375">
        <f t="shared" si="230"/>
        <v>0</v>
      </c>
      <c r="QTD49" s="375">
        <f t="shared" si="230"/>
        <v>0</v>
      </c>
      <c r="QTE49" s="375">
        <f t="shared" si="230"/>
        <v>0</v>
      </c>
      <c r="QTF49" s="375">
        <f t="shared" si="230"/>
        <v>0</v>
      </c>
      <c r="QTG49" s="375">
        <f t="shared" si="230"/>
        <v>0</v>
      </c>
      <c r="QTH49" s="375">
        <f t="shared" si="230"/>
        <v>0</v>
      </c>
      <c r="QTI49" s="375">
        <f t="shared" si="230"/>
        <v>0</v>
      </c>
      <c r="QTJ49" s="375">
        <f t="shared" si="230"/>
        <v>0</v>
      </c>
      <c r="QTK49" s="375">
        <f t="shared" si="230"/>
        <v>0</v>
      </c>
      <c r="QTL49" s="375">
        <f t="shared" si="230"/>
        <v>0</v>
      </c>
      <c r="QTM49" s="375">
        <f t="shared" si="230"/>
        <v>0</v>
      </c>
      <c r="QTN49" s="375">
        <f t="shared" si="230"/>
        <v>0</v>
      </c>
      <c r="QTO49" s="375">
        <f t="shared" si="230"/>
        <v>0</v>
      </c>
      <c r="QTP49" s="375">
        <f t="shared" si="230"/>
        <v>0</v>
      </c>
      <c r="QTQ49" s="375">
        <f t="shared" si="230"/>
        <v>0</v>
      </c>
      <c r="QTR49" s="375">
        <f t="shared" si="230"/>
        <v>0</v>
      </c>
      <c r="QTS49" s="375">
        <f t="shared" si="230"/>
        <v>0</v>
      </c>
      <c r="QTT49" s="375">
        <f t="shared" si="230"/>
        <v>0</v>
      </c>
      <c r="QTU49" s="375">
        <f t="shared" ref="QTU49:QWF49" si="231">QTU48*0.8</f>
        <v>0</v>
      </c>
      <c r="QTV49" s="375">
        <f t="shared" si="231"/>
        <v>0</v>
      </c>
      <c r="QTW49" s="375">
        <f t="shared" si="231"/>
        <v>0</v>
      </c>
      <c r="QTX49" s="375">
        <f t="shared" si="231"/>
        <v>0</v>
      </c>
      <c r="QTY49" s="375">
        <f t="shared" si="231"/>
        <v>0</v>
      </c>
      <c r="QTZ49" s="375">
        <f t="shared" si="231"/>
        <v>0</v>
      </c>
      <c r="QUA49" s="375">
        <f t="shared" si="231"/>
        <v>0</v>
      </c>
      <c r="QUB49" s="375">
        <f t="shared" si="231"/>
        <v>0</v>
      </c>
      <c r="QUC49" s="375">
        <f t="shared" si="231"/>
        <v>0</v>
      </c>
      <c r="QUD49" s="375">
        <f t="shared" si="231"/>
        <v>0</v>
      </c>
      <c r="QUE49" s="375">
        <f t="shared" si="231"/>
        <v>0</v>
      </c>
      <c r="QUF49" s="375">
        <f t="shared" si="231"/>
        <v>0</v>
      </c>
      <c r="QUG49" s="375">
        <f t="shared" si="231"/>
        <v>0</v>
      </c>
      <c r="QUH49" s="375">
        <f t="shared" si="231"/>
        <v>0</v>
      </c>
      <c r="QUI49" s="375">
        <f t="shared" si="231"/>
        <v>0</v>
      </c>
      <c r="QUJ49" s="375">
        <f t="shared" si="231"/>
        <v>0</v>
      </c>
      <c r="QUK49" s="375">
        <f t="shared" si="231"/>
        <v>0</v>
      </c>
      <c r="QUL49" s="375">
        <f t="shared" si="231"/>
        <v>0</v>
      </c>
      <c r="QUM49" s="375">
        <f t="shared" si="231"/>
        <v>0</v>
      </c>
      <c r="QUN49" s="375">
        <f t="shared" si="231"/>
        <v>0</v>
      </c>
      <c r="QUO49" s="375">
        <f t="shared" si="231"/>
        <v>0</v>
      </c>
      <c r="QUP49" s="375">
        <f t="shared" si="231"/>
        <v>0</v>
      </c>
      <c r="QUQ49" s="375">
        <f t="shared" si="231"/>
        <v>0</v>
      </c>
      <c r="QUR49" s="375">
        <f t="shared" si="231"/>
        <v>0</v>
      </c>
      <c r="QUS49" s="375">
        <f t="shared" si="231"/>
        <v>0</v>
      </c>
      <c r="QUT49" s="375">
        <f t="shared" si="231"/>
        <v>0</v>
      </c>
      <c r="QUU49" s="375">
        <f t="shared" si="231"/>
        <v>0</v>
      </c>
      <c r="QUV49" s="375">
        <f t="shared" si="231"/>
        <v>0</v>
      </c>
      <c r="QUW49" s="375">
        <f t="shared" si="231"/>
        <v>0</v>
      </c>
      <c r="QUX49" s="375">
        <f t="shared" si="231"/>
        <v>0</v>
      </c>
      <c r="QUY49" s="375">
        <f t="shared" si="231"/>
        <v>0</v>
      </c>
      <c r="QUZ49" s="375">
        <f t="shared" si="231"/>
        <v>0</v>
      </c>
      <c r="QVA49" s="375">
        <f t="shared" si="231"/>
        <v>0</v>
      </c>
      <c r="QVB49" s="375">
        <f t="shared" si="231"/>
        <v>0</v>
      </c>
      <c r="QVC49" s="375">
        <f t="shared" si="231"/>
        <v>0</v>
      </c>
      <c r="QVD49" s="375">
        <f t="shared" si="231"/>
        <v>0</v>
      </c>
      <c r="QVE49" s="375">
        <f t="shared" si="231"/>
        <v>0</v>
      </c>
      <c r="QVF49" s="375">
        <f t="shared" si="231"/>
        <v>0</v>
      </c>
      <c r="QVG49" s="375">
        <f t="shared" si="231"/>
        <v>0</v>
      </c>
      <c r="QVH49" s="375">
        <f t="shared" si="231"/>
        <v>0</v>
      </c>
      <c r="QVI49" s="375">
        <f t="shared" si="231"/>
        <v>0</v>
      </c>
      <c r="QVJ49" s="375">
        <f t="shared" si="231"/>
        <v>0</v>
      </c>
      <c r="QVK49" s="375">
        <f t="shared" si="231"/>
        <v>0</v>
      </c>
      <c r="QVL49" s="375">
        <f t="shared" si="231"/>
        <v>0</v>
      </c>
      <c r="QVM49" s="375">
        <f t="shared" si="231"/>
        <v>0</v>
      </c>
      <c r="QVN49" s="375">
        <f t="shared" si="231"/>
        <v>0</v>
      </c>
      <c r="QVO49" s="375">
        <f t="shared" si="231"/>
        <v>0</v>
      </c>
      <c r="QVP49" s="375">
        <f t="shared" si="231"/>
        <v>0</v>
      </c>
      <c r="QVQ49" s="375">
        <f t="shared" si="231"/>
        <v>0</v>
      </c>
      <c r="QVR49" s="375">
        <f t="shared" si="231"/>
        <v>0</v>
      </c>
      <c r="QVS49" s="375">
        <f t="shared" si="231"/>
        <v>0</v>
      </c>
      <c r="QVT49" s="375">
        <f t="shared" si="231"/>
        <v>0</v>
      </c>
      <c r="QVU49" s="375">
        <f t="shared" si="231"/>
        <v>0</v>
      </c>
      <c r="QVV49" s="375">
        <f t="shared" si="231"/>
        <v>0</v>
      </c>
      <c r="QVW49" s="375">
        <f t="shared" si="231"/>
        <v>0</v>
      </c>
      <c r="QVX49" s="375">
        <f t="shared" si="231"/>
        <v>0</v>
      </c>
      <c r="QVY49" s="375">
        <f t="shared" si="231"/>
        <v>0</v>
      </c>
      <c r="QVZ49" s="375">
        <f t="shared" si="231"/>
        <v>0</v>
      </c>
      <c r="QWA49" s="375">
        <f t="shared" si="231"/>
        <v>0</v>
      </c>
      <c r="QWB49" s="375">
        <f t="shared" si="231"/>
        <v>0</v>
      </c>
      <c r="QWC49" s="375">
        <f t="shared" si="231"/>
        <v>0</v>
      </c>
      <c r="QWD49" s="375">
        <f t="shared" si="231"/>
        <v>0</v>
      </c>
      <c r="QWE49" s="375">
        <f t="shared" si="231"/>
        <v>0</v>
      </c>
      <c r="QWF49" s="375">
        <f t="shared" si="231"/>
        <v>0</v>
      </c>
      <c r="QWG49" s="375">
        <f t="shared" ref="QWG49:QYR49" si="232">QWG48*0.8</f>
        <v>0</v>
      </c>
      <c r="QWH49" s="375">
        <f t="shared" si="232"/>
        <v>0</v>
      </c>
      <c r="QWI49" s="375">
        <f t="shared" si="232"/>
        <v>0</v>
      </c>
      <c r="QWJ49" s="375">
        <f t="shared" si="232"/>
        <v>0</v>
      </c>
      <c r="QWK49" s="375">
        <f t="shared" si="232"/>
        <v>0</v>
      </c>
      <c r="QWL49" s="375">
        <f t="shared" si="232"/>
        <v>0</v>
      </c>
      <c r="QWM49" s="375">
        <f t="shared" si="232"/>
        <v>0</v>
      </c>
      <c r="QWN49" s="375">
        <f t="shared" si="232"/>
        <v>0</v>
      </c>
      <c r="QWO49" s="375">
        <f t="shared" si="232"/>
        <v>0</v>
      </c>
      <c r="QWP49" s="375">
        <f t="shared" si="232"/>
        <v>0</v>
      </c>
      <c r="QWQ49" s="375">
        <f t="shared" si="232"/>
        <v>0</v>
      </c>
      <c r="QWR49" s="375">
        <f t="shared" si="232"/>
        <v>0</v>
      </c>
      <c r="QWS49" s="375">
        <f t="shared" si="232"/>
        <v>0</v>
      </c>
      <c r="QWT49" s="375">
        <f t="shared" si="232"/>
        <v>0</v>
      </c>
      <c r="QWU49" s="375">
        <f t="shared" si="232"/>
        <v>0</v>
      </c>
      <c r="QWV49" s="375">
        <f t="shared" si="232"/>
        <v>0</v>
      </c>
      <c r="QWW49" s="375">
        <f t="shared" si="232"/>
        <v>0</v>
      </c>
      <c r="QWX49" s="375">
        <f t="shared" si="232"/>
        <v>0</v>
      </c>
      <c r="QWY49" s="375">
        <f t="shared" si="232"/>
        <v>0</v>
      </c>
      <c r="QWZ49" s="375">
        <f t="shared" si="232"/>
        <v>0</v>
      </c>
      <c r="QXA49" s="375">
        <f t="shared" si="232"/>
        <v>0</v>
      </c>
      <c r="QXB49" s="375">
        <f t="shared" si="232"/>
        <v>0</v>
      </c>
      <c r="QXC49" s="375">
        <f t="shared" si="232"/>
        <v>0</v>
      </c>
      <c r="QXD49" s="375">
        <f t="shared" si="232"/>
        <v>0</v>
      </c>
      <c r="QXE49" s="375">
        <f t="shared" si="232"/>
        <v>0</v>
      </c>
      <c r="QXF49" s="375">
        <f t="shared" si="232"/>
        <v>0</v>
      </c>
      <c r="QXG49" s="375">
        <f t="shared" si="232"/>
        <v>0</v>
      </c>
      <c r="QXH49" s="375">
        <f t="shared" si="232"/>
        <v>0</v>
      </c>
      <c r="QXI49" s="375">
        <f t="shared" si="232"/>
        <v>0</v>
      </c>
      <c r="QXJ49" s="375">
        <f t="shared" si="232"/>
        <v>0</v>
      </c>
      <c r="QXK49" s="375">
        <f t="shared" si="232"/>
        <v>0</v>
      </c>
      <c r="QXL49" s="375">
        <f t="shared" si="232"/>
        <v>0</v>
      </c>
      <c r="QXM49" s="375">
        <f t="shared" si="232"/>
        <v>0</v>
      </c>
      <c r="QXN49" s="375">
        <f t="shared" si="232"/>
        <v>0</v>
      </c>
      <c r="QXO49" s="375">
        <f t="shared" si="232"/>
        <v>0</v>
      </c>
      <c r="QXP49" s="375">
        <f t="shared" si="232"/>
        <v>0</v>
      </c>
      <c r="QXQ49" s="375">
        <f t="shared" si="232"/>
        <v>0</v>
      </c>
      <c r="QXR49" s="375">
        <f t="shared" si="232"/>
        <v>0</v>
      </c>
      <c r="QXS49" s="375">
        <f t="shared" si="232"/>
        <v>0</v>
      </c>
      <c r="QXT49" s="375">
        <f t="shared" si="232"/>
        <v>0</v>
      </c>
      <c r="QXU49" s="375">
        <f t="shared" si="232"/>
        <v>0</v>
      </c>
      <c r="QXV49" s="375">
        <f t="shared" si="232"/>
        <v>0</v>
      </c>
      <c r="QXW49" s="375">
        <f t="shared" si="232"/>
        <v>0</v>
      </c>
      <c r="QXX49" s="375">
        <f t="shared" si="232"/>
        <v>0</v>
      </c>
      <c r="QXY49" s="375">
        <f t="shared" si="232"/>
        <v>0</v>
      </c>
      <c r="QXZ49" s="375">
        <f t="shared" si="232"/>
        <v>0</v>
      </c>
      <c r="QYA49" s="375">
        <f t="shared" si="232"/>
        <v>0</v>
      </c>
      <c r="QYB49" s="375">
        <f t="shared" si="232"/>
        <v>0</v>
      </c>
      <c r="QYC49" s="375">
        <f t="shared" si="232"/>
        <v>0</v>
      </c>
      <c r="QYD49" s="375">
        <f t="shared" si="232"/>
        <v>0</v>
      </c>
      <c r="QYE49" s="375">
        <f t="shared" si="232"/>
        <v>0</v>
      </c>
      <c r="QYF49" s="375">
        <f t="shared" si="232"/>
        <v>0</v>
      </c>
      <c r="QYG49" s="375">
        <f t="shared" si="232"/>
        <v>0</v>
      </c>
      <c r="QYH49" s="375">
        <f t="shared" si="232"/>
        <v>0</v>
      </c>
      <c r="QYI49" s="375">
        <f t="shared" si="232"/>
        <v>0</v>
      </c>
      <c r="QYJ49" s="375">
        <f t="shared" si="232"/>
        <v>0</v>
      </c>
      <c r="QYK49" s="375">
        <f t="shared" si="232"/>
        <v>0</v>
      </c>
      <c r="QYL49" s="375">
        <f t="shared" si="232"/>
        <v>0</v>
      </c>
      <c r="QYM49" s="375">
        <f t="shared" si="232"/>
        <v>0</v>
      </c>
      <c r="QYN49" s="375">
        <f t="shared" si="232"/>
        <v>0</v>
      </c>
      <c r="QYO49" s="375">
        <f t="shared" si="232"/>
        <v>0</v>
      </c>
      <c r="QYP49" s="375">
        <f t="shared" si="232"/>
        <v>0</v>
      </c>
      <c r="QYQ49" s="375">
        <f t="shared" si="232"/>
        <v>0</v>
      </c>
      <c r="QYR49" s="375">
        <f t="shared" si="232"/>
        <v>0</v>
      </c>
      <c r="QYS49" s="375">
        <f t="shared" ref="QYS49:RBD49" si="233">QYS48*0.8</f>
        <v>0</v>
      </c>
      <c r="QYT49" s="375">
        <f t="shared" si="233"/>
        <v>0</v>
      </c>
      <c r="QYU49" s="375">
        <f t="shared" si="233"/>
        <v>0</v>
      </c>
      <c r="QYV49" s="375">
        <f t="shared" si="233"/>
        <v>0</v>
      </c>
      <c r="QYW49" s="375">
        <f t="shared" si="233"/>
        <v>0</v>
      </c>
      <c r="QYX49" s="375">
        <f t="shared" si="233"/>
        <v>0</v>
      </c>
      <c r="QYY49" s="375">
        <f t="shared" si="233"/>
        <v>0</v>
      </c>
      <c r="QYZ49" s="375">
        <f t="shared" si="233"/>
        <v>0</v>
      </c>
      <c r="QZA49" s="375">
        <f t="shared" si="233"/>
        <v>0</v>
      </c>
      <c r="QZB49" s="375">
        <f t="shared" si="233"/>
        <v>0</v>
      </c>
      <c r="QZC49" s="375">
        <f t="shared" si="233"/>
        <v>0</v>
      </c>
      <c r="QZD49" s="375">
        <f t="shared" si="233"/>
        <v>0</v>
      </c>
      <c r="QZE49" s="375">
        <f t="shared" si="233"/>
        <v>0</v>
      </c>
      <c r="QZF49" s="375">
        <f t="shared" si="233"/>
        <v>0</v>
      </c>
      <c r="QZG49" s="375">
        <f t="shared" si="233"/>
        <v>0</v>
      </c>
      <c r="QZH49" s="375">
        <f t="shared" si="233"/>
        <v>0</v>
      </c>
      <c r="QZI49" s="375">
        <f t="shared" si="233"/>
        <v>0</v>
      </c>
      <c r="QZJ49" s="375">
        <f t="shared" si="233"/>
        <v>0</v>
      </c>
      <c r="QZK49" s="375">
        <f t="shared" si="233"/>
        <v>0</v>
      </c>
      <c r="QZL49" s="375">
        <f t="shared" si="233"/>
        <v>0</v>
      </c>
      <c r="QZM49" s="375">
        <f t="shared" si="233"/>
        <v>0</v>
      </c>
      <c r="QZN49" s="375">
        <f t="shared" si="233"/>
        <v>0</v>
      </c>
      <c r="QZO49" s="375">
        <f t="shared" si="233"/>
        <v>0</v>
      </c>
      <c r="QZP49" s="375">
        <f t="shared" si="233"/>
        <v>0</v>
      </c>
      <c r="QZQ49" s="375">
        <f t="shared" si="233"/>
        <v>0</v>
      </c>
      <c r="QZR49" s="375">
        <f t="shared" si="233"/>
        <v>0</v>
      </c>
      <c r="QZS49" s="375">
        <f t="shared" si="233"/>
        <v>0</v>
      </c>
      <c r="QZT49" s="375">
        <f t="shared" si="233"/>
        <v>0</v>
      </c>
      <c r="QZU49" s="375">
        <f t="shared" si="233"/>
        <v>0</v>
      </c>
      <c r="QZV49" s="375">
        <f t="shared" si="233"/>
        <v>0</v>
      </c>
      <c r="QZW49" s="375">
        <f t="shared" si="233"/>
        <v>0</v>
      </c>
      <c r="QZX49" s="375">
        <f t="shared" si="233"/>
        <v>0</v>
      </c>
      <c r="QZY49" s="375">
        <f t="shared" si="233"/>
        <v>0</v>
      </c>
      <c r="QZZ49" s="375">
        <f t="shared" si="233"/>
        <v>0</v>
      </c>
      <c r="RAA49" s="375">
        <f t="shared" si="233"/>
        <v>0</v>
      </c>
      <c r="RAB49" s="375">
        <f t="shared" si="233"/>
        <v>0</v>
      </c>
      <c r="RAC49" s="375">
        <f t="shared" si="233"/>
        <v>0</v>
      </c>
      <c r="RAD49" s="375">
        <f t="shared" si="233"/>
        <v>0</v>
      </c>
      <c r="RAE49" s="375">
        <f t="shared" si="233"/>
        <v>0</v>
      </c>
      <c r="RAF49" s="375">
        <f t="shared" si="233"/>
        <v>0</v>
      </c>
      <c r="RAG49" s="375">
        <f t="shared" si="233"/>
        <v>0</v>
      </c>
      <c r="RAH49" s="375">
        <f t="shared" si="233"/>
        <v>0</v>
      </c>
      <c r="RAI49" s="375">
        <f t="shared" si="233"/>
        <v>0</v>
      </c>
      <c r="RAJ49" s="375">
        <f t="shared" si="233"/>
        <v>0</v>
      </c>
      <c r="RAK49" s="375">
        <f t="shared" si="233"/>
        <v>0</v>
      </c>
      <c r="RAL49" s="375">
        <f t="shared" si="233"/>
        <v>0</v>
      </c>
      <c r="RAM49" s="375">
        <f t="shared" si="233"/>
        <v>0</v>
      </c>
      <c r="RAN49" s="375">
        <f t="shared" si="233"/>
        <v>0</v>
      </c>
      <c r="RAO49" s="375">
        <f t="shared" si="233"/>
        <v>0</v>
      </c>
      <c r="RAP49" s="375">
        <f t="shared" si="233"/>
        <v>0</v>
      </c>
      <c r="RAQ49" s="375">
        <f t="shared" si="233"/>
        <v>0</v>
      </c>
      <c r="RAR49" s="375">
        <f t="shared" si="233"/>
        <v>0</v>
      </c>
      <c r="RAS49" s="375">
        <f t="shared" si="233"/>
        <v>0</v>
      </c>
      <c r="RAT49" s="375">
        <f t="shared" si="233"/>
        <v>0</v>
      </c>
      <c r="RAU49" s="375">
        <f t="shared" si="233"/>
        <v>0</v>
      </c>
      <c r="RAV49" s="375">
        <f t="shared" si="233"/>
        <v>0</v>
      </c>
      <c r="RAW49" s="375">
        <f t="shared" si="233"/>
        <v>0</v>
      </c>
      <c r="RAX49" s="375">
        <f t="shared" si="233"/>
        <v>0</v>
      </c>
      <c r="RAY49" s="375">
        <f t="shared" si="233"/>
        <v>0</v>
      </c>
      <c r="RAZ49" s="375">
        <f t="shared" si="233"/>
        <v>0</v>
      </c>
      <c r="RBA49" s="375">
        <f t="shared" si="233"/>
        <v>0</v>
      </c>
      <c r="RBB49" s="375">
        <f t="shared" si="233"/>
        <v>0</v>
      </c>
      <c r="RBC49" s="375">
        <f t="shared" si="233"/>
        <v>0</v>
      </c>
      <c r="RBD49" s="375">
        <f t="shared" si="233"/>
        <v>0</v>
      </c>
      <c r="RBE49" s="375">
        <f t="shared" ref="RBE49:RDP49" si="234">RBE48*0.8</f>
        <v>0</v>
      </c>
      <c r="RBF49" s="375">
        <f t="shared" si="234"/>
        <v>0</v>
      </c>
      <c r="RBG49" s="375">
        <f t="shared" si="234"/>
        <v>0</v>
      </c>
      <c r="RBH49" s="375">
        <f t="shared" si="234"/>
        <v>0</v>
      </c>
      <c r="RBI49" s="375">
        <f t="shared" si="234"/>
        <v>0</v>
      </c>
      <c r="RBJ49" s="375">
        <f t="shared" si="234"/>
        <v>0</v>
      </c>
      <c r="RBK49" s="375">
        <f t="shared" si="234"/>
        <v>0</v>
      </c>
      <c r="RBL49" s="375">
        <f t="shared" si="234"/>
        <v>0</v>
      </c>
      <c r="RBM49" s="375">
        <f t="shared" si="234"/>
        <v>0</v>
      </c>
      <c r="RBN49" s="375">
        <f t="shared" si="234"/>
        <v>0</v>
      </c>
      <c r="RBO49" s="375">
        <f t="shared" si="234"/>
        <v>0</v>
      </c>
      <c r="RBP49" s="375">
        <f t="shared" si="234"/>
        <v>0</v>
      </c>
      <c r="RBQ49" s="375">
        <f t="shared" si="234"/>
        <v>0</v>
      </c>
      <c r="RBR49" s="375">
        <f t="shared" si="234"/>
        <v>0</v>
      </c>
      <c r="RBS49" s="375">
        <f t="shared" si="234"/>
        <v>0</v>
      </c>
      <c r="RBT49" s="375">
        <f t="shared" si="234"/>
        <v>0</v>
      </c>
      <c r="RBU49" s="375">
        <f t="shared" si="234"/>
        <v>0</v>
      </c>
      <c r="RBV49" s="375">
        <f t="shared" si="234"/>
        <v>0</v>
      </c>
      <c r="RBW49" s="375">
        <f t="shared" si="234"/>
        <v>0</v>
      </c>
      <c r="RBX49" s="375">
        <f t="shared" si="234"/>
        <v>0</v>
      </c>
      <c r="RBY49" s="375">
        <f t="shared" si="234"/>
        <v>0</v>
      </c>
      <c r="RBZ49" s="375">
        <f t="shared" si="234"/>
        <v>0</v>
      </c>
      <c r="RCA49" s="375">
        <f t="shared" si="234"/>
        <v>0</v>
      </c>
      <c r="RCB49" s="375">
        <f t="shared" si="234"/>
        <v>0</v>
      </c>
      <c r="RCC49" s="375">
        <f t="shared" si="234"/>
        <v>0</v>
      </c>
      <c r="RCD49" s="375">
        <f t="shared" si="234"/>
        <v>0</v>
      </c>
      <c r="RCE49" s="375">
        <f t="shared" si="234"/>
        <v>0</v>
      </c>
      <c r="RCF49" s="375">
        <f t="shared" si="234"/>
        <v>0</v>
      </c>
      <c r="RCG49" s="375">
        <f t="shared" si="234"/>
        <v>0</v>
      </c>
      <c r="RCH49" s="375">
        <f t="shared" si="234"/>
        <v>0</v>
      </c>
      <c r="RCI49" s="375">
        <f t="shared" si="234"/>
        <v>0</v>
      </c>
      <c r="RCJ49" s="375">
        <f t="shared" si="234"/>
        <v>0</v>
      </c>
      <c r="RCK49" s="375">
        <f t="shared" si="234"/>
        <v>0</v>
      </c>
      <c r="RCL49" s="375">
        <f t="shared" si="234"/>
        <v>0</v>
      </c>
      <c r="RCM49" s="375">
        <f t="shared" si="234"/>
        <v>0</v>
      </c>
      <c r="RCN49" s="375">
        <f t="shared" si="234"/>
        <v>0</v>
      </c>
      <c r="RCO49" s="375">
        <f t="shared" si="234"/>
        <v>0</v>
      </c>
      <c r="RCP49" s="375">
        <f t="shared" si="234"/>
        <v>0</v>
      </c>
      <c r="RCQ49" s="375">
        <f t="shared" si="234"/>
        <v>0</v>
      </c>
      <c r="RCR49" s="375">
        <f t="shared" si="234"/>
        <v>0</v>
      </c>
      <c r="RCS49" s="375">
        <f t="shared" si="234"/>
        <v>0</v>
      </c>
      <c r="RCT49" s="375">
        <f t="shared" si="234"/>
        <v>0</v>
      </c>
      <c r="RCU49" s="375">
        <f t="shared" si="234"/>
        <v>0</v>
      </c>
      <c r="RCV49" s="375">
        <f t="shared" si="234"/>
        <v>0</v>
      </c>
      <c r="RCW49" s="375">
        <f t="shared" si="234"/>
        <v>0</v>
      </c>
      <c r="RCX49" s="375">
        <f t="shared" si="234"/>
        <v>0</v>
      </c>
      <c r="RCY49" s="375">
        <f t="shared" si="234"/>
        <v>0</v>
      </c>
      <c r="RCZ49" s="375">
        <f t="shared" si="234"/>
        <v>0</v>
      </c>
      <c r="RDA49" s="375">
        <f t="shared" si="234"/>
        <v>0</v>
      </c>
      <c r="RDB49" s="375">
        <f t="shared" si="234"/>
        <v>0</v>
      </c>
      <c r="RDC49" s="375">
        <f t="shared" si="234"/>
        <v>0</v>
      </c>
      <c r="RDD49" s="375">
        <f t="shared" si="234"/>
        <v>0</v>
      </c>
      <c r="RDE49" s="375">
        <f t="shared" si="234"/>
        <v>0</v>
      </c>
      <c r="RDF49" s="375">
        <f t="shared" si="234"/>
        <v>0</v>
      </c>
      <c r="RDG49" s="375">
        <f t="shared" si="234"/>
        <v>0</v>
      </c>
      <c r="RDH49" s="375">
        <f t="shared" si="234"/>
        <v>0</v>
      </c>
      <c r="RDI49" s="375">
        <f t="shared" si="234"/>
        <v>0</v>
      </c>
      <c r="RDJ49" s="375">
        <f t="shared" si="234"/>
        <v>0</v>
      </c>
      <c r="RDK49" s="375">
        <f t="shared" si="234"/>
        <v>0</v>
      </c>
      <c r="RDL49" s="375">
        <f t="shared" si="234"/>
        <v>0</v>
      </c>
      <c r="RDM49" s="375">
        <f t="shared" si="234"/>
        <v>0</v>
      </c>
      <c r="RDN49" s="375">
        <f t="shared" si="234"/>
        <v>0</v>
      </c>
      <c r="RDO49" s="375">
        <f t="shared" si="234"/>
        <v>0</v>
      </c>
      <c r="RDP49" s="375">
        <f t="shared" si="234"/>
        <v>0</v>
      </c>
      <c r="RDQ49" s="375">
        <f t="shared" ref="RDQ49:RGB49" si="235">RDQ48*0.8</f>
        <v>0</v>
      </c>
      <c r="RDR49" s="375">
        <f t="shared" si="235"/>
        <v>0</v>
      </c>
      <c r="RDS49" s="375">
        <f t="shared" si="235"/>
        <v>0</v>
      </c>
      <c r="RDT49" s="375">
        <f t="shared" si="235"/>
        <v>0</v>
      </c>
      <c r="RDU49" s="375">
        <f t="shared" si="235"/>
        <v>0</v>
      </c>
      <c r="RDV49" s="375">
        <f t="shared" si="235"/>
        <v>0</v>
      </c>
      <c r="RDW49" s="375">
        <f t="shared" si="235"/>
        <v>0</v>
      </c>
      <c r="RDX49" s="375">
        <f t="shared" si="235"/>
        <v>0</v>
      </c>
      <c r="RDY49" s="375">
        <f t="shared" si="235"/>
        <v>0</v>
      </c>
      <c r="RDZ49" s="375">
        <f t="shared" si="235"/>
        <v>0</v>
      </c>
      <c r="REA49" s="375">
        <f t="shared" si="235"/>
        <v>0</v>
      </c>
      <c r="REB49" s="375">
        <f t="shared" si="235"/>
        <v>0</v>
      </c>
      <c r="REC49" s="375">
        <f t="shared" si="235"/>
        <v>0</v>
      </c>
      <c r="RED49" s="375">
        <f t="shared" si="235"/>
        <v>0</v>
      </c>
      <c r="REE49" s="375">
        <f t="shared" si="235"/>
        <v>0</v>
      </c>
      <c r="REF49" s="375">
        <f t="shared" si="235"/>
        <v>0</v>
      </c>
      <c r="REG49" s="375">
        <f t="shared" si="235"/>
        <v>0</v>
      </c>
      <c r="REH49" s="375">
        <f t="shared" si="235"/>
        <v>0</v>
      </c>
      <c r="REI49" s="375">
        <f t="shared" si="235"/>
        <v>0</v>
      </c>
      <c r="REJ49" s="375">
        <f t="shared" si="235"/>
        <v>0</v>
      </c>
      <c r="REK49" s="375">
        <f t="shared" si="235"/>
        <v>0</v>
      </c>
      <c r="REL49" s="375">
        <f t="shared" si="235"/>
        <v>0</v>
      </c>
      <c r="REM49" s="375">
        <f t="shared" si="235"/>
        <v>0</v>
      </c>
      <c r="REN49" s="375">
        <f t="shared" si="235"/>
        <v>0</v>
      </c>
      <c r="REO49" s="375">
        <f t="shared" si="235"/>
        <v>0</v>
      </c>
      <c r="REP49" s="375">
        <f t="shared" si="235"/>
        <v>0</v>
      </c>
      <c r="REQ49" s="375">
        <f t="shared" si="235"/>
        <v>0</v>
      </c>
      <c r="RER49" s="375">
        <f t="shared" si="235"/>
        <v>0</v>
      </c>
      <c r="RES49" s="375">
        <f t="shared" si="235"/>
        <v>0</v>
      </c>
      <c r="RET49" s="375">
        <f t="shared" si="235"/>
        <v>0</v>
      </c>
      <c r="REU49" s="375">
        <f t="shared" si="235"/>
        <v>0</v>
      </c>
      <c r="REV49" s="375">
        <f t="shared" si="235"/>
        <v>0</v>
      </c>
      <c r="REW49" s="375">
        <f t="shared" si="235"/>
        <v>0</v>
      </c>
      <c r="REX49" s="375">
        <f t="shared" si="235"/>
        <v>0</v>
      </c>
      <c r="REY49" s="375">
        <f t="shared" si="235"/>
        <v>0</v>
      </c>
      <c r="REZ49" s="375">
        <f t="shared" si="235"/>
        <v>0</v>
      </c>
      <c r="RFA49" s="375">
        <f t="shared" si="235"/>
        <v>0</v>
      </c>
      <c r="RFB49" s="375">
        <f t="shared" si="235"/>
        <v>0</v>
      </c>
      <c r="RFC49" s="375">
        <f t="shared" si="235"/>
        <v>0</v>
      </c>
      <c r="RFD49" s="375">
        <f t="shared" si="235"/>
        <v>0</v>
      </c>
      <c r="RFE49" s="375">
        <f t="shared" si="235"/>
        <v>0</v>
      </c>
      <c r="RFF49" s="375">
        <f t="shared" si="235"/>
        <v>0</v>
      </c>
      <c r="RFG49" s="375">
        <f t="shared" si="235"/>
        <v>0</v>
      </c>
      <c r="RFH49" s="375">
        <f t="shared" si="235"/>
        <v>0</v>
      </c>
      <c r="RFI49" s="375">
        <f t="shared" si="235"/>
        <v>0</v>
      </c>
      <c r="RFJ49" s="375">
        <f t="shared" si="235"/>
        <v>0</v>
      </c>
      <c r="RFK49" s="375">
        <f t="shared" si="235"/>
        <v>0</v>
      </c>
      <c r="RFL49" s="375">
        <f t="shared" si="235"/>
        <v>0</v>
      </c>
      <c r="RFM49" s="375">
        <f t="shared" si="235"/>
        <v>0</v>
      </c>
      <c r="RFN49" s="375">
        <f t="shared" si="235"/>
        <v>0</v>
      </c>
      <c r="RFO49" s="375">
        <f t="shared" si="235"/>
        <v>0</v>
      </c>
      <c r="RFP49" s="375">
        <f t="shared" si="235"/>
        <v>0</v>
      </c>
      <c r="RFQ49" s="375">
        <f t="shared" si="235"/>
        <v>0</v>
      </c>
      <c r="RFR49" s="375">
        <f t="shared" si="235"/>
        <v>0</v>
      </c>
      <c r="RFS49" s="375">
        <f t="shared" si="235"/>
        <v>0</v>
      </c>
      <c r="RFT49" s="375">
        <f t="shared" si="235"/>
        <v>0</v>
      </c>
      <c r="RFU49" s="375">
        <f t="shared" si="235"/>
        <v>0</v>
      </c>
      <c r="RFV49" s="375">
        <f t="shared" si="235"/>
        <v>0</v>
      </c>
      <c r="RFW49" s="375">
        <f t="shared" si="235"/>
        <v>0</v>
      </c>
      <c r="RFX49" s="375">
        <f t="shared" si="235"/>
        <v>0</v>
      </c>
      <c r="RFY49" s="375">
        <f t="shared" si="235"/>
        <v>0</v>
      </c>
      <c r="RFZ49" s="375">
        <f t="shared" si="235"/>
        <v>0</v>
      </c>
      <c r="RGA49" s="375">
        <f t="shared" si="235"/>
        <v>0</v>
      </c>
      <c r="RGB49" s="375">
        <f t="shared" si="235"/>
        <v>0</v>
      </c>
      <c r="RGC49" s="375">
        <f t="shared" ref="RGC49:RIN49" si="236">RGC48*0.8</f>
        <v>0</v>
      </c>
      <c r="RGD49" s="375">
        <f t="shared" si="236"/>
        <v>0</v>
      </c>
      <c r="RGE49" s="375">
        <f t="shared" si="236"/>
        <v>0</v>
      </c>
      <c r="RGF49" s="375">
        <f t="shared" si="236"/>
        <v>0</v>
      </c>
      <c r="RGG49" s="375">
        <f t="shared" si="236"/>
        <v>0</v>
      </c>
      <c r="RGH49" s="375">
        <f t="shared" si="236"/>
        <v>0</v>
      </c>
      <c r="RGI49" s="375">
        <f t="shared" si="236"/>
        <v>0</v>
      </c>
      <c r="RGJ49" s="375">
        <f t="shared" si="236"/>
        <v>0</v>
      </c>
      <c r="RGK49" s="375">
        <f t="shared" si="236"/>
        <v>0</v>
      </c>
      <c r="RGL49" s="375">
        <f t="shared" si="236"/>
        <v>0</v>
      </c>
      <c r="RGM49" s="375">
        <f t="shared" si="236"/>
        <v>0</v>
      </c>
      <c r="RGN49" s="375">
        <f t="shared" si="236"/>
        <v>0</v>
      </c>
      <c r="RGO49" s="375">
        <f t="shared" si="236"/>
        <v>0</v>
      </c>
      <c r="RGP49" s="375">
        <f t="shared" si="236"/>
        <v>0</v>
      </c>
      <c r="RGQ49" s="375">
        <f t="shared" si="236"/>
        <v>0</v>
      </c>
      <c r="RGR49" s="375">
        <f t="shared" si="236"/>
        <v>0</v>
      </c>
      <c r="RGS49" s="375">
        <f t="shared" si="236"/>
        <v>0</v>
      </c>
      <c r="RGT49" s="375">
        <f t="shared" si="236"/>
        <v>0</v>
      </c>
      <c r="RGU49" s="375">
        <f t="shared" si="236"/>
        <v>0</v>
      </c>
      <c r="RGV49" s="375">
        <f t="shared" si="236"/>
        <v>0</v>
      </c>
      <c r="RGW49" s="375">
        <f t="shared" si="236"/>
        <v>0</v>
      </c>
      <c r="RGX49" s="375">
        <f t="shared" si="236"/>
        <v>0</v>
      </c>
      <c r="RGY49" s="375">
        <f t="shared" si="236"/>
        <v>0</v>
      </c>
      <c r="RGZ49" s="375">
        <f t="shared" si="236"/>
        <v>0</v>
      </c>
      <c r="RHA49" s="375">
        <f t="shared" si="236"/>
        <v>0</v>
      </c>
      <c r="RHB49" s="375">
        <f t="shared" si="236"/>
        <v>0</v>
      </c>
      <c r="RHC49" s="375">
        <f t="shared" si="236"/>
        <v>0</v>
      </c>
      <c r="RHD49" s="375">
        <f t="shared" si="236"/>
        <v>0</v>
      </c>
      <c r="RHE49" s="375">
        <f t="shared" si="236"/>
        <v>0</v>
      </c>
      <c r="RHF49" s="375">
        <f t="shared" si="236"/>
        <v>0</v>
      </c>
      <c r="RHG49" s="375">
        <f t="shared" si="236"/>
        <v>0</v>
      </c>
      <c r="RHH49" s="375">
        <f t="shared" si="236"/>
        <v>0</v>
      </c>
      <c r="RHI49" s="375">
        <f t="shared" si="236"/>
        <v>0</v>
      </c>
      <c r="RHJ49" s="375">
        <f t="shared" si="236"/>
        <v>0</v>
      </c>
      <c r="RHK49" s="375">
        <f t="shared" si="236"/>
        <v>0</v>
      </c>
      <c r="RHL49" s="375">
        <f t="shared" si="236"/>
        <v>0</v>
      </c>
      <c r="RHM49" s="375">
        <f t="shared" si="236"/>
        <v>0</v>
      </c>
      <c r="RHN49" s="375">
        <f t="shared" si="236"/>
        <v>0</v>
      </c>
      <c r="RHO49" s="375">
        <f t="shared" si="236"/>
        <v>0</v>
      </c>
      <c r="RHP49" s="375">
        <f t="shared" si="236"/>
        <v>0</v>
      </c>
      <c r="RHQ49" s="375">
        <f t="shared" si="236"/>
        <v>0</v>
      </c>
      <c r="RHR49" s="375">
        <f t="shared" si="236"/>
        <v>0</v>
      </c>
      <c r="RHS49" s="375">
        <f t="shared" si="236"/>
        <v>0</v>
      </c>
      <c r="RHT49" s="375">
        <f t="shared" si="236"/>
        <v>0</v>
      </c>
      <c r="RHU49" s="375">
        <f t="shared" si="236"/>
        <v>0</v>
      </c>
      <c r="RHV49" s="375">
        <f t="shared" si="236"/>
        <v>0</v>
      </c>
      <c r="RHW49" s="375">
        <f t="shared" si="236"/>
        <v>0</v>
      </c>
      <c r="RHX49" s="375">
        <f t="shared" si="236"/>
        <v>0</v>
      </c>
      <c r="RHY49" s="375">
        <f t="shared" si="236"/>
        <v>0</v>
      </c>
      <c r="RHZ49" s="375">
        <f t="shared" si="236"/>
        <v>0</v>
      </c>
      <c r="RIA49" s="375">
        <f t="shared" si="236"/>
        <v>0</v>
      </c>
      <c r="RIB49" s="375">
        <f t="shared" si="236"/>
        <v>0</v>
      </c>
      <c r="RIC49" s="375">
        <f t="shared" si="236"/>
        <v>0</v>
      </c>
      <c r="RID49" s="375">
        <f t="shared" si="236"/>
        <v>0</v>
      </c>
      <c r="RIE49" s="375">
        <f t="shared" si="236"/>
        <v>0</v>
      </c>
      <c r="RIF49" s="375">
        <f t="shared" si="236"/>
        <v>0</v>
      </c>
      <c r="RIG49" s="375">
        <f t="shared" si="236"/>
        <v>0</v>
      </c>
      <c r="RIH49" s="375">
        <f t="shared" si="236"/>
        <v>0</v>
      </c>
      <c r="RII49" s="375">
        <f t="shared" si="236"/>
        <v>0</v>
      </c>
      <c r="RIJ49" s="375">
        <f t="shared" si="236"/>
        <v>0</v>
      </c>
      <c r="RIK49" s="375">
        <f t="shared" si="236"/>
        <v>0</v>
      </c>
      <c r="RIL49" s="375">
        <f t="shared" si="236"/>
        <v>0</v>
      </c>
      <c r="RIM49" s="375">
        <f t="shared" si="236"/>
        <v>0</v>
      </c>
      <c r="RIN49" s="375">
        <f t="shared" si="236"/>
        <v>0</v>
      </c>
      <c r="RIO49" s="375">
        <f t="shared" ref="RIO49:RKZ49" si="237">RIO48*0.8</f>
        <v>0</v>
      </c>
      <c r="RIP49" s="375">
        <f t="shared" si="237"/>
        <v>0</v>
      </c>
      <c r="RIQ49" s="375">
        <f t="shared" si="237"/>
        <v>0</v>
      </c>
      <c r="RIR49" s="375">
        <f t="shared" si="237"/>
        <v>0</v>
      </c>
      <c r="RIS49" s="375">
        <f t="shared" si="237"/>
        <v>0</v>
      </c>
      <c r="RIT49" s="375">
        <f t="shared" si="237"/>
        <v>0</v>
      </c>
      <c r="RIU49" s="375">
        <f t="shared" si="237"/>
        <v>0</v>
      </c>
      <c r="RIV49" s="375">
        <f t="shared" si="237"/>
        <v>0</v>
      </c>
      <c r="RIW49" s="375">
        <f t="shared" si="237"/>
        <v>0</v>
      </c>
      <c r="RIX49" s="375">
        <f t="shared" si="237"/>
        <v>0</v>
      </c>
      <c r="RIY49" s="375">
        <f t="shared" si="237"/>
        <v>0</v>
      </c>
      <c r="RIZ49" s="375">
        <f t="shared" si="237"/>
        <v>0</v>
      </c>
      <c r="RJA49" s="375">
        <f t="shared" si="237"/>
        <v>0</v>
      </c>
      <c r="RJB49" s="375">
        <f t="shared" si="237"/>
        <v>0</v>
      </c>
      <c r="RJC49" s="375">
        <f t="shared" si="237"/>
        <v>0</v>
      </c>
      <c r="RJD49" s="375">
        <f t="shared" si="237"/>
        <v>0</v>
      </c>
      <c r="RJE49" s="375">
        <f t="shared" si="237"/>
        <v>0</v>
      </c>
      <c r="RJF49" s="375">
        <f t="shared" si="237"/>
        <v>0</v>
      </c>
      <c r="RJG49" s="375">
        <f t="shared" si="237"/>
        <v>0</v>
      </c>
      <c r="RJH49" s="375">
        <f t="shared" si="237"/>
        <v>0</v>
      </c>
      <c r="RJI49" s="375">
        <f t="shared" si="237"/>
        <v>0</v>
      </c>
      <c r="RJJ49" s="375">
        <f t="shared" si="237"/>
        <v>0</v>
      </c>
      <c r="RJK49" s="375">
        <f t="shared" si="237"/>
        <v>0</v>
      </c>
      <c r="RJL49" s="375">
        <f t="shared" si="237"/>
        <v>0</v>
      </c>
      <c r="RJM49" s="375">
        <f t="shared" si="237"/>
        <v>0</v>
      </c>
      <c r="RJN49" s="375">
        <f t="shared" si="237"/>
        <v>0</v>
      </c>
      <c r="RJO49" s="375">
        <f t="shared" si="237"/>
        <v>0</v>
      </c>
      <c r="RJP49" s="375">
        <f t="shared" si="237"/>
        <v>0</v>
      </c>
      <c r="RJQ49" s="375">
        <f t="shared" si="237"/>
        <v>0</v>
      </c>
      <c r="RJR49" s="375">
        <f t="shared" si="237"/>
        <v>0</v>
      </c>
      <c r="RJS49" s="375">
        <f t="shared" si="237"/>
        <v>0</v>
      </c>
      <c r="RJT49" s="375">
        <f t="shared" si="237"/>
        <v>0</v>
      </c>
      <c r="RJU49" s="375">
        <f t="shared" si="237"/>
        <v>0</v>
      </c>
      <c r="RJV49" s="375">
        <f t="shared" si="237"/>
        <v>0</v>
      </c>
      <c r="RJW49" s="375">
        <f t="shared" si="237"/>
        <v>0</v>
      </c>
      <c r="RJX49" s="375">
        <f t="shared" si="237"/>
        <v>0</v>
      </c>
      <c r="RJY49" s="375">
        <f t="shared" si="237"/>
        <v>0</v>
      </c>
      <c r="RJZ49" s="375">
        <f t="shared" si="237"/>
        <v>0</v>
      </c>
      <c r="RKA49" s="375">
        <f t="shared" si="237"/>
        <v>0</v>
      </c>
      <c r="RKB49" s="375">
        <f t="shared" si="237"/>
        <v>0</v>
      </c>
      <c r="RKC49" s="375">
        <f t="shared" si="237"/>
        <v>0</v>
      </c>
      <c r="RKD49" s="375">
        <f t="shared" si="237"/>
        <v>0</v>
      </c>
      <c r="RKE49" s="375">
        <f t="shared" si="237"/>
        <v>0</v>
      </c>
      <c r="RKF49" s="375">
        <f t="shared" si="237"/>
        <v>0</v>
      </c>
      <c r="RKG49" s="375">
        <f t="shared" si="237"/>
        <v>0</v>
      </c>
      <c r="RKH49" s="375">
        <f t="shared" si="237"/>
        <v>0</v>
      </c>
      <c r="RKI49" s="375">
        <f t="shared" si="237"/>
        <v>0</v>
      </c>
      <c r="RKJ49" s="375">
        <f t="shared" si="237"/>
        <v>0</v>
      </c>
      <c r="RKK49" s="375">
        <f t="shared" si="237"/>
        <v>0</v>
      </c>
      <c r="RKL49" s="375">
        <f t="shared" si="237"/>
        <v>0</v>
      </c>
      <c r="RKM49" s="375">
        <f t="shared" si="237"/>
        <v>0</v>
      </c>
      <c r="RKN49" s="375">
        <f t="shared" si="237"/>
        <v>0</v>
      </c>
      <c r="RKO49" s="375">
        <f t="shared" si="237"/>
        <v>0</v>
      </c>
      <c r="RKP49" s="375">
        <f t="shared" si="237"/>
        <v>0</v>
      </c>
      <c r="RKQ49" s="375">
        <f t="shared" si="237"/>
        <v>0</v>
      </c>
      <c r="RKR49" s="375">
        <f t="shared" si="237"/>
        <v>0</v>
      </c>
      <c r="RKS49" s="375">
        <f t="shared" si="237"/>
        <v>0</v>
      </c>
      <c r="RKT49" s="375">
        <f t="shared" si="237"/>
        <v>0</v>
      </c>
      <c r="RKU49" s="375">
        <f t="shared" si="237"/>
        <v>0</v>
      </c>
      <c r="RKV49" s="375">
        <f t="shared" si="237"/>
        <v>0</v>
      </c>
      <c r="RKW49" s="375">
        <f t="shared" si="237"/>
        <v>0</v>
      </c>
      <c r="RKX49" s="375">
        <f t="shared" si="237"/>
        <v>0</v>
      </c>
      <c r="RKY49" s="375">
        <f t="shared" si="237"/>
        <v>0</v>
      </c>
      <c r="RKZ49" s="375">
        <f t="shared" si="237"/>
        <v>0</v>
      </c>
      <c r="RLA49" s="375">
        <f t="shared" ref="RLA49:RNL49" si="238">RLA48*0.8</f>
        <v>0</v>
      </c>
      <c r="RLB49" s="375">
        <f t="shared" si="238"/>
        <v>0</v>
      </c>
      <c r="RLC49" s="375">
        <f t="shared" si="238"/>
        <v>0</v>
      </c>
      <c r="RLD49" s="375">
        <f t="shared" si="238"/>
        <v>0</v>
      </c>
      <c r="RLE49" s="375">
        <f t="shared" si="238"/>
        <v>0</v>
      </c>
      <c r="RLF49" s="375">
        <f t="shared" si="238"/>
        <v>0</v>
      </c>
      <c r="RLG49" s="375">
        <f t="shared" si="238"/>
        <v>0</v>
      </c>
      <c r="RLH49" s="375">
        <f t="shared" si="238"/>
        <v>0</v>
      </c>
      <c r="RLI49" s="375">
        <f t="shared" si="238"/>
        <v>0</v>
      </c>
      <c r="RLJ49" s="375">
        <f t="shared" si="238"/>
        <v>0</v>
      </c>
      <c r="RLK49" s="375">
        <f t="shared" si="238"/>
        <v>0</v>
      </c>
      <c r="RLL49" s="375">
        <f t="shared" si="238"/>
        <v>0</v>
      </c>
      <c r="RLM49" s="375">
        <f t="shared" si="238"/>
        <v>0</v>
      </c>
      <c r="RLN49" s="375">
        <f t="shared" si="238"/>
        <v>0</v>
      </c>
      <c r="RLO49" s="375">
        <f t="shared" si="238"/>
        <v>0</v>
      </c>
      <c r="RLP49" s="375">
        <f t="shared" si="238"/>
        <v>0</v>
      </c>
      <c r="RLQ49" s="375">
        <f t="shared" si="238"/>
        <v>0</v>
      </c>
      <c r="RLR49" s="375">
        <f t="shared" si="238"/>
        <v>0</v>
      </c>
      <c r="RLS49" s="375">
        <f t="shared" si="238"/>
        <v>0</v>
      </c>
      <c r="RLT49" s="375">
        <f t="shared" si="238"/>
        <v>0</v>
      </c>
      <c r="RLU49" s="375">
        <f t="shared" si="238"/>
        <v>0</v>
      </c>
      <c r="RLV49" s="375">
        <f t="shared" si="238"/>
        <v>0</v>
      </c>
      <c r="RLW49" s="375">
        <f t="shared" si="238"/>
        <v>0</v>
      </c>
      <c r="RLX49" s="375">
        <f t="shared" si="238"/>
        <v>0</v>
      </c>
      <c r="RLY49" s="375">
        <f t="shared" si="238"/>
        <v>0</v>
      </c>
      <c r="RLZ49" s="375">
        <f t="shared" si="238"/>
        <v>0</v>
      </c>
      <c r="RMA49" s="375">
        <f t="shared" si="238"/>
        <v>0</v>
      </c>
      <c r="RMB49" s="375">
        <f t="shared" si="238"/>
        <v>0</v>
      </c>
      <c r="RMC49" s="375">
        <f t="shared" si="238"/>
        <v>0</v>
      </c>
      <c r="RMD49" s="375">
        <f t="shared" si="238"/>
        <v>0</v>
      </c>
      <c r="RME49" s="375">
        <f t="shared" si="238"/>
        <v>0</v>
      </c>
      <c r="RMF49" s="375">
        <f t="shared" si="238"/>
        <v>0</v>
      </c>
      <c r="RMG49" s="375">
        <f t="shared" si="238"/>
        <v>0</v>
      </c>
      <c r="RMH49" s="375">
        <f t="shared" si="238"/>
        <v>0</v>
      </c>
      <c r="RMI49" s="375">
        <f t="shared" si="238"/>
        <v>0</v>
      </c>
      <c r="RMJ49" s="375">
        <f t="shared" si="238"/>
        <v>0</v>
      </c>
      <c r="RMK49" s="375">
        <f t="shared" si="238"/>
        <v>0</v>
      </c>
      <c r="RML49" s="375">
        <f t="shared" si="238"/>
        <v>0</v>
      </c>
      <c r="RMM49" s="375">
        <f t="shared" si="238"/>
        <v>0</v>
      </c>
      <c r="RMN49" s="375">
        <f t="shared" si="238"/>
        <v>0</v>
      </c>
      <c r="RMO49" s="375">
        <f t="shared" si="238"/>
        <v>0</v>
      </c>
      <c r="RMP49" s="375">
        <f t="shared" si="238"/>
        <v>0</v>
      </c>
      <c r="RMQ49" s="375">
        <f t="shared" si="238"/>
        <v>0</v>
      </c>
      <c r="RMR49" s="375">
        <f t="shared" si="238"/>
        <v>0</v>
      </c>
      <c r="RMS49" s="375">
        <f t="shared" si="238"/>
        <v>0</v>
      </c>
      <c r="RMT49" s="375">
        <f t="shared" si="238"/>
        <v>0</v>
      </c>
      <c r="RMU49" s="375">
        <f t="shared" si="238"/>
        <v>0</v>
      </c>
      <c r="RMV49" s="375">
        <f t="shared" si="238"/>
        <v>0</v>
      </c>
      <c r="RMW49" s="375">
        <f t="shared" si="238"/>
        <v>0</v>
      </c>
      <c r="RMX49" s="375">
        <f t="shared" si="238"/>
        <v>0</v>
      </c>
      <c r="RMY49" s="375">
        <f t="shared" si="238"/>
        <v>0</v>
      </c>
      <c r="RMZ49" s="375">
        <f t="shared" si="238"/>
        <v>0</v>
      </c>
      <c r="RNA49" s="375">
        <f t="shared" si="238"/>
        <v>0</v>
      </c>
      <c r="RNB49" s="375">
        <f t="shared" si="238"/>
        <v>0</v>
      </c>
      <c r="RNC49" s="375">
        <f t="shared" si="238"/>
        <v>0</v>
      </c>
      <c r="RND49" s="375">
        <f t="shared" si="238"/>
        <v>0</v>
      </c>
      <c r="RNE49" s="375">
        <f t="shared" si="238"/>
        <v>0</v>
      </c>
      <c r="RNF49" s="375">
        <f t="shared" si="238"/>
        <v>0</v>
      </c>
      <c r="RNG49" s="375">
        <f t="shared" si="238"/>
        <v>0</v>
      </c>
      <c r="RNH49" s="375">
        <f t="shared" si="238"/>
        <v>0</v>
      </c>
      <c r="RNI49" s="375">
        <f t="shared" si="238"/>
        <v>0</v>
      </c>
      <c r="RNJ49" s="375">
        <f t="shared" si="238"/>
        <v>0</v>
      </c>
      <c r="RNK49" s="375">
        <f t="shared" si="238"/>
        <v>0</v>
      </c>
      <c r="RNL49" s="375">
        <f t="shared" si="238"/>
        <v>0</v>
      </c>
      <c r="RNM49" s="375">
        <f t="shared" ref="RNM49:RPX49" si="239">RNM48*0.8</f>
        <v>0</v>
      </c>
      <c r="RNN49" s="375">
        <f t="shared" si="239"/>
        <v>0</v>
      </c>
      <c r="RNO49" s="375">
        <f t="shared" si="239"/>
        <v>0</v>
      </c>
      <c r="RNP49" s="375">
        <f t="shared" si="239"/>
        <v>0</v>
      </c>
      <c r="RNQ49" s="375">
        <f t="shared" si="239"/>
        <v>0</v>
      </c>
      <c r="RNR49" s="375">
        <f t="shared" si="239"/>
        <v>0</v>
      </c>
      <c r="RNS49" s="375">
        <f t="shared" si="239"/>
        <v>0</v>
      </c>
      <c r="RNT49" s="375">
        <f t="shared" si="239"/>
        <v>0</v>
      </c>
      <c r="RNU49" s="375">
        <f t="shared" si="239"/>
        <v>0</v>
      </c>
      <c r="RNV49" s="375">
        <f t="shared" si="239"/>
        <v>0</v>
      </c>
      <c r="RNW49" s="375">
        <f t="shared" si="239"/>
        <v>0</v>
      </c>
      <c r="RNX49" s="375">
        <f t="shared" si="239"/>
        <v>0</v>
      </c>
      <c r="RNY49" s="375">
        <f t="shared" si="239"/>
        <v>0</v>
      </c>
      <c r="RNZ49" s="375">
        <f t="shared" si="239"/>
        <v>0</v>
      </c>
      <c r="ROA49" s="375">
        <f t="shared" si="239"/>
        <v>0</v>
      </c>
      <c r="ROB49" s="375">
        <f t="shared" si="239"/>
        <v>0</v>
      </c>
      <c r="ROC49" s="375">
        <f t="shared" si="239"/>
        <v>0</v>
      </c>
      <c r="ROD49" s="375">
        <f t="shared" si="239"/>
        <v>0</v>
      </c>
      <c r="ROE49" s="375">
        <f t="shared" si="239"/>
        <v>0</v>
      </c>
      <c r="ROF49" s="375">
        <f t="shared" si="239"/>
        <v>0</v>
      </c>
      <c r="ROG49" s="375">
        <f t="shared" si="239"/>
        <v>0</v>
      </c>
      <c r="ROH49" s="375">
        <f t="shared" si="239"/>
        <v>0</v>
      </c>
      <c r="ROI49" s="375">
        <f t="shared" si="239"/>
        <v>0</v>
      </c>
      <c r="ROJ49" s="375">
        <f t="shared" si="239"/>
        <v>0</v>
      </c>
      <c r="ROK49" s="375">
        <f t="shared" si="239"/>
        <v>0</v>
      </c>
      <c r="ROL49" s="375">
        <f t="shared" si="239"/>
        <v>0</v>
      </c>
      <c r="ROM49" s="375">
        <f t="shared" si="239"/>
        <v>0</v>
      </c>
      <c r="RON49" s="375">
        <f t="shared" si="239"/>
        <v>0</v>
      </c>
      <c r="ROO49" s="375">
        <f t="shared" si="239"/>
        <v>0</v>
      </c>
      <c r="ROP49" s="375">
        <f t="shared" si="239"/>
        <v>0</v>
      </c>
      <c r="ROQ49" s="375">
        <f t="shared" si="239"/>
        <v>0</v>
      </c>
      <c r="ROR49" s="375">
        <f t="shared" si="239"/>
        <v>0</v>
      </c>
      <c r="ROS49" s="375">
        <f t="shared" si="239"/>
        <v>0</v>
      </c>
      <c r="ROT49" s="375">
        <f t="shared" si="239"/>
        <v>0</v>
      </c>
      <c r="ROU49" s="375">
        <f t="shared" si="239"/>
        <v>0</v>
      </c>
      <c r="ROV49" s="375">
        <f t="shared" si="239"/>
        <v>0</v>
      </c>
      <c r="ROW49" s="375">
        <f t="shared" si="239"/>
        <v>0</v>
      </c>
      <c r="ROX49" s="375">
        <f t="shared" si="239"/>
        <v>0</v>
      </c>
      <c r="ROY49" s="375">
        <f t="shared" si="239"/>
        <v>0</v>
      </c>
      <c r="ROZ49" s="375">
        <f t="shared" si="239"/>
        <v>0</v>
      </c>
      <c r="RPA49" s="375">
        <f t="shared" si="239"/>
        <v>0</v>
      </c>
      <c r="RPB49" s="375">
        <f t="shared" si="239"/>
        <v>0</v>
      </c>
      <c r="RPC49" s="375">
        <f t="shared" si="239"/>
        <v>0</v>
      </c>
      <c r="RPD49" s="375">
        <f t="shared" si="239"/>
        <v>0</v>
      </c>
      <c r="RPE49" s="375">
        <f t="shared" si="239"/>
        <v>0</v>
      </c>
      <c r="RPF49" s="375">
        <f t="shared" si="239"/>
        <v>0</v>
      </c>
      <c r="RPG49" s="375">
        <f t="shared" si="239"/>
        <v>0</v>
      </c>
      <c r="RPH49" s="375">
        <f t="shared" si="239"/>
        <v>0</v>
      </c>
      <c r="RPI49" s="375">
        <f t="shared" si="239"/>
        <v>0</v>
      </c>
      <c r="RPJ49" s="375">
        <f t="shared" si="239"/>
        <v>0</v>
      </c>
      <c r="RPK49" s="375">
        <f t="shared" si="239"/>
        <v>0</v>
      </c>
      <c r="RPL49" s="375">
        <f t="shared" si="239"/>
        <v>0</v>
      </c>
      <c r="RPM49" s="375">
        <f t="shared" si="239"/>
        <v>0</v>
      </c>
      <c r="RPN49" s="375">
        <f t="shared" si="239"/>
        <v>0</v>
      </c>
      <c r="RPO49" s="375">
        <f t="shared" si="239"/>
        <v>0</v>
      </c>
      <c r="RPP49" s="375">
        <f t="shared" si="239"/>
        <v>0</v>
      </c>
      <c r="RPQ49" s="375">
        <f t="shared" si="239"/>
        <v>0</v>
      </c>
      <c r="RPR49" s="375">
        <f t="shared" si="239"/>
        <v>0</v>
      </c>
      <c r="RPS49" s="375">
        <f t="shared" si="239"/>
        <v>0</v>
      </c>
      <c r="RPT49" s="375">
        <f t="shared" si="239"/>
        <v>0</v>
      </c>
      <c r="RPU49" s="375">
        <f t="shared" si="239"/>
        <v>0</v>
      </c>
      <c r="RPV49" s="375">
        <f t="shared" si="239"/>
        <v>0</v>
      </c>
      <c r="RPW49" s="375">
        <f t="shared" si="239"/>
        <v>0</v>
      </c>
      <c r="RPX49" s="375">
        <f t="shared" si="239"/>
        <v>0</v>
      </c>
      <c r="RPY49" s="375">
        <f t="shared" ref="RPY49:RSJ49" si="240">RPY48*0.8</f>
        <v>0</v>
      </c>
      <c r="RPZ49" s="375">
        <f t="shared" si="240"/>
        <v>0</v>
      </c>
      <c r="RQA49" s="375">
        <f t="shared" si="240"/>
        <v>0</v>
      </c>
      <c r="RQB49" s="375">
        <f t="shared" si="240"/>
        <v>0</v>
      </c>
      <c r="RQC49" s="375">
        <f t="shared" si="240"/>
        <v>0</v>
      </c>
      <c r="RQD49" s="375">
        <f t="shared" si="240"/>
        <v>0</v>
      </c>
      <c r="RQE49" s="375">
        <f t="shared" si="240"/>
        <v>0</v>
      </c>
      <c r="RQF49" s="375">
        <f t="shared" si="240"/>
        <v>0</v>
      </c>
      <c r="RQG49" s="375">
        <f t="shared" si="240"/>
        <v>0</v>
      </c>
      <c r="RQH49" s="375">
        <f t="shared" si="240"/>
        <v>0</v>
      </c>
      <c r="RQI49" s="375">
        <f t="shared" si="240"/>
        <v>0</v>
      </c>
      <c r="RQJ49" s="375">
        <f t="shared" si="240"/>
        <v>0</v>
      </c>
      <c r="RQK49" s="375">
        <f t="shared" si="240"/>
        <v>0</v>
      </c>
      <c r="RQL49" s="375">
        <f t="shared" si="240"/>
        <v>0</v>
      </c>
      <c r="RQM49" s="375">
        <f t="shared" si="240"/>
        <v>0</v>
      </c>
      <c r="RQN49" s="375">
        <f t="shared" si="240"/>
        <v>0</v>
      </c>
      <c r="RQO49" s="375">
        <f t="shared" si="240"/>
        <v>0</v>
      </c>
      <c r="RQP49" s="375">
        <f t="shared" si="240"/>
        <v>0</v>
      </c>
      <c r="RQQ49" s="375">
        <f t="shared" si="240"/>
        <v>0</v>
      </c>
      <c r="RQR49" s="375">
        <f t="shared" si="240"/>
        <v>0</v>
      </c>
      <c r="RQS49" s="375">
        <f t="shared" si="240"/>
        <v>0</v>
      </c>
      <c r="RQT49" s="375">
        <f t="shared" si="240"/>
        <v>0</v>
      </c>
      <c r="RQU49" s="375">
        <f t="shared" si="240"/>
        <v>0</v>
      </c>
      <c r="RQV49" s="375">
        <f t="shared" si="240"/>
        <v>0</v>
      </c>
      <c r="RQW49" s="375">
        <f t="shared" si="240"/>
        <v>0</v>
      </c>
      <c r="RQX49" s="375">
        <f t="shared" si="240"/>
        <v>0</v>
      </c>
      <c r="RQY49" s="375">
        <f t="shared" si="240"/>
        <v>0</v>
      </c>
      <c r="RQZ49" s="375">
        <f t="shared" si="240"/>
        <v>0</v>
      </c>
      <c r="RRA49" s="375">
        <f t="shared" si="240"/>
        <v>0</v>
      </c>
      <c r="RRB49" s="375">
        <f t="shared" si="240"/>
        <v>0</v>
      </c>
      <c r="RRC49" s="375">
        <f t="shared" si="240"/>
        <v>0</v>
      </c>
      <c r="RRD49" s="375">
        <f t="shared" si="240"/>
        <v>0</v>
      </c>
      <c r="RRE49" s="375">
        <f t="shared" si="240"/>
        <v>0</v>
      </c>
      <c r="RRF49" s="375">
        <f t="shared" si="240"/>
        <v>0</v>
      </c>
      <c r="RRG49" s="375">
        <f t="shared" si="240"/>
        <v>0</v>
      </c>
      <c r="RRH49" s="375">
        <f t="shared" si="240"/>
        <v>0</v>
      </c>
      <c r="RRI49" s="375">
        <f t="shared" si="240"/>
        <v>0</v>
      </c>
      <c r="RRJ49" s="375">
        <f t="shared" si="240"/>
        <v>0</v>
      </c>
      <c r="RRK49" s="375">
        <f t="shared" si="240"/>
        <v>0</v>
      </c>
      <c r="RRL49" s="375">
        <f t="shared" si="240"/>
        <v>0</v>
      </c>
      <c r="RRM49" s="375">
        <f t="shared" si="240"/>
        <v>0</v>
      </c>
      <c r="RRN49" s="375">
        <f t="shared" si="240"/>
        <v>0</v>
      </c>
      <c r="RRO49" s="375">
        <f t="shared" si="240"/>
        <v>0</v>
      </c>
      <c r="RRP49" s="375">
        <f t="shared" si="240"/>
        <v>0</v>
      </c>
      <c r="RRQ49" s="375">
        <f t="shared" si="240"/>
        <v>0</v>
      </c>
      <c r="RRR49" s="375">
        <f t="shared" si="240"/>
        <v>0</v>
      </c>
      <c r="RRS49" s="375">
        <f t="shared" si="240"/>
        <v>0</v>
      </c>
      <c r="RRT49" s="375">
        <f t="shared" si="240"/>
        <v>0</v>
      </c>
      <c r="RRU49" s="375">
        <f t="shared" si="240"/>
        <v>0</v>
      </c>
      <c r="RRV49" s="375">
        <f t="shared" si="240"/>
        <v>0</v>
      </c>
      <c r="RRW49" s="375">
        <f t="shared" si="240"/>
        <v>0</v>
      </c>
      <c r="RRX49" s="375">
        <f t="shared" si="240"/>
        <v>0</v>
      </c>
      <c r="RRY49" s="375">
        <f t="shared" si="240"/>
        <v>0</v>
      </c>
      <c r="RRZ49" s="375">
        <f t="shared" si="240"/>
        <v>0</v>
      </c>
      <c r="RSA49" s="375">
        <f t="shared" si="240"/>
        <v>0</v>
      </c>
      <c r="RSB49" s="375">
        <f t="shared" si="240"/>
        <v>0</v>
      </c>
      <c r="RSC49" s="375">
        <f t="shared" si="240"/>
        <v>0</v>
      </c>
      <c r="RSD49" s="375">
        <f t="shared" si="240"/>
        <v>0</v>
      </c>
      <c r="RSE49" s="375">
        <f t="shared" si="240"/>
        <v>0</v>
      </c>
      <c r="RSF49" s="375">
        <f t="shared" si="240"/>
        <v>0</v>
      </c>
      <c r="RSG49" s="375">
        <f t="shared" si="240"/>
        <v>0</v>
      </c>
      <c r="RSH49" s="375">
        <f t="shared" si="240"/>
        <v>0</v>
      </c>
      <c r="RSI49" s="375">
        <f t="shared" si="240"/>
        <v>0</v>
      </c>
      <c r="RSJ49" s="375">
        <f t="shared" si="240"/>
        <v>0</v>
      </c>
      <c r="RSK49" s="375">
        <f t="shared" ref="RSK49:RUV49" si="241">RSK48*0.8</f>
        <v>0</v>
      </c>
      <c r="RSL49" s="375">
        <f t="shared" si="241"/>
        <v>0</v>
      </c>
      <c r="RSM49" s="375">
        <f t="shared" si="241"/>
        <v>0</v>
      </c>
      <c r="RSN49" s="375">
        <f t="shared" si="241"/>
        <v>0</v>
      </c>
      <c r="RSO49" s="375">
        <f t="shared" si="241"/>
        <v>0</v>
      </c>
      <c r="RSP49" s="375">
        <f t="shared" si="241"/>
        <v>0</v>
      </c>
      <c r="RSQ49" s="375">
        <f t="shared" si="241"/>
        <v>0</v>
      </c>
      <c r="RSR49" s="375">
        <f t="shared" si="241"/>
        <v>0</v>
      </c>
      <c r="RSS49" s="375">
        <f t="shared" si="241"/>
        <v>0</v>
      </c>
      <c r="RST49" s="375">
        <f t="shared" si="241"/>
        <v>0</v>
      </c>
      <c r="RSU49" s="375">
        <f t="shared" si="241"/>
        <v>0</v>
      </c>
      <c r="RSV49" s="375">
        <f t="shared" si="241"/>
        <v>0</v>
      </c>
      <c r="RSW49" s="375">
        <f t="shared" si="241"/>
        <v>0</v>
      </c>
      <c r="RSX49" s="375">
        <f t="shared" si="241"/>
        <v>0</v>
      </c>
      <c r="RSY49" s="375">
        <f t="shared" si="241"/>
        <v>0</v>
      </c>
      <c r="RSZ49" s="375">
        <f t="shared" si="241"/>
        <v>0</v>
      </c>
      <c r="RTA49" s="375">
        <f t="shared" si="241"/>
        <v>0</v>
      </c>
      <c r="RTB49" s="375">
        <f t="shared" si="241"/>
        <v>0</v>
      </c>
      <c r="RTC49" s="375">
        <f t="shared" si="241"/>
        <v>0</v>
      </c>
      <c r="RTD49" s="375">
        <f t="shared" si="241"/>
        <v>0</v>
      </c>
      <c r="RTE49" s="375">
        <f t="shared" si="241"/>
        <v>0</v>
      </c>
      <c r="RTF49" s="375">
        <f t="shared" si="241"/>
        <v>0</v>
      </c>
      <c r="RTG49" s="375">
        <f t="shared" si="241"/>
        <v>0</v>
      </c>
      <c r="RTH49" s="375">
        <f t="shared" si="241"/>
        <v>0</v>
      </c>
      <c r="RTI49" s="375">
        <f t="shared" si="241"/>
        <v>0</v>
      </c>
      <c r="RTJ49" s="375">
        <f t="shared" si="241"/>
        <v>0</v>
      </c>
      <c r="RTK49" s="375">
        <f t="shared" si="241"/>
        <v>0</v>
      </c>
      <c r="RTL49" s="375">
        <f t="shared" si="241"/>
        <v>0</v>
      </c>
      <c r="RTM49" s="375">
        <f t="shared" si="241"/>
        <v>0</v>
      </c>
      <c r="RTN49" s="375">
        <f t="shared" si="241"/>
        <v>0</v>
      </c>
      <c r="RTO49" s="375">
        <f t="shared" si="241"/>
        <v>0</v>
      </c>
      <c r="RTP49" s="375">
        <f t="shared" si="241"/>
        <v>0</v>
      </c>
      <c r="RTQ49" s="375">
        <f t="shared" si="241"/>
        <v>0</v>
      </c>
      <c r="RTR49" s="375">
        <f t="shared" si="241"/>
        <v>0</v>
      </c>
      <c r="RTS49" s="375">
        <f t="shared" si="241"/>
        <v>0</v>
      </c>
      <c r="RTT49" s="375">
        <f t="shared" si="241"/>
        <v>0</v>
      </c>
      <c r="RTU49" s="375">
        <f t="shared" si="241"/>
        <v>0</v>
      </c>
      <c r="RTV49" s="375">
        <f t="shared" si="241"/>
        <v>0</v>
      </c>
      <c r="RTW49" s="375">
        <f t="shared" si="241"/>
        <v>0</v>
      </c>
      <c r="RTX49" s="375">
        <f t="shared" si="241"/>
        <v>0</v>
      </c>
      <c r="RTY49" s="375">
        <f t="shared" si="241"/>
        <v>0</v>
      </c>
      <c r="RTZ49" s="375">
        <f t="shared" si="241"/>
        <v>0</v>
      </c>
      <c r="RUA49" s="375">
        <f t="shared" si="241"/>
        <v>0</v>
      </c>
      <c r="RUB49" s="375">
        <f t="shared" si="241"/>
        <v>0</v>
      </c>
      <c r="RUC49" s="375">
        <f t="shared" si="241"/>
        <v>0</v>
      </c>
      <c r="RUD49" s="375">
        <f t="shared" si="241"/>
        <v>0</v>
      </c>
      <c r="RUE49" s="375">
        <f t="shared" si="241"/>
        <v>0</v>
      </c>
      <c r="RUF49" s="375">
        <f t="shared" si="241"/>
        <v>0</v>
      </c>
      <c r="RUG49" s="375">
        <f t="shared" si="241"/>
        <v>0</v>
      </c>
      <c r="RUH49" s="375">
        <f t="shared" si="241"/>
        <v>0</v>
      </c>
      <c r="RUI49" s="375">
        <f t="shared" si="241"/>
        <v>0</v>
      </c>
      <c r="RUJ49" s="375">
        <f t="shared" si="241"/>
        <v>0</v>
      </c>
      <c r="RUK49" s="375">
        <f t="shared" si="241"/>
        <v>0</v>
      </c>
      <c r="RUL49" s="375">
        <f t="shared" si="241"/>
        <v>0</v>
      </c>
      <c r="RUM49" s="375">
        <f t="shared" si="241"/>
        <v>0</v>
      </c>
      <c r="RUN49" s="375">
        <f t="shared" si="241"/>
        <v>0</v>
      </c>
      <c r="RUO49" s="375">
        <f t="shared" si="241"/>
        <v>0</v>
      </c>
      <c r="RUP49" s="375">
        <f t="shared" si="241"/>
        <v>0</v>
      </c>
      <c r="RUQ49" s="375">
        <f t="shared" si="241"/>
        <v>0</v>
      </c>
      <c r="RUR49" s="375">
        <f t="shared" si="241"/>
        <v>0</v>
      </c>
      <c r="RUS49" s="375">
        <f t="shared" si="241"/>
        <v>0</v>
      </c>
      <c r="RUT49" s="375">
        <f t="shared" si="241"/>
        <v>0</v>
      </c>
      <c r="RUU49" s="375">
        <f t="shared" si="241"/>
        <v>0</v>
      </c>
      <c r="RUV49" s="375">
        <f t="shared" si="241"/>
        <v>0</v>
      </c>
      <c r="RUW49" s="375">
        <f t="shared" ref="RUW49:RXH49" si="242">RUW48*0.8</f>
        <v>0</v>
      </c>
      <c r="RUX49" s="375">
        <f t="shared" si="242"/>
        <v>0</v>
      </c>
      <c r="RUY49" s="375">
        <f t="shared" si="242"/>
        <v>0</v>
      </c>
      <c r="RUZ49" s="375">
        <f t="shared" si="242"/>
        <v>0</v>
      </c>
      <c r="RVA49" s="375">
        <f t="shared" si="242"/>
        <v>0</v>
      </c>
      <c r="RVB49" s="375">
        <f t="shared" si="242"/>
        <v>0</v>
      </c>
      <c r="RVC49" s="375">
        <f t="shared" si="242"/>
        <v>0</v>
      </c>
      <c r="RVD49" s="375">
        <f t="shared" si="242"/>
        <v>0</v>
      </c>
      <c r="RVE49" s="375">
        <f t="shared" si="242"/>
        <v>0</v>
      </c>
      <c r="RVF49" s="375">
        <f t="shared" si="242"/>
        <v>0</v>
      </c>
      <c r="RVG49" s="375">
        <f t="shared" si="242"/>
        <v>0</v>
      </c>
      <c r="RVH49" s="375">
        <f t="shared" si="242"/>
        <v>0</v>
      </c>
      <c r="RVI49" s="375">
        <f t="shared" si="242"/>
        <v>0</v>
      </c>
      <c r="RVJ49" s="375">
        <f t="shared" si="242"/>
        <v>0</v>
      </c>
      <c r="RVK49" s="375">
        <f t="shared" si="242"/>
        <v>0</v>
      </c>
      <c r="RVL49" s="375">
        <f t="shared" si="242"/>
        <v>0</v>
      </c>
      <c r="RVM49" s="375">
        <f t="shared" si="242"/>
        <v>0</v>
      </c>
      <c r="RVN49" s="375">
        <f t="shared" si="242"/>
        <v>0</v>
      </c>
      <c r="RVO49" s="375">
        <f t="shared" si="242"/>
        <v>0</v>
      </c>
      <c r="RVP49" s="375">
        <f t="shared" si="242"/>
        <v>0</v>
      </c>
      <c r="RVQ49" s="375">
        <f t="shared" si="242"/>
        <v>0</v>
      </c>
      <c r="RVR49" s="375">
        <f t="shared" si="242"/>
        <v>0</v>
      </c>
      <c r="RVS49" s="375">
        <f t="shared" si="242"/>
        <v>0</v>
      </c>
      <c r="RVT49" s="375">
        <f t="shared" si="242"/>
        <v>0</v>
      </c>
      <c r="RVU49" s="375">
        <f t="shared" si="242"/>
        <v>0</v>
      </c>
      <c r="RVV49" s="375">
        <f t="shared" si="242"/>
        <v>0</v>
      </c>
      <c r="RVW49" s="375">
        <f t="shared" si="242"/>
        <v>0</v>
      </c>
      <c r="RVX49" s="375">
        <f t="shared" si="242"/>
        <v>0</v>
      </c>
      <c r="RVY49" s="375">
        <f t="shared" si="242"/>
        <v>0</v>
      </c>
      <c r="RVZ49" s="375">
        <f t="shared" si="242"/>
        <v>0</v>
      </c>
      <c r="RWA49" s="375">
        <f t="shared" si="242"/>
        <v>0</v>
      </c>
      <c r="RWB49" s="375">
        <f t="shared" si="242"/>
        <v>0</v>
      </c>
      <c r="RWC49" s="375">
        <f t="shared" si="242"/>
        <v>0</v>
      </c>
      <c r="RWD49" s="375">
        <f t="shared" si="242"/>
        <v>0</v>
      </c>
      <c r="RWE49" s="375">
        <f t="shared" si="242"/>
        <v>0</v>
      </c>
      <c r="RWF49" s="375">
        <f t="shared" si="242"/>
        <v>0</v>
      </c>
      <c r="RWG49" s="375">
        <f t="shared" si="242"/>
        <v>0</v>
      </c>
      <c r="RWH49" s="375">
        <f t="shared" si="242"/>
        <v>0</v>
      </c>
      <c r="RWI49" s="375">
        <f t="shared" si="242"/>
        <v>0</v>
      </c>
      <c r="RWJ49" s="375">
        <f t="shared" si="242"/>
        <v>0</v>
      </c>
      <c r="RWK49" s="375">
        <f t="shared" si="242"/>
        <v>0</v>
      </c>
      <c r="RWL49" s="375">
        <f t="shared" si="242"/>
        <v>0</v>
      </c>
      <c r="RWM49" s="375">
        <f t="shared" si="242"/>
        <v>0</v>
      </c>
      <c r="RWN49" s="375">
        <f t="shared" si="242"/>
        <v>0</v>
      </c>
      <c r="RWO49" s="375">
        <f t="shared" si="242"/>
        <v>0</v>
      </c>
      <c r="RWP49" s="375">
        <f t="shared" si="242"/>
        <v>0</v>
      </c>
      <c r="RWQ49" s="375">
        <f t="shared" si="242"/>
        <v>0</v>
      </c>
      <c r="RWR49" s="375">
        <f t="shared" si="242"/>
        <v>0</v>
      </c>
      <c r="RWS49" s="375">
        <f t="shared" si="242"/>
        <v>0</v>
      </c>
      <c r="RWT49" s="375">
        <f t="shared" si="242"/>
        <v>0</v>
      </c>
      <c r="RWU49" s="375">
        <f t="shared" si="242"/>
        <v>0</v>
      </c>
      <c r="RWV49" s="375">
        <f t="shared" si="242"/>
        <v>0</v>
      </c>
      <c r="RWW49" s="375">
        <f t="shared" si="242"/>
        <v>0</v>
      </c>
      <c r="RWX49" s="375">
        <f t="shared" si="242"/>
        <v>0</v>
      </c>
      <c r="RWY49" s="375">
        <f t="shared" si="242"/>
        <v>0</v>
      </c>
      <c r="RWZ49" s="375">
        <f t="shared" si="242"/>
        <v>0</v>
      </c>
      <c r="RXA49" s="375">
        <f t="shared" si="242"/>
        <v>0</v>
      </c>
      <c r="RXB49" s="375">
        <f t="shared" si="242"/>
        <v>0</v>
      </c>
      <c r="RXC49" s="375">
        <f t="shared" si="242"/>
        <v>0</v>
      </c>
      <c r="RXD49" s="375">
        <f t="shared" si="242"/>
        <v>0</v>
      </c>
      <c r="RXE49" s="375">
        <f t="shared" si="242"/>
        <v>0</v>
      </c>
      <c r="RXF49" s="375">
        <f t="shared" si="242"/>
        <v>0</v>
      </c>
      <c r="RXG49" s="375">
        <f t="shared" si="242"/>
        <v>0</v>
      </c>
      <c r="RXH49" s="375">
        <f t="shared" si="242"/>
        <v>0</v>
      </c>
      <c r="RXI49" s="375">
        <f t="shared" ref="RXI49:RZT49" si="243">RXI48*0.8</f>
        <v>0</v>
      </c>
      <c r="RXJ49" s="375">
        <f t="shared" si="243"/>
        <v>0</v>
      </c>
      <c r="RXK49" s="375">
        <f t="shared" si="243"/>
        <v>0</v>
      </c>
      <c r="RXL49" s="375">
        <f t="shared" si="243"/>
        <v>0</v>
      </c>
      <c r="RXM49" s="375">
        <f t="shared" si="243"/>
        <v>0</v>
      </c>
      <c r="RXN49" s="375">
        <f t="shared" si="243"/>
        <v>0</v>
      </c>
      <c r="RXO49" s="375">
        <f t="shared" si="243"/>
        <v>0</v>
      </c>
      <c r="RXP49" s="375">
        <f t="shared" si="243"/>
        <v>0</v>
      </c>
      <c r="RXQ49" s="375">
        <f t="shared" si="243"/>
        <v>0</v>
      </c>
      <c r="RXR49" s="375">
        <f t="shared" si="243"/>
        <v>0</v>
      </c>
      <c r="RXS49" s="375">
        <f t="shared" si="243"/>
        <v>0</v>
      </c>
      <c r="RXT49" s="375">
        <f t="shared" si="243"/>
        <v>0</v>
      </c>
      <c r="RXU49" s="375">
        <f t="shared" si="243"/>
        <v>0</v>
      </c>
      <c r="RXV49" s="375">
        <f t="shared" si="243"/>
        <v>0</v>
      </c>
      <c r="RXW49" s="375">
        <f t="shared" si="243"/>
        <v>0</v>
      </c>
      <c r="RXX49" s="375">
        <f t="shared" si="243"/>
        <v>0</v>
      </c>
      <c r="RXY49" s="375">
        <f t="shared" si="243"/>
        <v>0</v>
      </c>
      <c r="RXZ49" s="375">
        <f t="shared" si="243"/>
        <v>0</v>
      </c>
      <c r="RYA49" s="375">
        <f t="shared" si="243"/>
        <v>0</v>
      </c>
      <c r="RYB49" s="375">
        <f t="shared" si="243"/>
        <v>0</v>
      </c>
      <c r="RYC49" s="375">
        <f t="shared" si="243"/>
        <v>0</v>
      </c>
      <c r="RYD49" s="375">
        <f t="shared" si="243"/>
        <v>0</v>
      </c>
      <c r="RYE49" s="375">
        <f t="shared" si="243"/>
        <v>0</v>
      </c>
      <c r="RYF49" s="375">
        <f t="shared" si="243"/>
        <v>0</v>
      </c>
      <c r="RYG49" s="375">
        <f t="shared" si="243"/>
        <v>0</v>
      </c>
      <c r="RYH49" s="375">
        <f t="shared" si="243"/>
        <v>0</v>
      </c>
      <c r="RYI49" s="375">
        <f t="shared" si="243"/>
        <v>0</v>
      </c>
      <c r="RYJ49" s="375">
        <f t="shared" si="243"/>
        <v>0</v>
      </c>
      <c r="RYK49" s="375">
        <f t="shared" si="243"/>
        <v>0</v>
      </c>
      <c r="RYL49" s="375">
        <f t="shared" si="243"/>
        <v>0</v>
      </c>
      <c r="RYM49" s="375">
        <f t="shared" si="243"/>
        <v>0</v>
      </c>
      <c r="RYN49" s="375">
        <f t="shared" si="243"/>
        <v>0</v>
      </c>
      <c r="RYO49" s="375">
        <f t="shared" si="243"/>
        <v>0</v>
      </c>
      <c r="RYP49" s="375">
        <f t="shared" si="243"/>
        <v>0</v>
      </c>
      <c r="RYQ49" s="375">
        <f t="shared" si="243"/>
        <v>0</v>
      </c>
      <c r="RYR49" s="375">
        <f t="shared" si="243"/>
        <v>0</v>
      </c>
      <c r="RYS49" s="375">
        <f t="shared" si="243"/>
        <v>0</v>
      </c>
      <c r="RYT49" s="375">
        <f t="shared" si="243"/>
        <v>0</v>
      </c>
      <c r="RYU49" s="375">
        <f t="shared" si="243"/>
        <v>0</v>
      </c>
      <c r="RYV49" s="375">
        <f t="shared" si="243"/>
        <v>0</v>
      </c>
      <c r="RYW49" s="375">
        <f t="shared" si="243"/>
        <v>0</v>
      </c>
      <c r="RYX49" s="375">
        <f t="shared" si="243"/>
        <v>0</v>
      </c>
      <c r="RYY49" s="375">
        <f t="shared" si="243"/>
        <v>0</v>
      </c>
      <c r="RYZ49" s="375">
        <f t="shared" si="243"/>
        <v>0</v>
      </c>
      <c r="RZA49" s="375">
        <f t="shared" si="243"/>
        <v>0</v>
      </c>
      <c r="RZB49" s="375">
        <f t="shared" si="243"/>
        <v>0</v>
      </c>
      <c r="RZC49" s="375">
        <f t="shared" si="243"/>
        <v>0</v>
      </c>
      <c r="RZD49" s="375">
        <f t="shared" si="243"/>
        <v>0</v>
      </c>
      <c r="RZE49" s="375">
        <f t="shared" si="243"/>
        <v>0</v>
      </c>
      <c r="RZF49" s="375">
        <f t="shared" si="243"/>
        <v>0</v>
      </c>
      <c r="RZG49" s="375">
        <f t="shared" si="243"/>
        <v>0</v>
      </c>
      <c r="RZH49" s="375">
        <f t="shared" si="243"/>
        <v>0</v>
      </c>
      <c r="RZI49" s="375">
        <f t="shared" si="243"/>
        <v>0</v>
      </c>
      <c r="RZJ49" s="375">
        <f t="shared" si="243"/>
        <v>0</v>
      </c>
      <c r="RZK49" s="375">
        <f t="shared" si="243"/>
        <v>0</v>
      </c>
      <c r="RZL49" s="375">
        <f t="shared" si="243"/>
        <v>0</v>
      </c>
      <c r="RZM49" s="375">
        <f t="shared" si="243"/>
        <v>0</v>
      </c>
      <c r="RZN49" s="375">
        <f t="shared" si="243"/>
        <v>0</v>
      </c>
      <c r="RZO49" s="375">
        <f t="shared" si="243"/>
        <v>0</v>
      </c>
      <c r="RZP49" s="375">
        <f t="shared" si="243"/>
        <v>0</v>
      </c>
      <c r="RZQ49" s="375">
        <f t="shared" si="243"/>
        <v>0</v>
      </c>
      <c r="RZR49" s="375">
        <f t="shared" si="243"/>
        <v>0</v>
      </c>
      <c r="RZS49" s="375">
        <f t="shared" si="243"/>
        <v>0</v>
      </c>
      <c r="RZT49" s="375">
        <f t="shared" si="243"/>
        <v>0</v>
      </c>
      <c r="RZU49" s="375">
        <f t="shared" ref="RZU49:SCF49" si="244">RZU48*0.8</f>
        <v>0</v>
      </c>
      <c r="RZV49" s="375">
        <f t="shared" si="244"/>
        <v>0</v>
      </c>
      <c r="RZW49" s="375">
        <f t="shared" si="244"/>
        <v>0</v>
      </c>
      <c r="RZX49" s="375">
        <f t="shared" si="244"/>
        <v>0</v>
      </c>
      <c r="RZY49" s="375">
        <f t="shared" si="244"/>
        <v>0</v>
      </c>
      <c r="RZZ49" s="375">
        <f t="shared" si="244"/>
        <v>0</v>
      </c>
      <c r="SAA49" s="375">
        <f t="shared" si="244"/>
        <v>0</v>
      </c>
      <c r="SAB49" s="375">
        <f t="shared" si="244"/>
        <v>0</v>
      </c>
      <c r="SAC49" s="375">
        <f t="shared" si="244"/>
        <v>0</v>
      </c>
      <c r="SAD49" s="375">
        <f t="shared" si="244"/>
        <v>0</v>
      </c>
      <c r="SAE49" s="375">
        <f t="shared" si="244"/>
        <v>0</v>
      </c>
      <c r="SAF49" s="375">
        <f t="shared" si="244"/>
        <v>0</v>
      </c>
      <c r="SAG49" s="375">
        <f t="shared" si="244"/>
        <v>0</v>
      </c>
      <c r="SAH49" s="375">
        <f t="shared" si="244"/>
        <v>0</v>
      </c>
      <c r="SAI49" s="375">
        <f t="shared" si="244"/>
        <v>0</v>
      </c>
      <c r="SAJ49" s="375">
        <f t="shared" si="244"/>
        <v>0</v>
      </c>
      <c r="SAK49" s="375">
        <f t="shared" si="244"/>
        <v>0</v>
      </c>
      <c r="SAL49" s="375">
        <f t="shared" si="244"/>
        <v>0</v>
      </c>
      <c r="SAM49" s="375">
        <f t="shared" si="244"/>
        <v>0</v>
      </c>
      <c r="SAN49" s="375">
        <f t="shared" si="244"/>
        <v>0</v>
      </c>
      <c r="SAO49" s="375">
        <f t="shared" si="244"/>
        <v>0</v>
      </c>
      <c r="SAP49" s="375">
        <f t="shared" si="244"/>
        <v>0</v>
      </c>
      <c r="SAQ49" s="375">
        <f t="shared" si="244"/>
        <v>0</v>
      </c>
      <c r="SAR49" s="375">
        <f t="shared" si="244"/>
        <v>0</v>
      </c>
      <c r="SAS49" s="375">
        <f t="shared" si="244"/>
        <v>0</v>
      </c>
      <c r="SAT49" s="375">
        <f t="shared" si="244"/>
        <v>0</v>
      </c>
      <c r="SAU49" s="375">
        <f t="shared" si="244"/>
        <v>0</v>
      </c>
      <c r="SAV49" s="375">
        <f t="shared" si="244"/>
        <v>0</v>
      </c>
      <c r="SAW49" s="375">
        <f t="shared" si="244"/>
        <v>0</v>
      </c>
      <c r="SAX49" s="375">
        <f t="shared" si="244"/>
        <v>0</v>
      </c>
      <c r="SAY49" s="375">
        <f t="shared" si="244"/>
        <v>0</v>
      </c>
      <c r="SAZ49" s="375">
        <f t="shared" si="244"/>
        <v>0</v>
      </c>
      <c r="SBA49" s="375">
        <f t="shared" si="244"/>
        <v>0</v>
      </c>
      <c r="SBB49" s="375">
        <f t="shared" si="244"/>
        <v>0</v>
      </c>
      <c r="SBC49" s="375">
        <f t="shared" si="244"/>
        <v>0</v>
      </c>
      <c r="SBD49" s="375">
        <f t="shared" si="244"/>
        <v>0</v>
      </c>
      <c r="SBE49" s="375">
        <f t="shared" si="244"/>
        <v>0</v>
      </c>
      <c r="SBF49" s="375">
        <f t="shared" si="244"/>
        <v>0</v>
      </c>
      <c r="SBG49" s="375">
        <f t="shared" si="244"/>
        <v>0</v>
      </c>
      <c r="SBH49" s="375">
        <f t="shared" si="244"/>
        <v>0</v>
      </c>
      <c r="SBI49" s="375">
        <f t="shared" si="244"/>
        <v>0</v>
      </c>
      <c r="SBJ49" s="375">
        <f t="shared" si="244"/>
        <v>0</v>
      </c>
      <c r="SBK49" s="375">
        <f t="shared" si="244"/>
        <v>0</v>
      </c>
      <c r="SBL49" s="375">
        <f t="shared" si="244"/>
        <v>0</v>
      </c>
      <c r="SBM49" s="375">
        <f t="shared" si="244"/>
        <v>0</v>
      </c>
      <c r="SBN49" s="375">
        <f t="shared" si="244"/>
        <v>0</v>
      </c>
      <c r="SBO49" s="375">
        <f t="shared" si="244"/>
        <v>0</v>
      </c>
      <c r="SBP49" s="375">
        <f t="shared" si="244"/>
        <v>0</v>
      </c>
      <c r="SBQ49" s="375">
        <f t="shared" si="244"/>
        <v>0</v>
      </c>
      <c r="SBR49" s="375">
        <f t="shared" si="244"/>
        <v>0</v>
      </c>
      <c r="SBS49" s="375">
        <f t="shared" si="244"/>
        <v>0</v>
      </c>
      <c r="SBT49" s="375">
        <f t="shared" si="244"/>
        <v>0</v>
      </c>
      <c r="SBU49" s="375">
        <f t="shared" si="244"/>
        <v>0</v>
      </c>
      <c r="SBV49" s="375">
        <f t="shared" si="244"/>
        <v>0</v>
      </c>
      <c r="SBW49" s="375">
        <f t="shared" si="244"/>
        <v>0</v>
      </c>
      <c r="SBX49" s="375">
        <f t="shared" si="244"/>
        <v>0</v>
      </c>
      <c r="SBY49" s="375">
        <f t="shared" si="244"/>
        <v>0</v>
      </c>
      <c r="SBZ49" s="375">
        <f t="shared" si="244"/>
        <v>0</v>
      </c>
      <c r="SCA49" s="375">
        <f t="shared" si="244"/>
        <v>0</v>
      </c>
      <c r="SCB49" s="375">
        <f t="shared" si="244"/>
        <v>0</v>
      </c>
      <c r="SCC49" s="375">
        <f t="shared" si="244"/>
        <v>0</v>
      </c>
      <c r="SCD49" s="375">
        <f t="shared" si="244"/>
        <v>0</v>
      </c>
      <c r="SCE49" s="375">
        <f t="shared" si="244"/>
        <v>0</v>
      </c>
      <c r="SCF49" s="375">
        <f t="shared" si="244"/>
        <v>0</v>
      </c>
      <c r="SCG49" s="375">
        <f t="shared" ref="SCG49:SER49" si="245">SCG48*0.8</f>
        <v>0</v>
      </c>
      <c r="SCH49" s="375">
        <f t="shared" si="245"/>
        <v>0</v>
      </c>
      <c r="SCI49" s="375">
        <f t="shared" si="245"/>
        <v>0</v>
      </c>
      <c r="SCJ49" s="375">
        <f t="shared" si="245"/>
        <v>0</v>
      </c>
      <c r="SCK49" s="375">
        <f t="shared" si="245"/>
        <v>0</v>
      </c>
      <c r="SCL49" s="375">
        <f t="shared" si="245"/>
        <v>0</v>
      </c>
      <c r="SCM49" s="375">
        <f t="shared" si="245"/>
        <v>0</v>
      </c>
      <c r="SCN49" s="375">
        <f t="shared" si="245"/>
        <v>0</v>
      </c>
      <c r="SCO49" s="375">
        <f t="shared" si="245"/>
        <v>0</v>
      </c>
      <c r="SCP49" s="375">
        <f t="shared" si="245"/>
        <v>0</v>
      </c>
      <c r="SCQ49" s="375">
        <f t="shared" si="245"/>
        <v>0</v>
      </c>
      <c r="SCR49" s="375">
        <f t="shared" si="245"/>
        <v>0</v>
      </c>
      <c r="SCS49" s="375">
        <f t="shared" si="245"/>
        <v>0</v>
      </c>
      <c r="SCT49" s="375">
        <f t="shared" si="245"/>
        <v>0</v>
      </c>
      <c r="SCU49" s="375">
        <f t="shared" si="245"/>
        <v>0</v>
      </c>
      <c r="SCV49" s="375">
        <f t="shared" si="245"/>
        <v>0</v>
      </c>
      <c r="SCW49" s="375">
        <f t="shared" si="245"/>
        <v>0</v>
      </c>
      <c r="SCX49" s="375">
        <f t="shared" si="245"/>
        <v>0</v>
      </c>
      <c r="SCY49" s="375">
        <f t="shared" si="245"/>
        <v>0</v>
      </c>
      <c r="SCZ49" s="375">
        <f t="shared" si="245"/>
        <v>0</v>
      </c>
      <c r="SDA49" s="375">
        <f t="shared" si="245"/>
        <v>0</v>
      </c>
      <c r="SDB49" s="375">
        <f t="shared" si="245"/>
        <v>0</v>
      </c>
      <c r="SDC49" s="375">
        <f t="shared" si="245"/>
        <v>0</v>
      </c>
      <c r="SDD49" s="375">
        <f t="shared" si="245"/>
        <v>0</v>
      </c>
      <c r="SDE49" s="375">
        <f t="shared" si="245"/>
        <v>0</v>
      </c>
      <c r="SDF49" s="375">
        <f t="shared" si="245"/>
        <v>0</v>
      </c>
      <c r="SDG49" s="375">
        <f t="shared" si="245"/>
        <v>0</v>
      </c>
      <c r="SDH49" s="375">
        <f t="shared" si="245"/>
        <v>0</v>
      </c>
      <c r="SDI49" s="375">
        <f t="shared" si="245"/>
        <v>0</v>
      </c>
      <c r="SDJ49" s="375">
        <f t="shared" si="245"/>
        <v>0</v>
      </c>
      <c r="SDK49" s="375">
        <f t="shared" si="245"/>
        <v>0</v>
      </c>
      <c r="SDL49" s="375">
        <f t="shared" si="245"/>
        <v>0</v>
      </c>
      <c r="SDM49" s="375">
        <f t="shared" si="245"/>
        <v>0</v>
      </c>
      <c r="SDN49" s="375">
        <f t="shared" si="245"/>
        <v>0</v>
      </c>
      <c r="SDO49" s="375">
        <f t="shared" si="245"/>
        <v>0</v>
      </c>
      <c r="SDP49" s="375">
        <f t="shared" si="245"/>
        <v>0</v>
      </c>
      <c r="SDQ49" s="375">
        <f t="shared" si="245"/>
        <v>0</v>
      </c>
      <c r="SDR49" s="375">
        <f t="shared" si="245"/>
        <v>0</v>
      </c>
      <c r="SDS49" s="375">
        <f t="shared" si="245"/>
        <v>0</v>
      </c>
      <c r="SDT49" s="375">
        <f t="shared" si="245"/>
        <v>0</v>
      </c>
      <c r="SDU49" s="375">
        <f t="shared" si="245"/>
        <v>0</v>
      </c>
      <c r="SDV49" s="375">
        <f t="shared" si="245"/>
        <v>0</v>
      </c>
      <c r="SDW49" s="375">
        <f t="shared" si="245"/>
        <v>0</v>
      </c>
      <c r="SDX49" s="375">
        <f t="shared" si="245"/>
        <v>0</v>
      </c>
      <c r="SDY49" s="375">
        <f t="shared" si="245"/>
        <v>0</v>
      </c>
      <c r="SDZ49" s="375">
        <f t="shared" si="245"/>
        <v>0</v>
      </c>
      <c r="SEA49" s="375">
        <f t="shared" si="245"/>
        <v>0</v>
      </c>
      <c r="SEB49" s="375">
        <f t="shared" si="245"/>
        <v>0</v>
      </c>
      <c r="SEC49" s="375">
        <f t="shared" si="245"/>
        <v>0</v>
      </c>
      <c r="SED49" s="375">
        <f t="shared" si="245"/>
        <v>0</v>
      </c>
      <c r="SEE49" s="375">
        <f t="shared" si="245"/>
        <v>0</v>
      </c>
      <c r="SEF49" s="375">
        <f t="shared" si="245"/>
        <v>0</v>
      </c>
      <c r="SEG49" s="375">
        <f t="shared" si="245"/>
        <v>0</v>
      </c>
      <c r="SEH49" s="375">
        <f t="shared" si="245"/>
        <v>0</v>
      </c>
      <c r="SEI49" s="375">
        <f t="shared" si="245"/>
        <v>0</v>
      </c>
      <c r="SEJ49" s="375">
        <f t="shared" si="245"/>
        <v>0</v>
      </c>
      <c r="SEK49" s="375">
        <f t="shared" si="245"/>
        <v>0</v>
      </c>
      <c r="SEL49" s="375">
        <f t="shared" si="245"/>
        <v>0</v>
      </c>
      <c r="SEM49" s="375">
        <f t="shared" si="245"/>
        <v>0</v>
      </c>
      <c r="SEN49" s="375">
        <f t="shared" si="245"/>
        <v>0</v>
      </c>
      <c r="SEO49" s="375">
        <f t="shared" si="245"/>
        <v>0</v>
      </c>
      <c r="SEP49" s="375">
        <f t="shared" si="245"/>
        <v>0</v>
      </c>
      <c r="SEQ49" s="375">
        <f t="shared" si="245"/>
        <v>0</v>
      </c>
      <c r="SER49" s="375">
        <f t="shared" si="245"/>
        <v>0</v>
      </c>
      <c r="SES49" s="375">
        <f t="shared" ref="SES49:SHD49" si="246">SES48*0.8</f>
        <v>0</v>
      </c>
      <c r="SET49" s="375">
        <f t="shared" si="246"/>
        <v>0</v>
      </c>
      <c r="SEU49" s="375">
        <f t="shared" si="246"/>
        <v>0</v>
      </c>
      <c r="SEV49" s="375">
        <f t="shared" si="246"/>
        <v>0</v>
      </c>
      <c r="SEW49" s="375">
        <f t="shared" si="246"/>
        <v>0</v>
      </c>
      <c r="SEX49" s="375">
        <f t="shared" si="246"/>
        <v>0</v>
      </c>
      <c r="SEY49" s="375">
        <f t="shared" si="246"/>
        <v>0</v>
      </c>
      <c r="SEZ49" s="375">
        <f t="shared" si="246"/>
        <v>0</v>
      </c>
      <c r="SFA49" s="375">
        <f t="shared" si="246"/>
        <v>0</v>
      </c>
      <c r="SFB49" s="375">
        <f t="shared" si="246"/>
        <v>0</v>
      </c>
      <c r="SFC49" s="375">
        <f t="shared" si="246"/>
        <v>0</v>
      </c>
      <c r="SFD49" s="375">
        <f t="shared" si="246"/>
        <v>0</v>
      </c>
      <c r="SFE49" s="375">
        <f t="shared" si="246"/>
        <v>0</v>
      </c>
      <c r="SFF49" s="375">
        <f t="shared" si="246"/>
        <v>0</v>
      </c>
      <c r="SFG49" s="375">
        <f t="shared" si="246"/>
        <v>0</v>
      </c>
      <c r="SFH49" s="375">
        <f t="shared" si="246"/>
        <v>0</v>
      </c>
      <c r="SFI49" s="375">
        <f t="shared" si="246"/>
        <v>0</v>
      </c>
      <c r="SFJ49" s="375">
        <f t="shared" si="246"/>
        <v>0</v>
      </c>
      <c r="SFK49" s="375">
        <f t="shared" si="246"/>
        <v>0</v>
      </c>
      <c r="SFL49" s="375">
        <f t="shared" si="246"/>
        <v>0</v>
      </c>
      <c r="SFM49" s="375">
        <f t="shared" si="246"/>
        <v>0</v>
      </c>
      <c r="SFN49" s="375">
        <f t="shared" si="246"/>
        <v>0</v>
      </c>
      <c r="SFO49" s="375">
        <f t="shared" si="246"/>
        <v>0</v>
      </c>
      <c r="SFP49" s="375">
        <f t="shared" si="246"/>
        <v>0</v>
      </c>
      <c r="SFQ49" s="375">
        <f t="shared" si="246"/>
        <v>0</v>
      </c>
      <c r="SFR49" s="375">
        <f t="shared" si="246"/>
        <v>0</v>
      </c>
      <c r="SFS49" s="375">
        <f t="shared" si="246"/>
        <v>0</v>
      </c>
      <c r="SFT49" s="375">
        <f t="shared" si="246"/>
        <v>0</v>
      </c>
      <c r="SFU49" s="375">
        <f t="shared" si="246"/>
        <v>0</v>
      </c>
      <c r="SFV49" s="375">
        <f t="shared" si="246"/>
        <v>0</v>
      </c>
      <c r="SFW49" s="375">
        <f t="shared" si="246"/>
        <v>0</v>
      </c>
      <c r="SFX49" s="375">
        <f t="shared" si="246"/>
        <v>0</v>
      </c>
      <c r="SFY49" s="375">
        <f t="shared" si="246"/>
        <v>0</v>
      </c>
      <c r="SFZ49" s="375">
        <f t="shared" si="246"/>
        <v>0</v>
      </c>
      <c r="SGA49" s="375">
        <f t="shared" si="246"/>
        <v>0</v>
      </c>
      <c r="SGB49" s="375">
        <f t="shared" si="246"/>
        <v>0</v>
      </c>
      <c r="SGC49" s="375">
        <f t="shared" si="246"/>
        <v>0</v>
      </c>
      <c r="SGD49" s="375">
        <f t="shared" si="246"/>
        <v>0</v>
      </c>
      <c r="SGE49" s="375">
        <f t="shared" si="246"/>
        <v>0</v>
      </c>
      <c r="SGF49" s="375">
        <f t="shared" si="246"/>
        <v>0</v>
      </c>
      <c r="SGG49" s="375">
        <f t="shared" si="246"/>
        <v>0</v>
      </c>
      <c r="SGH49" s="375">
        <f t="shared" si="246"/>
        <v>0</v>
      </c>
      <c r="SGI49" s="375">
        <f t="shared" si="246"/>
        <v>0</v>
      </c>
      <c r="SGJ49" s="375">
        <f t="shared" si="246"/>
        <v>0</v>
      </c>
      <c r="SGK49" s="375">
        <f t="shared" si="246"/>
        <v>0</v>
      </c>
      <c r="SGL49" s="375">
        <f t="shared" si="246"/>
        <v>0</v>
      </c>
      <c r="SGM49" s="375">
        <f t="shared" si="246"/>
        <v>0</v>
      </c>
      <c r="SGN49" s="375">
        <f t="shared" si="246"/>
        <v>0</v>
      </c>
      <c r="SGO49" s="375">
        <f t="shared" si="246"/>
        <v>0</v>
      </c>
      <c r="SGP49" s="375">
        <f t="shared" si="246"/>
        <v>0</v>
      </c>
      <c r="SGQ49" s="375">
        <f t="shared" si="246"/>
        <v>0</v>
      </c>
      <c r="SGR49" s="375">
        <f t="shared" si="246"/>
        <v>0</v>
      </c>
      <c r="SGS49" s="375">
        <f t="shared" si="246"/>
        <v>0</v>
      </c>
      <c r="SGT49" s="375">
        <f t="shared" si="246"/>
        <v>0</v>
      </c>
      <c r="SGU49" s="375">
        <f t="shared" si="246"/>
        <v>0</v>
      </c>
      <c r="SGV49" s="375">
        <f t="shared" si="246"/>
        <v>0</v>
      </c>
      <c r="SGW49" s="375">
        <f t="shared" si="246"/>
        <v>0</v>
      </c>
      <c r="SGX49" s="375">
        <f t="shared" si="246"/>
        <v>0</v>
      </c>
      <c r="SGY49" s="375">
        <f t="shared" si="246"/>
        <v>0</v>
      </c>
      <c r="SGZ49" s="375">
        <f t="shared" si="246"/>
        <v>0</v>
      </c>
      <c r="SHA49" s="375">
        <f t="shared" si="246"/>
        <v>0</v>
      </c>
      <c r="SHB49" s="375">
        <f t="shared" si="246"/>
        <v>0</v>
      </c>
      <c r="SHC49" s="375">
        <f t="shared" si="246"/>
        <v>0</v>
      </c>
      <c r="SHD49" s="375">
        <f t="shared" si="246"/>
        <v>0</v>
      </c>
      <c r="SHE49" s="375">
        <f t="shared" ref="SHE49:SJP49" si="247">SHE48*0.8</f>
        <v>0</v>
      </c>
      <c r="SHF49" s="375">
        <f t="shared" si="247"/>
        <v>0</v>
      </c>
      <c r="SHG49" s="375">
        <f t="shared" si="247"/>
        <v>0</v>
      </c>
      <c r="SHH49" s="375">
        <f t="shared" si="247"/>
        <v>0</v>
      </c>
      <c r="SHI49" s="375">
        <f t="shared" si="247"/>
        <v>0</v>
      </c>
      <c r="SHJ49" s="375">
        <f t="shared" si="247"/>
        <v>0</v>
      </c>
      <c r="SHK49" s="375">
        <f t="shared" si="247"/>
        <v>0</v>
      </c>
      <c r="SHL49" s="375">
        <f t="shared" si="247"/>
        <v>0</v>
      </c>
      <c r="SHM49" s="375">
        <f t="shared" si="247"/>
        <v>0</v>
      </c>
      <c r="SHN49" s="375">
        <f t="shared" si="247"/>
        <v>0</v>
      </c>
      <c r="SHO49" s="375">
        <f t="shared" si="247"/>
        <v>0</v>
      </c>
      <c r="SHP49" s="375">
        <f t="shared" si="247"/>
        <v>0</v>
      </c>
      <c r="SHQ49" s="375">
        <f t="shared" si="247"/>
        <v>0</v>
      </c>
      <c r="SHR49" s="375">
        <f t="shared" si="247"/>
        <v>0</v>
      </c>
      <c r="SHS49" s="375">
        <f t="shared" si="247"/>
        <v>0</v>
      </c>
      <c r="SHT49" s="375">
        <f t="shared" si="247"/>
        <v>0</v>
      </c>
      <c r="SHU49" s="375">
        <f t="shared" si="247"/>
        <v>0</v>
      </c>
      <c r="SHV49" s="375">
        <f t="shared" si="247"/>
        <v>0</v>
      </c>
      <c r="SHW49" s="375">
        <f t="shared" si="247"/>
        <v>0</v>
      </c>
      <c r="SHX49" s="375">
        <f t="shared" si="247"/>
        <v>0</v>
      </c>
      <c r="SHY49" s="375">
        <f t="shared" si="247"/>
        <v>0</v>
      </c>
      <c r="SHZ49" s="375">
        <f t="shared" si="247"/>
        <v>0</v>
      </c>
      <c r="SIA49" s="375">
        <f t="shared" si="247"/>
        <v>0</v>
      </c>
      <c r="SIB49" s="375">
        <f t="shared" si="247"/>
        <v>0</v>
      </c>
      <c r="SIC49" s="375">
        <f t="shared" si="247"/>
        <v>0</v>
      </c>
      <c r="SID49" s="375">
        <f t="shared" si="247"/>
        <v>0</v>
      </c>
      <c r="SIE49" s="375">
        <f t="shared" si="247"/>
        <v>0</v>
      </c>
      <c r="SIF49" s="375">
        <f t="shared" si="247"/>
        <v>0</v>
      </c>
      <c r="SIG49" s="375">
        <f t="shared" si="247"/>
        <v>0</v>
      </c>
      <c r="SIH49" s="375">
        <f t="shared" si="247"/>
        <v>0</v>
      </c>
      <c r="SII49" s="375">
        <f t="shared" si="247"/>
        <v>0</v>
      </c>
      <c r="SIJ49" s="375">
        <f t="shared" si="247"/>
        <v>0</v>
      </c>
      <c r="SIK49" s="375">
        <f t="shared" si="247"/>
        <v>0</v>
      </c>
      <c r="SIL49" s="375">
        <f t="shared" si="247"/>
        <v>0</v>
      </c>
      <c r="SIM49" s="375">
        <f t="shared" si="247"/>
        <v>0</v>
      </c>
      <c r="SIN49" s="375">
        <f t="shared" si="247"/>
        <v>0</v>
      </c>
      <c r="SIO49" s="375">
        <f t="shared" si="247"/>
        <v>0</v>
      </c>
      <c r="SIP49" s="375">
        <f t="shared" si="247"/>
        <v>0</v>
      </c>
      <c r="SIQ49" s="375">
        <f t="shared" si="247"/>
        <v>0</v>
      </c>
      <c r="SIR49" s="375">
        <f t="shared" si="247"/>
        <v>0</v>
      </c>
      <c r="SIS49" s="375">
        <f t="shared" si="247"/>
        <v>0</v>
      </c>
      <c r="SIT49" s="375">
        <f t="shared" si="247"/>
        <v>0</v>
      </c>
      <c r="SIU49" s="375">
        <f t="shared" si="247"/>
        <v>0</v>
      </c>
      <c r="SIV49" s="375">
        <f t="shared" si="247"/>
        <v>0</v>
      </c>
      <c r="SIW49" s="375">
        <f t="shared" si="247"/>
        <v>0</v>
      </c>
      <c r="SIX49" s="375">
        <f t="shared" si="247"/>
        <v>0</v>
      </c>
      <c r="SIY49" s="375">
        <f t="shared" si="247"/>
        <v>0</v>
      </c>
      <c r="SIZ49" s="375">
        <f t="shared" si="247"/>
        <v>0</v>
      </c>
      <c r="SJA49" s="375">
        <f t="shared" si="247"/>
        <v>0</v>
      </c>
      <c r="SJB49" s="375">
        <f t="shared" si="247"/>
        <v>0</v>
      </c>
      <c r="SJC49" s="375">
        <f t="shared" si="247"/>
        <v>0</v>
      </c>
      <c r="SJD49" s="375">
        <f t="shared" si="247"/>
        <v>0</v>
      </c>
      <c r="SJE49" s="375">
        <f t="shared" si="247"/>
        <v>0</v>
      </c>
      <c r="SJF49" s="375">
        <f t="shared" si="247"/>
        <v>0</v>
      </c>
      <c r="SJG49" s="375">
        <f t="shared" si="247"/>
        <v>0</v>
      </c>
      <c r="SJH49" s="375">
        <f t="shared" si="247"/>
        <v>0</v>
      </c>
      <c r="SJI49" s="375">
        <f t="shared" si="247"/>
        <v>0</v>
      </c>
      <c r="SJJ49" s="375">
        <f t="shared" si="247"/>
        <v>0</v>
      </c>
      <c r="SJK49" s="375">
        <f t="shared" si="247"/>
        <v>0</v>
      </c>
      <c r="SJL49" s="375">
        <f t="shared" si="247"/>
        <v>0</v>
      </c>
      <c r="SJM49" s="375">
        <f t="shared" si="247"/>
        <v>0</v>
      </c>
      <c r="SJN49" s="375">
        <f t="shared" si="247"/>
        <v>0</v>
      </c>
      <c r="SJO49" s="375">
        <f t="shared" si="247"/>
        <v>0</v>
      </c>
      <c r="SJP49" s="375">
        <f t="shared" si="247"/>
        <v>0</v>
      </c>
      <c r="SJQ49" s="375">
        <f t="shared" ref="SJQ49:SMB49" si="248">SJQ48*0.8</f>
        <v>0</v>
      </c>
      <c r="SJR49" s="375">
        <f t="shared" si="248"/>
        <v>0</v>
      </c>
      <c r="SJS49" s="375">
        <f t="shared" si="248"/>
        <v>0</v>
      </c>
      <c r="SJT49" s="375">
        <f t="shared" si="248"/>
        <v>0</v>
      </c>
      <c r="SJU49" s="375">
        <f t="shared" si="248"/>
        <v>0</v>
      </c>
      <c r="SJV49" s="375">
        <f t="shared" si="248"/>
        <v>0</v>
      </c>
      <c r="SJW49" s="375">
        <f t="shared" si="248"/>
        <v>0</v>
      </c>
      <c r="SJX49" s="375">
        <f t="shared" si="248"/>
        <v>0</v>
      </c>
      <c r="SJY49" s="375">
        <f t="shared" si="248"/>
        <v>0</v>
      </c>
      <c r="SJZ49" s="375">
        <f t="shared" si="248"/>
        <v>0</v>
      </c>
      <c r="SKA49" s="375">
        <f t="shared" si="248"/>
        <v>0</v>
      </c>
      <c r="SKB49" s="375">
        <f t="shared" si="248"/>
        <v>0</v>
      </c>
      <c r="SKC49" s="375">
        <f t="shared" si="248"/>
        <v>0</v>
      </c>
      <c r="SKD49" s="375">
        <f t="shared" si="248"/>
        <v>0</v>
      </c>
      <c r="SKE49" s="375">
        <f t="shared" si="248"/>
        <v>0</v>
      </c>
      <c r="SKF49" s="375">
        <f t="shared" si="248"/>
        <v>0</v>
      </c>
      <c r="SKG49" s="375">
        <f t="shared" si="248"/>
        <v>0</v>
      </c>
      <c r="SKH49" s="375">
        <f t="shared" si="248"/>
        <v>0</v>
      </c>
      <c r="SKI49" s="375">
        <f t="shared" si="248"/>
        <v>0</v>
      </c>
      <c r="SKJ49" s="375">
        <f t="shared" si="248"/>
        <v>0</v>
      </c>
      <c r="SKK49" s="375">
        <f t="shared" si="248"/>
        <v>0</v>
      </c>
      <c r="SKL49" s="375">
        <f t="shared" si="248"/>
        <v>0</v>
      </c>
      <c r="SKM49" s="375">
        <f t="shared" si="248"/>
        <v>0</v>
      </c>
      <c r="SKN49" s="375">
        <f t="shared" si="248"/>
        <v>0</v>
      </c>
      <c r="SKO49" s="375">
        <f t="shared" si="248"/>
        <v>0</v>
      </c>
      <c r="SKP49" s="375">
        <f t="shared" si="248"/>
        <v>0</v>
      </c>
      <c r="SKQ49" s="375">
        <f t="shared" si="248"/>
        <v>0</v>
      </c>
      <c r="SKR49" s="375">
        <f t="shared" si="248"/>
        <v>0</v>
      </c>
      <c r="SKS49" s="375">
        <f t="shared" si="248"/>
        <v>0</v>
      </c>
      <c r="SKT49" s="375">
        <f t="shared" si="248"/>
        <v>0</v>
      </c>
      <c r="SKU49" s="375">
        <f t="shared" si="248"/>
        <v>0</v>
      </c>
      <c r="SKV49" s="375">
        <f t="shared" si="248"/>
        <v>0</v>
      </c>
      <c r="SKW49" s="375">
        <f t="shared" si="248"/>
        <v>0</v>
      </c>
      <c r="SKX49" s="375">
        <f t="shared" si="248"/>
        <v>0</v>
      </c>
      <c r="SKY49" s="375">
        <f t="shared" si="248"/>
        <v>0</v>
      </c>
      <c r="SKZ49" s="375">
        <f t="shared" si="248"/>
        <v>0</v>
      </c>
      <c r="SLA49" s="375">
        <f t="shared" si="248"/>
        <v>0</v>
      </c>
      <c r="SLB49" s="375">
        <f t="shared" si="248"/>
        <v>0</v>
      </c>
      <c r="SLC49" s="375">
        <f t="shared" si="248"/>
        <v>0</v>
      </c>
      <c r="SLD49" s="375">
        <f t="shared" si="248"/>
        <v>0</v>
      </c>
      <c r="SLE49" s="375">
        <f t="shared" si="248"/>
        <v>0</v>
      </c>
      <c r="SLF49" s="375">
        <f t="shared" si="248"/>
        <v>0</v>
      </c>
      <c r="SLG49" s="375">
        <f t="shared" si="248"/>
        <v>0</v>
      </c>
      <c r="SLH49" s="375">
        <f t="shared" si="248"/>
        <v>0</v>
      </c>
      <c r="SLI49" s="375">
        <f t="shared" si="248"/>
        <v>0</v>
      </c>
      <c r="SLJ49" s="375">
        <f t="shared" si="248"/>
        <v>0</v>
      </c>
      <c r="SLK49" s="375">
        <f t="shared" si="248"/>
        <v>0</v>
      </c>
      <c r="SLL49" s="375">
        <f t="shared" si="248"/>
        <v>0</v>
      </c>
      <c r="SLM49" s="375">
        <f t="shared" si="248"/>
        <v>0</v>
      </c>
      <c r="SLN49" s="375">
        <f t="shared" si="248"/>
        <v>0</v>
      </c>
      <c r="SLO49" s="375">
        <f t="shared" si="248"/>
        <v>0</v>
      </c>
      <c r="SLP49" s="375">
        <f t="shared" si="248"/>
        <v>0</v>
      </c>
      <c r="SLQ49" s="375">
        <f t="shared" si="248"/>
        <v>0</v>
      </c>
      <c r="SLR49" s="375">
        <f t="shared" si="248"/>
        <v>0</v>
      </c>
      <c r="SLS49" s="375">
        <f t="shared" si="248"/>
        <v>0</v>
      </c>
      <c r="SLT49" s="375">
        <f t="shared" si="248"/>
        <v>0</v>
      </c>
      <c r="SLU49" s="375">
        <f t="shared" si="248"/>
        <v>0</v>
      </c>
      <c r="SLV49" s="375">
        <f t="shared" si="248"/>
        <v>0</v>
      </c>
      <c r="SLW49" s="375">
        <f t="shared" si="248"/>
        <v>0</v>
      </c>
      <c r="SLX49" s="375">
        <f t="shared" si="248"/>
        <v>0</v>
      </c>
      <c r="SLY49" s="375">
        <f t="shared" si="248"/>
        <v>0</v>
      </c>
      <c r="SLZ49" s="375">
        <f t="shared" si="248"/>
        <v>0</v>
      </c>
      <c r="SMA49" s="375">
        <f t="shared" si="248"/>
        <v>0</v>
      </c>
      <c r="SMB49" s="375">
        <f t="shared" si="248"/>
        <v>0</v>
      </c>
      <c r="SMC49" s="375">
        <f t="shared" ref="SMC49:SON49" si="249">SMC48*0.8</f>
        <v>0</v>
      </c>
      <c r="SMD49" s="375">
        <f t="shared" si="249"/>
        <v>0</v>
      </c>
      <c r="SME49" s="375">
        <f t="shared" si="249"/>
        <v>0</v>
      </c>
      <c r="SMF49" s="375">
        <f t="shared" si="249"/>
        <v>0</v>
      </c>
      <c r="SMG49" s="375">
        <f t="shared" si="249"/>
        <v>0</v>
      </c>
      <c r="SMH49" s="375">
        <f t="shared" si="249"/>
        <v>0</v>
      </c>
      <c r="SMI49" s="375">
        <f t="shared" si="249"/>
        <v>0</v>
      </c>
      <c r="SMJ49" s="375">
        <f t="shared" si="249"/>
        <v>0</v>
      </c>
      <c r="SMK49" s="375">
        <f t="shared" si="249"/>
        <v>0</v>
      </c>
      <c r="SML49" s="375">
        <f t="shared" si="249"/>
        <v>0</v>
      </c>
      <c r="SMM49" s="375">
        <f t="shared" si="249"/>
        <v>0</v>
      </c>
      <c r="SMN49" s="375">
        <f t="shared" si="249"/>
        <v>0</v>
      </c>
      <c r="SMO49" s="375">
        <f t="shared" si="249"/>
        <v>0</v>
      </c>
      <c r="SMP49" s="375">
        <f t="shared" si="249"/>
        <v>0</v>
      </c>
      <c r="SMQ49" s="375">
        <f t="shared" si="249"/>
        <v>0</v>
      </c>
      <c r="SMR49" s="375">
        <f t="shared" si="249"/>
        <v>0</v>
      </c>
      <c r="SMS49" s="375">
        <f t="shared" si="249"/>
        <v>0</v>
      </c>
      <c r="SMT49" s="375">
        <f t="shared" si="249"/>
        <v>0</v>
      </c>
      <c r="SMU49" s="375">
        <f t="shared" si="249"/>
        <v>0</v>
      </c>
      <c r="SMV49" s="375">
        <f t="shared" si="249"/>
        <v>0</v>
      </c>
      <c r="SMW49" s="375">
        <f t="shared" si="249"/>
        <v>0</v>
      </c>
      <c r="SMX49" s="375">
        <f t="shared" si="249"/>
        <v>0</v>
      </c>
      <c r="SMY49" s="375">
        <f t="shared" si="249"/>
        <v>0</v>
      </c>
      <c r="SMZ49" s="375">
        <f t="shared" si="249"/>
        <v>0</v>
      </c>
      <c r="SNA49" s="375">
        <f t="shared" si="249"/>
        <v>0</v>
      </c>
      <c r="SNB49" s="375">
        <f t="shared" si="249"/>
        <v>0</v>
      </c>
      <c r="SNC49" s="375">
        <f t="shared" si="249"/>
        <v>0</v>
      </c>
      <c r="SND49" s="375">
        <f t="shared" si="249"/>
        <v>0</v>
      </c>
      <c r="SNE49" s="375">
        <f t="shared" si="249"/>
        <v>0</v>
      </c>
      <c r="SNF49" s="375">
        <f t="shared" si="249"/>
        <v>0</v>
      </c>
      <c r="SNG49" s="375">
        <f t="shared" si="249"/>
        <v>0</v>
      </c>
      <c r="SNH49" s="375">
        <f t="shared" si="249"/>
        <v>0</v>
      </c>
      <c r="SNI49" s="375">
        <f t="shared" si="249"/>
        <v>0</v>
      </c>
      <c r="SNJ49" s="375">
        <f t="shared" si="249"/>
        <v>0</v>
      </c>
      <c r="SNK49" s="375">
        <f t="shared" si="249"/>
        <v>0</v>
      </c>
      <c r="SNL49" s="375">
        <f t="shared" si="249"/>
        <v>0</v>
      </c>
      <c r="SNM49" s="375">
        <f t="shared" si="249"/>
        <v>0</v>
      </c>
      <c r="SNN49" s="375">
        <f t="shared" si="249"/>
        <v>0</v>
      </c>
      <c r="SNO49" s="375">
        <f t="shared" si="249"/>
        <v>0</v>
      </c>
      <c r="SNP49" s="375">
        <f t="shared" si="249"/>
        <v>0</v>
      </c>
      <c r="SNQ49" s="375">
        <f t="shared" si="249"/>
        <v>0</v>
      </c>
      <c r="SNR49" s="375">
        <f t="shared" si="249"/>
        <v>0</v>
      </c>
      <c r="SNS49" s="375">
        <f t="shared" si="249"/>
        <v>0</v>
      </c>
      <c r="SNT49" s="375">
        <f t="shared" si="249"/>
        <v>0</v>
      </c>
      <c r="SNU49" s="375">
        <f t="shared" si="249"/>
        <v>0</v>
      </c>
      <c r="SNV49" s="375">
        <f t="shared" si="249"/>
        <v>0</v>
      </c>
      <c r="SNW49" s="375">
        <f t="shared" si="249"/>
        <v>0</v>
      </c>
      <c r="SNX49" s="375">
        <f t="shared" si="249"/>
        <v>0</v>
      </c>
      <c r="SNY49" s="375">
        <f t="shared" si="249"/>
        <v>0</v>
      </c>
      <c r="SNZ49" s="375">
        <f t="shared" si="249"/>
        <v>0</v>
      </c>
      <c r="SOA49" s="375">
        <f t="shared" si="249"/>
        <v>0</v>
      </c>
      <c r="SOB49" s="375">
        <f t="shared" si="249"/>
        <v>0</v>
      </c>
      <c r="SOC49" s="375">
        <f t="shared" si="249"/>
        <v>0</v>
      </c>
      <c r="SOD49" s="375">
        <f t="shared" si="249"/>
        <v>0</v>
      </c>
      <c r="SOE49" s="375">
        <f t="shared" si="249"/>
        <v>0</v>
      </c>
      <c r="SOF49" s="375">
        <f t="shared" si="249"/>
        <v>0</v>
      </c>
      <c r="SOG49" s="375">
        <f t="shared" si="249"/>
        <v>0</v>
      </c>
      <c r="SOH49" s="375">
        <f t="shared" si="249"/>
        <v>0</v>
      </c>
      <c r="SOI49" s="375">
        <f t="shared" si="249"/>
        <v>0</v>
      </c>
      <c r="SOJ49" s="375">
        <f t="shared" si="249"/>
        <v>0</v>
      </c>
      <c r="SOK49" s="375">
        <f t="shared" si="249"/>
        <v>0</v>
      </c>
      <c r="SOL49" s="375">
        <f t="shared" si="249"/>
        <v>0</v>
      </c>
      <c r="SOM49" s="375">
        <f t="shared" si="249"/>
        <v>0</v>
      </c>
      <c r="SON49" s="375">
        <f t="shared" si="249"/>
        <v>0</v>
      </c>
      <c r="SOO49" s="375">
        <f t="shared" ref="SOO49:SQZ49" si="250">SOO48*0.8</f>
        <v>0</v>
      </c>
      <c r="SOP49" s="375">
        <f t="shared" si="250"/>
        <v>0</v>
      </c>
      <c r="SOQ49" s="375">
        <f t="shared" si="250"/>
        <v>0</v>
      </c>
      <c r="SOR49" s="375">
        <f t="shared" si="250"/>
        <v>0</v>
      </c>
      <c r="SOS49" s="375">
        <f t="shared" si="250"/>
        <v>0</v>
      </c>
      <c r="SOT49" s="375">
        <f t="shared" si="250"/>
        <v>0</v>
      </c>
      <c r="SOU49" s="375">
        <f t="shared" si="250"/>
        <v>0</v>
      </c>
      <c r="SOV49" s="375">
        <f t="shared" si="250"/>
        <v>0</v>
      </c>
      <c r="SOW49" s="375">
        <f t="shared" si="250"/>
        <v>0</v>
      </c>
      <c r="SOX49" s="375">
        <f t="shared" si="250"/>
        <v>0</v>
      </c>
      <c r="SOY49" s="375">
        <f t="shared" si="250"/>
        <v>0</v>
      </c>
      <c r="SOZ49" s="375">
        <f t="shared" si="250"/>
        <v>0</v>
      </c>
      <c r="SPA49" s="375">
        <f t="shared" si="250"/>
        <v>0</v>
      </c>
      <c r="SPB49" s="375">
        <f t="shared" si="250"/>
        <v>0</v>
      </c>
      <c r="SPC49" s="375">
        <f t="shared" si="250"/>
        <v>0</v>
      </c>
      <c r="SPD49" s="375">
        <f t="shared" si="250"/>
        <v>0</v>
      </c>
      <c r="SPE49" s="375">
        <f t="shared" si="250"/>
        <v>0</v>
      </c>
      <c r="SPF49" s="375">
        <f t="shared" si="250"/>
        <v>0</v>
      </c>
      <c r="SPG49" s="375">
        <f t="shared" si="250"/>
        <v>0</v>
      </c>
      <c r="SPH49" s="375">
        <f t="shared" si="250"/>
        <v>0</v>
      </c>
      <c r="SPI49" s="375">
        <f t="shared" si="250"/>
        <v>0</v>
      </c>
      <c r="SPJ49" s="375">
        <f t="shared" si="250"/>
        <v>0</v>
      </c>
      <c r="SPK49" s="375">
        <f t="shared" si="250"/>
        <v>0</v>
      </c>
      <c r="SPL49" s="375">
        <f t="shared" si="250"/>
        <v>0</v>
      </c>
      <c r="SPM49" s="375">
        <f t="shared" si="250"/>
        <v>0</v>
      </c>
      <c r="SPN49" s="375">
        <f t="shared" si="250"/>
        <v>0</v>
      </c>
      <c r="SPO49" s="375">
        <f t="shared" si="250"/>
        <v>0</v>
      </c>
      <c r="SPP49" s="375">
        <f t="shared" si="250"/>
        <v>0</v>
      </c>
      <c r="SPQ49" s="375">
        <f t="shared" si="250"/>
        <v>0</v>
      </c>
      <c r="SPR49" s="375">
        <f t="shared" si="250"/>
        <v>0</v>
      </c>
      <c r="SPS49" s="375">
        <f t="shared" si="250"/>
        <v>0</v>
      </c>
      <c r="SPT49" s="375">
        <f t="shared" si="250"/>
        <v>0</v>
      </c>
      <c r="SPU49" s="375">
        <f t="shared" si="250"/>
        <v>0</v>
      </c>
      <c r="SPV49" s="375">
        <f t="shared" si="250"/>
        <v>0</v>
      </c>
      <c r="SPW49" s="375">
        <f t="shared" si="250"/>
        <v>0</v>
      </c>
      <c r="SPX49" s="375">
        <f t="shared" si="250"/>
        <v>0</v>
      </c>
      <c r="SPY49" s="375">
        <f t="shared" si="250"/>
        <v>0</v>
      </c>
      <c r="SPZ49" s="375">
        <f t="shared" si="250"/>
        <v>0</v>
      </c>
      <c r="SQA49" s="375">
        <f t="shared" si="250"/>
        <v>0</v>
      </c>
      <c r="SQB49" s="375">
        <f t="shared" si="250"/>
        <v>0</v>
      </c>
      <c r="SQC49" s="375">
        <f t="shared" si="250"/>
        <v>0</v>
      </c>
      <c r="SQD49" s="375">
        <f t="shared" si="250"/>
        <v>0</v>
      </c>
      <c r="SQE49" s="375">
        <f t="shared" si="250"/>
        <v>0</v>
      </c>
      <c r="SQF49" s="375">
        <f t="shared" si="250"/>
        <v>0</v>
      </c>
      <c r="SQG49" s="375">
        <f t="shared" si="250"/>
        <v>0</v>
      </c>
      <c r="SQH49" s="375">
        <f t="shared" si="250"/>
        <v>0</v>
      </c>
      <c r="SQI49" s="375">
        <f t="shared" si="250"/>
        <v>0</v>
      </c>
      <c r="SQJ49" s="375">
        <f t="shared" si="250"/>
        <v>0</v>
      </c>
      <c r="SQK49" s="375">
        <f t="shared" si="250"/>
        <v>0</v>
      </c>
      <c r="SQL49" s="375">
        <f t="shared" si="250"/>
        <v>0</v>
      </c>
      <c r="SQM49" s="375">
        <f t="shared" si="250"/>
        <v>0</v>
      </c>
      <c r="SQN49" s="375">
        <f t="shared" si="250"/>
        <v>0</v>
      </c>
      <c r="SQO49" s="375">
        <f t="shared" si="250"/>
        <v>0</v>
      </c>
      <c r="SQP49" s="375">
        <f t="shared" si="250"/>
        <v>0</v>
      </c>
      <c r="SQQ49" s="375">
        <f t="shared" si="250"/>
        <v>0</v>
      </c>
      <c r="SQR49" s="375">
        <f t="shared" si="250"/>
        <v>0</v>
      </c>
      <c r="SQS49" s="375">
        <f t="shared" si="250"/>
        <v>0</v>
      </c>
      <c r="SQT49" s="375">
        <f t="shared" si="250"/>
        <v>0</v>
      </c>
      <c r="SQU49" s="375">
        <f t="shared" si="250"/>
        <v>0</v>
      </c>
      <c r="SQV49" s="375">
        <f t="shared" si="250"/>
        <v>0</v>
      </c>
      <c r="SQW49" s="375">
        <f t="shared" si="250"/>
        <v>0</v>
      </c>
      <c r="SQX49" s="375">
        <f t="shared" si="250"/>
        <v>0</v>
      </c>
      <c r="SQY49" s="375">
        <f t="shared" si="250"/>
        <v>0</v>
      </c>
      <c r="SQZ49" s="375">
        <f t="shared" si="250"/>
        <v>0</v>
      </c>
      <c r="SRA49" s="375">
        <f t="shared" ref="SRA49:STL49" si="251">SRA48*0.8</f>
        <v>0</v>
      </c>
      <c r="SRB49" s="375">
        <f t="shared" si="251"/>
        <v>0</v>
      </c>
      <c r="SRC49" s="375">
        <f t="shared" si="251"/>
        <v>0</v>
      </c>
      <c r="SRD49" s="375">
        <f t="shared" si="251"/>
        <v>0</v>
      </c>
      <c r="SRE49" s="375">
        <f t="shared" si="251"/>
        <v>0</v>
      </c>
      <c r="SRF49" s="375">
        <f t="shared" si="251"/>
        <v>0</v>
      </c>
      <c r="SRG49" s="375">
        <f t="shared" si="251"/>
        <v>0</v>
      </c>
      <c r="SRH49" s="375">
        <f t="shared" si="251"/>
        <v>0</v>
      </c>
      <c r="SRI49" s="375">
        <f t="shared" si="251"/>
        <v>0</v>
      </c>
      <c r="SRJ49" s="375">
        <f t="shared" si="251"/>
        <v>0</v>
      </c>
      <c r="SRK49" s="375">
        <f t="shared" si="251"/>
        <v>0</v>
      </c>
      <c r="SRL49" s="375">
        <f t="shared" si="251"/>
        <v>0</v>
      </c>
      <c r="SRM49" s="375">
        <f t="shared" si="251"/>
        <v>0</v>
      </c>
      <c r="SRN49" s="375">
        <f t="shared" si="251"/>
        <v>0</v>
      </c>
      <c r="SRO49" s="375">
        <f t="shared" si="251"/>
        <v>0</v>
      </c>
      <c r="SRP49" s="375">
        <f t="shared" si="251"/>
        <v>0</v>
      </c>
      <c r="SRQ49" s="375">
        <f t="shared" si="251"/>
        <v>0</v>
      </c>
      <c r="SRR49" s="375">
        <f t="shared" si="251"/>
        <v>0</v>
      </c>
      <c r="SRS49" s="375">
        <f t="shared" si="251"/>
        <v>0</v>
      </c>
      <c r="SRT49" s="375">
        <f t="shared" si="251"/>
        <v>0</v>
      </c>
      <c r="SRU49" s="375">
        <f t="shared" si="251"/>
        <v>0</v>
      </c>
      <c r="SRV49" s="375">
        <f t="shared" si="251"/>
        <v>0</v>
      </c>
      <c r="SRW49" s="375">
        <f t="shared" si="251"/>
        <v>0</v>
      </c>
      <c r="SRX49" s="375">
        <f t="shared" si="251"/>
        <v>0</v>
      </c>
      <c r="SRY49" s="375">
        <f t="shared" si="251"/>
        <v>0</v>
      </c>
      <c r="SRZ49" s="375">
        <f t="shared" si="251"/>
        <v>0</v>
      </c>
      <c r="SSA49" s="375">
        <f t="shared" si="251"/>
        <v>0</v>
      </c>
      <c r="SSB49" s="375">
        <f t="shared" si="251"/>
        <v>0</v>
      </c>
      <c r="SSC49" s="375">
        <f t="shared" si="251"/>
        <v>0</v>
      </c>
      <c r="SSD49" s="375">
        <f t="shared" si="251"/>
        <v>0</v>
      </c>
      <c r="SSE49" s="375">
        <f t="shared" si="251"/>
        <v>0</v>
      </c>
      <c r="SSF49" s="375">
        <f t="shared" si="251"/>
        <v>0</v>
      </c>
      <c r="SSG49" s="375">
        <f t="shared" si="251"/>
        <v>0</v>
      </c>
      <c r="SSH49" s="375">
        <f t="shared" si="251"/>
        <v>0</v>
      </c>
      <c r="SSI49" s="375">
        <f t="shared" si="251"/>
        <v>0</v>
      </c>
      <c r="SSJ49" s="375">
        <f t="shared" si="251"/>
        <v>0</v>
      </c>
      <c r="SSK49" s="375">
        <f t="shared" si="251"/>
        <v>0</v>
      </c>
      <c r="SSL49" s="375">
        <f t="shared" si="251"/>
        <v>0</v>
      </c>
      <c r="SSM49" s="375">
        <f t="shared" si="251"/>
        <v>0</v>
      </c>
      <c r="SSN49" s="375">
        <f t="shared" si="251"/>
        <v>0</v>
      </c>
      <c r="SSO49" s="375">
        <f t="shared" si="251"/>
        <v>0</v>
      </c>
      <c r="SSP49" s="375">
        <f t="shared" si="251"/>
        <v>0</v>
      </c>
      <c r="SSQ49" s="375">
        <f t="shared" si="251"/>
        <v>0</v>
      </c>
      <c r="SSR49" s="375">
        <f t="shared" si="251"/>
        <v>0</v>
      </c>
      <c r="SSS49" s="375">
        <f t="shared" si="251"/>
        <v>0</v>
      </c>
      <c r="SST49" s="375">
        <f t="shared" si="251"/>
        <v>0</v>
      </c>
      <c r="SSU49" s="375">
        <f t="shared" si="251"/>
        <v>0</v>
      </c>
      <c r="SSV49" s="375">
        <f t="shared" si="251"/>
        <v>0</v>
      </c>
      <c r="SSW49" s="375">
        <f t="shared" si="251"/>
        <v>0</v>
      </c>
      <c r="SSX49" s="375">
        <f t="shared" si="251"/>
        <v>0</v>
      </c>
      <c r="SSY49" s="375">
        <f t="shared" si="251"/>
        <v>0</v>
      </c>
      <c r="SSZ49" s="375">
        <f t="shared" si="251"/>
        <v>0</v>
      </c>
      <c r="STA49" s="375">
        <f t="shared" si="251"/>
        <v>0</v>
      </c>
      <c r="STB49" s="375">
        <f t="shared" si="251"/>
        <v>0</v>
      </c>
      <c r="STC49" s="375">
        <f t="shared" si="251"/>
        <v>0</v>
      </c>
      <c r="STD49" s="375">
        <f t="shared" si="251"/>
        <v>0</v>
      </c>
      <c r="STE49" s="375">
        <f t="shared" si="251"/>
        <v>0</v>
      </c>
      <c r="STF49" s="375">
        <f t="shared" si="251"/>
        <v>0</v>
      </c>
      <c r="STG49" s="375">
        <f t="shared" si="251"/>
        <v>0</v>
      </c>
      <c r="STH49" s="375">
        <f t="shared" si="251"/>
        <v>0</v>
      </c>
      <c r="STI49" s="375">
        <f t="shared" si="251"/>
        <v>0</v>
      </c>
      <c r="STJ49" s="375">
        <f t="shared" si="251"/>
        <v>0</v>
      </c>
      <c r="STK49" s="375">
        <f t="shared" si="251"/>
        <v>0</v>
      </c>
      <c r="STL49" s="375">
        <f t="shared" si="251"/>
        <v>0</v>
      </c>
      <c r="STM49" s="375">
        <f t="shared" ref="STM49:SVX49" si="252">STM48*0.8</f>
        <v>0</v>
      </c>
      <c r="STN49" s="375">
        <f t="shared" si="252"/>
        <v>0</v>
      </c>
      <c r="STO49" s="375">
        <f t="shared" si="252"/>
        <v>0</v>
      </c>
      <c r="STP49" s="375">
        <f t="shared" si="252"/>
        <v>0</v>
      </c>
      <c r="STQ49" s="375">
        <f t="shared" si="252"/>
        <v>0</v>
      </c>
      <c r="STR49" s="375">
        <f t="shared" si="252"/>
        <v>0</v>
      </c>
      <c r="STS49" s="375">
        <f t="shared" si="252"/>
        <v>0</v>
      </c>
      <c r="STT49" s="375">
        <f t="shared" si="252"/>
        <v>0</v>
      </c>
      <c r="STU49" s="375">
        <f t="shared" si="252"/>
        <v>0</v>
      </c>
      <c r="STV49" s="375">
        <f t="shared" si="252"/>
        <v>0</v>
      </c>
      <c r="STW49" s="375">
        <f t="shared" si="252"/>
        <v>0</v>
      </c>
      <c r="STX49" s="375">
        <f t="shared" si="252"/>
        <v>0</v>
      </c>
      <c r="STY49" s="375">
        <f t="shared" si="252"/>
        <v>0</v>
      </c>
      <c r="STZ49" s="375">
        <f t="shared" si="252"/>
        <v>0</v>
      </c>
      <c r="SUA49" s="375">
        <f t="shared" si="252"/>
        <v>0</v>
      </c>
      <c r="SUB49" s="375">
        <f t="shared" si="252"/>
        <v>0</v>
      </c>
      <c r="SUC49" s="375">
        <f t="shared" si="252"/>
        <v>0</v>
      </c>
      <c r="SUD49" s="375">
        <f t="shared" si="252"/>
        <v>0</v>
      </c>
      <c r="SUE49" s="375">
        <f t="shared" si="252"/>
        <v>0</v>
      </c>
      <c r="SUF49" s="375">
        <f t="shared" si="252"/>
        <v>0</v>
      </c>
      <c r="SUG49" s="375">
        <f t="shared" si="252"/>
        <v>0</v>
      </c>
      <c r="SUH49" s="375">
        <f t="shared" si="252"/>
        <v>0</v>
      </c>
      <c r="SUI49" s="375">
        <f t="shared" si="252"/>
        <v>0</v>
      </c>
      <c r="SUJ49" s="375">
        <f t="shared" si="252"/>
        <v>0</v>
      </c>
      <c r="SUK49" s="375">
        <f t="shared" si="252"/>
        <v>0</v>
      </c>
      <c r="SUL49" s="375">
        <f t="shared" si="252"/>
        <v>0</v>
      </c>
      <c r="SUM49" s="375">
        <f t="shared" si="252"/>
        <v>0</v>
      </c>
      <c r="SUN49" s="375">
        <f t="shared" si="252"/>
        <v>0</v>
      </c>
      <c r="SUO49" s="375">
        <f t="shared" si="252"/>
        <v>0</v>
      </c>
      <c r="SUP49" s="375">
        <f t="shared" si="252"/>
        <v>0</v>
      </c>
      <c r="SUQ49" s="375">
        <f t="shared" si="252"/>
        <v>0</v>
      </c>
      <c r="SUR49" s="375">
        <f t="shared" si="252"/>
        <v>0</v>
      </c>
      <c r="SUS49" s="375">
        <f t="shared" si="252"/>
        <v>0</v>
      </c>
      <c r="SUT49" s="375">
        <f t="shared" si="252"/>
        <v>0</v>
      </c>
      <c r="SUU49" s="375">
        <f t="shared" si="252"/>
        <v>0</v>
      </c>
      <c r="SUV49" s="375">
        <f t="shared" si="252"/>
        <v>0</v>
      </c>
      <c r="SUW49" s="375">
        <f t="shared" si="252"/>
        <v>0</v>
      </c>
      <c r="SUX49" s="375">
        <f t="shared" si="252"/>
        <v>0</v>
      </c>
      <c r="SUY49" s="375">
        <f t="shared" si="252"/>
        <v>0</v>
      </c>
      <c r="SUZ49" s="375">
        <f t="shared" si="252"/>
        <v>0</v>
      </c>
      <c r="SVA49" s="375">
        <f t="shared" si="252"/>
        <v>0</v>
      </c>
      <c r="SVB49" s="375">
        <f t="shared" si="252"/>
        <v>0</v>
      </c>
      <c r="SVC49" s="375">
        <f t="shared" si="252"/>
        <v>0</v>
      </c>
      <c r="SVD49" s="375">
        <f t="shared" si="252"/>
        <v>0</v>
      </c>
      <c r="SVE49" s="375">
        <f t="shared" si="252"/>
        <v>0</v>
      </c>
      <c r="SVF49" s="375">
        <f t="shared" si="252"/>
        <v>0</v>
      </c>
      <c r="SVG49" s="375">
        <f t="shared" si="252"/>
        <v>0</v>
      </c>
      <c r="SVH49" s="375">
        <f t="shared" si="252"/>
        <v>0</v>
      </c>
      <c r="SVI49" s="375">
        <f t="shared" si="252"/>
        <v>0</v>
      </c>
      <c r="SVJ49" s="375">
        <f t="shared" si="252"/>
        <v>0</v>
      </c>
      <c r="SVK49" s="375">
        <f t="shared" si="252"/>
        <v>0</v>
      </c>
      <c r="SVL49" s="375">
        <f t="shared" si="252"/>
        <v>0</v>
      </c>
      <c r="SVM49" s="375">
        <f t="shared" si="252"/>
        <v>0</v>
      </c>
      <c r="SVN49" s="375">
        <f t="shared" si="252"/>
        <v>0</v>
      </c>
      <c r="SVO49" s="375">
        <f t="shared" si="252"/>
        <v>0</v>
      </c>
      <c r="SVP49" s="375">
        <f t="shared" si="252"/>
        <v>0</v>
      </c>
      <c r="SVQ49" s="375">
        <f t="shared" si="252"/>
        <v>0</v>
      </c>
      <c r="SVR49" s="375">
        <f t="shared" si="252"/>
        <v>0</v>
      </c>
      <c r="SVS49" s="375">
        <f t="shared" si="252"/>
        <v>0</v>
      </c>
      <c r="SVT49" s="375">
        <f t="shared" si="252"/>
        <v>0</v>
      </c>
      <c r="SVU49" s="375">
        <f t="shared" si="252"/>
        <v>0</v>
      </c>
      <c r="SVV49" s="375">
        <f t="shared" si="252"/>
        <v>0</v>
      </c>
      <c r="SVW49" s="375">
        <f t="shared" si="252"/>
        <v>0</v>
      </c>
      <c r="SVX49" s="375">
        <f t="shared" si="252"/>
        <v>0</v>
      </c>
      <c r="SVY49" s="375">
        <f t="shared" ref="SVY49:SYJ49" si="253">SVY48*0.8</f>
        <v>0</v>
      </c>
      <c r="SVZ49" s="375">
        <f t="shared" si="253"/>
        <v>0</v>
      </c>
      <c r="SWA49" s="375">
        <f t="shared" si="253"/>
        <v>0</v>
      </c>
      <c r="SWB49" s="375">
        <f t="shared" si="253"/>
        <v>0</v>
      </c>
      <c r="SWC49" s="375">
        <f t="shared" si="253"/>
        <v>0</v>
      </c>
      <c r="SWD49" s="375">
        <f t="shared" si="253"/>
        <v>0</v>
      </c>
      <c r="SWE49" s="375">
        <f t="shared" si="253"/>
        <v>0</v>
      </c>
      <c r="SWF49" s="375">
        <f t="shared" si="253"/>
        <v>0</v>
      </c>
      <c r="SWG49" s="375">
        <f t="shared" si="253"/>
        <v>0</v>
      </c>
      <c r="SWH49" s="375">
        <f t="shared" si="253"/>
        <v>0</v>
      </c>
      <c r="SWI49" s="375">
        <f t="shared" si="253"/>
        <v>0</v>
      </c>
      <c r="SWJ49" s="375">
        <f t="shared" si="253"/>
        <v>0</v>
      </c>
      <c r="SWK49" s="375">
        <f t="shared" si="253"/>
        <v>0</v>
      </c>
      <c r="SWL49" s="375">
        <f t="shared" si="253"/>
        <v>0</v>
      </c>
      <c r="SWM49" s="375">
        <f t="shared" si="253"/>
        <v>0</v>
      </c>
      <c r="SWN49" s="375">
        <f t="shared" si="253"/>
        <v>0</v>
      </c>
      <c r="SWO49" s="375">
        <f t="shared" si="253"/>
        <v>0</v>
      </c>
      <c r="SWP49" s="375">
        <f t="shared" si="253"/>
        <v>0</v>
      </c>
      <c r="SWQ49" s="375">
        <f t="shared" si="253"/>
        <v>0</v>
      </c>
      <c r="SWR49" s="375">
        <f t="shared" si="253"/>
        <v>0</v>
      </c>
      <c r="SWS49" s="375">
        <f t="shared" si="253"/>
        <v>0</v>
      </c>
      <c r="SWT49" s="375">
        <f t="shared" si="253"/>
        <v>0</v>
      </c>
      <c r="SWU49" s="375">
        <f t="shared" si="253"/>
        <v>0</v>
      </c>
      <c r="SWV49" s="375">
        <f t="shared" si="253"/>
        <v>0</v>
      </c>
      <c r="SWW49" s="375">
        <f t="shared" si="253"/>
        <v>0</v>
      </c>
      <c r="SWX49" s="375">
        <f t="shared" si="253"/>
        <v>0</v>
      </c>
      <c r="SWY49" s="375">
        <f t="shared" si="253"/>
        <v>0</v>
      </c>
      <c r="SWZ49" s="375">
        <f t="shared" si="253"/>
        <v>0</v>
      </c>
      <c r="SXA49" s="375">
        <f t="shared" si="253"/>
        <v>0</v>
      </c>
      <c r="SXB49" s="375">
        <f t="shared" si="253"/>
        <v>0</v>
      </c>
      <c r="SXC49" s="375">
        <f t="shared" si="253"/>
        <v>0</v>
      </c>
      <c r="SXD49" s="375">
        <f t="shared" si="253"/>
        <v>0</v>
      </c>
      <c r="SXE49" s="375">
        <f t="shared" si="253"/>
        <v>0</v>
      </c>
      <c r="SXF49" s="375">
        <f t="shared" si="253"/>
        <v>0</v>
      </c>
      <c r="SXG49" s="375">
        <f t="shared" si="253"/>
        <v>0</v>
      </c>
      <c r="SXH49" s="375">
        <f t="shared" si="253"/>
        <v>0</v>
      </c>
      <c r="SXI49" s="375">
        <f t="shared" si="253"/>
        <v>0</v>
      </c>
      <c r="SXJ49" s="375">
        <f t="shared" si="253"/>
        <v>0</v>
      </c>
      <c r="SXK49" s="375">
        <f t="shared" si="253"/>
        <v>0</v>
      </c>
      <c r="SXL49" s="375">
        <f t="shared" si="253"/>
        <v>0</v>
      </c>
      <c r="SXM49" s="375">
        <f t="shared" si="253"/>
        <v>0</v>
      </c>
      <c r="SXN49" s="375">
        <f t="shared" si="253"/>
        <v>0</v>
      </c>
      <c r="SXO49" s="375">
        <f t="shared" si="253"/>
        <v>0</v>
      </c>
      <c r="SXP49" s="375">
        <f t="shared" si="253"/>
        <v>0</v>
      </c>
      <c r="SXQ49" s="375">
        <f t="shared" si="253"/>
        <v>0</v>
      </c>
      <c r="SXR49" s="375">
        <f t="shared" si="253"/>
        <v>0</v>
      </c>
      <c r="SXS49" s="375">
        <f t="shared" si="253"/>
        <v>0</v>
      </c>
      <c r="SXT49" s="375">
        <f t="shared" si="253"/>
        <v>0</v>
      </c>
      <c r="SXU49" s="375">
        <f t="shared" si="253"/>
        <v>0</v>
      </c>
      <c r="SXV49" s="375">
        <f t="shared" si="253"/>
        <v>0</v>
      </c>
      <c r="SXW49" s="375">
        <f t="shared" si="253"/>
        <v>0</v>
      </c>
      <c r="SXX49" s="375">
        <f t="shared" si="253"/>
        <v>0</v>
      </c>
      <c r="SXY49" s="375">
        <f t="shared" si="253"/>
        <v>0</v>
      </c>
      <c r="SXZ49" s="375">
        <f t="shared" si="253"/>
        <v>0</v>
      </c>
      <c r="SYA49" s="375">
        <f t="shared" si="253"/>
        <v>0</v>
      </c>
      <c r="SYB49" s="375">
        <f t="shared" si="253"/>
        <v>0</v>
      </c>
      <c r="SYC49" s="375">
        <f t="shared" si="253"/>
        <v>0</v>
      </c>
      <c r="SYD49" s="375">
        <f t="shared" si="253"/>
        <v>0</v>
      </c>
      <c r="SYE49" s="375">
        <f t="shared" si="253"/>
        <v>0</v>
      </c>
      <c r="SYF49" s="375">
        <f t="shared" si="253"/>
        <v>0</v>
      </c>
      <c r="SYG49" s="375">
        <f t="shared" si="253"/>
        <v>0</v>
      </c>
      <c r="SYH49" s="375">
        <f t="shared" si="253"/>
        <v>0</v>
      </c>
      <c r="SYI49" s="375">
        <f t="shared" si="253"/>
        <v>0</v>
      </c>
      <c r="SYJ49" s="375">
        <f t="shared" si="253"/>
        <v>0</v>
      </c>
      <c r="SYK49" s="375">
        <f t="shared" ref="SYK49:TAV49" si="254">SYK48*0.8</f>
        <v>0</v>
      </c>
      <c r="SYL49" s="375">
        <f t="shared" si="254"/>
        <v>0</v>
      </c>
      <c r="SYM49" s="375">
        <f t="shared" si="254"/>
        <v>0</v>
      </c>
      <c r="SYN49" s="375">
        <f t="shared" si="254"/>
        <v>0</v>
      </c>
      <c r="SYO49" s="375">
        <f t="shared" si="254"/>
        <v>0</v>
      </c>
      <c r="SYP49" s="375">
        <f t="shared" si="254"/>
        <v>0</v>
      </c>
      <c r="SYQ49" s="375">
        <f t="shared" si="254"/>
        <v>0</v>
      </c>
      <c r="SYR49" s="375">
        <f t="shared" si="254"/>
        <v>0</v>
      </c>
      <c r="SYS49" s="375">
        <f t="shared" si="254"/>
        <v>0</v>
      </c>
      <c r="SYT49" s="375">
        <f t="shared" si="254"/>
        <v>0</v>
      </c>
      <c r="SYU49" s="375">
        <f t="shared" si="254"/>
        <v>0</v>
      </c>
      <c r="SYV49" s="375">
        <f t="shared" si="254"/>
        <v>0</v>
      </c>
      <c r="SYW49" s="375">
        <f t="shared" si="254"/>
        <v>0</v>
      </c>
      <c r="SYX49" s="375">
        <f t="shared" si="254"/>
        <v>0</v>
      </c>
      <c r="SYY49" s="375">
        <f t="shared" si="254"/>
        <v>0</v>
      </c>
      <c r="SYZ49" s="375">
        <f t="shared" si="254"/>
        <v>0</v>
      </c>
      <c r="SZA49" s="375">
        <f t="shared" si="254"/>
        <v>0</v>
      </c>
      <c r="SZB49" s="375">
        <f t="shared" si="254"/>
        <v>0</v>
      </c>
      <c r="SZC49" s="375">
        <f t="shared" si="254"/>
        <v>0</v>
      </c>
      <c r="SZD49" s="375">
        <f t="shared" si="254"/>
        <v>0</v>
      </c>
      <c r="SZE49" s="375">
        <f t="shared" si="254"/>
        <v>0</v>
      </c>
      <c r="SZF49" s="375">
        <f t="shared" si="254"/>
        <v>0</v>
      </c>
      <c r="SZG49" s="375">
        <f t="shared" si="254"/>
        <v>0</v>
      </c>
      <c r="SZH49" s="375">
        <f t="shared" si="254"/>
        <v>0</v>
      </c>
      <c r="SZI49" s="375">
        <f t="shared" si="254"/>
        <v>0</v>
      </c>
      <c r="SZJ49" s="375">
        <f t="shared" si="254"/>
        <v>0</v>
      </c>
      <c r="SZK49" s="375">
        <f t="shared" si="254"/>
        <v>0</v>
      </c>
      <c r="SZL49" s="375">
        <f t="shared" si="254"/>
        <v>0</v>
      </c>
      <c r="SZM49" s="375">
        <f t="shared" si="254"/>
        <v>0</v>
      </c>
      <c r="SZN49" s="375">
        <f t="shared" si="254"/>
        <v>0</v>
      </c>
      <c r="SZO49" s="375">
        <f t="shared" si="254"/>
        <v>0</v>
      </c>
      <c r="SZP49" s="375">
        <f t="shared" si="254"/>
        <v>0</v>
      </c>
      <c r="SZQ49" s="375">
        <f t="shared" si="254"/>
        <v>0</v>
      </c>
      <c r="SZR49" s="375">
        <f t="shared" si="254"/>
        <v>0</v>
      </c>
      <c r="SZS49" s="375">
        <f t="shared" si="254"/>
        <v>0</v>
      </c>
      <c r="SZT49" s="375">
        <f t="shared" si="254"/>
        <v>0</v>
      </c>
      <c r="SZU49" s="375">
        <f t="shared" si="254"/>
        <v>0</v>
      </c>
      <c r="SZV49" s="375">
        <f t="shared" si="254"/>
        <v>0</v>
      </c>
      <c r="SZW49" s="375">
        <f t="shared" si="254"/>
        <v>0</v>
      </c>
      <c r="SZX49" s="375">
        <f t="shared" si="254"/>
        <v>0</v>
      </c>
      <c r="SZY49" s="375">
        <f t="shared" si="254"/>
        <v>0</v>
      </c>
      <c r="SZZ49" s="375">
        <f t="shared" si="254"/>
        <v>0</v>
      </c>
      <c r="TAA49" s="375">
        <f t="shared" si="254"/>
        <v>0</v>
      </c>
      <c r="TAB49" s="375">
        <f t="shared" si="254"/>
        <v>0</v>
      </c>
      <c r="TAC49" s="375">
        <f t="shared" si="254"/>
        <v>0</v>
      </c>
      <c r="TAD49" s="375">
        <f t="shared" si="254"/>
        <v>0</v>
      </c>
      <c r="TAE49" s="375">
        <f t="shared" si="254"/>
        <v>0</v>
      </c>
      <c r="TAF49" s="375">
        <f t="shared" si="254"/>
        <v>0</v>
      </c>
      <c r="TAG49" s="375">
        <f t="shared" si="254"/>
        <v>0</v>
      </c>
      <c r="TAH49" s="375">
        <f t="shared" si="254"/>
        <v>0</v>
      </c>
      <c r="TAI49" s="375">
        <f t="shared" si="254"/>
        <v>0</v>
      </c>
      <c r="TAJ49" s="375">
        <f t="shared" si="254"/>
        <v>0</v>
      </c>
      <c r="TAK49" s="375">
        <f t="shared" si="254"/>
        <v>0</v>
      </c>
      <c r="TAL49" s="375">
        <f t="shared" si="254"/>
        <v>0</v>
      </c>
      <c r="TAM49" s="375">
        <f t="shared" si="254"/>
        <v>0</v>
      </c>
      <c r="TAN49" s="375">
        <f t="shared" si="254"/>
        <v>0</v>
      </c>
      <c r="TAO49" s="375">
        <f t="shared" si="254"/>
        <v>0</v>
      </c>
      <c r="TAP49" s="375">
        <f t="shared" si="254"/>
        <v>0</v>
      </c>
      <c r="TAQ49" s="375">
        <f t="shared" si="254"/>
        <v>0</v>
      </c>
      <c r="TAR49" s="375">
        <f t="shared" si="254"/>
        <v>0</v>
      </c>
      <c r="TAS49" s="375">
        <f t="shared" si="254"/>
        <v>0</v>
      </c>
      <c r="TAT49" s="375">
        <f t="shared" si="254"/>
        <v>0</v>
      </c>
      <c r="TAU49" s="375">
        <f t="shared" si="254"/>
        <v>0</v>
      </c>
      <c r="TAV49" s="375">
        <f t="shared" si="254"/>
        <v>0</v>
      </c>
      <c r="TAW49" s="375">
        <f t="shared" ref="TAW49:TDH49" si="255">TAW48*0.8</f>
        <v>0</v>
      </c>
      <c r="TAX49" s="375">
        <f t="shared" si="255"/>
        <v>0</v>
      </c>
      <c r="TAY49" s="375">
        <f t="shared" si="255"/>
        <v>0</v>
      </c>
      <c r="TAZ49" s="375">
        <f t="shared" si="255"/>
        <v>0</v>
      </c>
      <c r="TBA49" s="375">
        <f t="shared" si="255"/>
        <v>0</v>
      </c>
      <c r="TBB49" s="375">
        <f t="shared" si="255"/>
        <v>0</v>
      </c>
      <c r="TBC49" s="375">
        <f t="shared" si="255"/>
        <v>0</v>
      </c>
      <c r="TBD49" s="375">
        <f t="shared" si="255"/>
        <v>0</v>
      </c>
      <c r="TBE49" s="375">
        <f t="shared" si="255"/>
        <v>0</v>
      </c>
      <c r="TBF49" s="375">
        <f t="shared" si="255"/>
        <v>0</v>
      </c>
      <c r="TBG49" s="375">
        <f t="shared" si="255"/>
        <v>0</v>
      </c>
      <c r="TBH49" s="375">
        <f t="shared" si="255"/>
        <v>0</v>
      </c>
      <c r="TBI49" s="375">
        <f t="shared" si="255"/>
        <v>0</v>
      </c>
      <c r="TBJ49" s="375">
        <f t="shared" si="255"/>
        <v>0</v>
      </c>
      <c r="TBK49" s="375">
        <f t="shared" si="255"/>
        <v>0</v>
      </c>
      <c r="TBL49" s="375">
        <f t="shared" si="255"/>
        <v>0</v>
      </c>
      <c r="TBM49" s="375">
        <f t="shared" si="255"/>
        <v>0</v>
      </c>
      <c r="TBN49" s="375">
        <f t="shared" si="255"/>
        <v>0</v>
      </c>
      <c r="TBO49" s="375">
        <f t="shared" si="255"/>
        <v>0</v>
      </c>
      <c r="TBP49" s="375">
        <f t="shared" si="255"/>
        <v>0</v>
      </c>
      <c r="TBQ49" s="375">
        <f t="shared" si="255"/>
        <v>0</v>
      </c>
      <c r="TBR49" s="375">
        <f t="shared" si="255"/>
        <v>0</v>
      </c>
      <c r="TBS49" s="375">
        <f t="shared" si="255"/>
        <v>0</v>
      </c>
      <c r="TBT49" s="375">
        <f t="shared" si="255"/>
        <v>0</v>
      </c>
      <c r="TBU49" s="375">
        <f t="shared" si="255"/>
        <v>0</v>
      </c>
      <c r="TBV49" s="375">
        <f t="shared" si="255"/>
        <v>0</v>
      </c>
      <c r="TBW49" s="375">
        <f t="shared" si="255"/>
        <v>0</v>
      </c>
      <c r="TBX49" s="375">
        <f t="shared" si="255"/>
        <v>0</v>
      </c>
      <c r="TBY49" s="375">
        <f t="shared" si="255"/>
        <v>0</v>
      </c>
      <c r="TBZ49" s="375">
        <f t="shared" si="255"/>
        <v>0</v>
      </c>
      <c r="TCA49" s="375">
        <f t="shared" si="255"/>
        <v>0</v>
      </c>
      <c r="TCB49" s="375">
        <f t="shared" si="255"/>
        <v>0</v>
      </c>
      <c r="TCC49" s="375">
        <f t="shared" si="255"/>
        <v>0</v>
      </c>
      <c r="TCD49" s="375">
        <f t="shared" si="255"/>
        <v>0</v>
      </c>
      <c r="TCE49" s="375">
        <f t="shared" si="255"/>
        <v>0</v>
      </c>
      <c r="TCF49" s="375">
        <f t="shared" si="255"/>
        <v>0</v>
      </c>
      <c r="TCG49" s="375">
        <f t="shared" si="255"/>
        <v>0</v>
      </c>
      <c r="TCH49" s="375">
        <f t="shared" si="255"/>
        <v>0</v>
      </c>
      <c r="TCI49" s="375">
        <f t="shared" si="255"/>
        <v>0</v>
      </c>
      <c r="TCJ49" s="375">
        <f t="shared" si="255"/>
        <v>0</v>
      </c>
      <c r="TCK49" s="375">
        <f t="shared" si="255"/>
        <v>0</v>
      </c>
      <c r="TCL49" s="375">
        <f t="shared" si="255"/>
        <v>0</v>
      </c>
      <c r="TCM49" s="375">
        <f t="shared" si="255"/>
        <v>0</v>
      </c>
      <c r="TCN49" s="375">
        <f t="shared" si="255"/>
        <v>0</v>
      </c>
      <c r="TCO49" s="375">
        <f t="shared" si="255"/>
        <v>0</v>
      </c>
      <c r="TCP49" s="375">
        <f t="shared" si="255"/>
        <v>0</v>
      </c>
      <c r="TCQ49" s="375">
        <f t="shared" si="255"/>
        <v>0</v>
      </c>
      <c r="TCR49" s="375">
        <f t="shared" si="255"/>
        <v>0</v>
      </c>
      <c r="TCS49" s="375">
        <f t="shared" si="255"/>
        <v>0</v>
      </c>
      <c r="TCT49" s="375">
        <f t="shared" si="255"/>
        <v>0</v>
      </c>
      <c r="TCU49" s="375">
        <f t="shared" si="255"/>
        <v>0</v>
      </c>
      <c r="TCV49" s="375">
        <f t="shared" si="255"/>
        <v>0</v>
      </c>
      <c r="TCW49" s="375">
        <f t="shared" si="255"/>
        <v>0</v>
      </c>
      <c r="TCX49" s="375">
        <f t="shared" si="255"/>
        <v>0</v>
      </c>
      <c r="TCY49" s="375">
        <f t="shared" si="255"/>
        <v>0</v>
      </c>
      <c r="TCZ49" s="375">
        <f t="shared" si="255"/>
        <v>0</v>
      </c>
      <c r="TDA49" s="375">
        <f t="shared" si="255"/>
        <v>0</v>
      </c>
      <c r="TDB49" s="375">
        <f t="shared" si="255"/>
        <v>0</v>
      </c>
      <c r="TDC49" s="375">
        <f t="shared" si="255"/>
        <v>0</v>
      </c>
      <c r="TDD49" s="375">
        <f t="shared" si="255"/>
        <v>0</v>
      </c>
      <c r="TDE49" s="375">
        <f t="shared" si="255"/>
        <v>0</v>
      </c>
      <c r="TDF49" s="375">
        <f t="shared" si="255"/>
        <v>0</v>
      </c>
      <c r="TDG49" s="375">
        <f t="shared" si="255"/>
        <v>0</v>
      </c>
      <c r="TDH49" s="375">
        <f t="shared" si="255"/>
        <v>0</v>
      </c>
      <c r="TDI49" s="375">
        <f t="shared" ref="TDI49:TFT49" si="256">TDI48*0.8</f>
        <v>0</v>
      </c>
      <c r="TDJ49" s="375">
        <f t="shared" si="256"/>
        <v>0</v>
      </c>
      <c r="TDK49" s="375">
        <f t="shared" si="256"/>
        <v>0</v>
      </c>
      <c r="TDL49" s="375">
        <f t="shared" si="256"/>
        <v>0</v>
      </c>
      <c r="TDM49" s="375">
        <f t="shared" si="256"/>
        <v>0</v>
      </c>
      <c r="TDN49" s="375">
        <f t="shared" si="256"/>
        <v>0</v>
      </c>
      <c r="TDO49" s="375">
        <f t="shared" si="256"/>
        <v>0</v>
      </c>
      <c r="TDP49" s="375">
        <f t="shared" si="256"/>
        <v>0</v>
      </c>
      <c r="TDQ49" s="375">
        <f t="shared" si="256"/>
        <v>0</v>
      </c>
      <c r="TDR49" s="375">
        <f t="shared" si="256"/>
        <v>0</v>
      </c>
      <c r="TDS49" s="375">
        <f t="shared" si="256"/>
        <v>0</v>
      </c>
      <c r="TDT49" s="375">
        <f t="shared" si="256"/>
        <v>0</v>
      </c>
      <c r="TDU49" s="375">
        <f t="shared" si="256"/>
        <v>0</v>
      </c>
      <c r="TDV49" s="375">
        <f t="shared" si="256"/>
        <v>0</v>
      </c>
      <c r="TDW49" s="375">
        <f t="shared" si="256"/>
        <v>0</v>
      </c>
      <c r="TDX49" s="375">
        <f t="shared" si="256"/>
        <v>0</v>
      </c>
      <c r="TDY49" s="375">
        <f t="shared" si="256"/>
        <v>0</v>
      </c>
      <c r="TDZ49" s="375">
        <f t="shared" si="256"/>
        <v>0</v>
      </c>
      <c r="TEA49" s="375">
        <f t="shared" si="256"/>
        <v>0</v>
      </c>
      <c r="TEB49" s="375">
        <f t="shared" si="256"/>
        <v>0</v>
      </c>
      <c r="TEC49" s="375">
        <f t="shared" si="256"/>
        <v>0</v>
      </c>
      <c r="TED49" s="375">
        <f t="shared" si="256"/>
        <v>0</v>
      </c>
      <c r="TEE49" s="375">
        <f t="shared" si="256"/>
        <v>0</v>
      </c>
      <c r="TEF49" s="375">
        <f t="shared" si="256"/>
        <v>0</v>
      </c>
      <c r="TEG49" s="375">
        <f t="shared" si="256"/>
        <v>0</v>
      </c>
      <c r="TEH49" s="375">
        <f t="shared" si="256"/>
        <v>0</v>
      </c>
      <c r="TEI49" s="375">
        <f t="shared" si="256"/>
        <v>0</v>
      </c>
      <c r="TEJ49" s="375">
        <f t="shared" si="256"/>
        <v>0</v>
      </c>
      <c r="TEK49" s="375">
        <f t="shared" si="256"/>
        <v>0</v>
      </c>
      <c r="TEL49" s="375">
        <f t="shared" si="256"/>
        <v>0</v>
      </c>
      <c r="TEM49" s="375">
        <f t="shared" si="256"/>
        <v>0</v>
      </c>
      <c r="TEN49" s="375">
        <f t="shared" si="256"/>
        <v>0</v>
      </c>
      <c r="TEO49" s="375">
        <f t="shared" si="256"/>
        <v>0</v>
      </c>
      <c r="TEP49" s="375">
        <f t="shared" si="256"/>
        <v>0</v>
      </c>
      <c r="TEQ49" s="375">
        <f t="shared" si="256"/>
        <v>0</v>
      </c>
      <c r="TER49" s="375">
        <f t="shared" si="256"/>
        <v>0</v>
      </c>
      <c r="TES49" s="375">
        <f t="shared" si="256"/>
        <v>0</v>
      </c>
      <c r="TET49" s="375">
        <f t="shared" si="256"/>
        <v>0</v>
      </c>
      <c r="TEU49" s="375">
        <f t="shared" si="256"/>
        <v>0</v>
      </c>
      <c r="TEV49" s="375">
        <f t="shared" si="256"/>
        <v>0</v>
      </c>
      <c r="TEW49" s="375">
        <f t="shared" si="256"/>
        <v>0</v>
      </c>
      <c r="TEX49" s="375">
        <f t="shared" si="256"/>
        <v>0</v>
      </c>
      <c r="TEY49" s="375">
        <f t="shared" si="256"/>
        <v>0</v>
      </c>
      <c r="TEZ49" s="375">
        <f t="shared" si="256"/>
        <v>0</v>
      </c>
      <c r="TFA49" s="375">
        <f t="shared" si="256"/>
        <v>0</v>
      </c>
      <c r="TFB49" s="375">
        <f t="shared" si="256"/>
        <v>0</v>
      </c>
      <c r="TFC49" s="375">
        <f t="shared" si="256"/>
        <v>0</v>
      </c>
      <c r="TFD49" s="375">
        <f t="shared" si="256"/>
        <v>0</v>
      </c>
      <c r="TFE49" s="375">
        <f t="shared" si="256"/>
        <v>0</v>
      </c>
      <c r="TFF49" s="375">
        <f t="shared" si="256"/>
        <v>0</v>
      </c>
      <c r="TFG49" s="375">
        <f t="shared" si="256"/>
        <v>0</v>
      </c>
      <c r="TFH49" s="375">
        <f t="shared" si="256"/>
        <v>0</v>
      </c>
      <c r="TFI49" s="375">
        <f t="shared" si="256"/>
        <v>0</v>
      </c>
      <c r="TFJ49" s="375">
        <f t="shared" si="256"/>
        <v>0</v>
      </c>
      <c r="TFK49" s="375">
        <f t="shared" si="256"/>
        <v>0</v>
      </c>
      <c r="TFL49" s="375">
        <f t="shared" si="256"/>
        <v>0</v>
      </c>
      <c r="TFM49" s="375">
        <f t="shared" si="256"/>
        <v>0</v>
      </c>
      <c r="TFN49" s="375">
        <f t="shared" si="256"/>
        <v>0</v>
      </c>
      <c r="TFO49" s="375">
        <f t="shared" si="256"/>
        <v>0</v>
      </c>
      <c r="TFP49" s="375">
        <f t="shared" si="256"/>
        <v>0</v>
      </c>
      <c r="TFQ49" s="375">
        <f t="shared" si="256"/>
        <v>0</v>
      </c>
      <c r="TFR49" s="375">
        <f t="shared" si="256"/>
        <v>0</v>
      </c>
      <c r="TFS49" s="375">
        <f t="shared" si="256"/>
        <v>0</v>
      </c>
      <c r="TFT49" s="375">
        <f t="shared" si="256"/>
        <v>0</v>
      </c>
      <c r="TFU49" s="375">
        <f t="shared" ref="TFU49:TIF49" si="257">TFU48*0.8</f>
        <v>0</v>
      </c>
      <c r="TFV49" s="375">
        <f t="shared" si="257"/>
        <v>0</v>
      </c>
      <c r="TFW49" s="375">
        <f t="shared" si="257"/>
        <v>0</v>
      </c>
      <c r="TFX49" s="375">
        <f t="shared" si="257"/>
        <v>0</v>
      </c>
      <c r="TFY49" s="375">
        <f t="shared" si="257"/>
        <v>0</v>
      </c>
      <c r="TFZ49" s="375">
        <f t="shared" si="257"/>
        <v>0</v>
      </c>
      <c r="TGA49" s="375">
        <f t="shared" si="257"/>
        <v>0</v>
      </c>
      <c r="TGB49" s="375">
        <f t="shared" si="257"/>
        <v>0</v>
      </c>
      <c r="TGC49" s="375">
        <f t="shared" si="257"/>
        <v>0</v>
      </c>
      <c r="TGD49" s="375">
        <f t="shared" si="257"/>
        <v>0</v>
      </c>
      <c r="TGE49" s="375">
        <f t="shared" si="257"/>
        <v>0</v>
      </c>
      <c r="TGF49" s="375">
        <f t="shared" si="257"/>
        <v>0</v>
      </c>
      <c r="TGG49" s="375">
        <f t="shared" si="257"/>
        <v>0</v>
      </c>
      <c r="TGH49" s="375">
        <f t="shared" si="257"/>
        <v>0</v>
      </c>
      <c r="TGI49" s="375">
        <f t="shared" si="257"/>
        <v>0</v>
      </c>
      <c r="TGJ49" s="375">
        <f t="shared" si="257"/>
        <v>0</v>
      </c>
      <c r="TGK49" s="375">
        <f t="shared" si="257"/>
        <v>0</v>
      </c>
      <c r="TGL49" s="375">
        <f t="shared" si="257"/>
        <v>0</v>
      </c>
      <c r="TGM49" s="375">
        <f t="shared" si="257"/>
        <v>0</v>
      </c>
      <c r="TGN49" s="375">
        <f t="shared" si="257"/>
        <v>0</v>
      </c>
      <c r="TGO49" s="375">
        <f t="shared" si="257"/>
        <v>0</v>
      </c>
      <c r="TGP49" s="375">
        <f t="shared" si="257"/>
        <v>0</v>
      </c>
      <c r="TGQ49" s="375">
        <f t="shared" si="257"/>
        <v>0</v>
      </c>
      <c r="TGR49" s="375">
        <f t="shared" si="257"/>
        <v>0</v>
      </c>
      <c r="TGS49" s="375">
        <f t="shared" si="257"/>
        <v>0</v>
      </c>
      <c r="TGT49" s="375">
        <f t="shared" si="257"/>
        <v>0</v>
      </c>
      <c r="TGU49" s="375">
        <f t="shared" si="257"/>
        <v>0</v>
      </c>
      <c r="TGV49" s="375">
        <f t="shared" si="257"/>
        <v>0</v>
      </c>
      <c r="TGW49" s="375">
        <f t="shared" si="257"/>
        <v>0</v>
      </c>
      <c r="TGX49" s="375">
        <f t="shared" si="257"/>
        <v>0</v>
      </c>
      <c r="TGY49" s="375">
        <f t="shared" si="257"/>
        <v>0</v>
      </c>
      <c r="TGZ49" s="375">
        <f t="shared" si="257"/>
        <v>0</v>
      </c>
      <c r="THA49" s="375">
        <f t="shared" si="257"/>
        <v>0</v>
      </c>
      <c r="THB49" s="375">
        <f t="shared" si="257"/>
        <v>0</v>
      </c>
      <c r="THC49" s="375">
        <f t="shared" si="257"/>
        <v>0</v>
      </c>
      <c r="THD49" s="375">
        <f t="shared" si="257"/>
        <v>0</v>
      </c>
      <c r="THE49" s="375">
        <f t="shared" si="257"/>
        <v>0</v>
      </c>
      <c r="THF49" s="375">
        <f t="shared" si="257"/>
        <v>0</v>
      </c>
      <c r="THG49" s="375">
        <f t="shared" si="257"/>
        <v>0</v>
      </c>
      <c r="THH49" s="375">
        <f t="shared" si="257"/>
        <v>0</v>
      </c>
      <c r="THI49" s="375">
        <f t="shared" si="257"/>
        <v>0</v>
      </c>
      <c r="THJ49" s="375">
        <f t="shared" si="257"/>
        <v>0</v>
      </c>
      <c r="THK49" s="375">
        <f t="shared" si="257"/>
        <v>0</v>
      </c>
      <c r="THL49" s="375">
        <f t="shared" si="257"/>
        <v>0</v>
      </c>
      <c r="THM49" s="375">
        <f t="shared" si="257"/>
        <v>0</v>
      </c>
      <c r="THN49" s="375">
        <f t="shared" si="257"/>
        <v>0</v>
      </c>
      <c r="THO49" s="375">
        <f t="shared" si="257"/>
        <v>0</v>
      </c>
      <c r="THP49" s="375">
        <f t="shared" si="257"/>
        <v>0</v>
      </c>
      <c r="THQ49" s="375">
        <f t="shared" si="257"/>
        <v>0</v>
      </c>
      <c r="THR49" s="375">
        <f t="shared" si="257"/>
        <v>0</v>
      </c>
      <c r="THS49" s="375">
        <f t="shared" si="257"/>
        <v>0</v>
      </c>
      <c r="THT49" s="375">
        <f t="shared" si="257"/>
        <v>0</v>
      </c>
      <c r="THU49" s="375">
        <f t="shared" si="257"/>
        <v>0</v>
      </c>
      <c r="THV49" s="375">
        <f t="shared" si="257"/>
        <v>0</v>
      </c>
      <c r="THW49" s="375">
        <f t="shared" si="257"/>
        <v>0</v>
      </c>
      <c r="THX49" s="375">
        <f t="shared" si="257"/>
        <v>0</v>
      </c>
      <c r="THY49" s="375">
        <f t="shared" si="257"/>
        <v>0</v>
      </c>
      <c r="THZ49" s="375">
        <f t="shared" si="257"/>
        <v>0</v>
      </c>
      <c r="TIA49" s="375">
        <f t="shared" si="257"/>
        <v>0</v>
      </c>
      <c r="TIB49" s="375">
        <f t="shared" si="257"/>
        <v>0</v>
      </c>
      <c r="TIC49" s="375">
        <f t="shared" si="257"/>
        <v>0</v>
      </c>
      <c r="TID49" s="375">
        <f t="shared" si="257"/>
        <v>0</v>
      </c>
      <c r="TIE49" s="375">
        <f t="shared" si="257"/>
        <v>0</v>
      </c>
      <c r="TIF49" s="375">
        <f t="shared" si="257"/>
        <v>0</v>
      </c>
      <c r="TIG49" s="375">
        <f t="shared" ref="TIG49:TKR49" si="258">TIG48*0.8</f>
        <v>0</v>
      </c>
      <c r="TIH49" s="375">
        <f t="shared" si="258"/>
        <v>0</v>
      </c>
      <c r="TII49" s="375">
        <f t="shared" si="258"/>
        <v>0</v>
      </c>
      <c r="TIJ49" s="375">
        <f t="shared" si="258"/>
        <v>0</v>
      </c>
      <c r="TIK49" s="375">
        <f t="shared" si="258"/>
        <v>0</v>
      </c>
      <c r="TIL49" s="375">
        <f t="shared" si="258"/>
        <v>0</v>
      </c>
      <c r="TIM49" s="375">
        <f t="shared" si="258"/>
        <v>0</v>
      </c>
      <c r="TIN49" s="375">
        <f t="shared" si="258"/>
        <v>0</v>
      </c>
      <c r="TIO49" s="375">
        <f t="shared" si="258"/>
        <v>0</v>
      </c>
      <c r="TIP49" s="375">
        <f t="shared" si="258"/>
        <v>0</v>
      </c>
      <c r="TIQ49" s="375">
        <f t="shared" si="258"/>
        <v>0</v>
      </c>
      <c r="TIR49" s="375">
        <f t="shared" si="258"/>
        <v>0</v>
      </c>
      <c r="TIS49" s="375">
        <f t="shared" si="258"/>
        <v>0</v>
      </c>
      <c r="TIT49" s="375">
        <f t="shared" si="258"/>
        <v>0</v>
      </c>
      <c r="TIU49" s="375">
        <f t="shared" si="258"/>
        <v>0</v>
      </c>
      <c r="TIV49" s="375">
        <f t="shared" si="258"/>
        <v>0</v>
      </c>
      <c r="TIW49" s="375">
        <f t="shared" si="258"/>
        <v>0</v>
      </c>
      <c r="TIX49" s="375">
        <f t="shared" si="258"/>
        <v>0</v>
      </c>
      <c r="TIY49" s="375">
        <f t="shared" si="258"/>
        <v>0</v>
      </c>
      <c r="TIZ49" s="375">
        <f t="shared" si="258"/>
        <v>0</v>
      </c>
      <c r="TJA49" s="375">
        <f t="shared" si="258"/>
        <v>0</v>
      </c>
      <c r="TJB49" s="375">
        <f t="shared" si="258"/>
        <v>0</v>
      </c>
      <c r="TJC49" s="375">
        <f t="shared" si="258"/>
        <v>0</v>
      </c>
      <c r="TJD49" s="375">
        <f t="shared" si="258"/>
        <v>0</v>
      </c>
      <c r="TJE49" s="375">
        <f t="shared" si="258"/>
        <v>0</v>
      </c>
      <c r="TJF49" s="375">
        <f t="shared" si="258"/>
        <v>0</v>
      </c>
      <c r="TJG49" s="375">
        <f t="shared" si="258"/>
        <v>0</v>
      </c>
      <c r="TJH49" s="375">
        <f t="shared" si="258"/>
        <v>0</v>
      </c>
      <c r="TJI49" s="375">
        <f t="shared" si="258"/>
        <v>0</v>
      </c>
      <c r="TJJ49" s="375">
        <f t="shared" si="258"/>
        <v>0</v>
      </c>
      <c r="TJK49" s="375">
        <f t="shared" si="258"/>
        <v>0</v>
      </c>
      <c r="TJL49" s="375">
        <f t="shared" si="258"/>
        <v>0</v>
      </c>
      <c r="TJM49" s="375">
        <f t="shared" si="258"/>
        <v>0</v>
      </c>
      <c r="TJN49" s="375">
        <f t="shared" si="258"/>
        <v>0</v>
      </c>
      <c r="TJO49" s="375">
        <f t="shared" si="258"/>
        <v>0</v>
      </c>
      <c r="TJP49" s="375">
        <f t="shared" si="258"/>
        <v>0</v>
      </c>
      <c r="TJQ49" s="375">
        <f t="shared" si="258"/>
        <v>0</v>
      </c>
      <c r="TJR49" s="375">
        <f t="shared" si="258"/>
        <v>0</v>
      </c>
      <c r="TJS49" s="375">
        <f t="shared" si="258"/>
        <v>0</v>
      </c>
      <c r="TJT49" s="375">
        <f t="shared" si="258"/>
        <v>0</v>
      </c>
      <c r="TJU49" s="375">
        <f t="shared" si="258"/>
        <v>0</v>
      </c>
      <c r="TJV49" s="375">
        <f t="shared" si="258"/>
        <v>0</v>
      </c>
      <c r="TJW49" s="375">
        <f t="shared" si="258"/>
        <v>0</v>
      </c>
      <c r="TJX49" s="375">
        <f t="shared" si="258"/>
        <v>0</v>
      </c>
      <c r="TJY49" s="375">
        <f t="shared" si="258"/>
        <v>0</v>
      </c>
      <c r="TJZ49" s="375">
        <f t="shared" si="258"/>
        <v>0</v>
      </c>
      <c r="TKA49" s="375">
        <f t="shared" si="258"/>
        <v>0</v>
      </c>
      <c r="TKB49" s="375">
        <f t="shared" si="258"/>
        <v>0</v>
      </c>
      <c r="TKC49" s="375">
        <f t="shared" si="258"/>
        <v>0</v>
      </c>
      <c r="TKD49" s="375">
        <f t="shared" si="258"/>
        <v>0</v>
      </c>
      <c r="TKE49" s="375">
        <f t="shared" si="258"/>
        <v>0</v>
      </c>
      <c r="TKF49" s="375">
        <f t="shared" si="258"/>
        <v>0</v>
      </c>
      <c r="TKG49" s="375">
        <f t="shared" si="258"/>
        <v>0</v>
      </c>
      <c r="TKH49" s="375">
        <f t="shared" si="258"/>
        <v>0</v>
      </c>
      <c r="TKI49" s="375">
        <f t="shared" si="258"/>
        <v>0</v>
      </c>
      <c r="TKJ49" s="375">
        <f t="shared" si="258"/>
        <v>0</v>
      </c>
      <c r="TKK49" s="375">
        <f t="shared" si="258"/>
        <v>0</v>
      </c>
      <c r="TKL49" s="375">
        <f t="shared" si="258"/>
        <v>0</v>
      </c>
      <c r="TKM49" s="375">
        <f t="shared" si="258"/>
        <v>0</v>
      </c>
      <c r="TKN49" s="375">
        <f t="shared" si="258"/>
        <v>0</v>
      </c>
      <c r="TKO49" s="375">
        <f t="shared" si="258"/>
        <v>0</v>
      </c>
      <c r="TKP49" s="375">
        <f t="shared" si="258"/>
        <v>0</v>
      </c>
      <c r="TKQ49" s="375">
        <f t="shared" si="258"/>
        <v>0</v>
      </c>
      <c r="TKR49" s="375">
        <f t="shared" si="258"/>
        <v>0</v>
      </c>
      <c r="TKS49" s="375">
        <f t="shared" ref="TKS49:TND49" si="259">TKS48*0.8</f>
        <v>0</v>
      </c>
      <c r="TKT49" s="375">
        <f t="shared" si="259"/>
        <v>0</v>
      </c>
      <c r="TKU49" s="375">
        <f t="shared" si="259"/>
        <v>0</v>
      </c>
      <c r="TKV49" s="375">
        <f t="shared" si="259"/>
        <v>0</v>
      </c>
      <c r="TKW49" s="375">
        <f t="shared" si="259"/>
        <v>0</v>
      </c>
      <c r="TKX49" s="375">
        <f t="shared" si="259"/>
        <v>0</v>
      </c>
      <c r="TKY49" s="375">
        <f t="shared" si="259"/>
        <v>0</v>
      </c>
      <c r="TKZ49" s="375">
        <f t="shared" si="259"/>
        <v>0</v>
      </c>
      <c r="TLA49" s="375">
        <f t="shared" si="259"/>
        <v>0</v>
      </c>
      <c r="TLB49" s="375">
        <f t="shared" si="259"/>
        <v>0</v>
      </c>
      <c r="TLC49" s="375">
        <f t="shared" si="259"/>
        <v>0</v>
      </c>
      <c r="TLD49" s="375">
        <f t="shared" si="259"/>
        <v>0</v>
      </c>
      <c r="TLE49" s="375">
        <f t="shared" si="259"/>
        <v>0</v>
      </c>
      <c r="TLF49" s="375">
        <f t="shared" si="259"/>
        <v>0</v>
      </c>
      <c r="TLG49" s="375">
        <f t="shared" si="259"/>
        <v>0</v>
      </c>
      <c r="TLH49" s="375">
        <f t="shared" si="259"/>
        <v>0</v>
      </c>
      <c r="TLI49" s="375">
        <f t="shared" si="259"/>
        <v>0</v>
      </c>
      <c r="TLJ49" s="375">
        <f t="shared" si="259"/>
        <v>0</v>
      </c>
      <c r="TLK49" s="375">
        <f t="shared" si="259"/>
        <v>0</v>
      </c>
      <c r="TLL49" s="375">
        <f t="shared" si="259"/>
        <v>0</v>
      </c>
      <c r="TLM49" s="375">
        <f t="shared" si="259"/>
        <v>0</v>
      </c>
      <c r="TLN49" s="375">
        <f t="shared" si="259"/>
        <v>0</v>
      </c>
      <c r="TLO49" s="375">
        <f t="shared" si="259"/>
        <v>0</v>
      </c>
      <c r="TLP49" s="375">
        <f t="shared" si="259"/>
        <v>0</v>
      </c>
      <c r="TLQ49" s="375">
        <f t="shared" si="259"/>
        <v>0</v>
      </c>
      <c r="TLR49" s="375">
        <f t="shared" si="259"/>
        <v>0</v>
      </c>
      <c r="TLS49" s="375">
        <f t="shared" si="259"/>
        <v>0</v>
      </c>
      <c r="TLT49" s="375">
        <f t="shared" si="259"/>
        <v>0</v>
      </c>
      <c r="TLU49" s="375">
        <f t="shared" si="259"/>
        <v>0</v>
      </c>
      <c r="TLV49" s="375">
        <f t="shared" si="259"/>
        <v>0</v>
      </c>
      <c r="TLW49" s="375">
        <f t="shared" si="259"/>
        <v>0</v>
      </c>
      <c r="TLX49" s="375">
        <f t="shared" si="259"/>
        <v>0</v>
      </c>
      <c r="TLY49" s="375">
        <f t="shared" si="259"/>
        <v>0</v>
      </c>
      <c r="TLZ49" s="375">
        <f t="shared" si="259"/>
        <v>0</v>
      </c>
      <c r="TMA49" s="375">
        <f t="shared" si="259"/>
        <v>0</v>
      </c>
      <c r="TMB49" s="375">
        <f t="shared" si="259"/>
        <v>0</v>
      </c>
      <c r="TMC49" s="375">
        <f t="shared" si="259"/>
        <v>0</v>
      </c>
      <c r="TMD49" s="375">
        <f t="shared" si="259"/>
        <v>0</v>
      </c>
      <c r="TME49" s="375">
        <f t="shared" si="259"/>
        <v>0</v>
      </c>
      <c r="TMF49" s="375">
        <f t="shared" si="259"/>
        <v>0</v>
      </c>
      <c r="TMG49" s="375">
        <f t="shared" si="259"/>
        <v>0</v>
      </c>
      <c r="TMH49" s="375">
        <f t="shared" si="259"/>
        <v>0</v>
      </c>
      <c r="TMI49" s="375">
        <f t="shared" si="259"/>
        <v>0</v>
      </c>
      <c r="TMJ49" s="375">
        <f t="shared" si="259"/>
        <v>0</v>
      </c>
      <c r="TMK49" s="375">
        <f t="shared" si="259"/>
        <v>0</v>
      </c>
      <c r="TML49" s="375">
        <f t="shared" si="259"/>
        <v>0</v>
      </c>
      <c r="TMM49" s="375">
        <f t="shared" si="259"/>
        <v>0</v>
      </c>
      <c r="TMN49" s="375">
        <f t="shared" si="259"/>
        <v>0</v>
      </c>
      <c r="TMO49" s="375">
        <f t="shared" si="259"/>
        <v>0</v>
      </c>
      <c r="TMP49" s="375">
        <f t="shared" si="259"/>
        <v>0</v>
      </c>
      <c r="TMQ49" s="375">
        <f t="shared" si="259"/>
        <v>0</v>
      </c>
      <c r="TMR49" s="375">
        <f t="shared" si="259"/>
        <v>0</v>
      </c>
      <c r="TMS49" s="375">
        <f t="shared" si="259"/>
        <v>0</v>
      </c>
      <c r="TMT49" s="375">
        <f t="shared" si="259"/>
        <v>0</v>
      </c>
      <c r="TMU49" s="375">
        <f t="shared" si="259"/>
        <v>0</v>
      </c>
      <c r="TMV49" s="375">
        <f t="shared" si="259"/>
        <v>0</v>
      </c>
      <c r="TMW49" s="375">
        <f t="shared" si="259"/>
        <v>0</v>
      </c>
      <c r="TMX49" s="375">
        <f t="shared" si="259"/>
        <v>0</v>
      </c>
      <c r="TMY49" s="375">
        <f t="shared" si="259"/>
        <v>0</v>
      </c>
      <c r="TMZ49" s="375">
        <f t="shared" si="259"/>
        <v>0</v>
      </c>
      <c r="TNA49" s="375">
        <f t="shared" si="259"/>
        <v>0</v>
      </c>
      <c r="TNB49" s="375">
        <f t="shared" si="259"/>
        <v>0</v>
      </c>
      <c r="TNC49" s="375">
        <f t="shared" si="259"/>
        <v>0</v>
      </c>
      <c r="TND49" s="375">
        <f t="shared" si="259"/>
        <v>0</v>
      </c>
      <c r="TNE49" s="375">
        <f t="shared" ref="TNE49:TPP49" si="260">TNE48*0.8</f>
        <v>0</v>
      </c>
      <c r="TNF49" s="375">
        <f t="shared" si="260"/>
        <v>0</v>
      </c>
      <c r="TNG49" s="375">
        <f t="shared" si="260"/>
        <v>0</v>
      </c>
      <c r="TNH49" s="375">
        <f t="shared" si="260"/>
        <v>0</v>
      </c>
      <c r="TNI49" s="375">
        <f t="shared" si="260"/>
        <v>0</v>
      </c>
      <c r="TNJ49" s="375">
        <f t="shared" si="260"/>
        <v>0</v>
      </c>
      <c r="TNK49" s="375">
        <f t="shared" si="260"/>
        <v>0</v>
      </c>
      <c r="TNL49" s="375">
        <f t="shared" si="260"/>
        <v>0</v>
      </c>
      <c r="TNM49" s="375">
        <f t="shared" si="260"/>
        <v>0</v>
      </c>
      <c r="TNN49" s="375">
        <f t="shared" si="260"/>
        <v>0</v>
      </c>
      <c r="TNO49" s="375">
        <f t="shared" si="260"/>
        <v>0</v>
      </c>
      <c r="TNP49" s="375">
        <f t="shared" si="260"/>
        <v>0</v>
      </c>
      <c r="TNQ49" s="375">
        <f t="shared" si="260"/>
        <v>0</v>
      </c>
      <c r="TNR49" s="375">
        <f t="shared" si="260"/>
        <v>0</v>
      </c>
      <c r="TNS49" s="375">
        <f t="shared" si="260"/>
        <v>0</v>
      </c>
      <c r="TNT49" s="375">
        <f t="shared" si="260"/>
        <v>0</v>
      </c>
      <c r="TNU49" s="375">
        <f t="shared" si="260"/>
        <v>0</v>
      </c>
      <c r="TNV49" s="375">
        <f t="shared" si="260"/>
        <v>0</v>
      </c>
      <c r="TNW49" s="375">
        <f t="shared" si="260"/>
        <v>0</v>
      </c>
      <c r="TNX49" s="375">
        <f t="shared" si="260"/>
        <v>0</v>
      </c>
      <c r="TNY49" s="375">
        <f t="shared" si="260"/>
        <v>0</v>
      </c>
      <c r="TNZ49" s="375">
        <f t="shared" si="260"/>
        <v>0</v>
      </c>
      <c r="TOA49" s="375">
        <f t="shared" si="260"/>
        <v>0</v>
      </c>
      <c r="TOB49" s="375">
        <f t="shared" si="260"/>
        <v>0</v>
      </c>
      <c r="TOC49" s="375">
        <f t="shared" si="260"/>
        <v>0</v>
      </c>
      <c r="TOD49" s="375">
        <f t="shared" si="260"/>
        <v>0</v>
      </c>
      <c r="TOE49" s="375">
        <f t="shared" si="260"/>
        <v>0</v>
      </c>
      <c r="TOF49" s="375">
        <f t="shared" si="260"/>
        <v>0</v>
      </c>
      <c r="TOG49" s="375">
        <f t="shared" si="260"/>
        <v>0</v>
      </c>
      <c r="TOH49" s="375">
        <f t="shared" si="260"/>
        <v>0</v>
      </c>
      <c r="TOI49" s="375">
        <f t="shared" si="260"/>
        <v>0</v>
      </c>
      <c r="TOJ49" s="375">
        <f t="shared" si="260"/>
        <v>0</v>
      </c>
      <c r="TOK49" s="375">
        <f t="shared" si="260"/>
        <v>0</v>
      </c>
      <c r="TOL49" s="375">
        <f t="shared" si="260"/>
        <v>0</v>
      </c>
      <c r="TOM49" s="375">
        <f t="shared" si="260"/>
        <v>0</v>
      </c>
      <c r="TON49" s="375">
        <f t="shared" si="260"/>
        <v>0</v>
      </c>
      <c r="TOO49" s="375">
        <f t="shared" si="260"/>
        <v>0</v>
      </c>
      <c r="TOP49" s="375">
        <f t="shared" si="260"/>
        <v>0</v>
      </c>
      <c r="TOQ49" s="375">
        <f t="shared" si="260"/>
        <v>0</v>
      </c>
      <c r="TOR49" s="375">
        <f t="shared" si="260"/>
        <v>0</v>
      </c>
      <c r="TOS49" s="375">
        <f t="shared" si="260"/>
        <v>0</v>
      </c>
      <c r="TOT49" s="375">
        <f t="shared" si="260"/>
        <v>0</v>
      </c>
      <c r="TOU49" s="375">
        <f t="shared" si="260"/>
        <v>0</v>
      </c>
      <c r="TOV49" s="375">
        <f t="shared" si="260"/>
        <v>0</v>
      </c>
      <c r="TOW49" s="375">
        <f t="shared" si="260"/>
        <v>0</v>
      </c>
      <c r="TOX49" s="375">
        <f t="shared" si="260"/>
        <v>0</v>
      </c>
      <c r="TOY49" s="375">
        <f t="shared" si="260"/>
        <v>0</v>
      </c>
      <c r="TOZ49" s="375">
        <f t="shared" si="260"/>
        <v>0</v>
      </c>
      <c r="TPA49" s="375">
        <f t="shared" si="260"/>
        <v>0</v>
      </c>
      <c r="TPB49" s="375">
        <f t="shared" si="260"/>
        <v>0</v>
      </c>
      <c r="TPC49" s="375">
        <f t="shared" si="260"/>
        <v>0</v>
      </c>
      <c r="TPD49" s="375">
        <f t="shared" si="260"/>
        <v>0</v>
      </c>
      <c r="TPE49" s="375">
        <f t="shared" si="260"/>
        <v>0</v>
      </c>
      <c r="TPF49" s="375">
        <f t="shared" si="260"/>
        <v>0</v>
      </c>
      <c r="TPG49" s="375">
        <f t="shared" si="260"/>
        <v>0</v>
      </c>
      <c r="TPH49" s="375">
        <f t="shared" si="260"/>
        <v>0</v>
      </c>
      <c r="TPI49" s="375">
        <f t="shared" si="260"/>
        <v>0</v>
      </c>
      <c r="TPJ49" s="375">
        <f t="shared" si="260"/>
        <v>0</v>
      </c>
      <c r="TPK49" s="375">
        <f t="shared" si="260"/>
        <v>0</v>
      </c>
      <c r="TPL49" s="375">
        <f t="shared" si="260"/>
        <v>0</v>
      </c>
      <c r="TPM49" s="375">
        <f t="shared" si="260"/>
        <v>0</v>
      </c>
      <c r="TPN49" s="375">
        <f t="shared" si="260"/>
        <v>0</v>
      </c>
      <c r="TPO49" s="375">
        <f t="shared" si="260"/>
        <v>0</v>
      </c>
      <c r="TPP49" s="375">
        <f t="shared" si="260"/>
        <v>0</v>
      </c>
      <c r="TPQ49" s="375">
        <f t="shared" ref="TPQ49:TSB49" si="261">TPQ48*0.8</f>
        <v>0</v>
      </c>
      <c r="TPR49" s="375">
        <f t="shared" si="261"/>
        <v>0</v>
      </c>
      <c r="TPS49" s="375">
        <f t="shared" si="261"/>
        <v>0</v>
      </c>
      <c r="TPT49" s="375">
        <f t="shared" si="261"/>
        <v>0</v>
      </c>
      <c r="TPU49" s="375">
        <f t="shared" si="261"/>
        <v>0</v>
      </c>
      <c r="TPV49" s="375">
        <f t="shared" si="261"/>
        <v>0</v>
      </c>
      <c r="TPW49" s="375">
        <f t="shared" si="261"/>
        <v>0</v>
      </c>
      <c r="TPX49" s="375">
        <f t="shared" si="261"/>
        <v>0</v>
      </c>
      <c r="TPY49" s="375">
        <f t="shared" si="261"/>
        <v>0</v>
      </c>
      <c r="TPZ49" s="375">
        <f t="shared" si="261"/>
        <v>0</v>
      </c>
      <c r="TQA49" s="375">
        <f t="shared" si="261"/>
        <v>0</v>
      </c>
      <c r="TQB49" s="375">
        <f t="shared" si="261"/>
        <v>0</v>
      </c>
      <c r="TQC49" s="375">
        <f t="shared" si="261"/>
        <v>0</v>
      </c>
      <c r="TQD49" s="375">
        <f t="shared" si="261"/>
        <v>0</v>
      </c>
      <c r="TQE49" s="375">
        <f t="shared" si="261"/>
        <v>0</v>
      </c>
      <c r="TQF49" s="375">
        <f t="shared" si="261"/>
        <v>0</v>
      </c>
      <c r="TQG49" s="375">
        <f t="shared" si="261"/>
        <v>0</v>
      </c>
      <c r="TQH49" s="375">
        <f t="shared" si="261"/>
        <v>0</v>
      </c>
      <c r="TQI49" s="375">
        <f t="shared" si="261"/>
        <v>0</v>
      </c>
      <c r="TQJ49" s="375">
        <f t="shared" si="261"/>
        <v>0</v>
      </c>
      <c r="TQK49" s="375">
        <f t="shared" si="261"/>
        <v>0</v>
      </c>
      <c r="TQL49" s="375">
        <f t="shared" si="261"/>
        <v>0</v>
      </c>
      <c r="TQM49" s="375">
        <f t="shared" si="261"/>
        <v>0</v>
      </c>
      <c r="TQN49" s="375">
        <f t="shared" si="261"/>
        <v>0</v>
      </c>
      <c r="TQO49" s="375">
        <f t="shared" si="261"/>
        <v>0</v>
      </c>
      <c r="TQP49" s="375">
        <f t="shared" si="261"/>
        <v>0</v>
      </c>
      <c r="TQQ49" s="375">
        <f t="shared" si="261"/>
        <v>0</v>
      </c>
      <c r="TQR49" s="375">
        <f t="shared" si="261"/>
        <v>0</v>
      </c>
      <c r="TQS49" s="375">
        <f t="shared" si="261"/>
        <v>0</v>
      </c>
      <c r="TQT49" s="375">
        <f t="shared" si="261"/>
        <v>0</v>
      </c>
      <c r="TQU49" s="375">
        <f t="shared" si="261"/>
        <v>0</v>
      </c>
      <c r="TQV49" s="375">
        <f t="shared" si="261"/>
        <v>0</v>
      </c>
      <c r="TQW49" s="375">
        <f t="shared" si="261"/>
        <v>0</v>
      </c>
      <c r="TQX49" s="375">
        <f t="shared" si="261"/>
        <v>0</v>
      </c>
      <c r="TQY49" s="375">
        <f t="shared" si="261"/>
        <v>0</v>
      </c>
      <c r="TQZ49" s="375">
        <f t="shared" si="261"/>
        <v>0</v>
      </c>
      <c r="TRA49" s="375">
        <f t="shared" si="261"/>
        <v>0</v>
      </c>
      <c r="TRB49" s="375">
        <f t="shared" si="261"/>
        <v>0</v>
      </c>
      <c r="TRC49" s="375">
        <f t="shared" si="261"/>
        <v>0</v>
      </c>
      <c r="TRD49" s="375">
        <f t="shared" si="261"/>
        <v>0</v>
      </c>
      <c r="TRE49" s="375">
        <f t="shared" si="261"/>
        <v>0</v>
      </c>
      <c r="TRF49" s="375">
        <f t="shared" si="261"/>
        <v>0</v>
      </c>
      <c r="TRG49" s="375">
        <f t="shared" si="261"/>
        <v>0</v>
      </c>
      <c r="TRH49" s="375">
        <f t="shared" si="261"/>
        <v>0</v>
      </c>
      <c r="TRI49" s="375">
        <f t="shared" si="261"/>
        <v>0</v>
      </c>
      <c r="TRJ49" s="375">
        <f t="shared" si="261"/>
        <v>0</v>
      </c>
      <c r="TRK49" s="375">
        <f t="shared" si="261"/>
        <v>0</v>
      </c>
      <c r="TRL49" s="375">
        <f t="shared" si="261"/>
        <v>0</v>
      </c>
      <c r="TRM49" s="375">
        <f t="shared" si="261"/>
        <v>0</v>
      </c>
      <c r="TRN49" s="375">
        <f t="shared" si="261"/>
        <v>0</v>
      </c>
      <c r="TRO49" s="375">
        <f t="shared" si="261"/>
        <v>0</v>
      </c>
      <c r="TRP49" s="375">
        <f t="shared" si="261"/>
        <v>0</v>
      </c>
      <c r="TRQ49" s="375">
        <f t="shared" si="261"/>
        <v>0</v>
      </c>
      <c r="TRR49" s="375">
        <f t="shared" si="261"/>
        <v>0</v>
      </c>
      <c r="TRS49" s="375">
        <f t="shared" si="261"/>
        <v>0</v>
      </c>
      <c r="TRT49" s="375">
        <f t="shared" si="261"/>
        <v>0</v>
      </c>
      <c r="TRU49" s="375">
        <f t="shared" si="261"/>
        <v>0</v>
      </c>
      <c r="TRV49" s="375">
        <f t="shared" si="261"/>
        <v>0</v>
      </c>
      <c r="TRW49" s="375">
        <f t="shared" si="261"/>
        <v>0</v>
      </c>
      <c r="TRX49" s="375">
        <f t="shared" si="261"/>
        <v>0</v>
      </c>
      <c r="TRY49" s="375">
        <f t="shared" si="261"/>
        <v>0</v>
      </c>
      <c r="TRZ49" s="375">
        <f t="shared" si="261"/>
        <v>0</v>
      </c>
      <c r="TSA49" s="375">
        <f t="shared" si="261"/>
        <v>0</v>
      </c>
      <c r="TSB49" s="375">
        <f t="shared" si="261"/>
        <v>0</v>
      </c>
      <c r="TSC49" s="375">
        <f t="shared" ref="TSC49:TUN49" si="262">TSC48*0.8</f>
        <v>0</v>
      </c>
      <c r="TSD49" s="375">
        <f t="shared" si="262"/>
        <v>0</v>
      </c>
      <c r="TSE49" s="375">
        <f t="shared" si="262"/>
        <v>0</v>
      </c>
      <c r="TSF49" s="375">
        <f t="shared" si="262"/>
        <v>0</v>
      </c>
      <c r="TSG49" s="375">
        <f t="shared" si="262"/>
        <v>0</v>
      </c>
      <c r="TSH49" s="375">
        <f t="shared" si="262"/>
        <v>0</v>
      </c>
      <c r="TSI49" s="375">
        <f t="shared" si="262"/>
        <v>0</v>
      </c>
      <c r="TSJ49" s="375">
        <f t="shared" si="262"/>
        <v>0</v>
      </c>
      <c r="TSK49" s="375">
        <f t="shared" si="262"/>
        <v>0</v>
      </c>
      <c r="TSL49" s="375">
        <f t="shared" si="262"/>
        <v>0</v>
      </c>
      <c r="TSM49" s="375">
        <f t="shared" si="262"/>
        <v>0</v>
      </c>
      <c r="TSN49" s="375">
        <f t="shared" si="262"/>
        <v>0</v>
      </c>
      <c r="TSO49" s="375">
        <f t="shared" si="262"/>
        <v>0</v>
      </c>
      <c r="TSP49" s="375">
        <f t="shared" si="262"/>
        <v>0</v>
      </c>
      <c r="TSQ49" s="375">
        <f t="shared" si="262"/>
        <v>0</v>
      </c>
      <c r="TSR49" s="375">
        <f t="shared" si="262"/>
        <v>0</v>
      </c>
      <c r="TSS49" s="375">
        <f t="shared" si="262"/>
        <v>0</v>
      </c>
      <c r="TST49" s="375">
        <f t="shared" si="262"/>
        <v>0</v>
      </c>
      <c r="TSU49" s="375">
        <f t="shared" si="262"/>
        <v>0</v>
      </c>
      <c r="TSV49" s="375">
        <f t="shared" si="262"/>
        <v>0</v>
      </c>
      <c r="TSW49" s="375">
        <f t="shared" si="262"/>
        <v>0</v>
      </c>
      <c r="TSX49" s="375">
        <f t="shared" si="262"/>
        <v>0</v>
      </c>
      <c r="TSY49" s="375">
        <f t="shared" si="262"/>
        <v>0</v>
      </c>
      <c r="TSZ49" s="375">
        <f t="shared" si="262"/>
        <v>0</v>
      </c>
      <c r="TTA49" s="375">
        <f t="shared" si="262"/>
        <v>0</v>
      </c>
      <c r="TTB49" s="375">
        <f t="shared" si="262"/>
        <v>0</v>
      </c>
      <c r="TTC49" s="375">
        <f t="shared" si="262"/>
        <v>0</v>
      </c>
      <c r="TTD49" s="375">
        <f t="shared" si="262"/>
        <v>0</v>
      </c>
      <c r="TTE49" s="375">
        <f t="shared" si="262"/>
        <v>0</v>
      </c>
      <c r="TTF49" s="375">
        <f t="shared" si="262"/>
        <v>0</v>
      </c>
      <c r="TTG49" s="375">
        <f t="shared" si="262"/>
        <v>0</v>
      </c>
      <c r="TTH49" s="375">
        <f t="shared" si="262"/>
        <v>0</v>
      </c>
      <c r="TTI49" s="375">
        <f t="shared" si="262"/>
        <v>0</v>
      </c>
      <c r="TTJ49" s="375">
        <f t="shared" si="262"/>
        <v>0</v>
      </c>
      <c r="TTK49" s="375">
        <f t="shared" si="262"/>
        <v>0</v>
      </c>
      <c r="TTL49" s="375">
        <f t="shared" si="262"/>
        <v>0</v>
      </c>
      <c r="TTM49" s="375">
        <f t="shared" si="262"/>
        <v>0</v>
      </c>
      <c r="TTN49" s="375">
        <f t="shared" si="262"/>
        <v>0</v>
      </c>
      <c r="TTO49" s="375">
        <f t="shared" si="262"/>
        <v>0</v>
      </c>
      <c r="TTP49" s="375">
        <f t="shared" si="262"/>
        <v>0</v>
      </c>
      <c r="TTQ49" s="375">
        <f t="shared" si="262"/>
        <v>0</v>
      </c>
      <c r="TTR49" s="375">
        <f t="shared" si="262"/>
        <v>0</v>
      </c>
      <c r="TTS49" s="375">
        <f t="shared" si="262"/>
        <v>0</v>
      </c>
      <c r="TTT49" s="375">
        <f t="shared" si="262"/>
        <v>0</v>
      </c>
      <c r="TTU49" s="375">
        <f t="shared" si="262"/>
        <v>0</v>
      </c>
      <c r="TTV49" s="375">
        <f t="shared" si="262"/>
        <v>0</v>
      </c>
      <c r="TTW49" s="375">
        <f t="shared" si="262"/>
        <v>0</v>
      </c>
      <c r="TTX49" s="375">
        <f t="shared" si="262"/>
        <v>0</v>
      </c>
      <c r="TTY49" s="375">
        <f t="shared" si="262"/>
        <v>0</v>
      </c>
      <c r="TTZ49" s="375">
        <f t="shared" si="262"/>
        <v>0</v>
      </c>
      <c r="TUA49" s="375">
        <f t="shared" si="262"/>
        <v>0</v>
      </c>
      <c r="TUB49" s="375">
        <f t="shared" si="262"/>
        <v>0</v>
      </c>
      <c r="TUC49" s="375">
        <f t="shared" si="262"/>
        <v>0</v>
      </c>
      <c r="TUD49" s="375">
        <f t="shared" si="262"/>
        <v>0</v>
      </c>
      <c r="TUE49" s="375">
        <f t="shared" si="262"/>
        <v>0</v>
      </c>
      <c r="TUF49" s="375">
        <f t="shared" si="262"/>
        <v>0</v>
      </c>
      <c r="TUG49" s="375">
        <f t="shared" si="262"/>
        <v>0</v>
      </c>
      <c r="TUH49" s="375">
        <f t="shared" si="262"/>
        <v>0</v>
      </c>
      <c r="TUI49" s="375">
        <f t="shared" si="262"/>
        <v>0</v>
      </c>
      <c r="TUJ49" s="375">
        <f t="shared" si="262"/>
        <v>0</v>
      </c>
      <c r="TUK49" s="375">
        <f t="shared" si="262"/>
        <v>0</v>
      </c>
      <c r="TUL49" s="375">
        <f t="shared" si="262"/>
        <v>0</v>
      </c>
      <c r="TUM49" s="375">
        <f t="shared" si="262"/>
        <v>0</v>
      </c>
      <c r="TUN49" s="375">
        <f t="shared" si="262"/>
        <v>0</v>
      </c>
      <c r="TUO49" s="375">
        <f t="shared" ref="TUO49:TWZ49" si="263">TUO48*0.8</f>
        <v>0</v>
      </c>
      <c r="TUP49" s="375">
        <f t="shared" si="263"/>
        <v>0</v>
      </c>
      <c r="TUQ49" s="375">
        <f t="shared" si="263"/>
        <v>0</v>
      </c>
      <c r="TUR49" s="375">
        <f t="shared" si="263"/>
        <v>0</v>
      </c>
      <c r="TUS49" s="375">
        <f t="shared" si="263"/>
        <v>0</v>
      </c>
      <c r="TUT49" s="375">
        <f t="shared" si="263"/>
        <v>0</v>
      </c>
      <c r="TUU49" s="375">
        <f t="shared" si="263"/>
        <v>0</v>
      </c>
      <c r="TUV49" s="375">
        <f t="shared" si="263"/>
        <v>0</v>
      </c>
      <c r="TUW49" s="375">
        <f t="shared" si="263"/>
        <v>0</v>
      </c>
      <c r="TUX49" s="375">
        <f t="shared" si="263"/>
        <v>0</v>
      </c>
      <c r="TUY49" s="375">
        <f t="shared" si="263"/>
        <v>0</v>
      </c>
      <c r="TUZ49" s="375">
        <f t="shared" si="263"/>
        <v>0</v>
      </c>
      <c r="TVA49" s="375">
        <f t="shared" si="263"/>
        <v>0</v>
      </c>
      <c r="TVB49" s="375">
        <f t="shared" si="263"/>
        <v>0</v>
      </c>
      <c r="TVC49" s="375">
        <f t="shared" si="263"/>
        <v>0</v>
      </c>
      <c r="TVD49" s="375">
        <f t="shared" si="263"/>
        <v>0</v>
      </c>
      <c r="TVE49" s="375">
        <f t="shared" si="263"/>
        <v>0</v>
      </c>
      <c r="TVF49" s="375">
        <f t="shared" si="263"/>
        <v>0</v>
      </c>
      <c r="TVG49" s="375">
        <f t="shared" si="263"/>
        <v>0</v>
      </c>
      <c r="TVH49" s="375">
        <f t="shared" si="263"/>
        <v>0</v>
      </c>
      <c r="TVI49" s="375">
        <f t="shared" si="263"/>
        <v>0</v>
      </c>
      <c r="TVJ49" s="375">
        <f t="shared" si="263"/>
        <v>0</v>
      </c>
      <c r="TVK49" s="375">
        <f t="shared" si="263"/>
        <v>0</v>
      </c>
      <c r="TVL49" s="375">
        <f t="shared" si="263"/>
        <v>0</v>
      </c>
      <c r="TVM49" s="375">
        <f t="shared" si="263"/>
        <v>0</v>
      </c>
      <c r="TVN49" s="375">
        <f t="shared" si="263"/>
        <v>0</v>
      </c>
      <c r="TVO49" s="375">
        <f t="shared" si="263"/>
        <v>0</v>
      </c>
      <c r="TVP49" s="375">
        <f t="shared" si="263"/>
        <v>0</v>
      </c>
      <c r="TVQ49" s="375">
        <f t="shared" si="263"/>
        <v>0</v>
      </c>
      <c r="TVR49" s="375">
        <f t="shared" si="263"/>
        <v>0</v>
      </c>
      <c r="TVS49" s="375">
        <f t="shared" si="263"/>
        <v>0</v>
      </c>
      <c r="TVT49" s="375">
        <f t="shared" si="263"/>
        <v>0</v>
      </c>
      <c r="TVU49" s="375">
        <f t="shared" si="263"/>
        <v>0</v>
      </c>
      <c r="TVV49" s="375">
        <f t="shared" si="263"/>
        <v>0</v>
      </c>
      <c r="TVW49" s="375">
        <f t="shared" si="263"/>
        <v>0</v>
      </c>
      <c r="TVX49" s="375">
        <f t="shared" si="263"/>
        <v>0</v>
      </c>
      <c r="TVY49" s="375">
        <f t="shared" si="263"/>
        <v>0</v>
      </c>
      <c r="TVZ49" s="375">
        <f t="shared" si="263"/>
        <v>0</v>
      </c>
      <c r="TWA49" s="375">
        <f t="shared" si="263"/>
        <v>0</v>
      </c>
      <c r="TWB49" s="375">
        <f t="shared" si="263"/>
        <v>0</v>
      </c>
      <c r="TWC49" s="375">
        <f t="shared" si="263"/>
        <v>0</v>
      </c>
      <c r="TWD49" s="375">
        <f t="shared" si="263"/>
        <v>0</v>
      </c>
      <c r="TWE49" s="375">
        <f t="shared" si="263"/>
        <v>0</v>
      </c>
      <c r="TWF49" s="375">
        <f t="shared" si="263"/>
        <v>0</v>
      </c>
      <c r="TWG49" s="375">
        <f t="shared" si="263"/>
        <v>0</v>
      </c>
      <c r="TWH49" s="375">
        <f t="shared" si="263"/>
        <v>0</v>
      </c>
      <c r="TWI49" s="375">
        <f t="shared" si="263"/>
        <v>0</v>
      </c>
      <c r="TWJ49" s="375">
        <f t="shared" si="263"/>
        <v>0</v>
      </c>
      <c r="TWK49" s="375">
        <f t="shared" si="263"/>
        <v>0</v>
      </c>
      <c r="TWL49" s="375">
        <f t="shared" si="263"/>
        <v>0</v>
      </c>
      <c r="TWM49" s="375">
        <f t="shared" si="263"/>
        <v>0</v>
      </c>
      <c r="TWN49" s="375">
        <f t="shared" si="263"/>
        <v>0</v>
      </c>
      <c r="TWO49" s="375">
        <f t="shared" si="263"/>
        <v>0</v>
      </c>
      <c r="TWP49" s="375">
        <f t="shared" si="263"/>
        <v>0</v>
      </c>
      <c r="TWQ49" s="375">
        <f t="shared" si="263"/>
        <v>0</v>
      </c>
      <c r="TWR49" s="375">
        <f t="shared" si="263"/>
        <v>0</v>
      </c>
      <c r="TWS49" s="375">
        <f t="shared" si="263"/>
        <v>0</v>
      </c>
      <c r="TWT49" s="375">
        <f t="shared" si="263"/>
        <v>0</v>
      </c>
      <c r="TWU49" s="375">
        <f t="shared" si="263"/>
        <v>0</v>
      </c>
      <c r="TWV49" s="375">
        <f t="shared" si="263"/>
        <v>0</v>
      </c>
      <c r="TWW49" s="375">
        <f t="shared" si="263"/>
        <v>0</v>
      </c>
      <c r="TWX49" s="375">
        <f t="shared" si="263"/>
        <v>0</v>
      </c>
      <c r="TWY49" s="375">
        <f t="shared" si="263"/>
        <v>0</v>
      </c>
      <c r="TWZ49" s="375">
        <f t="shared" si="263"/>
        <v>0</v>
      </c>
      <c r="TXA49" s="375">
        <f t="shared" ref="TXA49:TZL49" si="264">TXA48*0.8</f>
        <v>0</v>
      </c>
      <c r="TXB49" s="375">
        <f t="shared" si="264"/>
        <v>0</v>
      </c>
      <c r="TXC49" s="375">
        <f t="shared" si="264"/>
        <v>0</v>
      </c>
      <c r="TXD49" s="375">
        <f t="shared" si="264"/>
        <v>0</v>
      </c>
      <c r="TXE49" s="375">
        <f t="shared" si="264"/>
        <v>0</v>
      </c>
      <c r="TXF49" s="375">
        <f t="shared" si="264"/>
        <v>0</v>
      </c>
      <c r="TXG49" s="375">
        <f t="shared" si="264"/>
        <v>0</v>
      </c>
      <c r="TXH49" s="375">
        <f t="shared" si="264"/>
        <v>0</v>
      </c>
      <c r="TXI49" s="375">
        <f t="shared" si="264"/>
        <v>0</v>
      </c>
      <c r="TXJ49" s="375">
        <f t="shared" si="264"/>
        <v>0</v>
      </c>
      <c r="TXK49" s="375">
        <f t="shared" si="264"/>
        <v>0</v>
      </c>
      <c r="TXL49" s="375">
        <f t="shared" si="264"/>
        <v>0</v>
      </c>
      <c r="TXM49" s="375">
        <f t="shared" si="264"/>
        <v>0</v>
      </c>
      <c r="TXN49" s="375">
        <f t="shared" si="264"/>
        <v>0</v>
      </c>
      <c r="TXO49" s="375">
        <f t="shared" si="264"/>
        <v>0</v>
      </c>
      <c r="TXP49" s="375">
        <f t="shared" si="264"/>
        <v>0</v>
      </c>
      <c r="TXQ49" s="375">
        <f t="shared" si="264"/>
        <v>0</v>
      </c>
      <c r="TXR49" s="375">
        <f t="shared" si="264"/>
        <v>0</v>
      </c>
      <c r="TXS49" s="375">
        <f t="shared" si="264"/>
        <v>0</v>
      </c>
      <c r="TXT49" s="375">
        <f t="shared" si="264"/>
        <v>0</v>
      </c>
      <c r="TXU49" s="375">
        <f t="shared" si="264"/>
        <v>0</v>
      </c>
      <c r="TXV49" s="375">
        <f t="shared" si="264"/>
        <v>0</v>
      </c>
      <c r="TXW49" s="375">
        <f t="shared" si="264"/>
        <v>0</v>
      </c>
      <c r="TXX49" s="375">
        <f t="shared" si="264"/>
        <v>0</v>
      </c>
      <c r="TXY49" s="375">
        <f t="shared" si="264"/>
        <v>0</v>
      </c>
      <c r="TXZ49" s="375">
        <f t="shared" si="264"/>
        <v>0</v>
      </c>
      <c r="TYA49" s="375">
        <f t="shared" si="264"/>
        <v>0</v>
      </c>
      <c r="TYB49" s="375">
        <f t="shared" si="264"/>
        <v>0</v>
      </c>
      <c r="TYC49" s="375">
        <f t="shared" si="264"/>
        <v>0</v>
      </c>
      <c r="TYD49" s="375">
        <f t="shared" si="264"/>
        <v>0</v>
      </c>
      <c r="TYE49" s="375">
        <f t="shared" si="264"/>
        <v>0</v>
      </c>
      <c r="TYF49" s="375">
        <f t="shared" si="264"/>
        <v>0</v>
      </c>
      <c r="TYG49" s="375">
        <f t="shared" si="264"/>
        <v>0</v>
      </c>
      <c r="TYH49" s="375">
        <f t="shared" si="264"/>
        <v>0</v>
      </c>
      <c r="TYI49" s="375">
        <f t="shared" si="264"/>
        <v>0</v>
      </c>
      <c r="TYJ49" s="375">
        <f t="shared" si="264"/>
        <v>0</v>
      </c>
      <c r="TYK49" s="375">
        <f t="shared" si="264"/>
        <v>0</v>
      </c>
      <c r="TYL49" s="375">
        <f t="shared" si="264"/>
        <v>0</v>
      </c>
      <c r="TYM49" s="375">
        <f t="shared" si="264"/>
        <v>0</v>
      </c>
      <c r="TYN49" s="375">
        <f t="shared" si="264"/>
        <v>0</v>
      </c>
      <c r="TYO49" s="375">
        <f t="shared" si="264"/>
        <v>0</v>
      </c>
      <c r="TYP49" s="375">
        <f t="shared" si="264"/>
        <v>0</v>
      </c>
      <c r="TYQ49" s="375">
        <f t="shared" si="264"/>
        <v>0</v>
      </c>
      <c r="TYR49" s="375">
        <f t="shared" si="264"/>
        <v>0</v>
      </c>
      <c r="TYS49" s="375">
        <f t="shared" si="264"/>
        <v>0</v>
      </c>
      <c r="TYT49" s="375">
        <f t="shared" si="264"/>
        <v>0</v>
      </c>
      <c r="TYU49" s="375">
        <f t="shared" si="264"/>
        <v>0</v>
      </c>
      <c r="TYV49" s="375">
        <f t="shared" si="264"/>
        <v>0</v>
      </c>
      <c r="TYW49" s="375">
        <f t="shared" si="264"/>
        <v>0</v>
      </c>
      <c r="TYX49" s="375">
        <f t="shared" si="264"/>
        <v>0</v>
      </c>
      <c r="TYY49" s="375">
        <f t="shared" si="264"/>
        <v>0</v>
      </c>
      <c r="TYZ49" s="375">
        <f t="shared" si="264"/>
        <v>0</v>
      </c>
      <c r="TZA49" s="375">
        <f t="shared" si="264"/>
        <v>0</v>
      </c>
      <c r="TZB49" s="375">
        <f t="shared" si="264"/>
        <v>0</v>
      </c>
      <c r="TZC49" s="375">
        <f t="shared" si="264"/>
        <v>0</v>
      </c>
      <c r="TZD49" s="375">
        <f t="shared" si="264"/>
        <v>0</v>
      </c>
      <c r="TZE49" s="375">
        <f t="shared" si="264"/>
        <v>0</v>
      </c>
      <c r="TZF49" s="375">
        <f t="shared" si="264"/>
        <v>0</v>
      </c>
      <c r="TZG49" s="375">
        <f t="shared" si="264"/>
        <v>0</v>
      </c>
      <c r="TZH49" s="375">
        <f t="shared" si="264"/>
        <v>0</v>
      </c>
      <c r="TZI49" s="375">
        <f t="shared" si="264"/>
        <v>0</v>
      </c>
      <c r="TZJ49" s="375">
        <f t="shared" si="264"/>
        <v>0</v>
      </c>
      <c r="TZK49" s="375">
        <f t="shared" si="264"/>
        <v>0</v>
      </c>
      <c r="TZL49" s="375">
        <f t="shared" si="264"/>
        <v>0</v>
      </c>
      <c r="TZM49" s="375">
        <f t="shared" ref="TZM49:UBX49" si="265">TZM48*0.8</f>
        <v>0</v>
      </c>
      <c r="TZN49" s="375">
        <f t="shared" si="265"/>
        <v>0</v>
      </c>
      <c r="TZO49" s="375">
        <f t="shared" si="265"/>
        <v>0</v>
      </c>
      <c r="TZP49" s="375">
        <f t="shared" si="265"/>
        <v>0</v>
      </c>
      <c r="TZQ49" s="375">
        <f t="shared" si="265"/>
        <v>0</v>
      </c>
      <c r="TZR49" s="375">
        <f t="shared" si="265"/>
        <v>0</v>
      </c>
      <c r="TZS49" s="375">
        <f t="shared" si="265"/>
        <v>0</v>
      </c>
      <c r="TZT49" s="375">
        <f t="shared" si="265"/>
        <v>0</v>
      </c>
      <c r="TZU49" s="375">
        <f t="shared" si="265"/>
        <v>0</v>
      </c>
      <c r="TZV49" s="375">
        <f t="shared" si="265"/>
        <v>0</v>
      </c>
      <c r="TZW49" s="375">
        <f t="shared" si="265"/>
        <v>0</v>
      </c>
      <c r="TZX49" s="375">
        <f t="shared" si="265"/>
        <v>0</v>
      </c>
      <c r="TZY49" s="375">
        <f t="shared" si="265"/>
        <v>0</v>
      </c>
      <c r="TZZ49" s="375">
        <f t="shared" si="265"/>
        <v>0</v>
      </c>
      <c r="UAA49" s="375">
        <f t="shared" si="265"/>
        <v>0</v>
      </c>
      <c r="UAB49" s="375">
        <f t="shared" si="265"/>
        <v>0</v>
      </c>
      <c r="UAC49" s="375">
        <f t="shared" si="265"/>
        <v>0</v>
      </c>
      <c r="UAD49" s="375">
        <f t="shared" si="265"/>
        <v>0</v>
      </c>
      <c r="UAE49" s="375">
        <f t="shared" si="265"/>
        <v>0</v>
      </c>
      <c r="UAF49" s="375">
        <f t="shared" si="265"/>
        <v>0</v>
      </c>
      <c r="UAG49" s="375">
        <f t="shared" si="265"/>
        <v>0</v>
      </c>
      <c r="UAH49" s="375">
        <f t="shared" si="265"/>
        <v>0</v>
      </c>
      <c r="UAI49" s="375">
        <f t="shared" si="265"/>
        <v>0</v>
      </c>
      <c r="UAJ49" s="375">
        <f t="shared" si="265"/>
        <v>0</v>
      </c>
      <c r="UAK49" s="375">
        <f t="shared" si="265"/>
        <v>0</v>
      </c>
      <c r="UAL49" s="375">
        <f t="shared" si="265"/>
        <v>0</v>
      </c>
      <c r="UAM49" s="375">
        <f t="shared" si="265"/>
        <v>0</v>
      </c>
      <c r="UAN49" s="375">
        <f t="shared" si="265"/>
        <v>0</v>
      </c>
      <c r="UAO49" s="375">
        <f t="shared" si="265"/>
        <v>0</v>
      </c>
      <c r="UAP49" s="375">
        <f t="shared" si="265"/>
        <v>0</v>
      </c>
      <c r="UAQ49" s="375">
        <f t="shared" si="265"/>
        <v>0</v>
      </c>
      <c r="UAR49" s="375">
        <f t="shared" si="265"/>
        <v>0</v>
      </c>
      <c r="UAS49" s="375">
        <f t="shared" si="265"/>
        <v>0</v>
      </c>
      <c r="UAT49" s="375">
        <f t="shared" si="265"/>
        <v>0</v>
      </c>
      <c r="UAU49" s="375">
        <f t="shared" si="265"/>
        <v>0</v>
      </c>
      <c r="UAV49" s="375">
        <f t="shared" si="265"/>
        <v>0</v>
      </c>
      <c r="UAW49" s="375">
        <f t="shared" si="265"/>
        <v>0</v>
      </c>
      <c r="UAX49" s="375">
        <f t="shared" si="265"/>
        <v>0</v>
      </c>
      <c r="UAY49" s="375">
        <f t="shared" si="265"/>
        <v>0</v>
      </c>
      <c r="UAZ49" s="375">
        <f t="shared" si="265"/>
        <v>0</v>
      </c>
      <c r="UBA49" s="375">
        <f t="shared" si="265"/>
        <v>0</v>
      </c>
      <c r="UBB49" s="375">
        <f t="shared" si="265"/>
        <v>0</v>
      </c>
      <c r="UBC49" s="375">
        <f t="shared" si="265"/>
        <v>0</v>
      </c>
      <c r="UBD49" s="375">
        <f t="shared" si="265"/>
        <v>0</v>
      </c>
      <c r="UBE49" s="375">
        <f t="shared" si="265"/>
        <v>0</v>
      </c>
      <c r="UBF49" s="375">
        <f t="shared" si="265"/>
        <v>0</v>
      </c>
      <c r="UBG49" s="375">
        <f t="shared" si="265"/>
        <v>0</v>
      </c>
      <c r="UBH49" s="375">
        <f t="shared" si="265"/>
        <v>0</v>
      </c>
      <c r="UBI49" s="375">
        <f t="shared" si="265"/>
        <v>0</v>
      </c>
      <c r="UBJ49" s="375">
        <f t="shared" si="265"/>
        <v>0</v>
      </c>
      <c r="UBK49" s="375">
        <f t="shared" si="265"/>
        <v>0</v>
      </c>
      <c r="UBL49" s="375">
        <f t="shared" si="265"/>
        <v>0</v>
      </c>
      <c r="UBM49" s="375">
        <f t="shared" si="265"/>
        <v>0</v>
      </c>
      <c r="UBN49" s="375">
        <f t="shared" si="265"/>
        <v>0</v>
      </c>
      <c r="UBO49" s="375">
        <f t="shared" si="265"/>
        <v>0</v>
      </c>
      <c r="UBP49" s="375">
        <f t="shared" si="265"/>
        <v>0</v>
      </c>
      <c r="UBQ49" s="375">
        <f t="shared" si="265"/>
        <v>0</v>
      </c>
      <c r="UBR49" s="375">
        <f t="shared" si="265"/>
        <v>0</v>
      </c>
      <c r="UBS49" s="375">
        <f t="shared" si="265"/>
        <v>0</v>
      </c>
      <c r="UBT49" s="375">
        <f t="shared" si="265"/>
        <v>0</v>
      </c>
      <c r="UBU49" s="375">
        <f t="shared" si="265"/>
        <v>0</v>
      </c>
      <c r="UBV49" s="375">
        <f t="shared" si="265"/>
        <v>0</v>
      </c>
      <c r="UBW49" s="375">
        <f t="shared" si="265"/>
        <v>0</v>
      </c>
      <c r="UBX49" s="375">
        <f t="shared" si="265"/>
        <v>0</v>
      </c>
      <c r="UBY49" s="375">
        <f t="shared" ref="UBY49:UEJ49" si="266">UBY48*0.8</f>
        <v>0</v>
      </c>
      <c r="UBZ49" s="375">
        <f t="shared" si="266"/>
        <v>0</v>
      </c>
      <c r="UCA49" s="375">
        <f t="shared" si="266"/>
        <v>0</v>
      </c>
      <c r="UCB49" s="375">
        <f t="shared" si="266"/>
        <v>0</v>
      </c>
      <c r="UCC49" s="375">
        <f t="shared" si="266"/>
        <v>0</v>
      </c>
      <c r="UCD49" s="375">
        <f t="shared" si="266"/>
        <v>0</v>
      </c>
      <c r="UCE49" s="375">
        <f t="shared" si="266"/>
        <v>0</v>
      </c>
      <c r="UCF49" s="375">
        <f t="shared" si="266"/>
        <v>0</v>
      </c>
      <c r="UCG49" s="375">
        <f t="shared" si="266"/>
        <v>0</v>
      </c>
      <c r="UCH49" s="375">
        <f t="shared" si="266"/>
        <v>0</v>
      </c>
      <c r="UCI49" s="375">
        <f t="shared" si="266"/>
        <v>0</v>
      </c>
      <c r="UCJ49" s="375">
        <f t="shared" si="266"/>
        <v>0</v>
      </c>
      <c r="UCK49" s="375">
        <f t="shared" si="266"/>
        <v>0</v>
      </c>
      <c r="UCL49" s="375">
        <f t="shared" si="266"/>
        <v>0</v>
      </c>
      <c r="UCM49" s="375">
        <f t="shared" si="266"/>
        <v>0</v>
      </c>
      <c r="UCN49" s="375">
        <f t="shared" si="266"/>
        <v>0</v>
      </c>
      <c r="UCO49" s="375">
        <f t="shared" si="266"/>
        <v>0</v>
      </c>
      <c r="UCP49" s="375">
        <f t="shared" si="266"/>
        <v>0</v>
      </c>
      <c r="UCQ49" s="375">
        <f t="shared" si="266"/>
        <v>0</v>
      </c>
      <c r="UCR49" s="375">
        <f t="shared" si="266"/>
        <v>0</v>
      </c>
      <c r="UCS49" s="375">
        <f t="shared" si="266"/>
        <v>0</v>
      </c>
      <c r="UCT49" s="375">
        <f t="shared" si="266"/>
        <v>0</v>
      </c>
      <c r="UCU49" s="375">
        <f t="shared" si="266"/>
        <v>0</v>
      </c>
      <c r="UCV49" s="375">
        <f t="shared" si="266"/>
        <v>0</v>
      </c>
      <c r="UCW49" s="375">
        <f t="shared" si="266"/>
        <v>0</v>
      </c>
      <c r="UCX49" s="375">
        <f t="shared" si="266"/>
        <v>0</v>
      </c>
      <c r="UCY49" s="375">
        <f t="shared" si="266"/>
        <v>0</v>
      </c>
      <c r="UCZ49" s="375">
        <f t="shared" si="266"/>
        <v>0</v>
      </c>
      <c r="UDA49" s="375">
        <f t="shared" si="266"/>
        <v>0</v>
      </c>
      <c r="UDB49" s="375">
        <f t="shared" si="266"/>
        <v>0</v>
      </c>
      <c r="UDC49" s="375">
        <f t="shared" si="266"/>
        <v>0</v>
      </c>
      <c r="UDD49" s="375">
        <f t="shared" si="266"/>
        <v>0</v>
      </c>
      <c r="UDE49" s="375">
        <f t="shared" si="266"/>
        <v>0</v>
      </c>
      <c r="UDF49" s="375">
        <f t="shared" si="266"/>
        <v>0</v>
      </c>
      <c r="UDG49" s="375">
        <f t="shared" si="266"/>
        <v>0</v>
      </c>
      <c r="UDH49" s="375">
        <f t="shared" si="266"/>
        <v>0</v>
      </c>
      <c r="UDI49" s="375">
        <f t="shared" si="266"/>
        <v>0</v>
      </c>
      <c r="UDJ49" s="375">
        <f t="shared" si="266"/>
        <v>0</v>
      </c>
      <c r="UDK49" s="375">
        <f t="shared" si="266"/>
        <v>0</v>
      </c>
      <c r="UDL49" s="375">
        <f t="shared" si="266"/>
        <v>0</v>
      </c>
      <c r="UDM49" s="375">
        <f t="shared" si="266"/>
        <v>0</v>
      </c>
      <c r="UDN49" s="375">
        <f t="shared" si="266"/>
        <v>0</v>
      </c>
      <c r="UDO49" s="375">
        <f t="shared" si="266"/>
        <v>0</v>
      </c>
      <c r="UDP49" s="375">
        <f t="shared" si="266"/>
        <v>0</v>
      </c>
      <c r="UDQ49" s="375">
        <f t="shared" si="266"/>
        <v>0</v>
      </c>
      <c r="UDR49" s="375">
        <f t="shared" si="266"/>
        <v>0</v>
      </c>
      <c r="UDS49" s="375">
        <f t="shared" si="266"/>
        <v>0</v>
      </c>
      <c r="UDT49" s="375">
        <f t="shared" si="266"/>
        <v>0</v>
      </c>
      <c r="UDU49" s="375">
        <f t="shared" si="266"/>
        <v>0</v>
      </c>
      <c r="UDV49" s="375">
        <f t="shared" si="266"/>
        <v>0</v>
      </c>
      <c r="UDW49" s="375">
        <f t="shared" si="266"/>
        <v>0</v>
      </c>
      <c r="UDX49" s="375">
        <f t="shared" si="266"/>
        <v>0</v>
      </c>
      <c r="UDY49" s="375">
        <f t="shared" si="266"/>
        <v>0</v>
      </c>
      <c r="UDZ49" s="375">
        <f t="shared" si="266"/>
        <v>0</v>
      </c>
      <c r="UEA49" s="375">
        <f t="shared" si="266"/>
        <v>0</v>
      </c>
      <c r="UEB49" s="375">
        <f t="shared" si="266"/>
        <v>0</v>
      </c>
      <c r="UEC49" s="375">
        <f t="shared" si="266"/>
        <v>0</v>
      </c>
      <c r="UED49" s="375">
        <f t="shared" si="266"/>
        <v>0</v>
      </c>
      <c r="UEE49" s="375">
        <f t="shared" si="266"/>
        <v>0</v>
      </c>
      <c r="UEF49" s="375">
        <f t="shared" si="266"/>
        <v>0</v>
      </c>
      <c r="UEG49" s="375">
        <f t="shared" si="266"/>
        <v>0</v>
      </c>
      <c r="UEH49" s="375">
        <f t="shared" si="266"/>
        <v>0</v>
      </c>
      <c r="UEI49" s="375">
        <f t="shared" si="266"/>
        <v>0</v>
      </c>
      <c r="UEJ49" s="375">
        <f t="shared" si="266"/>
        <v>0</v>
      </c>
      <c r="UEK49" s="375">
        <f t="shared" ref="UEK49:UGV49" si="267">UEK48*0.8</f>
        <v>0</v>
      </c>
      <c r="UEL49" s="375">
        <f t="shared" si="267"/>
        <v>0</v>
      </c>
      <c r="UEM49" s="375">
        <f t="shared" si="267"/>
        <v>0</v>
      </c>
      <c r="UEN49" s="375">
        <f t="shared" si="267"/>
        <v>0</v>
      </c>
      <c r="UEO49" s="375">
        <f t="shared" si="267"/>
        <v>0</v>
      </c>
      <c r="UEP49" s="375">
        <f t="shared" si="267"/>
        <v>0</v>
      </c>
      <c r="UEQ49" s="375">
        <f t="shared" si="267"/>
        <v>0</v>
      </c>
      <c r="UER49" s="375">
        <f t="shared" si="267"/>
        <v>0</v>
      </c>
      <c r="UES49" s="375">
        <f t="shared" si="267"/>
        <v>0</v>
      </c>
      <c r="UET49" s="375">
        <f t="shared" si="267"/>
        <v>0</v>
      </c>
      <c r="UEU49" s="375">
        <f t="shared" si="267"/>
        <v>0</v>
      </c>
      <c r="UEV49" s="375">
        <f t="shared" si="267"/>
        <v>0</v>
      </c>
      <c r="UEW49" s="375">
        <f t="shared" si="267"/>
        <v>0</v>
      </c>
      <c r="UEX49" s="375">
        <f t="shared" si="267"/>
        <v>0</v>
      </c>
      <c r="UEY49" s="375">
        <f t="shared" si="267"/>
        <v>0</v>
      </c>
      <c r="UEZ49" s="375">
        <f t="shared" si="267"/>
        <v>0</v>
      </c>
      <c r="UFA49" s="375">
        <f t="shared" si="267"/>
        <v>0</v>
      </c>
      <c r="UFB49" s="375">
        <f t="shared" si="267"/>
        <v>0</v>
      </c>
      <c r="UFC49" s="375">
        <f t="shared" si="267"/>
        <v>0</v>
      </c>
      <c r="UFD49" s="375">
        <f t="shared" si="267"/>
        <v>0</v>
      </c>
      <c r="UFE49" s="375">
        <f t="shared" si="267"/>
        <v>0</v>
      </c>
      <c r="UFF49" s="375">
        <f t="shared" si="267"/>
        <v>0</v>
      </c>
      <c r="UFG49" s="375">
        <f t="shared" si="267"/>
        <v>0</v>
      </c>
      <c r="UFH49" s="375">
        <f t="shared" si="267"/>
        <v>0</v>
      </c>
      <c r="UFI49" s="375">
        <f t="shared" si="267"/>
        <v>0</v>
      </c>
      <c r="UFJ49" s="375">
        <f t="shared" si="267"/>
        <v>0</v>
      </c>
      <c r="UFK49" s="375">
        <f t="shared" si="267"/>
        <v>0</v>
      </c>
      <c r="UFL49" s="375">
        <f t="shared" si="267"/>
        <v>0</v>
      </c>
      <c r="UFM49" s="375">
        <f t="shared" si="267"/>
        <v>0</v>
      </c>
      <c r="UFN49" s="375">
        <f t="shared" si="267"/>
        <v>0</v>
      </c>
      <c r="UFO49" s="375">
        <f t="shared" si="267"/>
        <v>0</v>
      </c>
      <c r="UFP49" s="375">
        <f t="shared" si="267"/>
        <v>0</v>
      </c>
      <c r="UFQ49" s="375">
        <f t="shared" si="267"/>
        <v>0</v>
      </c>
      <c r="UFR49" s="375">
        <f t="shared" si="267"/>
        <v>0</v>
      </c>
      <c r="UFS49" s="375">
        <f t="shared" si="267"/>
        <v>0</v>
      </c>
      <c r="UFT49" s="375">
        <f t="shared" si="267"/>
        <v>0</v>
      </c>
      <c r="UFU49" s="375">
        <f t="shared" si="267"/>
        <v>0</v>
      </c>
      <c r="UFV49" s="375">
        <f t="shared" si="267"/>
        <v>0</v>
      </c>
      <c r="UFW49" s="375">
        <f t="shared" si="267"/>
        <v>0</v>
      </c>
      <c r="UFX49" s="375">
        <f t="shared" si="267"/>
        <v>0</v>
      </c>
      <c r="UFY49" s="375">
        <f t="shared" si="267"/>
        <v>0</v>
      </c>
      <c r="UFZ49" s="375">
        <f t="shared" si="267"/>
        <v>0</v>
      </c>
      <c r="UGA49" s="375">
        <f t="shared" si="267"/>
        <v>0</v>
      </c>
      <c r="UGB49" s="375">
        <f t="shared" si="267"/>
        <v>0</v>
      </c>
      <c r="UGC49" s="375">
        <f t="shared" si="267"/>
        <v>0</v>
      </c>
      <c r="UGD49" s="375">
        <f t="shared" si="267"/>
        <v>0</v>
      </c>
      <c r="UGE49" s="375">
        <f t="shared" si="267"/>
        <v>0</v>
      </c>
      <c r="UGF49" s="375">
        <f t="shared" si="267"/>
        <v>0</v>
      </c>
      <c r="UGG49" s="375">
        <f t="shared" si="267"/>
        <v>0</v>
      </c>
      <c r="UGH49" s="375">
        <f t="shared" si="267"/>
        <v>0</v>
      </c>
      <c r="UGI49" s="375">
        <f t="shared" si="267"/>
        <v>0</v>
      </c>
      <c r="UGJ49" s="375">
        <f t="shared" si="267"/>
        <v>0</v>
      </c>
      <c r="UGK49" s="375">
        <f t="shared" si="267"/>
        <v>0</v>
      </c>
      <c r="UGL49" s="375">
        <f t="shared" si="267"/>
        <v>0</v>
      </c>
      <c r="UGM49" s="375">
        <f t="shared" si="267"/>
        <v>0</v>
      </c>
      <c r="UGN49" s="375">
        <f t="shared" si="267"/>
        <v>0</v>
      </c>
      <c r="UGO49" s="375">
        <f t="shared" si="267"/>
        <v>0</v>
      </c>
      <c r="UGP49" s="375">
        <f t="shared" si="267"/>
        <v>0</v>
      </c>
      <c r="UGQ49" s="375">
        <f t="shared" si="267"/>
        <v>0</v>
      </c>
      <c r="UGR49" s="375">
        <f t="shared" si="267"/>
        <v>0</v>
      </c>
      <c r="UGS49" s="375">
        <f t="shared" si="267"/>
        <v>0</v>
      </c>
      <c r="UGT49" s="375">
        <f t="shared" si="267"/>
        <v>0</v>
      </c>
      <c r="UGU49" s="375">
        <f t="shared" si="267"/>
        <v>0</v>
      </c>
      <c r="UGV49" s="375">
        <f t="shared" si="267"/>
        <v>0</v>
      </c>
      <c r="UGW49" s="375">
        <f t="shared" ref="UGW49:UJH49" si="268">UGW48*0.8</f>
        <v>0</v>
      </c>
      <c r="UGX49" s="375">
        <f t="shared" si="268"/>
        <v>0</v>
      </c>
      <c r="UGY49" s="375">
        <f t="shared" si="268"/>
        <v>0</v>
      </c>
      <c r="UGZ49" s="375">
        <f t="shared" si="268"/>
        <v>0</v>
      </c>
      <c r="UHA49" s="375">
        <f t="shared" si="268"/>
        <v>0</v>
      </c>
      <c r="UHB49" s="375">
        <f t="shared" si="268"/>
        <v>0</v>
      </c>
      <c r="UHC49" s="375">
        <f t="shared" si="268"/>
        <v>0</v>
      </c>
      <c r="UHD49" s="375">
        <f t="shared" si="268"/>
        <v>0</v>
      </c>
      <c r="UHE49" s="375">
        <f t="shared" si="268"/>
        <v>0</v>
      </c>
      <c r="UHF49" s="375">
        <f t="shared" si="268"/>
        <v>0</v>
      </c>
      <c r="UHG49" s="375">
        <f t="shared" si="268"/>
        <v>0</v>
      </c>
      <c r="UHH49" s="375">
        <f t="shared" si="268"/>
        <v>0</v>
      </c>
      <c r="UHI49" s="375">
        <f t="shared" si="268"/>
        <v>0</v>
      </c>
      <c r="UHJ49" s="375">
        <f t="shared" si="268"/>
        <v>0</v>
      </c>
      <c r="UHK49" s="375">
        <f t="shared" si="268"/>
        <v>0</v>
      </c>
      <c r="UHL49" s="375">
        <f t="shared" si="268"/>
        <v>0</v>
      </c>
      <c r="UHM49" s="375">
        <f t="shared" si="268"/>
        <v>0</v>
      </c>
      <c r="UHN49" s="375">
        <f t="shared" si="268"/>
        <v>0</v>
      </c>
      <c r="UHO49" s="375">
        <f t="shared" si="268"/>
        <v>0</v>
      </c>
      <c r="UHP49" s="375">
        <f t="shared" si="268"/>
        <v>0</v>
      </c>
      <c r="UHQ49" s="375">
        <f t="shared" si="268"/>
        <v>0</v>
      </c>
      <c r="UHR49" s="375">
        <f t="shared" si="268"/>
        <v>0</v>
      </c>
      <c r="UHS49" s="375">
        <f t="shared" si="268"/>
        <v>0</v>
      </c>
      <c r="UHT49" s="375">
        <f t="shared" si="268"/>
        <v>0</v>
      </c>
      <c r="UHU49" s="375">
        <f t="shared" si="268"/>
        <v>0</v>
      </c>
      <c r="UHV49" s="375">
        <f t="shared" si="268"/>
        <v>0</v>
      </c>
      <c r="UHW49" s="375">
        <f t="shared" si="268"/>
        <v>0</v>
      </c>
      <c r="UHX49" s="375">
        <f t="shared" si="268"/>
        <v>0</v>
      </c>
      <c r="UHY49" s="375">
        <f t="shared" si="268"/>
        <v>0</v>
      </c>
      <c r="UHZ49" s="375">
        <f t="shared" si="268"/>
        <v>0</v>
      </c>
      <c r="UIA49" s="375">
        <f t="shared" si="268"/>
        <v>0</v>
      </c>
      <c r="UIB49" s="375">
        <f t="shared" si="268"/>
        <v>0</v>
      </c>
      <c r="UIC49" s="375">
        <f t="shared" si="268"/>
        <v>0</v>
      </c>
      <c r="UID49" s="375">
        <f t="shared" si="268"/>
        <v>0</v>
      </c>
      <c r="UIE49" s="375">
        <f t="shared" si="268"/>
        <v>0</v>
      </c>
      <c r="UIF49" s="375">
        <f t="shared" si="268"/>
        <v>0</v>
      </c>
      <c r="UIG49" s="375">
        <f t="shared" si="268"/>
        <v>0</v>
      </c>
      <c r="UIH49" s="375">
        <f t="shared" si="268"/>
        <v>0</v>
      </c>
      <c r="UII49" s="375">
        <f t="shared" si="268"/>
        <v>0</v>
      </c>
      <c r="UIJ49" s="375">
        <f t="shared" si="268"/>
        <v>0</v>
      </c>
      <c r="UIK49" s="375">
        <f t="shared" si="268"/>
        <v>0</v>
      </c>
      <c r="UIL49" s="375">
        <f t="shared" si="268"/>
        <v>0</v>
      </c>
      <c r="UIM49" s="375">
        <f t="shared" si="268"/>
        <v>0</v>
      </c>
      <c r="UIN49" s="375">
        <f t="shared" si="268"/>
        <v>0</v>
      </c>
      <c r="UIO49" s="375">
        <f t="shared" si="268"/>
        <v>0</v>
      </c>
      <c r="UIP49" s="375">
        <f t="shared" si="268"/>
        <v>0</v>
      </c>
      <c r="UIQ49" s="375">
        <f t="shared" si="268"/>
        <v>0</v>
      </c>
      <c r="UIR49" s="375">
        <f t="shared" si="268"/>
        <v>0</v>
      </c>
      <c r="UIS49" s="375">
        <f t="shared" si="268"/>
        <v>0</v>
      </c>
      <c r="UIT49" s="375">
        <f t="shared" si="268"/>
        <v>0</v>
      </c>
      <c r="UIU49" s="375">
        <f t="shared" si="268"/>
        <v>0</v>
      </c>
      <c r="UIV49" s="375">
        <f t="shared" si="268"/>
        <v>0</v>
      </c>
      <c r="UIW49" s="375">
        <f t="shared" si="268"/>
        <v>0</v>
      </c>
      <c r="UIX49" s="375">
        <f t="shared" si="268"/>
        <v>0</v>
      </c>
      <c r="UIY49" s="375">
        <f t="shared" si="268"/>
        <v>0</v>
      </c>
      <c r="UIZ49" s="375">
        <f t="shared" si="268"/>
        <v>0</v>
      </c>
      <c r="UJA49" s="375">
        <f t="shared" si="268"/>
        <v>0</v>
      </c>
      <c r="UJB49" s="375">
        <f t="shared" si="268"/>
        <v>0</v>
      </c>
      <c r="UJC49" s="375">
        <f t="shared" si="268"/>
        <v>0</v>
      </c>
      <c r="UJD49" s="375">
        <f t="shared" si="268"/>
        <v>0</v>
      </c>
      <c r="UJE49" s="375">
        <f t="shared" si="268"/>
        <v>0</v>
      </c>
      <c r="UJF49" s="375">
        <f t="shared" si="268"/>
        <v>0</v>
      </c>
      <c r="UJG49" s="375">
        <f t="shared" si="268"/>
        <v>0</v>
      </c>
      <c r="UJH49" s="375">
        <f t="shared" si="268"/>
        <v>0</v>
      </c>
      <c r="UJI49" s="375">
        <f t="shared" ref="UJI49:ULT49" si="269">UJI48*0.8</f>
        <v>0</v>
      </c>
      <c r="UJJ49" s="375">
        <f t="shared" si="269"/>
        <v>0</v>
      </c>
      <c r="UJK49" s="375">
        <f t="shared" si="269"/>
        <v>0</v>
      </c>
      <c r="UJL49" s="375">
        <f t="shared" si="269"/>
        <v>0</v>
      </c>
      <c r="UJM49" s="375">
        <f t="shared" si="269"/>
        <v>0</v>
      </c>
      <c r="UJN49" s="375">
        <f t="shared" si="269"/>
        <v>0</v>
      </c>
      <c r="UJO49" s="375">
        <f t="shared" si="269"/>
        <v>0</v>
      </c>
      <c r="UJP49" s="375">
        <f t="shared" si="269"/>
        <v>0</v>
      </c>
      <c r="UJQ49" s="375">
        <f t="shared" si="269"/>
        <v>0</v>
      </c>
      <c r="UJR49" s="375">
        <f t="shared" si="269"/>
        <v>0</v>
      </c>
      <c r="UJS49" s="375">
        <f t="shared" si="269"/>
        <v>0</v>
      </c>
      <c r="UJT49" s="375">
        <f t="shared" si="269"/>
        <v>0</v>
      </c>
      <c r="UJU49" s="375">
        <f t="shared" si="269"/>
        <v>0</v>
      </c>
      <c r="UJV49" s="375">
        <f t="shared" si="269"/>
        <v>0</v>
      </c>
      <c r="UJW49" s="375">
        <f t="shared" si="269"/>
        <v>0</v>
      </c>
      <c r="UJX49" s="375">
        <f t="shared" si="269"/>
        <v>0</v>
      </c>
      <c r="UJY49" s="375">
        <f t="shared" si="269"/>
        <v>0</v>
      </c>
      <c r="UJZ49" s="375">
        <f t="shared" si="269"/>
        <v>0</v>
      </c>
      <c r="UKA49" s="375">
        <f t="shared" si="269"/>
        <v>0</v>
      </c>
      <c r="UKB49" s="375">
        <f t="shared" si="269"/>
        <v>0</v>
      </c>
      <c r="UKC49" s="375">
        <f t="shared" si="269"/>
        <v>0</v>
      </c>
      <c r="UKD49" s="375">
        <f t="shared" si="269"/>
        <v>0</v>
      </c>
      <c r="UKE49" s="375">
        <f t="shared" si="269"/>
        <v>0</v>
      </c>
      <c r="UKF49" s="375">
        <f t="shared" si="269"/>
        <v>0</v>
      </c>
      <c r="UKG49" s="375">
        <f t="shared" si="269"/>
        <v>0</v>
      </c>
      <c r="UKH49" s="375">
        <f t="shared" si="269"/>
        <v>0</v>
      </c>
      <c r="UKI49" s="375">
        <f t="shared" si="269"/>
        <v>0</v>
      </c>
      <c r="UKJ49" s="375">
        <f t="shared" si="269"/>
        <v>0</v>
      </c>
      <c r="UKK49" s="375">
        <f t="shared" si="269"/>
        <v>0</v>
      </c>
      <c r="UKL49" s="375">
        <f t="shared" si="269"/>
        <v>0</v>
      </c>
      <c r="UKM49" s="375">
        <f t="shared" si="269"/>
        <v>0</v>
      </c>
      <c r="UKN49" s="375">
        <f t="shared" si="269"/>
        <v>0</v>
      </c>
      <c r="UKO49" s="375">
        <f t="shared" si="269"/>
        <v>0</v>
      </c>
      <c r="UKP49" s="375">
        <f t="shared" si="269"/>
        <v>0</v>
      </c>
      <c r="UKQ49" s="375">
        <f t="shared" si="269"/>
        <v>0</v>
      </c>
      <c r="UKR49" s="375">
        <f t="shared" si="269"/>
        <v>0</v>
      </c>
      <c r="UKS49" s="375">
        <f t="shared" si="269"/>
        <v>0</v>
      </c>
      <c r="UKT49" s="375">
        <f t="shared" si="269"/>
        <v>0</v>
      </c>
      <c r="UKU49" s="375">
        <f t="shared" si="269"/>
        <v>0</v>
      </c>
      <c r="UKV49" s="375">
        <f t="shared" si="269"/>
        <v>0</v>
      </c>
      <c r="UKW49" s="375">
        <f t="shared" si="269"/>
        <v>0</v>
      </c>
      <c r="UKX49" s="375">
        <f t="shared" si="269"/>
        <v>0</v>
      </c>
      <c r="UKY49" s="375">
        <f t="shared" si="269"/>
        <v>0</v>
      </c>
      <c r="UKZ49" s="375">
        <f t="shared" si="269"/>
        <v>0</v>
      </c>
      <c r="ULA49" s="375">
        <f t="shared" si="269"/>
        <v>0</v>
      </c>
      <c r="ULB49" s="375">
        <f t="shared" si="269"/>
        <v>0</v>
      </c>
      <c r="ULC49" s="375">
        <f t="shared" si="269"/>
        <v>0</v>
      </c>
      <c r="ULD49" s="375">
        <f t="shared" si="269"/>
        <v>0</v>
      </c>
      <c r="ULE49" s="375">
        <f t="shared" si="269"/>
        <v>0</v>
      </c>
      <c r="ULF49" s="375">
        <f t="shared" si="269"/>
        <v>0</v>
      </c>
      <c r="ULG49" s="375">
        <f t="shared" si="269"/>
        <v>0</v>
      </c>
      <c r="ULH49" s="375">
        <f t="shared" si="269"/>
        <v>0</v>
      </c>
      <c r="ULI49" s="375">
        <f t="shared" si="269"/>
        <v>0</v>
      </c>
      <c r="ULJ49" s="375">
        <f t="shared" si="269"/>
        <v>0</v>
      </c>
      <c r="ULK49" s="375">
        <f t="shared" si="269"/>
        <v>0</v>
      </c>
      <c r="ULL49" s="375">
        <f t="shared" si="269"/>
        <v>0</v>
      </c>
      <c r="ULM49" s="375">
        <f t="shared" si="269"/>
        <v>0</v>
      </c>
      <c r="ULN49" s="375">
        <f t="shared" si="269"/>
        <v>0</v>
      </c>
      <c r="ULO49" s="375">
        <f t="shared" si="269"/>
        <v>0</v>
      </c>
      <c r="ULP49" s="375">
        <f t="shared" si="269"/>
        <v>0</v>
      </c>
      <c r="ULQ49" s="375">
        <f t="shared" si="269"/>
        <v>0</v>
      </c>
      <c r="ULR49" s="375">
        <f t="shared" si="269"/>
        <v>0</v>
      </c>
      <c r="ULS49" s="375">
        <f t="shared" si="269"/>
        <v>0</v>
      </c>
      <c r="ULT49" s="375">
        <f t="shared" si="269"/>
        <v>0</v>
      </c>
      <c r="ULU49" s="375">
        <f t="shared" ref="ULU49:UOF49" si="270">ULU48*0.8</f>
        <v>0</v>
      </c>
      <c r="ULV49" s="375">
        <f t="shared" si="270"/>
        <v>0</v>
      </c>
      <c r="ULW49" s="375">
        <f t="shared" si="270"/>
        <v>0</v>
      </c>
      <c r="ULX49" s="375">
        <f t="shared" si="270"/>
        <v>0</v>
      </c>
      <c r="ULY49" s="375">
        <f t="shared" si="270"/>
        <v>0</v>
      </c>
      <c r="ULZ49" s="375">
        <f t="shared" si="270"/>
        <v>0</v>
      </c>
      <c r="UMA49" s="375">
        <f t="shared" si="270"/>
        <v>0</v>
      </c>
      <c r="UMB49" s="375">
        <f t="shared" si="270"/>
        <v>0</v>
      </c>
      <c r="UMC49" s="375">
        <f t="shared" si="270"/>
        <v>0</v>
      </c>
      <c r="UMD49" s="375">
        <f t="shared" si="270"/>
        <v>0</v>
      </c>
      <c r="UME49" s="375">
        <f t="shared" si="270"/>
        <v>0</v>
      </c>
      <c r="UMF49" s="375">
        <f t="shared" si="270"/>
        <v>0</v>
      </c>
      <c r="UMG49" s="375">
        <f t="shared" si="270"/>
        <v>0</v>
      </c>
      <c r="UMH49" s="375">
        <f t="shared" si="270"/>
        <v>0</v>
      </c>
      <c r="UMI49" s="375">
        <f t="shared" si="270"/>
        <v>0</v>
      </c>
      <c r="UMJ49" s="375">
        <f t="shared" si="270"/>
        <v>0</v>
      </c>
      <c r="UMK49" s="375">
        <f t="shared" si="270"/>
        <v>0</v>
      </c>
      <c r="UML49" s="375">
        <f t="shared" si="270"/>
        <v>0</v>
      </c>
      <c r="UMM49" s="375">
        <f t="shared" si="270"/>
        <v>0</v>
      </c>
      <c r="UMN49" s="375">
        <f t="shared" si="270"/>
        <v>0</v>
      </c>
      <c r="UMO49" s="375">
        <f t="shared" si="270"/>
        <v>0</v>
      </c>
      <c r="UMP49" s="375">
        <f t="shared" si="270"/>
        <v>0</v>
      </c>
      <c r="UMQ49" s="375">
        <f t="shared" si="270"/>
        <v>0</v>
      </c>
      <c r="UMR49" s="375">
        <f t="shared" si="270"/>
        <v>0</v>
      </c>
      <c r="UMS49" s="375">
        <f t="shared" si="270"/>
        <v>0</v>
      </c>
      <c r="UMT49" s="375">
        <f t="shared" si="270"/>
        <v>0</v>
      </c>
      <c r="UMU49" s="375">
        <f t="shared" si="270"/>
        <v>0</v>
      </c>
      <c r="UMV49" s="375">
        <f t="shared" si="270"/>
        <v>0</v>
      </c>
      <c r="UMW49" s="375">
        <f t="shared" si="270"/>
        <v>0</v>
      </c>
      <c r="UMX49" s="375">
        <f t="shared" si="270"/>
        <v>0</v>
      </c>
      <c r="UMY49" s="375">
        <f t="shared" si="270"/>
        <v>0</v>
      </c>
      <c r="UMZ49" s="375">
        <f t="shared" si="270"/>
        <v>0</v>
      </c>
      <c r="UNA49" s="375">
        <f t="shared" si="270"/>
        <v>0</v>
      </c>
      <c r="UNB49" s="375">
        <f t="shared" si="270"/>
        <v>0</v>
      </c>
      <c r="UNC49" s="375">
        <f t="shared" si="270"/>
        <v>0</v>
      </c>
      <c r="UND49" s="375">
        <f t="shared" si="270"/>
        <v>0</v>
      </c>
      <c r="UNE49" s="375">
        <f t="shared" si="270"/>
        <v>0</v>
      </c>
      <c r="UNF49" s="375">
        <f t="shared" si="270"/>
        <v>0</v>
      </c>
      <c r="UNG49" s="375">
        <f t="shared" si="270"/>
        <v>0</v>
      </c>
      <c r="UNH49" s="375">
        <f t="shared" si="270"/>
        <v>0</v>
      </c>
      <c r="UNI49" s="375">
        <f t="shared" si="270"/>
        <v>0</v>
      </c>
      <c r="UNJ49" s="375">
        <f t="shared" si="270"/>
        <v>0</v>
      </c>
      <c r="UNK49" s="375">
        <f t="shared" si="270"/>
        <v>0</v>
      </c>
      <c r="UNL49" s="375">
        <f t="shared" si="270"/>
        <v>0</v>
      </c>
      <c r="UNM49" s="375">
        <f t="shared" si="270"/>
        <v>0</v>
      </c>
      <c r="UNN49" s="375">
        <f t="shared" si="270"/>
        <v>0</v>
      </c>
      <c r="UNO49" s="375">
        <f t="shared" si="270"/>
        <v>0</v>
      </c>
      <c r="UNP49" s="375">
        <f t="shared" si="270"/>
        <v>0</v>
      </c>
      <c r="UNQ49" s="375">
        <f t="shared" si="270"/>
        <v>0</v>
      </c>
      <c r="UNR49" s="375">
        <f t="shared" si="270"/>
        <v>0</v>
      </c>
      <c r="UNS49" s="375">
        <f t="shared" si="270"/>
        <v>0</v>
      </c>
      <c r="UNT49" s="375">
        <f t="shared" si="270"/>
        <v>0</v>
      </c>
      <c r="UNU49" s="375">
        <f t="shared" si="270"/>
        <v>0</v>
      </c>
      <c r="UNV49" s="375">
        <f t="shared" si="270"/>
        <v>0</v>
      </c>
      <c r="UNW49" s="375">
        <f t="shared" si="270"/>
        <v>0</v>
      </c>
      <c r="UNX49" s="375">
        <f t="shared" si="270"/>
        <v>0</v>
      </c>
      <c r="UNY49" s="375">
        <f t="shared" si="270"/>
        <v>0</v>
      </c>
      <c r="UNZ49" s="375">
        <f t="shared" si="270"/>
        <v>0</v>
      </c>
      <c r="UOA49" s="375">
        <f t="shared" si="270"/>
        <v>0</v>
      </c>
      <c r="UOB49" s="375">
        <f t="shared" si="270"/>
        <v>0</v>
      </c>
      <c r="UOC49" s="375">
        <f t="shared" si="270"/>
        <v>0</v>
      </c>
      <c r="UOD49" s="375">
        <f t="shared" si="270"/>
        <v>0</v>
      </c>
      <c r="UOE49" s="375">
        <f t="shared" si="270"/>
        <v>0</v>
      </c>
      <c r="UOF49" s="375">
        <f t="shared" si="270"/>
        <v>0</v>
      </c>
      <c r="UOG49" s="375">
        <f t="shared" ref="UOG49:UQR49" si="271">UOG48*0.8</f>
        <v>0</v>
      </c>
      <c r="UOH49" s="375">
        <f t="shared" si="271"/>
        <v>0</v>
      </c>
      <c r="UOI49" s="375">
        <f t="shared" si="271"/>
        <v>0</v>
      </c>
      <c r="UOJ49" s="375">
        <f t="shared" si="271"/>
        <v>0</v>
      </c>
      <c r="UOK49" s="375">
        <f t="shared" si="271"/>
        <v>0</v>
      </c>
      <c r="UOL49" s="375">
        <f t="shared" si="271"/>
        <v>0</v>
      </c>
      <c r="UOM49" s="375">
        <f t="shared" si="271"/>
        <v>0</v>
      </c>
      <c r="UON49" s="375">
        <f t="shared" si="271"/>
        <v>0</v>
      </c>
      <c r="UOO49" s="375">
        <f t="shared" si="271"/>
        <v>0</v>
      </c>
      <c r="UOP49" s="375">
        <f t="shared" si="271"/>
        <v>0</v>
      </c>
      <c r="UOQ49" s="375">
        <f t="shared" si="271"/>
        <v>0</v>
      </c>
      <c r="UOR49" s="375">
        <f t="shared" si="271"/>
        <v>0</v>
      </c>
      <c r="UOS49" s="375">
        <f t="shared" si="271"/>
        <v>0</v>
      </c>
      <c r="UOT49" s="375">
        <f t="shared" si="271"/>
        <v>0</v>
      </c>
      <c r="UOU49" s="375">
        <f t="shared" si="271"/>
        <v>0</v>
      </c>
      <c r="UOV49" s="375">
        <f t="shared" si="271"/>
        <v>0</v>
      </c>
      <c r="UOW49" s="375">
        <f t="shared" si="271"/>
        <v>0</v>
      </c>
      <c r="UOX49" s="375">
        <f t="shared" si="271"/>
        <v>0</v>
      </c>
      <c r="UOY49" s="375">
        <f t="shared" si="271"/>
        <v>0</v>
      </c>
      <c r="UOZ49" s="375">
        <f t="shared" si="271"/>
        <v>0</v>
      </c>
      <c r="UPA49" s="375">
        <f t="shared" si="271"/>
        <v>0</v>
      </c>
      <c r="UPB49" s="375">
        <f t="shared" si="271"/>
        <v>0</v>
      </c>
      <c r="UPC49" s="375">
        <f t="shared" si="271"/>
        <v>0</v>
      </c>
      <c r="UPD49" s="375">
        <f t="shared" si="271"/>
        <v>0</v>
      </c>
      <c r="UPE49" s="375">
        <f t="shared" si="271"/>
        <v>0</v>
      </c>
      <c r="UPF49" s="375">
        <f t="shared" si="271"/>
        <v>0</v>
      </c>
      <c r="UPG49" s="375">
        <f t="shared" si="271"/>
        <v>0</v>
      </c>
      <c r="UPH49" s="375">
        <f t="shared" si="271"/>
        <v>0</v>
      </c>
      <c r="UPI49" s="375">
        <f t="shared" si="271"/>
        <v>0</v>
      </c>
      <c r="UPJ49" s="375">
        <f t="shared" si="271"/>
        <v>0</v>
      </c>
      <c r="UPK49" s="375">
        <f t="shared" si="271"/>
        <v>0</v>
      </c>
      <c r="UPL49" s="375">
        <f t="shared" si="271"/>
        <v>0</v>
      </c>
      <c r="UPM49" s="375">
        <f t="shared" si="271"/>
        <v>0</v>
      </c>
      <c r="UPN49" s="375">
        <f t="shared" si="271"/>
        <v>0</v>
      </c>
      <c r="UPO49" s="375">
        <f t="shared" si="271"/>
        <v>0</v>
      </c>
      <c r="UPP49" s="375">
        <f t="shared" si="271"/>
        <v>0</v>
      </c>
      <c r="UPQ49" s="375">
        <f t="shared" si="271"/>
        <v>0</v>
      </c>
      <c r="UPR49" s="375">
        <f t="shared" si="271"/>
        <v>0</v>
      </c>
      <c r="UPS49" s="375">
        <f t="shared" si="271"/>
        <v>0</v>
      </c>
      <c r="UPT49" s="375">
        <f t="shared" si="271"/>
        <v>0</v>
      </c>
      <c r="UPU49" s="375">
        <f t="shared" si="271"/>
        <v>0</v>
      </c>
      <c r="UPV49" s="375">
        <f t="shared" si="271"/>
        <v>0</v>
      </c>
      <c r="UPW49" s="375">
        <f t="shared" si="271"/>
        <v>0</v>
      </c>
      <c r="UPX49" s="375">
        <f t="shared" si="271"/>
        <v>0</v>
      </c>
      <c r="UPY49" s="375">
        <f t="shared" si="271"/>
        <v>0</v>
      </c>
      <c r="UPZ49" s="375">
        <f t="shared" si="271"/>
        <v>0</v>
      </c>
      <c r="UQA49" s="375">
        <f t="shared" si="271"/>
        <v>0</v>
      </c>
      <c r="UQB49" s="375">
        <f t="shared" si="271"/>
        <v>0</v>
      </c>
      <c r="UQC49" s="375">
        <f t="shared" si="271"/>
        <v>0</v>
      </c>
      <c r="UQD49" s="375">
        <f t="shared" si="271"/>
        <v>0</v>
      </c>
      <c r="UQE49" s="375">
        <f t="shared" si="271"/>
        <v>0</v>
      </c>
      <c r="UQF49" s="375">
        <f t="shared" si="271"/>
        <v>0</v>
      </c>
      <c r="UQG49" s="375">
        <f t="shared" si="271"/>
        <v>0</v>
      </c>
      <c r="UQH49" s="375">
        <f t="shared" si="271"/>
        <v>0</v>
      </c>
      <c r="UQI49" s="375">
        <f t="shared" si="271"/>
        <v>0</v>
      </c>
      <c r="UQJ49" s="375">
        <f t="shared" si="271"/>
        <v>0</v>
      </c>
      <c r="UQK49" s="375">
        <f t="shared" si="271"/>
        <v>0</v>
      </c>
      <c r="UQL49" s="375">
        <f t="shared" si="271"/>
        <v>0</v>
      </c>
      <c r="UQM49" s="375">
        <f t="shared" si="271"/>
        <v>0</v>
      </c>
      <c r="UQN49" s="375">
        <f t="shared" si="271"/>
        <v>0</v>
      </c>
      <c r="UQO49" s="375">
        <f t="shared" si="271"/>
        <v>0</v>
      </c>
      <c r="UQP49" s="375">
        <f t="shared" si="271"/>
        <v>0</v>
      </c>
      <c r="UQQ49" s="375">
        <f t="shared" si="271"/>
        <v>0</v>
      </c>
      <c r="UQR49" s="375">
        <f t="shared" si="271"/>
        <v>0</v>
      </c>
      <c r="UQS49" s="375">
        <f t="shared" ref="UQS49:UTD49" si="272">UQS48*0.8</f>
        <v>0</v>
      </c>
      <c r="UQT49" s="375">
        <f t="shared" si="272"/>
        <v>0</v>
      </c>
      <c r="UQU49" s="375">
        <f t="shared" si="272"/>
        <v>0</v>
      </c>
      <c r="UQV49" s="375">
        <f t="shared" si="272"/>
        <v>0</v>
      </c>
      <c r="UQW49" s="375">
        <f t="shared" si="272"/>
        <v>0</v>
      </c>
      <c r="UQX49" s="375">
        <f t="shared" si="272"/>
        <v>0</v>
      </c>
      <c r="UQY49" s="375">
        <f t="shared" si="272"/>
        <v>0</v>
      </c>
      <c r="UQZ49" s="375">
        <f t="shared" si="272"/>
        <v>0</v>
      </c>
      <c r="URA49" s="375">
        <f t="shared" si="272"/>
        <v>0</v>
      </c>
      <c r="URB49" s="375">
        <f t="shared" si="272"/>
        <v>0</v>
      </c>
      <c r="URC49" s="375">
        <f t="shared" si="272"/>
        <v>0</v>
      </c>
      <c r="URD49" s="375">
        <f t="shared" si="272"/>
        <v>0</v>
      </c>
      <c r="URE49" s="375">
        <f t="shared" si="272"/>
        <v>0</v>
      </c>
      <c r="URF49" s="375">
        <f t="shared" si="272"/>
        <v>0</v>
      </c>
      <c r="URG49" s="375">
        <f t="shared" si="272"/>
        <v>0</v>
      </c>
      <c r="URH49" s="375">
        <f t="shared" si="272"/>
        <v>0</v>
      </c>
      <c r="URI49" s="375">
        <f t="shared" si="272"/>
        <v>0</v>
      </c>
      <c r="URJ49" s="375">
        <f t="shared" si="272"/>
        <v>0</v>
      </c>
      <c r="URK49" s="375">
        <f t="shared" si="272"/>
        <v>0</v>
      </c>
      <c r="URL49" s="375">
        <f t="shared" si="272"/>
        <v>0</v>
      </c>
      <c r="URM49" s="375">
        <f t="shared" si="272"/>
        <v>0</v>
      </c>
      <c r="URN49" s="375">
        <f t="shared" si="272"/>
        <v>0</v>
      </c>
      <c r="URO49" s="375">
        <f t="shared" si="272"/>
        <v>0</v>
      </c>
      <c r="URP49" s="375">
        <f t="shared" si="272"/>
        <v>0</v>
      </c>
      <c r="URQ49" s="375">
        <f t="shared" si="272"/>
        <v>0</v>
      </c>
      <c r="URR49" s="375">
        <f t="shared" si="272"/>
        <v>0</v>
      </c>
      <c r="URS49" s="375">
        <f t="shared" si="272"/>
        <v>0</v>
      </c>
      <c r="URT49" s="375">
        <f t="shared" si="272"/>
        <v>0</v>
      </c>
      <c r="URU49" s="375">
        <f t="shared" si="272"/>
        <v>0</v>
      </c>
      <c r="URV49" s="375">
        <f t="shared" si="272"/>
        <v>0</v>
      </c>
      <c r="URW49" s="375">
        <f t="shared" si="272"/>
        <v>0</v>
      </c>
      <c r="URX49" s="375">
        <f t="shared" si="272"/>
        <v>0</v>
      </c>
      <c r="URY49" s="375">
        <f t="shared" si="272"/>
        <v>0</v>
      </c>
      <c r="URZ49" s="375">
        <f t="shared" si="272"/>
        <v>0</v>
      </c>
      <c r="USA49" s="375">
        <f t="shared" si="272"/>
        <v>0</v>
      </c>
      <c r="USB49" s="375">
        <f t="shared" si="272"/>
        <v>0</v>
      </c>
      <c r="USC49" s="375">
        <f t="shared" si="272"/>
        <v>0</v>
      </c>
      <c r="USD49" s="375">
        <f t="shared" si="272"/>
        <v>0</v>
      </c>
      <c r="USE49" s="375">
        <f t="shared" si="272"/>
        <v>0</v>
      </c>
      <c r="USF49" s="375">
        <f t="shared" si="272"/>
        <v>0</v>
      </c>
      <c r="USG49" s="375">
        <f t="shared" si="272"/>
        <v>0</v>
      </c>
      <c r="USH49" s="375">
        <f t="shared" si="272"/>
        <v>0</v>
      </c>
      <c r="USI49" s="375">
        <f t="shared" si="272"/>
        <v>0</v>
      </c>
      <c r="USJ49" s="375">
        <f t="shared" si="272"/>
        <v>0</v>
      </c>
      <c r="USK49" s="375">
        <f t="shared" si="272"/>
        <v>0</v>
      </c>
      <c r="USL49" s="375">
        <f t="shared" si="272"/>
        <v>0</v>
      </c>
      <c r="USM49" s="375">
        <f t="shared" si="272"/>
        <v>0</v>
      </c>
      <c r="USN49" s="375">
        <f t="shared" si="272"/>
        <v>0</v>
      </c>
      <c r="USO49" s="375">
        <f t="shared" si="272"/>
        <v>0</v>
      </c>
      <c r="USP49" s="375">
        <f t="shared" si="272"/>
        <v>0</v>
      </c>
      <c r="USQ49" s="375">
        <f t="shared" si="272"/>
        <v>0</v>
      </c>
      <c r="USR49" s="375">
        <f t="shared" si="272"/>
        <v>0</v>
      </c>
      <c r="USS49" s="375">
        <f t="shared" si="272"/>
        <v>0</v>
      </c>
      <c r="UST49" s="375">
        <f t="shared" si="272"/>
        <v>0</v>
      </c>
      <c r="USU49" s="375">
        <f t="shared" si="272"/>
        <v>0</v>
      </c>
      <c r="USV49" s="375">
        <f t="shared" si="272"/>
        <v>0</v>
      </c>
      <c r="USW49" s="375">
        <f t="shared" si="272"/>
        <v>0</v>
      </c>
      <c r="USX49" s="375">
        <f t="shared" si="272"/>
        <v>0</v>
      </c>
      <c r="USY49" s="375">
        <f t="shared" si="272"/>
        <v>0</v>
      </c>
      <c r="USZ49" s="375">
        <f t="shared" si="272"/>
        <v>0</v>
      </c>
      <c r="UTA49" s="375">
        <f t="shared" si="272"/>
        <v>0</v>
      </c>
      <c r="UTB49" s="375">
        <f t="shared" si="272"/>
        <v>0</v>
      </c>
      <c r="UTC49" s="375">
        <f t="shared" si="272"/>
        <v>0</v>
      </c>
      <c r="UTD49" s="375">
        <f t="shared" si="272"/>
        <v>0</v>
      </c>
      <c r="UTE49" s="375">
        <f t="shared" ref="UTE49:UVP49" si="273">UTE48*0.8</f>
        <v>0</v>
      </c>
      <c r="UTF49" s="375">
        <f t="shared" si="273"/>
        <v>0</v>
      </c>
      <c r="UTG49" s="375">
        <f t="shared" si="273"/>
        <v>0</v>
      </c>
      <c r="UTH49" s="375">
        <f t="shared" si="273"/>
        <v>0</v>
      </c>
      <c r="UTI49" s="375">
        <f t="shared" si="273"/>
        <v>0</v>
      </c>
      <c r="UTJ49" s="375">
        <f t="shared" si="273"/>
        <v>0</v>
      </c>
      <c r="UTK49" s="375">
        <f t="shared" si="273"/>
        <v>0</v>
      </c>
      <c r="UTL49" s="375">
        <f t="shared" si="273"/>
        <v>0</v>
      </c>
      <c r="UTM49" s="375">
        <f t="shared" si="273"/>
        <v>0</v>
      </c>
      <c r="UTN49" s="375">
        <f t="shared" si="273"/>
        <v>0</v>
      </c>
      <c r="UTO49" s="375">
        <f t="shared" si="273"/>
        <v>0</v>
      </c>
      <c r="UTP49" s="375">
        <f t="shared" si="273"/>
        <v>0</v>
      </c>
      <c r="UTQ49" s="375">
        <f t="shared" si="273"/>
        <v>0</v>
      </c>
      <c r="UTR49" s="375">
        <f t="shared" si="273"/>
        <v>0</v>
      </c>
      <c r="UTS49" s="375">
        <f t="shared" si="273"/>
        <v>0</v>
      </c>
      <c r="UTT49" s="375">
        <f t="shared" si="273"/>
        <v>0</v>
      </c>
      <c r="UTU49" s="375">
        <f t="shared" si="273"/>
        <v>0</v>
      </c>
      <c r="UTV49" s="375">
        <f t="shared" si="273"/>
        <v>0</v>
      </c>
      <c r="UTW49" s="375">
        <f t="shared" si="273"/>
        <v>0</v>
      </c>
      <c r="UTX49" s="375">
        <f t="shared" si="273"/>
        <v>0</v>
      </c>
      <c r="UTY49" s="375">
        <f t="shared" si="273"/>
        <v>0</v>
      </c>
      <c r="UTZ49" s="375">
        <f t="shared" si="273"/>
        <v>0</v>
      </c>
      <c r="UUA49" s="375">
        <f t="shared" si="273"/>
        <v>0</v>
      </c>
      <c r="UUB49" s="375">
        <f t="shared" si="273"/>
        <v>0</v>
      </c>
      <c r="UUC49" s="375">
        <f t="shared" si="273"/>
        <v>0</v>
      </c>
      <c r="UUD49" s="375">
        <f t="shared" si="273"/>
        <v>0</v>
      </c>
      <c r="UUE49" s="375">
        <f t="shared" si="273"/>
        <v>0</v>
      </c>
      <c r="UUF49" s="375">
        <f t="shared" si="273"/>
        <v>0</v>
      </c>
      <c r="UUG49" s="375">
        <f t="shared" si="273"/>
        <v>0</v>
      </c>
      <c r="UUH49" s="375">
        <f t="shared" si="273"/>
        <v>0</v>
      </c>
      <c r="UUI49" s="375">
        <f t="shared" si="273"/>
        <v>0</v>
      </c>
      <c r="UUJ49" s="375">
        <f t="shared" si="273"/>
        <v>0</v>
      </c>
      <c r="UUK49" s="375">
        <f t="shared" si="273"/>
        <v>0</v>
      </c>
      <c r="UUL49" s="375">
        <f t="shared" si="273"/>
        <v>0</v>
      </c>
      <c r="UUM49" s="375">
        <f t="shared" si="273"/>
        <v>0</v>
      </c>
      <c r="UUN49" s="375">
        <f t="shared" si="273"/>
        <v>0</v>
      </c>
      <c r="UUO49" s="375">
        <f t="shared" si="273"/>
        <v>0</v>
      </c>
      <c r="UUP49" s="375">
        <f t="shared" si="273"/>
        <v>0</v>
      </c>
      <c r="UUQ49" s="375">
        <f t="shared" si="273"/>
        <v>0</v>
      </c>
      <c r="UUR49" s="375">
        <f t="shared" si="273"/>
        <v>0</v>
      </c>
      <c r="UUS49" s="375">
        <f t="shared" si="273"/>
        <v>0</v>
      </c>
      <c r="UUT49" s="375">
        <f t="shared" si="273"/>
        <v>0</v>
      </c>
      <c r="UUU49" s="375">
        <f t="shared" si="273"/>
        <v>0</v>
      </c>
      <c r="UUV49" s="375">
        <f t="shared" si="273"/>
        <v>0</v>
      </c>
      <c r="UUW49" s="375">
        <f t="shared" si="273"/>
        <v>0</v>
      </c>
      <c r="UUX49" s="375">
        <f t="shared" si="273"/>
        <v>0</v>
      </c>
      <c r="UUY49" s="375">
        <f t="shared" si="273"/>
        <v>0</v>
      </c>
      <c r="UUZ49" s="375">
        <f t="shared" si="273"/>
        <v>0</v>
      </c>
      <c r="UVA49" s="375">
        <f t="shared" si="273"/>
        <v>0</v>
      </c>
      <c r="UVB49" s="375">
        <f t="shared" si="273"/>
        <v>0</v>
      </c>
      <c r="UVC49" s="375">
        <f t="shared" si="273"/>
        <v>0</v>
      </c>
      <c r="UVD49" s="375">
        <f t="shared" si="273"/>
        <v>0</v>
      </c>
      <c r="UVE49" s="375">
        <f t="shared" si="273"/>
        <v>0</v>
      </c>
      <c r="UVF49" s="375">
        <f t="shared" si="273"/>
        <v>0</v>
      </c>
      <c r="UVG49" s="375">
        <f t="shared" si="273"/>
        <v>0</v>
      </c>
      <c r="UVH49" s="375">
        <f t="shared" si="273"/>
        <v>0</v>
      </c>
      <c r="UVI49" s="375">
        <f t="shared" si="273"/>
        <v>0</v>
      </c>
      <c r="UVJ49" s="375">
        <f t="shared" si="273"/>
        <v>0</v>
      </c>
      <c r="UVK49" s="375">
        <f t="shared" si="273"/>
        <v>0</v>
      </c>
      <c r="UVL49" s="375">
        <f t="shared" si="273"/>
        <v>0</v>
      </c>
      <c r="UVM49" s="375">
        <f t="shared" si="273"/>
        <v>0</v>
      </c>
      <c r="UVN49" s="375">
        <f t="shared" si="273"/>
        <v>0</v>
      </c>
      <c r="UVO49" s="375">
        <f t="shared" si="273"/>
        <v>0</v>
      </c>
      <c r="UVP49" s="375">
        <f t="shared" si="273"/>
        <v>0</v>
      </c>
      <c r="UVQ49" s="375">
        <f t="shared" ref="UVQ49:UYB49" si="274">UVQ48*0.8</f>
        <v>0</v>
      </c>
      <c r="UVR49" s="375">
        <f t="shared" si="274"/>
        <v>0</v>
      </c>
      <c r="UVS49" s="375">
        <f t="shared" si="274"/>
        <v>0</v>
      </c>
      <c r="UVT49" s="375">
        <f t="shared" si="274"/>
        <v>0</v>
      </c>
      <c r="UVU49" s="375">
        <f t="shared" si="274"/>
        <v>0</v>
      </c>
      <c r="UVV49" s="375">
        <f t="shared" si="274"/>
        <v>0</v>
      </c>
      <c r="UVW49" s="375">
        <f t="shared" si="274"/>
        <v>0</v>
      </c>
      <c r="UVX49" s="375">
        <f t="shared" si="274"/>
        <v>0</v>
      </c>
      <c r="UVY49" s="375">
        <f t="shared" si="274"/>
        <v>0</v>
      </c>
      <c r="UVZ49" s="375">
        <f t="shared" si="274"/>
        <v>0</v>
      </c>
      <c r="UWA49" s="375">
        <f t="shared" si="274"/>
        <v>0</v>
      </c>
      <c r="UWB49" s="375">
        <f t="shared" si="274"/>
        <v>0</v>
      </c>
      <c r="UWC49" s="375">
        <f t="shared" si="274"/>
        <v>0</v>
      </c>
      <c r="UWD49" s="375">
        <f t="shared" si="274"/>
        <v>0</v>
      </c>
      <c r="UWE49" s="375">
        <f t="shared" si="274"/>
        <v>0</v>
      </c>
      <c r="UWF49" s="375">
        <f t="shared" si="274"/>
        <v>0</v>
      </c>
      <c r="UWG49" s="375">
        <f t="shared" si="274"/>
        <v>0</v>
      </c>
      <c r="UWH49" s="375">
        <f t="shared" si="274"/>
        <v>0</v>
      </c>
      <c r="UWI49" s="375">
        <f t="shared" si="274"/>
        <v>0</v>
      </c>
      <c r="UWJ49" s="375">
        <f t="shared" si="274"/>
        <v>0</v>
      </c>
      <c r="UWK49" s="375">
        <f t="shared" si="274"/>
        <v>0</v>
      </c>
      <c r="UWL49" s="375">
        <f t="shared" si="274"/>
        <v>0</v>
      </c>
      <c r="UWM49" s="375">
        <f t="shared" si="274"/>
        <v>0</v>
      </c>
      <c r="UWN49" s="375">
        <f t="shared" si="274"/>
        <v>0</v>
      </c>
      <c r="UWO49" s="375">
        <f t="shared" si="274"/>
        <v>0</v>
      </c>
      <c r="UWP49" s="375">
        <f t="shared" si="274"/>
        <v>0</v>
      </c>
      <c r="UWQ49" s="375">
        <f t="shared" si="274"/>
        <v>0</v>
      </c>
      <c r="UWR49" s="375">
        <f t="shared" si="274"/>
        <v>0</v>
      </c>
      <c r="UWS49" s="375">
        <f t="shared" si="274"/>
        <v>0</v>
      </c>
      <c r="UWT49" s="375">
        <f t="shared" si="274"/>
        <v>0</v>
      </c>
      <c r="UWU49" s="375">
        <f t="shared" si="274"/>
        <v>0</v>
      </c>
      <c r="UWV49" s="375">
        <f t="shared" si="274"/>
        <v>0</v>
      </c>
      <c r="UWW49" s="375">
        <f t="shared" si="274"/>
        <v>0</v>
      </c>
      <c r="UWX49" s="375">
        <f t="shared" si="274"/>
        <v>0</v>
      </c>
      <c r="UWY49" s="375">
        <f t="shared" si="274"/>
        <v>0</v>
      </c>
      <c r="UWZ49" s="375">
        <f t="shared" si="274"/>
        <v>0</v>
      </c>
      <c r="UXA49" s="375">
        <f t="shared" si="274"/>
        <v>0</v>
      </c>
      <c r="UXB49" s="375">
        <f t="shared" si="274"/>
        <v>0</v>
      </c>
      <c r="UXC49" s="375">
        <f t="shared" si="274"/>
        <v>0</v>
      </c>
      <c r="UXD49" s="375">
        <f t="shared" si="274"/>
        <v>0</v>
      </c>
      <c r="UXE49" s="375">
        <f t="shared" si="274"/>
        <v>0</v>
      </c>
      <c r="UXF49" s="375">
        <f t="shared" si="274"/>
        <v>0</v>
      </c>
      <c r="UXG49" s="375">
        <f t="shared" si="274"/>
        <v>0</v>
      </c>
      <c r="UXH49" s="375">
        <f t="shared" si="274"/>
        <v>0</v>
      </c>
      <c r="UXI49" s="375">
        <f t="shared" si="274"/>
        <v>0</v>
      </c>
      <c r="UXJ49" s="375">
        <f t="shared" si="274"/>
        <v>0</v>
      </c>
      <c r="UXK49" s="375">
        <f t="shared" si="274"/>
        <v>0</v>
      </c>
      <c r="UXL49" s="375">
        <f t="shared" si="274"/>
        <v>0</v>
      </c>
      <c r="UXM49" s="375">
        <f t="shared" si="274"/>
        <v>0</v>
      </c>
      <c r="UXN49" s="375">
        <f t="shared" si="274"/>
        <v>0</v>
      </c>
      <c r="UXO49" s="375">
        <f t="shared" si="274"/>
        <v>0</v>
      </c>
      <c r="UXP49" s="375">
        <f t="shared" si="274"/>
        <v>0</v>
      </c>
      <c r="UXQ49" s="375">
        <f t="shared" si="274"/>
        <v>0</v>
      </c>
      <c r="UXR49" s="375">
        <f t="shared" si="274"/>
        <v>0</v>
      </c>
      <c r="UXS49" s="375">
        <f t="shared" si="274"/>
        <v>0</v>
      </c>
      <c r="UXT49" s="375">
        <f t="shared" si="274"/>
        <v>0</v>
      </c>
      <c r="UXU49" s="375">
        <f t="shared" si="274"/>
        <v>0</v>
      </c>
      <c r="UXV49" s="375">
        <f t="shared" si="274"/>
        <v>0</v>
      </c>
      <c r="UXW49" s="375">
        <f t="shared" si="274"/>
        <v>0</v>
      </c>
      <c r="UXX49" s="375">
        <f t="shared" si="274"/>
        <v>0</v>
      </c>
      <c r="UXY49" s="375">
        <f t="shared" si="274"/>
        <v>0</v>
      </c>
      <c r="UXZ49" s="375">
        <f t="shared" si="274"/>
        <v>0</v>
      </c>
      <c r="UYA49" s="375">
        <f t="shared" si="274"/>
        <v>0</v>
      </c>
      <c r="UYB49" s="375">
        <f t="shared" si="274"/>
        <v>0</v>
      </c>
      <c r="UYC49" s="375">
        <f t="shared" ref="UYC49:VAN49" si="275">UYC48*0.8</f>
        <v>0</v>
      </c>
      <c r="UYD49" s="375">
        <f t="shared" si="275"/>
        <v>0</v>
      </c>
      <c r="UYE49" s="375">
        <f t="shared" si="275"/>
        <v>0</v>
      </c>
      <c r="UYF49" s="375">
        <f t="shared" si="275"/>
        <v>0</v>
      </c>
      <c r="UYG49" s="375">
        <f t="shared" si="275"/>
        <v>0</v>
      </c>
      <c r="UYH49" s="375">
        <f t="shared" si="275"/>
        <v>0</v>
      </c>
      <c r="UYI49" s="375">
        <f t="shared" si="275"/>
        <v>0</v>
      </c>
      <c r="UYJ49" s="375">
        <f t="shared" si="275"/>
        <v>0</v>
      </c>
      <c r="UYK49" s="375">
        <f t="shared" si="275"/>
        <v>0</v>
      </c>
      <c r="UYL49" s="375">
        <f t="shared" si="275"/>
        <v>0</v>
      </c>
      <c r="UYM49" s="375">
        <f t="shared" si="275"/>
        <v>0</v>
      </c>
      <c r="UYN49" s="375">
        <f t="shared" si="275"/>
        <v>0</v>
      </c>
      <c r="UYO49" s="375">
        <f t="shared" si="275"/>
        <v>0</v>
      </c>
      <c r="UYP49" s="375">
        <f t="shared" si="275"/>
        <v>0</v>
      </c>
      <c r="UYQ49" s="375">
        <f t="shared" si="275"/>
        <v>0</v>
      </c>
      <c r="UYR49" s="375">
        <f t="shared" si="275"/>
        <v>0</v>
      </c>
      <c r="UYS49" s="375">
        <f t="shared" si="275"/>
        <v>0</v>
      </c>
      <c r="UYT49" s="375">
        <f t="shared" si="275"/>
        <v>0</v>
      </c>
      <c r="UYU49" s="375">
        <f t="shared" si="275"/>
        <v>0</v>
      </c>
      <c r="UYV49" s="375">
        <f t="shared" si="275"/>
        <v>0</v>
      </c>
      <c r="UYW49" s="375">
        <f t="shared" si="275"/>
        <v>0</v>
      </c>
      <c r="UYX49" s="375">
        <f t="shared" si="275"/>
        <v>0</v>
      </c>
      <c r="UYY49" s="375">
        <f t="shared" si="275"/>
        <v>0</v>
      </c>
      <c r="UYZ49" s="375">
        <f t="shared" si="275"/>
        <v>0</v>
      </c>
      <c r="UZA49" s="375">
        <f t="shared" si="275"/>
        <v>0</v>
      </c>
      <c r="UZB49" s="375">
        <f t="shared" si="275"/>
        <v>0</v>
      </c>
      <c r="UZC49" s="375">
        <f t="shared" si="275"/>
        <v>0</v>
      </c>
      <c r="UZD49" s="375">
        <f t="shared" si="275"/>
        <v>0</v>
      </c>
      <c r="UZE49" s="375">
        <f t="shared" si="275"/>
        <v>0</v>
      </c>
      <c r="UZF49" s="375">
        <f t="shared" si="275"/>
        <v>0</v>
      </c>
      <c r="UZG49" s="375">
        <f t="shared" si="275"/>
        <v>0</v>
      </c>
      <c r="UZH49" s="375">
        <f t="shared" si="275"/>
        <v>0</v>
      </c>
      <c r="UZI49" s="375">
        <f t="shared" si="275"/>
        <v>0</v>
      </c>
      <c r="UZJ49" s="375">
        <f t="shared" si="275"/>
        <v>0</v>
      </c>
      <c r="UZK49" s="375">
        <f t="shared" si="275"/>
        <v>0</v>
      </c>
      <c r="UZL49" s="375">
        <f t="shared" si="275"/>
        <v>0</v>
      </c>
      <c r="UZM49" s="375">
        <f t="shared" si="275"/>
        <v>0</v>
      </c>
      <c r="UZN49" s="375">
        <f t="shared" si="275"/>
        <v>0</v>
      </c>
      <c r="UZO49" s="375">
        <f t="shared" si="275"/>
        <v>0</v>
      </c>
      <c r="UZP49" s="375">
        <f t="shared" si="275"/>
        <v>0</v>
      </c>
      <c r="UZQ49" s="375">
        <f t="shared" si="275"/>
        <v>0</v>
      </c>
      <c r="UZR49" s="375">
        <f t="shared" si="275"/>
        <v>0</v>
      </c>
      <c r="UZS49" s="375">
        <f t="shared" si="275"/>
        <v>0</v>
      </c>
      <c r="UZT49" s="375">
        <f t="shared" si="275"/>
        <v>0</v>
      </c>
      <c r="UZU49" s="375">
        <f t="shared" si="275"/>
        <v>0</v>
      </c>
      <c r="UZV49" s="375">
        <f t="shared" si="275"/>
        <v>0</v>
      </c>
      <c r="UZW49" s="375">
        <f t="shared" si="275"/>
        <v>0</v>
      </c>
      <c r="UZX49" s="375">
        <f t="shared" si="275"/>
        <v>0</v>
      </c>
      <c r="UZY49" s="375">
        <f t="shared" si="275"/>
        <v>0</v>
      </c>
      <c r="UZZ49" s="375">
        <f t="shared" si="275"/>
        <v>0</v>
      </c>
      <c r="VAA49" s="375">
        <f t="shared" si="275"/>
        <v>0</v>
      </c>
      <c r="VAB49" s="375">
        <f t="shared" si="275"/>
        <v>0</v>
      </c>
      <c r="VAC49" s="375">
        <f t="shared" si="275"/>
        <v>0</v>
      </c>
      <c r="VAD49" s="375">
        <f t="shared" si="275"/>
        <v>0</v>
      </c>
      <c r="VAE49" s="375">
        <f t="shared" si="275"/>
        <v>0</v>
      </c>
      <c r="VAF49" s="375">
        <f t="shared" si="275"/>
        <v>0</v>
      </c>
      <c r="VAG49" s="375">
        <f t="shared" si="275"/>
        <v>0</v>
      </c>
      <c r="VAH49" s="375">
        <f t="shared" si="275"/>
        <v>0</v>
      </c>
      <c r="VAI49" s="375">
        <f t="shared" si="275"/>
        <v>0</v>
      </c>
      <c r="VAJ49" s="375">
        <f t="shared" si="275"/>
        <v>0</v>
      </c>
      <c r="VAK49" s="375">
        <f t="shared" si="275"/>
        <v>0</v>
      </c>
      <c r="VAL49" s="375">
        <f t="shared" si="275"/>
        <v>0</v>
      </c>
      <c r="VAM49" s="375">
        <f t="shared" si="275"/>
        <v>0</v>
      </c>
      <c r="VAN49" s="375">
        <f t="shared" si="275"/>
        <v>0</v>
      </c>
      <c r="VAO49" s="375">
        <f t="shared" ref="VAO49:VCZ49" si="276">VAO48*0.8</f>
        <v>0</v>
      </c>
      <c r="VAP49" s="375">
        <f t="shared" si="276"/>
        <v>0</v>
      </c>
      <c r="VAQ49" s="375">
        <f t="shared" si="276"/>
        <v>0</v>
      </c>
      <c r="VAR49" s="375">
        <f t="shared" si="276"/>
        <v>0</v>
      </c>
      <c r="VAS49" s="375">
        <f t="shared" si="276"/>
        <v>0</v>
      </c>
      <c r="VAT49" s="375">
        <f t="shared" si="276"/>
        <v>0</v>
      </c>
      <c r="VAU49" s="375">
        <f t="shared" si="276"/>
        <v>0</v>
      </c>
      <c r="VAV49" s="375">
        <f t="shared" si="276"/>
        <v>0</v>
      </c>
      <c r="VAW49" s="375">
        <f t="shared" si="276"/>
        <v>0</v>
      </c>
      <c r="VAX49" s="375">
        <f t="shared" si="276"/>
        <v>0</v>
      </c>
      <c r="VAY49" s="375">
        <f t="shared" si="276"/>
        <v>0</v>
      </c>
      <c r="VAZ49" s="375">
        <f t="shared" si="276"/>
        <v>0</v>
      </c>
      <c r="VBA49" s="375">
        <f t="shared" si="276"/>
        <v>0</v>
      </c>
      <c r="VBB49" s="375">
        <f t="shared" si="276"/>
        <v>0</v>
      </c>
      <c r="VBC49" s="375">
        <f t="shared" si="276"/>
        <v>0</v>
      </c>
      <c r="VBD49" s="375">
        <f t="shared" si="276"/>
        <v>0</v>
      </c>
      <c r="VBE49" s="375">
        <f t="shared" si="276"/>
        <v>0</v>
      </c>
      <c r="VBF49" s="375">
        <f t="shared" si="276"/>
        <v>0</v>
      </c>
      <c r="VBG49" s="375">
        <f t="shared" si="276"/>
        <v>0</v>
      </c>
      <c r="VBH49" s="375">
        <f t="shared" si="276"/>
        <v>0</v>
      </c>
      <c r="VBI49" s="375">
        <f t="shared" si="276"/>
        <v>0</v>
      </c>
      <c r="VBJ49" s="375">
        <f t="shared" si="276"/>
        <v>0</v>
      </c>
      <c r="VBK49" s="375">
        <f t="shared" si="276"/>
        <v>0</v>
      </c>
      <c r="VBL49" s="375">
        <f t="shared" si="276"/>
        <v>0</v>
      </c>
      <c r="VBM49" s="375">
        <f t="shared" si="276"/>
        <v>0</v>
      </c>
      <c r="VBN49" s="375">
        <f t="shared" si="276"/>
        <v>0</v>
      </c>
      <c r="VBO49" s="375">
        <f t="shared" si="276"/>
        <v>0</v>
      </c>
      <c r="VBP49" s="375">
        <f t="shared" si="276"/>
        <v>0</v>
      </c>
      <c r="VBQ49" s="375">
        <f t="shared" si="276"/>
        <v>0</v>
      </c>
      <c r="VBR49" s="375">
        <f t="shared" si="276"/>
        <v>0</v>
      </c>
      <c r="VBS49" s="375">
        <f t="shared" si="276"/>
        <v>0</v>
      </c>
      <c r="VBT49" s="375">
        <f t="shared" si="276"/>
        <v>0</v>
      </c>
      <c r="VBU49" s="375">
        <f t="shared" si="276"/>
        <v>0</v>
      </c>
      <c r="VBV49" s="375">
        <f t="shared" si="276"/>
        <v>0</v>
      </c>
      <c r="VBW49" s="375">
        <f t="shared" si="276"/>
        <v>0</v>
      </c>
      <c r="VBX49" s="375">
        <f t="shared" si="276"/>
        <v>0</v>
      </c>
      <c r="VBY49" s="375">
        <f t="shared" si="276"/>
        <v>0</v>
      </c>
      <c r="VBZ49" s="375">
        <f t="shared" si="276"/>
        <v>0</v>
      </c>
      <c r="VCA49" s="375">
        <f t="shared" si="276"/>
        <v>0</v>
      </c>
      <c r="VCB49" s="375">
        <f t="shared" si="276"/>
        <v>0</v>
      </c>
      <c r="VCC49" s="375">
        <f t="shared" si="276"/>
        <v>0</v>
      </c>
      <c r="VCD49" s="375">
        <f t="shared" si="276"/>
        <v>0</v>
      </c>
      <c r="VCE49" s="375">
        <f t="shared" si="276"/>
        <v>0</v>
      </c>
      <c r="VCF49" s="375">
        <f t="shared" si="276"/>
        <v>0</v>
      </c>
      <c r="VCG49" s="375">
        <f t="shared" si="276"/>
        <v>0</v>
      </c>
      <c r="VCH49" s="375">
        <f t="shared" si="276"/>
        <v>0</v>
      </c>
      <c r="VCI49" s="375">
        <f t="shared" si="276"/>
        <v>0</v>
      </c>
      <c r="VCJ49" s="375">
        <f t="shared" si="276"/>
        <v>0</v>
      </c>
      <c r="VCK49" s="375">
        <f t="shared" si="276"/>
        <v>0</v>
      </c>
      <c r="VCL49" s="375">
        <f t="shared" si="276"/>
        <v>0</v>
      </c>
      <c r="VCM49" s="375">
        <f t="shared" si="276"/>
        <v>0</v>
      </c>
      <c r="VCN49" s="375">
        <f t="shared" si="276"/>
        <v>0</v>
      </c>
      <c r="VCO49" s="375">
        <f t="shared" si="276"/>
        <v>0</v>
      </c>
      <c r="VCP49" s="375">
        <f t="shared" si="276"/>
        <v>0</v>
      </c>
      <c r="VCQ49" s="375">
        <f t="shared" si="276"/>
        <v>0</v>
      </c>
      <c r="VCR49" s="375">
        <f t="shared" si="276"/>
        <v>0</v>
      </c>
      <c r="VCS49" s="375">
        <f t="shared" si="276"/>
        <v>0</v>
      </c>
      <c r="VCT49" s="375">
        <f t="shared" si="276"/>
        <v>0</v>
      </c>
      <c r="VCU49" s="375">
        <f t="shared" si="276"/>
        <v>0</v>
      </c>
      <c r="VCV49" s="375">
        <f t="shared" si="276"/>
        <v>0</v>
      </c>
      <c r="VCW49" s="375">
        <f t="shared" si="276"/>
        <v>0</v>
      </c>
      <c r="VCX49" s="375">
        <f t="shared" si="276"/>
        <v>0</v>
      </c>
      <c r="VCY49" s="375">
        <f t="shared" si="276"/>
        <v>0</v>
      </c>
      <c r="VCZ49" s="375">
        <f t="shared" si="276"/>
        <v>0</v>
      </c>
      <c r="VDA49" s="375">
        <f t="shared" ref="VDA49:VFL49" si="277">VDA48*0.8</f>
        <v>0</v>
      </c>
      <c r="VDB49" s="375">
        <f t="shared" si="277"/>
        <v>0</v>
      </c>
      <c r="VDC49" s="375">
        <f t="shared" si="277"/>
        <v>0</v>
      </c>
      <c r="VDD49" s="375">
        <f t="shared" si="277"/>
        <v>0</v>
      </c>
      <c r="VDE49" s="375">
        <f t="shared" si="277"/>
        <v>0</v>
      </c>
      <c r="VDF49" s="375">
        <f t="shared" si="277"/>
        <v>0</v>
      </c>
      <c r="VDG49" s="375">
        <f t="shared" si="277"/>
        <v>0</v>
      </c>
      <c r="VDH49" s="375">
        <f t="shared" si="277"/>
        <v>0</v>
      </c>
      <c r="VDI49" s="375">
        <f t="shared" si="277"/>
        <v>0</v>
      </c>
      <c r="VDJ49" s="375">
        <f t="shared" si="277"/>
        <v>0</v>
      </c>
      <c r="VDK49" s="375">
        <f t="shared" si="277"/>
        <v>0</v>
      </c>
      <c r="VDL49" s="375">
        <f t="shared" si="277"/>
        <v>0</v>
      </c>
      <c r="VDM49" s="375">
        <f t="shared" si="277"/>
        <v>0</v>
      </c>
      <c r="VDN49" s="375">
        <f t="shared" si="277"/>
        <v>0</v>
      </c>
      <c r="VDO49" s="375">
        <f t="shared" si="277"/>
        <v>0</v>
      </c>
      <c r="VDP49" s="375">
        <f t="shared" si="277"/>
        <v>0</v>
      </c>
      <c r="VDQ49" s="375">
        <f t="shared" si="277"/>
        <v>0</v>
      </c>
      <c r="VDR49" s="375">
        <f t="shared" si="277"/>
        <v>0</v>
      </c>
      <c r="VDS49" s="375">
        <f t="shared" si="277"/>
        <v>0</v>
      </c>
      <c r="VDT49" s="375">
        <f t="shared" si="277"/>
        <v>0</v>
      </c>
      <c r="VDU49" s="375">
        <f t="shared" si="277"/>
        <v>0</v>
      </c>
      <c r="VDV49" s="375">
        <f t="shared" si="277"/>
        <v>0</v>
      </c>
      <c r="VDW49" s="375">
        <f t="shared" si="277"/>
        <v>0</v>
      </c>
      <c r="VDX49" s="375">
        <f t="shared" si="277"/>
        <v>0</v>
      </c>
      <c r="VDY49" s="375">
        <f t="shared" si="277"/>
        <v>0</v>
      </c>
      <c r="VDZ49" s="375">
        <f t="shared" si="277"/>
        <v>0</v>
      </c>
      <c r="VEA49" s="375">
        <f t="shared" si="277"/>
        <v>0</v>
      </c>
      <c r="VEB49" s="375">
        <f t="shared" si="277"/>
        <v>0</v>
      </c>
      <c r="VEC49" s="375">
        <f t="shared" si="277"/>
        <v>0</v>
      </c>
      <c r="VED49" s="375">
        <f t="shared" si="277"/>
        <v>0</v>
      </c>
      <c r="VEE49" s="375">
        <f t="shared" si="277"/>
        <v>0</v>
      </c>
      <c r="VEF49" s="375">
        <f t="shared" si="277"/>
        <v>0</v>
      </c>
      <c r="VEG49" s="375">
        <f t="shared" si="277"/>
        <v>0</v>
      </c>
      <c r="VEH49" s="375">
        <f t="shared" si="277"/>
        <v>0</v>
      </c>
      <c r="VEI49" s="375">
        <f t="shared" si="277"/>
        <v>0</v>
      </c>
      <c r="VEJ49" s="375">
        <f t="shared" si="277"/>
        <v>0</v>
      </c>
      <c r="VEK49" s="375">
        <f t="shared" si="277"/>
        <v>0</v>
      </c>
      <c r="VEL49" s="375">
        <f t="shared" si="277"/>
        <v>0</v>
      </c>
      <c r="VEM49" s="375">
        <f t="shared" si="277"/>
        <v>0</v>
      </c>
      <c r="VEN49" s="375">
        <f t="shared" si="277"/>
        <v>0</v>
      </c>
      <c r="VEO49" s="375">
        <f t="shared" si="277"/>
        <v>0</v>
      </c>
      <c r="VEP49" s="375">
        <f t="shared" si="277"/>
        <v>0</v>
      </c>
      <c r="VEQ49" s="375">
        <f t="shared" si="277"/>
        <v>0</v>
      </c>
      <c r="VER49" s="375">
        <f t="shared" si="277"/>
        <v>0</v>
      </c>
      <c r="VES49" s="375">
        <f t="shared" si="277"/>
        <v>0</v>
      </c>
      <c r="VET49" s="375">
        <f t="shared" si="277"/>
        <v>0</v>
      </c>
      <c r="VEU49" s="375">
        <f t="shared" si="277"/>
        <v>0</v>
      </c>
      <c r="VEV49" s="375">
        <f t="shared" si="277"/>
        <v>0</v>
      </c>
      <c r="VEW49" s="375">
        <f t="shared" si="277"/>
        <v>0</v>
      </c>
      <c r="VEX49" s="375">
        <f t="shared" si="277"/>
        <v>0</v>
      </c>
      <c r="VEY49" s="375">
        <f t="shared" si="277"/>
        <v>0</v>
      </c>
      <c r="VEZ49" s="375">
        <f t="shared" si="277"/>
        <v>0</v>
      </c>
      <c r="VFA49" s="375">
        <f t="shared" si="277"/>
        <v>0</v>
      </c>
      <c r="VFB49" s="375">
        <f t="shared" si="277"/>
        <v>0</v>
      </c>
      <c r="VFC49" s="375">
        <f t="shared" si="277"/>
        <v>0</v>
      </c>
      <c r="VFD49" s="375">
        <f t="shared" si="277"/>
        <v>0</v>
      </c>
      <c r="VFE49" s="375">
        <f t="shared" si="277"/>
        <v>0</v>
      </c>
      <c r="VFF49" s="375">
        <f t="shared" si="277"/>
        <v>0</v>
      </c>
      <c r="VFG49" s="375">
        <f t="shared" si="277"/>
        <v>0</v>
      </c>
      <c r="VFH49" s="375">
        <f t="shared" si="277"/>
        <v>0</v>
      </c>
      <c r="VFI49" s="375">
        <f t="shared" si="277"/>
        <v>0</v>
      </c>
      <c r="VFJ49" s="375">
        <f t="shared" si="277"/>
        <v>0</v>
      </c>
      <c r="VFK49" s="375">
        <f t="shared" si="277"/>
        <v>0</v>
      </c>
      <c r="VFL49" s="375">
        <f t="shared" si="277"/>
        <v>0</v>
      </c>
      <c r="VFM49" s="375">
        <f t="shared" ref="VFM49:VHX49" si="278">VFM48*0.8</f>
        <v>0</v>
      </c>
      <c r="VFN49" s="375">
        <f t="shared" si="278"/>
        <v>0</v>
      </c>
      <c r="VFO49" s="375">
        <f t="shared" si="278"/>
        <v>0</v>
      </c>
      <c r="VFP49" s="375">
        <f t="shared" si="278"/>
        <v>0</v>
      </c>
      <c r="VFQ49" s="375">
        <f t="shared" si="278"/>
        <v>0</v>
      </c>
      <c r="VFR49" s="375">
        <f t="shared" si="278"/>
        <v>0</v>
      </c>
      <c r="VFS49" s="375">
        <f t="shared" si="278"/>
        <v>0</v>
      </c>
      <c r="VFT49" s="375">
        <f t="shared" si="278"/>
        <v>0</v>
      </c>
      <c r="VFU49" s="375">
        <f t="shared" si="278"/>
        <v>0</v>
      </c>
      <c r="VFV49" s="375">
        <f t="shared" si="278"/>
        <v>0</v>
      </c>
      <c r="VFW49" s="375">
        <f t="shared" si="278"/>
        <v>0</v>
      </c>
      <c r="VFX49" s="375">
        <f t="shared" si="278"/>
        <v>0</v>
      </c>
      <c r="VFY49" s="375">
        <f t="shared" si="278"/>
        <v>0</v>
      </c>
      <c r="VFZ49" s="375">
        <f t="shared" si="278"/>
        <v>0</v>
      </c>
      <c r="VGA49" s="375">
        <f t="shared" si="278"/>
        <v>0</v>
      </c>
      <c r="VGB49" s="375">
        <f t="shared" si="278"/>
        <v>0</v>
      </c>
      <c r="VGC49" s="375">
        <f t="shared" si="278"/>
        <v>0</v>
      </c>
      <c r="VGD49" s="375">
        <f t="shared" si="278"/>
        <v>0</v>
      </c>
      <c r="VGE49" s="375">
        <f t="shared" si="278"/>
        <v>0</v>
      </c>
      <c r="VGF49" s="375">
        <f t="shared" si="278"/>
        <v>0</v>
      </c>
      <c r="VGG49" s="375">
        <f t="shared" si="278"/>
        <v>0</v>
      </c>
      <c r="VGH49" s="375">
        <f t="shared" si="278"/>
        <v>0</v>
      </c>
      <c r="VGI49" s="375">
        <f t="shared" si="278"/>
        <v>0</v>
      </c>
      <c r="VGJ49" s="375">
        <f t="shared" si="278"/>
        <v>0</v>
      </c>
      <c r="VGK49" s="375">
        <f t="shared" si="278"/>
        <v>0</v>
      </c>
      <c r="VGL49" s="375">
        <f t="shared" si="278"/>
        <v>0</v>
      </c>
      <c r="VGM49" s="375">
        <f t="shared" si="278"/>
        <v>0</v>
      </c>
      <c r="VGN49" s="375">
        <f t="shared" si="278"/>
        <v>0</v>
      </c>
      <c r="VGO49" s="375">
        <f t="shared" si="278"/>
        <v>0</v>
      </c>
      <c r="VGP49" s="375">
        <f t="shared" si="278"/>
        <v>0</v>
      </c>
      <c r="VGQ49" s="375">
        <f t="shared" si="278"/>
        <v>0</v>
      </c>
      <c r="VGR49" s="375">
        <f t="shared" si="278"/>
        <v>0</v>
      </c>
      <c r="VGS49" s="375">
        <f t="shared" si="278"/>
        <v>0</v>
      </c>
      <c r="VGT49" s="375">
        <f t="shared" si="278"/>
        <v>0</v>
      </c>
      <c r="VGU49" s="375">
        <f t="shared" si="278"/>
        <v>0</v>
      </c>
      <c r="VGV49" s="375">
        <f t="shared" si="278"/>
        <v>0</v>
      </c>
      <c r="VGW49" s="375">
        <f t="shared" si="278"/>
        <v>0</v>
      </c>
      <c r="VGX49" s="375">
        <f t="shared" si="278"/>
        <v>0</v>
      </c>
      <c r="VGY49" s="375">
        <f t="shared" si="278"/>
        <v>0</v>
      </c>
      <c r="VGZ49" s="375">
        <f t="shared" si="278"/>
        <v>0</v>
      </c>
      <c r="VHA49" s="375">
        <f t="shared" si="278"/>
        <v>0</v>
      </c>
      <c r="VHB49" s="375">
        <f t="shared" si="278"/>
        <v>0</v>
      </c>
      <c r="VHC49" s="375">
        <f t="shared" si="278"/>
        <v>0</v>
      </c>
      <c r="VHD49" s="375">
        <f t="shared" si="278"/>
        <v>0</v>
      </c>
      <c r="VHE49" s="375">
        <f t="shared" si="278"/>
        <v>0</v>
      </c>
      <c r="VHF49" s="375">
        <f t="shared" si="278"/>
        <v>0</v>
      </c>
      <c r="VHG49" s="375">
        <f t="shared" si="278"/>
        <v>0</v>
      </c>
      <c r="VHH49" s="375">
        <f t="shared" si="278"/>
        <v>0</v>
      </c>
      <c r="VHI49" s="375">
        <f t="shared" si="278"/>
        <v>0</v>
      </c>
      <c r="VHJ49" s="375">
        <f t="shared" si="278"/>
        <v>0</v>
      </c>
      <c r="VHK49" s="375">
        <f t="shared" si="278"/>
        <v>0</v>
      </c>
      <c r="VHL49" s="375">
        <f t="shared" si="278"/>
        <v>0</v>
      </c>
      <c r="VHM49" s="375">
        <f t="shared" si="278"/>
        <v>0</v>
      </c>
      <c r="VHN49" s="375">
        <f t="shared" si="278"/>
        <v>0</v>
      </c>
      <c r="VHO49" s="375">
        <f t="shared" si="278"/>
        <v>0</v>
      </c>
      <c r="VHP49" s="375">
        <f t="shared" si="278"/>
        <v>0</v>
      </c>
      <c r="VHQ49" s="375">
        <f t="shared" si="278"/>
        <v>0</v>
      </c>
      <c r="VHR49" s="375">
        <f t="shared" si="278"/>
        <v>0</v>
      </c>
      <c r="VHS49" s="375">
        <f t="shared" si="278"/>
        <v>0</v>
      </c>
      <c r="VHT49" s="375">
        <f t="shared" si="278"/>
        <v>0</v>
      </c>
      <c r="VHU49" s="375">
        <f t="shared" si="278"/>
        <v>0</v>
      </c>
      <c r="VHV49" s="375">
        <f t="shared" si="278"/>
        <v>0</v>
      </c>
      <c r="VHW49" s="375">
        <f t="shared" si="278"/>
        <v>0</v>
      </c>
      <c r="VHX49" s="375">
        <f t="shared" si="278"/>
        <v>0</v>
      </c>
      <c r="VHY49" s="375">
        <f t="shared" ref="VHY49:VKJ49" si="279">VHY48*0.8</f>
        <v>0</v>
      </c>
      <c r="VHZ49" s="375">
        <f t="shared" si="279"/>
        <v>0</v>
      </c>
      <c r="VIA49" s="375">
        <f t="shared" si="279"/>
        <v>0</v>
      </c>
      <c r="VIB49" s="375">
        <f t="shared" si="279"/>
        <v>0</v>
      </c>
      <c r="VIC49" s="375">
        <f t="shared" si="279"/>
        <v>0</v>
      </c>
      <c r="VID49" s="375">
        <f t="shared" si="279"/>
        <v>0</v>
      </c>
      <c r="VIE49" s="375">
        <f t="shared" si="279"/>
        <v>0</v>
      </c>
      <c r="VIF49" s="375">
        <f t="shared" si="279"/>
        <v>0</v>
      </c>
      <c r="VIG49" s="375">
        <f t="shared" si="279"/>
        <v>0</v>
      </c>
      <c r="VIH49" s="375">
        <f t="shared" si="279"/>
        <v>0</v>
      </c>
      <c r="VII49" s="375">
        <f t="shared" si="279"/>
        <v>0</v>
      </c>
      <c r="VIJ49" s="375">
        <f t="shared" si="279"/>
        <v>0</v>
      </c>
      <c r="VIK49" s="375">
        <f t="shared" si="279"/>
        <v>0</v>
      </c>
      <c r="VIL49" s="375">
        <f t="shared" si="279"/>
        <v>0</v>
      </c>
      <c r="VIM49" s="375">
        <f t="shared" si="279"/>
        <v>0</v>
      </c>
      <c r="VIN49" s="375">
        <f t="shared" si="279"/>
        <v>0</v>
      </c>
      <c r="VIO49" s="375">
        <f t="shared" si="279"/>
        <v>0</v>
      </c>
      <c r="VIP49" s="375">
        <f t="shared" si="279"/>
        <v>0</v>
      </c>
      <c r="VIQ49" s="375">
        <f t="shared" si="279"/>
        <v>0</v>
      </c>
      <c r="VIR49" s="375">
        <f t="shared" si="279"/>
        <v>0</v>
      </c>
      <c r="VIS49" s="375">
        <f t="shared" si="279"/>
        <v>0</v>
      </c>
      <c r="VIT49" s="375">
        <f t="shared" si="279"/>
        <v>0</v>
      </c>
      <c r="VIU49" s="375">
        <f t="shared" si="279"/>
        <v>0</v>
      </c>
      <c r="VIV49" s="375">
        <f t="shared" si="279"/>
        <v>0</v>
      </c>
      <c r="VIW49" s="375">
        <f t="shared" si="279"/>
        <v>0</v>
      </c>
      <c r="VIX49" s="375">
        <f t="shared" si="279"/>
        <v>0</v>
      </c>
      <c r="VIY49" s="375">
        <f t="shared" si="279"/>
        <v>0</v>
      </c>
      <c r="VIZ49" s="375">
        <f t="shared" si="279"/>
        <v>0</v>
      </c>
      <c r="VJA49" s="375">
        <f t="shared" si="279"/>
        <v>0</v>
      </c>
      <c r="VJB49" s="375">
        <f t="shared" si="279"/>
        <v>0</v>
      </c>
      <c r="VJC49" s="375">
        <f t="shared" si="279"/>
        <v>0</v>
      </c>
      <c r="VJD49" s="375">
        <f t="shared" si="279"/>
        <v>0</v>
      </c>
      <c r="VJE49" s="375">
        <f t="shared" si="279"/>
        <v>0</v>
      </c>
      <c r="VJF49" s="375">
        <f t="shared" si="279"/>
        <v>0</v>
      </c>
      <c r="VJG49" s="375">
        <f t="shared" si="279"/>
        <v>0</v>
      </c>
      <c r="VJH49" s="375">
        <f t="shared" si="279"/>
        <v>0</v>
      </c>
      <c r="VJI49" s="375">
        <f t="shared" si="279"/>
        <v>0</v>
      </c>
      <c r="VJJ49" s="375">
        <f t="shared" si="279"/>
        <v>0</v>
      </c>
      <c r="VJK49" s="375">
        <f t="shared" si="279"/>
        <v>0</v>
      </c>
      <c r="VJL49" s="375">
        <f t="shared" si="279"/>
        <v>0</v>
      </c>
      <c r="VJM49" s="375">
        <f t="shared" si="279"/>
        <v>0</v>
      </c>
      <c r="VJN49" s="375">
        <f t="shared" si="279"/>
        <v>0</v>
      </c>
      <c r="VJO49" s="375">
        <f t="shared" si="279"/>
        <v>0</v>
      </c>
      <c r="VJP49" s="375">
        <f t="shared" si="279"/>
        <v>0</v>
      </c>
      <c r="VJQ49" s="375">
        <f t="shared" si="279"/>
        <v>0</v>
      </c>
      <c r="VJR49" s="375">
        <f t="shared" si="279"/>
        <v>0</v>
      </c>
      <c r="VJS49" s="375">
        <f t="shared" si="279"/>
        <v>0</v>
      </c>
      <c r="VJT49" s="375">
        <f t="shared" si="279"/>
        <v>0</v>
      </c>
      <c r="VJU49" s="375">
        <f t="shared" si="279"/>
        <v>0</v>
      </c>
      <c r="VJV49" s="375">
        <f t="shared" si="279"/>
        <v>0</v>
      </c>
      <c r="VJW49" s="375">
        <f t="shared" si="279"/>
        <v>0</v>
      </c>
      <c r="VJX49" s="375">
        <f t="shared" si="279"/>
        <v>0</v>
      </c>
      <c r="VJY49" s="375">
        <f t="shared" si="279"/>
        <v>0</v>
      </c>
      <c r="VJZ49" s="375">
        <f t="shared" si="279"/>
        <v>0</v>
      </c>
      <c r="VKA49" s="375">
        <f t="shared" si="279"/>
        <v>0</v>
      </c>
      <c r="VKB49" s="375">
        <f t="shared" si="279"/>
        <v>0</v>
      </c>
      <c r="VKC49" s="375">
        <f t="shared" si="279"/>
        <v>0</v>
      </c>
      <c r="VKD49" s="375">
        <f t="shared" si="279"/>
        <v>0</v>
      </c>
      <c r="VKE49" s="375">
        <f t="shared" si="279"/>
        <v>0</v>
      </c>
      <c r="VKF49" s="375">
        <f t="shared" si="279"/>
        <v>0</v>
      </c>
      <c r="VKG49" s="375">
        <f t="shared" si="279"/>
        <v>0</v>
      </c>
      <c r="VKH49" s="375">
        <f t="shared" si="279"/>
        <v>0</v>
      </c>
      <c r="VKI49" s="375">
        <f t="shared" si="279"/>
        <v>0</v>
      </c>
      <c r="VKJ49" s="375">
        <f t="shared" si="279"/>
        <v>0</v>
      </c>
      <c r="VKK49" s="375">
        <f t="shared" ref="VKK49:VMV49" si="280">VKK48*0.8</f>
        <v>0</v>
      </c>
      <c r="VKL49" s="375">
        <f t="shared" si="280"/>
        <v>0</v>
      </c>
      <c r="VKM49" s="375">
        <f t="shared" si="280"/>
        <v>0</v>
      </c>
      <c r="VKN49" s="375">
        <f t="shared" si="280"/>
        <v>0</v>
      </c>
      <c r="VKO49" s="375">
        <f t="shared" si="280"/>
        <v>0</v>
      </c>
      <c r="VKP49" s="375">
        <f t="shared" si="280"/>
        <v>0</v>
      </c>
      <c r="VKQ49" s="375">
        <f t="shared" si="280"/>
        <v>0</v>
      </c>
      <c r="VKR49" s="375">
        <f t="shared" si="280"/>
        <v>0</v>
      </c>
      <c r="VKS49" s="375">
        <f t="shared" si="280"/>
        <v>0</v>
      </c>
      <c r="VKT49" s="375">
        <f t="shared" si="280"/>
        <v>0</v>
      </c>
      <c r="VKU49" s="375">
        <f t="shared" si="280"/>
        <v>0</v>
      </c>
      <c r="VKV49" s="375">
        <f t="shared" si="280"/>
        <v>0</v>
      </c>
      <c r="VKW49" s="375">
        <f t="shared" si="280"/>
        <v>0</v>
      </c>
      <c r="VKX49" s="375">
        <f t="shared" si="280"/>
        <v>0</v>
      </c>
      <c r="VKY49" s="375">
        <f t="shared" si="280"/>
        <v>0</v>
      </c>
      <c r="VKZ49" s="375">
        <f t="shared" si="280"/>
        <v>0</v>
      </c>
      <c r="VLA49" s="375">
        <f t="shared" si="280"/>
        <v>0</v>
      </c>
      <c r="VLB49" s="375">
        <f t="shared" si="280"/>
        <v>0</v>
      </c>
      <c r="VLC49" s="375">
        <f t="shared" si="280"/>
        <v>0</v>
      </c>
      <c r="VLD49" s="375">
        <f t="shared" si="280"/>
        <v>0</v>
      </c>
      <c r="VLE49" s="375">
        <f t="shared" si="280"/>
        <v>0</v>
      </c>
      <c r="VLF49" s="375">
        <f t="shared" si="280"/>
        <v>0</v>
      </c>
      <c r="VLG49" s="375">
        <f t="shared" si="280"/>
        <v>0</v>
      </c>
      <c r="VLH49" s="375">
        <f t="shared" si="280"/>
        <v>0</v>
      </c>
      <c r="VLI49" s="375">
        <f t="shared" si="280"/>
        <v>0</v>
      </c>
      <c r="VLJ49" s="375">
        <f t="shared" si="280"/>
        <v>0</v>
      </c>
      <c r="VLK49" s="375">
        <f t="shared" si="280"/>
        <v>0</v>
      </c>
      <c r="VLL49" s="375">
        <f t="shared" si="280"/>
        <v>0</v>
      </c>
      <c r="VLM49" s="375">
        <f t="shared" si="280"/>
        <v>0</v>
      </c>
      <c r="VLN49" s="375">
        <f t="shared" si="280"/>
        <v>0</v>
      </c>
      <c r="VLO49" s="375">
        <f t="shared" si="280"/>
        <v>0</v>
      </c>
      <c r="VLP49" s="375">
        <f t="shared" si="280"/>
        <v>0</v>
      </c>
      <c r="VLQ49" s="375">
        <f t="shared" si="280"/>
        <v>0</v>
      </c>
      <c r="VLR49" s="375">
        <f t="shared" si="280"/>
        <v>0</v>
      </c>
      <c r="VLS49" s="375">
        <f t="shared" si="280"/>
        <v>0</v>
      </c>
      <c r="VLT49" s="375">
        <f t="shared" si="280"/>
        <v>0</v>
      </c>
      <c r="VLU49" s="375">
        <f t="shared" si="280"/>
        <v>0</v>
      </c>
      <c r="VLV49" s="375">
        <f t="shared" si="280"/>
        <v>0</v>
      </c>
      <c r="VLW49" s="375">
        <f t="shared" si="280"/>
        <v>0</v>
      </c>
      <c r="VLX49" s="375">
        <f t="shared" si="280"/>
        <v>0</v>
      </c>
      <c r="VLY49" s="375">
        <f t="shared" si="280"/>
        <v>0</v>
      </c>
      <c r="VLZ49" s="375">
        <f t="shared" si="280"/>
        <v>0</v>
      </c>
      <c r="VMA49" s="375">
        <f t="shared" si="280"/>
        <v>0</v>
      </c>
      <c r="VMB49" s="375">
        <f t="shared" si="280"/>
        <v>0</v>
      </c>
      <c r="VMC49" s="375">
        <f t="shared" si="280"/>
        <v>0</v>
      </c>
      <c r="VMD49" s="375">
        <f t="shared" si="280"/>
        <v>0</v>
      </c>
      <c r="VME49" s="375">
        <f t="shared" si="280"/>
        <v>0</v>
      </c>
      <c r="VMF49" s="375">
        <f t="shared" si="280"/>
        <v>0</v>
      </c>
      <c r="VMG49" s="375">
        <f t="shared" si="280"/>
        <v>0</v>
      </c>
      <c r="VMH49" s="375">
        <f t="shared" si="280"/>
        <v>0</v>
      </c>
      <c r="VMI49" s="375">
        <f t="shared" si="280"/>
        <v>0</v>
      </c>
      <c r="VMJ49" s="375">
        <f t="shared" si="280"/>
        <v>0</v>
      </c>
      <c r="VMK49" s="375">
        <f t="shared" si="280"/>
        <v>0</v>
      </c>
      <c r="VML49" s="375">
        <f t="shared" si="280"/>
        <v>0</v>
      </c>
      <c r="VMM49" s="375">
        <f t="shared" si="280"/>
        <v>0</v>
      </c>
      <c r="VMN49" s="375">
        <f t="shared" si="280"/>
        <v>0</v>
      </c>
      <c r="VMO49" s="375">
        <f t="shared" si="280"/>
        <v>0</v>
      </c>
      <c r="VMP49" s="375">
        <f t="shared" si="280"/>
        <v>0</v>
      </c>
      <c r="VMQ49" s="375">
        <f t="shared" si="280"/>
        <v>0</v>
      </c>
      <c r="VMR49" s="375">
        <f t="shared" si="280"/>
        <v>0</v>
      </c>
      <c r="VMS49" s="375">
        <f t="shared" si="280"/>
        <v>0</v>
      </c>
      <c r="VMT49" s="375">
        <f t="shared" si="280"/>
        <v>0</v>
      </c>
      <c r="VMU49" s="375">
        <f t="shared" si="280"/>
        <v>0</v>
      </c>
      <c r="VMV49" s="375">
        <f t="shared" si="280"/>
        <v>0</v>
      </c>
      <c r="VMW49" s="375">
        <f t="shared" ref="VMW49:VPH49" si="281">VMW48*0.8</f>
        <v>0</v>
      </c>
      <c r="VMX49" s="375">
        <f t="shared" si="281"/>
        <v>0</v>
      </c>
      <c r="VMY49" s="375">
        <f t="shared" si="281"/>
        <v>0</v>
      </c>
      <c r="VMZ49" s="375">
        <f t="shared" si="281"/>
        <v>0</v>
      </c>
      <c r="VNA49" s="375">
        <f t="shared" si="281"/>
        <v>0</v>
      </c>
      <c r="VNB49" s="375">
        <f t="shared" si="281"/>
        <v>0</v>
      </c>
      <c r="VNC49" s="375">
        <f t="shared" si="281"/>
        <v>0</v>
      </c>
      <c r="VND49" s="375">
        <f t="shared" si="281"/>
        <v>0</v>
      </c>
      <c r="VNE49" s="375">
        <f t="shared" si="281"/>
        <v>0</v>
      </c>
      <c r="VNF49" s="375">
        <f t="shared" si="281"/>
        <v>0</v>
      </c>
      <c r="VNG49" s="375">
        <f t="shared" si="281"/>
        <v>0</v>
      </c>
      <c r="VNH49" s="375">
        <f t="shared" si="281"/>
        <v>0</v>
      </c>
      <c r="VNI49" s="375">
        <f t="shared" si="281"/>
        <v>0</v>
      </c>
      <c r="VNJ49" s="375">
        <f t="shared" si="281"/>
        <v>0</v>
      </c>
      <c r="VNK49" s="375">
        <f t="shared" si="281"/>
        <v>0</v>
      </c>
      <c r="VNL49" s="375">
        <f t="shared" si="281"/>
        <v>0</v>
      </c>
      <c r="VNM49" s="375">
        <f t="shared" si="281"/>
        <v>0</v>
      </c>
      <c r="VNN49" s="375">
        <f t="shared" si="281"/>
        <v>0</v>
      </c>
      <c r="VNO49" s="375">
        <f t="shared" si="281"/>
        <v>0</v>
      </c>
      <c r="VNP49" s="375">
        <f t="shared" si="281"/>
        <v>0</v>
      </c>
      <c r="VNQ49" s="375">
        <f t="shared" si="281"/>
        <v>0</v>
      </c>
      <c r="VNR49" s="375">
        <f t="shared" si="281"/>
        <v>0</v>
      </c>
      <c r="VNS49" s="375">
        <f t="shared" si="281"/>
        <v>0</v>
      </c>
      <c r="VNT49" s="375">
        <f t="shared" si="281"/>
        <v>0</v>
      </c>
      <c r="VNU49" s="375">
        <f t="shared" si="281"/>
        <v>0</v>
      </c>
      <c r="VNV49" s="375">
        <f t="shared" si="281"/>
        <v>0</v>
      </c>
      <c r="VNW49" s="375">
        <f t="shared" si="281"/>
        <v>0</v>
      </c>
      <c r="VNX49" s="375">
        <f t="shared" si="281"/>
        <v>0</v>
      </c>
      <c r="VNY49" s="375">
        <f t="shared" si="281"/>
        <v>0</v>
      </c>
      <c r="VNZ49" s="375">
        <f t="shared" si="281"/>
        <v>0</v>
      </c>
      <c r="VOA49" s="375">
        <f t="shared" si="281"/>
        <v>0</v>
      </c>
      <c r="VOB49" s="375">
        <f t="shared" si="281"/>
        <v>0</v>
      </c>
      <c r="VOC49" s="375">
        <f t="shared" si="281"/>
        <v>0</v>
      </c>
      <c r="VOD49" s="375">
        <f t="shared" si="281"/>
        <v>0</v>
      </c>
      <c r="VOE49" s="375">
        <f t="shared" si="281"/>
        <v>0</v>
      </c>
      <c r="VOF49" s="375">
        <f t="shared" si="281"/>
        <v>0</v>
      </c>
      <c r="VOG49" s="375">
        <f t="shared" si="281"/>
        <v>0</v>
      </c>
      <c r="VOH49" s="375">
        <f t="shared" si="281"/>
        <v>0</v>
      </c>
      <c r="VOI49" s="375">
        <f t="shared" si="281"/>
        <v>0</v>
      </c>
      <c r="VOJ49" s="375">
        <f t="shared" si="281"/>
        <v>0</v>
      </c>
      <c r="VOK49" s="375">
        <f t="shared" si="281"/>
        <v>0</v>
      </c>
      <c r="VOL49" s="375">
        <f t="shared" si="281"/>
        <v>0</v>
      </c>
      <c r="VOM49" s="375">
        <f t="shared" si="281"/>
        <v>0</v>
      </c>
      <c r="VON49" s="375">
        <f t="shared" si="281"/>
        <v>0</v>
      </c>
      <c r="VOO49" s="375">
        <f t="shared" si="281"/>
        <v>0</v>
      </c>
      <c r="VOP49" s="375">
        <f t="shared" si="281"/>
        <v>0</v>
      </c>
      <c r="VOQ49" s="375">
        <f t="shared" si="281"/>
        <v>0</v>
      </c>
      <c r="VOR49" s="375">
        <f t="shared" si="281"/>
        <v>0</v>
      </c>
      <c r="VOS49" s="375">
        <f t="shared" si="281"/>
        <v>0</v>
      </c>
      <c r="VOT49" s="375">
        <f t="shared" si="281"/>
        <v>0</v>
      </c>
      <c r="VOU49" s="375">
        <f t="shared" si="281"/>
        <v>0</v>
      </c>
      <c r="VOV49" s="375">
        <f t="shared" si="281"/>
        <v>0</v>
      </c>
      <c r="VOW49" s="375">
        <f t="shared" si="281"/>
        <v>0</v>
      </c>
      <c r="VOX49" s="375">
        <f t="shared" si="281"/>
        <v>0</v>
      </c>
      <c r="VOY49" s="375">
        <f t="shared" si="281"/>
        <v>0</v>
      </c>
      <c r="VOZ49" s="375">
        <f t="shared" si="281"/>
        <v>0</v>
      </c>
      <c r="VPA49" s="375">
        <f t="shared" si="281"/>
        <v>0</v>
      </c>
      <c r="VPB49" s="375">
        <f t="shared" si="281"/>
        <v>0</v>
      </c>
      <c r="VPC49" s="375">
        <f t="shared" si="281"/>
        <v>0</v>
      </c>
      <c r="VPD49" s="375">
        <f t="shared" si="281"/>
        <v>0</v>
      </c>
      <c r="VPE49" s="375">
        <f t="shared" si="281"/>
        <v>0</v>
      </c>
      <c r="VPF49" s="375">
        <f t="shared" si="281"/>
        <v>0</v>
      </c>
      <c r="VPG49" s="375">
        <f t="shared" si="281"/>
        <v>0</v>
      </c>
      <c r="VPH49" s="375">
        <f t="shared" si="281"/>
        <v>0</v>
      </c>
      <c r="VPI49" s="375">
        <f t="shared" ref="VPI49:VRT49" si="282">VPI48*0.8</f>
        <v>0</v>
      </c>
      <c r="VPJ49" s="375">
        <f t="shared" si="282"/>
        <v>0</v>
      </c>
      <c r="VPK49" s="375">
        <f t="shared" si="282"/>
        <v>0</v>
      </c>
      <c r="VPL49" s="375">
        <f t="shared" si="282"/>
        <v>0</v>
      </c>
      <c r="VPM49" s="375">
        <f t="shared" si="282"/>
        <v>0</v>
      </c>
      <c r="VPN49" s="375">
        <f t="shared" si="282"/>
        <v>0</v>
      </c>
      <c r="VPO49" s="375">
        <f t="shared" si="282"/>
        <v>0</v>
      </c>
      <c r="VPP49" s="375">
        <f t="shared" si="282"/>
        <v>0</v>
      </c>
      <c r="VPQ49" s="375">
        <f t="shared" si="282"/>
        <v>0</v>
      </c>
      <c r="VPR49" s="375">
        <f t="shared" si="282"/>
        <v>0</v>
      </c>
      <c r="VPS49" s="375">
        <f t="shared" si="282"/>
        <v>0</v>
      </c>
      <c r="VPT49" s="375">
        <f t="shared" si="282"/>
        <v>0</v>
      </c>
      <c r="VPU49" s="375">
        <f t="shared" si="282"/>
        <v>0</v>
      </c>
      <c r="VPV49" s="375">
        <f t="shared" si="282"/>
        <v>0</v>
      </c>
      <c r="VPW49" s="375">
        <f t="shared" si="282"/>
        <v>0</v>
      </c>
      <c r="VPX49" s="375">
        <f t="shared" si="282"/>
        <v>0</v>
      </c>
      <c r="VPY49" s="375">
        <f t="shared" si="282"/>
        <v>0</v>
      </c>
      <c r="VPZ49" s="375">
        <f t="shared" si="282"/>
        <v>0</v>
      </c>
      <c r="VQA49" s="375">
        <f t="shared" si="282"/>
        <v>0</v>
      </c>
      <c r="VQB49" s="375">
        <f t="shared" si="282"/>
        <v>0</v>
      </c>
      <c r="VQC49" s="375">
        <f t="shared" si="282"/>
        <v>0</v>
      </c>
      <c r="VQD49" s="375">
        <f t="shared" si="282"/>
        <v>0</v>
      </c>
      <c r="VQE49" s="375">
        <f t="shared" si="282"/>
        <v>0</v>
      </c>
      <c r="VQF49" s="375">
        <f t="shared" si="282"/>
        <v>0</v>
      </c>
      <c r="VQG49" s="375">
        <f t="shared" si="282"/>
        <v>0</v>
      </c>
      <c r="VQH49" s="375">
        <f t="shared" si="282"/>
        <v>0</v>
      </c>
      <c r="VQI49" s="375">
        <f t="shared" si="282"/>
        <v>0</v>
      </c>
      <c r="VQJ49" s="375">
        <f t="shared" si="282"/>
        <v>0</v>
      </c>
      <c r="VQK49" s="375">
        <f t="shared" si="282"/>
        <v>0</v>
      </c>
      <c r="VQL49" s="375">
        <f t="shared" si="282"/>
        <v>0</v>
      </c>
      <c r="VQM49" s="375">
        <f t="shared" si="282"/>
        <v>0</v>
      </c>
      <c r="VQN49" s="375">
        <f t="shared" si="282"/>
        <v>0</v>
      </c>
      <c r="VQO49" s="375">
        <f t="shared" si="282"/>
        <v>0</v>
      </c>
      <c r="VQP49" s="375">
        <f t="shared" si="282"/>
        <v>0</v>
      </c>
      <c r="VQQ49" s="375">
        <f t="shared" si="282"/>
        <v>0</v>
      </c>
      <c r="VQR49" s="375">
        <f t="shared" si="282"/>
        <v>0</v>
      </c>
      <c r="VQS49" s="375">
        <f t="shared" si="282"/>
        <v>0</v>
      </c>
      <c r="VQT49" s="375">
        <f t="shared" si="282"/>
        <v>0</v>
      </c>
      <c r="VQU49" s="375">
        <f t="shared" si="282"/>
        <v>0</v>
      </c>
      <c r="VQV49" s="375">
        <f t="shared" si="282"/>
        <v>0</v>
      </c>
      <c r="VQW49" s="375">
        <f t="shared" si="282"/>
        <v>0</v>
      </c>
      <c r="VQX49" s="375">
        <f t="shared" si="282"/>
        <v>0</v>
      </c>
      <c r="VQY49" s="375">
        <f t="shared" si="282"/>
        <v>0</v>
      </c>
      <c r="VQZ49" s="375">
        <f t="shared" si="282"/>
        <v>0</v>
      </c>
      <c r="VRA49" s="375">
        <f t="shared" si="282"/>
        <v>0</v>
      </c>
      <c r="VRB49" s="375">
        <f t="shared" si="282"/>
        <v>0</v>
      </c>
      <c r="VRC49" s="375">
        <f t="shared" si="282"/>
        <v>0</v>
      </c>
      <c r="VRD49" s="375">
        <f t="shared" si="282"/>
        <v>0</v>
      </c>
      <c r="VRE49" s="375">
        <f t="shared" si="282"/>
        <v>0</v>
      </c>
      <c r="VRF49" s="375">
        <f t="shared" si="282"/>
        <v>0</v>
      </c>
      <c r="VRG49" s="375">
        <f t="shared" si="282"/>
        <v>0</v>
      </c>
      <c r="VRH49" s="375">
        <f t="shared" si="282"/>
        <v>0</v>
      </c>
      <c r="VRI49" s="375">
        <f t="shared" si="282"/>
        <v>0</v>
      </c>
      <c r="VRJ49" s="375">
        <f t="shared" si="282"/>
        <v>0</v>
      </c>
      <c r="VRK49" s="375">
        <f t="shared" si="282"/>
        <v>0</v>
      </c>
      <c r="VRL49" s="375">
        <f t="shared" si="282"/>
        <v>0</v>
      </c>
      <c r="VRM49" s="375">
        <f t="shared" si="282"/>
        <v>0</v>
      </c>
      <c r="VRN49" s="375">
        <f t="shared" si="282"/>
        <v>0</v>
      </c>
      <c r="VRO49" s="375">
        <f t="shared" si="282"/>
        <v>0</v>
      </c>
      <c r="VRP49" s="375">
        <f t="shared" si="282"/>
        <v>0</v>
      </c>
      <c r="VRQ49" s="375">
        <f t="shared" si="282"/>
        <v>0</v>
      </c>
      <c r="VRR49" s="375">
        <f t="shared" si="282"/>
        <v>0</v>
      </c>
      <c r="VRS49" s="375">
        <f t="shared" si="282"/>
        <v>0</v>
      </c>
      <c r="VRT49" s="375">
        <f t="shared" si="282"/>
        <v>0</v>
      </c>
      <c r="VRU49" s="375">
        <f t="shared" ref="VRU49:VUF49" si="283">VRU48*0.8</f>
        <v>0</v>
      </c>
      <c r="VRV49" s="375">
        <f t="shared" si="283"/>
        <v>0</v>
      </c>
      <c r="VRW49" s="375">
        <f t="shared" si="283"/>
        <v>0</v>
      </c>
      <c r="VRX49" s="375">
        <f t="shared" si="283"/>
        <v>0</v>
      </c>
      <c r="VRY49" s="375">
        <f t="shared" si="283"/>
        <v>0</v>
      </c>
      <c r="VRZ49" s="375">
        <f t="shared" si="283"/>
        <v>0</v>
      </c>
      <c r="VSA49" s="375">
        <f t="shared" si="283"/>
        <v>0</v>
      </c>
      <c r="VSB49" s="375">
        <f t="shared" si="283"/>
        <v>0</v>
      </c>
      <c r="VSC49" s="375">
        <f t="shared" si="283"/>
        <v>0</v>
      </c>
      <c r="VSD49" s="375">
        <f t="shared" si="283"/>
        <v>0</v>
      </c>
      <c r="VSE49" s="375">
        <f t="shared" si="283"/>
        <v>0</v>
      </c>
      <c r="VSF49" s="375">
        <f t="shared" si="283"/>
        <v>0</v>
      </c>
      <c r="VSG49" s="375">
        <f t="shared" si="283"/>
        <v>0</v>
      </c>
      <c r="VSH49" s="375">
        <f t="shared" si="283"/>
        <v>0</v>
      </c>
      <c r="VSI49" s="375">
        <f t="shared" si="283"/>
        <v>0</v>
      </c>
      <c r="VSJ49" s="375">
        <f t="shared" si="283"/>
        <v>0</v>
      </c>
      <c r="VSK49" s="375">
        <f t="shared" si="283"/>
        <v>0</v>
      </c>
      <c r="VSL49" s="375">
        <f t="shared" si="283"/>
        <v>0</v>
      </c>
      <c r="VSM49" s="375">
        <f t="shared" si="283"/>
        <v>0</v>
      </c>
      <c r="VSN49" s="375">
        <f t="shared" si="283"/>
        <v>0</v>
      </c>
      <c r="VSO49" s="375">
        <f t="shared" si="283"/>
        <v>0</v>
      </c>
      <c r="VSP49" s="375">
        <f t="shared" si="283"/>
        <v>0</v>
      </c>
      <c r="VSQ49" s="375">
        <f t="shared" si="283"/>
        <v>0</v>
      </c>
      <c r="VSR49" s="375">
        <f t="shared" si="283"/>
        <v>0</v>
      </c>
      <c r="VSS49" s="375">
        <f t="shared" si="283"/>
        <v>0</v>
      </c>
      <c r="VST49" s="375">
        <f t="shared" si="283"/>
        <v>0</v>
      </c>
      <c r="VSU49" s="375">
        <f t="shared" si="283"/>
        <v>0</v>
      </c>
      <c r="VSV49" s="375">
        <f t="shared" si="283"/>
        <v>0</v>
      </c>
      <c r="VSW49" s="375">
        <f t="shared" si="283"/>
        <v>0</v>
      </c>
      <c r="VSX49" s="375">
        <f t="shared" si="283"/>
        <v>0</v>
      </c>
      <c r="VSY49" s="375">
        <f t="shared" si="283"/>
        <v>0</v>
      </c>
      <c r="VSZ49" s="375">
        <f t="shared" si="283"/>
        <v>0</v>
      </c>
      <c r="VTA49" s="375">
        <f t="shared" si="283"/>
        <v>0</v>
      </c>
      <c r="VTB49" s="375">
        <f t="shared" si="283"/>
        <v>0</v>
      </c>
      <c r="VTC49" s="375">
        <f t="shared" si="283"/>
        <v>0</v>
      </c>
      <c r="VTD49" s="375">
        <f t="shared" si="283"/>
        <v>0</v>
      </c>
      <c r="VTE49" s="375">
        <f t="shared" si="283"/>
        <v>0</v>
      </c>
      <c r="VTF49" s="375">
        <f t="shared" si="283"/>
        <v>0</v>
      </c>
      <c r="VTG49" s="375">
        <f t="shared" si="283"/>
        <v>0</v>
      </c>
      <c r="VTH49" s="375">
        <f t="shared" si="283"/>
        <v>0</v>
      </c>
      <c r="VTI49" s="375">
        <f t="shared" si="283"/>
        <v>0</v>
      </c>
      <c r="VTJ49" s="375">
        <f t="shared" si="283"/>
        <v>0</v>
      </c>
      <c r="VTK49" s="375">
        <f t="shared" si="283"/>
        <v>0</v>
      </c>
      <c r="VTL49" s="375">
        <f t="shared" si="283"/>
        <v>0</v>
      </c>
      <c r="VTM49" s="375">
        <f t="shared" si="283"/>
        <v>0</v>
      </c>
      <c r="VTN49" s="375">
        <f t="shared" si="283"/>
        <v>0</v>
      </c>
      <c r="VTO49" s="375">
        <f t="shared" si="283"/>
        <v>0</v>
      </c>
      <c r="VTP49" s="375">
        <f t="shared" si="283"/>
        <v>0</v>
      </c>
      <c r="VTQ49" s="375">
        <f t="shared" si="283"/>
        <v>0</v>
      </c>
      <c r="VTR49" s="375">
        <f t="shared" si="283"/>
        <v>0</v>
      </c>
      <c r="VTS49" s="375">
        <f t="shared" si="283"/>
        <v>0</v>
      </c>
      <c r="VTT49" s="375">
        <f t="shared" si="283"/>
        <v>0</v>
      </c>
      <c r="VTU49" s="375">
        <f t="shared" si="283"/>
        <v>0</v>
      </c>
      <c r="VTV49" s="375">
        <f t="shared" si="283"/>
        <v>0</v>
      </c>
      <c r="VTW49" s="375">
        <f t="shared" si="283"/>
        <v>0</v>
      </c>
      <c r="VTX49" s="375">
        <f t="shared" si="283"/>
        <v>0</v>
      </c>
      <c r="VTY49" s="375">
        <f t="shared" si="283"/>
        <v>0</v>
      </c>
      <c r="VTZ49" s="375">
        <f t="shared" si="283"/>
        <v>0</v>
      </c>
      <c r="VUA49" s="375">
        <f t="shared" si="283"/>
        <v>0</v>
      </c>
      <c r="VUB49" s="375">
        <f t="shared" si="283"/>
        <v>0</v>
      </c>
      <c r="VUC49" s="375">
        <f t="shared" si="283"/>
        <v>0</v>
      </c>
      <c r="VUD49" s="375">
        <f t="shared" si="283"/>
        <v>0</v>
      </c>
      <c r="VUE49" s="375">
        <f t="shared" si="283"/>
        <v>0</v>
      </c>
      <c r="VUF49" s="375">
        <f t="shared" si="283"/>
        <v>0</v>
      </c>
      <c r="VUG49" s="375">
        <f t="shared" ref="VUG49:VWR49" si="284">VUG48*0.8</f>
        <v>0</v>
      </c>
      <c r="VUH49" s="375">
        <f t="shared" si="284"/>
        <v>0</v>
      </c>
      <c r="VUI49" s="375">
        <f t="shared" si="284"/>
        <v>0</v>
      </c>
      <c r="VUJ49" s="375">
        <f t="shared" si="284"/>
        <v>0</v>
      </c>
      <c r="VUK49" s="375">
        <f t="shared" si="284"/>
        <v>0</v>
      </c>
      <c r="VUL49" s="375">
        <f t="shared" si="284"/>
        <v>0</v>
      </c>
      <c r="VUM49" s="375">
        <f t="shared" si="284"/>
        <v>0</v>
      </c>
      <c r="VUN49" s="375">
        <f t="shared" si="284"/>
        <v>0</v>
      </c>
      <c r="VUO49" s="375">
        <f t="shared" si="284"/>
        <v>0</v>
      </c>
      <c r="VUP49" s="375">
        <f t="shared" si="284"/>
        <v>0</v>
      </c>
      <c r="VUQ49" s="375">
        <f t="shared" si="284"/>
        <v>0</v>
      </c>
      <c r="VUR49" s="375">
        <f t="shared" si="284"/>
        <v>0</v>
      </c>
      <c r="VUS49" s="375">
        <f t="shared" si="284"/>
        <v>0</v>
      </c>
      <c r="VUT49" s="375">
        <f t="shared" si="284"/>
        <v>0</v>
      </c>
      <c r="VUU49" s="375">
        <f t="shared" si="284"/>
        <v>0</v>
      </c>
      <c r="VUV49" s="375">
        <f t="shared" si="284"/>
        <v>0</v>
      </c>
      <c r="VUW49" s="375">
        <f t="shared" si="284"/>
        <v>0</v>
      </c>
      <c r="VUX49" s="375">
        <f t="shared" si="284"/>
        <v>0</v>
      </c>
      <c r="VUY49" s="375">
        <f t="shared" si="284"/>
        <v>0</v>
      </c>
      <c r="VUZ49" s="375">
        <f t="shared" si="284"/>
        <v>0</v>
      </c>
      <c r="VVA49" s="375">
        <f t="shared" si="284"/>
        <v>0</v>
      </c>
      <c r="VVB49" s="375">
        <f t="shared" si="284"/>
        <v>0</v>
      </c>
      <c r="VVC49" s="375">
        <f t="shared" si="284"/>
        <v>0</v>
      </c>
      <c r="VVD49" s="375">
        <f t="shared" si="284"/>
        <v>0</v>
      </c>
      <c r="VVE49" s="375">
        <f t="shared" si="284"/>
        <v>0</v>
      </c>
      <c r="VVF49" s="375">
        <f t="shared" si="284"/>
        <v>0</v>
      </c>
      <c r="VVG49" s="375">
        <f t="shared" si="284"/>
        <v>0</v>
      </c>
      <c r="VVH49" s="375">
        <f t="shared" si="284"/>
        <v>0</v>
      </c>
      <c r="VVI49" s="375">
        <f t="shared" si="284"/>
        <v>0</v>
      </c>
      <c r="VVJ49" s="375">
        <f t="shared" si="284"/>
        <v>0</v>
      </c>
      <c r="VVK49" s="375">
        <f t="shared" si="284"/>
        <v>0</v>
      </c>
      <c r="VVL49" s="375">
        <f t="shared" si="284"/>
        <v>0</v>
      </c>
      <c r="VVM49" s="375">
        <f t="shared" si="284"/>
        <v>0</v>
      </c>
      <c r="VVN49" s="375">
        <f t="shared" si="284"/>
        <v>0</v>
      </c>
      <c r="VVO49" s="375">
        <f t="shared" si="284"/>
        <v>0</v>
      </c>
      <c r="VVP49" s="375">
        <f t="shared" si="284"/>
        <v>0</v>
      </c>
      <c r="VVQ49" s="375">
        <f t="shared" si="284"/>
        <v>0</v>
      </c>
      <c r="VVR49" s="375">
        <f t="shared" si="284"/>
        <v>0</v>
      </c>
      <c r="VVS49" s="375">
        <f t="shared" si="284"/>
        <v>0</v>
      </c>
      <c r="VVT49" s="375">
        <f t="shared" si="284"/>
        <v>0</v>
      </c>
      <c r="VVU49" s="375">
        <f t="shared" si="284"/>
        <v>0</v>
      </c>
      <c r="VVV49" s="375">
        <f t="shared" si="284"/>
        <v>0</v>
      </c>
      <c r="VVW49" s="375">
        <f t="shared" si="284"/>
        <v>0</v>
      </c>
      <c r="VVX49" s="375">
        <f t="shared" si="284"/>
        <v>0</v>
      </c>
      <c r="VVY49" s="375">
        <f t="shared" si="284"/>
        <v>0</v>
      </c>
      <c r="VVZ49" s="375">
        <f t="shared" si="284"/>
        <v>0</v>
      </c>
      <c r="VWA49" s="375">
        <f t="shared" si="284"/>
        <v>0</v>
      </c>
      <c r="VWB49" s="375">
        <f t="shared" si="284"/>
        <v>0</v>
      </c>
      <c r="VWC49" s="375">
        <f t="shared" si="284"/>
        <v>0</v>
      </c>
      <c r="VWD49" s="375">
        <f t="shared" si="284"/>
        <v>0</v>
      </c>
      <c r="VWE49" s="375">
        <f t="shared" si="284"/>
        <v>0</v>
      </c>
      <c r="VWF49" s="375">
        <f t="shared" si="284"/>
        <v>0</v>
      </c>
      <c r="VWG49" s="375">
        <f t="shared" si="284"/>
        <v>0</v>
      </c>
      <c r="VWH49" s="375">
        <f t="shared" si="284"/>
        <v>0</v>
      </c>
      <c r="VWI49" s="375">
        <f t="shared" si="284"/>
        <v>0</v>
      </c>
      <c r="VWJ49" s="375">
        <f t="shared" si="284"/>
        <v>0</v>
      </c>
      <c r="VWK49" s="375">
        <f t="shared" si="284"/>
        <v>0</v>
      </c>
      <c r="VWL49" s="375">
        <f t="shared" si="284"/>
        <v>0</v>
      </c>
      <c r="VWM49" s="375">
        <f t="shared" si="284"/>
        <v>0</v>
      </c>
      <c r="VWN49" s="375">
        <f t="shared" si="284"/>
        <v>0</v>
      </c>
      <c r="VWO49" s="375">
        <f t="shared" si="284"/>
        <v>0</v>
      </c>
      <c r="VWP49" s="375">
        <f t="shared" si="284"/>
        <v>0</v>
      </c>
      <c r="VWQ49" s="375">
        <f t="shared" si="284"/>
        <v>0</v>
      </c>
      <c r="VWR49" s="375">
        <f t="shared" si="284"/>
        <v>0</v>
      </c>
      <c r="VWS49" s="375">
        <f t="shared" ref="VWS49:VZD49" si="285">VWS48*0.8</f>
        <v>0</v>
      </c>
      <c r="VWT49" s="375">
        <f t="shared" si="285"/>
        <v>0</v>
      </c>
      <c r="VWU49" s="375">
        <f t="shared" si="285"/>
        <v>0</v>
      </c>
      <c r="VWV49" s="375">
        <f t="shared" si="285"/>
        <v>0</v>
      </c>
      <c r="VWW49" s="375">
        <f t="shared" si="285"/>
        <v>0</v>
      </c>
      <c r="VWX49" s="375">
        <f t="shared" si="285"/>
        <v>0</v>
      </c>
      <c r="VWY49" s="375">
        <f t="shared" si="285"/>
        <v>0</v>
      </c>
      <c r="VWZ49" s="375">
        <f t="shared" si="285"/>
        <v>0</v>
      </c>
      <c r="VXA49" s="375">
        <f t="shared" si="285"/>
        <v>0</v>
      </c>
      <c r="VXB49" s="375">
        <f t="shared" si="285"/>
        <v>0</v>
      </c>
      <c r="VXC49" s="375">
        <f t="shared" si="285"/>
        <v>0</v>
      </c>
      <c r="VXD49" s="375">
        <f t="shared" si="285"/>
        <v>0</v>
      </c>
      <c r="VXE49" s="375">
        <f t="shared" si="285"/>
        <v>0</v>
      </c>
      <c r="VXF49" s="375">
        <f t="shared" si="285"/>
        <v>0</v>
      </c>
      <c r="VXG49" s="375">
        <f t="shared" si="285"/>
        <v>0</v>
      </c>
      <c r="VXH49" s="375">
        <f t="shared" si="285"/>
        <v>0</v>
      </c>
      <c r="VXI49" s="375">
        <f t="shared" si="285"/>
        <v>0</v>
      </c>
      <c r="VXJ49" s="375">
        <f t="shared" si="285"/>
        <v>0</v>
      </c>
      <c r="VXK49" s="375">
        <f t="shared" si="285"/>
        <v>0</v>
      </c>
      <c r="VXL49" s="375">
        <f t="shared" si="285"/>
        <v>0</v>
      </c>
      <c r="VXM49" s="375">
        <f t="shared" si="285"/>
        <v>0</v>
      </c>
      <c r="VXN49" s="375">
        <f t="shared" si="285"/>
        <v>0</v>
      </c>
      <c r="VXO49" s="375">
        <f t="shared" si="285"/>
        <v>0</v>
      </c>
      <c r="VXP49" s="375">
        <f t="shared" si="285"/>
        <v>0</v>
      </c>
      <c r="VXQ49" s="375">
        <f t="shared" si="285"/>
        <v>0</v>
      </c>
      <c r="VXR49" s="375">
        <f t="shared" si="285"/>
        <v>0</v>
      </c>
      <c r="VXS49" s="375">
        <f t="shared" si="285"/>
        <v>0</v>
      </c>
      <c r="VXT49" s="375">
        <f t="shared" si="285"/>
        <v>0</v>
      </c>
      <c r="VXU49" s="375">
        <f t="shared" si="285"/>
        <v>0</v>
      </c>
      <c r="VXV49" s="375">
        <f t="shared" si="285"/>
        <v>0</v>
      </c>
      <c r="VXW49" s="375">
        <f t="shared" si="285"/>
        <v>0</v>
      </c>
      <c r="VXX49" s="375">
        <f t="shared" si="285"/>
        <v>0</v>
      </c>
      <c r="VXY49" s="375">
        <f t="shared" si="285"/>
        <v>0</v>
      </c>
      <c r="VXZ49" s="375">
        <f t="shared" si="285"/>
        <v>0</v>
      </c>
      <c r="VYA49" s="375">
        <f t="shared" si="285"/>
        <v>0</v>
      </c>
      <c r="VYB49" s="375">
        <f t="shared" si="285"/>
        <v>0</v>
      </c>
      <c r="VYC49" s="375">
        <f t="shared" si="285"/>
        <v>0</v>
      </c>
      <c r="VYD49" s="375">
        <f t="shared" si="285"/>
        <v>0</v>
      </c>
      <c r="VYE49" s="375">
        <f t="shared" si="285"/>
        <v>0</v>
      </c>
      <c r="VYF49" s="375">
        <f t="shared" si="285"/>
        <v>0</v>
      </c>
      <c r="VYG49" s="375">
        <f t="shared" si="285"/>
        <v>0</v>
      </c>
      <c r="VYH49" s="375">
        <f t="shared" si="285"/>
        <v>0</v>
      </c>
      <c r="VYI49" s="375">
        <f t="shared" si="285"/>
        <v>0</v>
      </c>
      <c r="VYJ49" s="375">
        <f t="shared" si="285"/>
        <v>0</v>
      </c>
      <c r="VYK49" s="375">
        <f t="shared" si="285"/>
        <v>0</v>
      </c>
      <c r="VYL49" s="375">
        <f t="shared" si="285"/>
        <v>0</v>
      </c>
      <c r="VYM49" s="375">
        <f t="shared" si="285"/>
        <v>0</v>
      </c>
      <c r="VYN49" s="375">
        <f t="shared" si="285"/>
        <v>0</v>
      </c>
      <c r="VYO49" s="375">
        <f t="shared" si="285"/>
        <v>0</v>
      </c>
      <c r="VYP49" s="375">
        <f t="shared" si="285"/>
        <v>0</v>
      </c>
      <c r="VYQ49" s="375">
        <f t="shared" si="285"/>
        <v>0</v>
      </c>
      <c r="VYR49" s="375">
        <f t="shared" si="285"/>
        <v>0</v>
      </c>
      <c r="VYS49" s="375">
        <f t="shared" si="285"/>
        <v>0</v>
      </c>
      <c r="VYT49" s="375">
        <f t="shared" si="285"/>
        <v>0</v>
      </c>
      <c r="VYU49" s="375">
        <f t="shared" si="285"/>
        <v>0</v>
      </c>
      <c r="VYV49" s="375">
        <f t="shared" si="285"/>
        <v>0</v>
      </c>
      <c r="VYW49" s="375">
        <f t="shared" si="285"/>
        <v>0</v>
      </c>
      <c r="VYX49" s="375">
        <f t="shared" si="285"/>
        <v>0</v>
      </c>
      <c r="VYY49" s="375">
        <f t="shared" si="285"/>
        <v>0</v>
      </c>
      <c r="VYZ49" s="375">
        <f t="shared" si="285"/>
        <v>0</v>
      </c>
      <c r="VZA49" s="375">
        <f t="shared" si="285"/>
        <v>0</v>
      </c>
      <c r="VZB49" s="375">
        <f t="shared" si="285"/>
        <v>0</v>
      </c>
      <c r="VZC49" s="375">
        <f t="shared" si="285"/>
        <v>0</v>
      </c>
      <c r="VZD49" s="375">
        <f t="shared" si="285"/>
        <v>0</v>
      </c>
      <c r="VZE49" s="375">
        <f t="shared" ref="VZE49:WBP49" si="286">VZE48*0.8</f>
        <v>0</v>
      </c>
      <c r="VZF49" s="375">
        <f t="shared" si="286"/>
        <v>0</v>
      </c>
      <c r="VZG49" s="375">
        <f t="shared" si="286"/>
        <v>0</v>
      </c>
      <c r="VZH49" s="375">
        <f t="shared" si="286"/>
        <v>0</v>
      </c>
      <c r="VZI49" s="375">
        <f t="shared" si="286"/>
        <v>0</v>
      </c>
      <c r="VZJ49" s="375">
        <f t="shared" si="286"/>
        <v>0</v>
      </c>
      <c r="VZK49" s="375">
        <f t="shared" si="286"/>
        <v>0</v>
      </c>
      <c r="VZL49" s="375">
        <f t="shared" si="286"/>
        <v>0</v>
      </c>
      <c r="VZM49" s="375">
        <f t="shared" si="286"/>
        <v>0</v>
      </c>
      <c r="VZN49" s="375">
        <f t="shared" si="286"/>
        <v>0</v>
      </c>
      <c r="VZO49" s="375">
        <f t="shared" si="286"/>
        <v>0</v>
      </c>
      <c r="VZP49" s="375">
        <f t="shared" si="286"/>
        <v>0</v>
      </c>
      <c r="VZQ49" s="375">
        <f t="shared" si="286"/>
        <v>0</v>
      </c>
      <c r="VZR49" s="375">
        <f t="shared" si="286"/>
        <v>0</v>
      </c>
      <c r="VZS49" s="375">
        <f t="shared" si="286"/>
        <v>0</v>
      </c>
      <c r="VZT49" s="375">
        <f t="shared" si="286"/>
        <v>0</v>
      </c>
      <c r="VZU49" s="375">
        <f t="shared" si="286"/>
        <v>0</v>
      </c>
      <c r="VZV49" s="375">
        <f t="shared" si="286"/>
        <v>0</v>
      </c>
      <c r="VZW49" s="375">
        <f t="shared" si="286"/>
        <v>0</v>
      </c>
      <c r="VZX49" s="375">
        <f t="shared" si="286"/>
        <v>0</v>
      </c>
      <c r="VZY49" s="375">
        <f t="shared" si="286"/>
        <v>0</v>
      </c>
      <c r="VZZ49" s="375">
        <f t="shared" si="286"/>
        <v>0</v>
      </c>
      <c r="WAA49" s="375">
        <f t="shared" si="286"/>
        <v>0</v>
      </c>
      <c r="WAB49" s="375">
        <f t="shared" si="286"/>
        <v>0</v>
      </c>
      <c r="WAC49" s="375">
        <f t="shared" si="286"/>
        <v>0</v>
      </c>
      <c r="WAD49" s="375">
        <f t="shared" si="286"/>
        <v>0</v>
      </c>
      <c r="WAE49" s="375">
        <f t="shared" si="286"/>
        <v>0</v>
      </c>
      <c r="WAF49" s="375">
        <f t="shared" si="286"/>
        <v>0</v>
      </c>
      <c r="WAG49" s="375">
        <f t="shared" si="286"/>
        <v>0</v>
      </c>
      <c r="WAH49" s="375">
        <f t="shared" si="286"/>
        <v>0</v>
      </c>
      <c r="WAI49" s="375">
        <f t="shared" si="286"/>
        <v>0</v>
      </c>
      <c r="WAJ49" s="375">
        <f t="shared" si="286"/>
        <v>0</v>
      </c>
      <c r="WAK49" s="375">
        <f t="shared" si="286"/>
        <v>0</v>
      </c>
      <c r="WAL49" s="375">
        <f t="shared" si="286"/>
        <v>0</v>
      </c>
      <c r="WAM49" s="375">
        <f t="shared" si="286"/>
        <v>0</v>
      </c>
      <c r="WAN49" s="375">
        <f t="shared" si="286"/>
        <v>0</v>
      </c>
      <c r="WAO49" s="375">
        <f t="shared" si="286"/>
        <v>0</v>
      </c>
      <c r="WAP49" s="375">
        <f t="shared" si="286"/>
        <v>0</v>
      </c>
      <c r="WAQ49" s="375">
        <f t="shared" si="286"/>
        <v>0</v>
      </c>
      <c r="WAR49" s="375">
        <f t="shared" si="286"/>
        <v>0</v>
      </c>
      <c r="WAS49" s="375">
        <f t="shared" si="286"/>
        <v>0</v>
      </c>
      <c r="WAT49" s="375">
        <f t="shared" si="286"/>
        <v>0</v>
      </c>
      <c r="WAU49" s="375">
        <f t="shared" si="286"/>
        <v>0</v>
      </c>
      <c r="WAV49" s="375">
        <f t="shared" si="286"/>
        <v>0</v>
      </c>
      <c r="WAW49" s="375">
        <f t="shared" si="286"/>
        <v>0</v>
      </c>
      <c r="WAX49" s="375">
        <f t="shared" si="286"/>
        <v>0</v>
      </c>
      <c r="WAY49" s="375">
        <f t="shared" si="286"/>
        <v>0</v>
      </c>
      <c r="WAZ49" s="375">
        <f t="shared" si="286"/>
        <v>0</v>
      </c>
      <c r="WBA49" s="375">
        <f t="shared" si="286"/>
        <v>0</v>
      </c>
      <c r="WBB49" s="375">
        <f t="shared" si="286"/>
        <v>0</v>
      </c>
      <c r="WBC49" s="375">
        <f t="shared" si="286"/>
        <v>0</v>
      </c>
      <c r="WBD49" s="375">
        <f t="shared" si="286"/>
        <v>0</v>
      </c>
      <c r="WBE49" s="375">
        <f t="shared" si="286"/>
        <v>0</v>
      </c>
      <c r="WBF49" s="375">
        <f t="shared" si="286"/>
        <v>0</v>
      </c>
      <c r="WBG49" s="375">
        <f t="shared" si="286"/>
        <v>0</v>
      </c>
      <c r="WBH49" s="375">
        <f t="shared" si="286"/>
        <v>0</v>
      </c>
      <c r="WBI49" s="375">
        <f t="shared" si="286"/>
        <v>0</v>
      </c>
      <c r="WBJ49" s="375">
        <f t="shared" si="286"/>
        <v>0</v>
      </c>
      <c r="WBK49" s="375">
        <f t="shared" si="286"/>
        <v>0</v>
      </c>
      <c r="WBL49" s="375">
        <f t="shared" si="286"/>
        <v>0</v>
      </c>
      <c r="WBM49" s="375">
        <f t="shared" si="286"/>
        <v>0</v>
      </c>
      <c r="WBN49" s="375">
        <f t="shared" si="286"/>
        <v>0</v>
      </c>
      <c r="WBO49" s="375">
        <f t="shared" si="286"/>
        <v>0</v>
      </c>
      <c r="WBP49" s="375">
        <f t="shared" si="286"/>
        <v>0</v>
      </c>
      <c r="WBQ49" s="375">
        <f t="shared" ref="WBQ49:WEB49" si="287">WBQ48*0.8</f>
        <v>0</v>
      </c>
      <c r="WBR49" s="375">
        <f t="shared" si="287"/>
        <v>0</v>
      </c>
      <c r="WBS49" s="375">
        <f t="shared" si="287"/>
        <v>0</v>
      </c>
      <c r="WBT49" s="375">
        <f t="shared" si="287"/>
        <v>0</v>
      </c>
      <c r="WBU49" s="375">
        <f t="shared" si="287"/>
        <v>0</v>
      </c>
      <c r="WBV49" s="375">
        <f t="shared" si="287"/>
        <v>0</v>
      </c>
      <c r="WBW49" s="375">
        <f t="shared" si="287"/>
        <v>0</v>
      </c>
      <c r="WBX49" s="375">
        <f t="shared" si="287"/>
        <v>0</v>
      </c>
      <c r="WBY49" s="375">
        <f t="shared" si="287"/>
        <v>0</v>
      </c>
      <c r="WBZ49" s="375">
        <f t="shared" si="287"/>
        <v>0</v>
      </c>
      <c r="WCA49" s="375">
        <f t="shared" si="287"/>
        <v>0</v>
      </c>
      <c r="WCB49" s="375">
        <f t="shared" si="287"/>
        <v>0</v>
      </c>
      <c r="WCC49" s="375">
        <f t="shared" si="287"/>
        <v>0</v>
      </c>
      <c r="WCD49" s="375">
        <f t="shared" si="287"/>
        <v>0</v>
      </c>
      <c r="WCE49" s="375">
        <f t="shared" si="287"/>
        <v>0</v>
      </c>
      <c r="WCF49" s="375">
        <f t="shared" si="287"/>
        <v>0</v>
      </c>
      <c r="WCG49" s="375">
        <f t="shared" si="287"/>
        <v>0</v>
      </c>
      <c r="WCH49" s="375">
        <f t="shared" si="287"/>
        <v>0</v>
      </c>
      <c r="WCI49" s="375">
        <f t="shared" si="287"/>
        <v>0</v>
      </c>
      <c r="WCJ49" s="375">
        <f t="shared" si="287"/>
        <v>0</v>
      </c>
      <c r="WCK49" s="375">
        <f t="shared" si="287"/>
        <v>0</v>
      </c>
      <c r="WCL49" s="375">
        <f t="shared" si="287"/>
        <v>0</v>
      </c>
      <c r="WCM49" s="375">
        <f t="shared" si="287"/>
        <v>0</v>
      </c>
      <c r="WCN49" s="375">
        <f t="shared" si="287"/>
        <v>0</v>
      </c>
      <c r="WCO49" s="375">
        <f t="shared" si="287"/>
        <v>0</v>
      </c>
      <c r="WCP49" s="375">
        <f t="shared" si="287"/>
        <v>0</v>
      </c>
      <c r="WCQ49" s="375">
        <f t="shared" si="287"/>
        <v>0</v>
      </c>
      <c r="WCR49" s="375">
        <f t="shared" si="287"/>
        <v>0</v>
      </c>
      <c r="WCS49" s="375">
        <f t="shared" si="287"/>
        <v>0</v>
      </c>
      <c r="WCT49" s="375">
        <f t="shared" si="287"/>
        <v>0</v>
      </c>
      <c r="WCU49" s="375">
        <f t="shared" si="287"/>
        <v>0</v>
      </c>
      <c r="WCV49" s="375">
        <f t="shared" si="287"/>
        <v>0</v>
      </c>
      <c r="WCW49" s="375">
        <f t="shared" si="287"/>
        <v>0</v>
      </c>
      <c r="WCX49" s="375">
        <f t="shared" si="287"/>
        <v>0</v>
      </c>
      <c r="WCY49" s="375">
        <f t="shared" si="287"/>
        <v>0</v>
      </c>
      <c r="WCZ49" s="375">
        <f t="shared" si="287"/>
        <v>0</v>
      </c>
      <c r="WDA49" s="375">
        <f t="shared" si="287"/>
        <v>0</v>
      </c>
      <c r="WDB49" s="375">
        <f t="shared" si="287"/>
        <v>0</v>
      </c>
      <c r="WDC49" s="375">
        <f t="shared" si="287"/>
        <v>0</v>
      </c>
      <c r="WDD49" s="375">
        <f t="shared" si="287"/>
        <v>0</v>
      </c>
      <c r="WDE49" s="375">
        <f t="shared" si="287"/>
        <v>0</v>
      </c>
      <c r="WDF49" s="375">
        <f t="shared" si="287"/>
        <v>0</v>
      </c>
      <c r="WDG49" s="375">
        <f t="shared" si="287"/>
        <v>0</v>
      </c>
      <c r="WDH49" s="375">
        <f t="shared" si="287"/>
        <v>0</v>
      </c>
      <c r="WDI49" s="375">
        <f t="shared" si="287"/>
        <v>0</v>
      </c>
      <c r="WDJ49" s="375">
        <f t="shared" si="287"/>
        <v>0</v>
      </c>
      <c r="WDK49" s="375">
        <f t="shared" si="287"/>
        <v>0</v>
      </c>
      <c r="WDL49" s="375">
        <f t="shared" si="287"/>
        <v>0</v>
      </c>
      <c r="WDM49" s="375">
        <f t="shared" si="287"/>
        <v>0</v>
      </c>
      <c r="WDN49" s="375">
        <f t="shared" si="287"/>
        <v>0</v>
      </c>
      <c r="WDO49" s="375">
        <f t="shared" si="287"/>
        <v>0</v>
      </c>
      <c r="WDP49" s="375">
        <f t="shared" si="287"/>
        <v>0</v>
      </c>
      <c r="WDQ49" s="375">
        <f t="shared" si="287"/>
        <v>0</v>
      </c>
      <c r="WDR49" s="375">
        <f t="shared" si="287"/>
        <v>0</v>
      </c>
      <c r="WDS49" s="375">
        <f t="shared" si="287"/>
        <v>0</v>
      </c>
      <c r="WDT49" s="375">
        <f t="shared" si="287"/>
        <v>0</v>
      </c>
      <c r="WDU49" s="375">
        <f t="shared" si="287"/>
        <v>0</v>
      </c>
      <c r="WDV49" s="375">
        <f t="shared" si="287"/>
        <v>0</v>
      </c>
      <c r="WDW49" s="375">
        <f t="shared" si="287"/>
        <v>0</v>
      </c>
      <c r="WDX49" s="375">
        <f t="shared" si="287"/>
        <v>0</v>
      </c>
      <c r="WDY49" s="375">
        <f t="shared" si="287"/>
        <v>0</v>
      </c>
      <c r="WDZ49" s="375">
        <f t="shared" si="287"/>
        <v>0</v>
      </c>
      <c r="WEA49" s="375">
        <f t="shared" si="287"/>
        <v>0</v>
      </c>
      <c r="WEB49" s="375">
        <f t="shared" si="287"/>
        <v>0</v>
      </c>
      <c r="WEC49" s="375">
        <f t="shared" ref="WEC49:WGN49" si="288">WEC48*0.8</f>
        <v>0</v>
      </c>
      <c r="WED49" s="375">
        <f t="shared" si="288"/>
        <v>0</v>
      </c>
      <c r="WEE49" s="375">
        <f t="shared" si="288"/>
        <v>0</v>
      </c>
      <c r="WEF49" s="375">
        <f t="shared" si="288"/>
        <v>0</v>
      </c>
      <c r="WEG49" s="375">
        <f t="shared" si="288"/>
        <v>0</v>
      </c>
      <c r="WEH49" s="375">
        <f t="shared" si="288"/>
        <v>0</v>
      </c>
      <c r="WEI49" s="375">
        <f t="shared" si="288"/>
        <v>0</v>
      </c>
      <c r="WEJ49" s="375">
        <f t="shared" si="288"/>
        <v>0</v>
      </c>
      <c r="WEK49" s="375">
        <f t="shared" si="288"/>
        <v>0</v>
      </c>
      <c r="WEL49" s="375">
        <f t="shared" si="288"/>
        <v>0</v>
      </c>
      <c r="WEM49" s="375">
        <f t="shared" si="288"/>
        <v>0</v>
      </c>
      <c r="WEN49" s="375">
        <f t="shared" si="288"/>
        <v>0</v>
      </c>
      <c r="WEO49" s="375">
        <f t="shared" si="288"/>
        <v>0</v>
      </c>
      <c r="WEP49" s="375">
        <f t="shared" si="288"/>
        <v>0</v>
      </c>
      <c r="WEQ49" s="375">
        <f t="shared" si="288"/>
        <v>0</v>
      </c>
      <c r="WER49" s="375">
        <f t="shared" si="288"/>
        <v>0</v>
      </c>
      <c r="WES49" s="375">
        <f t="shared" si="288"/>
        <v>0</v>
      </c>
      <c r="WET49" s="375">
        <f t="shared" si="288"/>
        <v>0</v>
      </c>
      <c r="WEU49" s="375">
        <f t="shared" si="288"/>
        <v>0</v>
      </c>
      <c r="WEV49" s="375">
        <f t="shared" si="288"/>
        <v>0</v>
      </c>
      <c r="WEW49" s="375">
        <f t="shared" si="288"/>
        <v>0</v>
      </c>
      <c r="WEX49" s="375">
        <f t="shared" si="288"/>
        <v>0</v>
      </c>
      <c r="WEY49" s="375">
        <f t="shared" si="288"/>
        <v>0</v>
      </c>
      <c r="WEZ49" s="375">
        <f t="shared" si="288"/>
        <v>0</v>
      </c>
      <c r="WFA49" s="375">
        <f t="shared" si="288"/>
        <v>0</v>
      </c>
      <c r="WFB49" s="375">
        <f t="shared" si="288"/>
        <v>0</v>
      </c>
      <c r="WFC49" s="375">
        <f t="shared" si="288"/>
        <v>0</v>
      </c>
      <c r="WFD49" s="375">
        <f t="shared" si="288"/>
        <v>0</v>
      </c>
      <c r="WFE49" s="375">
        <f t="shared" si="288"/>
        <v>0</v>
      </c>
      <c r="WFF49" s="375">
        <f t="shared" si="288"/>
        <v>0</v>
      </c>
      <c r="WFG49" s="375">
        <f t="shared" si="288"/>
        <v>0</v>
      </c>
      <c r="WFH49" s="375">
        <f t="shared" si="288"/>
        <v>0</v>
      </c>
      <c r="WFI49" s="375">
        <f t="shared" si="288"/>
        <v>0</v>
      </c>
      <c r="WFJ49" s="375">
        <f t="shared" si="288"/>
        <v>0</v>
      </c>
      <c r="WFK49" s="375">
        <f t="shared" si="288"/>
        <v>0</v>
      </c>
      <c r="WFL49" s="375">
        <f t="shared" si="288"/>
        <v>0</v>
      </c>
      <c r="WFM49" s="375">
        <f t="shared" si="288"/>
        <v>0</v>
      </c>
      <c r="WFN49" s="375">
        <f t="shared" si="288"/>
        <v>0</v>
      </c>
      <c r="WFO49" s="375">
        <f t="shared" si="288"/>
        <v>0</v>
      </c>
      <c r="WFP49" s="375">
        <f t="shared" si="288"/>
        <v>0</v>
      </c>
      <c r="WFQ49" s="375">
        <f t="shared" si="288"/>
        <v>0</v>
      </c>
      <c r="WFR49" s="375">
        <f t="shared" si="288"/>
        <v>0</v>
      </c>
      <c r="WFS49" s="375">
        <f t="shared" si="288"/>
        <v>0</v>
      </c>
      <c r="WFT49" s="375">
        <f t="shared" si="288"/>
        <v>0</v>
      </c>
      <c r="WFU49" s="375">
        <f t="shared" si="288"/>
        <v>0</v>
      </c>
      <c r="WFV49" s="375">
        <f t="shared" si="288"/>
        <v>0</v>
      </c>
      <c r="WFW49" s="375">
        <f t="shared" si="288"/>
        <v>0</v>
      </c>
      <c r="WFX49" s="375">
        <f t="shared" si="288"/>
        <v>0</v>
      </c>
      <c r="WFY49" s="375">
        <f t="shared" si="288"/>
        <v>0</v>
      </c>
      <c r="WFZ49" s="375">
        <f t="shared" si="288"/>
        <v>0</v>
      </c>
      <c r="WGA49" s="375">
        <f t="shared" si="288"/>
        <v>0</v>
      </c>
      <c r="WGB49" s="375">
        <f t="shared" si="288"/>
        <v>0</v>
      </c>
      <c r="WGC49" s="375">
        <f t="shared" si="288"/>
        <v>0</v>
      </c>
      <c r="WGD49" s="375">
        <f t="shared" si="288"/>
        <v>0</v>
      </c>
      <c r="WGE49" s="375">
        <f t="shared" si="288"/>
        <v>0</v>
      </c>
      <c r="WGF49" s="375">
        <f t="shared" si="288"/>
        <v>0</v>
      </c>
      <c r="WGG49" s="375">
        <f t="shared" si="288"/>
        <v>0</v>
      </c>
      <c r="WGH49" s="375">
        <f t="shared" si="288"/>
        <v>0</v>
      </c>
      <c r="WGI49" s="375">
        <f t="shared" si="288"/>
        <v>0</v>
      </c>
      <c r="WGJ49" s="375">
        <f t="shared" si="288"/>
        <v>0</v>
      </c>
      <c r="WGK49" s="375">
        <f t="shared" si="288"/>
        <v>0</v>
      </c>
      <c r="WGL49" s="375">
        <f t="shared" si="288"/>
        <v>0</v>
      </c>
      <c r="WGM49" s="375">
        <f t="shared" si="288"/>
        <v>0</v>
      </c>
      <c r="WGN49" s="375">
        <f t="shared" si="288"/>
        <v>0</v>
      </c>
      <c r="WGO49" s="375">
        <f t="shared" ref="WGO49:WIZ49" si="289">WGO48*0.8</f>
        <v>0</v>
      </c>
      <c r="WGP49" s="375">
        <f t="shared" si="289"/>
        <v>0</v>
      </c>
      <c r="WGQ49" s="375">
        <f t="shared" si="289"/>
        <v>0</v>
      </c>
      <c r="WGR49" s="375">
        <f t="shared" si="289"/>
        <v>0</v>
      </c>
      <c r="WGS49" s="375">
        <f t="shared" si="289"/>
        <v>0</v>
      </c>
      <c r="WGT49" s="375">
        <f t="shared" si="289"/>
        <v>0</v>
      </c>
      <c r="WGU49" s="375">
        <f t="shared" si="289"/>
        <v>0</v>
      </c>
      <c r="WGV49" s="375">
        <f t="shared" si="289"/>
        <v>0</v>
      </c>
      <c r="WGW49" s="375">
        <f t="shared" si="289"/>
        <v>0</v>
      </c>
      <c r="WGX49" s="375">
        <f t="shared" si="289"/>
        <v>0</v>
      </c>
      <c r="WGY49" s="375">
        <f t="shared" si="289"/>
        <v>0</v>
      </c>
      <c r="WGZ49" s="375">
        <f t="shared" si="289"/>
        <v>0</v>
      </c>
      <c r="WHA49" s="375">
        <f t="shared" si="289"/>
        <v>0</v>
      </c>
      <c r="WHB49" s="375">
        <f t="shared" si="289"/>
        <v>0</v>
      </c>
      <c r="WHC49" s="375">
        <f t="shared" si="289"/>
        <v>0</v>
      </c>
      <c r="WHD49" s="375">
        <f t="shared" si="289"/>
        <v>0</v>
      </c>
      <c r="WHE49" s="375">
        <f t="shared" si="289"/>
        <v>0</v>
      </c>
      <c r="WHF49" s="375">
        <f t="shared" si="289"/>
        <v>0</v>
      </c>
      <c r="WHG49" s="375">
        <f t="shared" si="289"/>
        <v>0</v>
      </c>
      <c r="WHH49" s="375">
        <f t="shared" si="289"/>
        <v>0</v>
      </c>
      <c r="WHI49" s="375">
        <f t="shared" si="289"/>
        <v>0</v>
      </c>
      <c r="WHJ49" s="375">
        <f t="shared" si="289"/>
        <v>0</v>
      </c>
      <c r="WHK49" s="375">
        <f t="shared" si="289"/>
        <v>0</v>
      </c>
      <c r="WHL49" s="375">
        <f t="shared" si="289"/>
        <v>0</v>
      </c>
      <c r="WHM49" s="375">
        <f t="shared" si="289"/>
        <v>0</v>
      </c>
      <c r="WHN49" s="375">
        <f t="shared" si="289"/>
        <v>0</v>
      </c>
      <c r="WHO49" s="375">
        <f t="shared" si="289"/>
        <v>0</v>
      </c>
      <c r="WHP49" s="375">
        <f t="shared" si="289"/>
        <v>0</v>
      </c>
      <c r="WHQ49" s="375">
        <f t="shared" si="289"/>
        <v>0</v>
      </c>
      <c r="WHR49" s="375">
        <f t="shared" si="289"/>
        <v>0</v>
      </c>
      <c r="WHS49" s="375">
        <f t="shared" si="289"/>
        <v>0</v>
      </c>
      <c r="WHT49" s="375">
        <f t="shared" si="289"/>
        <v>0</v>
      </c>
      <c r="WHU49" s="375">
        <f t="shared" si="289"/>
        <v>0</v>
      </c>
      <c r="WHV49" s="375">
        <f t="shared" si="289"/>
        <v>0</v>
      </c>
      <c r="WHW49" s="375">
        <f t="shared" si="289"/>
        <v>0</v>
      </c>
      <c r="WHX49" s="375">
        <f t="shared" si="289"/>
        <v>0</v>
      </c>
      <c r="WHY49" s="375">
        <f t="shared" si="289"/>
        <v>0</v>
      </c>
      <c r="WHZ49" s="375">
        <f t="shared" si="289"/>
        <v>0</v>
      </c>
      <c r="WIA49" s="375">
        <f t="shared" si="289"/>
        <v>0</v>
      </c>
      <c r="WIB49" s="375">
        <f t="shared" si="289"/>
        <v>0</v>
      </c>
      <c r="WIC49" s="375">
        <f t="shared" si="289"/>
        <v>0</v>
      </c>
      <c r="WID49" s="375">
        <f t="shared" si="289"/>
        <v>0</v>
      </c>
      <c r="WIE49" s="375">
        <f t="shared" si="289"/>
        <v>0</v>
      </c>
      <c r="WIF49" s="375">
        <f t="shared" si="289"/>
        <v>0</v>
      </c>
      <c r="WIG49" s="375">
        <f t="shared" si="289"/>
        <v>0</v>
      </c>
      <c r="WIH49" s="375">
        <f t="shared" si="289"/>
        <v>0</v>
      </c>
      <c r="WII49" s="375">
        <f t="shared" si="289"/>
        <v>0</v>
      </c>
      <c r="WIJ49" s="375">
        <f t="shared" si="289"/>
        <v>0</v>
      </c>
      <c r="WIK49" s="375">
        <f t="shared" si="289"/>
        <v>0</v>
      </c>
      <c r="WIL49" s="375">
        <f t="shared" si="289"/>
        <v>0</v>
      </c>
      <c r="WIM49" s="375">
        <f t="shared" si="289"/>
        <v>0</v>
      </c>
      <c r="WIN49" s="375">
        <f t="shared" si="289"/>
        <v>0</v>
      </c>
      <c r="WIO49" s="375">
        <f t="shared" si="289"/>
        <v>0</v>
      </c>
      <c r="WIP49" s="375">
        <f t="shared" si="289"/>
        <v>0</v>
      </c>
      <c r="WIQ49" s="375">
        <f t="shared" si="289"/>
        <v>0</v>
      </c>
      <c r="WIR49" s="375">
        <f t="shared" si="289"/>
        <v>0</v>
      </c>
      <c r="WIS49" s="375">
        <f t="shared" si="289"/>
        <v>0</v>
      </c>
      <c r="WIT49" s="375">
        <f t="shared" si="289"/>
        <v>0</v>
      </c>
      <c r="WIU49" s="375">
        <f t="shared" si="289"/>
        <v>0</v>
      </c>
      <c r="WIV49" s="375">
        <f t="shared" si="289"/>
        <v>0</v>
      </c>
      <c r="WIW49" s="375">
        <f t="shared" si="289"/>
        <v>0</v>
      </c>
      <c r="WIX49" s="375">
        <f t="shared" si="289"/>
        <v>0</v>
      </c>
      <c r="WIY49" s="375">
        <f t="shared" si="289"/>
        <v>0</v>
      </c>
      <c r="WIZ49" s="375">
        <f t="shared" si="289"/>
        <v>0</v>
      </c>
      <c r="WJA49" s="375">
        <f t="shared" ref="WJA49:WLL49" si="290">WJA48*0.8</f>
        <v>0</v>
      </c>
      <c r="WJB49" s="375">
        <f t="shared" si="290"/>
        <v>0</v>
      </c>
      <c r="WJC49" s="375">
        <f t="shared" si="290"/>
        <v>0</v>
      </c>
      <c r="WJD49" s="375">
        <f t="shared" si="290"/>
        <v>0</v>
      </c>
      <c r="WJE49" s="375">
        <f t="shared" si="290"/>
        <v>0</v>
      </c>
      <c r="WJF49" s="375">
        <f t="shared" si="290"/>
        <v>0</v>
      </c>
      <c r="WJG49" s="375">
        <f t="shared" si="290"/>
        <v>0</v>
      </c>
      <c r="WJH49" s="375">
        <f t="shared" si="290"/>
        <v>0</v>
      </c>
      <c r="WJI49" s="375">
        <f t="shared" si="290"/>
        <v>0</v>
      </c>
      <c r="WJJ49" s="375">
        <f t="shared" si="290"/>
        <v>0</v>
      </c>
      <c r="WJK49" s="375">
        <f t="shared" si="290"/>
        <v>0</v>
      </c>
      <c r="WJL49" s="375">
        <f t="shared" si="290"/>
        <v>0</v>
      </c>
      <c r="WJM49" s="375">
        <f t="shared" si="290"/>
        <v>0</v>
      </c>
      <c r="WJN49" s="375">
        <f t="shared" si="290"/>
        <v>0</v>
      </c>
      <c r="WJO49" s="375">
        <f t="shared" si="290"/>
        <v>0</v>
      </c>
      <c r="WJP49" s="375">
        <f t="shared" si="290"/>
        <v>0</v>
      </c>
      <c r="WJQ49" s="375">
        <f t="shared" si="290"/>
        <v>0</v>
      </c>
      <c r="WJR49" s="375">
        <f t="shared" si="290"/>
        <v>0</v>
      </c>
      <c r="WJS49" s="375">
        <f t="shared" si="290"/>
        <v>0</v>
      </c>
      <c r="WJT49" s="375">
        <f t="shared" si="290"/>
        <v>0</v>
      </c>
      <c r="WJU49" s="375">
        <f t="shared" si="290"/>
        <v>0</v>
      </c>
      <c r="WJV49" s="375">
        <f t="shared" si="290"/>
        <v>0</v>
      </c>
      <c r="WJW49" s="375">
        <f t="shared" si="290"/>
        <v>0</v>
      </c>
      <c r="WJX49" s="375">
        <f t="shared" si="290"/>
        <v>0</v>
      </c>
      <c r="WJY49" s="375">
        <f t="shared" si="290"/>
        <v>0</v>
      </c>
      <c r="WJZ49" s="375">
        <f t="shared" si="290"/>
        <v>0</v>
      </c>
      <c r="WKA49" s="375">
        <f t="shared" si="290"/>
        <v>0</v>
      </c>
      <c r="WKB49" s="375">
        <f t="shared" si="290"/>
        <v>0</v>
      </c>
      <c r="WKC49" s="375">
        <f t="shared" si="290"/>
        <v>0</v>
      </c>
      <c r="WKD49" s="375">
        <f t="shared" si="290"/>
        <v>0</v>
      </c>
      <c r="WKE49" s="375">
        <f t="shared" si="290"/>
        <v>0</v>
      </c>
      <c r="WKF49" s="375">
        <f t="shared" si="290"/>
        <v>0</v>
      </c>
      <c r="WKG49" s="375">
        <f t="shared" si="290"/>
        <v>0</v>
      </c>
      <c r="WKH49" s="375">
        <f t="shared" si="290"/>
        <v>0</v>
      </c>
      <c r="WKI49" s="375">
        <f t="shared" si="290"/>
        <v>0</v>
      </c>
      <c r="WKJ49" s="375">
        <f t="shared" si="290"/>
        <v>0</v>
      </c>
      <c r="WKK49" s="375">
        <f t="shared" si="290"/>
        <v>0</v>
      </c>
      <c r="WKL49" s="375">
        <f t="shared" si="290"/>
        <v>0</v>
      </c>
      <c r="WKM49" s="375">
        <f t="shared" si="290"/>
        <v>0</v>
      </c>
      <c r="WKN49" s="375">
        <f t="shared" si="290"/>
        <v>0</v>
      </c>
      <c r="WKO49" s="375">
        <f t="shared" si="290"/>
        <v>0</v>
      </c>
      <c r="WKP49" s="375">
        <f t="shared" si="290"/>
        <v>0</v>
      </c>
      <c r="WKQ49" s="375">
        <f t="shared" si="290"/>
        <v>0</v>
      </c>
      <c r="WKR49" s="375">
        <f t="shared" si="290"/>
        <v>0</v>
      </c>
      <c r="WKS49" s="375">
        <f t="shared" si="290"/>
        <v>0</v>
      </c>
      <c r="WKT49" s="375">
        <f t="shared" si="290"/>
        <v>0</v>
      </c>
      <c r="WKU49" s="375">
        <f t="shared" si="290"/>
        <v>0</v>
      </c>
      <c r="WKV49" s="375">
        <f t="shared" si="290"/>
        <v>0</v>
      </c>
      <c r="WKW49" s="375">
        <f t="shared" si="290"/>
        <v>0</v>
      </c>
      <c r="WKX49" s="375">
        <f t="shared" si="290"/>
        <v>0</v>
      </c>
      <c r="WKY49" s="375">
        <f t="shared" si="290"/>
        <v>0</v>
      </c>
      <c r="WKZ49" s="375">
        <f t="shared" si="290"/>
        <v>0</v>
      </c>
      <c r="WLA49" s="375">
        <f t="shared" si="290"/>
        <v>0</v>
      </c>
      <c r="WLB49" s="375">
        <f t="shared" si="290"/>
        <v>0</v>
      </c>
      <c r="WLC49" s="375">
        <f t="shared" si="290"/>
        <v>0</v>
      </c>
      <c r="WLD49" s="375">
        <f t="shared" si="290"/>
        <v>0</v>
      </c>
      <c r="WLE49" s="375">
        <f t="shared" si="290"/>
        <v>0</v>
      </c>
      <c r="WLF49" s="375">
        <f t="shared" si="290"/>
        <v>0</v>
      </c>
      <c r="WLG49" s="375">
        <f t="shared" si="290"/>
        <v>0</v>
      </c>
      <c r="WLH49" s="375">
        <f t="shared" si="290"/>
        <v>0</v>
      </c>
      <c r="WLI49" s="375">
        <f t="shared" si="290"/>
        <v>0</v>
      </c>
      <c r="WLJ49" s="375">
        <f t="shared" si="290"/>
        <v>0</v>
      </c>
      <c r="WLK49" s="375">
        <f t="shared" si="290"/>
        <v>0</v>
      </c>
      <c r="WLL49" s="375">
        <f t="shared" si="290"/>
        <v>0</v>
      </c>
      <c r="WLM49" s="375">
        <f t="shared" ref="WLM49:WNX49" si="291">WLM48*0.8</f>
        <v>0</v>
      </c>
      <c r="WLN49" s="375">
        <f t="shared" si="291"/>
        <v>0</v>
      </c>
      <c r="WLO49" s="375">
        <f t="shared" si="291"/>
        <v>0</v>
      </c>
      <c r="WLP49" s="375">
        <f t="shared" si="291"/>
        <v>0</v>
      </c>
      <c r="WLQ49" s="375">
        <f t="shared" si="291"/>
        <v>0</v>
      </c>
      <c r="WLR49" s="375">
        <f t="shared" si="291"/>
        <v>0</v>
      </c>
      <c r="WLS49" s="375">
        <f t="shared" si="291"/>
        <v>0</v>
      </c>
      <c r="WLT49" s="375">
        <f t="shared" si="291"/>
        <v>0</v>
      </c>
      <c r="WLU49" s="375">
        <f t="shared" si="291"/>
        <v>0</v>
      </c>
      <c r="WLV49" s="375">
        <f t="shared" si="291"/>
        <v>0</v>
      </c>
      <c r="WLW49" s="375">
        <f t="shared" si="291"/>
        <v>0</v>
      </c>
      <c r="WLX49" s="375">
        <f t="shared" si="291"/>
        <v>0</v>
      </c>
      <c r="WLY49" s="375">
        <f t="shared" si="291"/>
        <v>0</v>
      </c>
      <c r="WLZ49" s="375">
        <f t="shared" si="291"/>
        <v>0</v>
      </c>
      <c r="WMA49" s="375">
        <f t="shared" si="291"/>
        <v>0</v>
      </c>
      <c r="WMB49" s="375">
        <f t="shared" si="291"/>
        <v>0</v>
      </c>
      <c r="WMC49" s="375">
        <f t="shared" si="291"/>
        <v>0</v>
      </c>
      <c r="WMD49" s="375">
        <f t="shared" si="291"/>
        <v>0</v>
      </c>
      <c r="WME49" s="375">
        <f t="shared" si="291"/>
        <v>0</v>
      </c>
      <c r="WMF49" s="375">
        <f t="shared" si="291"/>
        <v>0</v>
      </c>
      <c r="WMG49" s="375">
        <f t="shared" si="291"/>
        <v>0</v>
      </c>
      <c r="WMH49" s="375">
        <f t="shared" si="291"/>
        <v>0</v>
      </c>
      <c r="WMI49" s="375">
        <f t="shared" si="291"/>
        <v>0</v>
      </c>
      <c r="WMJ49" s="375">
        <f t="shared" si="291"/>
        <v>0</v>
      </c>
      <c r="WMK49" s="375">
        <f t="shared" si="291"/>
        <v>0</v>
      </c>
      <c r="WML49" s="375">
        <f t="shared" si="291"/>
        <v>0</v>
      </c>
      <c r="WMM49" s="375">
        <f t="shared" si="291"/>
        <v>0</v>
      </c>
      <c r="WMN49" s="375">
        <f t="shared" si="291"/>
        <v>0</v>
      </c>
      <c r="WMO49" s="375">
        <f t="shared" si="291"/>
        <v>0</v>
      </c>
      <c r="WMP49" s="375">
        <f t="shared" si="291"/>
        <v>0</v>
      </c>
      <c r="WMQ49" s="375">
        <f t="shared" si="291"/>
        <v>0</v>
      </c>
      <c r="WMR49" s="375">
        <f t="shared" si="291"/>
        <v>0</v>
      </c>
      <c r="WMS49" s="375">
        <f t="shared" si="291"/>
        <v>0</v>
      </c>
      <c r="WMT49" s="375">
        <f t="shared" si="291"/>
        <v>0</v>
      </c>
      <c r="WMU49" s="375">
        <f t="shared" si="291"/>
        <v>0</v>
      </c>
      <c r="WMV49" s="375">
        <f t="shared" si="291"/>
        <v>0</v>
      </c>
      <c r="WMW49" s="375">
        <f t="shared" si="291"/>
        <v>0</v>
      </c>
      <c r="WMX49" s="375">
        <f t="shared" si="291"/>
        <v>0</v>
      </c>
      <c r="WMY49" s="375">
        <f t="shared" si="291"/>
        <v>0</v>
      </c>
      <c r="WMZ49" s="375">
        <f t="shared" si="291"/>
        <v>0</v>
      </c>
      <c r="WNA49" s="375">
        <f t="shared" si="291"/>
        <v>0</v>
      </c>
      <c r="WNB49" s="375">
        <f t="shared" si="291"/>
        <v>0</v>
      </c>
      <c r="WNC49" s="375">
        <f t="shared" si="291"/>
        <v>0</v>
      </c>
      <c r="WND49" s="375">
        <f t="shared" si="291"/>
        <v>0</v>
      </c>
      <c r="WNE49" s="375">
        <f t="shared" si="291"/>
        <v>0</v>
      </c>
      <c r="WNF49" s="375">
        <f t="shared" si="291"/>
        <v>0</v>
      </c>
      <c r="WNG49" s="375">
        <f t="shared" si="291"/>
        <v>0</v>
      </c>
      <c r="WNH49" s="375">
        <f t="shared" si="291"/>
        <v>0</v>
      </c>
      <c r="WNI49" s="375">
        <f t="shared" si="291"/>
        <v>0</v>
      </c>
      <c r="WNJ49" s="375">
        <f t="shared" si="291"/>
        <v>0</v>
      </c>
      <c r="WNK49" s="375">
        <f t="shared" si="291"/>
        <v>0</v>
      </c>
      <c r="WNL49" s="375">
        <f t="shared" si="291"/>
        <v>0</v>
      </c>
      <c r="WNM49" s="375">
        <f t="shared" si="291"/>
        <v>0</v>
      </c>
      <c r="WNN49" s="375">
        <f t="shared" si="291"/>
        <v>0</v>
      </c>
      <c r="WNO49" s="375">
        <f t="shared" si="291"/>
        <v>0</v>
      </c>
      <c r="WNP49" s="375">
        <f t="shared" si="291"/>
        <v>0</v>
      </c>
      <c r="WNQ49" s="375">
        <f t="shared" si="291"/>
        <v>0</v>
      </c>
      <c r="WNR49" s="375">
        <f t="shared" si="291"/>
        <v>0</v>
      </c>
      <c r="WNS49" s="375">
        <f t="shared" si="291"/>
        <v>0</v>
      </c>
      <c r="WNT49" s="375">
        <f t="shared" si="291"/>
        <v>0</v>
      </c>
      <c r="WNU49" s="375">
        <f t="shared" si="291"/>
        <v>0</v>
      </c>
      <c r="WNV49" s="375">
        <f t="shared" si="291"/>
        <v>0</v>
      </c>
      <c r="WNW49" s="375">
        <f t="shared" si="291"/>
        <v>0</v>
      </c>
      <c r="WNX49" s="375">
        <f t="shared" si="291"/>
        <v>0</v>
      </c>
      <c r="WNY49" s="375">
        <f t="shared" ref="WNY49:WQJ49" si="292">WNY48*0.8</f>
        <v>0</v>
      </c>
      <c r="WNZ49" s="375">
        <f t="shared" si="292"/>
        <v>0</v>
      </c>
      <c r="WOA49" s="375">
        <f t="shared" si="292"/>
        <v>0</v>
      </c>
      <c r="WOB49" s="375">
        <f t="shared" si="292"/>
        <v>0</v>
      </c>
      <c r="WOC49" s="375">
        <f t="shared" si="292"/>
        <v>0</v>
      </c>
      <c r="WOD49" s="375">
        <f t="shared" si="292"/>
        <v>0</v>
      </c>
      <c r="WOE49" s="375">
        <f t="shared" si="292"/>
        <v>0</v>
      </c>
      <c r="WOF49" s="375">
        <f t="shared" si="292"/>
        <v>0</v>
      </c>
      <c r="WOG49" s="375">
        <f t="shared" si="292"/>
        <v>0</v>
      </c>
      <c r="WOH49" s="375">
        <f t="shared" si="292"/>
        <v>0</v>
      </c>
      <c r="WOI49" s="375">
        <f t="shared" si="292"/>
        <v>0</v>
      </c>
      <c r="WOJ49" s="375">
        <f t="shared" si="292"/>
        <v>0</v>
      </c>
      <c r="WOK49" s="375">
        <f t="shared" si="292"/>
        <v>0</v>
      </c>
      <c r="WOL49" s="375">
        <f t="shared" si="292"/>
        <v>0</v>
      </c>
      <c r="WOM49" s="375">
        <f t="shared" si="292"/>
        <v>0</v>
      </c>
      <c r="WON49" s="375">
        <f t="shared" si="292"/>
        <v>0</v>
      </c>
      <c r="WOO49" s="375">
        <f t="shared" si="292"/>
        <v>0</v>
      </c>
      <c r="WOP49" s="375">
        <f t="shared" si="292"/>
        <v>0</v>
      </c>
      <c r="WOQ49" s="375">
        <f t="shared" si="292"/>
        <v>0</v>
      </c>
      <c r="WOR49" s="375">
        <f t="shared" si="292"/>
        <v>0</v>
      </c>
      <c r="WOS49" s="375">
        <f t="shared" si="292"/>
        <v>0</v>
      </c>
      <c r="WOT49" s="375">
        <f t="shared" si="292"/>
        <v>0</v>
      </c>
      <c r="WOU49" s="375">
        <f t="shared" si="292"/>
        <v>0</v>
      </c>
      <c r="WOV49" s="375">
        <f t="shared" si="292"/>
        <v>0</v>
      </c>
      <c r="WOW49" s="375">
        <f t="shared" si="292"/>
        <v>0</v>
      </c>
      <c r="WOX49" s="375">
        <f t="shared" si="292"/>
        <v>0</v>
      </c>
      <c r="WOY49" s="375">
        <f t="shared" si="292"/>
        <v>0</v>
      </c>
      <c r="WOZ49" s="375">
        <f t="shared" si="292"/>
        <v>0</v>
      </c>
      <c r="WPA49" s="375">
        <f t="shared" si="292"/>
        <v>0</v>
      </c>
      <c r="WPB49" s="375">
        <f t="shared" si="292"/>
        <v>0</v>
      </c>
      <c r="WPC49" s="375">
        <f t="shared" si="292"/>
        <v>0</v>
      </c>
      <c r="WPD49" s="375">
        <f t="shared" si="292"/>
        <v>0</v>
      </c>
      <c r="WPE49" s="375">
        <f t="shared" si="292"/>
        <v>0</v>
      </c>
      <c r="WPF49" s="375">
        <f t="shared" si="292"/>
        <v>0</v>
      </c>
      <c r="WPG49" s="375">
        <f t="shared" si="292"/>
        <v>0</v>
      </c>
      <c r="WPH49" s="375">
        <f t="shared" si="292"/>
        <v>0</v>
      </c>
      <c r="WPI49" s="375">
        <f t="shared" si="292"/>
        <v>0</v>
      </c>
      <c r="WPJ49" s="375">
        <f t="shared" si="292"/>
        <v>0</v>
      </c>
      <c r="WPK49" s="375">
        <f t="shared" si="292"/>
        <v>0</v>
      </c>
      <c r="WPL49" s="375">
        <f t="shared" si="292"/>
        <v>0</v>
      </c>
      <c r="WPM49" s="375">
        <f t="shared" si="292"/>
        <v>0</v>
      </c>
      <c r="WPN49" s="375">
        <f t="shared" si="292"/>
        <v>0</v>
      </c>
      <c r="WPO49" s="375">
        <f t="shared" si="292"/>
        <v>0</v>
      </c>
      <c r="WPP49" s="375">
        <f t="shared" si="292"/>
        <v>0</v>
      </c>
      <c r="WPQ49" s="375">
        <f t="shared" si="292"/>
        <v>0</v>
      </c>
      <c r="WPR49" s="375">
        <f t="shared" si="292"/>
        <v>0</v>
      </c>
      <c r="WPS49" s="375">
        <f t="shared" si="292"/>
        <v>0</v>
      </c>
      <c r="WPT49" s="375">
        <f t="shared" si="292"/>
        <v>0</v>
      </c>
      <c r="WPU49" s="375">
        <f t="shared" si="292"/>
        <v>0</v>
      </c>
      <c r="WPV49" s="375">
        <f t="shared" si="292"/>
        <v>0</v>
      </c>
      <c r="WPW49" s="375">
        <f t="shared" si="292"/>
        <v>0</v>
      </c>
      <c r="WPX49" s="375">
        <f t="shared" si="292"/>
        <v>0</v>
      </c>
      <c r="WPY49" s="375">
        <f t="shared" si="292"/>
        <v>0</v>
      </c>
      <c r="WPZ49" s="375">
        <f t="shared" si="292"/>
        <v>0</v>
      </c>
      <c r="WQA49" s="375">
        <f t="shared" si="292"/>
        <v>0</v>
      </c>
      <c r="WQB49" s="375">
        <f t="shared" si="292"/>
        <v>0</v>
      </c>
      <c r="WQC49" s="375">
        <f t="shared" si="292"/>
        <v>0</v>
      </c>
      <c r="WQD49" s="375">
        <f t="shared" si="292"/>
        <v>0</v>
      </c>
      <c r="WQE49" s="375">
        <f t="shared" si="292"/>
        <v>0</v>
      </c>
      <c r="WQF49" s="375">
        <f t="shared" si="292"/>
        <v>0</v>
      </c>
      <c r="WQG49" s="375">
        <f t="shared" si="292"/>
        <v>0</v>
      </c>
      <c r="WQH49" s="375">
        <f t="shared" si="292"/>
        <v>0</v>
      </c>
      <c r="WQI49" s="375">
        <f t="shared" si="292"/>
        <v>0</v>
      </c>
      <c r="WQJ49" s="375">
        <f t="shared" si="292"/>
        <v>0</v>
      </c>
      <c r="WQK49" s="375">
        <f t="shared" ref="WQK49:WSV49" si="293">WQK48*0.8</f>
        <v>0</v>
      </c>
      <c r="WQL49" s="375">
        <f t="shared" si="293"/>
        <v>0</v>
      </c>
      <c r="WQM49" s="375">
        <f t="shared" si="293"/>
        <v>0</v>
      </c>
      <c r="WQN49" s="375">
        <f t="shared" si="293"/>
        <v>0</v>
      </c>
      <c r="WQO49" s="375">
        <f t="shared" si="293"/>
        <v>0</v>
      </c>
      <c r="WQP49" s="375">
        <f t="shared" si="293"/>
        <v>0</v>
      </c>
      <c r="WQQ49" s="375">
        <f t="shared" si="293"/>
        <v>0</v>
      </c>
      <c r="WQR49" s="375">
        <f t="shared" si="293"/>
        <v>0</v>
      </c>
      <c r="WQS49" s="375">
        <f t="shared" si="293"/>
        <v>0</v>
      </c>
      <c r="WQT49" s="375">
        <f t="shared" si="293"/>
        <v>0</v>
      </c>
      <c r="WQU49" s="375">
        <f t="shared" si="293"/>
        <v>0</v>
      </c>
      <c r="WQV49" s="375">
        <f t="shared" si="293"/>
        <v>0</v>
      </c>
      <c r="WQW49" s="375">
        <f t="shared" si="293"/>
        <v>0</v>
      </c>
      <c r="WQX49" s="375">
        <f t="shared" si="293"/>
        <v>0</v>
      </c>
      <c r="WQY49" s="375">
        <f t="shared" si="293"/>
        <v>0</v>
      </c>
      <c r="WQZ49" s="375">
        <f t="shared" si="293"/>
        <v>0</v>
      </c>
      <c r="WRA49" s="375">
        <f t="shared" si="293"/>
        <v>0</v>
      </c>
      <c r="WRB49" s="375">
        <f t="shared" si="293"/>
        <v>0</v>
      </c>
      <c r="WRC49" s="375">
        <f t="shared" si="293"/>
        <v>0</v>
      </c>
      <c r="WRD49" s="375">
        <f t="shared" si="293"/>
        <v>0</v>
      </c>
      <c r="WRE49" s="375">
        <f t="shared" si="293"/>
        <v>0</v>
      </c>
      <c r="WRF49" s="375">
        <f t="shared" si="293"/>
        <v>0</v>
      </c>
      <c r="WRG49" s="375">
        <f t="shared" si="293"/>
        <v>0</v>
      </c>
      <c r="WRH49" s="375">
        <f t="shared" si="293"/>
        <v>0</v>
      </c>
      <c r="WRI49" s="375">
        <f t="shared" si="293"/>
        <v>0</v>
      </c>
      <c r="WRJ49" s="375">
        <f t="shared" si="293"/>
        <v>0</v>
      </c>
      <c r="WRK49" s="375">
        <f t="shared" si="293"/>
        <v>0</v>
      </c>
      <c r="WRL49" s="375">
        <f t="shared" si="293"/>
        <v>0</v>
      </c>
      <c r="WRM49" s="375">
        <f t="shared" si="293"/>
        <v>0</v>
      </c>
      <c r="WRN49" s="375">
        <f t="shared" si="293"/>
        <v>0</v>
      </c>
      <c r="WRO49" s="375">
        <f t="shared" si="293"/>
        <v>0</v>
      </c>
      <c r="WRP49" s="375">
        <f t="shared" si="293"/>
        <v>0</v>
      </c>
      <c r="WRQ49" s="375">
        <f t="shared" si="293"/>
        <v>0</v>
      </c>
      <c r="WRR49" s="375">
        <f t="shared" si="293"/>
        <v>0</v>
      </c>
      <c r="WRS49" s="375">
        <f t="shared" si="293"/>
        <v>0</v>
      </c>
      <c r="WRT49" s="375">
        <f t="shared" si="293"/>
        <v>0</v>
      </c>
      <c r="WRU49" s="375">
        <f t="shared" si="293"/>
        <v>0</v>
      </c>
      <c r="WRV49" s="375">
        <f t="shared" si="293"/>
        <v>0</v>
      </c>
      <c r="WRW49" s="375">
        <f t="shared" si="293"/>
        <v>0</v>
      </c>
      <c r="WRX49" s="375">
        <f t="shared" si="293"/>
        <v>0</v>
      </c>
      <c r="WRY49" s="375">
        <f t="shared" si="293"/>
        <v>0</v>
      </c>
      <c r="WRZ49" s="375">
        <f t="shared" si="293"/>
        <v>0</v>
      </c>
      <c r="WSA49" s="375">
        <f t="shared" si="293"/>
        <v>0</v>
      </c>
      <c r="WSB49" s="375">
        <f t="shared" si="293"/>
        <v>0</v>
      </c>
      <c r="WSC49" s="375">
        <f t="shared" si="293"/>
        <v>0</v>
      </c>
      <c r="WSD49" s="375">
        <f t="shared" si="293"/>
        <v>0</v>
      </c>
      <c r="WSE49" s="375">
        <f t="shared" si="293"/>
        <v>0</v>
      </c>
      <c r="WSF49" s="375">
        <f t="shared" si="293"/>
        <v>0</v>
      </c>
      <c r="WSG49" s="375">
        <f t="shared" si="293"/>
        <v>0</v>
      </c>
      <c r="WSH49" s="375">
        <f t="shared" si="293"/>
        <v>0</v>
      </c>
      <c r="WSI49" s="375">
        <f t="shared" si="293"/>
        <v>0</v>
      </c>
      <c r="WSJ49" s="375">
        <f t="shared" si="293"/>
        <v>0</v>
      </c>
      <c r="WSK49" s="375">
        <f t="shared" si="293"/>
        <v>0</v>
      </c>
      <c r="WSL49" s="375">
        <f t="shared" si="293"/>
        <v>0</v>
      </c>
      <c r="WSM49" s="375">
        <f t="shared" si="293"/>
        <v>0</v>
      </c>
      <c r="WSN49" s="375">
        <f t="shared" si="293"/>
        <v>0</v>
      </c>
      <c r="WSO49" s="375">
        <f t="shared" si="293"/>
        <v>0</v>
      </c>
      <c r="WSP49" s="375">
        <f t="shared" si="293"/>
        <v>0</v>
      </c>
      <c r="WSQ49" s="375">
        <f t="shared" si="293"/>
        <v>0</v>
      </c>
      <c r="WSR49" s="375">
        <f t="shared" si="293"/>
        <v>0</v>
      </c>
      <c r="WSS49" s="375">
        <f t="shared" si="293"/>
        <v>0</v>
      </c>
      <c r="WST49" s="375">
        <f t="shared" si="293"/>
        <v>0</v>
      </c>
      <c r="WSU49" s="375">
        <f t="shared" si="293"/>
        <v>0</v>
      </c>
      <c r="WSV49" s="375">
        <f t="shared" si="293"/>
        <v>0</v>
      </c>
      <c r="WSW49" s="375">
        <f t="shared" ref="WSW49:WVH49" si="294">WSW48*0.8</f>
        <v>0</v>
      </c>
      <c r="WSX49" s="375">
        <f t="shared" si="294"/>
        <v>0</v>
      </c>
      <c r="WSY49" s="375">
        <f t="shared" si="294"/>
        <v>0</v>
      </c>
      <c r="WSZ49" s="375">
        <f t="shared" si="294"/>
        <v>0</v>
      </c>
      <c r="WTA49" s="375">
        <f t="shared" si="294"/>
        <v>0</v>
      </c>
      <c r="WTB49" s="375">
        <f t="shared" si="294"/>
        <v>0</v>
      </c>
      <c r="WTC49" s="375">
        <f t="shared" si="294"/>
        <v>0</v>
      </c>
      <c r="WTD49" s="375">
        <f t="shared" si="294"/>
        <v>0</v>
      </c>
      <c r="WTE49" s="375">
        <f t="shared" si="294"/>
        <v>0</v>
      </c>
      <c r="WTF49" s="375">
        <f t="shared" si="294"/>
        <v>0</v>
      </c>
      <c r="WTG49" s="375">
        <f t="shared" si="294"/>
        <v>0</v>
      </c>
      <c r="WTH49" s="375">
        <f t="shared" si="294"/>
        <v>0</v>
      </c>
      <c r="WTI49" s="375">
        <f t="shared" si="294"/>
        <v>0</v>
      </c>
      <c r="WTJ49" s="375">
        <f t="shared" si="294"/>
        <v>0</v>
      </c>
      <c r="WTK49" s="375">
        <f t="shared" si="294"/>
        <v>0</v>
      </c>
      <c r="WTL49" s="375">
        <f t="shared" si="294"/>
        <v>0</v>
      </c>
      <c r="WTM49" s="375">
        <f t="shared" si="294"/>
        <v>0</v>
      </c>
      <c r="WTN49" s="375">
        <f t="shared" si="294"/>
        <v>0</v>
      </c>
      <c r="WTO49" s="375">
        <f t="shared" si="294"/>
        <v>0</v>
      </c>
      <c r="WTP49" s="375">
        <f t="shared" si="294"/>
        <v>0</v>
      </c>
      <c r="WTQ49" s="375">
        <f t="shared" si="294"/>
        <v>0</v>
      </c>
      <c r="WTR49" s="375">
        <f t="shared" si="294"/>
        <v>0</v>
      </c>
      <c r="WTS49" s="375">
        <f t="shared" si="294"/>
        <v>0</v>
      </c>
      <c r="WTT49" s="375">
        <f t="shared" si="294"/>
        <v>0</v>
      </c>
      <c r="WTU49" s="375">
        <f t="shared" si="294"/>
        <v>0</v>
      </c>
      <c r="WTV49" s="375">
        <f t="shared" si="294"/>
        <v>0</v>
      </c>
      <c r="WTW49" s="375">
        <f t="shared" si="294"/>
        <v>0</v>
      </c>
      <c r="WTX49" s="375">
        <f t="shared" si="294"/>
        <v>0</v>
      </c>
      <c r="WTY49" s="375">
        <f t="shared" si="294"/>
        <v>0</v>
      </c>
      <c r="WTZ49" s="375">
        <f t="shared" si="294"/>
        <v>0</v>
      </c>
      <c r="WUA49" s="375">
        <f t="shared" si="294"/>
        <v>0</v>
      </c>
      <c r="WUB49" s="375">
        <f t="shared" si="294"/>
        <v>0</v>
      </c>
      <c r="WUC49" s="375">
        <f t="shared" si="294"/>
        <v>0</v>
      </c>
      <c r="WUD49" s="375">
        <f t="shared" si="294"/>
        <v>0</v>
      </c>
      <c r="WUE49" s="375">
        <f t="shared" si="294"/>
        <v>0</v>
      </c>
      <c r="WUF49" s="375">
        <f t="shared" si="294"/>
        <v>0</v>
      </c>
      <c r="WUG49" s="375">
        <f t="shared" si="294"/>
        <v>0</v>
      </c>
      <c r="WUH49" s="375">
        <f t="shared" si="294"/>
        <v>0</v>
      </c>
      <c r="WUI49" s="375">
        <f t="shared" si="294"/>
        <v>0</v>
      </c>
      <c r="WUJ49" s="375">
        <f t="shared" si="294"/>
        <v>0</v>
      </c>
      <c r="WUK49" s="375">
        <f t="shared" si="294"/>
        <v>0</v>
      </c>
      <c r="WUL49" s="375">
        <f t="shared" si="294"/>
        <v>0</v>
      </c>
      <c r="WUM49" s="375">
        <f t="shared" si="294"/>
        <v>0</v>
      </c>
      <c r="WUN49" s="375">
        <f t="shared" si="294"/>
        <v>0</v>
      </c>
      <c r="WUO49" s="375">
        <f t="shared" si="294"/>
        <v>0</v>
      </c>
      <c r="WUP49" s="375">
        <f t="shared" si="294"/>
        <v>0</v>
      </c>
      <c r="WUQ49" s="375">
        <f t="shared" si="294"/>
        <v>0</v>
      </c>
      <c r="WUR49" s="375">
        <f t="shared" si="294"/>
        <v>0</v>
      </c>
      <c r="WUS49" s="375">
        <f t="shared" si="294"/>
        <v>0</v>
      </c>
      <c r="WUT49" s="375">
        <f t="shared" si="294"/>
        <v>0</v>
      </c>
      <c r="WUU49" s="375">
        <f t="shared" si="294"/>
        <v>0</v>
      </c>
      <c r="WUV49" s="375">
        <f t="shared" si="294"/>
        <v>0</v>
      </c>
      <c r="WUW49" s="375">
        <f t="shared" si="294"/>
        <v>0</v>
      </c>
      <c r="WUX49" s="375">
        <f t="shared" si="294"/>
        <v>0</v>
      </c>
      <c r="WUY49" s="375">
        <f t="shared" si="294"/>
        <v>0</v>
      </c>
      <c r="WUZ49" s="375">
        <f t="shared" si="294"/>
        <v>0</v>
      </c>
      <c r="WVA49" s="375">
        <f t="shared" si="294"/>
        <v>0</v>
      </c>
      <c r="WVB49" s="375">
        <f t="shared" si="294"/>
        <v>0</v>
      </c>
      <c r="WVC49" s="375">
        <f t="shared" si="294"/>
        <v>0</v>
      </c>
      <c r="WVD49" s="375">
        <f t="shared" si="294"/>
        <v>0</v>
      </c>
      <c r="WVE49" s="375">
        <f t="shared" si="294"/>
        <v>0</v>
      </c>
      <c r="WVF49" s="375">
        <f t="shared" si="294"/>
        <v>0</v>
      </c>
      <c r="WVG49" s="375">
        <f t="shared" si="294"/>
        <v>0</v>
      </c>
      <c r="WVH49" s="375">
        <f t="shared" si="294"/>
        <v>0</v>
      </c>
      <c r="WVI49" s="375">
        <f t="shared" ref="WVI49:WXT49" si="295">WVI48*0.8</f>
        <v>0</v>
      </c>
      <c r="WVJ49" s="375">
        <f t="shared" si="295"/>
        <v>0</v>
      </c>
      <c r="WVK49" s="375">
        <f t="shared" si="295"/>
        <v>0</v>
      </c>
      <c r="WVL49" s="375">
        <f t="shared" si="295"/>
        <v>0</v>
      </c>
      <c r="WVM49" s="375">
        <f t="shared" si="295"/>
        <v>0</v>
      </c>
      <c r="WVN49" s="375">
        <f t="shared" si="295"/>
        <v>0</v>
      </c>
      <c r="WVO49" s="375">
        <f t="shared" si="295"/>
        <v>0</v>
      </c>
      <c r="WVP49" s="375">
        <f t="shared" si="295"/>
        <v>0</v>
      </c>
      <c r="WVQ49" s="375">
        <f t="shared" si="295"/>
        <v>0</v>
      </c>
      <c r="WVR49" s="375">
        <f t="shared" si="295"/>
        <v>0</v>
      </c>
      <c r="WVS49" s="375">
        <f t="shared" si="295"/>
        <v>0</v>
      </c>
      <c r="WVT49" s="375">
        <f t="shared" si="295"/>
        <v>0</v>
      </c>
      <c r="WVU49" s="375">
        <f t="shared" si="295"/>
        <v>0</v>
      </c>
      <c r="WVV49" s="375">
        <f t="shared" si="295"/>
        <v>0</v>
      </c>
      <c r="WVW49" s="375">
        <f t="shared" si="295"/>
        <v>0</v>
      </c>
      <c r="WVX49" s="375">
        <f t="shared" si="295"/>
        <v>0</v>
      </c>
      <c r="WVY49" s="375">
        <f t="shared" si="295"/>
        <v>0</v>
      </c>
      <c r="WVZ49" s="375">
        <f t="shared" si="295"/>
        <v>0</v>
      </c>
      <c r="WWA49" s="375">
        <f t="shared" si="295"/>
        <v>0</v>
      </c>
      <c r="WWB49" s="375">
        <f t="shared" si="295"/>
        <v>0</v>
      </c>
      <c r="WWC49" s="375">
        <f t="shared" si="295"/>
        <v>0</v>
      </c>
      <c r="WWD49" s="375">
        <f t="shared" si="295"/>
        <v>0</v>
      </c>
      <c r="WWE49" s="375">
        <f t="shared" si="295"/>
        <v>0</v>
      </c>
      <c r="WWF49" s="375">
        <f t="shared" si="295"/>
        <v>0</v>
      </c>
      <c r="WWG49" s="375">
        <f t="shared" si="295"/>
        <v>0</v>
      </c>
      <c r="WWH49" s="375">
        <f t="shared" si="295"/>
        <v>0</v>
      </c>
      <c r="WWI49" s="375">
        <f t="shared" si="295"/>
        <v>0</v>
      </c>
      <c r="WWJ49" s="375">
        <f t="shared" si="295"/>
        <v>0</v>
      </c>
      <c r="WWK49" s="375">
        <f t="shared" si="295"/>
        <v>0</v>
      </c>
      <c r="WWL49" s="375">
        <f t="shared" si="295"/>
        <v>0</v>
      </c>
      <c r="WWM49" s="375">
        <f t="shared" si="295"/>
        <v>0</v>
      </c>
      <c r="WWN49" s="375">
        <f t="shared" si="295"/>
        <v>0</v>
      </c>
      <c r="WWO49" s="375">
        <f t="shared" si="295"/>
        <v>0</v>
      </c>
      <c r="WWP49" s="375">
        <f t="shared" si="295"/>
        <v>0</v>
      </c>
      <c r="WWQ49" s="375">
        <f t="shared" si="295"/>
        <v>0</v>
      </c>
      <c r="WWR49" s="375">
        <f t="shared" si="295"/>
        <v>0</v>
      </c>
      <c r="WWS49" s="375">
        <f t="shared" si="295"/>
        <v>0</v>
      </c>
      <c r="WWT49" s="375">
        <f t="shared" si="295"/>
        <v>0</v>
      </c>
      <c r="WWU49" s="375">
        <f t="shared" si="295"/>
        <v>0</v>
      </c>
      <c r="WWV49" s="375">
        <f t="shared" si="295"/>
        <v>0</v>
      </c>
      <c r="WWW49" s="375">
        <f t="shared" si="295"/>
        <v>0</v>
      </c>
      <c r="WWX49" s="375">
        <f t="shared" si="295"/>
        <v>0</v>
      </c>
      <c r="WWY49" s="375">
        <f t="shared" si="295"/>
        <v>0</v>
      </c>
      <c r="WWZ49" s="375">
        <f t="shared" si="295"/>
        <v>0</v>
      </c>
      <c r="WXA49" s="375">
        <f t="shared" si="295"/>
        <v>0</v>
      </c>
      <c r="WXB49" s="375">
        <f t="shared" si="295"/>
        <v>0</v>
      </c>
      <c r="WXC49" s="375">
        <f t="shared" si="295"/>
        <v>0</v>
      </c>
      <c r="WXD49" s="375">
        <f t="shared" si="295"/>
        <v>0</v>
      </c>
      <c r="WXE49" s="375">
        <f t="shared" si="295"/>
        <v>0</v>
      </c>
      <c r="WXF49" s="375">
        <f t="shared" si="295"/>
        <v>0</v>
      </c>
      <c r="WXG49" s="375">
        <f t="shared" si="295"/>
        <v>0</v>
      </c>
      <c r="WXH49" s="375">
        <f t="shared" si="295"/>
        <v>0</v>
      </c>
      <c r="WXI49" s="375">
        <f t="shared" si="295"/>
        <v>0</v>
      </c>
      <c r="WXJ49" s="375">
        <f t="shared" si="295"/>
        <v>0</v>
      </c>
      <c r="WXK49" s="375">
        <f t="shared" si="295"/>
        <v>0</v>
      </c>
      <c r="WXL49" s="375">
        <f t="shared" si="295"/>
        <v>0</v>
      </c>
      <c r="WXM49" s="375">
        <f t="shared" si="295"/>
        <v>0</v>
      </c>
      <c r="WXN49" s="375">
        <f t="shared" si="295"/>
        <v>0</v>
      </c>
      <c r="WXO49" s="375">
        <f t="shared" si="295"/>
        <v>0</v>
      </c>
      <c r="WXP49" s="375">
        <f t="shared" si="295"/>
        <v>0</v>
      </c>
      <c r="WXQ49" s="375">
        <f t="shared" si="295"/>
        <v>0</v>
      </c>
      <c r="WXR49" s="375">
        <f t="shared" si="295"/>
        <v>0</v>
      </c>
      <c r="WXS49" s="375">
        <f t="shared" si="295"/>
        <v>0</v>
      </c>
      <c r="WXT49" s="375">
        <f t="shared" si="295"/>
        <v>0</v>
      </c>
      <c r="WXU49" s="375">
        <f t="shared" ref="WXU49:XAF49" si="296">WXU48*0.8</f>
        <v>0</v>
      </c>
      <c r="WXV49" s="375">
        <f t="shared" si="296"/>
        <v>0</v>
      </c>
      <c r="WXW49" s="375">
        <f t="shared" si="296"/>
        <v>0</v>
      </c>
      <c r="WXX49" s="375">
        <f t="shared" si="296"/>
        <v>0</v>
      </c>
      <c r="WXY49" s="375">
        <f t="shared" si="296"/>
        <v>0</v>
      </c>
      <c r="WXZ49" s="375">
        <f t="shared" si="296"/>
        <v>0</v>
      </c>
      <c r="WYA49" s="375">
        <f t="shared" si="296"/>
        <v>0</v>
      </c>
      <c r="WYB49" s="375">
        <f t="shared" si="296"/>
        <v>0</v>
      </c>
      <c r="WYC49" s="375">
        <f t="shared" si="296"/>
        <v>0</v>
      </c>
      <c r="WYD49" s="375">
        <f t="shared" si="296"/>
        <v>0</v>
      </c>
      <c r="WYE49" s="375">
        <f t="shared" si="296"/>
        <v>0</v>
      </c>
      <c r="WYF49" s="375">
        <f t="shared" si="296"/>
        <v>0</v>
      </c>
      <c r="WYG49" s="375">
        <f t="shared" si="296"/>
        <v>0</v>
      </c>
      <c r="WYH49" s="375">
        <f t="shared" si="296"/>
        <v>0</v>
      </c>
      <c r="WYI49" s="375">
        <f t="shared" si="296"/>
        <v>0</v>
      </c>
      <c r="WYJ49" s="375">
        <f t="shared" si="296"/>
        <v>0</v>
      </c>
      <c r="WYK49" s="375">
        <f t="shared" si="296"/>
        <v>0</v>
      </c>
      <c r="WYL49" s="375">
        <f t="shared" si="296"/>
        <v>0</v>
      </c>
      <c r="WYM49" s="375">
        <f t="shared" si="296"/>
        <v>0</v>
      </c>
      <c r="WYN49" s="375">
        <f t="shared" si="296"/>
        <v>0</v>
      </c>
      <c r="WYO49" s="375">
        <f t="shared" si="296"/>
        <v>0</v>
      </c>
      <c r="WYP49" s="375">
        <f t="shared" si="296"/>
        <v>0</v>
      </c>
      <c r="WYQ49" s="375">
        <f t="shared" si="296"/>
        <v>0</v>
      </c>
      <c r="WYR49" s="375">
        <f t="shared" si="296"/>
        <v>0</v>
      </c>
      <c r="WYS49" s="375">
        <f t="shared" si="296"/>
        <v>0</v>
      </c>
      <c r="WYT49" s="375">
        <f t="shared" si="296"/>
        <v>0</v>
      </c>
      <c r="WYU49" s="375">
        <f t="shared" si="296"/>
        <v>0</v>
      </c>
      <c r="WYV49" s="375">
        <f t="shared" si="296"/>
        <v>0</v>
      </c>
      <c r="WYW49" s="375">
        <f t="shared" si="296"/>
        <v>0</v>
      </c>
      <c r="WYX49" s="375">
        <f t="shared" si="296"/>
        <v>0</v>
      </c>
      <c r="WYY49" s="375">
        <f t="shared" si="296"/>
        <v>0</v>
      </c>
      <c r="WYZ49" s="375">
        <f t="shared" si="296"/>
        <v>0</v>
      </c>
      <c r="WZA49" s="375">
        <f t="shared" si="296"/>
        <v>0</v>
      </c>
      <c r="WZB49" s="375">
        <f t="shared" si="296"/>
        <v>0</v>
      </c>
      <c r="WZC49" s="375">
        <f t="shared" si="296"/>
        <v>0</v>
      </c>
      <c r="WZD49" s="375">
        <f t="shared" si="296"/>
        <v>0</v>
      </c>
      <c r="WZE49" s="375">
        <f t="shared" si="296"/>
        <v>0</v>
      </c>
      <c r="WZF49" s="375">
        <f t="shared" si="296"/>
        <v>0</v>
      </c>
      <c r="WZG49" s="375">
        <f t="shared" si="296"/>
        <v>0</v>
      </c>
      <c r="WZH49" s="375">
        <f t="shared" si="296"/>
        <v>0</v>
      </c>
      <c r="WZI49" s="375">
        <f t="shared" si="296"/>
        <v>0</v>
      </c>
      <c r="WZJ49" s="375">
        <f t="shared" si="296"/>
        <v>0</v>
      </c>
      <c r="WZK49" s="375">
        <f t="shared" si="296"/>
        <v>0</v>
      </c>
      <c r="WZL49" s="375">
        <f t="shared" si="296"/>
        <v>0</v>
      </c>
      <c r="WZM49" s="375">
        <f t="shared" si="296"/>
        <v>0</v>
      </c>
      <c r="WZN49" s="375">
        <f t="shared" si="296"/>
        <v>0</v>
      </c>
      <c r="WZO49" s="375">
        <f t="shared" si="296"/>
        <v>0</v>
      </c>
      <c r="WZP49" s="375">
        <f t="shared" si="296"/>
        <v>0</v>
      </c>
      <c r="WZQ49" s="375">
        <f t="shared" si="296"/>
        <v>0</v>
      </c>
      <c r="WZR49" s="375">
        <f t="shared" si="296"/>
        <v>0</v>
      </c>
      <c r="WZS49" s="375">
        <f t="shared" si="296"/>
        <v>0</v>
      </c>
      <c r="WZT49" s="375">
        <f t="shared" si="296"/>
        <v>0</v>
      </c>
      <c r="WZU49" s="375">
        <f t="shared" si="296"/>
        <v>0</v>
      </c>
      <c r="WZV49" s="375">
        <f t="shared" si="296"/>
        <v>0</v>
      </c>
      <c r="WZW49" s="375">
        <f t="shared" si="296"/>
        <v>0</v>
      </c>
      <c r="WZX49" s="375">
        <f t="shared" si="296"/>
        <v>0</v>
      </c>
      <c r="WZY49" s="375">
        <f t="shared" si="296"/>
        <v>0</v>
      </c>
      <c r="WZZ49" s="375">
        <f t="shared" si="296"/>
        <v>0</v>
      </c>
      <c r="XAA49" s="375">
        <f t="shared" si="296"/>
        <v>0</v>
      </c>
      <c r="XAB49" s="375">
        <f t="shared" si="296"/>
        <v>0</v>
      </c>
      <c r="XAC49" s="375">
        <f t="shared" si="296"/>
        <v>0</v>
      </c>
      <c r="XAD49" s="375">
        <f t="shared" si="296"/>
        <v>0</v>
      </c>
      <c r="XAE49" s="375">
        <f t="shared" si="296"/>
        <v>0</v>
      </c>
      <c r="XAF49" s="375">
        <f t="shared" si="296"/>
        <v>0</v>
      </c>
      <c r="XAG49" s="375">
        <f t="shared" ref="XAG49:XCR49" si="297">XAG48*0.8</f>
        <v>0</v>
      </c>
      <c r="XAH49" s="375">
        <f t="shared" si="297"/>
        <v>0</v>
      </c>
      <c r="XAI49" s="375">
        <f t="shared" si="297"/>
        <v>0</v>
      </c>
      <c r="XAJ49" s="375">
        <f t="shared" si="297"/>
        <v>0</v>
      </c>
      <c r="XAK49" s="375">
        <f t="shared" si="297"/>
        <v>0</v>
      </c>
      <c r="XAL49" s="375">
        <f t="shared" si="297"/>
        <v>0</v>
      </c>
      <c r="XAM49" s="375">
        <f t="shared" si="297"/>
        <v>0</v>
      </c>
      <c r="XAN49" s="375">
        <f t="shared" si="297"/>
        <v>0</v>
      </c>
      <c r="XAO49" s="375">
        <f t="shared" si="297"/>
        <v>0</v>
      </c>
      <c r="XAP49" s="375">
        <f t="shared" si="297"/>
        <v>0</v>
      </c>
      <c r="XAQ49" s="375">
        <f t="shared" si="297"/>
        <v>0</v>
      </c>
      <c r="XAR49" s="375">
        <f t="shared" si="297"/>
        <v>0</v>
      </c>
      <c r="XAS49" s="375">
        <f t="shared" si="297"/>
        <v>0</v>
      </c>
      <c r="XAT49" s="375">
        <f t="shared" si="297"/>
        <v>0</v>
      </c>
      <c r="XAU49" s="375">
        <f t="shared" si="297"/>
        <v>0</v>
      </c>
      <c r="XAV49" s="375">
        <f t="shared" si="297"/>
        <v>0</v>
      </c>
      <c r="XAW49" s="375">
        <f t="shared" si="297"/>
        <v>0</v>
      </c>
      <c r="XAX49" s="375">
        <f t="shared" si="297"/>
        <v>0</v>
      </c>
      <c r="XAY49" s="375">
        <f t="shared" si="297"/>
        <v>0</v>
      </c>
      <c r="XAZ49" s="375">
        <f t="shared" si="297"/>
        <v>0</v>
      </c>
      <c r="XBA49" s="375">
        <f t="shared" si="297"/>
        <v>0</v>
      </c>
      <c r="XBB49" s="375">
        <f t="shared" si="297"/>
        <v>0</v>
      </c>
      <c r="XBC49" s="375">
        <f t="shared" si="297"/>
        <v>0</v>
      </c>
      <c r="XBD49" s="375">
        <f t="shared" si="297"/>
        <v>0</v>
      </c>
      <c r="XBE49" s="375">
        <f t="shared" si="297"/>
        <v>0</v>
      </c>
      <c r="XBF49" s="375">
        <f t="shared" si="297"/>
        <v>0</v>
      </c>
      <c r="XBG49" s="375">
        <f t="shared" si="297"/>
        <v>0</v>
      </c>
      <c r="XBH49" s="375">
        <f t="shared" si="297"/>
        <v>0</v>
      </c>
      <c r="XBI49" s="375">
        <f t="shared" si="297"/>
        <v>0</v>
      </c>
      <c r="XBJ49" s="375">
        <f t="shared" si="297"/>
        <v>0</v>
      </c>
      <c r="XBK49" s="375">
        <f t="shared" si="297"/>
        <v>0</v>
      </c>
      <c r="XBL49" s="375">
        <f t="shared" si="297"/>
        <v>0</v>
      </c>
      <c r="XBM49" s="375">
        <f t="shared" si="297"/>
        <v>0</v>
      </c>
      <c r="XBN49" s="375">
        <f t="shared" si="297"/>
        <v>0</v>
      </c>
      <c r="XBO49" s="375">
        <f t="shared" si="297"/>
        <v>0</v>
      </c>
      <c r="XBP49" s="375">
        <f t="shared" si="297"/>
        <v>0</v>
      </c>
      <c r="XBQ49" s="375">
        <f t="shared" si="297"/>
        <v>0</v>
      </c>
      <c r="XBR49" s="375">
        <f t="shared" si="297"/>
        <v>0</v>
      </c>
      <c r="XBS49" s="375">
        <f t="shared" si="297"/>
        <v>0</v>
      </c>
      <c r="XBT49" s="375">
        <f t="shared" si="297"/>
        <v>0</v>
      </c>
      <c r="XBU49" s="375">
        <f t="shared" si="297"/>
        <v>0</v>
      </c>
      <c r="XBV49" s="375">
        <f t="shared" si="297"/>
        <v>0</v>
      </c>
      <c r="XBW49" s="375">
        <f t="shared" si="297"/>
        <v>0</v>
      </c>
      <c r="XBX49" s="375">
        <f t="shared" si="297"/>
        <v>0</v>
      </c>
      <c r="XBY49" s="375">
        <f t="shared" si="297"/>
        <v>0</v>
      </c>
      <c r="XBZ49" s="375">
        <f t="shared" si="297"/>
        <v>0</v>
      </c>
      <c r="XCA49" s="375">
        <f t="shared" si="297"/>
        <v>0</v>
      </c>
      <c r="XCB49" s="375">
        <f t="shared" si="297"/>
        <v>0</v>
      </c>
      <c r="XCC49" s="375">
        <f t="shared" si="297"/>
        <v>0</v>
      </c>
      <c r="XCD49" s="375">
        <f t="shared" si="297"/>
        <v>0</v>
      </c>
      <c r="XCE49" s="375">
        <f t="shared" si="297"/>
        <v>0</v>
      </c>
      <c r="XCF49" s="375">
        <f t="shared" si="297"/>
        <v>0</v>
      </c>
      <c r="XCG49" s="375">
        <f t="shared" si="297"/>
        <v>0</v>
      </c>
      <c r="XCH49" s="375">
        <f t="shared" si="297"/>
        <v>0</v>
      </c>
      <c r="XCI49" s="375">
        <f t="shared" si="297"/>
        <v>0</v>
      </c>
      <c r="XCJ49" s="375">
        <f t="shared" si="297"/>
        <v>0</v>
      </c>
      <c r="XCK49" s="375">
        <f t="shared" si="297"/>
        <v>0</v>
      </c>
      <c r="XCL49" s="375">
        <f t="shared" si="297"/>
        <v>0</v>
      </c>
      <c r="XCM49" s="375">
        <f t="shared" si="297"/>
        <v>0</v>
      </c>
      <c r="XCN49" s="375">
        <f t="shared" si="297"/>
        <v>0</v>
      </c>
      <c r="XCO49" s="375">
        <f t="shared" si="297"/>
        <v>0</v>
      </c>
      <c r="XCP49" s="375">
        <f t="shared" si="297"/>
        <v>0</v>
      </c>
      <c r="XCQ49" s="375">
        <f t="shared" si="297"/>
        <v>0</v>
      </c>
      <c r="XCR49" s="375">
        <f t="shared" si="297"/>
        <v>0</v>
      </c>
      <c r="XCS49" s="375">
        <f t="shared" ref="XCS49:XEZ49" si="298">XCS48*0.8</f>
        <v>0</v>
      </c>
      <c r="XCT49" s="375">
        <f t="shared" si="298"/>
        <v>0</v>
      </c>
      <c r="XCU49" s="375">
        <f t="shared" si="298"/>
        <v>0</v>
      </c>
      <c r="XCV49" s="375">
        <f t="shared" si="298"/>
        <v>0</v>
      </c>
      <c r="XCW49" s="375">
        <f t="shared" si="298"/>
        <v>0</v>
      </c>
      <c r="XCX49" s="375">
        <f t="shared" si="298"/>
        <v>0</v>
      </c>
      <c r="XCY49" s="375">
        <f t="shared" si="298"/>
        <v>0</v>
      </c>
      <c r="XCZ49" s="375">
        <f t="shared" si="298"/>
        <v>0</v>
      </c>
      <c r="XDA49" s="375">
        <f t="shared" si="298"/>
        <v>0</v>
      </c>
      <c r="XDB49" s="375">
        <f t="shared" si="298"/>
        <v>0</v>
      </c>
      <c r="XDC49" s="375">
        <f t="shared" si="298"/>
        <v>0</v>
      </c>
      <c r="XDD49" s="375">
        <f t="shared" si="298"/>
        <v>0</v>
      </c>
      <c r="XDE49" s="375">
        <f t="shared" si="298"/>
        <v>0</v>
      </c>
      <c r="XDF49" s="375">
        <f t="shared" si="298"/>
        <v>0</v>
      </c>
      <c r="XDG49" s="375">
        <f t="shared" si="298"/>
        <v>0</v>
      </c>
      <c r="XDH49" s="375">
        <f t="shared" si="298"/>
        <v>0</v>
      </c>
      <c r="XDI49" s="375">
        <f t="shared" si="298"/>
        <v>0</v>
      </c>
      <c r="XDJ49" s="375">
        <f t="shared" si="298"/>
        <v>0</v>
      </c>
      <c r="XDK49" s="375">
        <f t="shared" si="298"/>
        <v>0</v>
      </c>
      <c r="XDL49" s="375">
        <f t="shared" si="298"/>
        <v>0</v>
      </c>
      <c r="XDM49" s="375">
        <f t="shared" si="298"/>
        <v>0</v>
      </c>
      <c r="XDN49" s="375">
        <f t="shared" si="298"/>
        <v>0</v>
      </c>
      <c r="XDO49" s="375">
        <f t="shared" si="298"/>
        <v>0</v>
      </c>
      <c r="XDP49" s="375">
        <f t="shared" si="298"/>
        <v>0</v>
      </c>
      <c r="XDQ49" s="375">
        <f t="shared" si="298"/>
        <v>0</v>
      </c>
      <c r="XDR49" s="375">
        <f t="shared" si="298"/>
        <v>0</v>
      </c>
      <c r="XDS49" s="375">
        <f t="shared" si="298"/>
        <v>0</v>
      </c>
      <c r="XDT49" s="375">
        <f t="shared" si="298"/>
        <v>0</v>
      </c>
      <c r="XDU49" s="375">
        <f t="shared" si="298"/>
        <v>0</v>
      </c>
      <c r="XDV49" s="375">
        <f t="shared" si="298"/>
        <v>0</v>
      </c>
      <c r="XDW49" s="375">
        <f t="shared" si="298"/>
        <v>0</v>
      </c>
      <c r="XDX49" s="375">
        <f t="shared" si="298"/>
        <v>0</v>
      </c>
      <c r="XDY49" s="375">
        <f t="shared" si="298"/>
        <v>0</v>
      </c>
      <c r="XDZ49" s="375">
        <f t="shared" si="298"/>
        <v>0</v>
      </c>
      <c r="XEA49" s="375">
        <f t="shared" si="298"/>
        <v>0</v>
      </c>
      <c r="XEB49" s="375">
        <f t="shared" si="298"/>
        <v>0</v>
      </c>
      <c r="XEC49" s="375">
        <f t="shared" si="298"/>
        <v>0</v>
      </c>
      <c r="XED49" s="375">
        <f t="shared" si="298"/>
        <v>0</v>
      </c>
      <c r="XEE49" s="375">
        <f t="shared" si="298"/>
        <v>0</v>
      </c>
      <c r="XEF49" s="375">
        <f t="shared" si="298"/>
        <v>0</v>
      </c>
      <c r="XEG49" s="375">
        <f t="shared" si="298"/>
        <v>0</v>
      </c>
      <c r="XEH49" s="375">
        <f t="shared" si="298"/>
        <v>0</v>
      </c>
      <c r="XEI49" s="375">
        <f t="shared" si="298"/>
        <v>0</v>
      </c>
      <c r="XEJ49" s="375">
        <f t="shared" si="298"/>
        <v>0</v>
      </c>
      <c r="XEK49" s="375">
        <f t="shared" si="298"/>
        <v>0</v>
      </c>
      <c r="XEL49" s="375">
        <f t="shared" si="298"/>
        <v>0</v>
      </c>
      <c r="XEM49" s="375">
        <f t="shared" si="298"/>
        <v>0</v>
      </c>
      <c r="XEN49" s="375">
        <f t="shared" si="298"/>
        <v>0</v>
      </c>
      <c r="XEO49" s="375">
        <f t="shared" si="298"/>
        <v>0</v>
      </c>
      <c r="XEP49" s="375">
        <f t="shared" si="298"/>
        <v>0</v>
      </c>
      <c r="XEQ49" s="375">
        <f t="shared" si="298"/>
        <v>0</v>
      </c>
      <c r="XER49" s="375">
        <f t="shared" si="298"/>
        <v>0</v>
      </c>
      <c r="XES49" s="375">
        <f t="shared" si="298"/>
        <v>0</v>
      </c>
      <c r="XET49" s="375">
        <f t="shared" si="298"/>
        <v>0</v>
      </c>
      <c r="XEU49" s="375">
        <f t="shared" si="298"/>
        <v>0</v>
      </c>
      <c r="XEV49" s="375">
        <f t="shared" si="298"/>
        <v>0</v>
      </c>
      <c r="XEW49" s="375">
        <f t="shared" si="298"/>
        <v>0</v>
      </c>
      <c r="XEX49" s="375">
        <f t="shared" si="298"/>
        <v>0</v>
      </c>
      <c r="XEY49" s="375">
        <f t="shared" si="298"/>
        <v>0</v>
      </c>
      <c r="XEZ49" s="375">
        <f t="shared" si="298"/>
        <v>0</v>
      </c>
    </row>
    <row r="50" spans="1:16380" x14ac:dyDescent="0.25">
      <c r="B50" s="337" t="str">
        <f t="shared" si="36"/>
        <v>HCC Social</v>
      </c>
      <c r="C50" s="345">
        <f t="shared" si="37"/>
        <v>3.1349999999999998</v>
      </c>
      <c r="D50" s="377">
        <f>D25*1000000/VAC_Optim_Scenario!$E$33</f>
        <v>33784.691267997114</v>
      </c>
      <c r="E50" s="340"/>
      <c r="F50" s="347">
        <f t="shared" si="39"/>
        <v>3.6052499999999994</v>
      </c>
      <c r="G50" s="348">
        <f t="shared" si="39"/>
        <v>0.14999999999999986</v>
      </c>
      <c r="H50" s="377">
        <f>H25*1000000/VAC_Optim_Scenario!$E$33</f>
        <v>36739.958280364473</v>
      </c>
      <c r="I50" s="340"/>
      <c r="J50" s="347">
        <f t="shared" ref="J50:K50" si="299">J25</f>
        <v>3.9187500000000002</v>
      </c>
      <c r="K50" s="342">
        <f t="shared" si="299"/>
        <v>0.25</v>
      </c>
      <c r="L50" s="377">
        <f>L25*1000000/VAC_Optim_Scenario!$E$33</f>
        <v>38624.774986650264</v>
      </c>
      <c r="M50" s="344"/>
      <c r="N50" s="347">
        <f t="shared" ref="N50:O50" si="300">N25</f>
        <v>6.7332284705905963</v>
      </c>
      <c r="O50" s="342">
        <f t="shared" si="300"/>
        <v>2.0605583957229983</v>
      </c>
      <c r="P50" s="377">
        <f>P25*1000000/VAC_Optim_Scenario!$E$33</f>
        <v>53445.536152940484</v>
      </c>
      <c r="Q50" s="344"/>
      <c r="R50" s="347">
        <f t="shared" ref="R50:S50" si="301">R25</f>
        <v>3.08</v>
      </c>
      <c r="S50" s="342">
        <f t="shared" si="301"/>
        <v>0.4</v>
      </c>
      <c r="T50" s="377">
        <f>T25*1000000/VAC_Optim_Scenario!$E$33</f>
        <v>33427.804795264943</v>
      </c>
      <c r="U50" s="400"/>
      <c r="V50" s="347">
        <f t="shared" ref="V50:W50" si="302">V25</f>
        <v>3.08</v>
      </c>
      <c r="W50" s="342">
        <f t="shared" si="302"/>
        <v>0.4</v>
      </c>
      <c r="X50" s="377">
        <f>X25*1000000/VAC_Optim_Scenario!$E$33</f>
        <v>33427.804795264943</v>
      </c>
    </row>
    <row r="51" spans="1:16380" x14ac:dyDescent="0.25">
      <c r="B51" s="337" t="str">
        <f t="shared" si="36"/>
        <v>HCC Online Video</v>
      </c>
      <c r="C51" s="345">
        <f t="shared" si="37"/>
        <v>2.7650000000000001</v>
      </c>
      <c r="D51" s="377">
        <f>D26*1000000/VAC_Optim_Scenario!$E$33</f>
        <v>35600.519694157876</v>
      </c>
      <c r="E51" s="340"/>
      <c r="F51" s="347">
        <f t="shared" si="39"/>
        <v>3.1797499999999994</v>
      </c>
      <c r="G51" s="348">
        <f t="shared" si="39"/>
        <v>0.14999999999999983</v>
      </c>
      <c r="H51" s="377">
        <f>H26*1000000/VAC_Optim_Scenario!$E$33</f>
        <v>37361.241172348149</v>
      </c>
      <c r="I51" s="340"/>
      <c r="J51" s="347">
        <f t="shared" ref="J51:K51" si="303">J26</f>
        <v>3.4562499999999998</v>
      </c>
      <c r="K51" s="342">
        <f t="shared" si="303"/>
        <v>0.25</v>
      </c>
      <c r="L51" s="377">
        <f>L26*1000000/VAC_Optim_Scenario!$E$33</f>
        <v>38305.20955498796</v>
      </c>
      <c r="M51" s="344"/>
      <c r="N51" s="347">
        <f t="shared" ref="N51:O51" si="304">N26</f>
        <v>2.7841485834481938</v>
      </c>
      <c r="O51" s="342">
        <f t="shared" si="304"/>
        <v>0.85609905563212929</v>
      </c>
      <c r="P51" s="377">
        <f>P26*1000000/VAC_Optim_Scenario!$E$33</f>
        <v>35692.264300517738</v>
      </c>
      <c r="Q51" s="344"/>
      <c r="R51" s="347">
        <f t="shared" ref="R51:S51" si="305">R26</f>
        <v>2.1</v>
      </c>
      <c r="S51" s="342">
        <f t="shared" si="305"/>
        <v>0.4</v>
      </c>
      <c r="T51" s="377">
        <f>T26*1000000/VAC_Optim_Scenario!$E$33</f>
        <v>31626.068304029293</v>
      </c>
      <c r="U51" s="400"/>
      <c r="V51" s="347">
        <f t="shared" ref="V51:W51" si="306">V26</f>
        <v>2.1</v>
      </c>
      <c r="W51" s="342">
        <f t="shared" si="306"/>
        <v>0.4</v>
      </c>
      <c r="X51" s="377">
        <f>X26*1000000/VAC_Optim_Scenario!$E$33</f>
        <v>31626.068304029293</v>
      </c>
    </row>
    <row r="52" spans="1:16380" x14ac:dyDescent="0.25">
      <c r="B52" s="337" t="str">
        <f t="shared" si="36"/>
        <v>HCC Streaming Video</v>
      </c>
      <c r="C52" s="345">
        <f t="shared" si="37"/>
        <v>7.5668825899999996</v>
      </c>
      <c r="D52" s="377">
        <f>D27*1000000/VAC_Optim_Scenario!$E$33</f>
        <v>67506.221019185497</v>
      </c>
      <c r="E52" s="340"/>
      <c r="F52" s="347">
        <f t="shared" si="39"/>
        <v>7.5668825899999996</v>
      </c>
      <c r="G52" s="350">
        <f t="shared" si="39"/>
        <v>0</v>
      </c>
      <c r="H52" s="377">
        <f>H27*1000000/VAC_Optim_Scenario!$E$33</f>
        <v>67506.221019185497</v>
      </c>
      <c r="I52" s="340"/>
      <c r="J52" s="347">
        <f t="shared" ref="J52:K52" si="307">J27</f>
        <v>7.5668825899999996</v>
      </c>
      <c r="K52" s="342">
        <f t="shared" si="307"/>
        <v>0</v>
      </c>
      <c r="L52" s="377">
        <f>L27*1000000/VAC_Optim_Scenario!$E$33</f>
        <v>67506.221019185497</v>
      </c>
      <c r="M52" s="344"/>
      <c r="N52" s="347">
        <f t="shared" ref="N52:O52" si="308">N27</f>
        <v>18.672476905886736</v>
      </c>
      <c r="O52" s="342">
        <f t="shared" si="308"/>
        <v>0.81843153241469457</v>
      </c>
      <c r="P52" s="377">
        <f>P27*1000000/VAC_Optim_Scenario!$E$33</f>
        <v>127040.80935160079</v>
      </c>
      <c r="Q52" s="344"/>
      <c r="R52" s="347">
        <f t="shared" ref="R52:S52" si="309">R27</f>
        <v>13.136452024207848</v>
      </c>
      <c r="S52" s="342">
        <f t="shared" si="309"/>
        <v>0.27930208216465824</v>
      </c>
      <c r="T52" s="377">
        <f>T27*1000000/VAC_Optim_Scenario!$E$33</f>
        <v>99319.965279387732</v>
      </c>
      <c r="U52" s="400"/>
      <c r="V52" s="347">
        <f t="shared" ref="V52:W52" si="310">V27</f>
        <v>22.912344554218276</v>
      </c>
      <c r="W52" s="342">
        <f t="shared" si="310"/>
        <v>1.2313338519007808</v>
      </c>
      <c r="X52" s="377">
        <f>X27*1000000/VAC_Optim_Scenario!$E$33</f>
        <v>146605.60426242781</v>
      </c>
    </row>
    <row r="53" spans="1:16380" x14ac:dyDescent="0.25">
      <c r="B53" s="337" t="str">
        <f t="shared" si="36"/>
        <v>HCC Display</v>
      </c>
      <c r="C53" s="345">
        <f t="shared" si="37"/>
        <v>4.6500000000000004</v>
      </c>
      <c r="D53" s="377">
        <f>D28*1000000/VAC_Optim_Scenario!$E$33</f>
        <v>101833.18338855471</v>
      </c>
      <c r="E53" s="340"/>
      <c r="F53" s="347">
        <f t="shared" si="39"/>
        <v>5.3475000000000001</v>
      </c>
      <c r="G53" s="350">
        <f t="shared" si="39"/>
        <v>0.15</v>
      </c>
      <c r="H53" s="377">
        <f>H28*1000000/VAC_Optim_Scenario!$E$33</f>
        <v>110740.89384372243</v>
      </c>
      <c r="I53" s="340"/>
      <c r="J53" s="347">
        <f t="shared" ref="J53:K53" si="311">J28</f>
        <v>5.8125000000000009</v>
      </c>
      <c r="K53" s="342">
        <f t="shared" si="311"/>
        <v>0.25000000000000022</v>
      </c>
      <c r="L53" s="377">
        <f>L28*1000000/VAC_Optim_Scenario!$E$33</f>
        <v>116422.07304356989</v>
      </c>
      <c r="M53" s="344"/>
      <c r="N53" s="347">
        <f t="shared" ref="N53:O53" si="312">N28</f>
        <v>5</v>
      </c>
      <c r="O53" s="342">
        <f t="shared" si="312"/>
        <v>0.25</v>
      </c>
      <c r="P53" s="377">
        <f>P28*1000000/VAC_Optim_Scenario!$E$33</f>
        <v>106365.19760151411</v>
      </c>
      <c r="Q53" s="344"/>
      <c r="R53" s="347">
        <f t="shared" ref="R53:S53" si="313">R28</f>
        <v>5</v>
      </c>
      <c r="S53" s="342">
        <f t="shared" si="313"/>
        <v>0.25</v>
      </c>
      <c r="T53" s="377">
        <f>T28*1000000/VAC_Optim_Scenario!$E$33</f>
        <v>106365.19760151411</v>
      </c>
      <c r="U53" s="400"/>
      <c r="V53" s="347">
        <f t="shared" ref="V53:W53" si="314">V28</f>
        <v>5</v>
      </c>
      <c r="W53" s="342">
        <f t="shared" si="314"/>
        <v>0.25</v>
      </c>
      <c r="X53" s="377">
        <f>X28*1000000/VAC_Optim_Scenario!$E$33</f>
        <v>106365.19760151411</v>
      </c>
    </row>
    <row r="54" spans="1:16380" x14ac:dyDescent="0.25">
      <c r="B54" s="337" t="str">
        <f t="shared" si="36"/>
        <v>HCC Paid Search</v>
      </c>
      <c r="C54" s="357">
        <f t="shared" si="37"/>
        <v>0.2</v>
      </c>
      <c r="D54" s="377">
        <f>D29*1000000/VAC_Optim_Scenario!$E$33</f>
        <v>79531.473375019166</v>
      </c>
      <c r="E54" s="340"/>
      <c r="F54" s="358">
        <f t="shared" si="39"/>
        <v>0.2</v>
      </c>
      <c r="G54" s="348">
        <f t="shared" si="39"/>
        <v>0</v>
      </c>
      <c r="H54" s="377">
        <f>H29*1000000/VAC_Optim_Scenario!$E$33</f>
        <v>79531.473375019166</v>
      </c>
      <c r="I54" s="340"/>
      <c r="J54" s="347">
        <f t="shared" ref="J54:K54" si="315">J29</f>
        <v>0.2</v>
      </c>
      <c r="K54" s="342">
        <f t="shared" si="315"/>
        <v>0</v>
      </c>
      <c r="L54" s="377">
        <f>L29*1000000/VAC_Optim_Scenario!$E$33</f>
        <v>79531.473375019166</v>
      </c>
      <c r="M54" s="344"/>
      <c r="N54" s="347">
        <f t="shared" ref="N54:O54" si="316">N29</f>
        <v>0.2</v>
      </c>
      <c r="O54" s="342">
        <f t="shared" si="316"/>
        <v>0</v>
      </c>
      <c r="P54" s="377">
        <f>P29*1000000/VAC_Optim_Scenario!$E$33</f>
        <v>79531.473375019166</v>
      </c>
      <c r="Q54" s="344"/>
      <c r="R54" s="347">
        <f t="shared" ref="R54:S54" si="317">R29</f>
        <v>0.2</v>
      </c>
      <c r="S54" s="342">
        <f t="shared" si="317"/>
        <v>0</v>
      </c>
      <c r="T54" s="377">
        <f>T29*1000000/VAC_Optim_Scenario!$E$33</f>
        <v>79531.473375019166</v>
      </c>
      <c r="U54" s="400"/>
      <c r="V54" s="347">
        <f t="shared" ref="V54:W54" si="318">V29</f>
        <v>0.2</v>
      </c>
      <c r="W54" s="342">
        <f t="shared" si="318"/>
        <v>0</v>
      </c>
      <c r="X54" s="377">
        <f>X29*1000000/VAC_Optim_Scenario!$E$33</f>
        <v>79531.473375019166</v>
      </c>
    </row>
    <row r="55" spans="1:16380" x14ac:dyDescent="0.25">
      <c r="B55" s="337" t="str">
        <f t="shared" si="36"/>
        <v>HCC Radio</v>
      </c>
      <c r="C55" s="345">
        <f t="shared" si="37"/>
        <v>2.31</v>
      </c>
      <c r="D55" s="377">
        <f>D30*1000000/VAC_Optim_Scenario!$E$33</f>
        <v>38349.628090983118</v>
      </c>
      <c r="E55" s="340"/>
      <c r="F55" s="347">
        <f t="shared" si="39"/>
        <v>2.31</v>
      </c>
      <c r="G55" s="348">
        <f t="shared" si="39"/>
        <v>0</v>
      </c>
      <c r="H55" s="377">
        <f>H30*1000000/VAC_Optim_Scenario!$E$33</f>
        <v>38349.628090983118</v>
      </c>
      <c r="I55" s="340"/>
      <c r="J55" s="347">
        <f t="shared" ref="J55:K55" si="319">J30</f>
        <v>2.31</v>
      </c>
      <c r="K55" s="348">
        <f t="shared" si="319"/>
        <v>0</v>
      </c>
      <c r="L55" s="377">
        <f>L30*1000000/VAC_Optim_Scenario!$E$33</f>
        <v>38349.628090983118</v>
      </c>
      <c r="M55" s="344"/>
      <c r="N55" s="347">
        <f t="shared" ref="N55:O55" si="320">N30</f>
        <v>2.2000000000000002</v>
      </c>
      <c r="O55" s="348">
        <f t="shared" si="320"/>
        <v>0.46666666666666667</v>
      </c>
      <c r="P55" s="377">
        <f>P30*1000000/VAC_Optim_Scenario!$E$33</f>
        <v>37608.450193722703</v>
      </c>
      <c r="Q55" s="344"/>
      <c r="R55" s="347">
        <f t="shared" ref="R55:S55" si="321">R30</f>
        <v>2.2000000000000002</v>
      </c>
      <c r="S55" s="348">
        <f t="shared" si="321"/>
        <v>0.46666666666666667</v>
      </c>
      <c r="T55" s="377">
        <f>T30*1000000/VAC_Optim_Scenario!$E$33</f>
        <v>37608.450193722703</v>
      </c>
      <c r="U55" s="400"/>
      <c r="V55" s="347">
        <f t="shared" ref="V55:W55" si="322">V30</f>
        <v>2.2000000000000002</v>
      </c>
      <c r="W55" s="348">
        <f t="shared" si="322"/>
        <v>0.46666666666666667</v>
      </c>
      <c r="X55" s="377">
        <f>X30*1000000/VAC_Optim_Scenario!$E$33</f>
        <v>37608.450193722703</v>
      </c>
    </row>
    <row r="56" spans="1:16380" x14ac:dyDescent="0.25">
      <c r="B56" s="337" t="str">
        <f t="shared" si="36"/>
        <v>HCC Linear TV</v>
      </c>
      <c r="C56" s="345">
        <f t="shared" si="37"/>
        <v>26.842192700000002</v>
      </c>
      <c r="D56" s="377">
        <f>D31*1000000/VAC_Optim_Scenario!$E$33</f>
        <v>173193.09831584874</v>
      </c>
      <c r="E56" s="340"/>
      <c r="F56" s="347">
        <f t="shared" si="39"/>
        <v>26.842192700000002</v>
      </c>
      <c r="G56" s="348">
        <f t="shared" si="39"/>
        <v>0</v>
      </c>
      <c r="H56" s="377">
        <f>H31*1000000/VAC_Optim_Scenario!$E$33</f>
        <v>173193.09831584874</v>
      </c>
      <c r="I56" s="340"/>
      <c r="J56" s="347">
        <f t="shared" ref="J56:K56" si="323">J31</f>
        <v>26.842192700000002</v>
      </c>
      <c r="K56" s="342">
        <f t="shared" si="323"/>
        <v>0</v>
      </c>
      <c r="L56" s="377">
        <f>L31*1000000/VAC_Optim_Scenario!$E$33</f>
        <v>173193.09831584874</v>
      </c>
      <c r="M56" s="344"/>
      <c r="N56" s="347">
        <f t="shared" ref="N56:O56" si="324">N31</f>
        <v>28.089210999999999</v>
      </c>
      <c r="O56" s="342">
        <f t="shared" si="324"/>
        <v>0</v>
      </c>
      <c r="P56" s="377">
        <f>P31*1000000/VAC_Optim_Scenario!$E$33</f>
        <v>178786.88879772768</v>
      </c>
      <c r="Q56" s="344"/>
      <c r="R56" s="347">
        <f t="shared" ref="R56:S56" si="325">R31</f>
        <v>28.089210999999999</v>
      </c>
      <c r="S56" s="342">
        <f t="shared" si="325"/>
        <v>0</v>
      </c>
      <c r="T56" s="377">
        <f>T31*1000000/VAC_Optim_Scenario!$E$33</f>
        <v>178786.88879772768</v>
      </c>
      <c r="U56" s="400"/>
      <c r="V56" s="347">
        <f t="shared" ref="V56:W56" si="326">V31</f>
        <v>28.089210999999999</v>
      </c>
      <c r="W56" s="342">
        <f t="shared" si="326"/>
        <v>0</v>
      </c>
      <c r="X56" s="377">
        <f>X31*1000000/VAC_Optim_Scenario!$E$33</f>
        <v>178786.88879772768</v>
      </c>
    </row>
    <row r="57" spans="1:16380" x14ac:dyDescent="0.25">
      <c r="B57" s="337" t="str">
        <f t="shared" si="36"/>
        <v>HCC Pharmacy</v>
      </c>
      <c r="C57" s="345">
        <f t="shared" si="37"/>
        <v>3.2</v>
      </c>
      <c r="D57" s="377">
        <f>D32*1000000/VAC_Optim_Scenario!$E$33</f>
        <v>22412.309442908503</v>
      </c>
      <c r="E57" s="340"/>
      <c r="F57" s="347">
        <f t="shared" si="39"/>
        <v>3.2</v>
      </c>
      <c r="G57" s="348">
        <f t="shared" si="39"/>
        <v>0</v>
      </c>
      <c r="H57" s="377">
        <f>H32*1000000/VAC_Optim_Scenario!$E$33</f>
        <v>22412.309442908503</v>
      </c>
      <c r="I57" s="340"/>
      <c r="J57" s="347">
        <f t="shared" ref="J57:K57" si="327">J32</f>
        <v>3.2</v>
      </c>
      <c r="K57" s="342">
        <f t="shared" si="327"/>
        <v>0</v>
      </c>
      <c r="L57" s="377">
        <f>L32*1000000/VAC_Optim_Scenario!$E$33</f>
        <v>22412.309442908503</v>
      </c>
      <c r="M57" s="344"/>
      <c r="N57" s="347">
        <f t="shared" ref="N57:O57" si="328">N32</f>
        <v>3.2</v>
      </c>
      <c r="O57" s="342">
        <f t="shared" si="328"/>
        <v>0</v>
      </c>
      <c r="P57" s="377">
        <f>P32*1000000/VAC_Optim_Scenario!$E$33</f>
        <v>22412.309442908503</v>
      </c>
      <c r="Q57" s="344"/>
      <c r="R57" s="347">
        <f t="shared" ref="R57:S57" si="329">R32</f>
        <v>3.2</v>
      </c>
      <c r="S57" s="342">
        <f t="shared" si="329"/>
        <v>0</v>
      </c>
      <c r="T57" s="377">
        <f>T32*1000000/VAC_Optim_Scenario!$E$33</f>
        <v>22412.309442908503</v>
      </c>
      <c r="U57" s="400"/>
      <c r="V57" s="347">
        <f t="shared" ref="V57:W57" si="330">V32</f>
        <v>3.2</v>
      </c>
      <c r="W57" s="342">
        <f t="shared" si="330"/>
        <v>0</v>
      </c>
      <c r="X57" s="377">
        <f>X32*1000000/VAC_Optim_Scenario!$E$33</f>
        <v>22412.309442908503</v>
      </c>
    </row>
    <row r="58" spans="1:16380" x14ac:dyDescent="0.25">
      <c r="B58" s="332" t="s">
        <v>198</v>
      </c>
      <c r="C58" s="306">
        <f t="shared" si="37"/>
        <v>72.834075290000001</v>
      </c>
      <c r="D58" s="378">
        <f>D33*1000000/VAC_Optim_Scenario!$E$33</f>
        <v>1033765.0484674097</v>
      </c>
      <c r="E58" s="334"/>
      <c r="F58" s="307">
        <f t="shared" si="39"/>
        <v>74.416575290000011</v>
      </c>
      <c r="G58" s="308">
        <f t="shared" si="39"/>
        <v>2.1727467448430345E-2</v>
      </c>
      <c r="H58" s="378">
        <f>H33*1000000/VAC_Optim_Scenario!$E$33</f>
        <v>1047388.7474131349</v>
      </c>
      <c r="I58" s="334"/>
      <c r="J58" s="307">
        <f t="shared" ref="J58:K58" si="331">J33</f>
        <v>75.471575290000004</v>
      </c>
      <c r="K58" s="308">
        <f t="shared" si="331"/>
        <v>3.6212445747383908E-2</v>
      </c>
      <c r="L58" s="378">
        <f>L33*1000000/VAC_Optim_Scenario!$E$33</f>
        <v>1055898.7117019079</v>
      </c>
      <c r="M58" s="336"/>
      <c r="N58" s="307">
        <f t="shared" ref="N58:O58" si="332">N33</f>
        <v>88.905663036052744</v>
      </c>
      <c r="O58" s="308">
        <f t="shared" si="332"/>
        <v>0.22066028410549948</v>
      </c>
      <c r="P58" s="378">
        <f>P33*1000000/VAC_Optim_Scenario!$E$33</f>
        <v>1115686.0591006097</v>
      </c>
      <c r="Q58" s="336"/>
      <c r="R58" s="307">
        <f t="shared" ref="R58:S58" si="333">R33</f>
        <v>78.90566302420784</v>
      </c>
      <c r="S58" s="308">
        <f t="shared" si="333"/>
        <v>8.3361911440941405E-2</v>
      </c>
      <c r="T58" s="378">
        <f>T33*1000000/VAC_Optim_Scenario!$E$33</f>
        <v>1063253.6843286296</v>
      </c>
      <c r="U58" s="401"/>
      <c r="V58" s="307">
        <f t="shared" ref="V58:W58" si="334">V33</f>
        <v>88.905663098127562</v>
      </c>
      <c r="W58" s="308">
        <f t="shared" si="334"/>
        <v>0.22066028495777654</v>
      </c>
      <c r="X58" s="378">
        <f>X33*1000000/VAC_Optim_Scenario!$E$33</f>
        <v>1111617.3541432898</v>
      </c>
    </row>
    <row r="59" spans="1:16380" ht="25.5" x14ac:dyDescent="0.25">
      <c r="B59" s="332" t="s">
        <v>304</v>
      </c>
      <c r="C59" s="306" t="str">
        <f>_xlfn.CONCAT("ROI  ",C65)</f>
        <v>ROI  3.2</v>
      </c>
      <c r="D59" s="352"/>
      <c r="E59" s="334"/>
      <c r="F59" s="306" t="str">
        <f t="shared" ref="F59:F60" si="335">_xlfn.CONCAT("ROI  ",F65)</f>
        <v>ROI  3.2</v>
      </c>
      <c r="G59" s="308"/>
      <c r="H59" s="352" t="s">
        <v>292</v>
      </c>
      <c r="I59" s="334"/>
      <c r="J59" s="306" t="str">
        <f t="shared" ref="J59:J60" si="336">_xlfn.CONCAT("ROI  ",J65)</f>
        <v>ROI  3.2</v>
      </c>
      <c r="K59" s="308"/>
      <c r="L59" s="352" t="s">
        <v>295</v>
      </c>
      <c r="M59" s="336"/>
      <c r="N59" s="306" t="str">
        <f t="shared" ref="N59:N60" si="337">_xlfn.CONCAT("ROI  ",N65)</f>
        <v>ROI  2.8</v>
      </c>
      <c r="O59" s="308"/>
      <c r="P59" s="352" t="s">
        <v>298</v>
      </c>
      <c r="Q59" s="336"/>
      <c r="R59" s="306" t="str">
        <f t="shared" ref="R59:R60" si="338">_xlfn.CONCAT("ROI  ",R65)</f>
        <v>ROI  3</v>
      </c>
      <c r="S59" s="308"/>
      <c r="T59" s="352" t="s">
        <v>309</v>
      </c>
      <c r="U59" s="397"/>
      <c r="V59" s="306" t="str">
        <f t="shared" ref="V59:V60" si="339">_xlfn.CONCAT("ROI  ",V65)</f>
        <v>ROI  2.8</v>
      </c>
      <c r="W59" s="308"/>
      <c r="X59" s="352" t="s">
        <v>309</v>
      </c>
    </row>
    <row r="60" spans="1:16380" ht="25.5" x14ac:dyDescent="0.25">
      <c r="B60" s="332" t="s">
        <v>305</v>
      </c>
      <c r="C60" s="306" t="str">
        <f t="shared" ref="C60" si="340">_xlfn.CONCAT("ROI  ",C66)</f>
        <v>ROI  4</v>
      </c>
      <c r="D60" s="352"/>
      <c r="E60" s="334"/>
      <c r="F60" s="306" t="str">
        <f t="shared" si="335"/>
        <v>ROI  4</v>
      </c>
      <c r="G60" s="364"/>
      <c r="H60" s="352" t="s">
        <v>293</v>
      </c>
      <c r="I60" s="334"/>
      <c r="J60" s="306" t="str">
        <f t="shared" si="336"/>
        <v>ROI  4</v>
      </c>
      <c r="K60" s="364"/>
      <c r="L60" s="352" t="s">
        <v>296</v>
      </c>
      <c r="M60" s="336"/>
      <c r="N60" s="306" t="str">
        <f t="shared" si="337"/>
        <v>ROI  3.5</v>
      </c>
      <c r="O60" s="364"/>
      <c r="P60" s="352" t="s">
        <v>299</v>
      </c>
      <c r="Q60" s="336"/>
      <c r="R60" s="306" t="str">
        <f t="shared" si="338"/>
        <v>ROI  3.8</v>
      </c>
      <c r="S60" s="364"/>
      <c r="T60" s="352" t="s">
        <v>310</v>
      </c>
      <c r="U60" s="397"/>
      <c r="V60" s="306" t="str">
        <f t="shared" si="339"/>
        <v>ROI  3.5</v>
      </c>
      <c r="W60" s="364"/>
      <c r="X60" s="352" t="s">
        <v>310</v>
      </c>
    </row>
    <row r="61" spans="1:16380" ht="25.5" x14ac:dyDescent="0.25">
      <c r="B61" s="332" t="s">
        <v>306</v>
      </c>
      <c r="C61" s="306" t="str">
        <f>_xlfn.CONCAT("ROI  ",C67)</f>
        <v>ROI  2.6</v>
      </c>
      <c r="D61" s="352"/>
      <c r="E61" s="334"/>
      <c r="F61" s="306" t="str">
        <f>_xlfn.CONCAT("ROI  ",F67)</f>
        <v>ROI  2.5</v>
      </c>
      <c r="G61" s="364"/>
      <c r="H61" s="352" t="s">
        <v>294</v>
      </c>
      <c r="I61" s="334"/>
      <c r="J61" s="306" t="str">
        <f>_xlfn.CONCAT("ROI  ",J67)</f>
        <v>ROI  2.5</v>
      </c>
      <c r="K61" s="364"/>
      <c r="L61" s="352" t="s">
        <v>297</v>
      </c>
      <c r="M61" s="336"/>
      <c r="N61" s="306" t="str">
        <f>_xlfn.CONCAT("ROI  ",N67)</f>
        <v>ROI  2.3</v>
      </c>
      <c r="O61" s="364"/>
      <c r="P61" s="352" t="s">
        <v>300</v>
      </c>
      <c r="Q61" s="336"/>
      <c r="R61" s="306" t="str">
        <f>_xlfn.CONCAT("ROI  ",R67)</f>
        <v>ROI  2.4</v>
      </c>
      <c r="S61" s="364"/>
      <c r="T61" s="352" t="s">
        <v>311</v>
      </c>
      <c r="U61" s="397"/>
      <c r="V61" s="306" t="str">
        <f>_xlfn.CONCAT("ROI  ",V67)</f>
        <v>ROI  2.3</v>
      </c>
      <c r="W61" s="364"/>
      <c r="X61" s="352" t="s">
        <v>311</v>
      </c>
    </row>
    <row r="62" spans="1:16380" x14ac:dyDescent="0.25">
      <c r="B62" s="295"/>
      <c r="C62" s="295"/>
      <c r="D62" s="295"/>
      <c r="E62" s="295"/>
      <c r="F62" s="295"/>
      <c r="G62" s="295"/>
      <c r="H62" s="378">
        <f>(H58-$D$58)</f>
        <v>13623.69894572522</v>
      </c>
      <c r="I62" s="295"/>
      <c r="J62" s="295"/>
      <c r="K62" s="295"/>
      <c r="L62" s="378">
        <f>(L58-$D$58)</f>
        <v>22133.663234498235</v>
      </c>
      <c r="M62" s="295"/>
      <c r="N62" s="295"/>
      <c r="O62" s="295"/>
      <c r="P62" s="378">
        <f>(P58-$D$58)</f>
        <v>81921.010633200058</v>
      </c>
      <c r="Q62" s="295"/>
      <c r="R62" s="295"/>
      <c r="S62" s="295"/>
      <c r="T62" s="378">
        <f>(T58-$D$58)</f>
        <v>29488.635861219955</v>
      </c>
      <c r="U62" s="401"/>
      <c r="V62" s="295"/>
      <c r="W62" s="295"/>
      <c r="X62" s="378">
        <f>(X58-$D$58)</f>
        <v>77852.305675880169</v>
      </c>
    </row>
    <row r="63" spans="1:16380" x14ac:dyDescent="0.25">
      <c r="B63" s="295"/>
      <c r="C63" s="295"/>
      <c r="D63" s="295"/>
      <c r="E63" s="295"/>
      <c r="F63" s="295"/>
      <c r="G63" s="295"/>
      <c r="H63" s="354">
        <f>H62/$D$58</f>
        <v>1.3178718864526128E-2</v>
      </c>
      <c r="I63" s="295"/>
      <c r="J63" s="295"/>
      <c r="K63" s="295"/>
      <c r="L63" s="354">
        <f>L62/$D$58</f>
        <v>2.1410728934308731E-2</v>
      </c>
      <c r="M63" s="295"/>
      <c r="N63" s="295"/>
      <c r="O63" s="295"/>
      <c r="P63" s="354">
        <f>P62/$D$58</f>
        <v>7.9245289589400053E-2</v>
      </c>
      <c r="Q63" s="295"/>
      <c r="R63" s="295"/>
      <c r="S63" s="295"/>
      <c r="T63" s="354">
        <f>T62/$D$58</f>
        <v>2.8525471919308761E-2</v>
      </c>
      <c r="U63" s="354"/>
      <c r="V63" s="295"/>
      <c r="W63" s="295"/>
      <c r="X63" s="354">
        <f>X62/$D$58</f>
        <v>7.5309477517448223E-2</v>
      </c>
    </row>
    <row r="64" spans="1:16380" x14ac:dyDescent="0.25">
      <c r="B64" s="295"/>
      <c r="C64" s="295"/>
      <c r="D64" s="295"/>
      <c r="E64" s="295"/>
      <c r="F64" s="295"/>
      <c r="G64" s="295"/>
      <c r="H64" s="378">
        <f>H62*1.25</f>
        <v>17029.623682156525</v>
      </c>
      <c r="I64" s="295"/>
      <c r="J64" s="295"/>
      <c r="K64" s="295"/>
      <c r="L64" s="378">
        <f>L62*1.25</f>
        <v>27667.079043122794</v>
      </c>
      <c r="M64" s="295"/>
      <c r="N64" s="295"/>
      <c r="O64" s="295"/>
      <c r="P64" s="378">
        <f>P62*1.25</f>
        <v>102401.26329150007</v>
      </c>
      <c r="Q64" s="295"/>
      <c r="R64" s="295"/>
      <c r="S64" s="295"/>
      <c r="T64" s="378">
        <f>T62*1.25</f>
        <v>36860.794826524943</v>
      </c>
      <c r="U64" s="401"/>
      <c r="V64" s="295"/>
      <c r="W64" s="295"/>
      <c r="X64" s="378">
        <f>X62*1.25</f>
        <v>97315.382094850211</v>
      </c>
    </row>
    <row r="65" spans="2:25" x14ac:dyDescent="0.25">
      <c r="B65" s="295"/>
      <c r="C65" s="366">
        <f>ROUND((D58*VAC_Optim_Scenario!$E$33)/(C58*1000000),1)</f>
        <v>3.2</v>
      </c>
      <c r="D65" s="295"/>
      <c r="E65" s="295"/>
      <c r="F65" s="366">
        <f>ROUND((H58*VAC_Optim_Scenario!$E$33)/(F58*1000000),1)</f>
        <v>3.2</v>
      </c>
      <c r="G65" s="295"/>
      <c r="H65" s="354">
        <f>H64/(D58*1.25)</f>
        <v>1.317871886452613E-2</v>
      </c>
      <c r="I65" s="295"/>
      <c r="J65" s="366">
        <f>ROUND((L58*VAC_Optim_Scenario!$E$33)/(J58*1000000),1)</f>
        <v>3.2</v>
      </c>
      <c r="K65" s="295"/>
      <c r="L65" s="354">
        <f>L64/($D$58*1.25)</f>
        <v>2.1410728934308731E-2</v>
      </c>
      <c r="M65" s="295"/>
      <c r="N65" s="366">
        <f>ROUND((P58*VAC_Optim_Scenario!$E$33)/(N58*1000000),1)</f>
        <v>2.8</v>
      </c>
      <c r="O65" s="295"/>
      <c r="P65" s="354">
        <f>P64/($D$58*1.25)</f>
        <v>7.9245289589400053E-2</v>
      </c>
      <c r="Q65" s="295"/>
      <c r="R65" s="366">
        <f>ROUND((T58*VAC_Optim_Scenario!$E$33)/(R58*1000000),1)</f>
        <v>3</v>
      </c>
      <c r="S65" s="295"/>
      <c r="T65" s="354">
        <f>T64/($D$58*1.25)</f>
        <v>2.8525471919308761E-2</v>
      </c>
      <c r="U65" s="354"/>
      <c r="V65" s="366">
        <f>ROUND((X58*VAC_Optim_Scenario!$E$33)/(V58*1000000),1)</f>
        <v>2.8</v>
      </c>
      <c r="W65" s="295"/>
      <c r="X65" s="354">
        <f>X64/($D$58*1.25)</f>
        <v>7.5309477517448237E-2</v>
      </c>
    </row>
    <row r="66" spans="2:25" customFormat="1" ht="15" customHeight="1" x14ac:dyDescent="0.25">
      <c r="C66" s="366">
        <f>ROUND((D58*VAC_Optim_Scenario!$E$33*1.25)/(C58*1000000),1)</f>
        <v>4</v>
      </c>
      <c r="F66" s="366">
        <f>ROUND((H58*VAC_Optim_Scenario!$E$33*1.25)/(F58*1000000),1)</f>
        <v>4</v>
      </c>
      <c r="H66" s="378">
        <f>H62*0.8</f>
        <v>10898.959156580177</v>
      </c>
      <c r="I66" s="295"/>
      <c r="J66" s="366">
        <f>ROUND((L58*VAC_Optim_Scenario!$E$33*1.25)/(J58*1000000),1)</f>
        <v>4</v>
      </c>
      <c r="K66" s="295"/>
      <c r="L66" s="378">
        <f>L62*0.8</f>
        <v>17706.930587598588</v>
      </c>
      <c r="M66" s="295"/>
      <c r="N66" s="366">
        <f>ROUND((P58*VAC_Optim_Scenario!$E$33*1.25)/(N58*1000000),1)</f>
        <v>3.5</v>
      </c>
      <c r="O66" s="295"/>
      <c r="P66" s="378">
        <f>P62*0.8</f>
        <v>65536.808506560046</v>
      </c>
      <c r="Q66" s="295"/>
      <c r="R66" s="366">
        <f>ROUND((T58*VAC_Optim_Scenario!$E$33*1.25)/(R58*1000000),1)</f>
        <v>3.8</v>
      </c>
      <c r="S66" s="295"/>
      <c r="T66" s="378">
        <f>T62*0.8</f>
        <v>23590.908688975964</v>
      </c>
      <c r="U66" s="401"/>
      <c r="V66" s="366">
        <f>ROUND((X58*VAC_Optim_Scenario!$E$33*1.25)/(V58*1000000),1)</f>
        <v>3.5</v>
      </c>
      <c r="W66" s="295"/>
      <c r="X66" s="378">
        <f>X62*0.8</f>
        <v>62281.844540704136</v>
      </c>
      <c r="Y66" s="97"/>
    </row>
    <row r="67" spans="2:25" customFormat="1" ht="15" customHeight="1" x14ac:dyDescent="0.25">
      <c r="C67" s="366">
        <f>ROUND((D58*VAC_Optim_Scenario!$E$33*0.8)/(C58*1000000),1)</f>
        <v>2.6</v>
      </c>
      <c r="F67" s="366">
        <f>ROUND((H58*VAC_Optim_Scenario!$E$33*0.8)/(F58*1000000),1)</f>
        <v>2.5</v>
      </c>
      <c r="H67" s="354">
        <f>H66/($D$58*0.8)</f>
        <v>1.3178718864526128E-2</v>
      </c>
      <c r="I67" s="295"/>
      <c r="J67" s="366">
        <f>ROUND((L58*VAC_Optim_Scenario!$E$33*0.8)/(J58*1000000),1)</f>
        <v>2.5</v>
      </c>
      <c r="K67" s="295"/>
      <c r="L67" s="354">
        <f>L66/($D$58*0.8)</f>
        <v>2.1410728934308728E-2</v>
      </c>
      <c r="M67" s="295"/>
      <c r="N67" s="366">
        <f>ROUND((P58*VAC_Optim_Scenario!$E$33*0.8)/(N58*1000000),1)</f>
        <v>2.2999999999999998</v>
      </c>
      <c r="O67" s="295"/>
      <c r="P67" s="354">
        <f>P66/($D$58*0.8)</f>
        <v>7.9245289589400039E-2</v>
      </c>
      <c r="Q67" s="295"/>
      <c r="R67" s="366">
        <f>ROUND((T58*VAC_Optim_Scenario!$E$33*0.8)/(R58*1000000),1)</f>
        <v>2.4</v>
      </c>
      <c r="S67" s="295"/>
      <c r="T67" s="354">
        <f>T66/($D$58*0.8)</f>
        <v>2.8525471919308758E-2</v>
      </c>
      <c r="U67" s="354"/>
      <c r="V67" s="366">
        <f>ROUND((X58*VAC_Optim_Scenario!$E$33*0.8)/(V58*1000000),1)</f>
        <v>2.2999999999999998</v>
      </c>
      <c r="W67" s="295"/>
      <c r="X67" s="354">
        <f>X66/($D$58*0.8)</f>
        <v>7.5309477517448223E-2</v>
      </c>
      <c r="Y67" s="97"/>
    </row>
    <row r="68" spans="2:25" customFormat="1" ht="15" customHeight="1" x14ac:dyDescent="0.25">
      <c r="Q68" s="97"/>
      <c r="R68" s="97"/>
      <c r="S68" s="97"/>
      <c r="T68" s="97"/>
      <c r="U68" s="97"/>
      <c r="V68" s="97"/>
      <c r="W68" s="97"/>
      <c r="X68" s="97"/>
      <c r="Y68" s="97"/>
    </row>
    <row r="69" spans="2:25" customFormat="1" ht="15" customHeight="1" x14ac:dyDescent="0.25">
      <c r="Q69" s="97"/>
      <c r="R69" s="97"/>
      <c r="S69" s="97"/>
      <c r="T69" s="97"/>
      <c r="U69" s="97"/>
      <c r="V69" s="97"/>
      <c r="W69" s="97"/>
      <c r="X69" s="97"/>
      <c r="Y69" s="97"/>
    </row>
    <row r="70" spans="2:25" customFormat="1" ht="30" customHeight="1" x14ac:dyDescent="0.25">
      <c r="Q70" s="97"/>
      <c r="R70" s="97"/>
      <c r="S70" s="97"/>
      <c r="T70" s="97"/>
      <c r="U70" s="97"/>
      <c r="V70" s="97"/>
      <c r="W70" s="97"/>
      <c r="X70" s="97"/>
      <c r="Y70" s="97"/>
    </row>
    <row r="71" spans="2:25" customFormat="1" ht="15" customHeight="1" x14ac:dyDescent="0.25">
      <c r="Q71" s="97"/>
      <c r="R71" s="97"/>
      <c r="S71" s="97"/>
      <c r="T71" s="97"/>
      <c r="U71" s="97"/>
      <c r="V71" s="97"/>
      <c r="W71" s="97"/>
      <c r="X71" s="97"/>
      <c r="Y71" s="97"/>
    </row>
    <row r="72" spans="2:25" customFormat="1" ht="15" customHeight="1" x14ac:dyDescent="0.25">
      <c r="Q72" s="97"/>
      <c r="R72" s="97"/>
      <c r="S72" s="97"/>
      <c r="T72" s="97"/>
      <c r="U72" s="97"/>
      <c r="V72" s="97"/>
      <c r="W72" s="97"/>
      <c r="X72" s="97"/>
      <c r="Y72" s="97"/>
    </row>
    <row r="73" spans="2:25" customFormat="1" ht="15" customHeight="1" x14ac:dyDescent="0.25">
      <c r="Q73" s="97"/>
      <c r="R73" s="97"/>
      <c r="S73" s="97"/>
      <c r="T73" s="97"/>
      <c r="U73" s="97"/>
      <c r="V73" s="97"/>
      <c r="W73" s="97"/>
      <c r="X73" s="97"/>
      <c r="Y73" s="97"/>
    </row>
    <row r="74" spans="2:25" customFormat="1" ht="15" customHeight="1" x14ac:dyDescent="0.25">
      <c r="Q74" s="97"/>
      <c r="R74" s="97"/>
      <c r="S74" s="97"/>
      <c r="T74" s="97"/>
      <c r="U74" s="97"/>
      <c r="V74" s="97"/>
      <c r="W74" s="97"/>
      <c r="X74" s="97"/>
      <c r="Y74" s="97"/>
    </row>
    <row r="75" spans="2:25" customFormat="1" ht="15" customHeight="1" x14ac:dyDescent="0.25">
      <c r="Q75" s="97"/>
      <c r="R75" s="97"/>
      <c r="S75" s="97"/>
      <c r="T75" s="97"/>
      <c r="U75" s="97"/>
      <c r="V75" s="97"/>
      <c r="W75" s="97"/>
      <c r="X75" s="97"/>
      <c r="Y75" s="97"/>
    </row>
    <row r="76" spans="2:25" customFormat="1" ht="15" customHeight="1" x14ac:dyDescent="0.25">
      <c r="Q76" s="97"/>
      <c r="R76" s="97"/>
      <c r="S76" s="97"/>
      <c r="T76" s="97"/>
      <c r="U76" s="97"/>
      <c r="V76" s="97"/>
      <c r="W76" s="97"/>
      <c r="X76" s="97"/>
      <c r="Y76" s="97"/>
    </row>
    <row r="77" spans="2:25" customFormat="1" ht="15" customHeight="1" x14ac:dyDescent="0.25">
      <c r="Q77" s="97"/>
      <c r="R77" s="97"/>
      <c r="S77" s="97"/>
      <c r="T77" s="97"/>
      <c r="U77" s="97"/>
      <c r="V77" s="97"/>
      <c r="W77" s="97"/>
      <c r="X77" s="97"/>
      <c r="Y77" s="97"/>
    </row>
    <row r="78" spans="2:25" customFormat="1" ht="15" customHeight="1" x14ac:dyDescent="0.25">
      <c r="Q78" s="97"/>
      <c r="R78" s="97"/>
      <c r="S78" s="97"/>
      <c r="T78" s="97"/>
      <c r="U78" s="97"/>
      <c r="V78" s="97"/>
      <c r="W78" s="97"/>
      <c r="X78" s="97"/>
      <c r="Y78" s="97"/>
    </row>
    <row r="79" spans="2:25" customFormat="1" ht="15" customHeight="1" x14ac:dyDescent="0.25">
      <c r="Q79" s="97"/>
      <c r="R79" s="97"/>
      <c r="S79" s="97"/>
      <c r="T79" s="97"/>
      <c r="U79" s="97"/>
      <c r="V79" s="97"/>
      <c r="W79" s="97"/>
      <c r="X79" s="97"/>
      <c r="Y79" s="97"/>
    </row>
    <row r="80" spans="2:25" customFormat="1" ht="15" customHeight="1" x14ac:dyDescent="0.25">
      <c r="Q80" s="97"/>
      <c r="R80" s="97"/>
      <c r="S80" s="97"/>
      <c r="T80" s="97"/>
      <c r="U80" s="97"/>
      <c r="V80" s="97"/>
      <c r="W80" s="97"/>
      <c r="X80" s="97"/>
      <c r="Y80" s="97"/>
    </row>
    <row r="81" spans="17:25" customFormat="1" ht="15" customHeight="1" x14ac:dyDescent="0.25">
      <c r="Q81" s="97"/>
      <c r="R81" s="97"/>
      <c r="S81" s="97"/>
      <c r="T81" s="97"/>
      <c r="U81" s="97"/>
      <c r="V81" s="97"/>
      <c r="W81" s="97"/>
      <c r="X81" s="97"/>
      <c r="Y81" s="97"/>
    </row>
    <row r="82" spans="17:25" customFormat="1" ht="15" customHeight="1" x14ac:dyDescent="0.25">
      <c r="Q82" s="97"/>
      <c r="R82" s="97"/>
      <c r="S82" s="97"/>
      <c r="T82" s="97"/>
      <c r="U82" s="97"/>
      <c r="V82" s="97"/>
      <c r="W82" s="97"/>
      <c r="X82" s="97"/>
      <c r="Y82" s="97"/>
    </row>
    <row r="83" spans="17:25" customFormat="1" ht="15" customHeight="1" x14ac:dyDescent="0.25">
      <c r="Q83" s="97"/>
      <c r="R83" s="97"/>
      <c r="S83" s="97"/>
      <c r="T83" s="97"/>
      <c r="U83" s="97"/>
      <c r="V83" s="97"/>
      <c r="W83" s="97"/>
      <c r="X83" s="97"/>
      <c r="Y83" s="97"/>
    </row>
    <row r="84" spans="17:25" customFormat="1" ht="27.6" customHeight="1" x14ac:dyDescent="0.25">
      <c r="Q84" s="97"/>
      <c r="R84" s="97"/>
      <c r="S84" s="97"/>
      <c r="T84" s="97"/>
      <c r="U84" s="97"/>
      <c r="V84" s="97"/>
      <c r="W84" s="97"/>
      <c r="X84" s="97"/>
      <c r="Y84" s="97"/>
    </row>
    <row r="85" spans="17:25" customFormat="1" ht="15" customHeight="1" x14ac:dyDescent="0.25">
      <c r="Q85" s="97"/>
      <c r="R85" s="97"/>
      <c r="S85" s="97"/>
      <c r="T85" s="97"/>
      <c r="U85" s="97"/>
      <c r="V85" s="97"/>
      <c r="W85" s="97"/>
      <c r="X85" s="97"/>
      <c r="Y85" s="97"/>
    </row>
    <row r="86" spans="17:25" customFormat="1" ht="30" customHeight="1" x14ac:dyDescent="0.25">
      <c r="Q86" s="97"/>
      <c r="R86" s="97"/>
      <c r="S86" s="97"/>
      <c r="T86" s="97"/>
      <c r="U86" s="97"/>
      <c r="V86" s="97"/>
      <c r="W86" s="97"/>
      <c r="X86" s="97"/>
      <c r="Y86" s="97"/>
    </row>
    <row r="87" spans="17:25" customFormat="1" ht="15" customHeight="1" x14ac:dyDescent="0.25">
      <c r="Q87" s="97"/>
      <c r="R87" s="97"/>
      <c r="S87" s="97"/>
      <c r="T87" s="97"/>
      <c r="U87" s="97"/>
      <c r="V87" s="97"/>
      <c r="W87" s="97"/>
      <c r="X87" s="97"/>
      <c r="Y87" s="97"/>
    </row>
    <row r="88" spans="17:25" customFormat="1" ht="15" customHeight="1" x14ac:dyDescent="0.25">
      <c r="Q88" s="97"/>
      <c r="R88" s="97"/>
      <c r="S88" s="97"/>
      <c r="T88" s="97"/>
      <c r="U88" s="97"/>
      <c r="V88" s="97"/>
      <c r="W88" s="97"/>
      <c r="X88" s="97"/>
      <c r="Y88" s="97"/>
    </row>
    <row r="89" spans="17:25" customFormat="1" ht="15" customHeight="1" x14ac:dyDescent="0.25">
      <c r="Q89" s="97"/>
      <c r="R89" s="97"/>
      <c r="S89" s="97"/>
      <c r="T89" s="97"/>
      <c r="U89" s="97"/>
      <c r="V89" s="97"/>
      <c r="W89" s="97"/>
      <c r="X89" s="97"/>
      <c r="Y89" s="97"/>
    </row>
    <row r="90" spans="17:25" customFormat="1" ht="15" customHeight="1" x14ac:dyDescent="0.25">
      <c r="Q90" s="97"/>
      <c r="R90" s="97"/>
      <c r="S90" s="97"/>
      <c r="T90" s="97"/>
      <c r="U90" s="97"/>
      <c r="V90" s="97"/>
      <c r="W90" s="97"/>
      <c r="X90" s="97"/>
      <c r="Y90" s="97"/>
    </row>
    <row r="91" spans="17:25" customFormat="1" ht="15" customHeight="1" x14ac:dyDescent="0.25">
      <c r="Q91" s="97"/>
      <c r="R91" s="97"/>
      <c r="S91" s="97"/>
      <c r="T91" s="97"/>
      <c r="U91" s="97"/>
      <c r="V91" s="97"/>
      <c r="W91" s="97"/>
      <c r="X91" s="97"/>
      <c r="Y91" s="97"/>
    </row>
    <row r="92" spans="17:25" customFormat="1" ht="15" customHeight="1" x14ac:dyDescent="0.25">
      <c r="Q92" s="97"/>
      <c r="R92" s="97"/>
      <c r="S92" s="97"/>
      <c r="T92" s="97"/>
      <c r="U92" s="97"/>
      <c r="V92" s="97"/>
      <c r="W92" s="97"/>
      <c r="X92" s="97"/>
      <c r="Y92" s="97"/>
    </row>
    <row r="93" spans="17:25" customFormat="1" x14ac:dyDescent="0.25">
      <c r="Q93" s="97"/>
      <c r="R93" s="97"/>
      <c r="S93" s="97"/>
      <c r="T93" s="97"/>
      <c r="U93" s="97"/>
      <c r="V93" s="97"/>
      <c r="W93" s="97"/>
      <c r="X93" s="97"/>
      <c r="Y93" s="97"/>
    </row>
    <row r="94" spans="17:25" customFormat="1" x14ac:dyDescent="0.25">
      <c r="Q94" s="97"/>
      <c r="R94" s="97"/>
      <c r="S94" s="97"/>
      <c r="T94" s="97"/>
      <c r="U94" s="97"/>
      <c r="V94" s="97"/>
      <c r="W94" s="97"/>
      <c r="X94" s="97"/>
      <c r="Y94" s="97"/>
    </row>
    <row r="95" spans="17:25" customFormat="1" x14ac:dyDescent="0.25">
      <c r="Q95" s="97"/>
      <c r="R95" s="97"/>
      <c r="S95" s="97"/>
      <c r="T95" s="97"/>
      <c r="U95" s="97"/>
      <c r="V95" s="97"/>
      <c r="W95" s="97"/>
      <c r="X95" s="97"/>
      <c r="Y95" s="97"/>
    </row>
    <row r="96" spans="17:25" customFormat="1" x14ac:dyDescent="0.25">
      <c r="Q96" s="97"/>
      <c r="R96" s="97"/>
      <c r="S96" s="97"/>
      <c r="T96" s="97"/>
      <c r="U96" s="97"/>
      <c r="V96" s="97"/>
      <c r="W96" s="97"/>
      <c r="X96" s="97"/>
      <c r="Y96" s="97"/>
    </row>
    <row r="97" spans="17:25" customFormat="1" x14ac:dyDescent="0.25">
      <c r="Q97" s="97"/>
      <c r="R97" s="97"/>
      <c r="S97" s="97"/>
      <c r="T97" s="97"/>
      <c r="U97" s="97"/>
      <c r="V97" s="97"/>
      <c r="W97" s="97"/>
      <c r="X97" s="97"/>
      <c r="Y97" s="97"/>
    </row>
    <row r="98" spans="17:25" customFormat="1" x14ac:dyDescent="0.25">
      <c r="Q98" s="97"/>
      <c r="R98" s="97"/>
      <c r="S98" s="97"/>
      <c r="T98" s="97"/>
      <c r="U98" s="97"/>
      <c r="V98" s="97"/>
      <c r="W98" s="97"/>
      <c r="X98" s="97"/>
      <c r="Y98" s="97"/>
    </row>
    <row r="99" spans="17:25" customFormat="1" x14ac:dyDescent="0.25">
      <c r="Q99" s="97"/>
      <c r="R99" s="97"/>
      <c r="S99" s="97"/>
      <c r="T99" s="97"/>
      <c r="U99" s="97"/>
      <c r="V99" s="97"/>
      <c r="W99" s="97"/>
      <c r="X99" s="97"/>
      <c r="Y99" s="97"/>
    </row>
    <row r="100" spans="17:25" customFormat="1" x14ac:dyDescent="0.25">
      <c r="Q100" s="97"/>
      <c r="R100" s="97"/>
      <c r="S100" s="97"/>
      <c r="T100" s="97"/>
      <c r="U100" s="97"/>
      <c r="V100" s="97"/>
      <c r="W100" s="97"/>
      <c r="X100" s="97"/>
      <c r="Y100" s="97"/>
    </row>
    <row r="101" spans="17:25" customFormat="1" x14ac:dyDescent="0.25">
      <c r="Q101" s="97"/>
      <c r="R101" s="97"/>
      <c r="S101" s="97"/>
      <c r="T101" s="97"/>
      <c r="U101" s="97"/>
      <c r="V101" s="97"/>
      <c r="W101" s="97"/>
      <c r="X101" s="97"/>
      <c r="Y101" s="97"/>
    </row>
    <row r="102" spans="17:25" customFormat="1" x14ac:dyDescent="0.25">
      <c r="Q102" s="97"/>
      <c r="R102" s="97"/>
      <c r="S102" s="97"/>
      <c r="T102" s="97"/>
      <c r="U102" s="97"/>
      <c r="V102" s="97"/>
      <c r="W102" s="97"/>
      <c r="X102" s="97"/>
      <c r="Y102" s="97"/>
    </row>
    <row r="103" spans="17:25" customFormat="1" x14ac:dyDescent="0.25">
      <c r="Q103" s="97"/>
      <c r="R103" s="97"/>
      <c r="S103" s="97"/>
      <c r="T103" s="97"/>
      <c r="U103" s="97"/>
      <c r="V103" s="97"/>
      <c r="W103" s="97"/>
      <c r="X103" s="97"/>
      <c r="Y103" s="97"/>
    </row>
    <row r="104" spans="17:25" customFormat="1" x14ac:dyDescent="0.25">
      <c r="Q104" s="97"/>
      <c r="R104" s="97"/>
      <c r="S104" s="97"/>
      <c r="T104" s="97"/>
      <c r="U104" s="97"/>
      <c r="V104" s="97"/>
      <c r="W104" s="97"/>
      <c r="X104" s="97"/>
      <c r="Y104" s="97"/>
    </row>
    <row r="105" spans="17:25" customFormat="1" x14ac:dyDescent="0.25">
      <c r="Q105" s="97"/>
      <c r="R105" s="97"/>
      <c r="S105" s="97"/>
      <c r="T105" s="97"/>
      <c r="U105" s="97"/>
      <c r="V105" s="97"/>
      <c r="W105" s="97"/>
      <c r="X105" s="97"/>
      <c r="Y105" s="97"/>
    </row>
    <row r="106" spans="17:25" customFormat="1" ht="15" customHeight="1" x14ac:dyDescent="0.25">
      <c r="Q106" s="97"/>
      <c r="R106" s="97"/>
      <c r="S106" s="97"/>
      <c r="T106" s="97"/>
      <c r="U106" s="97"/>
      <c r="V106" s="97"/>
      <c r="W106" s="97"/>
      <c r="X106" s="97"/>
      <c r="Y106" s="97"/>
    </row>
    <row r="107" spans="17:25" customFormat="1" x14ac:dyDescent="0.25">
      <c r="Q107" s="97"/>
      <c r="R107" s="97"/>
      <c r="S107" s="97"/>
      <c r="T107" s="97"/>
      <c r="U107" s="97"/>
      <c r="V107" s="97"/>
      <c r="W107" s="97"/>
      <c r="X107" s="97"/>
      <c r="Y107" s="97"/>
    </row>
    <row r="108" spans="17:25" customFormat="1" x14ac:dyDescent="0.25">
      <c r="Q108" s="97"/>
      <c r="R108" s="97"/>
      <c r="S108" s="97"/>
      <c r="T108" s="97"/>
      <c r="U108" s="97"/>
      <c r="V108" s="97"/>
      <c r="W108" s="97"/>
      <c r="X108" s="97"/>
      <c r="Y108" s="97"/>
    </row>
    <row r="109" spans="17:25" customFormat="1" x14ac:dyDescent="0.25">
      <c r="Q109" s="97"/>
      <c r="R109" s="97"/>
      <c r="S109" s="97"/>
      <c r="T109" s="97"/>
      <c r="U109" s="97"/>
      <c r="V109" s="97"/>
      <c r="W109" s="97"/>
      <c r="X109" s="97"/>
      <c r="Y109" s="97"/>
    </row>
    <row r="110" spans="17:25" customFormat="1" x14ac:dyDescent="0.25">
      <c r="Q110" s="97"/>
      <c r="R110" s="97"/>
      <c r="S110" s="97"/>
      <c r="T110" s="97"/>
      <c r="U110" s="97"/>
      <c r="V110" s="97"/>
      <c r="W110" s="97"/>
      <c r="X110" s="97"/>
      <c r="Y110" s="97"/>
    </row>
    <row r="111" spans="17:25" customFormat="1" x14ac:dyDescent="0.25">
      <c r="Q111" s="97"/>
      <c r="R111" s="97"/>
      <c r="S111" s="97"/>
      <c r="T111" s="97"/>
      <c r="U111" s="97"/>
      <c r="V111" s="97"/>
      <c r="W111" s="97"/>
      <c r="X111" s="97"/>
      <c r="Y111" s="97"/>
    </row>
    <row r="112" spans="17:25" customFormat="1" x14ac:dyDescent="0.25">
      <c r="Q112" s="97"/>
      <c r="R112" s="97"/>
      <c r="S112" s="97"/>
      <c r="T112" s="97"/>
      <c r="U112" s="97"/>
      <c r="V112" s="97"/>
      <c r="W112" s="97"/>
      <c r="X112" s="97"/>
      <c r="Y112" s="97"/>
    </row>
    <row r="113" spans="17:25" customFormat="1" x14ac:dyDescent="0.25">
      <c r="Q113" s="97"/>
      <c r="R113" s="97"/>
      <c r="S113" s="97"/>
      <c r="T113" s="97"/>
      <c r="U113" s="97"/>
      <c r="V113" s="97"/>
      <c r="W113" s="97"/>
      <c r="X113" s="97"/>
      <c r="Y113" s="97"/>
    </row>
    <row r="114" spans="17:25" customFormat="1" x14ac:dyDescent="0.25">
      <c r="Q114" s="97"/>
      <c r="R114" s="97"/>
      <c r="S114" s="97"/>
      <c r="T114" s="97"/>
      <c r="U114" s="97"/>
      <c r="V114" s="97"/>
      <c r="W114" s="97"/>
      <c r="X114" s="97"/>
      <c r="Y114" s="97"/>
    </row>
    <row r="115" spans="17:25" customFormat="1" x14ac:dyDescent="0.25">
      <c r="Q115" s="97"/>
      <c r="R115" s="97"/>
      <c r="S115" s="97"/>
      <c r="T115" s="97"/>
      <c r="U115" s="97"/>
      <c r="V115" s="97"/>
      <c r="W115" s="97"/>
      <c r="X115" s="97"/>
      <c r="Y115" s="97"/>
    </row>
    <row r="116" spans="17:25" customFormat="1" x14ac:dyDescent="0.25">
      <c r="Q116" s="97"/>
      <c r="R116" s="97"/>
      <c r="S116" s="97"/>
      <c r="T116" s="97"/>
      <c r="U116" s="97"/>
      <c r="V116" s="97"/>
      <c r="W116" s="97"/>
      <c r="X116" s="97"/>
      <c r="Y116" s="97"/>
    </row>
    <row r="117" spans="17:25" customFormat="1" x14ac:dyDescent="0.25">
      <c r="Q117" s="97"/>
      <c r="R117" s="97"/>
      <c r="S117" s="97"/>
      <c r="T117" s="97"/>
      <c r="U117" s="97"/>
      <c r="V117" s="97"/>
      <c r="W117" s="97"/>
      <c r="X117" s="97"/>
      <c r="Y117" s="97"/>
    </row>
    <row r="118" spans="17:25" customFormat="1" x14ac:dyDescent="0.25">
      <c r="Q118" s="97"/>
      <c r="R118" s="97"/>
      <c r="S118" s="97"/>
      <c r="T118" s="97"/>
      <c r="U118" s="97"/>
      <c r="V118" s="97"/>
      <c r="W118" s="97"/>
      <c r="X118" s="97"/>
      <c r="Y118" s="97"/>
    </row>
    <row r="119" spans="17:25" customFormat="1" x14ac:dyDescent="0.25">
      <c r="Q119" s="97"/>
      <c r="R119" s="97"/>
      <c r="S119" s="97"/>
      <c r="T119" s="97"/>
      <c r="U119" s="97"/>
      <c r="V119" s="97"/>
      <c r="W119" s="97"/>
      <c r="X119" s="97"/>
      <c r="Y119" s="97"/>
    </row>
    <row r="120" spans="17:25" customFormat="1" x14ac:dyDescent="0.25">
      <c r="Q120" s="97"/>
      <c r="R120" s="97"/>
      <c r="S120" s="97"/>
      <c r="T120" s="97"/>
      <c r="U120" s="97"/>
      <c r="V120" s="97"/>
      <c r="W120" s="97"/>
      <c r="X120" s="97"/>
      <c r="Y120" s="97"/>
    </row>
    <row r="121" spans="17:25" customFormat="1" x14ac:dyDescent="0.25">
      <c r="Q121" s="97"/>
      <c r="R121" s="97"/>
      <c r="S121" s="97"/>
      <c r="T121" s="97"/>
      <c r="U121" s="97"/>
      <c r="V121" s="97"/>
      <c r="W121" s="97"/>
      <c r="X121" s="97"/>
      <c r="Y121" s="97"/>
    </row>
    <row r="122" spans="17:25" customFormat="1" x14ac:dyDescent="0.25">
      <c r="Q122" s="97"/>
      <c r="R122" s="97"/>
      <c r="S122" s="97"/>
      <c r="T122" s="97"/>
      <c r="U122" s="97"/>
      <c r="V122" s="97"/>
      <c r="W122" s="97"/>
      <c r="X122" s="97"/>
      <c r="Y122" s="97"/>
    </row>
    <row r="123" spans="17:25" customFormat="1" x14ac:dyDescent="0.25">
      <c r="Q123" s="97"/>
      <c r="R123" s="97"/>
      <c r="S123" s="97"/>
      <c r="T123" s="97"/>
      <c r="U123" s="97"/>
      <c r="V123" s="97"/>
      <c r="W123" s="97"/>
      <c r="X123" s="97"/>
      <c r="Y123" s="97"/>
    </row>
    <row r="124" spans="17:25" customFormat="1" x14ac:dyDescent="0.25">
      <c r="Q124" s="97"/>
      <c r="R124" s="97"/>
      <c r="S124" s="97"/>
      <c r="T124" s="97"/>
      <c r="U124" s="97"/>
      <c r="V124" s="97"/>
      <c r="W124" s="97"/>
      <c r="X124" s="97"/>
      <c r="Y124" s="97"/>
    </row>
    <row r="125" spans="17:25" customFormat="1" x14ac:dyDescent="0.25">
      <c r="Q125" s="97"/>
      <c r="R125" s="97"/>
      <c r="S125" s="97"/>
      <c r="T125" s="97"/>
      <c r="U125" s="97"/>
      <c r="V125" s="97"/>
      <c r="W125" s="97"/>
      <c r="X125" s="97"/>
      <c r="Y125" s="97"/>
    </row>
    <row r="126" spans="17:25" customFormat="1" x14ac:dyDescent="0.25">
      <c r="Q126" s="97"/>
      <c r="R126" s="97"/>
      <c r="S126" s="97"/>
      <c r="T126" s="97"/>
      <c r="U126" s="97"/>
      <c r="V126" s="97"/>
      <c r="W126" s="97"/>
      <c r="X126" s="97"/>
      <c r="Y126" s="97"/>
    </row>
    <row r="127" spans="17:25" customFormat="1" x14ac:dyDescent="0.25">
      <c r="Q127" s="97"/>
      <c r="R127" s="97"/>
      <c r="S127" s="97"/>
      <c r="T127" s="97"/>
      <c r="U127" s="97"/>
      <c r="V127" s="97"/>
      <c r="W127" s="97"/>
      <c r="X127" s="97"/>
      <c r="Y127" s="97"/>
    </row>
    <row r="128" spans="17:25" customFormat="1" x14ac:dyDescent="0.25">
      <c r="Q128" s="97"/>
      <c r="R128" s="97"/>
      <c r="S128" s="97"/>
      <c r="T128" s="97"/>
      <c r="U128" s="97"/>
      <c r="V128" s="97"/>
      <c r="W128" s="97"/>
      <c r="X128" s="97"/>
      <c r="Y128" s="97"/>
    </row>
  </sheetData>
  <mergeCells count="20">
    <mergeCell ref="V5:X5"/>
    <mergeCell ref="V21:X21"/>
    <mergeCell ref="V46:X46"/>
    <mergeCell ref="C21:D21"/>
    <mergeCell ref="N5:P5"/>
    <mergeCell ref="N21:P21"/>
    <mergeCell ref="F45:P45"/>
    <mergeCell ref="C46:D46"/>
    <mergeCell ref="F46:H46"/>
    <mergeCell ref="J46:L46"/>
    <mergeCell ref="N46:P46"/>
    <mergeCell ref="R5:T5"/>
    <mergeCell ref="R21:T21"/>
    <mergeCell ref="R46:T46"/>
    <mergeCell ref="F4:P4"/>
    <mergeCell ref="J5:L5"/>
    <mergeCell ref="F21:H21"/>
    <mergeCell ref="J21:L21"/>
    <mergeCell ref="F20:P20"/>
    <mergeCell ref="F5:H5"/>
  </mergeCells>
  <conditionalFormatting sqref="G23:G31">
    <cfRule type="cellIs" dxfId="56" priority="115" operator="lessThan">
      <formula>0</formula>
    </cfRule>
    <cfRule type="cellIs" dxfId="55" priority="116" operator="greaterThan">
      <formula>0</formula>
    </cfRule>
  </conditionalFormatting>
  <conditionalFormatting sqref="K23:K29 K31">
    <cfRule type="cellIs" dxfId="54" priority="109" operator="lessThan">
      <formula>0</formula>
    </cfRule>
    <cfRule type="cellIs" dxfId="53" priority="110" operator="greaterThan">
      <formula>0</formula>
    </cfRule>
  </conditionalFormatting>
  <conditionalFormatting sqref="O23:O29 O31">
    <cfRule type="cellIs" dxfId="52" priority="99" operator="lessThan">
      <formula>0</formula>
    </cfRule>
    <cfRule type="cellIs" dxfId="51" priority="100" operator="greaterThan">
      <formula>0</formula>
    </cfRule>
  </conditionalFormatting>
  <conditionalFormatting sqref="G32">
    <cfRule type="cellIs" dxfId="50" priority="91" operator="lessThan">
      <formula>0</formula>
    </cfRule>
    <cfRule type="cellIs" dxfId="49" priority="92" operator="greaterThan">
      <formula>0</formula>
    </cfRule>
  </conditionalFormatting>
  <conditionalFormatting sqref="K32">
    <cfRule type="cellIs" dxfId="48" priority="85" operator="lessThan">
      <formula>0</formula>
    </cfRule>
    <cfRule type="cellIs" dxfId="47" priority="86" operator="greaterThan">
      <formula>0</formula>
    </cfRule>
  </conditionalFormatting>
  <conditionalFormatting sqref="K30">
    <cfRule type="cellIs" dxfId="46" priority="83" operator="lessThan">
      <formula>0</formula>
    </cfRule>
    <cfRule type="cellIs" dxfId="45" priority="84" operator="greaterThan">
      <formula>0</formula>
    </cfRule>
  </conditionalFormatting>
  <conditionalFormatting sqref="O30">
    <cfRule type="cellIs" dxfId="44" priority="81" operator="lessThan">
      <formula>0</formula>
    </cfRule>
    <cfRule type="cellIs" dxfId="43" priority="82" operator="greaterThan">
      <formula>0</formula>
    </cfRule>
  </conditionalFormatting>
  <conditionalFormatting sqref="O32">
    <cfRule type="cellIs" dxfId="42" priority="79" operator="lessThan">
      <formula>0</formula>
    </cfRule>
    <cfRule type="cellIs" dxfId="41" priority="80" operator="greaterThan">
      <formula>0</formula>
    </cfRule>
  </conditionalFormatting>
  <conditionalFormatting sqref="G48:G56">
    <cfRule type="cellIs" dxfId="40" priority="51" operator="lessThan">
      <formula>0</formula>
    </cfRule>
    <cfRule type="cellIs" dxfId="39" priority="52" operator="greaterThan">
      <formula>0</formula>
    </cfRule>
  </conditionalFormatting>
  <conditionalFormatting sqref="K48:K54 K56">
    <cfRule type="cellIs" dxfId="38" priority="49" operator="lessThan">
      <formula>0</formula>
    </cfRule>
    <cfRule type="cellIs" dxfId="37" priority="50" operator="greaterThan">
      <formula>0</formula>
    </cfRule>
  </conditionalFormatting>
  <conditionalFormatting sqref="O48:O54 O56">
    <cfRule type="cellIs" dxfId="36" priority="47" operator="lessThan">
      <formula>0</formula>
    </cfRule>
    <cfRule type="cellIs" dxfId="35" priority="48" operator="greaterThan">
      <formula>0</formula>
    </cfRule>
  </conditionalFormatting>
  <conditionalFormatting sqref="G57">
    <cfRule type="cellIs" dxfId="34" priority="45" operator="lessThan">
      <formula>0</formula>
    </cfRule>
    <cfRule type="cellIs" dxfId="33" priority="46" operator="greaterThan">
      <formula>0</formula>
    </cfRule>
  </conditionalFormatting>
  <conditionalFormatting sqref="K57">
    <cfRule type="cellIs" dxfId="32" priority="43" operator="lessThan">
      <formula>0</formula>
    </cfRule>
    <cfRule type="cellIs" dxfId="31" priority="44" operator="greaterThan">
      <formula>0</formula>
    </cfRule>
  </conditionalFormatting>
  <conditionalFormatting sqref="K55">
    <cfRule type="cellIs" dxfId="30" priority="41" operator="lessThan">
      <formula>0</formula>
    </cfRule>
    <cfRule type="cellIs" dxfId="29" priority="42" operator="greaterThan">
      <formula>0</formula>
    </cfRule>
  </conditionalFormatting>
  <conditionalFormatting sqref="O55">
    <cfRule type="cellIs" dxfId="28" priority="39" operator="lessThan">
      <formula>0</formula>
    </cfRule>
    <cfRule type="cellIs" dxfId="27" priority="40" operator="greaterThan">
      <formula>0</formula>
    </cfRule>
  </conditionalFormatting>
  <conditionalFormatting sqref="O57">
    <cfRule type="cellIs" dxfId="26" priority="37" operator="lessThan">
      <formula>0</formula>
    </cfRule>
    <cfRule type="cellIs" dxfId="25" priority="38" operator="greaterThan">
      <formula>0</formula>
    </cfRule>
  </conditionalFormatting>
  <conditionalFormatting sqref="S23:S29 S31">
    <cfRule type="cellIs" dxfId="24" priority="23" operator="lessThan">
      <formula>0</formula>
    </cfRule>
    <cfRule type="cellIs" dxfId="23" priority="24" operator="greaterThan">
      <formula>0</formula>
    </cfRule>
  </conditionalFormatting>
  <conditionalFormatting sqref="S30">
    <cfRule type="cellIs" dxfId="22" priority="21" operator="lessThan">
      <formula>0</formula>
    </cfRule>
    <cfRule type="cellIs" dxfId="21" priority="22" operator="greaterThan">
      <formula>0</formula>
    </cfRule>
  </conditionalFormatting>
  <conditionalFormatting sqref="S32">
    <cfRule type="cellIs" dxfId="20" priority="19" operator="lessThan">
      <formula>0</formula>
    </cfRule>
    <cfRule type="cellIs" dxfId="19" priority="20" operator="greaterThan">
      <formula>0</formula>
    </cfRule>
  </conditionalFormatting>
  <conditionalFormatting sqref="S48:S54 S56">
    <cfRule type="cellIs" dxfId="18" priority="17" operator="lessThan">
      <formula>0</formula>
    </cfRule>
    <cfRule type="cellIs" dxfId="17" priority="18" operator="greaterThan">
      <formula>0</formula>
    </cfRule>
  </conditionalFormatting>
  <conditionalFormatting sqref="S55">
    <cfRule type="cellIs" dxfId="16" priority="15" operator="lessThan">
      <formula>0</formula>
    </cfRule>
    <cfRule type="cellIs" dxfId="15" priority="16" operator="greaterThan">
      <formula>0</formula>
    </cfRule>
  </conditionalFormatting>
  <conditionalFormatting sqref="S57">
    <cfRule type="cellIs" dxfId="14" priority="13" operator="lessThan">
      <formula>0</formula>
    </cfRule>
    <cfRule type="cellIs" dxfId="13" priority="14" operator="greaterThan">
      <formula>0</formula>
    </cfRule>
  </conditionalFormatting>
  <conditionalFormatting sqref="W23:W29 W31">
    <cfRule type="cellIs" dxfId="12" priority="11" operator="lessThan">
      <formula>0</formula>
    </cfRule>
    <cfRule type="cellIs" dxfId="11" priority="12" operator="greaterThan">
      <formula>0</formula>
    </cfRule>
  </conditionalFormatting>
  <conditionalFormatting sqref="W30">
    <cfRule type="cellIs" dxfId="10" priority="9" operator="lessThan">
      <formula>0</formula>
    </cfRule>
    <cfRule type="cellIs" dxfId="9" priority="10" operator="greaterThan">
      <formula>0</formula>
    </cfRule>
  </conditionalFormatting>
  <conditionalFormatting sqref="W32">
    <cfRule type="cellIs" dxfId="8" priority="7" operator="lessThan">
      <formula>0</formula>
    </cfRule>
    <cfRule type="cellIs" dxfId="7" priority="8" operator="greaterThan">
      <formula>0</formula>
    </cfRule>
  </conditionalFormatting>
  <conditionalFormatting sqref="W48:W54 W56">
    <cfRule type="cellIs" dxfId="6" priority="5" operator="lessThan">
      <formula>0</formula>
    </cfRule>
    <cfRule type="cellIs" dxfId="5" priority="6" operator="greaterThan">
      <formula>0</formula>
    </cfRule>
  </conditionalFormatting>
  <conditionalFormatting sqref="W55">
    <cfRule type="cellIs" dxfId="4" priority="3" operator="lessThan">
      <formula>0</formula>
    </cfRule>
    <cfRule type="cellIs" dxfId="3" priority="4" operator="greaterThan">
      <formula>0</formula>
    </cfRule>
  </conditionalFormatting>
  <conditionalFormatting sqref="W57">
    <cfRule type="cellIs" dxfId="2" priority="1" operator="lessThan">
      <formula>0</formula>
    </cfRule>
    <cfRule type="cellIs" dxfId="1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60533-17C9-4FC6-94E4-46A76AAAA0C5}">
  <sheetPr>
    <tabColor theme="3" tint="0.79998168889431442"/>
  </sheetPr>
  <dimension ref="A2:Q10"/>
  <sheetViews>
    <sheetView zoomScale="75" zoomScaleNormal="75" workbookViewId="0">
      <selection activeCell="C2" sqref="C2:K6"/>
    </sheetView>
  </sheetViews>
  <sheetFormatPr defaultColWidth="15.42578125" defaultRowHeight="15" x14ac:dyDescent="0.25"/>
  <cols>
    <col min="1" max="3" width="15.42578125" style="169"/>
    <col min="4" max="4" width="11.5703125" style="169" bestFit="1" customWidth="1"/>
    <col min="5" max="5" width="16.85546875" style="169" bestFit="1" customWidth="1"/>
    <col min="6" max="6" width="14.42578125" style="169" customWidth="1"/>
    <col min="7" max="7" width="15.140625" style="169" customWidth="1"/>
    <col min="8" max="8" width="14.42578125" style="169" customWidth="1"/>
    <col min="9" max="9" width="15.140625" style="169" customWidth="1"/>
    <col min="10" max="10" width="11.5703125" style="169" bestFit="1" customWidth="1"/>
    <col min="11" max="11" width="16.85546875" style="169" bestFit="1" customWidth="1"/>
    <col min="12" max="12" width="14.42578125" style="169" customWidth="1"/>
    <col min="13" max="13" width="15.140625" style="169" customWidth="1"/>
    <col min="14" max="14" width="14.42578125" style="169" customWidth="1"/>
    <col min="15" max="15" width="15.140625" style="169" customWidth="1"/>
    <col min="16" max="16" width="14.42578125" style="169" customWidth="1"/>
    <col min="17" max="17" width="15.140625" style="169" customWidth="1"/>
    <col min="18" max="16384" width="15.42578125" style="169"/>
  </cols>
  <sheetData>
    <row r="2" spans="1:17" ht="27.75" customHeight="1" x14ac:dyDescent="0.25">
      <c r="A2" s="371" t="s">
        <v>278</v>
      </c>
      <c r="C2"/>
      <c r="D2" s="439" t="s">
        <v>291</v>
      </c>
      <c r="E2" s="439"/>
      <c r="F2" s="439" t="s">
        <v>279</v>
      </c>
      <c r="G2" s="439"/>
      <c r="H2" s="439" t="s">
        <v>317</v>
      </c>
      <c r="I2" s="439"/>
      <c r="J2" s="439" t="s">
        <v>318</v>
      </c>
      <c r="K2" s="439"/>
      <c r="L2" s="440" t="s">
        <v>307</v>
      </c>
      <c r="M2" s="440"/>
      <c r="N2"/>
      <c r="O2"/>
      <c r="P2"/>
      <c r="Q2"/>
    </row>
    <row r="3" spans="1:17" x14ac:dyDescent="0.25">
      <c r="A3" s="372">
        <v>1530000</v>
      </c>
      <c r="C3"/>
      <c r="D3" s="385" t="s">
        <v>276</v>
      </c>
      <c r="E3" s="385" t="s">
        <v>277</v>
      </c>
      <c r="F3" s="385" t="s">
        <v>276</v>
      </c>
      <c r="G3" s="385" t="s">
        <v>277</v>
      </c>
      <c r="H3" s="385" t="s">
        <v>276</v>
      </c>
      <c r="I3" s="385" t="s">
        <v>277</v>
      </c>
      <c r="J3" s="385" t="s">
        <v>276</v>
      </c>
      <c r="K3" s="385" t="s">
        <v>277</v>
      </c>
      <c r="L3" s="379" t="s">
        <v>276</v>
      </c>
      <c r="M3" s="379" t="s">
        <v>277</v>
      </c>
      <c r="N3"/>
      <c r="O3"/>
      <c r="P3"/>
      <c r="Q3"/>
    </row>
    <row r="4" spans="1:17" x14ac:dyDescent="0.25">
      <c r="C4" s="386" t="s">
        <v>103</v>
      </c>
      <c r="D4" s="387">
        <f>SUM('Scenario deep dive'!D23,'Scenario deep dive'!D25:D31)*1000000*0.8/VAC_Optim_Scenario!$E$33</f>
        <v>425825.50431061006</v>
      </c>
      <c r="E4" s="388">
        <f>D4/$A$3</f>
        <v>0.27831732307883011</v>
      </c>
      <c r="F4" s="387">
        <f>SUM('Scenario deep dive'!H23,'Scenario deep dive'!H25:H31)*1000000*0.8/VAC_Optim_Scenario!$E$33</f>
        <v>436724.46346719033</v>
      </c>
      <c r="G4" s="388">
        <f>F4/$A$3</f>
        <v>0.28544082579554925</v>
      </c>
      <c r="H4" s="387">
        <f>SUM('Scenario deep dive'!L23,'Scenario deep dive'!L25:L31)*1000000*0.8/VAC_Optim_Scenario!$E$33</f>
        <v>443532.43489820888</v>
      </c>
      <c r="I4" s="388">
        <f>H4/$A$3</f>
        <v>0.2898904803256267</v>
      </c>
      <c r="J4" s="387">
        <f>SUM('Scenario deep dive'!P23,'Scenario deep dive'!P25:P31)*1000000*0.8/VAC_Optim_Scenario!$E$33</f>
        <v>500272.58307850087</v>
      </c>
      <c r="K4" s="388">
        <f>J4/$A$3</f>
        <v>0.32697554449575222</v>
      </c>
      <c r="L4" s="374">
        <f>SUM('Scenario deep dive'!T23,'Scenario deep dive'!T25:T31)*1000000*0.8/VAC_Optim_Scenario!$E$33</f>
        <v>458326.68326091708</v>
      </c>
      <c r="M4" s="373">
        <f>L4/$A$3</f>
        <v>0.29955992369994583</v>
      </c>
      <c r="N4"/>
      <c r="O4"/>
      <c r="P4"/>
      <c r="Q4"/>
    </row>
    <row r="5" spans="1:17" x14ac:dyDescent="0.25">
      <c r="C5" s="386" t="s">
        <v>275</v>
      </c>
      <c r="D5" s="387">
        <f>SUM('Scenario deep dive'!D24)*1000000*0.8/VAC_Optim_Scenario!$E$33</f>
        <v>383256.68690899096</v>
      </c>
      <c r="E5" s="388">
        <f t="shared" ref="E5:G6" si="0">D5/$A$3</f>
        <v>0.25049456660718361</v>
      </c>
      <c r="F5" s="387">
        <f>SUM('Scenario deep dive'!H24)*1000000*0.8/VAC_Optim_Scenario!$E$33</f>
        <v>383256.68690899096</v>
      </c>
      <c r="G5" s="388">
        <f t="shared" si="0"/>
        <v>0.25049456660718361</v>
      </c>
      <c r="H5" s="387">
        <f>SUM('Scenario deep dive'!L24)*1000000*0.8/VAC_Optim_Scenario!$E$33</f>
        <v>383256.68690899096</v>
      </c>
      <c r="I5" s="388">
        <f t="shared" ref="I5" si="1">H5/$A$3</f>
        <v>0.25049456660718361</v>
      </c>
      <c r="J5" s="387">
        <f>SUM('Scenario deep dive'!P24)*1000000*0.8/VAC_Optim_Scenario!$E$33</f>
        <v>374346.41664766002</v>
      </c>
      <c r="K5" s="388">
        <f t="shared" ref="K5" si="2">J5/$A$3</f>
        <v>0.24467086055402615</v>
      </c>
      <c r="L5" s="374">
        <f>SUM('Scenario deep dive'!T24)*1000000*0.8/VAC_Optim_Scenario!$E$33</f>
        <v>374346.41664766002</v>
      </c>
      <c r="M5" s="373">
        <f t="shared" ref="M5" si="3">L5/$A$3</f>
        <v>0.24467086055402615</v>
      </c>
      <c r="N5"/>
      <c r="O5"/>
      <c r="P5"/>
      <c r="Q5"/>
    </row>
    <row r="6" spans="1:17" x14ac:dyDescent="0.25">
      <c r="C6" s="386" t="s">
        <v>230</v>
      </c>
      <c r="D6" s="387">
        <f>SUM('Scenario deep dive'!D32)*1000000*0.8/VAC_Optim_Scenario!$E$33</f>
        <v>17929.847554326803</v>
      </c>
      <c r="E6" s="388">
        <f t="shared" si="0"/>
        <v>1.1718854610671113E-2</v>
      </c>
      <c r="F6" s="387">
        <f>SUM('Scenario deep dive'!H32)*1000000*0.8/VAC_Optim_Scenario!$E$33</f>
        <v>17929.847554326803</v>
      </c>
      <c r="G6" s="388">
        <f t="shared" si="0"/>
        <v>1.1718854610671113E-2</v>
      </c>
      <c r="H6" s="387">
        <f>SUM('Scenario deep dive'!L32)*1000000*0.8/VAC_Optim_Scenario!$E$33</f>
        <v>17929.847554326803</v>
      </c>
      <c r="I6" s="388">
        <f t="shared" ref="I6" si="4">H6/$A$3</f>
        <v>1.1718854610671113E-2</v>
      </c>
      <c r="J6" s="387">
        <f>SUM('Scenario deep dive'!P32)*1000000*0.8/VAC_Optim_Scenario!$E$33</f>
        <v>17929.847554326803</v>
      </c>
      <c r="K6" s="388">
        <f t="shared" ref="K6" si="5">J6/$A$3</f>
        <v>1.1718854610671113E-2</v>
      </c>
      <c r="L6" s="374">
        <f>SUM('Scenario deep dive'!T32)*1000000*0.8/VAC_Optim_Scenario!$E$33</f>
        <v>17929.847554326803</v>
      </c>
      <c r="M6" s="373">
        <f t="shared" ref="M6" si="6">L6/$A$3</f>
        <v>1.1718854610671113E-2</v>
      </c>
      <c r="N6"/>
      <c r="O6"/>
      <c r="P6"/>
      <c r="Q6"/>
    </row>
    <row r="7" spans="1:17" x14ac:dyDescent="0.25">
      <c r="N7"/>
      <c r="O7"/>
      <c r="P7"/>
      <c r="Q7"/>
    </row>
    <row r="8" spans="1:17" x14ac:dyDescent="0.25">
      <c r="N8"/>
      <c r="O8"/>
      <c r="P8"/>
      <c r="Q8"/>
    </row>
    <row r="9" spans="1:17" x14ac:dyDescent="0.25">
      <c r="N9"/>
      <c r="O9"/>
      <c r="P9"/>
      <c r="Q9"/>
    </row>
    <row r="10" spans="1:17" x14ac:dyDescent="0.25">
      <c r="N10"/>
      <c r="O10"/>
      <c r="P10"/>
      <c r="Q10"/>
    </row>
  </sheetData>
  <mergeCells count="5">
    <mergeCell ref="D2:E2"/>
    <mergeCell ref="F2:G2"/>
    <mergeCell ref="H2:I2"/>
    <mergeCell ref="J2:K2"/>
    <mergeCell ref="L2:M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X57"/>
  <sheetViews>
    <sheetView topLeftCell="A7" zoomScale="90" zoomScaleNormal="90" workbookViewId="0">
      <selection activeCell="B10" sqref="B10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24.5703125" style="1" bestFit="1" customWidth="1"/>
    <col min="4" max="4" width="12.42578125" style="1" customWidth="1"/>
    <col min="5" max="5" width="13.85546875" style="1" customWidth="1"/>
    <col min="6" max="6" width="12.42578125" style="1" customWidth="1"/>
    <col min="7" max="7" width="13.5703125" style="1" customWidth="1"/>
    <col min="8" max="8" width="14" style="1" customWidth="1"/>
    <col min="9" max="10" width="14.570312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7" width="8.85546875" style="1"/>
    <col min="18" max="18" width="10.85546875" style="1" bestFit="1" customWidth="1"/>
    <col min="19" max="16384" width="8.85546875" style="1"/>
  </cols>
  <sheetData>
    <row r="1" spans="1:15" x14ac:dyDescent="0.2">
      <c r="A1" s="48" t="s">
        <v>0</v>
      </c>
      <c r="B1" s="1" t="s">
        <v>179</v>
      </c>
    </row>
    <row r="2" spans="1:15" x14ac:dyDescent="0.2">
      <c r="A2" s="48" t="s">
        <v>76</v>
      </c>
      <c r="B2" s="1" t="s">
        <v>234</v>
      </c>
    </row>
    <row r="3" spans="1:15" x14ac:dyDescent="0.2">
      <c r="A3" s="48" t="s">
        <v>77</v>
      </c>
      <c r="B3" s="1" t="s">
        <v>233</v>
      </c>
    </row>
    <row r="4" spans="1:15" ht="29.1" customHeight="1" x14ac:dyDescent="0.2">
      <c r="A4" s="49" t="s">
        <v>78</v>
      </c>
      <c r="B4" s="445" t="s">
        <v>253</v>
      </c>
      <c r="C4" s="446"/>
      <c r="D4" s="446"/>
      <c r="E4" s="446"/>
      <c r="F4" s="446"/>
      <c r="G4" s="446"/>
      <c r="H4" s="446"/>
      <c r="I4" s="446"/>
    </row>
    <row r="5" spans="1:15" x14ac:dyDescent="0.2">
      <c r="A5" s="48" t="s">
        <v>79</v>
      </c>
      <c r="B5" s="1" t="s">
        <v>127</v>
      </c>
      <c r="E5" s="447" t="s">
        <v>50</v>
      </c>
      <c r="F5" s="448"/>
      <c r="G5" s="448"/>
      <c r="H5" s="448"/>
      <c r="I5" s="449"/>
    </row>
    <row r="6" spans="1:15" x14ac:dyDescent="0.2">
      <c r="A6" s="48" t="s">
        <v>80</v>
      </c>
      <c r="B6" s="1" t="s">
        <v>180</v>
      </c>
      <c r="E6" s="450" t="s">
        <v>51</v>
      </c>
      <c r="F6" s="451"/>
      <c r="G6" s="451"/>
      <c r="H6" s="451"/>
      <c r="I6" s="452"/>
    </row>
    <row r="7" spans="1:15" ht="13.5" thickBot="1" x14ac:dyDescent="0.25"/>
    <row r="8" spans="1:15" ht="13.5" thickBot="1" x14ac:dyDescent="0.25">
      <c r="A8" s="51" t="s">
        <v>81</v>
      </c>
    </row>
    <row r="9" spans="1:15" ht="13.5" thickBot="1" x14ac:dyDescent="0.25">
      <c r="A9" s="29" t="s">
        <v>83</v>
      </c>
      <c r="B9" s="57">
        <f>J27</f>
        <v>1055898.7117019081</v>
      </c>
      <c r="I9" s="140">
        <v>120000000</v>
      </c>
      <c r="J9" s="1">
        <f>I9/E27</f>
        <v>1.647580470023154</v>
      </c>
      <c r="K9" s="117"/>
      <c r="O9" s="261"/>
    </row>
    <row r="10" spans="1:15" ht="13.5" thickBot="1" x14ac:dyDescent="0.25">
      <c r="A10" s="50"/>
      <c r="B10" s="1">
        <v>1.0362124457473838</v>
      </c>
      <c r="E10" s="1" t="s">
        <v>94</v>
      </c>
    </row>
    <row r="11" spans="1:15" ht="26.25" thickBot="1" x14ac:dyDescent="0.25">
      <c r="A11" s="224" t="s">
        <v>82</v>
      </c>
      <c r="B11" s="221" t="s">
        <v>84</v>
      </c>
      <c r="C11" s="220" t="s">
        <v>97</v>
      </c>
      <c r="D11" s="143" t="s">
        <v>98</v>
      </c>
      <c r="E11" s="220" t="s">
        <v>158</v>
      </c>
      <c r="F11" s="143" t="s">
        <v>159</v>
      </c>
      <c r="M11" s="140"/>
    </row>
    <row r="12" spans="1:15" s="208" customFormat="1" ht="13.5" thickBot="1" x14ac:dyDescent="0.25">
      <c r="A12" s="144" t="s">
        <v>157</v>
      </c>
      <c r="B12" s="145">
        <f>SUM(E17:E26)*B10</f>
        <v>75471575.289999992</v>
      </c>
      <c r="C12" s="146">
        <f>B12*E12</f>
        <v>0</v>
      </c>
      <c r="D12" s="146">
        <f>B12*F12</f>
        <v>75471575.289999992</v>
      </c>
      <c r="E12" s="147">
        <v>0</v>
      </c>
      <c r="F12" s="148">
        <v>1</v>
      </c>
      <c r="I12" s="222"/>
      <c r="K12" s="223"/>
      <c r="L12" s="223"/>
    </row>
    <row r="13" spans="1:15" ht="13.5" thickBot="1" x14ac:dyDescent="0.25">
      <c r="L13" s="140">
        <f>G46</f>
        <v>233568875.05072653</v>
      </c>
      <c r="M13" s="113">
        <f>J46</f>
        <v>238569754.92192909</v>
      </c>
    </row>
    <row r="14" spans="1:15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29"/>
      <c r="H14" s="229">
        <v>1.25</v>
      </c>
      <c r="I14" s="56" t="s">
        <v>95</v>
      </c>
      <c r="J14" s="56" t="s">
        <v>96</v>
      </c>
    </row>
    <row r="15" spans="1:15" ht="27.75" customHeight="1" x14ac:dyDescent="0.2">
      <c r="A15" s="408" t="s">
        <v>2</v>
      </c>
      <c r="B15" s="410" t="s">
        <v>3</v>
      </c>
      <c r="C15" s="410" t="s">
        <v>38</v>
      </c>
      <c r="D15" s="410" t="s">
        <v>128</v>
      </c>
      <c r="E15" s="453" t="s">
        <v>86</v>
      </c>
      <c r="F15" s="455"/>
      <c r="G15" s="411" t="s">
        <v>131</v>
      </c>
      <c r="H15" s="412"/>
      <c r="I15" s="411" t="s">
        <v>89</v>
      </c>
      <c r="J15" s="412"/>
      <c r="K15" s="453" t="s">
        <v>90</v>
      </c>
      <c r="L15" s="454"/>
      <c r="M15" s="454"/>
      <c r="N15" s="455"/>
    </row>
    <row r="16" spans="1:15" ht="25.5" x14ac:dyDescent="0.2">
      <c r="A16" s="409"/>
      <c r="B16" s="409"/>
      <c r="C16" s="409"/>
      <c r="D16" s="409"/>
      <c r="E16" s="78" t="s">
        <v>149</v>
      </c>
      <c r="F16" s="78" t="s">
        <v>178</v>
      </c>
      <c r="G16" s="78" t="s">
        <v>87</v>
      </c>
      <c r="H16" s="370" t="s">
        <v>88</v>
      </c>
      <c r="I16" s="367" t="s">
        <v>148</v>
      </c>
      <c r="J16" s="55" t="s">
        <v>181</v>
      </c>
      <c r="K16" s="78" t="s">
        <v>130</v>
      </c>
      <c r="L16" s="78" t="s">
        <v>182</v>
      </c>
      <c r="M16" s="78" t="s">
        <v>91</v>
      </c>
      <c r="N16" s="78" t="s">
        <v>92</v>
      </c>
    </row>
    <row r="17" spans="1:24" x14ac:dyDescent="0.2">
      <c r="A17" s="225" t="s">
        <v>223</v>
      </c>
      <c r="B17" s="240" t="s">
        <v>228</v>
      </c>
      <c r="C17" s="54" t="s">
        <v>129</v>
      </c>
      <c r="D17" s="263">
        <v>1</v>
      </c>
      <c r="E17" s="285">
        <v>300000</v>
      </c>
      <c r="F17" s="247">
        <f>GINOFF!I9</f>
        <v>2483.0652365162969</v>
      </c>
      <c r="G17" s="405">
        <v>300000</v>
      </c>
      <c r="H17" s="406">
        <v>300000</v>
      </c>
      <c r="I17" s="286">
        <v>300000</v>
      </c>
      <c r="J17" s="249">
        <f>GINOFF!F9</f>
        <v>2483.0652365162969</v>
      </c>
      <c r="K17" s="257">
        <f>I17-E17</f>
        <v>0</v>
      </c>
      <c r="L17" s="253">
        <f>J17-F17</f>
        <v>0</v>
      </c>
      <c r="M17" s="254">
        <f>K17/E17</f>
        <v>0</v>
      </c>
      <c r="N17" s="254">
        <f>L17/F17</f>
        <v>0</v>
      </c>
      <c r="O17" s="265"/>
      <c r="R17" s="98"/>
      <c r="S17" s="98"/>
      <c r="T17" s="98"/>
      <c r="U17" s="242"/>
      <c r="V17" s="242"/>
    </row>
    <row r="18" spans="1:24" x14ac:dyDescent="0.2">
      <c r="A18" s="226" t="s">
        <v>223</v>
      </c>
      <c r="B18" s="241" t="s">
        <v>204</v>
      </c>
      <c r="C18" s="54" t="s">
        <v>129</v>
      </c>
      <c r="D18" s="263">
        <v>1</v>
      </c>
      <c r="E18" s="285">
        <v>21865000</v>
      </c>
      <c r="F18" s="248">
        <f>GMCM!I9</f>
        <v>479070.85863623861</v>
      </c>
      <c r="G18" s="405">
        <v>21865000</v>
      </c>
      <c r="H18" s="406">
        <v>21865000</v>
      </c>
      <c r="I18" s="286">
        <v>21865000</v>
      </c>
      <c r="J18" s="250">
        <f>GMCM!F9</f>
        <v>479070.85863623861</v>
      </c>
      <c r="K18" s="258">
        <f t="shared" ref="K18:K26" si="0">I18-E18</f>
        <v>0</v>
      </c>
      <c r="L18" s="255">
        <f t="shared" ref="L18:L26" si="1">J18-F18</f>
        <v>0</v>
      </c>
      <c r="M18" s="256">
        <f t="shared" ref="M18:M26" si="2">K18/E18</f>
        <v>0</v>
      </c>
      <c r="N18" s="256">
        <f t="shared" ref="N18:N26" si="3">L18/F18</f>
        <v>0</v>
      </c>
      <c r="O18" s="265"/>
      <c r="R18" s="98"/>
      <c r="S18" s="98"/>
      <c r="T18" s="98"/>
      <c r="U18" s="242"/>
      <c r="V18" s="242"/>
      <c r="X18" s="87"/>
    </row>
    <row r="19" spans="1:24" s="98" customFormat="1" x14ac:dyDescent="0.2">
      <c r="A19" s="226" t="s">
        <v>223</v>
      </c>
      <c r="B19" s="241" t="s">
        <v>205</v>
      </c>
      <c r="C19" s="54" t="s">
        <v>235</v>
      </c>
      <c r="D19" s="263">
        <v>1</v>
      </c>
      <c r="E19" s="285">
        <v>3135000</v>
      </c>
      <c r="F19" s="248">
        <f>GSOCIAL!I9</f>
        <v>33784.691267997114</v>
      </c>
      <c r="G19" s="285">
        <v>3135000</v>
      </c>
      <c r="H19" s="251">
        <f>E19*H14</f>
        <v>3918750</v>
      </c>
      <c r="I19" s="286">
        <v>3918750</v>
      </c>
      <c r="J19" s="250">
        <f>GSOCIAL!F9</f>
        <v>38624.774986650264</v>
      </c>
      <c r="K19" s="258">
        <f t="shared" si="0"/>
        <v>783750</v>
      </c>
      <c r="L19" s="255">
        <f t="shared" si="1"/>
        <v>4840.0837186531498</v>
      </c>
      <c r="M19" s="256">
        <f t="shared" si="2"/>
        <v>0.25</v>
      </c>
      <c r="N19" s="256">
        <f>L19/F19</f>
        <v>0.14326262981831558</v>
      </c>
      <c r="O19" s="265"/>
      <c r="U19" s="242"/>
      <c r="V19" s="242"/>
    </row>
    <row r="20" spans="1:24" s="98" customFormat="1" x14ac:dyDescent="0.2">
      <c r="A20" s="226" t="s">
        <v>223</v>
      </c>
      <c r="B20" s="241" t="s">
        <v>219</v>
      </c>
      <c r="C20" s="54" t="s">
        <v>129</v>
      </c>
      <c r="D20" s="263">
        <v>1</v>
      </c>
      <c r="E20" s="285">
        <v>2765000</v>
      </c>
      <c r="F20" s="248">
        <f>GOLV!I9</f>
        <v>35600.519694157876</v>
      </c>
      <c r="G20" s="285">
        <v>2765000</v>
      </c>
      <c r="H20" s="251">
        <f>E20*H14</f>
        <v>3456250</v>
      </c>
      <c r="I20" s="286">
        <v>3456250</v>
      </c>
      <c r="J20" s="250">
        <f>GOLV!F9</f>
        <v>38305.20955498796</v>
      </c>
      <c r="K20" s="258">
        <f t="shared" si="0"/>
        <v>691250</v>
      </c>
      <c r="L20" s="255">
        <f t="shared" si="1"/>
        <v>2704.6898608300835</v>
      </c>
      <c r="M20" s="256">
        <f t="shared" si="2"/>
        <v>0.25</v>
      </c>
      <c r="N20" s="256">
        <f t="shared" si="3"/>
        <v>7.5973325222944116E-2</v>
      </c>
      <c r="O20" s="265"/>
      <c r="U20" s="242"/>
      <c r="V20" s="242"/>
    </row>
    <row r="21" spans="1:24" s="98" customFormat="1" x14ac:dyDescent="0.2">
      <c r="A21" s="226" t="s">
        <v>223</v>
      </c>
      <c r="B21" s="241" t="s">
        <v>221</v>
      </c>
      <c r="C21" s="54" t="s">
        <v>235</v>
      </c>
      <c r="D21" s="263">
        <v>1</v>
      </c>
      <c r="E21" s="285">
        <v>7566882.5899999999</v>
      </c>
      <c r="F21" s="248">
        <f>GSTRTV!I9</f>
        <v>67506.221019185497</v>
      </c>
      <c r="G21" s="405">
        <v>7566882.5899999999</v>
      </c>
      <c r="H21" s="406">
        <v>7566882.5899999999</v>
      </c>
      <c r="I21" s="286">
        <v>7566882.5899999999</v>
      </c>
      <c r="J21" s="250">
        <f>GSTRTV!F9</f>
        <v>67506.221019185497</v>
      </c>
      <c r="K21" s="258">
        <f t="shared" si="0"/>
        <v>0</v>
      </c>
      <c r="L21" s="255">
        <f t="shared" si="1"/>
        <v>0</v>
      </c>
      <c r="M21" s="256">
        <f>K21/E21</f>
        <v>0</v>
      </c>
      <c r="N21" s="256">
        <f t="shared" si="3"/>
        <v>0</v>
      </c>
      <c r="O21" s="265"/>
      <c r="U21" s="242"/>
      <c r="V21" s="242"/>
    </row>
    <row r="22" spans="1:24" s="98" customFormat="1" x14ac:dyDescent="0.2">
      <c r="A22" s="226" t="s">
        <v>223</v>
      </c>
      <c r="B22" s="241" t="s">
        <v>206</v>
      </c>
      <c r="C22" s="54" t="s">
        <v>235</v>
      </c>
      <c r="D22" s="263">
        <v>1</v>
      </c>
      <c r="E22" s="285">
        <v>4650000</v>
      </c>
      <c r="F22" s="248">
        <f>GDISP!I9</f>
        <v>101833.18338855471</v>
      </c>
      <c r="G22" s="285">
        <v>4650000</v>
      </c>
      <c r="H22" s="251">
        <f>E22*H14</f>
        <v>5812500</v>
      </c>
      <c r="I22" s="286">
        <v>5812500.0000000009</v>
      </c>
      <c r="J22" s="250">
        <f>GDISP!F9</f>
        <v>116422.07304356989</v>
      </c>
      <c r="K22" s="258">
        <f t="shared" si="0"/>
        <v>1162500.0000000009</v>
      </c>
      <c r="L22" s="255">
        <f t="shared" si="1"/>
        <v>14588.889655015184</v>
      </c>
      <c r="M22" s="256">
        <f t="shared" si="2"/>
        <v>0.25000000000000022</v>
      </c>
      <c r="N22" s="256">
        <f t="shared" si="3"/>
        <v>0.14326262981831583</v>
      </c>
      <c r="O22" s="265"/>
      <c r="U22" s="242"/>
      <c r="V22" s="242"/>
    </row>
    <row r="23" spans="1:24" s="98" customFormat="1" x14ac:dyDescent="0.2">
      <c r="A23" s="226" t="s">
        <v>223</v>
      </c>
      <c r="B23" s="241" t="s">
        <v>207</v>
      </c>
      <c r="C23" s="54" t="s">
        <v>235</v>
      </c>
      <c r="D23" s="263">
        <v>1</v>
      </c>
      <c r="E23" s="285">
        <v>200000</v>
      </c>
      <c r="F23" s="248">
        <f>GPDSRCH!I9</f>
        <v>79531.473375019181</v>
      </c>
      <c r="G23" s="405">
        <v>200000</v>
      </c>
      <c r="H23" s="406">
        <v>200000</v>
      </c>
      <c r="I23" s="286">
        <v>200000</v>
      </c>
      <c r="J23" s="250">
        <f>GPDSRCH!F9</f>
        <v>79531.473375019181</v>
      </c>
      <c r="K23" s="258">
        <f t="shared" si="0"/>
        <v>0</v>
      </c>
      <c r="L23" s="255">
        <f t="shared" si="1"/>
        <v>0</v>
      </c>
      <c r="M23" s="256">
        <f t="shared" si="2"/>
        <v>0</v>
      </c>
      <c r="N23" s="256">
        <f t="shared" si="3"/>
        <v>0</v>
      </c>
      <c r="O23" s="265"/>
      <c r="U23" s="242"/>
      <c r="V23" s="242"/>
    </row>
    <row r="24" spans="1:24" x14ac:dyDescent="0.2">
      <c r="A24" s="226" t="s">
        <v>223</v>
      </c>
      <c r="B24" s="241" t="s">
        <v>177</v>
      </c>
      <c r="C24" s="54" t="s">
        <v>235</v>
      </c>
      <c r="D24" s="263">
        <v>1</v>
      </c>
      <c r="E24" s="285">
        <v>2310000</v>
      </c>
      <c r="F24" s="248">
        <f>GAUDIO!I9</f>
        <v>38349.628090983118</v>
      </c>
      <c r="G24" s="405">
        <v>2310000</v>
      </c>
      <c r="H24" s="406">
        <v>2310000</v>
      </c>
      <c r="I24" s="286">
        <v>2310000</v>
      </c>
      <c r="J24" s="250">
        <f>GAUDIO!F9</f>
        <v>38349.628090983118</v>
      </c>
      <c r="K24" s="258">
        <f t="shared" si="0"/>
        <v>0</v>
      </c>
      <c r="L24" s="255">
        <f t="shared" si="1"/>
        <v>0</v>
      </c>
      <c r="M24" s="256">
        <f t="shared" si="2"/>
        <v>0</v>
      </c>
      <c r="N24" s="256">
        <f t="shared" si="3"/>
        <v>0</v>
      </c>
      <c r="O24" s="265"/>
      <c r="R24" s="98"/>
      <c r="S24" s="98"/>
      <c r="T24" s="98"/>
      <c r="U24" s="242"/>
      <c r="V24" s="242"/>
    </row>
    <row r="25" spans="1:24" s="98" customFormat="1" x14ac:dyDescent="0.2">
      <c r="A25" s="226" t="s">
        <v>223</v>
      </c>
      <c r="B25" s="241" t="s">
        <v>229</v>
      </c>
      <c r="C25" s="54" t="s">
        <v>235</v>
      </c>
      <c r="D25" s="263">
        <v>1</v>
      </c>
      <c r="E25" s="285">
        <v>26842192.700000003</v>
      </c>
      <c r="F25" s="248">
        <f>GLINEARTV!I9</f>
        <v>173193.09831584877</v>
      </c>
      <c r="G25" s="405">
        <v>26842192.700000003</v>
      </c>
      <c r="H25" s="406">
        <v>26842192.700000003</v>
      </c>
      <c r="I25" s="286">
        <v>26842192.700000003</v>
      </c>
      <c r="J25" s="250">
        <f>GLINEARTV!F9</f>
        <v>173193.09831584877</v>
      </c>
      <c r="K25" s="258">
        <f t="shared" si="0"/>
        <v>0</v>
      </c>
      <c r="L25" s="255">
        <f t="shared" si="1"/>
        <v>0</v>
      </c>
      <c r="M25" s="256">
        <f t="shared" si="2"/>
        <v>0</v>
      </c>
      <c r="N25" s="256">
        <f t="shared" si="3"/>
        <v>0</v>
      </c>
      <c r="O25" s="265"/>
      <c r="U25" s="242"/>
      <c r="V25" s="242"/>
    </row>
    <row r="26" spans="1:24" s="98" customFormat="1" x14ac:dyDescent="0.2">
      <c r="A26" s="226" t="s">
        <v>223</v>
      </c>
      <c r="B26" s="241" t="s">
        <v>230</v>
      </c>
      <c r="C26" s="54" t="s">
        <v>129</v>
      </c>
      <c r="D26" s="263">
        <v>1</v>
      </c>
      <c r="E26" s="285">
        <v>3200000</v>
      </c>
      <c r="F26" s="248">
        <f>GPHRMCY!I9</f>
        <v>22412.309442908503</v>
      </c>
      <c r="G26" s="405">
        <v>3200000</v>
      </c>
      <c r="H26" s="407">
        <v>3200000</v>
      </c>
      <c r="I26" s="286">
        <v>3200000</v>
      </c>
      <c r="J26" s="250">
        <f>GPHRMCY!F9</f>
        <v>22412.309442908503</v>
      </c>
      <c r="K26" s="258">
        <f t="shared" si="0"/>
        <v>0</v>
      </c>
      <c r="L26" s="255">
        <f t="shared" si="1"/>
        <v>0</v>
      </c>
      <c r="M26" s="256">
        <f t="shared" si="2"/>
        <v>0</v>
      </c>
      <c r="N26" s="256">
        <f t="shared" si="3"/>
        <v>0</v>
      </c>
      <c r="O26" s="265"/>
      <c r="P26" s="242"/>
      <c r="U26" s="242"/>
      <c r="V26" s="242"/>
    </row>
    <row r="27" spans="1:24" s="98" customFormat="1" x14ac:dyDescent="0.2">
      <c r="A27" s="127" t="s">
        <v>154</v>
      </c>
      <c r="B27" s="127" t="s">
        <v>99</v>
      </c>
      <c r="C27" s="127"/>
      <c r="D27" s="127"/>
      <c r="E27" s="252">
        <f>SUM(E17:E26)</f>
        <v>72834075.290000007</v>
      </c>
      <c r="F27" s="262">
        <f>SUM(F17:F26)</f>
        <v>1033765.0484674097</v>
      </c>
      <c r="G27" s="252">
        <f>SUM(G17:G26)</f>
        <v>72834075.290000007</v>
      </c>
      <c r="H27" s="252">
        <f>SUM(H17:H26)</f>
        <v>75471575.290000007</v>
      </c>
      <c r="I27" s="252">
        <f t="shared" ref="I27:J27" si="4">SUM(I17:I26)</f>
        <v>75471575.290000007</v>
      </c>
      <c r="J27" s="262">
        <f t="shared" si="4"/>
        <v>1055898.7117019081</v>
      </c>
      <c r="K27" s="252">
        <f t="shared" ref="K27" si="5">SUM(K17:K26)</f>
        <v>2637500.0000000009</v>
      </c>
      <c r="L27" s="152">
        <f>SUM(L17:L26)</f>
        <v>22133.663234498417</v>
      </c>
      <c r="M27" s="153">
        <f>K27/E27</f>
        <v>3.6212445747383921E-2</v>
      </c>
      <c r="N27" s="153">
        <f>L27/F27</f>
        <v>2.1410728934308905E-2</v>
      </c>
      <c r="O27" s="266"/>
    </row>
    <row r="28" spans="1:24" x14ac:dyDescent="0.2">
      <c r="E28" s="261">
        <f>SUM(E17:E24,E26)</f>
        <v>45991882.590000004</v>
      </c>
      <c r="F28" s="261">
        <f t="shared" ref="F28:L28" si="6">SUM(F17:F24,F26)</f>
        <v>860571.95015156094</v>
      </c>
      <c r="G28" s="261">
        <f t="shared" si="6"/>
        <v>45991882.590000004</v>
      </c>
      <c r="H28" s="261">
        <f t="shared" si="6"/>
        <v>48629382.590000004</v>
      </c>
      <c r="I28" s="261">
        <f>SUM(I17:I24,I25:I26)</f>
        <v>75471575.290000007</v>
      </c>
      <c r="J28" s="261">
        <f t="shared" si="6"/>
        <v>882705.61338605941</v>
      </c>
      <c r="K28" s="261">
        <f t="shared" si="6"/>
        <v>2637500.0000000009</v>
      </c>
      <c r="L28" s="261">
        <f t="shared" si="6"/>
        <v>22133.663234498417</v>
      </c>
      <c r="M28" s="265">
        <f>K28/E28</f>
        <v>5.7347076298491673E-2</v>
      </c>
      <c r="N28" s="265">
        <f>L28/F28</f>
        <v>2.5719712605785389E-2</v>
      </c>
    </row>
    <row r="29" spans="1:24" x14ac:dyDescent="0.2">
      <c r="C29" s="87"/>
      <c r="D29" s="140">
        <f>G25-E25</f>
        <v>0</v>
      </c>
      <c r="E29" s="261"/>
      <c r="F29" s="261"/>
      <c r="G29" s="140"/>
      <c r="H29" s="404">
        <f>H27/G27</f>
        <v>1.0362124457473838</v>
      </c>
      <c r="I29" s="264"/>
      <c r="J29" s="261"/>
      <c r="K29" s="140"/>
    </row>
    <row r="30" spans="1:24" x14ac:dyDescent="0.2">
      <c r="C30" s="140"/>
      <c r="K30" s="140"/>
    </row>
    <row r="31" spans="1:24" s="98" customFormat="1" x14ac:dyDescent="0.2">
      <c r="D31" s="460" t="s">
        <v>154</v>
      </c>
      <c r="E31" s="460"/>
      <c r="F31" s="460"/>
      <c r="G31" s="460"/>
      <c r="H31" s="460"/>
      <c r="I31" s="460"/>
      <c r="J31" s="459"/>
      <c r="K31" s="459"/>
      <c r="L31" s="459"/>
      <c r="M31" s="459"/>
      <c r="N31" s="459"/>
      <c r="O31" s="459"/>
      <c r="P31" s="134"/>
    </row>
    <row r="32" spans="1:24" ht="51" x14ac:dyDescent="0.2">
      <c r="A32" s="442" t="s">
        <v>132</v>
      </c>
      <c r="D32" s="138" t="s">
        <v>126</v>
      </c>
      <c r="E32" s="138" t="s">
        <v>141</v>
      </c>
      <c r="F32" s="138" t="s">
        <v>145</v>
      </c>
      <c r="G32" s="138" t="s">
        <v>142</v>
      </c>
      <c r="H32" s="138" t="s">
        <v>143</v>
      </c>
      <c r="I32" s="138" t="s">
        <v>144</v>
      </c>
      <c r="J32" s="82"/>
      <c r="K32" s="82"/>
      <c r="L32" s="82"/>
      <c r="M32" s="82"/>
      <c r="N32" s="82"/>
      <c r="O32" s="82"/>
      <c r="P32" s="134"/>
    </row>
    <row r="33" spans="1:22" x14ac:dyDescent="0.2">
      <c r="A33" s="442"/>
      <c r="D33" s="155">
        <v>1</v>
      </c>
      <c r="E33" s="126">
        <v>225.94</v>
      </c>
      <c r="F33" s="282">
        <f>E33</f>
        <v>225.94</v>
      </c>
      <c r="G33" s="126">
        <f>E33</f>
        <v>225.94</v>
      </c>
      <c r="H33" s="139"/>
      <c r="I33" s="126">
        <f>E33</f>
        <v>225.94</v>
      </c>
      <c r="J33" s="133"/>
      <c r="K33" s="135"/>
      <c r="L33" s="136"/>
      <c r="M33" s="135"/>
      <c r="N33" s="137"/>
      <c r="O33" s="135"/>
      <c r="P33" s="134"/>
    </row>
    <row r="34" spans="1:22" ht="13.7" customHeight="1" x14ac:dyDescent="0.2">
      <c r="A34" s="441" t="s">
        <v>2</v>
      </c>
      <c r="B34" s="410" t="s">
        <v>3</v>
      </c>
      <c r="C34" s="410" t="str">
        <f t="shared" ref="C34:C45" si="7">D15</f>
        <v>Response Scaling Factor for Sensitivity Analysis</v>
      </c>
      <c r="D34" s="456" t="s">
        <v>86</v>
      </c>
      <c r="E34" s="457"/>
      <c r="F34" s="457"/>
      <c r="G34" s="458"/>
      <c r="H34" s="443" t="s">
        <v>89</v>
      </c>
      <c r="I34" s="444"/>
      <c r="J34" s="444"/>
      <c r="K34" s="456" t="s">
        <v>136</v>
      </c>
      <c r="L34" s="457"/>
      <c r="M34" s="457"/>
      <c r="N34" s="458"/>
      <c r="P34" s="134"/>
      <c r="Q34" s="134"/>
      <c r="R34" s="134"/>
      <c r="S34" s="134"/>
      <c r="T34" s="134"/>
      <c r="U34" s="134"/>
      <c r="V34" s="134"/>
    </row>
    <row r="35" spans="1:22" ht="74.45" customHeight="1" x14ac:dyDescent="0.2">
      <c r="A35" s="409"/>
      <c r="B35" s="409"/>
      <c r="C35" s="409">
        <f t="shared" si="7"/>
        <v>0</v>
      </c>
      <c r="D35" s="93" t="s">
        <v>226</v>
      </c>
      <c r="E35" s="93" t="s">
        <v>133</v>
      </c>
      <c r="F35" s="93" t="s">
        <v>134</v>
      </c>
      <c r="G35" s="93" t="s">
        <v>146</v>
      </c>
      <c r="H35" s="55" t="s">
        <v>227</v>
      </c>
      <c r="I35" s="55" t="s">
        <v>135</v>
      </c>
      <c r="J35" s="55" t="s">
        <v>147</v>
      </c>
      <c r="K35" s="93" t="s">
        <v>137</v>
      </c>
      <c r="L35" s="93" t="s">
        <v>138</v>
      </c>
      <c r="M35" s="93" t="s">
        <v>139</v>
      </c>
      <c r="N35" s="93" t="s">
        <v>140</v>
      </c>
    </row>
    <row r="36" spans="1:22" x14ac:dyDescent="0.2">
      <c r="A36" s="188" t="str">
        <f t="shared" ref="A36:B39" si="8">A17</f>
        <v>Gardasil Adults</v>
      </c>
      <c r="B36" s="188" t="str">
        <f t="shared" si="8"/>
        <v>HCC InOffice</v>
      </c>
      <c r="C36" s="287">
        <f t="shared" si="7"/>
        <v>1</v>
      </c>
      <c r="D36" s="99">
        <f t="shared" ref="D36:D45" si="9">E17</f>
        <v>300000</v>
      </c>
      <c r="E36" s="210" t="s">
        <v>161</v>
      </c>
      <c r="F36" s="101">
        <f t="shared" ref="F36:F45" si="10">F17/$D$33</f>
        <v>2483.0652365162969</v>
      </c>
      <c r="G36" s="103">
        <f>F36*$F$33</f>
        <v>561023.75953849207</v>
      </c>
      <c r="H36" s="105">
        <f t="shared" ref="H36:H45" si="11">I17</f>
        <v>300000</v>
      </c>
      <c r="I36" s="101">
        <f t="shared" ref="I36:I45" si="12">J17/$D$33</f>
        <v>2483.0652365162969</v>
      </c>
      <c r="J36" s="107">
        <f>I36*$F$33</f>
        <v>561023.75953849207</v>
      </c>
      <c r="K36" s="99">
        <f>H36-D36</f>
        <v>0</v>
      </c>
      <c r="L36" s="99">
        <f>J36-G36</f>
        <v>0</v>
      </c>
      <c r="M36" s="109">
        <f>K36/D36</f>
        <v>0</v>
      </c>
      <c r="N36" s="110">
        <f>L36/G36</f>
        <v>0</v>
      </c>
      <c r="O36" s="267">
        <f>(J36-G36)/1000000</f>
        <v>0</v>
      </c>
    </row>
    <row r="37" spans="1:22" x14ac:dyDescent="0.2">
      <c r="A37" s="194" t="str">
        <f t="shared" si="8"/>
        <v>Gardasil Adults</v>
      </c>
      <c r="B37" s="194" t="str">
        <f t="shared" si="8"/>
        <v>HCP MCM</v>
      </c>
      <c r="C37" s="263">
        <f t="shared" si="7"/>
        <v>1</v>
      </c>
      <c r="D37" s="100">
        <f t="shared" si="9"/>
        <v>21865000</v>
      </c>
      <c r="E37" s="211" t="s">
        <v>161</v>
      </c>
      <c r="F37" s="102">
        <f t="shared" si="10"/>
        <v>479070.85863623861</v>
      </c>
      <c r="G37" s="104">
        <f t="shared" ref="G37:G44" si="13">F37*$F$33</f>
        <v>108241269.80027175</v>
      </c>
      <c r="H37" s="106">
        <f t="shared" si="11"/>
        <v>21865000</v>
      </c>
      <c r="I37" s="102">
        <f t="shared" si="12"/>
        <v>479070.85863623861</v>
      </c>
      <c r="J37" s="108">
        <f t="shared" ref="J37" si="14">I37*$F$33</f>
        <v>108241269.80027175</v>
      </c>
      <c r="K37" s="100">
        <f t="shared" ref="K37" si="15">H37-D37</f>
        <v>0</v>
      </c>
      <c r="L37" s="100">
        <f t="shared" ref="L37" si="16">J37-G37</f>
        <v>0</v>
      </c>
      <c r="M37" s="111">
        <f t="shared" ref="M37" si="17">K37/D37</f>
        <v>0</v>
      </c>
      <c r="N37" s="112">
        <f t="shared" ref="N37" si="18">L37/G37</f>
        <v>0</v>
      </c>
      <c r="O37" s="267">
        <f t="shared" ref="O37:O45" si="19">(J37-G37)/1000000</f>
        <v>0</v>
      </c>
    </row>
    <row r="38" spans="1:22" s="98" customFormat="1" x14ac:dyDescent="0.2">
      <c r="A38" s="194" t="str">
        <f t="shared" si="8"/>
        <v>Gardasil Adults</v>
      </c>
      <c r="B38" s="194" t="str">
        <f t="shared" si="8"/>
        <v>HCC Social</v>
      </c>
      <c r="C38" s="263">
        <f t="shared" si="7"/>
        <v>1</v>
      </c>
      <c r="D38" s="100">
        <f t="shared" si="9"/>
        <v>3135000</v>
      </c>
      <c r="E38" s="211" t="s">
        <v>161</v>
      </c>
      <c r="F38" s="102">
        <f t="shared" si="10"/>
        <v>33784.691267997114</v>
      </c>
      <c r="G38" s="104">
        <f t="shared" si="13"/>
        <v>7633313.1450912682</v>
      </c>
      <c r="H38" s="106">
        <f t="shared" si="11"/>
        <v>3918750</v>
      </c>
      <c r="I38" s="102">
        <f t="shared" si="12"/>
        <v>38624.774986650264</v>
      </c>
      <c r="J38" s="108">
        <f t="shared" ref="J38:J44" si="20">I38*$F$33</f>
        <v>8726881.6604837608</v>
      </c>
      <c r="K38" s="100">
        <f t="shared" ref="K38:K44" si="21">H38-D38</f>
        <v>783750</v>
      </c>
      <c r="L38" s="100">
        <f t="shared" ref="L38:L44" si="22">J38-G38</f>
        <v>1093568.5153924925</v>
      </c>
      <c r="M38" s="111">
        <f t="shared" ref="M38:M44" si="23">K38/D38</f>
        <v>0.25</v>
      </c>
      <c r="N38" s="112">
        <f t="shared" ref="N38:N44" si="24">L38/G38</f>
        <v>0.14326262981831556</v>
      </c>
      <c r="O38" s="267">
        <f t="shared" si="19"/>
        <v>1.0935685153924926</v>
      </c>
      <c r="P38" s="113"/>
    </row>
    <row r="39" spans="1:22" s="98" customFormat="1" x14ac:dyDescent="0.2">
      <c r="A39" s="194" t="str">
        <f t="shared" si="8"/>
        <v>Gardasil Adults</v>
      </c>
      <c r="B39" s="194" t="str">
        <f t="shared" si="8"/>
        <v>HCC Online Video</v>
      </c>
      <c r="C39" s="263">
        <f t="shared" si="7"/>
        <v>1</v>
      </c>
      <c r="D39" s="100">
        <f t="shared" si="9"/>
        <v>2765000</v>
      </c>
      <c r="E39" s="211" t="s">
        <v>161</v>
      </c>
      <c r="F39" s="102">
        <f t="shared" si="10"/>
        <v>35600.519694157876</v>
      </c>
      <c r="G39" s="104">
        <f t="shared" si="13"/>
        <v>8043581.4196980307</v>
      </c>
      <c r="H39" s="106">
        <f t="shared" si="11"/>
        <v>3456250</v>
      </c>
      <c r="I39" s="102">
        <f t="shared" si="12"/>
        <v>38305.20955498796</v>
      </c>
      <c r="J39" s="108">
        <f t="shared" si="20"/>
        <v>8654679.04685398</v>
      </c>
      <c r="K39" s="100">
        <f t="shared" si="21"/>
        <v>691250</v>
      </c>
      <c r="L39" s="100">
        <f t="shared" si="22"/>
        <v>611097.62715594936</v>
      </c>
      <c r="M39" s="111">
        <f t="shared" si="23"/>
        <v>0.25</v>
      </c>
      <c r="N39" s="112">
        <f t="shared" si="24"/>
        <v>7.5973325222944157E-2</v>
      </c>
      <c r="O39" s="267">
        <f t="shared" si="19"/>
        <v>0.6110976271559494</v>
      </c>
    </row>
    <row r="40" spans="1:22" s="98" customFormat="1" x14ac:dyDescent="0.2">
      <c r="A40" s="194" t="str">
        <f t="shared" ref="A40:A45" si="25">A21</f>
        <v>Gardasil Adults</v>
      </c>
      <c r="B40" s="194" t="str">
        <f t="shared" ref="B40:B45" si="26">B21</f>
        <v>HCC Streaming Video</v>
      </c>
      <c r="C40" s="263">
        <f t="shared" si="7"/>
        <v>1</v>
      </c>
      <c r="D40" s="100">
        <f t="shared" si="9"/>
        <v>7566882.5899999999</v>
      </c>
      <c r="E40" s="211" t="s">
        <v>161</v>
      </c>
      <c r="F40" s="102">
        <f t="shared" si="10"/>
        <v>67506.221019185497</v>
      </c>
      <c r="G40" s="104">
        <f t="shared" si="13"/>
        <v>15252355.577074772</v>
      </c>
      <c r="H40" s="106">
        <f t="shared" si="11"/>
        <v>7566882.5899999999</v>
      </c>
      <c r="I40" s="102">
        <f t="shared" si="12"/>
        <v>67506.221019185497</v>
      </c>
      <c r="J40" s="108">
        <f t="shared" si="20"/>
        <v>15252355.577074772</v>
      </c>
      <c r="K40" s="100">
        <f t="shared" si="21"/>
        <v>0</v>
      </c>
      <c r="L40" s="100">
        <f t="shared" si="22"/>
        <v>0</v>
      </c>
      <c r="M40" s="111">
        <f t="shared" si="23"/>
        <v>0</v>
      </c>
      <c r="N40" s="112">
        <f t="shared" si="24"/>
        <v>0</v>
      </c>
      <c r="O40" s="267">
        <f t="shared" si="19"/>
        <v>0</v>
      </c>
    </row>
    <row r="41" spans="1:22" s="98" customFormat="1" x14ac:dyDescent="0.2">
      <c r="A41" s="194" t="str">
        <f t="shared" si="25"/>
        <v>Gardasil Adults</v>
      </c>
      <c r="B41" s="194" t="str">
        <f t="shared" si="26"/>
        <v>HCC Display</v>
      </c>
      <c r="C41" s="263">
        <f t="shared" si="7"/>
        <v>1</v>
      </c>
      <c r="D41" s="100">
        <f t="shared" si="9"/>
        <v>4650000</v>
      </c>
      <c r="E41" s="211" t="s">
        <v>161</v>
      </c>
      <c r="F41" s="102">
        <f t="shared" si="10"/>
        <v>101833.18338855471</v>
      </c>
      <c r="G41" s="104">
        <f t="shared" si="13"/>
        <v>23008189.454810049</v>
      </c>
      <c r="H41" s="106">
        <f t="shared" si="11"/>
        <v>5812500.0000000009</v>
      </c>
      <c r="I41" s="102">
        <f t="shared" si="12"/>
        <v>116422.07304356989</v>
      </c>
      <c r="J41" s="108">
        <f t="shared" si="20"/>
        <v>26304403.183464181</v>
      </c>
      <c r="K41" s="100">
        <f t="shared" si="21"/>
        <v>1162500.0000000009</v>
      </c>
      <c r="L41" s="100">
        <f t="shared" si="22"/>
        <v>3296213.7286541313</v>
      </c>
      <c r="M41" s="111">
        <f t="shared" si="23"/>
        <v>0.25000000000000022</v>
      </c>
      <c r="N41" s="112">
        <f t="shared" si="24"/>
        <v>0.14326262981831589</v>
      </c>
      <c r="O41" s="267">
        <f t="shared" si="19"/>
        <v>3.2962137286541311</v>
      </c>
    </row>
    <row r="42" spans="1:22" x14ac:dyDescent="0.2">
      <c r="A42" s="194" t="str">
        <f t="shared" si="25"/>
        <v>Gardasil Adults</v>
      </c>
      <c r="B42" s="194" t="str">
        <f t="shared" si="26"/>
        <v>HCC Paid Search</v>
      </c>
      <c r="C42" s="263">
        <f t="shared" si="7"/>
        <v>1</v>
      </c>
      <c r="D42" s="100">
        <f t="shared" si="9"/>
        <v>200000</v>
      </c>
      <c r="E42" s="211" t="s">
        <v>161</v>
      </c>
      <c r="F42" s="102">
        <f t="shared" si="10"/>
        <v>79531.473375019181</v>
      </c>
      <c r="G42" s="104">
        <f t="shared" si="13"/>
        <v>17969341.094351832</v>
      </c>
      <c r="H42" s="106">
        <f t="shared" si="11"/>
        <v>200000</v>
      </c>
      <c r="I42" s="102">
        <f t="shared" si="12"/>
        <v>79531.473375019181</v>
      </c>
      <c r="J42" s="108">
        <f t="shared" si="20"/>
        <v>17969341.094351832</v>
      </c>
      <c r="K42" s="100">
        <f t="shared" si="21"/>
        <v>0</v>
      </c>
      <c r="L42" s="100">
        <f t="shared" si="22"/>
        <v>0</v>
      </c>
      <c r="M42" s="111">
        <f t="shared" si="23"/>
        <v>0</v>
      </c>
      <c r="N42" s="112">
        <f t="shared" si="24"/>
        <v>0</v>
      </c>
      <c r="O42" s="267">
        <f t="shared" si="19"/>
        <v>0</v>
      </c>
    </row>
    <row r="43" spans="1:22" s="98" customFormat="1" x14ac:dyDescent="0.2">
      <c r="A43" s="194" t="str">
        <f t="shared" si="25"/>
        <v>Gardasil Adults</v>
      </c>
      <c r="B43" s="194" t="str">
        <f t="shared" si="26"/>
        <v>HCC Radio</v>
      </c>
      <c r="C43" s="263">
        <f t="shared" si="7"/>
        <v>1</v>
      </c>
      <c r="D43" s="100">
        <f t="shared" si="9"/>
        <v>2310000</v>
      </c>
      <c r="E43" s="211" t="s">
        <v>161</v>
      </c>
      <c r="F43" s="102">
        <f t="shared" si="10"/>
        <v>38349.628090983118</v>
      </c>
      <c r="G43" s="104">
        <f t="shared" si="13"/>
        <v>8664714.9708767254</v>
      </c>
      <c r="H43" s="106">
        <f t="shared" si="11"/>
        <v>2310000</v>
      </c>
      <c r="I43" s="102">
        <f t="shared" si="12"/>
        <v>38349.628090983118</v>
      </c>
      <c r="J43" s="108">
        <f t="shared" si="20"/>
        <v>8664714.9708767254</v>
      </c>
      <c r="K43" s="100">
        <f t="shared" si="21"/>
        <v>0</v>
      </c>
      <c r="L43" s="100">
        <f t="shared" si="22"/>
        <v>0</v>
      </c>
      <c r="M43" s="111">
        <f t="shared" si="23"/>
        <v>0</v>
      </c>
      <c r="N43" s="112">
        <f t="shared" si="24"/>
        <v>0</v>
      </c>
      <c r="O43" s="267">
        <f t="shared" si="19"/>
        <v>0</v>
      </c>
    </row>
    <row r="44" spans="1:22" s="98" customFormat="1" x14ac:dyDescent="0.2">
      <c r="A44" s="194" t="str">
        <f t="shared" si="25"/>
        <v>Gardasil Adults</v>
      </c>
      <c r="B44" s="194" t="str">
        <f t="shared" si="26"/>
        <v>HCC Linear TV</v>
      </c>
      <c r="C44" s="263">
        <f t="shared" si="7"/>
        <v>1</v>
      </c>
      <c r="D44" s="100">
        <f t="shared" si="9"/>
        <v>26842192.700000003</v>
      </c>
      <c r="E44" s="211" t="s">
        <v>161</v>
      </c>
      <c r="F44" s="102">
        <f t="shared" si="10"/>
        <v>173193.09831584877</v>
      </c>
      <c r="G44" s="104">
        <f t="shared" si="13"/>
        <v>39131248.633482866</v>
      </c>
      <c r="H44" s="106">
        <f t="shared" si="11"/>
        <v>26842192.700000003</v>
      </c>
      <c r="I44" s="102">
        <f t="shared" si="12"/>
        <v>173193.09831584877</v>
      </c>
      <c r="J44" s="108">
        <f t="shared" si="20"/>
        <v>39131248.633482866</v>
      </c>
      <c r="K44" s="100">
        <f t="shared" si="21"/>
        <v>0</v>
      </c>
      <c r="L44" s="100">
        <f t="shared" si="22"/>
        <v>0</v>
      </c>
      <c r="M44" s="111">
        <f t="shared" si="23"/>
        <v>0</v>
      </c>
      <c r="N44" s="112">
        <f t="shared" si="24"/>
        <v>0</v>
      </c>
      <c r="O44" s="267">
        <f t="shared" si="19"/>
        <v>0</v>
      </c>
    </row>
    <row r="45" spans="1:22" s="98" customFormat="1" x14ac:dyDescent="0.2">
      <c r="A45" s="194" t="str">
        <f t="shared" si="25"/>
        <v>Gardasil Adults</v>
      </c>
      <c r="B45" s="194" t="str">
        <f t="shared" si="26"/>
        <v>HCC Pharmacy</v>
      </c>
      <c r="C45" s="263">
        <f t="shared" si="7"/>
        <v>1</v>
      </c>
      <c r="D45" s="100">
        <f t="shared" si="9"/>
        <v>3200000</v>
      </c>
      <c r="E45" s="211" t="s">
        <v>161</v>
      </c>
      <c r="F45" s="102">
        <f t="shared" si="10"/>
        <v>22412.309442908503</v>
      </c>
      <c r="G45" s="104">
        <f t="shared" ref="G45" si="27">F45*$F$33</f>
        <v>5063837.1955307471</v>
      </c>
      <c r="H45" s="106">
        <f t="shared" si="11"/>
        <v>3200000</v>
      </c>
      <c r="I45" s="102">
        <f t="shared" si="12"/>
        <v>22412.309442908503</v>
      </c>
      <c r="J45" s="108">
        <f t="shared" ref="J45" si="28">I45*$F$33</f>
        <v>5063837.1955307471</v>
      </c>
      <c r="K45" s="100">
        <f t="shared" ref="K45" si="29">H45-D45</f>
        <v>0</v>
      </c>
      <c r="L45" s="100">
        <f t="shared" ref="L45" si="30">J45-G45</f>
        <v>0</v>
      </c>
      <c r="M45" s="111">
        <f t="shared" ref="M45" si="31">K45/D45</f>
        <v>0</v>
      </c>
      <c r="N45" s="112">
        <f t="shared" ref="N45" si="32">L45/G45</f>
        <v>0</v>
      </c>
      <c r="O45" s="267">
        <f t="shared" si="19"/>
        <v>0</v>
      </c>
    </row>
    <row r="46" spans="1:22" s="98" customFormat="1" x14ac:dyDescent="0.2">
      <c r="A46" s="128" t="s">
        <v>154</v>
      </c>
      <c r="B46" s="128" t="s">
        <v>99</v>
      </c>
      <c r="C46" s="128"/>
      <c r="D46" s="131">
        <f>SUM(D36:D45)</f>
        <v>72834075.290000007</v>
      </c>
      <c r="E46" s="212"/>
      <c r="F46" s="130">
        <f t="shared" ref="F46:I46" si="33">SUM(F36:F45)</f>
        <v>1033765.0484674097</v>
      </c>
      <c r="G46" s="131">
        <f t="shared" si="33"/>
        <v>233568875.05072653</v>
      </c>
      <c r="H46" s="131">
        <f t="shared" si="33"/>
        <v>75471575.290000007</v>
      </c>
      <c r="I46" s="130">
        <f t="shared" si="33"/>
        <v>1055898.7117019081</v>
      </c>
      <c r="J46" s="131">
        <f>SUM(J36:J45)</f>
        <v>238569754.92192909</v>
      </c>
      <c r="K46" s="131">
        <f>SUM(K36:K45)</f>
        <v>2637500.0000000009</v>
      </c>
      <c r="L46" s="131">
        <f>SUM(L36:L45)</f>
        <v>5000879.8712025732</v>
      </c>
      <c r="M46" s="129">
        <f>K46/D46</f>
        <v>3.6212445747383921E-2</v>
      </c>
      <c r="N46" s="132">
        <f>L46/G46</f>
        <v>2.1410728934308912E-2</v>
      </c>
    </row>
    <row r="47" spans="1:22" x14ac:dyDescent="0.2">
      <c r="D47" s="149"/>
      <c r="E47" s="213"/>
      <c r="F47" s="150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49"/>
      <c r="E48" s="213"/>
      <c r="F48" s="150"/>
      <c r="G48" s="267"/>
      <c r="H48" s="98"/>
      <c r="I48" s="94"/>
      <c r="J48" s="113"/>
      <c r="K48" s="98"/>
      <c r="L48" s="113"/>
      <c r="M48" s="117"/>
      <c r="N48" s="114"/>
    </row>
    <row r="49" spans="4:14" x14ac:dyDescent="0.2">
      <c r="D49" s="149"/>
      <c r="E49" s="213"/>
      <c r="F49" s="150"/>
      <c r="G49" s="284">
        <f>G46/D46</f>
        <v>3.2068626411571279</v>
      </c>
      <c r="H49" s="98"/>
      <c r="I49" s="94"/>
      <c r="J49" s="284">
        <f>J46/D46</f>
        <v>3.2755239078965048</v>
      </c>
      <c r="K49" s="98"/>
      <c r="L49" s="113"/>
      <c r="M49" s="117"/>
      <c r="N49" s="114"/>
    </row>
    <row r="50" spans="4:14" x14ac:dyDescent="0.2">
      <c r="D50" s="134">
        <f>G43/D43</f>
        <v>3.7509588618513963</v>
      </c>
      <c r="E50" s="214"/>
      <c r="F50" s="134"/>
      <c r="G50" s="98"/>
      <c r="H50" s="98"/>
      <c r="I50" s="98"/>
      <c r="J50" s="98"/>
      <c r="K50" s="98"/>
      <c r="L50" s="98"/>
      <c r="M50" s="98"/>
      <c r="N50" s="98"/>
    </row>
    <row r="51" spans="4:14" x14ac:dyDescent="0.2">
      <c r="D51" s="151"/>
      <c r="E51" s="214"/>
      <c r="F51" s="134"/>
      <c r="G51" s="98"/>
      <c r="H51" s="98"/>
      <c r="I51" s="98"/>
      <c r="J51" s="98"/>
      <c r="K51" s="98"/>
      <c r="L51" s="98"/>
      <c r="M51" s="98"/>
      <c r="N51" s="98"/>
    </row>
    <row r="52" spans="4:14" x14ac:dyDescent="0.2">
      <c r="D52" s="134"/>
      <c r="E52" s="214"/>
      <c r="F52" s="134"/>
    </row>
    <row r="53" spans="4:14" x14ac:dyDescent="0.2">
      <c r="E53" s="215"/>
    </row>
    <row r="54" spans="4:14" x14ac:dyDescent="0.2">
      <c r="E54" s="215"/>
    </row>
    <row r="55" spans="4:14" x14ac:dyDescent="0.2">
      <c r="E55" s="215"/>
    </row>
    <row r="56" spans="4:14" x14ac:dyDescent="0.2">
      <c r="E56" s="215"/>
    </row>
    <row r="57" spans="4:14" x14ac:dyDescent="0.2">
      <c r="E57" s="215"/>
    </row>
  </sheetData>
  <mergeCells count="20">
    <mergeCell ref="H34:J34"/>
    <mergeCell ref="B4:I4"/>
    <mergeCell ref="E5:I5"/>
    <mergeCell ref="E6:I6"/>
    <mergeCell ref="K15:N15"/>
    <mergeCell ref="K34:N34"/>
    <mergeCell ref="J31:O31"/>
    <mergeCell ref="C15:C16"/>
    <mergeCell ref="D15:D16"/>
    <mergeCell ref="E15:F15"/>
    <mergeCell ref="G15:H15"/>
    <mergeCell ref="I15:J15"/>
    <mergeCell ref="D31:I31"/>
    <mergeCell ref="C34:C35"/>
    <mergeCell ref="D34:G34"/>
    <mergeCell ref="A34:A35"/>
    <mergeCell ref="B34:B35"/>
    <mergeCell ref="A32:A33"/>
    <mergeCell ref="A15:A16"/>
    <mergeCell ref="B15:B16"/>
  </mergeCells>
  <conditionalFormatting sqref="M17:M2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2B3ED-8806-4F86-990C-40F653DB2553}">
  <dimension ref="C2:U16"/>
  <sheetViews>
    <sheetView showGridLines="0" workbookViewId="0">
      <selection activeCell="L11" sqref="L11"/>
    </sheetView>
  </sheetViews>
  <sheetFormatPr defaultRowHeight="15" x14ac:dyDescent="0.25"/>
  <cols>
    <col min="3" max="3" width="28" customWidth="1"/>
    <col min="4" max="4" width="13.5703125" customWidth="1"/>
    <col min="5" max="5" width="11.28515625" customWidth="1"/>
    <col min="6" max="6" width="12.7109375" customWidth="1"/>
    <col min="7" max="7" width="0.7109375" style="97" customWidth="1"/>
    <col min="8" max="8" width="13" customWidth="1"/>
    <col min="9" max="9" width="14.5703125" customWidth="1"/>
    <col min="10" max="10" width="0.7109375" style="97" customWidth="1"/>
    <col min="11" max="11" width="13.5703125" style="97" customWidth="1"/>
    <col min="12" max="12" width="14.5703125" style="97" customWidth="1"/>
    <col min="13" max="13" width="0.7109375" style="97" customWidth="1"/>
    <col min="14" max="14" width="13" style="97" customWidth="1"/>
    <col min="15" max="15" width="16.28515625" style="97" customWidth="1"/>
    <col min="16" max="16" width="0.7109375" style="97" customWidth="1"/>
    <col min="17" max="17" width="13" style="97" customWidth="1"/>
    <col min="18" max="18" width="16.28515625" style="97" customWidth="1"/>
    <col min="19" max="19" width="0.7109375" style="97" customWidth="1"/>
    <col min="20" max="20" width="13" style="97" customWidth="1"/>
    <col min="21" max="21" width="16.28515625" style="97" customWidth="1"/>
  </cols>
  <sheetData>
    <row r="2" spans="3:21" ht="15" customHeight="1" x14ac:dyDescent="0.25">
      <c r="C2" s="360"/>
      <c r="D2" s="461" t="s">
        <v>315</v>
      </c>
      <c r="E2" s="461"/>
      <c r="F2" s="461"/>
      <c r="G2" s="296"/>
      <c r="J2"/>
      <c r="K2"/>
      <c r="L2"/>
      <c r="M2"/>
      <c r="N2"/>
      <c r="O2"/>
      <c r="P2"/>
      <c r="Q2"/>
      <c r="R2"/>
      <c r="S2"/>
      <c r="T2"/>
      <c r="U2"/>
    </row>
    <row r="3" spans="3:21" ht="28.5" x14ac:dyDescent="0.25">
      <c r="C3" s="361" t="s">
        <v>269</v>
      </c>
      <c r="D3" s="362" t="s">
        <v>316</v>
      </c>
      <c r="E3" s="362" t="s">
        <v>270</v>
      </c>
      <c r="F3" s="362" t="s">
        <v>267</v>
      </c>
      <c r="G3" s="299"/>
      <c r="H3" s="402" t="s">
        <v>325</v>
      </c>
      <c r="I3" s="402" t="s">
        <v>326</v>
      </c>
      <c r="J3"/>
      <c r="K3"/>
      <c r="L3"/>
      <c r="M3"/>
      <c r="N3"/>
      <c r="O3"/>
      <c r="P3"/>
      <c r="Q3"/>
      <c r="R3"/>
      <c r="S3"/>
      <c r="T3"/>
      <c r="U3"/>
    </row>
    <row r="4" spans="3:21" x14ac:dyDescent="0.25">
      <c r="C4" s="301" t="str">
        <f>VAC_Optim_Scenario!B17</f>
        <v>HCC InOffice</v>
      </c>
      <c r="D4" s="302">
        <f>'Scenario deep dive'!C23</f>
        <v>0.3</v>
      </c>
      <c r="E4" s="380">
        <f>VAC_Optim_Scenario!G17</f>
        <v>300000</v>
      </c>
      <c r="F4" s="380">
        <f>VAC_Optim_Scenario!H17</f>
        <v>300000</v>
      </c>
      <c r="G4" s="303"/>
      <c r="H4" s="403"/>
      <c r="I4" s="403"/>
      <c r="J4"/>
      <c r="K4"/>
      <c r="L4"/>
      <c r="M4"/>
      <c r="N4"/>
      <c r="O4"/>
      <c r="P4"/>
      <c r="Q4"/>
      <c r="R4"/>
      <c r="S4"/>
      <c r="T4"/>
      <c r="U4"/>
    </row>
    <row r="5" spans="3:21" x14ac:dyDescent="0.25">
      <c r="C5" s="304" t="str">
        <f>VAC_Optim_Scenario!B18</f>
        <v>HCP MCM</v>
      </c>
      <c r="D5" s="302">
        <f>'Scenario deep dive'!C24</f>
        <v>21.864999999999998</v>
      </c>
      <c r="E5" s="380">
        <f>VAC_Optim_Scenario!G18</f>
        <v>21865000</v>
      </c>
      <c r="F5" s="380">
        <f>VAC_Optim_Scenario!H18</f>
        <v>21865000</v>
      </c>
      <c r="G5" s="305"/>
      <c r="H5" s="403"/>
      <c r="I5" s="403"/>
      <c r="J5"/>
      <c r="K5"/>
      <c r="L5"/>
      <c r="M5"/>
      <c r="N5"/>
      <c r="O5"/>
      <c r="P5"/>
      <c r="Q5"/>
      <c r="R5"/>
      <c r="S5"/>
      <c r="T5"/>
      <c r="U5"/>
    </row>
    <row r="6" spans="3:21" x14ac:dyDescent="0.25">
      <c r="C6" s="304" t="str">
        <f>VAC_Optim_Scenario!B19</f>
        <v>HCC Social</v>
      </c>
      <c r="D6" s="302">
        <f>'Scenario deep dive'!C25</f>
        <v>3.1349999999999998</v>
      </c>
      <c r="E6" s="380">
        <f>VAC_Optim_Scenario!G19</f>
        <v>3135000</v>
      </c>
      <c r="F6" s="380">
        <f>VAC_Optim_Scenario!H19</f>
        <v>3918750</v>
      </c>
      <c r="G6" s="305"/>
      <c r="H6" s="403">
        <v>1.0225210035637764E-4</v>
      </c>
      <c r="I6" s="403">
        <v>6.4892156660651982E-5</v>
      </c>
      <c r="J6"/>
      <c r="K6"/>
      <c r="L6"/>
      <c r="M6"/>
      <c r="N6"/>
      <c r="O6"/>
      <c r="P6"/>
      <c r="Q6"/>
      <c r="R6"/>
      <c r="S6"/>
      <c r="T6"/>
      <c r="U6"/>
    </row>
    <row r="7" spans="3:21" x14ac:dyDescent="0.25">
      <c r="C7" s="304" t="str">
        <f>VAC_Optim_Scenario!B20</f>
        <v>HCC Online Video</v>
      </c>
      <c r="D7" s="302">
        <f>'Scenario deep dive'!C26</f>
        <v>2.7650000000000001</v>
      </c>
      <c r="E7" s="380">
        <f>VAC_Optim_Scenario!G20</f>
        <v>2765000</v>
      </c>
      <c r="F7" s="380">
        <f>VAC_Optim_Scenario!H20</f>
        <v>3456250</v>
      </c>
      <c r="G7" s="305"/>
      <c r="H7" s="403">
        <v>6.0268131359192975E-4</v>
      </c>
      <c r="I7" s="403">
        <v>7.2589530324042499E-5</v>
      </c>
      <c r="J7"/>
      <c r="K7"/>
      <c r="L7"/>
      <c r="M7"/>
      <c r="N7"/>
      <c r="O7"/>
      <c r="P7"/>
      <c r="Q7"/>
      <c r="R7"/>
      <c r="S7"/>
      <c r="T7"/>
      <c r="U7"/>
    </row>
    <row r="8" spans="3:21" x14ac:dyDescent="0.25">
      <c r="C8" s="304" t="str">
        <f>VAC_Optim_Scenario!B21</f>
        <v>HCC Streaming Video</v>
      </c>
      <c r="D8" s="302">
        <f>'Scenario deep dive'!C27</f>
        <v>7.5668825899999996</v>
      </c>
      <c r="E8" s="380">
        <f>VAC_Optim_Scenario!G21</f>
        <v>7566882.5899999999</v>
      </c>
      <c r="F8" s="380">
        <f>VAC_Optim_Scenario!H21</f>
        <v>7566882.5899999999</v>
      </c>
      <c r="G8" s="305"/>
      <c r="H8" s="403">
        <v>5.3945457660826512E-4</v>
      </c>
      <c r="I8" s="403">
        <v>6.442524112948447E-5</v>
      </c>
      <c r="J8"/>
      <c r="K8"/>
      <c r="L8"/>
      <c r="M8"/>
      <c r="N8"/>
      <c r="O8"/>
      <c r="P8"/>
      <c r="Q8"/>
      <c r="R8"/>
      <c r="S8"/>
      <c r="T8"/>
      <c r="U8"/>
    </row>
    <row r="9" spans="3:21" x14ac:dyDescent="0.25">
      <c r="C9" s="304" t="str">
        <f>VAC_Optim_Scenario!B22</f>
        <v>HCC Display</v>
      </c>
      <c r="D9" s="302">
        <f>'Scenario deep dive'!C28</f>
        <v>4.6500000000000004</v>
      </c>
      <c r="E9" s="380">
        <f>VAC_Optim_Scenario!G22</f>
        <v>4650000</v>
      </c>
      <c r="F9" s="380">
        <f>VAC_Optim_Scenario!H22</f>
        <v>5812500</v>
      </c>
      <c r="G9" s="305"/>
      <c r="H9" s="403">
        <v>4.7177832884268592E-5</v>
      </c>
      <c r="I9" s="403">
        <v>1.1839770499487768E-5</v>
      </c>
      <c r="J9"/>
      <c r="K9"/>
      <c r="L9"/>
      <c r="M9"/>
      <c r="N9"/>
      <c r="O9"/>
      <c r="P9"/>
      <c r="Q9"/>
      <c r="R9"/>
      <c r="S9"/>
      <c r="T9"/>
      <c r="U9"/>
    </row>
    <row r="10" spans="3:21" x14ac:dyDescent="0.25">
      <c r="C10" s="304" t="str">
        <f>VAC_Optim_Scenario!B23</f>
        <v>HCC Paid Search</v>
      </c>
      <c r="D10" s="302">
        <f>'Scenario deep dive'!C29</f>
        <v>0.2</v>
      </c>
      <c r="E10" s="380">
        <f>VAC_Optim_Scenario!G23</f>
        <v>200000</v>
      </c>
      <c r="F10" s="380">
        <f>VAC_Optim_Scenario!H23</f>
        <v>200000</v>
      </c>
      <c r="G10" s="305"/>
      <c r="H10" s="403">
        <v>1.0225210035637764E-4</v>
      </c>
      <c r="I10" s="403">
        <v>6.4892156660651982E-5</v>
      </c>
      <c r="J10"/>
      <c r="K10"/>
      <c r="L10"/>
      <c r="M10"/>
      <c r="N10"/>
      <c r="O10"/>
      <c r="P10"/>
      <c r="Q10"/>
      <c r="R10"/>
      <c r="S10"/>
      <c r="T10"/>
      <c r="U10"/>
    </row>
    <row r="11" spans="3:21" x14ac:dyDescent="0.25">
      <c r="C11" s="304" t="str">
        <f>VAC_Optim_Scenario!B24</f>
        <v>HCC Radio</v>
      </c>
      <c r="D11" s="302">
        <f>'Scenario deep dive'!C30</f>
        <v>2.31</v>
      </c>
      <c r="E11" s="380">
        <f>VAC_Optim_Scenario!G24</f>
        <v>2310000</v>
      </c>
      <c r="F11" s="380">
        <f>VAC_Optim_Scenario!H24</f>
        <v>2310000</v>
      </c>
      <c r="G11" s="305"/>
      <c r="H11" s="403"/>
      <c r="I11" s="403"/>
      <c r="J11"/>
      <c r="K11"/>
      <c r="L11"/>
      <c r="M11"/>
      <c r="N11"/>
      <c r="O11"/>
      <c r="P11"/>
      <c r="Q11"/>
      <c r="R11"/>
      <c r="S11"/>
      <c r="T11"/>
      <c r="U11"/>
    </row>
    <row r="12" spans="3:21" x14ac:dyDescent="0.25">
      <c r="C12" s="304" t="str">
        <f>VAC_Optim_Scenario!B25</f>
        <v>HCC Linear TV</v>
      </c>
      <c r="D12" s="302">
        <f>'Scenario deep dive'!C31</f>
        <v>26.842192700000002</v>
      </c>
      <c r="E12" s="380">
        <f>VAC_Optim_Scenario!G25</f>
        <v>26842192.700000003</v>
      </c>
      <c r="F12" s="380">
        <f>VAC_Optim_Scenario!H25</f>
        <v>26842192.700000003</v>
      </c>
      <c r="G12" s="305"/>
      <c r="H12" s="403">
        <v>1.1523995738664847</v>
      </c>
      <c r="I12" s="403">
        <v>0.58474395477140373</v>
      </c>
      <c r="J12"/>
      <c r="K12"/>
      <c r="L12"/>
      <c r="M12"/>
      <c r="N12"/>
      <c r="O12"/>
      <c r="P12"/>
      <c r="Q12"/>
      <c r="R12"/>
      <c r="S12"/>
      <c r="T12"/>
      <c r="U12"/>
    </row>
    <row r="13" spans="3:21" x14ac:dyDescent="0.25">
      <c r="C13" s="304" t="str">
        <f>VAC_Optim_Scenario!B26</f>
        <v>HCC Pharmacy</v>
      </c>
      <c r="D13" s="302">
        <f>'Scenario deep dive'!C32</f>
        <v>3.2</v>
      </c>
      <c r="E13" s="380">
        <f>VAC_Optim_Scenario!G26</f>
        <v>3200000</v>
      </c>
      <c r="F13" s="380">
        <f>VAC_Optim_Scenario!H26</f>
        <v>3200000</v>
      </c>
      <c r="G13" s="305"/>
      <c r="H13" s="403"/>
      <c r="I13" s="403"/>
      <c r="J13"/>
      <c r="K13"/>
      <c r="L13"/>
      <c r="M13"/>
      <c r="N13"/>
      <c r="O13"/>
      <c r="P13"/>
      <c r="Q13"/>
      <c r="R13"/>
      <c r="S13"/>
      <c r="T13"/>
      <c r="U13"/>
    </row>
    <row r="14" spans="3:21" x14ac:dyDescent="0.25">
      <c r="C14" s="381" t="s">
        <v>268</v>
      </c>
      <c r="D14" s="382">
        <f>'Scenario deep dive'!C33</f>
        <v>72.834075290000001</v>
      </c>
      <c r="E14" s="383">
        <f>SUM(E4:E13)</f>
        <v>72834075.290000007</v>
      </c>
      <c r="F14" s="383">
        <f>SUM(F4:F13)</f>
        <v>75471575.290000007</v>
      </c>
      <c r="G14" s="305"/>
      <c r="J14"/>
      <c r="K14"/>
      <c r="L14"/>
      <c r="M14"/>
      <c r="N14"/>
      <c r="O14"/>
      <c r="P14"/>
      <c r="Q14"/>
      <c r="R14"/>
      <c r="S14"/>
      <c r="T14"/>
      <c r="U14"/>
    </row>
    <row r="15" spans="3:21" x14ac:dyDescent="0.25">
      <c r="G15"/>
    </row>
    <row r="16" spans="3:21" x14ac:dyDescent="0.25">
      <c r="G16"/>
    </row>
  </sheetData>
  <mergeCells count="1">
    <mergeCell ref="D2:F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4"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223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72" t="s">
        <v>106</v>
      </c>
      <c r="C4" s="472"/>
      <c r="D4" s="472"/>
      <c r="E4" s="472"/>
      <c r="F4" s="473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</v>
      </c>
      <c r="C6" s="94">
        <f>VAC_Optim_Scenario!$H$14</f>
        <v>1.25</v>
      </c>
    </row>
    <row r="7" spans="1:18" ht="27.75" customHeight="1" x14ac:dyDescent="0.2">
      <c r="A7" s="470" t="s">
        <v>8</v>
      </c>
      <c r="B7" s="475" t="s">
        <v>9</v>
      </c>
      <c r="C7" s="476"/>
      <c r="D7" s="477" t="s">
        <v>12</v>
      </c>
      <c r="E7" s="478"/>
      <c r="F7" s="479"/>
      <c r="G7" s="475" t="s">
        <v>124</v>
      </c>
      <c r="H7" s="475"/>
      <c r="I7" s="480"/>
      <c r="J7" s="98" t="s">
        <v>125</v>
      </c>
    </row>
    <row r="8" spans="1:18" ht="28.35" customHeight="1" x14ac:dyDescent="0.2">
      <c r="A8" s="474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71"/>
      <c r="B9" s="95">
        <f>VAC_Optim_Scenario!G17</f>
        <v>300000</v>
      </c>
      <c r="C9" s="95">
        <f>VAC_Optim_Scenario!H17</f>
        <v>300000</v>
      </c>
      <c r="D9" s="68">
        <f>VAC_Optim_Scenario!I17</f>
        <v>300000</v>
      </c>
      <c r="E9" s="84">
        <f>((($R$12/(1+EXP($P$12+$Q$12*D9)))-1) - ($F$12-$C$12))*$I$12</f>
        <v>2483.0652365162969</v>
      </c>
      <c r="F9" s="89">
        <f>E9*$G$12</f>
        <v>2483.0652365162969</v>
      </c>
      <c r="G9" s="95">
        <f>VAC_Optim_Scenario!E17</f>
        <v>300000</v>
      </c>
      <c r="H9" s="85">
        <f>((($R$12/(1+EXP($P$12+$Q$12*G9)))-1) - ($F$12-$C$12))*$I$12</f>
        <v>2483.0652365162969</v>
      </c>
      <c r="I9" s="90">
        <f>H9*$G$12</f>
        <v>2483.0652365162969</v>
      </c>
      <c r="J9" s="87">
        <f>G9/I9</f>
        <v>120.81841249603876</v>
      </c>
      <c r="K9" s="98" t="s">
        <v>167</v>
      </c>
    </row>
    <row r="10" spans="1:18" ht="13.5" thickBot="1" x14ac:dyDescent="0.25"/>
    <row r="11" spans="1:18" ht="51.6" customHeight="1" x14ac:dyDescent="0.2">
      <c r="A11" s="470" t="s">
        <v>15</v>
      </c>
      <c r="B11" s="236" t="s">
        <v>16</v>
      </c>
      <c r="C11" s="236" t="s">
        <v>17</v>
      </c>
      <c r="D11" s="236" t="s">
        <v>18</v>
      </c>
      <c r="E11" s="236" t="s">
        <v>19</v>
      </c>
      <c r="F11" s="237" t="s">
        <v>109</v>
      </c>
      <c r="G11" s="235" t="s">
        <v>168</v>
      </c>
      <c r="H11" s="236" t="s">
        <v>119</v>
      </c>
      <c r="I11" s="92" t="s">
        <v>122</v>
      </c>
      <c r="K11" s="462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71"/>
      <c r="B12" s="259">
        <f>'[1]HCC Inoffice Curve'!$B$12</f>
        <v>1100000</v>
      </c>
      <c r="C12" s="259">
        <f>'[1]HCC Inoffice Curve'!$C$12</f>
        <v>7211.735697901333</v>
      </c>
      <c r="D12" s="259">
        <f>'[1]HCC Inoffice Curve'!$D$12</f>
        <v>0</v>
      </c>
      <c r="E12" s="259">
        <f>'[1]HCC Inoffice Curve'!$E$12</f>
        <v>14423.471395802664</v>
      </c>
      <c r="F12" s="259">
        <f>'[1]HCC Inoffice Curve'!$F$12</f>
        <v>4647854</v>
      </c>
      <c r="G12" s="156">
        <f>VAC_Optim_Scenario!$D$33</f>
        <v>1</v>
      </c>
      <c r="H12" s="71">
        <f>C12*G12</f>
        <v>7211.735697901333</v>
      </c>
      <c r="I12" s="260">
        <f>VAC_Optim_Scenario!D17</f>
        <v>1</v>
      </c>
      <c r="K12" s="463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73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464" t="s">
        <v>169</v>
      </c>
      <c r="B13" s="465"/>
      <c r="C13" s="465"/>
      <c r="D13" s="465"/>
      <c r="E13" s="465"/>
      <c r="F13" s="466"/>
      <c r="G13" s="119" t="s">
        <v>150</v>
      </c>
      <c r="H13" s="119" t="s">
        <v>151</v>
      </c>
      <c r="K13" s="464" t="s">
        <v>115</v>
      </c>
      <c r="L13" s="465"/>
      <c r="M13" s="465"/>
      <c r="N13" s="465"/>
      <c r="O13" s="465"/>
      <c r="P13" s="465"/>
      <c r="Q13" s="465"/>
      <c r="R13" s="466"/>
    </row>
    <row r="14" spans="1:18" ht="33.6" customHeight="1" thickBot="1" x14ac:dyDescent="0.25">
      <c r="A14" s="467"/>
      <c r="B14" s="468"/>
      <c r="C14" s="468"/>
      <c r="D14" s="468"/>
      <c r="E14" s="468"/>
      <c r="F14" s="469"/>
      <c r="G14" s="95">
        <f>VAC_Optim_Scenario!$I$33</f>
        <v>225.94</v>
      </c>
      <c r="H14" s="95">
        <f>VAC_Optim_Scenario!$F$33</f>
        <v>225.94</v>
      </c>
      <c r="K14" s="467"/>
      <c r="L14" s="468"/>
      <c r="M14" s="468"/>
      <c r="N14" s="468"/>
      <c r="O14" s="468"/>
      <c r="P14" s="468"/>
      <c r="Q14" s="468"/>
      <c r="R14" s="469"/>
    </row>
    <row r="16" spans="1:18" ht="13.5" thickBot="1" x14ac:dyDescent="0.25"/>
    <row r="17" spans="1:8" ht="42.6" customHeight="1" x14ac:dyDescent="0.2">
      <c r="A17" s="462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63"/>
      <c r="B18" s="75">
        <v>0</v>
      </c>
      <c r="C18" s="76">
        <v>4000000</v>
      </c>
      <c r="D18" s="26">
        <v>20</v>
      </c>
    </row>
    <row r="20" spans="1:8" x14ac:dyDescent="0.2">
      <c r="A20" s="442" t="s">
        <v>37</v>
      </c>
      <c r="B20" s="442"/>
      <c r="C20" s="442"/>
    </row>
    <row r="21" spans="1:8" ht="25.5" x14ac:dyDescent="0.2">
      <c r="A21" s="119" t="s">
        <v>35</v>
      </c>
      <c r="B21" s="119" t="s">
        <v>170</v>
      </c>
      <c r="C21" s="119" t="s">
        <v>171</v>
      </c>
      <c r="D21" s="98" t="s">
        <v>172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  <c r="G28" s="294">
        <f>E28-E27</f>
        <v>205627.01974889683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  <c r="G29" s="140">
        <f>A28-A27</f>
        <v>200000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  <c r="G30" s="87">
        <f>G28/G29</f>
        <v>1.0281350987444842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7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223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72" t="s">
        <v>106</v>
      </c>
      <c r="C4" s="472"/>
      <c r="D4" s="472"/>
      <c r="E4" s="472"/>
      <c r="F4" s="473"/>
      <c r="H4" s="98" t="s">
        <v>107</v>
      </c>
    </row>
    <row r="5" spans="1:18" x14ac:dyDescent="0.2">
      <c r="H5" s="98" t="s">
        <v>173</v>
      </c>
    </row>
    <row r="6" spans="1:18" ht="13.5" thickBot="1" x14ac:dyDescent="0.25">
      <c r="B6" s="94">
        <f>VAC_Optim_Scenario!$G$14</f>
        <v>0</v>
      </c>
      <c r="C6" s="94">
        <f>VAC_Optim_Scenario!$H$14</f>
        <v>1.25</v>
      </c>
    </row>
    <row r="7" spans="1:18" ht="27.75" customHeight="1" x14ac:dyDescent="0.2">
      <c r="A7" s="470" t="s">
        <v>8</v>
      </c>
      <c r="B7" s="475" t="s">
        <v>9</v>
      </c>
      <c r="C7" s="476"/>
      <c r="D7" s="477" t="s">
        <v>12</v>
      </c>
      <c r="E7" s="478"/>
      <c r="F7" s="479"/>
      <c r="G7" s="475" t="s">
        <v>124</v>
      </c>
      <c r="H7" s="475"/>
      <c r="I7" s="480"/>
      <c r="J7" s="98" t="s">
        <v>125</v>
      </c>
    </row>
    <row r="8" spans="1:18" ht="28.35" customHeight="1" x14ac:dyDescent="0.2">
      <c r="A8" s="474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71"/>
      <c r="B9" s="95">
        <f>VAC_Optim_Scenario!G18</f>
        <v>21865000</v>
      </c>
      <c r="C9" s="95">
        <f>VAC_Optim_Scenario!H18</f>
        <v>21865000</v>
      </c>
      <c r="D9" s="68">
        <f>VAC_Optim_Scenario!I18</f>
        <v>21865000</v>
      </c>
      <c r="E9" s="84">
        <f>((($R$12/(1+EXP($P$12+$Q$12*D9)))-1) - ($F$12-$C$12))*$I$12</f>
        <v>479070.85863623861</v>
      </c>
      <c r="F9" s="89">
        <f>E9*$G$12</f>
        <v>479070.85863623861</v>
      </c>
      <c r="G9" s="95">
        <f>VAC_Optim_Scenario!E18</f>
        <v>21865000</v>
      </c>
      <c r="H9" s="85">
        <f>((($R$12/(1+EXP($P$12+$Q$12*G9)))-1) - ($F$12-$C$12))*$I$12</f>
        <v>479070.85863623861</v>
      </c>
      <c r="I9" s="90">
        <f>H9*$G$12</f>
        <v>479070.85863623861</v>
      </c>
      <c r="J9" s="87">
        <f>G9/I9</f>
        <v>45.640430023739405</v>
      </c>
      <c r="K9" s="98" t="s">
        <v>167</v>
      </c>
    </row>
    <row r="10" spans="1:18" ht="13.5" thickBot="1" x14ac:dyDescent="0.25"/>
    <row r="11" spans="1:18" ht="51.6" customHeight="1" x14ac:dyDescent="0.2">
      <c r="A11" s="470" t="s">
        <v>15</v>
      </c>
      <c r="B11" s="236" t="s">
        <v>16</v>
      </c>
      <c r="C11" s="236" t="s">
        <v>17</v>
      </c>
      <c r="D11" s="236" t="s">
        <v>18</v>
      </c>
      <c r="E11" s="236" t="s">
        <v>19</v>
      </c>
      <c r="F11" s="237" t="s">
        <v>109</v>
      </c>
      <c r="G11" s="235" t="s">
        <v>168</v>
      </c>
      <c r="H11" s="236" t="s">
        <v>119</v>
      </c>
      <c r="I11" s="92" t="s">
        <v>122</v>
      </c>
      <c r="K11" s="462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71"/>
      <c r="B12" s="259">
        <f>'[2]HCP MCM SCurve'!$B$12</f>
        <v>10503728.719999999</v>
      </c>
      <c r="C12" s="259">
        <f>'[2]HCP MCM SCurve'!$C$12</f>
        <v>288339.09761974245</v>
      </c>
      <c r="D12" s="259">
        <f>'[2]HCP MCM SCurve'!$D$12</f>
        <v>0</v>
      </c>
      <c r="E12" s="259">
        <f>'[2]HCP MCM SCurve'!$E$12</f>
        <v>720847.7440493562</v>
      </c>
      <c r="F12" s="259">
        <f>'[2]HCP MCM SCurve'!$F$12</f>
        <v>4647854</v>
      </c>
      <c r="G12" s="156">
        <f>VAC_Optim_Scenario!$D$33</f>
        <v>1</v>
      </c>
      <c r="H12" s="71">
        <f>C12*G12</f>
        <v>288339.09761974245</v>
      </c>
      <c r="I12" s="260">
        <f>VAC_Optim_Scenario!D18</f>
        <v>1</v>
      </c>
      <c r="K12" s="463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73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464" t="s">
        <v>174</v>
      </c>
      <c r="B13" s="465"/>
      <c r="C13" s="465"/>
      <c r="D13" s="465"/>
      <c r="E13" s="465"/>
      <c r="F13" s="466"/>
      <c r="G13" s="119" t="s">
        <v>150</v>
      </c>
      <c r="H13" s="119" t="s">
        <v>151</v>
      </c>
      <c r="K13" s="464" t="s">
        <v>115</v>
      </c>
      <c r="L13" s="465"/>
      <c r="M13" s="465"/>
      <c r="N13" s="465"/>
      <c r="O13" s="465"/>
      <c r="P13" s="465"/>
      <c r="Q13" s="465"/>
      <c r="R13" s="466"/>
    </row>
    <row r="14" spans="1:18" ht="33.6" customHeight="1" thickBot="1" x14ac:dyDescent="0.25">
      <c r="A14" s="467"/>
      <c r="B14" s="468"/>
      <c r="C14" s="468"/>
      <c r="D14" s="468"/>
      <c r="E14" s="468"/>
      <c r="F14" s="469"/>
      <c r="G14" s="95">
        <f>VAC_Optim_Scenario!$I$33</f>
        <v>225.94</v>
      </c>
      <c r="H14" s="95">
        <f>VAC_Optim_Scenario!$F$33</f>
        <v>225.94</v>
      </c>
      <c r="K14" s="467"/>
      <c r="L14" s="468"/>
      <c r="M14" s="468"/>
      <c r="N14" s="468"/>
      <c r="O14" s="468"/>
      <c r="P14" s="468"/>
      <c r="Q14" s="468"/>
      <c r="R14" s="469"/>
    </row>
    <row r="16" spans="1:18" ht="13.5" thickBot="1" x14ac:dyDescent="0.25"/>
    <row r="17" spans="1:8" ht="42.6" customHeight="1" x14ac:dyDescent="0.2">
      <c r="A17" s="462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63"/>
      <c r="B18" s="75">
        <v>0</v>
      </c>
      <c r="C18" s="76">
        <v>12500000</v>
      </c>
      <c r="D18" s="26">
        <v>20</v>
      </c>
    </row>
    <row r="20" spans="1:8" x14ac:dyDescent="0.2">
      <c r="A20" s="442" t="s">
        <v>37</v>
      </c>
      <c r="B20" s="442"/>
      <c r="C20" s="442"/>
    </row>
    <row r="21" spans="1:8" ht="25.5" x14ac:dyDescent="0.2">
      <c r="A21" s="119" t="s">
        <v>35</v>
      </c>
      <c r="B21" s="119" t="s">
        <v>164</v>
      </c>
      <c r="C21" s="119" t="s">
        <v>171</v>
      </c>
      <c r="D21" s="98" t="s">
        <v>175</v>
      </c>
      <c r="E21" s="119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0250-25DD-43AA-B95C-2038F69807EB}">
  <sheetPr codeName="Sheet13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240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240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224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1"/>
      <c r="C4" s="482"/>
      <c r="D4" s="482"/>
      <c r="E4" s="482"/>
      <c r="F4" s="483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266">
        <v>0.8</v>
      </c>
      <c r="C6" s="266">
        <v>1.3</v>
      </c>
      <c r="D6" s="98"/>
      <c r="E6" s="98"/>
      <c r="F6" s="98"/>
      <c r="G6" s="98"/>
      <c r="H6" s="98"/>
      <c r="I6" s="98"/>
    </row>
    <row r="7" spans="1:9" x14ac:dyDescent="0.25">
      <c r="A7" s="470" t="s">
        <v>8</v>
      </c>
      <c r="B7" s="475" t="s">
        <v>9</v>
      </c>
      <c r="C7" s="475"/>
      <c r="D7" s="475" t="s">
        <v>12</v>
      </c>
      <c r="E7" s="475"/>
      <c r="F7" s="475"/>
      <c r="G7" s="475" t="s">
        <v>124</v>
      </c>
      <c r="H7" s="475"/>
      <c r="I7" s="480"/>
    </row>
    <row r="8" spans="1:9" x14ac:dyDescent="0.25">
      <c r="A8" s="474"/>
      <c r="B8" s="268" t="s">
        <v>10</v>
      </c>
      <c r="C8" s="268" t="s">
        <v>11</v>
      </c>
      <c r="D8" s="268" t="s">
        <v>20</v>
      </c>
      <c r="E8" s="268" t="s">
        <v>21</v>
      </c>
      <c r="F8" s="268" t="s">
        <v>117</v>
      </c>
      <c r="G8" s="268" t="s">
        <v>22</v>
      </c>
      <c r="H8" s="268" t="s">
        <v>23</v>
      </c>
      <c r="I8" s="4" t="s">
        <v>123</v>
      </c>
    </row>
    <row r="9" spans="1:9" ht="15.75" thickBot="1" x14ac:dyDescent="0.3">
      <c r="A9" s="471"/>
      <c r="B9" s="271">
        <f>VAC_Optim_Scenario!G19</f>
        <v>3135000</v>
      </c>
      <c r="C9" s="271">
        <f>VAC_Optim_Scenario!H19</f>
        <v>3918750</v>
      </c>
      <c r="D9" s="272">
        <f>VAC_Optim_Scenario!I19</f>
        <v>3918750</v>
      </c>
      <c r="E9" s="84">
        <f>((GSOCIAL!D9/$B$12)^$D$12)*$C$12*$F$12</f>
        <v>38624.774986650264</v>
      </c>
      <c r="F9" s="84">
        <f>E9*F11</f>
        <v>38624.774986650264</v>
      </c>
      <c r="G9" s="76">
        <f>VAC_Optim_Scenario!E19</f>
        <v>3135000</v>
      </c>
      <c r="H9" s="273">
        <f>((GSOCIAL!G9/$B$12)^$D$12)*$C$12*$F$12</f>
        <v>33784.691267997114</v>
      </c>
      <c r="I9" s="274">
        <f>H9*F11</f>
        <v>33784.691267997114</v>
      </c>
    </row>
    <row r="10" spans="1:9" ht="15.75" thickBot="1" x14ac:dyDescent="0.3"/>
    <row r="11" spans="1:9" ht="48.95" customHeight="1" x14ac:dyDescent="0.25">
      <c r="A11" s="442" t="s">
        <v>15</v>
      </c>
      <c r="B11" s="269" t="s">
        <v>16</v>
      </c>
      <c r="C11" s="269" t="s">
        <v>17</v>
      </c>
      <c r="D11" s="269" t="s">
        <v>235</v>
      </c>
      <c r="E11" s="268" t="s">
        <v>126</v>
      </c>
      <c r="F11" s="275">
        <v>1</v>
      </c>
    </row>
    <row r="12" spans="1:9" ht="40.5" customHeight="1" thickBot="1" x14ac:dyDescent="0.3">
      <c r="A12" s="442"/>
      <c r="B12" s="276">
        <f>'[3]HCC Social - Power'!$B$12</f>
        <v>1751000</v>
      </c>
      <c r="C12" s="276">
        <f>'[3]HCC Social - Power'!$C$12</f>
        <v>23820.403572058858</v>
      </c>
      <c r="D12" s="281">
        <f>'[3]HCC Social - Power'!$D$12</f>
        <v>0.6</v>
      </c>
      <c r="E12" s="268" t="s">
        <v>122</v>
      </c>
      <c r="F12" s="277">
        <f>VAC_Optim_Scenario!D19</f>
        <v>1</v>
      </c>
      <c r="G12" s="278">
        <f>B12*2</f>
        <v>3502000</v>
      </c>
    </row>
    <row r="13" spans="1:9" ht="18.75" customHeight="1" x14ac:dyDescent="0.25">
      <c r="A13" s="464" t="s">
        <v>236</v>
      </c>
      <c r="B13" s="465"/>
      <c r="C13" s="465"/>
      <c r="D13" s="465"/>
      <c r="E13" s="268" t="s">
        <v>237</v>
      </c>
      <c r="F13" s="268" t="s">
        <v>238</v>
      </c>
    </row>
    <row r="14" spans="1:9" ht="15.75" thickBot="1" x14ac:dyDescent="0.3">
      <c r="A14" s="467"/>
      <c r="B14" s="468"/>
      <c r="C14" s="468"/>
      <c r="D14" s="46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62" t="s">
        <v>34</v>
      </c>
      <c r="B16" s="269" t="s">
        <v>32</v>
      </c>
      <c r="C16" s="269" t="s">
        <v>31</v>
      </c>
      <c r="D16" s="270" t="s">
        <v>33</v>
      </c>
    </row>
    <row r="17" spans="1:4" ht="15.75" thickBot="1" x14ac:dyDescent="0.3">
      <c r="A17" s="463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42" t="s">
        <v>37</v>
      </c>
      <c r="B19" s="442"/>
      <c r="C19" s="442"/>
      <c r="D19" s="98"/>
    </row>
    <row r="20" spans="1:4" ht="25.5" x14ac:dyDescent="0.25">
      <c r="A20" s="268" t="s">
        <v>35</v>
      </c>
      <c r="B20" s="268" t="s">
        <v>164</v>
      </c>
      <c r="C20" s="268" t="s">
        <v>239</v>
      </c>
    </row>
    <row r="21" spans="1:4" x14ac:dyDescent="0.25">
      <c r="A21" s="279">
        <f>B17</f>
        <v>0</v>
      </c>
      <c r="B21" s="273">
        <f>((A21/$B$12)^$D$12)*$C$12</f>
        <v>0</v>
      </c>
      <c r="C21" s="280">
        <f>B21*$F$14</f>
        <v>0</v>
      </c>
    </row>
    <row r="22" spans="1:4" x14ac:dyDescent="0.25">
      <c r="A22" s="279">
        <f>A21+(($C$17-$B$17)/$D$17)</f>
        <v>250000</v>
      </c>
      <c r="B22" s="273">
        <f t="shared" ref="B22:B41" si="0">((A22/$B$12)^$D$12)*$C$12</f>
        <v>7408.6901640745618</v>
      </c>
      <c r="C22" s="280">
        <f t="shared" ref="C22:C41" si="1">B22*$F$14</f>
        <v>1673919.4556710066</v>
      </c>
    </row>
    <row r="23" spans="1:4" x14ac:dyDescent="0.25">
      <c r="A23" s="279">
        <f t="shared" ref="A23:A41" si="2">A22+(($C$17-$B$17)/$D$17)</f>
        <v>500000</v>
      </c>
      <c r="B23" s="273">
        <f t="shared" si="0"/>
        <v>11229.474417830452</v>
      </c>
      <c r="C23" s="280">
        <f t="shared" si="1"/>
        <v>2537187.4499646123</v>
      </c>
    </row>
    <row r="24" spans="1:4" x14ac:dyDescent="0.25">
      <c r="A24" s="279">
        <f t="shared" si="2"/>
        <v>750000</v>
      </c>
      <c r="B24" s="273">
        <f t="shared" si="0"/>
        <v>14322.346801651498</v>
      </c>
      <c r="C24" s="280">
        <f t="shared" si="1"/>
        <v>3235991.0363651393</v>
      </c>
    </row>
    <row r="25" spans="1:4" x14ac:dyDescent="0.25">
      <c r="A25" s="279">
        <f t="shared" si="2"/>
        <v>1000000</v>
      </c>
      <c r="B25" s="273">
        <f t="shared" si="0"/>
        <v>17020.700408310324</v>
      </c>
      <c r="C25" s="280">
        <f t="shared" si="1"/>
        <v>3845657.0502536343</v>
      </c>
    </row>
    <row r="26" spans="1:4" x14ac:dyDescent="0.25">
      <c r="A26" s="279">
        <f t="shared" si="2"/>
        <v>1250000</v>
      </c>
      <c r="B26" s="273">
        <f t="shared" si="0"/>
        <v>19459.130710154546</v>
      </c>
      <c r="C26" s="280">
        <f t="shared" si="1"/>
        <v>4396595.9926523184</v>
      </c>
    </row>
    <row r="27" spans="1:4" x14ac:dyDescent="0.25">
      <c r="A27" s="279">
        <f t="shared" si="2"/>
        <v>1500000</v>
      </c>
      <c r="B27" s="273">
        <f t="shared" si="0"/>
        <v>21708.618318570392</v>
      </c>
      <c r="C27" s="280">
        <f t="shared" si="1"/>
        <v>4904845.2228977941</v>
      </c>
    </row>
    <row r="28" spans="1:4" x14ac:dyDescent="0.25">
      <c r="A28" s="279">
        <f t="shared" si="2"/>
        <v>1750000</v>
      </c>
      <c r="B28" s="273">
        <f t="shared" si="0"/>
        <v>23812.240308184086</v>
      </c>
      <c r="C28" s="280">
        <f t="shared" si="1"/>
        <v>5380137.5752311125</v>
      </c>
    </row>
    <row r="29" spans="1:4" x14ac:dyDescent="0.25">
      <c r="A29" s="279">
        <f t="shared" si="2"/>
        <v>2000000</v>
      </c>
      <c r="B29" s="273">
        <f t="shared" si="0"/>
        <v>25798.557582486257</v>
      </c>
      <c r="C29" s="280">
        <f t="shared" si="1"/>
        <v>5828926.1001869449</v>
      </c>
    </row>
    <row r="30" spans="1:4" x14ac:dyDescent="0.25">
      <c r="A30" s="279">
        <f t="shared" si="2"/>
        <v>2250000</v>
      </c>
      <c r="B30" s="273">
        <f t="shared" si="0"/>
        <v>27687.703678238533</v>
      </c>
      <c r="C30" s="280">
        <f t="shared" si="1"/>
        <v>6255759.7690612143</v>
      </c>
    </row>
    <row r="31" spans="1:4" x14ac:dyDescent="0.25">
      <c r="A31" s="279">
        <f t="shared" si="2"/>
        <v>2500000</v>
      </c>
      <c r="B31" s="273">
        <f t="shared" si="0"/>
        <v>29494.526787272491</v>
      </c>
      <c r="C31" s="280">
        <f t="shared" si="1"/>
        <v>6663993.3823163463</v>
      </c>
    </row>
    <row r="32" spans="1:4" x14ac:dyDescent="0.25">
      <c r="A32" s="279">
        <f t="shared" si="2"/>
        <v>2750000</v>
      </c>
      <c r="B32" s="273">
        <f t="shared" si="0"/>
        <v>31230.363834281474</v>
      </c>
      <c r="C32" s="280">
        <f t="shared" si="1"/>
        <v>7056188.4047175562</v>
      </c>
    </row>
    <row r="33" spans="1:3" x14ac:dyDescent="0.25">
      <c r="A33" s="279">
        <f t="shared" si="2"/>
        <v>3000000</v>
      </c>
      <c r="B33" s="273">
        <f t="shared" si="0"/>
        <v>32904.112421508238</v>
      </c>
      <c r="C33" s="280">
        <f t="shared" si="1"/>
        <v>7434355.160515571</v>
      </c>
    </row>
    <row r="34" spans="1:3" x14ac:dyDescent="0.25">
      <c r="A34" s="279">
        <f t="shared" si="2"/>
        <v>3250000</v>
      </c>
      <c r="B34" s="273">
        <f t="shared" si="0"/>
        <v>34522.913816809414</v>
      </c>
      <c r="C34" s="280">
        <f t="shared" si="1"/>
        <v>7800107.1477699187</v>
      </c>
    </row>
    <row r="35" spans="1:3" x14ac:dyDescent="0.25">
      <c r="A35" s="279">
        <f t="shared" si="2"/>
        <v>3500000</v>
      </c>
      <c r="B35" s="273">
        <f t="shared" si="0"/>
        <v>36092.607120841283</v>
      </c>
      <c r="C35" s="280">
        <f t="shared" si="1"/>
        <v>8154763.6528828796</v>
      </c>
    </row>
    <row r="36" spans="1:3" x14ac:dyDescent="0.25">
      <c r="A36" s="279">
        <f t="shared" si="2"/>
        <v>3750000</v>
      </c>
      <c r="B36" s="273">
        <f t="shared" si="0"/>
        <v>37618.042098851023</v>
      </c>
      <c r="C36" s="280">
        <f t="shared" si="1"/>
        <v>8499420.4318144005</v>
      </c>
    </row>
    <row r="37" spans="1:3" x14ac:dyDescent="0.25">
      <c r="A37" s="279">
        <f t="shared" si="2"/>
        <v>4000000</v>
      </c>
      <c r="B37" s="273">
        <f t="shared" si="0"/>
        <v>39103.301119846867</v>
      </c>
      <c r="C37" s="280">
        <f t="shared" si="1"/>
        <v>8834999.8550182004</v>
      </c>
    </row>
    <row r="38" spans="1:3" x14ac:dyDescent="0.25">
      <c r="A38" s="279">
        <f t="shared" si="2"/>
        <v>4250000</v>
      </c>
      <c r="B38" s="273">
        <f t="shared" si="0"/>
        <v>40551.860621591703</v>
      </c>
      <c r="C38" s="280">
        <f t="shared" si="1"/>
        <v>9162287.38884243</v>
      </c>
    </row>
    <row r="39" spans="1:3" x14ac:dyDescent="0.25">
      <c r="A39" s="279">
        <f t="shared" si="2"/>
        <v>4500000</v>
      </c>
      <c r="B39" s="273">
        <f t="shared" si="0"/>
        <v>41966.711153737037</v>
      </c>
      <c r="C39" s="280">
        <f t="shared" si="1"/>
        <v>9481958.7180753462</v>
      </c>
    </row>
    <row r="40" spans="1:3" x14ac:dyDescent="0.25">
      <c r="A40" s="279">
        <f t="shared" si="2"/>
        <v>4750000</v>
      </c>
      <c r="B40" s="273">
        <f t="shared" si="0"/>
        <v>43350.448326913778</v>
      </c>
      <c r="C40" s="280">
        <f t="shared" si="1"/>
        <v>9794600.294982899</v>
      </c>
    </row>
    <row r="41" spans="1:3" x14ac:dyDescent="0.25">
      <c r="A41" s="279">
        <f t="shared" si="2"/>
        <v>5000000</v>
      </c>
      <c r="B41" s="273">
        <f t="shared" si="0"/>
        <v>44705.342872853616</v>
      </c>
      <c r="C41" s="280">
        <f t="shared" si="1"/>
        <v>10100725.168692546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CADA-FEFC-48BF-9235-D45904B6F40C}">
  <sheetPr codeName="Sheet17">
    <tabColor theme="3" tint="0.79998168889431442"/>
  </sheetPr>
  <dimension ref="A1:R42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225</v>
      </c>
    </row>
    <row r="2" spans="1:18" x14ac:dyDescent="0.2">
      <c r="A2" s="7" t="s">
        <v>2</v>
      </c>
      <c r="B2" s="8" t="s">
        <v>223</v>
      </c>
      <c r="C2" s="9" t="s">
        <v>4</v>
      </c>
      <c r="D2" s="8" t="s">
        <v>6</v>
      </c>
      <c r="E2" s="9" t="s">
        <v>116</v>
      </c>
      <c r="F2" s="10" t="s">
        <v>163</v>
      </c>
      <c r="H2" s="231" t="s">
        <v>102</v>
      </c>
      <c r="I2" s="232"/>
      <c r="J2" s="232"/>
      <c r="K2" s="232"/>
      <c r="L2" s="233"/>
    </row>
    <row r="3" spans="1:18" ht="13.5" thickBot="1" x14ac:dyDescent="0.25">
      <c r="A3" s="11" t="s">
        <v>3</v>
      </c>
      <c r="B3" s="12" t="s">
        <v>220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72" t="s">
        <v>106</v>
      </c>
      <c r="C4" s="472"/>
      <c r="D4" s="472"/>
      <c r="E4" s="472"/>
      <c r="F4" s="473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</v>
      </c>
      <c r="C6" s="94">
        <f>VAC_Optim_Scenario!$H$14</f>
        <v>1.25</v>
      </c>
    </row>
    <row r="7" spans="1:18" ht="27.75" customHeight="1" x14ac:dyDescent="0.2">
      <c r="A7" s="470" t="s">
        <v>8</v>
      </c>
      <c r="B7" s="475" t="s">
        <v>9</v>
      </c>
      <c r="C7" s="476"/>
      <c r="D7" s="477" t="s">
        <v>12</v>
      </c>
      <c r="E7" s="478"/>
      <c r="F7" s="479"/>
      <c r="G7" s="475" t="s">
        <v>124</v>
      </c>
      <c r="H7" s="475"/>
      <c r="I7" s="480"/>
      <c r="J7" s="98" t="s">
        <v>125</v>
      </c>
    </row>
    <row r="8" spans="1:18" ht="28.35" customHeight="1" x14ac:dyDescent="0.2">
      <c r="A8" s="474"/>
      <c r="B8" s="230" t="s">
        <v>10</v>
      </c>
      <c r="C8" s="17" t="s">
        <v>11</v>
      </c>
      <c r="D8" s="19" t="s">
        <v>20</v>
      </c>
      <c r="E8" s="230" t="s">
        <v>21</v>
      </c>
      <c r="F8" s="81" t="s">
        <v>117</v>
      </c>
      <c r="G8" s="234" t="s">
        <v>22</v>
      </c>
      <c r="H8" s="230" t="s">
        <v>23</v>
      </c>
      <c r="I8" s="88" t="s">
        <v>123</v>
      </c>
    </row>
    <row r="9" spans="1:18" ht="14.45" customHeight="1" thickBot="1" x14ac:dyDescent="0.25">
      <c r="A9" s="471"/>
      <c r="B9" s="95">
        <f>VAC_Optim_Scenario!G20</f>
        <v>2765000</v>
      </c>
      <c r="C9" s="95">
        <f>VAC_Optim_Scenario!H20</f>
        <v>3456250</v>
      </c>
      <c r="D9" s="68">
        <f>VAC_Optim_Scenario!I20</f>
        <v>3456250</v>
      </c>
      <c r="E9" s="84">
        <f>((($R$12/(1+EXP($P$12+$Q$12*D9)))-1) - ($F$12-$C$12))*$I$12</f>
        <v>38305.20955498796</v>
      </c>
      <c r="F9" s="89">
        <f>E9*$G$12</f>
        <v>38305.20955498796</v>
      </c>
      <c r="G9" s="95">
        <f>VAC_Optim_Scenario!E20</f>
        <v>2765000</v>
      </c>
      <c r="H9" s="85">
        <f>((($R$12/(1+EXP($P$12+$Q$12*G9)))-1) - ($F$12-$C$12))*$I$12</f>
        <v>35600.519694157876</v>
      </c>
      <c r="I9" s="90">
        <f>H9*$G$12</f>
        <v>35600.519694157876</v>
      </c>
      <c r="J9" s="87">
        <f>G9/I9</f>
        <v>77.667405525367727</v>
      </c>
      <c r="K9" s="98" t="s">
        <v>167</v>
      </c>
    </row>
    <row r="10" spans="1:18" ht="13.5" thickBot="1" x14ac:dyDescent="0.25"/>
    <row r="11" spans="1:18" ht="51.6" customHeight="1" x14ac:dyDescent="0.2">
      <c r="A11" s="470" t="s">
        <v>15</v>
      </c>
      <c r="B11" s="236" t="s">
        <v>16</v>
      </c>
      <c r="C11" s="236" t="s">
        <v>17</v>
      </c>
      <c r="D11" s="236" t="s">
        <v>18</v>
      </c>
      <c r="E11" s="236" t="s">
        <v>19</v>
      </c>
      <c r="F11" s="237" t="s">
        <v>109</v>
      </c>
      <c r="G11" s="235" t="s">
        <v>168</v>
      </c>
      <c r="H11" s="236" t="s">
        <v>119</v>
      </c>
      <c r="I11" s="92" t="s">
        <v>122</v>
      </c>
      <c r="K11" s="462" t="s">
        <v>25</v>
      </c>
      <c r="L11" s="236" t="s">
        <v>110</v>
      </c>
      <c r="M11" s="236" t="s">
        <v>111</v>
      </c>
      <c r="N11" s="236" t="s">
        <v>112</v>
      </c>
      <c r="O11" s="236" t="s">
        <v>113</v>
      </c>
      <c r="P11" s="236" t="s">
        <v>26</v>
      </c>
      <c r="Q11" s="236" t="s">
        <v>27</v>
      </c>
      <c r="R11" s="237" t="s">
        <v>28</v>
      </c>
    </row>
    <row r="12" spans="1:18" ht="15" customHeight="1" thickBot="1" x14ac:dyDescent="0.25">
      <c r="A12" s="471"/>
      <c r="B12" s="259">
        <f>'[4]HCC Online Video Curve'!$B$12</f>
        <v>1111779.04</v>
      </c>
      <c r="C12" s="259">
        <f>'[4]HCC Online Video Curve'!$C$12</f>
        <v>21646.235649615326</v>
      </c>
      <c r="D12" s="259">
        <f>'[4]HCC Online Video Curve'!$D$12</f>
        <v>0</v>
      </c>
      <c r="E12" s="259">
        <f>'[4]HCC Online Video Curve'!$E$12</f>
        <v>43292.471299230652</v>
      </c>
      <c r="F12" s="259">
        <f>'[4]HCC Online Video Curve'!$F$12</f>
        <v>4647854</v>
      </c>
      <c r="G12" s="156">
        <f>VAC_Optim_Scenario!$D$33</f>
        <v>1</v>
      </c>
      <c r="H12" s="71">
        <f>C12*G12</f>
        <v>21646.235649615326</v>
      </c>
      <c r="I12" s="260">
        <f>VAC_Optim_Scenario!D20</f>
        <v>1</v>
      </c>
      <c r="K12" s="463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73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464" t="s">
        <v>169</v>
      </c>
      <c r="B13" s="465"/>
      <c r="C13" s="465"/>
      <c r="D13" s="465"/>
      <c r="E13" s="465"/>
      <c r="F13" s="466"/>
      <c r="G13" s="230" t="s">
        <v>150</v>
      </c>
      <c r="H13" s="230" t="s">
        <v>151</v>
      </c>
      <c r="K13" s="464" t="s">
        <v>115</v>
      </c>
      <c r="L13" s="465"/>
      <c r="M13" s="465"/>
      <c r="N13" s="465"/>
      <c r="O13" s="465"/>
      <c r="P13" s="465"/>
      <c r="Q13" s="465"/>
      <c r="R13" s="466"/>
    </row>
    <row r="14" spans="1:18" ht="33.6" customHeight="1" thickBot="1" x14ac:dyDescent="0.25">
      <c r="A14" s="467"/>
      <c r="B14" s="468"/>
      <c r="C14" s="468"/>
      <c r="D14" s="468"/>
      <c r="E14" s="468"/>
      <c r="F14" s="469"/>
      <c r="G14" s="95">
        <f>VAC_Optim_Scenario!$I$33</f>
        <v>225.94</v>
      </c>
      <c r="H14" s="95">
        <f>VAC_Optim_Scenario!$F$33</f>
        <v>225.94</v>
      </c>
      <c r="K14" s="467"/>
      <c r="L14" s="468"/>
      <c r="M14" s="468"/>
      <c r="N14" s="468"/>
      <c r="O14" s="468"/>
      <c r="P14" s="468"/>
      <c r="Q14" s="468"/>
      <c r="R14" s="469"/>
    </row>
    <row r="16" spans="1:18" ht="13.5" thickBot="1" x14ac:dyDescent="0.25"/>
    <row r="17" spans="1:8" ht="42.6" customHeight="1" x14ac:dyDescent="0.2">
      <c r="A17" s="462" t="s">
        <v>34</v>
      </c>
      <c r="B17" s="236" t="s">
        <v>32</v>
      </c>
      <c r="C17" s="236" t="s">
        <v>31</v>
      </c>
      <c r="D17" s="237" t="s">
        <v>33</v>
      </c>
      <c r="F17" s="82"/>
      <c r="G17" s="82"/>
      <c r="H17" s="83"/>
    </row>
    <row r="18" spans="1:8" ht="23.45" customHeight="1" thickBot="1" x14ac:dyDescent="0.25">
      <c r="A18" s="463"/>
      <c r="B18" s="75">
        <v>0</v>
      </c>
      <c r="C18" s="76">
        <v>4000000</v>
      </c>
      <c r="D18" s="26">
        <v>20</v>
      </c>
    </row>
    <row r="20" spans="1:8" x14ac:dyDescent="0.2">
      <c r="A20" s="442" t="s">
        <v>37</v>
      </c>
      <c r="B20" s="442"/>
      <c r="C20" s="442"/>
    </row>
    <row r="21" spans="1:8" ht="25.5" x14ac:dyDescent="0.2">
      <c r="A21" s="230" t="s">
        <v>35</v>
      </c>
      <c r="B21" s="230" t="s">
        <v>170</v>
      </c>
      <c r="C21" s="230" t="s">
        <v>171</v>
      </c>
      <c r="D21" s="98" t="s">
        <v>172</v>
      </c>
      <c r="E21" s="230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  <c r="F28" s="356">
        <f>E28-E27</f>
        <v>615981.53621483129</v>
      </c>
      <c r="G28" s="140">
        <f>A28-A27</f>
        <v>200000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  <c r="G29" s="98">
        <f>F28/G28</f>
        <v>3.0799076810741566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4040-8F9F-4C7B-B12C-DF8D1E46DD97}">
  <sheetPr codeName="Sheet16">
    <tabColor theme="3" tint="0.79998168889431442"/>
  </sheetPr>
  <dimension ref="A1:I45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241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241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224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1"/>
      <c r="C4" s="482"/>
      <c r="D4" s="482"/>
      <c r="E4" s="482"/>
      <c r="F4" s="483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266">
        <v>0.8</v>
      </c>
      <c r="C6" s="266">
        <v>1.3</v>
      </c>
      <c r="D6" s="98"/>
      <c r="E6" s="98"/>
      <c r="F6" s="98"/>
      <c r="G6" s="98"/>
      <c r="H6" s="98"/>
      <c r="I6" s="98"/>
    </row>
    <row r="7" spans="1:9" x14ac:dyDescent="0.25">
      <c r="A7" s="470" t="s">
        <v>8</v>
      </c>
      <c r="B7" s="475" t="s">
        <v>9</v>
      </c>
      <c r="C7" s="475"/>
      <c r="D7" s="475" t="s">
        <v>12</v>
      </c>
      <c r="E7" s="475"/>
      <c r="F7" s="475"/>
      <c r="G7" s="475" t="s">
        <v>124</v>
      </c>
      <c r="H7" s="475"/>
      <c r="I7" s="480"/>
    </row>
    <row r="8" spans="1:9" x14ac:dyDescent="0.25">
      <c r="A8" s="474"/>
      <c r="B8" s="268" t="s">
        <v>10</v>
      </c>
      <c r="C8" s="268" t="s">
        <v>11</v>
      </c>
      <c r="D8" s="268" t="s">
        <v>20</v>
      </c>
      <c r="E8" s="268" t="s">
        <v>21</v>
      </c>
      <c r="F8" s="268" t="s">
        <v>117</v>
      </c>
      <c r="G8" s="268" t="s">
        <v>22</v>
      </c>
      <c r="H8" s="268" t="s">
        <v>23</v>
      </c>
      <c r="I8" s="4" t="s">
        <v>123</v>
      </c>
    </row>
    <row r="9" spans="1:9" ht="15.75" thickBot="1" x14ac:dyDescent="0.3">
      <c r="A9" s="471"/>
      <c r="B9" s="271">
        <f>VAC_Optim_Scenario!G21</f>
        <v>7566882.5899999999</v>
      </c>
      <c r="C9" s="271">
        <f>VAC_Optim_Scenario!H21</f>
        <v>7566882.5899999999</v>
      </c>
      <c r="D9" s="272">
        <f>VAC_Optim_Scenario!I21</f>
        <v>7566882.5899999999</v>
      </c>
      <c r="E9" s="84">
        <f>((GSTRTV!D9/$B$12)^$D$12)*$C$12*$F$12</f>
        <v>67506.221019185497</v>
      </c>
      <c r="F9" s="84">
        <f>E9*F11</f>
        <v>67506.221019185497</v>
      </c>
      <c r="G9" s="76">
        <f>VAC_Optim_Scenario!E21</f>
        <v>7566882.5899999999</v>
      </c>
      <c r="H9" s="273">
        <f>((GSTRTV!G9/$B$12)^$D$12)*$C$12*$F$12</f>
        <v>67506.221019185497</v>
      </c>
      <c r="I9" s="274">
        <f>H9*F11</f>
        <v>67506.221019185497</v>
      </c>
    </row>
    <row r="10" spans="1:9" ht="15.75" thickBot="1" x14ac:dyDescent="0.3"/>
    <row r="11" spans="1:9" ht="48.95" customHeight="1" x14ac:dyDescent="0.25">
      <c r="A11" s="442" t="s">
        <v>15</v>
      </c>
      <c r="B11" s="269" t="s">
        <v>16</v>
      </c>
      <c r="C11" s="269" t="s">
        <v>17</v>
      </c>
      <c r="D11" s="269" t="s">
        <v>235</v>
      </c>
      <c r="E11" s="268" t="s">
        <v>126</v>
      </c>
      <c r="F11" s="275">
        <v>1</v>
      </c>
    </row>
    <row r="12" spans="1:9" ht="40.5" customHeight="1" thickBot="1" x14ac:dyDescent="0.3">
      <c r="A12" s="442"/>
      <c r="B12" s="276">
        <f>'[5]Streaming Video - Power'!$B$12</f>
        <v>13418576</v>
      </c>
      <c r="C12" s="276">
        <f>'[5]Streaming Video - Power'!$C$12</f>
        <v>100808.3256282994</v>
      </c>
      <c r="D12" s="281">
        <f>'[5]Streaming Video - Power'!$D$12</f>
        <v>0.7</v>
      </c>
      <c r="E12" s="268" t="s">
        <v>122</v>
      </c>
      <c r="F12" s="277">
        <f>VAC_Optim_Scenario!D21</f>
        <v>1</v>
      </c>
      <c r="G12" s="278">
        <f>B12*2</f>
        <v>26837152</v>
      </c>
    </row>
    <row r="13" spans="1:9" ht="18.75" customHeight="1" x14ac:dyDescent="0.25">
      <c r="A13" s="464" t="s">
        <v>236</v>
      </c>
      <c r="B13" s="465"/>
      <c r="C13" s="465"/>
      <c r="D13" s="465"/>
      <c r="E13" s="268" t="s">
        <v>237</v>
      </c>
      <c r="F13" s="268" t="s">
        <v>238</v>
      </c>
    </row>
    <row r="14" spans="1:9" ht="15.75" thickBot="1" x14ac:dyDescent="0.3">
      <c r="A14" s="467"/>
      <c r="B14" s="468"/>
      <c r="C14" s="468"/>
      <c r="D14" s="46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62" t="s">
        <v>34</v>
      </c>
      <c r="B16" s="269" t="s">
        <v>32</v>
      </c>
      <c r="C16" s="269" t="s">
        <v>31</v>
      </c>
      <c r="D16" s="270" t="s">
        <v>33</v>
      </c>
    </row>
    <row r="17" spans="1:4" ht="15.75" thickBot="1" x14ac:dyDescent="0.3">
      <c r="A17" s="463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42" t="s">
        <v>37</v>
      </c>
      <c r="B19" s="442"/>
      <c r="C19" s="442"/>
      <c r="D19" s="98"/>
    </row>
    <row r="20" spans="1:4" ht="25.5" x14ac:dyDescent="0.25">
      <c r="A20" s="268" t="s">
        <v>35</v>
      </c>
      <c r="B20" s="268" t="s">
        <v>164</v>
      </c>
      <c r="C20" s="268" t="s">
        <v>239</v>
      </c>
    </row>
    <row r="21" spans="1:4" x14ac:dyDescent="0.25">
      <c r="A21" s="279">
        <f>B17</f>
        <v>0</v>
      </c>
      <c r="B21" s="273">
        <f>((A21/$B$12)^$D$12)*$C$12</f>
        <v>0</v>
      </c>
      <c r="C21" s="280">
        <f>B21*$F$14</f>
        <v>0</v>
      </c>
    </row>
    <row r="22" spans="1:4" x14ac:dyDescent="0.25">
      <c r="A22" s="279">
        <f>A21+(($C$17-$B$17)/$D$17)</f>
        <v>750000</v>
      </c>
      <c r="B22" s="273">
        <f t="shared" ref="B22:B41" si="0">((A22/$B$12)^$D$12)*$C$12</f>
        <v>13385.813954759049</v>
      </c>
      <c r="C22" s="280">
        <f t="shared" ref="C22:C41" si="1">B22*$F$14</f>
        <v>3024390.8049382595</v>
      </c>
    </row>
    <row r="23" spans="1:4" x14ac:dyDescent="0.25">
      <c r="A23" s="279">
        <f t="shared" ref="A23:A45" si="2">A22+(($C$17-$B$17)/$D$17)</f>
        <v>1500000</v>
      </c>
      <c r="B23" s="273">
        <f t="shared" si="0"/>
        <v>21745.318923863546</v>
      </c>
      <c r="C23" s="280">
        <f t="shared" si="1"/>
        <v>4913137.3576577296</v>
      </c>
    </row>
    <row r="24" spans="1:4" x14ac:dyDescent="0.25">
      <c r="A24" s="279">
        <f t="shared" si="2"/>
        <v>2250000</v>
      </c>
      <c r="B24" s="273">
        <f t="shared" si="0"/>
        <v>28882.159557638814</v>
      </c>
      <c r="C24" s="280">
        <f t="shared" si="1"/>
        <v>6525635.1304529132</v>
      </c>
    </row>
    <row r="25" spans="1:4" x14ac:dyDescent="0.25">
      <c r="A25" s="279">
        <f t="shared" si="2"/>
        <v>3000000</v>
      </c>
      <c r="B25" s="273">
        <f t="shared" si="0"/>
        <v>35325.374810877525</v>
      </c>
      <c r="C25" s="280">
        <f t="shared" si="1"/>
        <v>7981415.1847696677</v>
      </c>
    </row>
    <row r="26" spans="1:4" x14ac:dyDescent="0.25">
      <c r="A26" s="279">
        <f t="shared" si="2"/>
        <v>3750000</v>
      </c>
      <c r="B26" s="273">
        <f t="shared" si="0"/>
        <v>41297.502450781918</v>
      </c>
      <c r="C26" s="280">
        <f t="shared" si="1"/>
        <v>9330757.7037296668</v>
      </c>
    </row>
    <row r="27" spans="1:4" x14ac:dyDescent="0.25">
      <c r="A27" s="279">
        <f t="shared" si="2"/>
        <v>4500000</v>
      </c>
      <c r="B27" s="273">
        <f t="shared" si="0"/>
        <v>46919.206625270555</v>
      </c>
      <c r="C27" s="280">
        <f t="shared" si="1"/>
        <v>10600925.544913629</v>
      </c>
    </row>
    <row r="28" spans="1:4" x14ac:dyDescent="0.25">
      <c r="A28" s="279">
        <f t="shared" si="2"/>
        <v>5250000</v>
      </c>
      <c r="B28" s="273">
        <f t="shared" si="0"/>
        <v>52265.295791567616</v>
      </c>
      <c r="C28" s="280">
        <f t="shared" si="1"/>
        <v>11808820.931146787</v>
      </c>
    </row>
    <row r="29" spans="1:4" x14ac:dyDescent="0.25">
      <c r="A29" s="279">
        <f t="shared" si="2"/>
        <v>6000000</v>
      </c>
      <c r="B29" s="273">
        <f t="shared" si="0"/>
        <v>57386.24068463494</v>
      </c>
      <c r="C29" s="280">
        <f t="shared" si="1"/>
        <v>12965847.220286418</v>
      </c>
    </row>
    <row r="30" spans="1:4" x14ac:dyDescent="0.25">
      <c r="A30" s="279">
        <f t="shared" si="2"/>
        <v>6750000</v>
      </c>
      <c r="B30" s="273">
        <f t="shared" si="0"/>
        <v>62318.148416841854</v>
      </c>
      <c r="C30" s="280">
        <f t="shared" si="1"/>
        <v>14080162.453301249</v>
      </c>
    </row>
    <row r="31" spans="1:4" x14ac:dyDescent="0.25">
      <c r="A31" s="279">
        <f t="shared" si="2"/>
        <v>7500000</v>
      </c>
      <c r="B31" s="273">
        <f t="shared" si="0"/>
        <v>67087.990658350245</v>
      </c>
      <c r="C31" s="280">
        <f t="shared" si="1"/>
        <v>15157860.609347655</v>
      </c>
    </row>
    <row r="32" spans="1:4" x14ac:dyDescent="0.25">
      <c r="A32" s="279">
        <f t="shared" si="2"/>
        <v>8250000</v>
      </c>
      <c r="B32" s="273">
        <f t="shared" si="0"/>
        <v>71716.595411188333</v>
      </c>
      <c r="C32" s="280">
        <f t="shared" si="1"/>
        <v>16203647.567203892</v>
      </c>
    </row>
    <row r="33" spans="1:3" x14ac:dyDescent="0.25">
      <c r="A33" s="279">
        <f t="shared" si="2"/>
        <v>9000000</v>
      </c>
      <c r="B33" s="273">
        <f t="shared" si="0"/>
        <v>76220.476033018742</v>
      </c>
      <c r="C33" s="280">
        <f t="shared" si="1"/>
        <v>17221254.354900256</v>
      </c>
    </row>
    <row r="34" spans="1:3" x14ac:dyDescent="0.25">
      <c r="A34" s="279">
        <f t="shared" si="2"/>
        <v>9750000</v>
      </c>
      <c r="B34" s="273">
        <f t="shared" si="0"/>
        <v>80613.00882564421</v>
      </c>
      <c r="C34" s="280">
        <f t="shared" si="1"/>
        <v>18213703.214066051</v>
      </c>
    </row>
    <row r="35" spans="1:3" x14ac:dyDescent="0.25">
      <c r="A35" s="279">
        <f t="shared" si="2"/>
        <v>10500000</v>
      </c>
      <c r="B35" s="273">
        <f t="shared" si="0"/>
        <v>84905.223505936534</v>
      </c>
      <c r="C35" s="280">
        <f t="shared" si="1"/>
        <v>19183486.198931299</v>
      </c>
    </row>
    <row r="36" spans="1:3" x14ac:dyDescent="0.25">
      <c r="A36" s="279">
        <f t="shared" si="2"/>
        <v>11250000</v>
      </c>
      <c r="B36" s="273">
        <f t="shared" si="0"/>
        <v>89106.352377727613</v>
      </c>
      <c r="C36" s="280">
        <f t="shared" si="1"/>
        <v>20132689.256223775</v>
      </c>
    </row>
    <row r="37" spans="1:3" x14ac:dyDescent="0.25">
      <c r="A37" s="279">
        <f t="shared" si="2"/>
        <v>12000000</v>
      </c>
      <c r="B37" s="273">
        <f t="shared" si="0"/>
        <v>93224.223027940854</v>
      </c>
      <c r="C37" s="280">
        <f t="shared" si="1"/>
        <v>21063080.950932957</v>
      </c>
    </row>
    <row r="38" spans="1:3" x14ac:dyDescent="0.25">
      <c r="A38" s="279">
        <f t="shared" si="2"/>
        <v>12750000</v>
      </c>
      <c r="B38" s="273">
        <f t="shared" si="0"/>
        <v>97265.546113132033</v>
      </c>
      <c r="C38" s="280">
        <f t="shared" si="1"/>
        <v>21976177.488801051</v>
      </c>
    </row>
    <row r="39" spans="1:3" x14ac:dyDescent="0.25">
      <c r="A39" s="279">
        <f t="shared" si="2"/>
        <v>13500000</v>
      </c>
      <c r="B39" s="273">
        <f t="shared" si="0"/>
        <v>101236.13077612668</v>
      </c>
      <c r="C39" s="280">
        <f t="shared" si="1"/>
        <v>22873291.387558062</v>
      </c>
    </row>
    <row r="40" spans="1:3" x14ac:dyDescent="0.25">
      <c r="A40" s="279">
        <f t="shared" si="2"/>
        <v>14250000</v>
      </c>
      <c r="B40" s="273">
        <f t="shared" si="0"/>
        <v>105141.04889375818</v>
      </c>
      <c r="C40" s="280">
        <f t="shared" si="1"/>
        <v>23755568.587055724</v>
      </c>
    </row>
    <row r="41" spans="1:3" x14ac:dyDescent="0.25">
      <c r="A41" s="279">
        <f t="shared" si="2"/>
        <v>15000000</v>
      </c>
      <c r="B41" s="273">
        <f t="shared" si="0"/>
        <v>108984.76235793946</v>
      </c>
      <c r="C41" s="280">
        <f t="shared" si="1"/>
        <v>24624017.20715284</v>
      </c>
    </row>
    <row r="42" spans="1:3" x14ac:dyDescent="0.25">
      <c r="A42" s="279">
        <f t="shared" si="2"/>
        <v>15750000</v>
      </c>
      <c r="B42" s="273">
        <f t="shared" ref="B42:B45" si="3">((A42/$B$12)^$D$12)*$C$12</f>
        <v>112771.22313825082</v>
      </c>
      <c r="C42" s="280">
        <f t="shared" ref="C42:C45" si="4">B42*$F$14</f>
        <v>25479530.15585639</v>
      </c>
    </row>
    <row r="43" spans="1:3" x14ac:dyDescent="0.25">
      <c r="A43" s="279">
        <f t="shared" si="2"/>
        <v>16500000</v>
      </c>
      <c r="B43" s="273">
        <f t="shared" si="3"/>
        <v>116503.95296249664</v>
      </c>
      <c r="C43" s="280">
        <f t="shared" si="4"/>
        <v>26322903.132346489</v>
      </c>
    </row>
    <row r="44" spans="1:3" x14ac:dyDescent="0.25">
      <c r="A44" s="279">
        <f t="shared" si="2"/>
        <v>17250000</v>
      </c>
      <c r="B44" s="273">
        <f t="shared" si="3"/>
        <v>120186.10750238127</v>
      </c>
      <c r="C44" s="280">
        <f t="shared" si="4"/>
        <v>27154849.129088026</v>
      </c>
    </row>
    <row r="45" spans="1:3" x14ac:dyDescent="0.25">
      <c r="A45" s="279">
        <f t="shared" si="2"/>
        <v>18000000</v>
      </c>
      <c r="B45" s="273">
        <f t="shared" si="3"/>
        <v>123820.52861846496</v>
      </c>
      <c r="C45" s="280">
        <f t="shared" si="4"/>
        <v>27976010.236055974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A2A-C499-4689-B371-E9CED1501AC0}">
  <sheetPr codeName="Sheet11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243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242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244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1"/>
      <c r="C4" s="482"/>
      <c r="D4" s="482"/>
      <c r="E4" s="482"/>
      <c r="F4" s="483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266">
        <v>0.8</v>
      </c>
      <c r="C6" s="266">
        <v>1.3</v>
      </c>
      <c r="D6" s="98"/>
      <c r="E6" s="98"/>
      <c r="F6" s="98"/>
      <c r="G6" s="98"/>
      <c r="H6" s="98"/>
      <c r="I6" s="98"/>
    </row>
    <row r="7" spans="1:9" x14ac:dyDescent="0.25">
      <c r="A7" s="470" t="s">
        <v>8</v>
      </c>
      <c r="B7" s="475" t="s">
        <v>9</v>
      </c>
      <c r="C7" s="475"/>
      <c r="D7" s="475" t="s">
        <v>12</v>
      </c>
      <c r="E7" s="475"/>
      <c r="F7" s="475"/>
      <c r="G7" s="475" t="s">
        <v>124</v>
      </c>
      <c r="H7" s="475"/>
      <c r="I7" s="480"/>
    </row>
    <row r="8" spans="1:9" x14ac:dyDescent="0.25">
      <c r="A8" s="474"/>
      <c r="B8" s="268" t="s">
        <v>10</v>
      </c>
      <c r="C8" s="268" t="s">
        <v>11</v>
      </c>
      <c r="D8" s="268" t="s">
        <v>20</v>
      </c>
      <c r="E8" s="268" t="s">
        <v>21</v>
      </c>
      <c r="F8" s="268" t="s">
        <v>117</v>
      </c>
      <c r="G8" s="268" t="s">
        <v>22</v>
      </c>
      <c r="H8" s="268" t="s">
        <v>23</v>
      </c>
      <c r="I8" s="4" t="s">
        <v>123</v>
      </c>
    </row>
    <row r="9" spans="1:9" ht="15.75" thickBot="1" x14ac:dyDescent="0.3">
      <c r="A9" s="471"/>
      <c r="B9" s="271">
        <f>VAC_Optim_Scenario!G22</f>
        <v>4650000</v>
      </c>
      <c r="C9" s="271">
        <f>VAC_Optim_Scenario!H22</f>
        <v>5812500</v>
      </c>
      <c r="D9" s="272">
        <f>VAC_Optim_Scenario!I22</f>
        <v>5812500.0000000009</v>
      </c>
      <c r="E9" s="84">
        <f>((GDISP!D9/$B$12)^$D$12)*$C$12*$F$12</f>
        <v>116422.07304356989</v>
      </c>
      <c r="F9" s="84">
        <f>E9*F11</f>
        <v>116422.07304356989</v>
      </c>
      <c r="G9" s="76">
        <f>VAC_Optim_Scenario!E22</f>
        <v>4650000</v>
      </c>
      <c r="H9" s="273">
        <f>((GDISP!G9/$B$12)^$D$12)*$C$12*$F$12</f>
        <v>101833.18338855471</v>
      </c>
      <c r="I9" s="274">
        <f>H9*F11</f>
        <v>101833.18338855471</v>
      </c>
    </row>
    <row r="10" spans="1:9" ht="15.75" thickBot="1" x14ac:dyDescent="0.3"/>
    <row r="11" spans="1:9" ht="48.95" customHeight="1" x14ac:dyDescent="0.25">
      <c r="A11" s="442" t="s">
        <v>15</v>
      </c>
      <c r="B11" s="269" t="s">
        <v>16</v>
      </c>
      <c r="C11" s="269" t="s">
        <v>17</v>
      </c>
      <c r="D11" s="269" t="s">
        <v>235</v>
      </c>
      <c r="E11" s="268" t="s">
        <v>126</v>
      </c>
      <c r="F11" s="275">
        <v>1</v>
      </c>
    </row>
    <row r="12" spans="1:9" ht="40.5" customHeight="1" thickBot="1" x14ac:dyDescent="0.3">
      <c r="A12" s="442"/>
      <c r="B12" s="276">
        <f>'[6]HCC Display - Power'!$B$12</f>
        <v>2859426.82</v>
      </c>
      <c r="C12" s="276">
        <f>'[6]HCC Display - Power'!$C$12</f>
        <v>76065.012406995462</v>
      </c>
      <c r="D12" s="281">
        <f>'[6]HCC Display - Power'!$D$12</f>
        <v>0.6</v>
      </c>
      <c r="E12" s="268" t="s">
        <v>122</v>
      </c>
      <c r="F12" s="277">
        <f>VAC_Optim_Scenario!D22</f>
        <v>1</v>
      </c>
      <c r="G12" s="278">
        <f>B12*2</f>
        <v>5718853.6399999997</v>
      </c>
    </row>
    <row r="13" spans="1:9" ht="18.75" customHeight="1" x14ac:dyDescent="0.25">
      <c r="A13" s="464" t="s">
        <v>236</v>
      </c>
      <c r="B13" s="465"/>
      <c r="C13" s="465"/>
      <c r="D13" s="465"/>
      <c r="E13" s="268" t="s">
        <v>237</v>
      </c>
      <c r="F13" s="268" t="s">
        <v>238</v>
      </c>
    </row>
    <row r="14" spans="1:9" ht="15.75" thickBot="1" x14ac:dyDescent="0.3">
      <c r="A14" s="467"/>
      <c r="B14" s="468"/>
      <c r="C14" s="468"/>
      <c r="D14" s="46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62" t="s">
        <v>34</v>
      </c>
      <c r="B16" s="269" t="s">
        <v>32</v>
      </c>
      <c r="C16" s="269" t="s">
        <v>31</v>
      </c>
      <c r="D16" s="270" t="s">
        <v>33</v>
      </c>
    </row>
    <row r="17" spans="1:4" ht="15.75" thickBot="1" x14ac:dyDescent="0.3">
      <c r="A17" s="463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42" t="s">
        <v>37</v>
      </c>
      <c r="B19" s="442"/>
      <c r="C19" s="442"/>
      <c r="D19" s="98"/>
    </row>
    <row r="20" spans="1:4" ht="25.5" x14ac:dyDescent="0.25">
      <c r="A20" s="268" t="s">
        <v>35</v>
      </c>
      <c r="B20" s="268" t="s">
        <v>164</v>
      </c>
      <c r="C20" s="268" t="s">
        <v>239</v>
      </c>
    </row>
    <row r="21" spans="1:4" x14ac:dyDescent="0.25">
      <c r="A21" s="279">
        <f>B17</f>
        <v>0</v>
      </c>
      <c r="B21" s="273">
        <f>((A21/$B$12)^$D$12)*$C$12</f>
        <v>0</v>
      </c>
      <c r="C21" s="280">
        <f>B21*$F$14</f>
        <v>0</v>
      </c>
    </row>
    <row r="22" spans="1:4" x14ac:dyDescent="0.25">
      <c r="A22" s="279">
        <f>A21+(($C$17-$B$17)/$D$17)</f>
        <v>250000</v>
      </c>
      <c r="B22" s="273">
        <f t="shared" ref="B22:B41" si="0">((A22/$B$12)^$D$12)*$C$12</f>
        <v>17627.127824775001</v>
      </c>
      <c r="C22" s="280">
        <f t="shared" ref="C22:C41" si="1">B22*$F$14</f>
        <v>3982673.260729664</v>
      </c>
    </row>
    <row r="23" spans="1:4" x14ac:dyDescent="0.25">
      <c r="A23" s="279">
        <f t="shared" ref="A23:A41" si="2">A22+(($C$17-$B$17)/$D$17)</f>
        <v>500000</v>
      </c>
      <c r="B23" s="273">
        <f t="shared" si="0"/>
        <v>26717.729664007864</v>
      </c>
      <c r="C23" s="280">
        <f t="shared" si="1"/>
        <v>6036603.8402859364</v>
      </c>
    </row>
    <row r="24" spans="1:4" x14ac:dyDescent="0.25">
      <c r="A24" s="279">
        <f t="shared" si="2"/>
        <v>750000</v>
      </c>
      <c r="B24" s="273">
        <f t="shared" si="0"/>
        <v>34076.447014572113</v>
      </c>
      <c r="C24" s="280">
        <f t="shared" si="1"/>
        <v>7699232.4384724228</v>
      </c>
    </row>
    <row r="25" spans="1:4" x14ac:dyDescent="0.25">
      <c r="A25" s="279">
        <f t="shared" si="2"/>
        <v>1000000</v>
      </c>
      <c r="B25" s="273">
        <f t="shared" si="0"/>
        <v>40496.50547128301</v>
      </c>
      <c r="C25" s="280">
        <f t="shared" si="1"/>
        <v>9149780.4461816829</v>
      </c>
    </row>
    <row r="26" spans="1:4" x14ac:dyDescent="0.25">
      <c r="A26" s="279">
        <f t="shared" si="2"/>
        <v>1250000</v>
      </c>
      <c r="B26" s="273">
        <f t="shared" si="0"/>
        <v>46298.141343550837</v>
      </c>
      <c r="C26" s="280">
        <f t="shared" si="1"/>
        <v>10460602.055161877</v>
      </c>
    </row>
    <row r="27" spans="1:4" x14ac:dyDescent="0.25">
      <c r="A27" s="279">
        <f t="shared" si="2"/>
        <v>1500000</v>
      </c>
      <c r="B27" s="273">
        <f t="shared" si="0"/>
        <v>51650.235267800737</v>
      </c>
      <c r="C27" s="280">
        <f t="shared" si="1"/>
        <v>11669854.156406898</v>
      </c>
    </row>
    <row r="28" spans="1:4" x14ac:dyDescent="0.25">
      <c r="A28" s="279">
        <f t="shared" si="2"/>
        <v>1750000</v>
      </c>
      <c r="B28" s="273">
        <f t="shared" si="0"/>
        <v>56655.278384023426</v>
      </c>
      <c r="C28" s="280">
        <f t="shared" si="1"/>
        <v>12800693.598086253</v>
      </c>
    </row>
    <row r="29" spans="1:4" x14ac:dyDescent="0.25">
      <c r="A29" s="279">
        <f t="shared" si="2"/>
        <v>2000000</v>
      </c>
      <c r="B29" s="273">
        <f t="shared" si="0"/>
        <v>61381.22422860263</v>
      </c>
      <c r="C29" s="280">
        <f t="shared" si="1"/>
        <v>13868473.802210478</v>
      </c>
    </row>
    <row r="30" spans="1:4" x14ac:dyDescent="0.25">
      <c r="A30" s="279">
        <f t="shared" si="2"/>
        <v>2250000</v>
      </c>
      <c r="B30" s="273">
        <f t="shared" si="0"/>
        <v>65875.975523639368</v>
      </c>
      <c r="C30" s="280">
        <f t="shared" si="1"/>
        <v>14884017.90981108</v>
      </c>
    </row>
    <row r="31" spans="1:4" x14ac:dyDescent="0.25">
      <c r="A31" s="279">
        <f t="shared" si="2"/>
        <v>2500000</v>
      </c>
      <c r="B31" s="273">
        <f t="shared" si="0"/>
        <v>70174.859833059978</v>
      </c>
      <c r="C31" s="280">
        <f t="shared" si="1"/>
        <v>15855307.830681572</v>
      </c>
    </row>
    <row r="32" spans="1:4" x14ac:dyDescent="0.25">
      <c r="A32" s="279">
        <f t="shared" si="2"/>
        <v>2750000</v>
      </c>
      <c r="B32" s="273">
        <f t="shared" si="0"/>
        <v>74304.850537621896</v>
      </c>
      <c r="C32" s="280">
        <f t="shared" si="1"/>
        <v>16788437.930470292</v>
      </c>
    </row>
    <row r="33" spans="1:3" x14ac:dyDescent="0.25">
      <c r="A33" s="279">
        <f t="shared" si="2"/>
        <v>3000000</v>
      </c>
      <c r="B33" s="273">
        <f t="shared" si="0"/>
        <v>78287.117259565202</v>
      </c>
      <c r="C33" s="280">
        <f t="shared" si="1"/>
        <v>17688191.27362616</v>
      </c>
    </row>
    <row r="34" spans="1:3" x14ac:dyDescent="0.25">
      <c r="A34" s="279">
        <f t="shared" si="2"/>
        <v>3250000</v>
      </c>
      <c r="B34" s="273">
        <f t="shared" si="0"/>
        <v>82138.650862126422</v>
      </c>
      <c r="C34" s="280">
        <f t="shared" si="1"/>
        <v>18558406.775788844</v>
      </c>
    </row>
    <row r="35" spans="1:3" x14ac:dyDescent="0.25">
      <c r="A35" s="279">
        <f t="shared" si="2"/>
        <v>3500000</v>
      </c>
      <c r="B35" s="273">
        <f t="shared" si="0"/>
        <v>85873.344026922772</v>
      </c>
      <c r="C35" s="280">
        <f t="shared" si="1"/>
        <v>19402223.349442933</v>
      </c>
    </row>
    <row r="36" spans="1:3" x14ac:dyDescent="0.25">
      <c r="A36" s="279">
        <f t="shared" si="2"/>
        <v>3750000</v>
      </c>
      <c r="B36" s="273">
        <f t="shared" si="0"/>
        <v>89502.735559065375</v>
      </c>
      <c r="C36" s="280">
        <f t="shared" si="1"/>
        <v>20222248.072215229</v>
      </c>
    </row>
    <row r="37" spans="1:3" x14ac:dyDescent="0.25">
      <c r="A37" s="279">
        <f t="shared" si="2"/>
        <v>4000000</v>
      </c>
      <c r="B37" s="273">
        <f t="shared" si="0"/>
        <v>93036.538435982438</v>
      </c>
      <c r="C37" s="280">
        <f t="shared" si="1"/>
        <v>21020675.494225871</v>
      </c>
    </row>
    <row r="38" spans="1:3" x14ac:dyDescent="0.25">
      <c r="A38" s="279">
        <f t="shared" si="2"/>
        <v>4250000</v>
      </c>
      <c r="B38" s="273">
        <f t="shared" si="0"/>
        <v>96483.023973043382</v>
      </c>
      <c r="C38" s="280">
        <f t="shared" si="1"/>
        <v>21799374.436469421</v>
      </c>
    </row>
    <row r="39" spans="1:3" x14ac:dyDescent="0.25">
      <c r="A39" s="279">
        <f t="shared" si="2"/>
        <v>4500000</v>
      </c>
      <c r="B39" s="273">
        <f t="shared" si="0"/>
        <v>99849.307436213683</v>
      </c>
      <c r="C39" s="280">
        <f t="shared" si="1"/>
        <v>22559952.522138119</v>
      </c>
    </row>
    <row r="40" spans="1:3" x14ac:dyDescent="0.25">
      <c r="A40" s="279">
        <f t="shared" si="2"/>
        <v>4750000</v>
      </c>
      <c r="B40" s="273">
        <f t="shared" si="0"/>
        <v>103141.56443270072</v>
      </c>
      <c r="C40" s="280">
        <f t="shared" si="1"/>
        <v>23303805.067924399</v>
      </c>
    </row>
    <row r="41" spans="1:3" x14ac:dyDescent="0.25">
      <c r="A41" s="279">
        <f t="shared" si="2"/>
        <v>5000000</v>
      </c>
      <c r="B41" s="273">
        <f t="shared" si="0"/>
        <v>106365.19760151411</v>
      </c>
      <c r="C41" s="280">
        <f t="shared" si="1"/>
        <v>24032152.746086098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5B40-75CD-4CE7-AFC6-3E2F6258F466}">
  <sheetPr codeName="Sheet18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245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245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246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1"/>
      <c r="C4" s="482"/>
      <c r="D4" s="482"/>
      <c r="E4" s="482"/>
      <c r="F4" s="483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266">
        <v>0.8</v>
      </c>
      <c r="C6" s="266">
        <v>1.3</v>
      </c>
      <c r="D6" s="98"/>
      <c r="E6" s="98"/>
      <c r="F6" s="98"/>
      <c r="G6" s="98"/>
      <c r="H6" s="98"/>
      <c r="I6" s="98"/>
    </row>
    <row r="7" spans="1:9" x14ac:dyDescent="0.25">
      <c r="A7" s="470" t="s">
        <v>8</v>
      </c>
      <c r="B7" s="475" t="s">
        <v>9</v>
      </c>
      <c r="C7" s="475"/>
      <c r="D7" s="475" t="s">
        <v>12</v>
      </c>
      <c r="E7" s="475"/>
      <c r="F7" s="475"/>
      <c r="G7" s="475" t="s">
        <v>124</v>
      </c>
      <c r="H7" s="475"/>
      <c r="I7" s="480"/>
    </row>
    <row r="8" spans="1:9" x14ac:dyDescent="0.25">
      <c r="A8" s="474"/>
      <c r="B8" s="268" t="s">
        <v>10</v>
      </c>
      <c r="C8" s="268" t="s">
        <v>11</v>
      </c>
      <c r="D8" s="268" t="s">
        <v>20</v>
      </c>
      <c r="E8" s="268" t="s">
        <v>21</v>
      </c>
      <c r="F8" s="268" t="s">
        <v>117</v>
      </c>
      <c r="G8" s="268" t="s">
        <v>22</v>
      </c>
      <c r="H8" s="268" t="s">
        <v>23</v>
      </c>
      <c r="I8" s="4" t="s">
        <v>123</v>
      </c>
    </row>
    <row r="9" spans="1:9" ht="15.75" thickBot="1" x14ac:dyDescent="0.3">
      <c r="A9" s="471"/>
      <c r="B9" s="271">
        <f>VAC_Optim_Scenario!G23</f>
        <v>200000</v>
      </c>
      <c r="C9" s="271">
        <f>VAC_Optim_Scenario!H23</f>
        <v>200000</v>
      </c>
      <c r="D9" s="272">
        <f>VAC_Optim_Scenario!I23</f>
        <v>200000</v>
      </c>
      <c r="E9" s="84">
        <f>((GPDSRCH!D9/$B$12)^$D$12)*$C$12*$F$12</f>
        <v>79531.473375019181</v>
      </c>
      <c r="F9" s="84">
        <f>E9*F11</f>
        <v>79531.473375019181</v>
      </c>
      <c r="G9" s="76">
        <f>VAC_Optim_Scenario!E23</f>
        <v>200000</v>
      </c>
      <c r="H9" s="273">
        <f>((GPDSRCH!G9/$B$12)^$D$12)*$C$12*$F$12</f>
        <v>79531.473375019181</v>
      </c>
      <c r="I9" s="274">
        <f>H9*F11</f>
        <v>79531.473375019181</v>
      </c>
    </row>
    <row r="10" spans="1:9" ht="15.75" thickBot="1" x14ac:dyDescent="0.3"/>
    <row r="11" spans="1:9" ht="48.95" customHeight="1" x14ac:dyDescent="0.25">
      <c r="A11" s="442" t="s">
        <v>15</v>
      </c>
      <c r="B11" s="269" t="s">
        <v>16</v>
      </c>
      <c r="C11" s="269" t="s">
        <v>17</v>
      </c>
      <c r="D11" s="269" t="s">
        <v>235</v>
      </c>
      <c r="E11" s="268" t="s">
        <v>126</v>
      </c>
      <c r="F11" s="275">
        <v>1</v>
      </c>
    </row>
    <row r="12" spans="1:9" ht="40.5" customHeight="1" thickBot="1" x14ac:dyDescent="0.3">
      <c r="A12" s="442"/>
      <c r="B12" s="276">
        <f>'[7]HCC Paid Search - Power'!$B$12</f>
        <v>50000</v>
      </c>
      <c r="C12" s="276">
        <f>'[7]HCC Paid Search - Power'!$C$12</f>
        <v>30136.792938374307</v>
      </c>
      <c r="D12" s="281">
        <f>'[7]HCC Paid Search - Power'!$D$12</f>
        <v>0.7</v>
      </c>
      <c r="E12" s="268" t="s">
        <v>122</v>
      </c>
      <c r="F12" s="277">
        <f>VAC_Optim_Scenario!D23</f>
        <v>1</v>
      </c>
      <c r="G12" s="278">
        <f>B12*2</f>
        <v>100000</v>
      </c>
    </row>
    <row r="13" spans="1:9" ht="18.75" customHeight="1" x14ac:dyDescent="0.25">
      <c r="A13" s="464" t="s">
        <v>236</v>
      </c>
      <c r="B13" s="465"/>
      <c r="C13" s="465"/>
      <c r="D13" s="465"/>
      <c r="E13" s="268" t="s">
        <v>237</v>
      </c>
      <c r="F13" s="268" t="s">
        <v>238</v>
      </c>
    </row>
    <row r="14" spans="1:9" ht="15.75" thickBot="1" x14ac:dyDescent="0.3">
      <c r="A14" s="467"/>
      <c r="B14" s="468"/>
      <c r="C14" s="468"/>
      <c r="D14" s="46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62" t="s">
        <v>34</v>
      </c>
      <c r="B16" s="269" t="s">
        <v>32</v>
      </c>
      <c r="C16" s="269" t="s">
        <v>31</v>
      </c>
      <c r="D16" s="270" t="s">
        <v>33</v>
      </c>
    </row>
    <row r="17" spans="1:4" ht="15.75" thickBot="1" x14ac:dyDescent="0.3">
      <c r="A17" s="463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42" t="s">
        <v>37</v>
      </c>
      <c r="B19" s="442"/>
      <c r="C19" s="442"/>
      <c r="D19" s="98"/>
    </row>
    <row r="20" spans="1:4" ht="25.5" x14ac:dyDescent="0.25">
      <c r="A20" s="268" t="s">
        <v>35</v>
      </c>
      <c r="B20" s="268" t="s">
        <v>164</v>
      </c>
      <c r="C20" s="268" t="s">
        <v>239</v>
      </c>
    </row>
    <row r="21" spans="1:4" x14ac:dyDescent="0.25">
      <c r="A21" s="279">
        <f>B17</f>
        <v>0</v>
      </c>
      <c r="B21" s="273">
        <f>((A21/$B$12)^$D$12)*$C$12</f>
        <v>0</v>
      </c>
      <c r="C21" s="280">
        <f>B21*$F$14</f>
        <v>0</v>
      </c>
    </row>
    <row r="22" spans="1:4" x14ac:dyDescent="0.25">
      <c r="A22" s="279">
        <f>A21+(($C$17-$B$17)/$D$17)</f>
        <v>250000</v>
      </c>
      <c r="B22" s="273">
        <f t="shared" ref="B22:B41" si="0">((A22/$B$12)^$D$12)*$C$12</f>
        <v>92977.108783791031</v>
      </c>
      <c r="C22" s="280">
        <f t="shared" ref="C22:C41" si="1">B22*$F$14</f>
        <v>21007247.958609745</v>
      </c>
    </row>
    <row r="23" spans="1:4" x14ac:dyDescent="0.25">
      <c r="A23" s="279">
        <f t="shared" ref="A23:A41" si="2">A22+(($C$17-$B$17)/$D$17)</f>
        <v>500000</v>
      </c>
      <c r="B23" s="273">
        <f t="shared" si="0"/>
        <v>151041.75883181734</v>
      </c>
      <c r="C23" s="280">
        <f t="shared" si="1"/>
        <v>34126374.990460806</v>
      </c>
    </row>
    <row r="24" spans="1:4" x14ac:dyDescent="0.25">
      <c r="A24" s="279">
        <f t="shared" si="2"/>
        <v>750000</v>
      </c>
      <c r="B24" s="273">
        <f t="shared" si="0"/>
        <v>200613.85136364179</v>
      </c>
      <c r="C24" s="280">
        <f t="shared" si="1"/>
        <v>45326693.577101223</v>
      </c>
    </row>
    <row r="25" spans="1:4" x14ac:dyDescent="0.25">
      <c r="A25" s="279">
        <f t="shared" si="2"/>
        <v>1000000</v>
      </c>
      <c r="B25" s="273">
        <f t="shared" si="0"/>
        <v>245368.06112200834</v>
      </c>
      <c r="C25" s="280">
        <f t="shared" si="1"/>
        <v>55438459.729906566</v>
      </c>
    </row>
    <row r="26" spans="1:4" x14ac:dyDescent="0.25">
      <c r="A26" s="279">
        <f t="shared" si="2"/>
        <v>1250000</v>
      </c>
      <c r="B26" s="273">
        <f t="shared" si="0"/>
        <v>286850.12288700556</v>
      </c>
      <c r="C26" s="280">
        <f t="shared" si="1"/>
        <v>64810916.765090033</v>
      </c>
    </row>
    <row r="27" spans="1:4" x14ac:dyDescent="0.25">
      <c r="A27" s="279">
        <f t="shared" si="2"/>
        <v>1500000</v>
      </c>
      <c r="B27" s="273">
        <f t="shared" si="0"/>
        <v>325898.16302474338</v>
      </c>
      <c r="C27" s="280">
        <f t="shared" si="1"/>
        <v>73633430.953810513</v>
      </c>
    </row>
    <row r="28" spans="1:4" x14ac:dyDescent="0.25">
      <c r="A28" s="279">
        <f t="shared" si="2"/>
        <v>1750000</v>
      </c>
      <c r="B28" s="273">
        <f t="shared" si="0"/>
        <v>363031.79685998178</v>
      </c>
      <c r="C28" s="280">
        <f t="shared" si="1"/>
        <v>82023404.182544276</v>
      </c>
    </row>
    <row r="29" spans="1:4" x14ac:dyDescent="0.25">
      <c r="A29" s="279">
        <f t="shared" si="2"/>
        <v>2000000</v>
      </c>
      <c r="B29" s="273">
        <f t="shared" si="0"/>
        <v>398601.59127126914</v>
      </c>
      <c r="C29" s="280">
        <f t="shared" si="1"/>
        <v>90060043.531830549</v>
      </c>
    </row>
    <row r="30" spans="1:4" x14ac:dyDescent="0.25">
      <c r="A30" s="279">
        <f t="shared" si="2"/>
        <v>2250000</v>
      </c>
      <c r="B30" s="273">
        <f t="shared" si="0"/>
        <v>432858.34422471898</v>
      </c>
      <c r="C30" s="280">
        <f t="shared" si="1"/>
        <v>97800014.294133008</v>
      </c>
    </row>
    <row r="31" spans="1:4" x14ac:dyDescent="0.25">
      <c r="A31" s="279">
        <f t="shared" si="2"/>
        <v>2500000</v>
      </c>
      <c r="B31" s="273">
        <f t="shared" si="0"/>
        <v>465989.39942010184</v>
      </c>
      <c r="C31" s="280">
        <f t="shared" si="1"/>
        <v>105285644.90497781</v>
      </c>
    </row>
    <row r="32" spans="1:4" x14ac:dyDescent="0.25">
      <c r="A32" s="279">
        <f t="shared" si="2"/>
        <v>2750000</v>
      </c>
      <c r="B32" s="273">
        <f t="shared" si="0"/>
        <v>498139.42698482808</v>
      </c>
      <c r="C32" s="280">
        <f t="shared" si="1"/>
        <v>112549622.13295205</v>
      </c>
    </row>
    <row r="33" spans="1:3" x14ac:dyDescent="0.25">
      <c r="A33" s="279">
        <f t="shared" si="2"/>
        <v>3000000</v>
      </c>
      <c r="B33" s="273">
        <f t="shared" si="0"/>
        <v>529423.1277698857</v>
      </c>
      <c r="C33" s="280">
        <f t="shared" si="1"/>
        <v>119617861.48832798</v>
      </c>
    </row>
    <row r="34" spans="1:3" x14ac:dyDescent="0.25">
      <c r="A34" s="279">
        <f t="shared" si="2"/>
        <v>3250000</v>
      </c>
      <c r="B34" s="273">
        <f t="shared" si="0"/>
        <v>559933.41281318781</v>
      </c>
      <c r="C34" s="280">
        <f t="shared" si="1"/>
        <v>126511355.29101165</v>
      </c>
    </row>
    <row r="35" spans="1:3" x14ac:dyDescent="0.25">
      <c r="A35" s="279">
        <f t="shared" si="2"/>
        <v>3500000</v>
      </c>
      <c r="B35" s="273">
        <f t="shared" si="0"/>
        <v>589746.89390606096</v>
      </c>
      <c r="C35" s="280">
        <f t="shared" si="1"/>
        <v>133247413.20913541</v>
      </c>
    </row>
    <row r="36" spans="1:3" x14ac:dyDescent="0.25">
      <c r="A36" s="279">
        <f t="shared" si="2"/>
        <v>3750000</v>
      </c>
      <c r="B36" s="273">
        <f t="shared" si="0"/>
        <v>618927.69811022875</v>
      </c>
      <c r="C36" s="280">
        <f t="shared" si="1"/>
        <v>139840524.11102509</v>
      </c>
    </row>
    <row r="37" spans="1:3" x14ac:dyDescent="0.25">
      <c r="A37" s="279">
        <f t="shared" si="2"/>
        <v>4000000</v>
      </c>
      <c r="B37" s="273">
        <f t="shared" si="0"/>
        <v>647530.19540299417</v>
      </c>
      <c r="C37" s="280">
        <f t="shared" si="1"/>
        <v>146302972.34935251</v>
      </c>
    </row>
    <row r="38" spans="1:3" x14ac:dyDescent="0.25">
      <c r="A38" s="279">
        <f t="shared" si="2"/>
        <v>4250000</v>
      </c>
      <c r="B38" s="273">
        <f t="shared" si="0"/>
        <v>675600.99762631929</v>
      </c>
      <c r="C38" s="280">
        <f t="shared" si="1"/>
        <v>152645289.40369058</v>
      </c>
    </row>
    <row r="39" spans="1:3" x14ac:dyDescent="0.25">
      <c r="A39" s="279">
        <f t="shared" si="2"/>
        <v>4500000</v>
      </c>
      <c r="B39" s="273">
        <f t="shared" si="0"/>
        <v>703180.45475864061</v>
      </c>
      <c r="C39" s="280">
        <f t="shared" si="1"/>
        <v>158876591.94816726</v>
      </c>
    </row>
    <row r="40" spans="1:3" x14ac:dyDescent="0.25">
      <c r="A40" s="279">
        <f t="shared" si="2"/>
        <v>4750000</v>
      </c>
      <c r="B40" s="273">
        <f t="shared" si="0"/>
        <v>730303.79577039415</v>
      </c>
      <c r="C40" s="280">
        <f t="shared" si="1"/>
        <v>165004839.61636284</v>
      </c>
    </row>
    <row r="41" spans="1:3" x14ac:dyDescent="0.25">
      <c r="A41" s="279">
        <f t="shared" si="2"/>
        <v>5000000</v>
      </c>
      <c r="B41" s="273">
        <f t="shared" si="0"/>
        <v>757002.0127111614</v>
      </c>
      <c r="C41" s="280">
        <f t="shared" si="1"/>
        <v>171037034.7519598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4B61-7A15-400D-8FBE-269730C1AEA5}">
  <sheetPr codeName="Sheet12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247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247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248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1"/>
      <c r="C4" s="482"/>
      <c r="D4" s="482"/>
      <c r="E4" s="482"/>
      <c r="F4" s="483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266">
        <v>0.8</v>
      </c>
      <c r="C6" s="266">
        <v>1.3</v>
      </c>
      <c r="D6" s="98"/>
      <c r="E6" s="98"/>
      <c r="F6" s="98"/>
      <c r="G6" s="98"/>
      <c r="H6" s="98"/>
      <c r="I6" s="98"/>
    </row>
    <row r="7" spans="1:9" x14ac:dyDescent="0.25">
      <c r="A7" s="470" t="s">
        <v>8</v>
      </c>
      <c r="B7" s="475" t="s">
        <v>9</v>
      </c>
      <c r="C7" s="475"/>
      <c r="D7" s="475" t="s">
        <v>12</v>
      </c>
      <c r="E7" s="475"/>
      <c r="F7" s="475"/>
      <c r="G7" s="475" t="s">
        <v>124</v>
      </c>
      <c r="H7" s="475"/>
      <c r="I7" s="480"/>
    </row>
    <row r="8" spans="1:9" x14ac:dyDescent="0.25">
      <c r="A8" s="474"/>
      <c r="B8" s="268" t="s">
        <v>10</v>
      </c>
      <c r="C8" s="268" t="s">
        <v>11</v>
      </c>
      <c r="D8" s="268" t="s">
        <v>20</v>
      </c>
      <c r="E8" s="268" t="s">
        <v>21</v>
      </c>
      <c r="F8" s="268" t="s">
        <v>117</v>
      </c>
      <c r="G8" s="268" t="s">
        <v>22</v>
      </c>
      <c r="H8" s="268" t="s">
        <v>23</v>
      </c>
      <c r="I8" s="4" t="s">
        <v>123</v>
      </c>
    </row>
    <row r="9" spans="1:9" ht="15.75" thickBot="1" x14ac:dyDescent="0.3">
      <c r="A9" s="471"/>
      <c r="B9" s="271">
        <f>VAC_Optim_Scenario!G24</f>
        <v>2310000</v>
      </c>
      <c r="C9" s="271">
        <f>VAC_Optim_Scenario!H24</f>
        <v>2310000</v>
      </c>
      <c r="D9" s="272">
        <f>VAC_Optim_Scenario!I24</f>
        <v>2310000</v>
      </c>
      <c r="E9" s="84">
        <f>((GAUDIO!D9/$B$12)^$D$12)*$C$12*$F$12</f>
        <v>38349.628090983118</v>
      </c>
      <c r="F9" s="84">
        <f>E9*F11</f>
        <v>38349.628090983118</v>
      </c>
      <c r="G9" s="76">
        <f>VAC_Optim_Scenario!E24</f>
        <v>2310000</v>
      </c>
      <c r="H9" s="273">
        <f>((GAUDIO!G9/$B$12)^$D$12)*$C$12*$F$12</f>
        <v>38349.628090983118</v>
      </c>
      <c r="I9" s="274">
        <f>H9*F11</f>
        <v>38349.628090983118</v>
      </c>
    </row>
    <row r="10" spans="1:9" ht="15.75" thickBot="1" x14ac:dyDescent="0.3"/>
    <row r="11" spans="1:9" ht="48.95" customHeight="1" x14ac:dyDescent="0.25">
      <c r="A11" s="442" t="s">
        <v>15</v>
      </c>
      <c r="B11" s="269" t="s">
        <v>16</v>
      </c>
      <c r="C11" s="269" t="s">
        <v>17</v>
      </c>
      <c r="D11" s="269" t="s">
        <v>235</v>
      </c>
      <c r="E11" s="268" t="s">
        <v>126</v>
      </c>
      <c r="F11" s="275">
        <v>1</v>
      </c>
    </row>
    <row r="12" spans="1:9" ht="40.5" customHeight="1" thickBot="1" x14ac:dyDescent="0.3">
      <c r="A12" s="442"/>
      <c r="B12" s="276">
        <f>'[8]Radio - Power'!$B$12</f>
        <v>923975</v>
      </c>
      <c r="C12" s="276">
        <f>'[8]Radio - Power'!$C$12</f>
        <v>26581.559263521289</v>
      </c>
      <c r="D12" s="281">
        <f>'[8]Radio - Power'!$D$12</f>
        <v>0.4</v>
      </c>
      <c r="E12" s="268" t="s">
        <v>122</v>
      </c>
      <c r="F12" s="277">
        <f>VAC_Optim_Scenario!D24</f>
        <v>1</v>
      </c>
      <c r="G12" s="278">
        <f>B12*2</f>
        <v>1847950</v>
      </c>
    </row>
    <row r="13" spans="1:9" ht="18.75" customHeight="1" x14ac:dyDescent="0.25">
      <c r="A13" s="464" t="s">
        <v>236</v>
      </c>
      <c r="B13" s="465"/>
      <c r="C13" s="465"/>
      <c r="D13" s="465"/>
      <c r="E13" s="268" t="s">
        <v>237</v>
      </c>
      <c r="F13" s="268" t="s">
        <v>238</v>
      </c>
    </row>
    <row r="14" spans="1:9" ht="15.75" thickBot="1" x14ac:dyDescent="0.3">
      <c r="A14" s="467"/>
      <c r="B14" s="468"/>
      <c r="C14" s="468"/>
      <c r="D14" s="46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62" t="s">
        <v>34</v>
      </c>
      <c r="B16" s="269" t="s">
        <v>32</v>
      </c>
      <c r="C16" s="269" t="s">
        <v>31</v>
      </c>
      <c r="D16" s="270" t="s">
        <v>33</v>
      </c>
    </row>
    <row r="17" spans="1:5" ht="15.75" thickBot="1" x14ac:dyDescent="0.3">
      <c r="A17" s="463"/>
      <c r="B17" s="76">
        <v>0</v>
      </c>
      <c r="C17" s="76">
        <v>5000000</v>
      </c>
      <c r="D17" s="26">
        <v>20</v>
      </c>
    </row>
    <row r="18" spans="1:5" x14ac:dyDescent="0.25">
      <c r="A18" s="98"/>
      <c r="B18" s="98"/>
      <c r="C18" s="98"/>
      <c r="D18" s="98"/>
    </row>
    <row r="19" spans="1:5" x14ac:dyDescent="0.25">
      <c r="A19" s="442" t="s">
        <v>37</v>
      </c>
      <c r="B19" s="442"/>
      <c r="C19" s="442"/>
      <c r="D19" s="98"/>
    </row>
    <row r="20" spans="1:5" ht="25.5" x14ac:dyDescent="0.25">
      <c r="A20" s="268" t="s">
        <v>35</v>
      </c>
      <c r="B20" s="268" t="s">
        <v>164</v>
      </c>
      <c r="C20" s="268" t="s">
        <v>239</v>
      </c>
    </row>
    <row r="21" spans="1:5" x14ac:dyDescent="0.25">
      <c r="A21" s="279">
        <f>B17</f>
        <v>0</v>
      </c>
      <c r="B21" s="273">
        <f>((A21/$B$12)^$D$12)*$C$12</f>
        <v>0</v>
      </c>
      <c r="C21" s="280">
        <f>B21*$F$14</f>
        <v>0</v>
      </c>
    </row>
    <row r="22" spans="1:5" x14ac:dyDescent="0.25">
      <c r="A22" s="279">
        <f>A21+(($C$17-$B$17)/$D$17)</f>
        <v>250000</v>
      </c>
      <c r="B22" s="273">
        <f t="shared" ref="B22:B41" si="0">((A22/$B$12)^$D$12)*$C$12</f>
        <v>15757.683313448728</v>
      </c>
      <c r="C22" s="280">
        <f t="shared" ref="C22:C41" si="1">B22*$F$14</f>
        <v>3560290.9678406054</v>
      </c>
    </row>
    <row r="23" spans="1:5" x14ac:dyDescent="0.25">
      <c r="A23" s="279">
        <f t="shared" ref="A23:A41" si="2">A22+(($C$17-$B$17)/$D$17)</f>
        <v>500000</v>
      </c>
      <c r="B23" s="273">
        <f t="shared" si="0"/>
        <v>20792.387787549629</v>
      </c>
      <c r="C23" s="280">
        <f t="shared" si="1"/>
        <v>4697832.0967189632</v>
      </c>
    </row>
    <row r="24" spans="1:5" x14ac:dyDescent="0.25">
      <c r="A24" s="279">
        <f t="shared" si="2"/>
        <v>750000</v>
      </c>
      <c r="B24" s="273">
        <f t="shared" si="0"/>
        <v>24453.49110513533</v>
      </c>
      <c r="C24" s="280">
        <f t="shared" si="1"/>
        <v>5525021.7802942768</v>
      </c>
    </row>
    <row r="25" spans="1:5" x14ac:dyDescent="0.25">
      <c r="A25" s="279">
        <f t="shared" si="2"/>
        <v>1000000</v>
      </c>
      <c r="B25" s="273">
        <f t="shared" si="0"/>
        <v>27435.720169529453</v>
      </c>
      <c r="C25" s="280">
        <f t="shared" si="1"/>
        <v>6198826.6151034851</v>
      </c>
      <c r="E25" s="97">
        <f>(C25-C24)/(A25-A24)</f>
        <v>2.6952193392368331</v>
      </c>
    </row>
    <row r="26" spans="1:5" x14ac:dyDescent="0.25">
      <c r="A26" s="279">
        <f t="shared" si="2"/>
        <v>1250000</v>
      </c>
      <c r="B26" s="273">
        <f t="shared" si="0"/>
        <v>29997.175904684151</v>
      </c>
      <c r="C26" s="280">
        <f t="shared" si="1"/>
        <v>6777561.923904337</v>
      </c>
    </row>
    <row r="27" spans="1:5" x14ac:dyDescent="0.25">
      <c r="A27" s="279">
        <f t="shared" si="2"/>
        <v>1500000</v>
      </c>
      <c r="B27" s="273">
        <f t="shared" si="0"/>
        <v>32266.574959240672</v>
      </c>
      <c r="C27" s="280">
        <f t="shared" si="1"/>
        <v>7290309.9462908376</v>
      </c>
      <c r="E27" s="97">
        <f>(C27-C26)/(A27-A26)</f>
        <v>2.0509920895460025</v>
      </c>
    </row>
    <row r="28" spans="1:5" x14ac:dyDescent="0.25">
      <c r="A28" s="279">
        <f t="shared" si="2"/>
        <v>1750000</v>
      </c>
      <c r="B28" s="273">
        <f t="shared" si="0"/>
        <v>34318.759723325085</v>
      </c>
      <c r="C28" s="280">
        <f t="shared" si="1"/>
        <v>7753980.5718880696</v>
      </c>
    </row>
    <row r="29" spans="1:5" x14ac:dyDescent="0.25">
      <c r="A29" s="279">
        <f t="shared" si="2"/>
        <v>2000000</v>
      </c>
      <c r="B29" s="273">
        <f t="shared" si="0"/>
        <v>36201.649801445565</v>
      </c>
      <c r="C29" s="280">
        <f t="shared" si="1"/>
        <v>8179400.7561386107</v>
      </c>
    </row>
    <row r="30" spans="1:5" x14ac:dyDescent="0.25">
      <c r="A30" s="279">
        <f t="shared" si="2"/>
        <v>2250000</v>
      </c>
      <c r="B30" s="273">
        <f t="shared" si="0"/>
        <v>37948.041938282877</v>
      </c>
      <c r="C30" s="280">
        <f t="shared" si="1"/>
        <v>8573980.5955356322</v>
      </c>
    </row>
    <row r="31" spans="1:5" x14ac:dyDescent="0.25">
      <c r="A31" s="279">
        <f t="shared" si="2"/>
        <v>2500000</v>
      </c>
      <c r="B31" s="273">
        <f t="shared" si="0"/>
        <v>39581.510907076787</v>
      </c>
      <c r="C31" s="280">
        <f t="shared" si="1"/>
        <v>8943046.5743449293</v>
      </c>
    </row>
    <row r="32" spans="1:5" x14ac:dyDescent="0.25">
      <c r="A32" s="279">
        <f t="shared" si="2"/>
        <v>2750000</v>
      </c>
      <c r="B32" s="273">
        <f t="shared" si="0"/>
        <v>41119.653101601129</v>
      </c>
      <c r="C32" s="280">
        <f t="shared" si="1"/>
        <v>9290574.4217757583</v>
      </c>
    </row>
    <row r="33" spans="1:3" x14ac:dyDescent="0.25">
      <c r="A33" s="279">
        <f t="shared" si="2"/>
        <v>3000000</v>
      </c>
      <c r="B33" s="273">
        <f t="shared" si="0"/>
        <v>42576.000912264644</v>
      </c>
      <c r="C33" s="280">
        <f t="shared" si="1"/>
        <v>9619621.6461170744</v>
      </c>
    </row>
    <row r="34" spans="1:3" x14ac:dyDescent="0.25">
      <c r="A34" s="279">
        <f t="shared" si="2"/>
        <v>3250000</v>
      </c>
      <c r="B34" s="273">
        <f t="shared" si="0"/>
        <v>43961.217233910902</v>
      </c>
      <c r="C34" s="280">
        <f t="shared" si="1"/>
        <v>9932597.421829829</v>
      </c>
    </row>
    <row r="35" spans="1:3" x14ac:dyDescent="0.25">
      <c r="A35" s="279">
        <f t="shared" si="2"/>
        <v>3500000</v>
      </c>
      <c r="B35" s="273">
        <f t="shared" si="0"/>
        <v>45283.874942841634</v>
      </c>
      <c r="C35" s="280">
        <f t="shared" si="1"/>
        <v>10231438.704585638</v>
      </c>
    </row>
    <row r="36" spans="1:3" x14ac:dyDescent="0.25">
      <c r="A36" s="279">
        <f t="shared" si="2"/>
        <v>3750000</v>
      </c>
      <c r="B36" s="273">
        <f t="shared" si="0"/>
        <v>46550.984657644571</v>
      </c>
      <c r="C36" s="280">
        <f t="shared" si="1"/>
        <v>10517729.473548215</v>
      </c>
    </row>
    <row r="37" spans="1:3" x14ac:dyDescent="0.25">
      <c r="A37" s="279">
        <f t="shared" si="2"/>
        <v>4000000</v>
      </c>
      <c r="B37" s="273">
        <f t="shared" si="0"/>
        <v>47768.363296037402</v>
      </c>
      <c r="C37" s="280">
        <f t="shared" si="1"/>
        <v>10792784.003106691</v>
      </c>
    </row>
    <row r="38" spans="1:3" x14ac:dyDescent="0.25">
      <c r="A38" s="279">
        <f t="shared" si="2"/>
        <v>4250000</v>
      </c>
      <c r="B38" s="273">
        <f t="shared" si="0"/>
        <v>48940.898319309759</v>
      </c>
      <c r="C38" s="280">
        <f t="shared" si="1"/>
        <v>11057706.566264847</v>
      </c>
    </row>
    <row r="39" spans="1:3" x14ac:dyDescent="0.25">
      <c r="A39" s="279">
        <f t="shared" si="2"/>
        <v>4500000</v>
      </c>
      <c r="B39" s="273">
        <f t="shared" si="0"/>
        <v>50072.741535905814</v>
      </c>
      <c r="C39" s="280">
        <f t="shared" si="1"/>
        <v>11313435.22262256</v>
      </c>
    </row>
    <row r="40" spans="1:3" x14ac:dyDescent="0.25">
      <c r="A40" s="279">
        <f t="shared" si="2"/>
        <v>4750000</v>
      </c>
      <c r="B40" s="273">
        <f t="shared" si="0"/>
        <v>51167.454079337178</v>
      </c>
      <c r="C40" s="280">
        <f t="shared" si="1"/>
        <v>11560774.574685441</v>
      </c>
    </row>
    <row r="41" spans="1:3" x14ac:dyDescent="0.25">
      <c r="A41" s="279">
        <f t="shared" si="2"/>
        <v>5000000</v>
      </c>
      <c r="B41" s="273">
        <f t="shared" si="0"/>
        <v>52228.116762231417</v>
      </c>
      <c r="C41" s="280">
        <f t="shared" si="1"/>
        <v>11800420.701258566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47AC-B2DF-4B3E-A614-6BCC2BC38DA4}">
  <sheetPr codeName="Sheet15">
    <tabColor theme="3" tint="0.79998168889431442"/>
  </sheetPr>
  <dimension ref="A1:I50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249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249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250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1"/>
      <c r="C4" s="482"/>
      <c r="D4" s="482"/>
      <c r="E4" s="482"/>
      <c r="F4" s="483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266">
        <v>0.8</v>
      </c>
      <c r="C6" s="266">
        <v>1.3</v>
      </c>
      <c r="D6" s="98"/>
      <c r="E6" s="98"/>
      <c r="F6" s="98"/>
      <c r="G6" s="98"/>
      <c r="H6" s="98"/>
      <c r="I6" s="98"/>
    </row>
    <row r="7" spans="1:9" x14ac:dyDescent="0.25">
      <c r="A7" s="470" t="s">
        <v>8</v>
      </c>
      <c r="B7" s="475" t="s">
        <v>9</v>
      </c>
      <c r="C7" s="475"/>
      <c r="D7" s="475" t="s">
        <v>12</v>
      </c>
      <c r="E7" s="475"/>
      <c r="F7" s="475"/>
      <c r="G7" s="475" t="s">
        <v>124</v>
      </c>
      <c r="H7" s="475"/>
      <c r="I7" s="480"/>
    </row>
    <row r="8" spans="1:9" x14ac:dyDescent="0.25">
      <c r="A8" s="474"/>
      <c r="B8" s="268" t="s">
        <v>10</v>
      </c>
      <c r="C8" s="268" t="s">
        <v>11</v>
      </c>
      <c r="D8" s="268" t="s">
        <v>20</v>
      </c>
      <c r="E8" s="268" t="s">
        <v>21</v>
      </c>
      <c r="F8" s="268" t="s">
        <v>117</v>
      </c>
      <c r="G8" s="268" t="s">
        <v>22</v>
      </c>
      <c r="H8" s="268" t="s">
        <v>23</v>
      </c>
      <c r="I8" s="4" t="s">
        <v>123</v>
      </c>
    </row>
    <row r="9" spans="1:9" ht="15.75" thickBot="1" x14ac:dyDescent="0.3">
      <c r="A9" s="471"/>
      <c r="B9" s="271">
        <f>VAC_Optim_Scenario!G25</f>
        <v>26842192.700000003</v>
      </c>
      <c r="C9" s="271">
        <f>VAC_Optim_Scenario!H25</f>
        <v>26842192.700000003</v>
      </c>
      <c r="D9" s="272">
        <f>VAC_Optim_Scenario!I25</f>
        <v>26842192.700000003</v>
      </c>
      <c r="E9" s="84">
        <f>((GLINEARTV!D9/$B$12)^$D$12)*$C$12*$F$12</f>
        <v>173193.09831584877</v>
      </c>
      <c r="F9" s="84">
        <f>E9*F11</f>
        <v>173193.09831584877</v>
      </c>
      <c r="G9" s="76">
        <f>VAC_Optim_Scenario!E25</f>
        <v>26842192.700000003</v>
      </c>
      <c r="H9" s="273">
        <f>((GLINEARTV!G9/$B$12)^$D$12)*$C$12*$F$12</f>
        <v>173193.09831584877</v>
      </c>
      <c r="I9" s="274">
        <f>H9*F11</f>
        <v>173193.09831584877</v>
      </c>
    </row>
    <row r="10" spans="1:9" ht="15.75" thickBot="1" x14ac:dyDescent="0.3"/>
    <row r="11" spans="1:9" ht="48.95" customHeight="1" x14ac:dyDescent="0.25">
      <c r="A11" s="442" t="s">
        <v>15</v>
      </c>
      <c r="B11" s="269" t="s">
        <v>16</v>
      </c>
      <c r="C11" s="269" t="s">
        <v>17</v>
      </c>
      <c r="D11" s="269" t="s">
        <v>235</v>
      </c>
      <c r="E11" s="268" t="s">
        <v>126</v>
      </c>
      <c r="F11" s="275">
        <v>1</v>
      </c>
    </row>
    <row r="12" spans="1:9" ht="40.5" customHeight="1" thickBot="1" x14ac:dyDescent="0.3">
      <c r="A12" s="442"/>
      <c r="B12" s="276">
        <f>'[9]TV - Power'!$B$12</f>
        <v>25810928.600000001</v>
      </c>
      <c r="C12" s="276">
        <f>'[9]TV - Power'!$C$12</f>
        <v>168508.00202805389</v>
      </c>
      <c r="D12" s="281">
        <f>'[9]TV - Power'!$D$12</f>
        <v>0.7</v>
      </c>
      <c r="E12" s="268" t="s">
        <v>122</v>
      </c>
      <c r="F12" s="277">
        <f>VAC_Optim_Scenario!D25</f>
        <v>1</v>
      </c>
      <c r="G12" s="278">
        <f>B12*2</f>
        <v>51621857.200000003</v>
      </c>
    </row>
    <row r="13" spans="1:9" ht="18.75" customHeight="1" x14ac:dyDescent="0.25">
      <c r="A13" s="464" t="s">
        <v>236</v>
      </c>
      <c r="B13" s="465"/>
      <c r="C13" s="465"/>
      <c r="D13" s="465"/>
      <c r="E13" s="268" t="s">
        <v>237</v>
      </c>
      <c r="F13" s="268" t="s">
        <v>238</v>
      </c>
    </row>
    <row r="14" spans="1:9" ht="15.75" thickBot="1" x14ac:dyDescent="0.3">
      <c r="A14" s="467"/>
      <c r="B14" s="468"/>
      <c r="C14" s="468"/>
      <c r="D14" s="46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62" t="s">
        <v>34</v>
      </c>
      <c r="B16" s="269" t="s">
        <v>32</v>
      </c>
      <c r="C16" s="269" t="s">
        <v>31</v>
      </c>
      <c r="D16" s="270" t="s">
        <v>33</v>
      </c>
    </row>
    <row r="17" spans="1:4" ht="15.75" thickBot="1" x14ac:dyDescent="0.3">
      <c r="A17" s="463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42" t="s">
        <v>37</v>
      </c>
      <c r="B19" s="442"/>
      <c r="C19" s="442"/>
      <c r="D19" s="98"/>
    </row>
    <row r="20" spans="1:4" ht="25.5" x14ac:dyDescent="0.25">
      <c r="A20" s="268" t="s">
        <v>35</v>
      </c>
      <c r="B20" s="268" t="s">
        <v>164</v>
      </c>
      <c r="C20" s="268" t="s">
        <v>239</v>
      </c>
    </row>
    <row r="21" spans="1:4" x14ac:dyDescent="0.25">
      <c r="A21" s="279">
        <f>B17</f>
        <v>0</v>
      </c>
      <c r="B21" s="273">
        <f>((A21/$B$12)^$D$12)*$C$12*F$12</f>
        <v>0</v>
      </c>
      <c r="C21" s="280">
        <f>B21*$F$14</f>
        <v>0</v>
      </c>
    </row>
    <row r="22" spans="1:4" x14ac:dyDescent="0.25">
      <c r="A22" s="279">
        <f>A21+(($C$17-$B$17)/$D$17)</f>
        <v>1500000</v>
      </c>
      <c r="B22" s="273">
        <f t="shared" ref="B22:B50" si="0">((A22/$B$12)^$D$12)*$C$12*F$12</f>
        <v>22994.388781683774</v>
      </c>
      <c r="C22" s="280">
        <f t="shared" ref="C22:C41" si="1">B22*$F$14</f>
        <v>5195352.2013336318</v>
      </c>
    </row>
    <row r="23" spans="1:4" x14ac:dyDescent="0.25">
      <c r="A23" s="279">
        <f t="shared" ref="A23:A50" si="2">A22+(($C$17-$B$17)/$D$17)</f>
        <v>3000000</v>
      </c>
      <c r="B23" s="273">
        <f t="shared" si="0"/>
        <v>37354.494781339148</v>
      </c>
      <c r="C23" s="280">
        <f t="shared" si="1"/>
        <v>8439874.5508957673</v>
      </c>
    </row>
    <row r="24" spans="1:4" x14ac:dyDescent="0.25">
      <c r="A24" s="279">
        <f t="shared" si="2"/>
        <v>4500000</v>
      </c>
      <c r="B24" s="273">
        <f t="shared" si="0"/>
        <v>49614.286286031464</v>
      </c>
      <c r="C24" s="280">
        <f t="shared" si="1"/>
        <v>11209851.843465948</v>
      </c>
    </row>
    <row r="25" spans="1:4" x14ac:dyDescent="0.25">
      <c r="A25" s="279">
        <f t="shared" si="2"/>
        <v>6000000</v>
      </c>
      <c r="B25" s="273">
        <f t="shared" si="0"/>
        <v>60682.555801638446</v>
      </c>
      <c r="C25" s="280">
        <f t="shared" si="1"/>
        <v>13710616.65782219</v>
      </c>
    </row>
    <row r="26" spans="1:4" x14ac:dyDescent="0.25">
      <c r="A26" s="279">
        <f t="shared" si="2"/>
        <v>7500000</v>
      </c>
      <c r="B26" s="273">
        <f t="shared" si="0"/>
        <v>70941.582654239959</v>
      </c>
      <c r="C26" s="280">
        <f t="shared" si="1"/>
        <v>16028541.184898976</v>
      </c>
    </row>
    <row r="27" spans="1:4" x14ac:dyDescent="0.25">
      <c r="A27" s="279">
        <f t="shared" si="2"/>
        <v>9000000</v>
      </c>
      <c r="B27" s="273">
        <f t="shared" si="0"/>
        <v>80598.645858666729</v>
      </c>
      <c r="C27" s="280">
        <f t="shared" si="1"/>
        <v>18210458.045307159</v>
      </c>
    </row>
    <row r="28" spans="1:4" x14ac:dyDescent="0.25">
      <c r="A28" s="279">
        <f t="shared" si="2"/>
        <v>10500000</v>
      </c>
      <c r="B28" s="273">
        <f t="shared" si="0"/>
        <v>89782.252710432149</v>
      </c>
      <c r="C28" s="280">
        <f t="shared" si="1"/>
        <v>20285402.177395038</v>
      </c>
    </row>
    <row r="29" spans="1:4" x14ac:dyDescent="0.25">
      <c r="A29" s="279">
        <f t="shared" si="2"/>
        <v>12000000</v>
      </c>
      <c r="B29" s="273">
        <f t="shared" si="0"/>
        <v>98579.102733803622</v>
      </c>
      <c r="C29" s="280">
        <f t="shared" si="1"/>
        <v>22272962.47167559</v>
      </c>
    </row>
    <row r="30" spans="1:4" x14ac:dyDescent="0.25">
      <c r="A30" s="279">
        <f t="shared" si="2"/>
        <v>13500000</v>
      </c>
      <c r="B30" s="273">
        <f t="shared" si="0"/>
        <v>107051.22136723484</v>
      </c>
      <c r="C30" s="280">
        <f t="shared" si="1"/>
        <v>24187152.955713041</v>
      </c>
    </row>
    <row r="31" spans="1:4" x14ac:dyDescent="0.25">
      <c r="A31" s="279">
        <f t="shared" si="2"/>
        <v>15000000</v>
      </c>
      <c r="B31" s="273">
        <f t="shared" si="0"/>
        <v>115244.9410244207</v>
      </c>
      <c r="C31" s="280">
        <f t="shared" si="1"/>
        <v>26038441.975057613</v>
      </c>
    </row>
    <row r="32" spans="1:4" x14ac:dyDescent="0.25">
      <c r="A32" s="279">
        <f t="shared" si="2"/>
        <v>16500000</v>
      </c>
      <c r="B32" s="273">
        <f t="shared" si="0"/>
        <v>123196.0404168987</v>
      </c>
      <c r="C32" s="280">
        <f t="shared" si="1"/>
        <v>27834913.371794093</v>
      </c>
    </row>
    <row r="33" spans="1:3" x14ac:dyDescent="0.25">
      <c r="A33" s="279">
        <f t="shared" si="2"/>
        <v>18000000</v>
      </c>
      <c r="B33" s="273">
        <f t="shared" si="0"/>
        <v>130932.88648353927</v>
      </c>
      <c r="C33" s="280">
        <f t="shared" si="1"/>
        <v>29582976.372090865</v>
      </c>
    </row>
    <row r="34" spans="1:3" x14ac:dyDescent="0.25">
      <c r="A34" s="279">
        <f t="shared" si="2"/>
        <v>19500000</v>
      </c>
      <c r="B34" s="273">
        <f t="shared" si="0"/>
        <v>138478.45727298054</v>
      </c>
      <c r="C34" s="280">
        <f t="shared" si="1"/>
        <v>31287822.636257224</v>
      </c>
    </row>
    <row r="35" spans="1:3" x14ac:dyDescent="0.25">
      <c r="A35" s="279">
        <f t="shared" si="2"/>
        <v>21000000</v>
      </c>
      <c r="B35" s="273">
        <f t="shared" si="0"/>
        <v>145851.69982861925</v>
      </c>
      <c r="C35" s="280">
        <f t="shared" si="1"/>
        <v>32953733.059278235</v>
      </c>
    </row>
    <row r="36" spans="1:3" x14ac:dyDescent="0.25">
      <c r="A36" s="279">
        <f t="shared" si="2"/>
        <v>22500000</v>
      </c>
      <c r="B36" s="273">
        <f t="shared" si="0"/>
        <v>153068.47356583198</v>
      </c>
      <c r="C36" s="280">
        <f t="shared" si="1"/>
        <v>34584290.917464077</v>
      </c>
    </row>
    <row r="37" spans="1:3" x14ac:dyDescent="0.25">
      <c r="A37" s="279">
        <f t="shared" si="2"/>
        <v>24000000</v>
      </c>
      <c r="B37" s="273">
        <f t="shared" si="0"/>
        <v>160142.22485235901</v>
      </c>
      <c r="C37" s="280">
        <f t="shared" si="1"/>
        <v>36182534.283141993</v>
      </c>
    </row>
    <row r="38" spans="1:3" x14ac:dyDescent="0.25">
      <c r="A38" s="279">
        <f t="shared" si="2"/>
        <v>25500000</v>
      </c>
      <c r="B38" s="273">
        <f t="shared" si="0"/>
        <v>167084.48137313194</v>
      </c>
      <c r="C38" s="280">
        <f t="shared" si="1"/>
        <v>37751067.721445434</v>
      </c>
    </row>
    <row r="39" spans="1:3" x14ac:dyDescent="0.25">
      <c r="A39" s="279">
        <f t="shared" si="2"/>
        <v>27000000</v>
      </c>
      <c r="B39" s="273">
        <f t="shared" si="0"/>
        <v>173905.2221767967</v>
      </c>
      <c r="C39" s="280">
        <f t="shared" si="1"/>
        <v>39292145.898625448</v>
      </c>
    </row>
    <row r="40" spans="1:3" x14ac:dyDescent="0.25">
      <c r="A40" s="279">
        <f t="shared" si="2"/>
        <v>28500000</v>
      </c>
      <c r="B40" s="273">
        <f t="shared" si="0"/>
        <v>180613.15982339281</v>
      </c>
      <c r="C40" s="280">
        <f t="shared" si="1"/>
        <v>40807737.330497369</v>
      </c>
    </row>
    <row r="41" spans="1:3" x14ac:dyDescent="0.25">
      <c r="A41" s="279">
        <f t="shared" si="2"/>
        <v>30000000</v>
      </c>
      <c r="B41" s="273">
        <f t="shared" si="0"/>
        <v>187215.95903003748</v>
      </c>
      <c r="C41" s="280">
        <f t="shared" si="1"/>
        <v>42299573.783246666</v>
      </c>
    </row>
    <row r="42" spans="1:3" x14ac:dyDescent="0.25">
      <c r="A42" s="279">
        <f t="shared" si="2"/>
        <v>31500000</v>
      </c>
      <c r="B42" s="273">
        <f t="shared" si="0"/>
        <v>193720.40856021506</v>
      </c>
    </row>
    <row r="43" spans="1:3" x14ac:dyDescent="0.25">
      <c r="A43" s="279">
        <f t="shared" si="2"/>
        <v>33000000</v>
      </c>
      <c r="B43" s="273">
        <f t="shared" si="0"/>
        <v>200132.55810045125</v>
      </c>
    </row>
    <row r="44" spans="1:3" x14ac:dyDescent="0.25">
      <c r="A44" s="279">
        <f t="shared" si="2"/>
        <v>34500000</v>
      </c>
      <c r="B44" s="273">
        <f t="shared" si="0"/>
        <v>206457.82851960618</v>
      </c>
    </row>
    <row r="45" spans="1:3" x14ac:dyDescent="0.25">
      <c r="A45" s="279">
        <f t="shared" si="2"/>
        <v>36000000</v>
      </c>
      <c r="B45" s="273">
        <f t="shared" si="0"/>
        <v>212701.10161618746</v>
      </c>
    </row>
    <row r="46" spans="1:3" x14ac:dyDescent="0.25">
      <c r="A46" s="279">
        <f t="shared" si="2"/>
        <v>37500000</v>
      </c>
      <c r="B46" s="273">
        <f t="shared" si="0"/>
        <v>218866.79386308251</v>
      </c>
    </row>
    <row r="47" spans="1:3" x14ac:dyDescent="0.25">
      <c r="A47" s="279">
        <f t="shared" si="2"/>
        <v>39000000</v>
      </c>
      <c r="B47" s="273">
        <f t="shared" si="0"/>
        <v>224958.91752738602</v>
      </c>
    </row>
    <row r="48" spans="1:3" x14ac:dyDescent="0.25">
      <c r="A48" s="279">
        <f t="shared" si="2"/>
        <v>40500000</v>
      </c>
      <c r="B48" s="273">
        <f t="shared" si="0"/>
        <v>230981.13172784238</v>
      </c>
    </row>
    <row r="49" spans="1:2" x14ac:dyDescent="0.25">
      <c r="A49" s="279">
        <f t="shared" si="2"/>
        <v>42000000</v>
      </c>
      <c r="B49" s="273">
        <f t="shared" si="0"/>
        <v>236936.78539685268</v>
      </c>
    </row>
    <row r="50" spans="1:2" x14ac:dyDescent="0.25">
      <c r="A50" s="279">
        <f t="shared" si="2"/>
        <v>43500000</v>
      </c>
      <c r="B50" s="273">
        <f t="shared" si="0"/>
        <v>242828.95367313846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162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160</v>
      </c>
      <c r="C3" s="13" t="s">
        <v>5</v>
      </c>
      <c r="D3" s="12" t="s">
        <v>163</v>
      </c>
      <c r="E3" s="13" t="s">
        <v>104</v>
      </c>
      <c r="F3" s="14" t="s">
        <v>161</v>
      </c>
    </row>
    <row r="4" spans="1:18" ht="15" customHeight="1" thickBot="1" x14ac:dyDescent="0.25">
      <c r="A4" s="80" t="s">
        <v>38</v>
      </c>
      <c r="B4" s="472" t="s">
        <v>106</v>
      </c>
      <c r="C4" s="472"/>
      <c r="D4" s="472"/>
      <c r="E4" s="472"/>
      <c r="F4" s="473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1.25</v>
      </c>
    </row>
    <row r="7" spans="1:18" ht="27.75" customHeight="1" x14ac:dyDescent="0.2">
      <c r="A7" s="470" t="s">
        <v>8</v>
      </c>
      <c r="B7" s="475" t="s">
        <v>9</v>
      </c>
      <c r="C7" s="476"/>
      <c r="D7" s="477" t="s">
        <v>12</v>
      </c>
      <c r="E7" s="478"/>
      <c r="F7" s="479"/>
      <c r="G7" s="475" t="s">
        <v>124</v>
      </c>
      <c r="H7" s="475"/>
      <c r="I7" s="480"/>
      <c r="J7" s="98" t="s">
        <v>125</v>
      </c>
    </row>
    <row r="8" spans="1:18" ht="28.35" customHeight="1" x14ac:dyDescent="0.2">
      <c r="A8" s="474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71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183</v>
      </c>
    </row>
    <row r="10" spans="1:18" ht="13.5" thickBot="1" x14ac:dyDescent="0.25"/>
    <row r="11" spans="1:18" ht="51.6" customHeight="1" x14ac:dyDescent="0.2">
      <c r="A11" s="470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62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71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VAC_Optim_Scenario!$D$33</f>
        <v>1</v>
      </c>
      <c r="H12" s="71">
        <f>C12*G12</f>
        <v>54924.559200000003</v>
      </c>
      <c r="I12" s="115" t="e">
        <f>VAC_Optim_Scenario!#REF!</f>
        <v>#REF!</v>
      </c>
      <c r="K12" s="463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35" customHeight="1" x14ac:dyDescent="0.2">
      <c r="A13" s="464" t="s">
        <v>114</v>
      </c>
      <c r="B13" s="465"/>
      <c r="C13" s="465"/>
      <c r="D13" s="465"/>
      <c r="E13" s="465"/>
      <c r="F13" s="466"/>
      <c r="G13" s="119" t="s">
        <v>150</v>
      </c>
      <c r="H13" s="119" t="s">
        <v>151</v>
      </c>
      <c r="K13" s="464" t="s">
        <v>115</v>
      </c>
      <c r="L13" s="465"/>
      <c r="M13" s="465"/>
      <c r="N13" s="465"/>
      <c r="O13" s="465"/>
      <c r="P13" s="465"/>
      <c r="Q13" s="465"/>
      <c r="R13" s="466"/>
    </row>
    <row r="14" spans="1:18" ht="33.6" customHeight="1" thickBot="1" x14ac:dyDescent="0.25">
      <c r="A14" s="467"/>
      <c r="B14" s="468"/>
      <c r="C14" s="468"/>
      <c r="D14" s="468"/>
      <c r="E14" s="468"/>
      <c r="F14" s="469"/>
      <c r="G14" s="95">
        <f>VAC_Optim_Scenario!I33</f>
        <v>225.94</v>
      </c>
      <c r="H14" s="95">
        <f>VAC_Optim_Scenario!G33</f>
        <v>225.94</v>
      </c>
      <c r="K14" s="467"/>
      <c r="L14" s="468"/>
      <c r="M14" s="468"/>
      <c r="N14" s="468"/>
      <c r="O14" s="468"/>
      <c r="P14" s="468"/>
      <c r="Q14" s="468"/>
      <c r="R14" s="469"/>
    </row>
    <row r="16" spans="1:18" ht="13.5" thickBot="1" x14ac:dyDescent="0.25"/>
    <row r="17" spans="1:8" ht="42.6" customHeight="1" x14ac:dyDescent="0.2">
      <c r="A17" s="462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63"/>
      <c r="B18" s="75">
        <v>0</v>
      </c>
      <c r="C18" s="76">
        <v>4000000</v>
      </c>
      <c r="D18" s="26">
        <v>20</v>
      </c>
    </row>
    <row r="20" spans="1:8" x14ac:dyDescent="0.2">
      <c r="A20" s="442" t="s">
        <v>37</v>
      </c>
      <c r="B20" s="442"/>
      <c r="C20" s="442"/>
    </row>
    <row r="21" spans="1:8" ht="25.5" x14ac:dyDescent="0.2">
      <c r="A21" s="119" t="s">
        <v>35</v>
      </c>
      <c r="B21" s="119" t="s">
        <v>120</v>
      </c>
      <c r="C21" s="119" t="s">
        <v>184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449D5-F329-4816-A329-D500E3596889}">
  <sheetPr codeName="Sheet19">
    <tabColor theme="3" tint="0.79998168889431442"/>
  </sheetPr>
  <dimension ref="A1:R42"/>
  <sheetViews>
    <sheetView topLeftCell="A4"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232</v>
      </c>
    </row>
    <row r="2" spans="1:18" x14ac:dyDescent="0.2">
      <c r="A2" s="7" t="s">
        <v>2</v>
      </c>
      <c r="B2" s="8" t="s">
        <v>223</v>
      </c>
      <c r="C2" s="9" t="s">
        <v>4</v>
      </c>
      <c r="D2" s="8" t="s">
        <v>6</v>
      </c>
      <c r="E2" s="9" t="s">
        <v>116</v>
      </c>
      <c r="F2" s="10" t="s">
        <v>163</v>
      </c>
      <c r="H2" s="231" t="s">
        <v>102</v>
      </c>
      <c r="I2" s="232"/>
      <c r="J2" s="232"/>
      <c r="K2" s="232"/>
      <c r="L2" s="233"/>
    </row>
    <row r="3" spans="1:18" ht="13.5" thickBot="1" x14ac:dyDescent="0.25">
      <c r="A3" s="11" t="s">
        <v>3</v>
      </c>
      <c r="B3" s="12" t="s">
        <v>231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72" t="s">
        <v>106</v>
      </c>
      <c r="C4" s="472"/>
      <c r="D4" s="472"/>
      <c r="E4" s="472"/>
      <c r="F4" s="473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</v>
      </c>
      <c r="C6" s="94">
        <f>VAC_Optim_Scenario!$H$14</f>
        <v>1.25</v>
      </c>
    </row>
    <row r="7" spans="1:18" ht="27.75" customHeight="1" x14ac:dyDescent="0.2">
      <c r="A7" s="470" t="s">
        <v>8</v>
      </c>
      <c r="B7" s="475" t="s">
        <v>9</v>
      </c>
      <c r="C7" s="476"/>
      <c r="D7" s="477" t="s">
        <v>12</v>
      </c>
      <c r="E7" s="478"/>
      <c r="F7" s="479"/>
      <c r="G7" s="475" t="s">
        <v>124</v>
      </c>
      <c r="H7" s="475"/>
      <c r="I7" s="480"/>
      <c r="J7" s="98" t="s">
        <v>125</v>
      </c>
    </row>
    <row r="8" spans="1:18" ht="28.35" customHeight="1" x14ac:dyDescent="0.2">
      <c r="A8" s="474"/>
      <c r="B8" s="230" t="s">
        <v>10</v>
      </c>
      <c r="C8" s="17" t="s">
        <v>11</v>
      </c>
      <c r="D8" s="19" t="s">
        <v>20</v>
      </c>
      <c r="E8" s="230" t="s">
        <v>21</v>
      </c>
      <c r="F8" s="81" t="s">
        <v>117</v>
      </c>
      <c r="G8" s="234" t="s">
        <v>22</v>
      </c>
      <c r="H8" s="230" t="s">
        <v>23</v>
      </c>
      <c r="I8" s="88" t="s">
        <v>123</v>
      </c>
    </row>
    <row r="9" spans="1:18" ht="14.45" customHeight="1" thickBot="1" x14ac:dyDescent="0.25">
      <c r="A9" s="471"/>
      <c r="B9" s="95">
        <f>VAC_Optim_Scenario!G26</f>
        <v>3200000</v>
      </c>
      <c r="C9" s="95">
        <f>VAC_Optim_Scenario!H26</f>
        <v>3200000</v>
      </c>
      <c r="D9" s="68">
        <f>VAC_Optim_Scenario!I26</f>
        <v>3200000</v>
      </c>
      <c r="E9" s="84">
        <f>((($R$12/(1+EXP($P$12+$Q$12*D9)))-1) - ($F$12-$C$12))*$I$12</f>
        <v>22412.309442908503</v>
      </c>
      <c r="F9" s="89">
        <f>E9*$G$12</f>
        <v>22412.309442908503</v>
      </c>
      <c r="G9" s="95">
        <f>VAC_Optim_Scenario!E26</f>
        <v>3200000</v>
      </c>
      <c r="H9" s="85">
        <f>((($R$12/(1+EXP($P$12+$Q$12*G9)))-1) - ($F$12-$C$12))*$I$12</f>
        <v>22412.309442908503</v>
      </c>
      <c r="I9" s="90">
        <f>H9*$G$12</f>
        <v>22412.309442908503</v>
      </c>
      <c r="J9" s="87">
        <f>G9/I9</f>
        <v>142.77868187352351</v>
      </c>
      <c r="K9" s="98" t="s">
        <v>167</v>
      </c>
    </row>
    <row r="10" spans="1:18" ht="13.5" thickBot="1" x14ac:dyDescent="0.25"/>
    <row r="11" spans="1:18" ht="51.6" customHeight="1" x14ac:dyDescent="0.2">
      <c r="A11" s="470" t="s">
        <v>15</v>
      </c>
      <c r="B11" s="236" t="s">
        <v>16</v>
      </c>
      <c r="C11" s="236" t="s">
        <v>17</v>
      </c>
      <c r="D11" s="236" t="s">
        <v>18</v>
      </c>
      <c r="E11" s="236" t="s">
        <v>19</v>
      </c>
      <c r="F11" s="237" t="s">
        <v>109</v>
      </c>
      <c r="G11" s="235" t="s">
        <v>168</v>
      </c>
      <c r="H11" s="236" t="s">
        <v>119</v>
      </c>
      <c r="I11" s="92" t="s">
        <v>122</v>
      </c>
      <c r="K11" s="462" t="s">
        <v>25</v>
      </c>
      <c r="L11" s="236" t="s">
        <v>110</v>
      </c>
      <c r="M11" s="236" t="s">
        <v>111</v>
      </c>
      <c r="N11" s="236" t="s">
        <v>112</v>
      </c>
      <c r="O11" s="236" t="s">
        <v>113</v>
      </c>
      <c r="P11" s="236" t="s">
        <v>26</v>
      </c>
      <c r="Q11" s="236" t="s">
        <v>27</v>
      </c>
      <c r="R11" s="237" t="s">
        <v>28</v>
      </c>
    </row>
    <row r="12" spans="1:18" ht="15" customHeight="1" thickBot="1" x14ac:dyDescent="0.25">
      <c r="A12" s="471"/>
      <c r="B12" s="259">
        <f>'[10]HCC PHARMACY SCurve'!$B$12</f>
        <v>2411882</v>
      </c>
      <c r="C12" s="154">
        <f>'[10]HCC PHARMACY SCurve'!$C$12</f>
        <v>18205.431530494821</v>
      </c>
      <c r="D12" s="154">
        <f>'[10]HCC PHARMACY SCurve'!$D$12</f>
        <v>0</v>
      </c>
      <c r="E12" s="154">
        <f>'[10]HCC PHARMACY SCurve'!$E$12</f>
        <v>45513.578826237055</v>
      </c>
      <c r="F12" s="154">
        <f>'[10]HCC PHARMACY SCurve'!$F$12</f>
        <v>4647854</v>
      </c>
      <c r="G12" s="156">
        <f>VAC_Optim_Scenario!$D$33</f>
        <v>1</v>
      </c>
      <c r="H12" s="71">
        <f>C12*G12</f>
        <v>18205.431530494821</v>
      </c>
      <c r="I12" s="260">
        <f>VAC_Optim_Scenario!D26</f>
        <v>1</v>
      </c>
      <c r="K12" s="463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73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464" t="s">
        <v>169</v>
      </c>
      <c r="B13" s="465"/>
      <c r="C13" s="465"/>
      <c r="D13" s="465"/>
      <c r="E13" s="465"/>
      <c r="F13" s="466"/>
      <c r="G13" s="230" t="s">
        <v>150</v>
      </c>
      <c r="H13" s="230" t="s">
        <v>151</v>
      </c>
      <c r="K13" s="464" t="s">
        <v>115</v>
      </c>
      <c r="L13" s="465"/>
      <c r="M13" s="465"/>
      <c r="N13" s="465"/>
      <c r="O13" s="465"/>
      <c r="P13" s="465"/>
      <c r="Q13" s="465"/>
      <c r="R13" s="466"/>
    </row>
    <row r="14" spans="1:18" ht="33.6" customHeight="1" thickBot="1" x14ac:dyDescent="0.25">
      <c r="A14" s="467"/>
      <c r="B14" s="468"/>
      <c r="C14" s="468"/>
      <c r="D14" s="468"/>
      <c r="E14" s="468"/>
      <c r="F14" s="469"/>
      <c r="G14" s="95">
        <f>VAC_Optim_Scenario!$I$33</f>
        <v>225.94</v>
      </c>
      <c r="H14" s="95">
        <f>VAC_Optim_Scenario!$F$33</f>
        <v>225.94</v>
      </c>
      <c r="K14" s="467"/>
      <c r="L14" s="468"/>
      <c r="M14" s="468"/>
      <c r="N14" s="468"/>
      <c r="O14" s="468"/>
      <c r="P14" s="468"/>
      <c r="Q14" s="468"/>
      <c r="R14" s="469"/>
    </row>
    <row r="16" spans="1:18" ht="13.5" thickBot="1" x14ac:dyDescent="0.25"/>
    <row r="17" spans="1:8" ht="42.6" customHeight="1" x14ac:dyDescent="0.2">
      <c r="A17" s="462" t="s">
        <v>34</v>
      </c>
      <c r="B17" s="236" t="s">
        <v>32</v>
      </c>
      <c r="C17" s="236" t="s">
        <v>31</v>
      </c>
      <c r="D17" s="237" t="s">
        <v>33</v>
      </c>
      <c r="F17" s="82"/>
      <c r="G17" s="82"/>
      <c r="H17" s="83"/>
    </row>
    <row r="18" spans="1:8" ht="23.45" customHeight="1" thickBot="1" x14ac:dyDescent="0.25">
      <c r="A18" s="463"/>
      <c r="B18" s="75">
        <v>0</v>
      </c>
      <c r="C18" s="76">
        <v>4000000</v>
      </c>
      <c r="D18" s="26">
        <v>20</v>
      </c>
    </row>
    <row r="20" spans="1:8" x14ac:dyDescent="0.2">
      <c r="A20" s="442" t="s">
        <v>37</v>
      </c>
      <c r="B20" s="442"/>
      <c r="C20" s="442"/>
    </row>
    <row r="21" spans="1:8" ht="25.5" x14ac:dyDescent="0.2">
      <c r="A21" s="230" t="s">
        <v>35</v>
      </c>
      <c r="B21" s="230" t="s">
        <v>170</v>
      </c>
      <c r="C21" s="230" t="s">
        <v>171</v>
      </c>
      <c r="D21" s="98" t="s">
        <v>172</v>
      </c>
      <c r="E21" s="230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workbookViewId="0">
      <selection activeCell="F16" sqref="F16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47" t="s">
        <v>100</v>
      </c>
      <c r="G2" s="448"/>
      <c r="H2" s="448"/>
      <c r="I2" s="448"/>
      <c r="J2" s="448"/>
      <c r="K2" s="448"/>
      <c r="L2" s="449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50" t="s">
        <v>72</v>
      </c>
      <c r="G3" s="451"/>
      <c r="H3" s="451"/>
      <c r="I3" s="451"/>
      <c r="J3" s="451"/>
      <c r="K3" s="451"/>
      <c r="L3" s="452"/>
    </row>
    <row r="4" spans="1:12" ht="13.5" thickBot="1" x14ac:dyDescent="0.25">
      <c r="A4" s="29" t="s">
        <v>38</v>
      </c>
      <c r="B4" s="484" t="s">
        <v>39</v>
      </c>
      <c r="C4" s="484"/>
      <c r="D4" s="485"/>
    </row>
    <row r="6" spans="1:12" ht="13.5" thickBot="1" x14ac:dyDescent="0.25"/>
    <row r="7" spans="1:12" ht="27.75" customHeight="1" x14ac:dyDescent="0.2">
      <c r="A7" s="470" t="s">
        <v>8</v>
      </c>
      <c r="B7" s="475" t="s">
        <v>9</v>
      </c>
      <c r="C7" s="476"/>
      <c r="D7" s="477" t="s">
        <v>12</v>
      </c>
      <c r="E7" s="479"/>
      <c r="F7" s="478" t="s">
        <v>24</v>
      </c>
      <c r="G7" s="492"/>
    </row>
    <row r="8" spans="1:12" ht="25.5" x14ac:dyDescent="0.2">
      <c r="A8" s="474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71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70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70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71"/>
      <c r="B12" s="12">
        <v>20</v>
      </c>
      <c r="C12" s="12">
        <v>30</v>
      </c>
      <c r="D12" s="12">
        <v>0</v>
      </c>
      <c r="E12" s="14">
        <v>70</v>
      </c>
      <c r="G12" s="471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35" customHeight="1" x14ac:dyDescent="0.2">
      <c r="A13" s="464" t="s">
        <v>30</v>
      </c>
      <c r="B13" s="465"/>
      <c r="C13" s="465"/>
      <c r="D13" s="465"/>
      <c r="E13" s="466"/>
      <c r="G13" s="486" t="s">
        <v>29</v>
      </c>
      <c r="H13" s="487"/>
      <c r="I13" s="487"/>
      <c r="J13" s="488"/>
    </row>
    <row r="14" spans="1:12" ht="33.6" customHeight="1" x14ac:dyDescent="0.2">
      <c r="A14" s="467"/>
      <c r="B14" s="468"/>
      <c r="C14" s="468"/>
      <c r="D14" s="468"/>
      <c r="E14" s="469"/>
      <c r="G14" s="489"/>
      <c r="H14" s="490"/>
      <c r="I14" s="490"/>
      <c r="J14" s="491"/>
    </row>
    <row r="16" spans="1:12" ht="13.5" thickBot="1" x14ac:dyDescent="0.25"/>
    <row r="17" spans="1:4" ht="17.100000000000001" customHeight="1" x14ac:dyDescent="0.2">
      <c r="A17" s="462" t="s">
        <v>34</v>
      </c>
      <c r="B17" s="21" t="s">
        <v>32</v>
      </c>
      <c r="C17" s="21" t="s">
        <v>31</v>
      </c>
      <c r="D17" s="15" t="s">
        <v>33</v>
      </c>
    </row>
    <row r="18" spans="1:4" ht="23.45" customHeight="1" thickBot="1" x14ac:dyDescent="0.25">
      <c r="A18" s="463"/>
      <c r="B18" s="12">
        <v>0</v>
      </c>
      <c r="C18" s="12">
        <v>100</v>
      </c>
      <c r="D18" s="26">
        <v>20</v>
      </c>
    </row>
    <row r="20" spans="1:4" x14ac:dyDescent="0.2">
      <c r="A20" s="442" t="s">
        <v>37</v>
      </c>
      <c r="B20" s="442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425781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47" t="s">
        <v>100</v>
      </c>
      <c r="G2" s="448"/>
      <c r="H2" s="448"/>
      <c r="I2" s="448"/>
      <c r="J2" s="448"/>
      <c r="K2" s="448"/>
      <c r="L2" s="449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50" t="s">
        <v>72</v>
      </c>
      <c r="G3" s="451"/>
      <c r="H3" s="451"/>
      <c r="I3" s="451"/>
      <c r="J3" s="451"/>
      <c r="K3" s="451"/>
      <c r="L3" s="452"/>
    </row>
    <row r="4" spans="1:12" ht="31.7" customHeight="1" thickBot="1" x14ac:dyDescent="0.25">
      <c r="A4" s="29" t="s">
        <v>38</v>
      </c>
      <c r="B4" s="493" t="s">
        <v>41</v>
      </c>
      <c r="C4" s="494"/>
      <c r="D4" s="495"/>
    </row>
    <row r="6" spans="1:12" ht="13.5" thickBot="1" x14ac:dyDescent="0.25"/>
    <row r="7" spans="1:12" ht="27.75" customHeight="1" x14ac:dyDescent="0.2">
      <c r="A7" s="470" t="s">
        <v>8</v>
      </c>
      <c r="B7" s="475" t="s">
        <v>9</v>
      </c>
      <c r="C7" s="476"/>
      <c r="D7" s="477" t="s">
        <v>12</v>
      </c>
      <c r="E7" s="479"/>
      <c r="F7" s="478" t="s">
        <v>24</v>
      </c>
      <c r="G7" s="492"/>
      <c r="H7" s="1" t="s">
        <v>54</v>
      </c>
    </row>
    <row r="8" spans="1:12" ht="25.5" x14ac:dyDescent="0.2">
      <c r="A8" s="474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71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70" t="s">
        <v>42</v>
      </c>
      <c r="B11" s="408" t="s">
        <v>47</v>
      </c>
      <c r="C11" s="497" t="s">
        <v>46</v>
      </c>
      <c r="D11" s="478"/>
      <c r="E11" s="478"/>
      <c r="F11" s="3" t="s">
        <v>48</v>
      </c>
      <c r="G11" s="33"/>
      <c r="H11" s="32"/>
      <c r="I11" s="32"/>
      <c r="J11" s="32"/>
    </row>
    <row r="12" spans="1:12" x14ac:dyDescent="0.2">
      <c r="A12" s="498"/>
      <c r="B12" s="409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99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7" customHeight="1" x14ac:dyDescent="0.2">
      <c r="A14" s="496" t="s">
        <v>52</v>
      </c>
      <c r="B14" s="496"/>
      <c r="C14" s="496"/>
      <c r="D14" s="496"/>
      <c r="E14" s="496"/>
      <c r="F14" s="496"/>
      <c r="G14" s="38"/>
      <c r="H14" s="39"/>
      <c r="I14" s="39"/>
      <c r="J14" s="39"/>
    </row>
    <row r="15" spans="1:12" ht="30.6" customHeight="1" x14ac:dyDescent="0.2">
      <c r="A15" s="496"/>
      <c r="B15" s="496"/>
      <c r="C15" s="496"/>
      <c r="D15" s="496"/>
      <c r="E15" s="496"/>
      <c r="F15" s="496"/>
      <c r="G15" s="38"/>
      <c r="H15" s="39"/>
      <c r="I15" s="39"/>
      <c r="J15" s="39"/>
    </row>
    <row r="17" spans="1:4" ht="13.5" thickBot="1" x14ac:dyDescent="0.25"/>
    <row r="18" spans="1:4" ht="17.100000000000001" customHeight="1" x14ac:dyDescent="0.2">
      <c r="A18" s="462" t="s">
        <v>34</v>
      </c>
      <c r="B18" s="21" t="s">
        <v>32</v>
      </c>
      <c r="C18" s="21" t="s">
        <v>31</v>
      </c>
      <c r="D18" s="15" t="s">
        <v>33</v>
      </c>
    </row>
    <row r="19" spans="1:4" ht="23.45" customHeight="1" thickBot="1" x14ac:dyDescent="0.25">
      <c r="A19" s="463"/>
      <c r="B19" s="12">
        <v>0</v>
      </c>
      <c r="C19" s="12">
        <v>20000000</v>
      </c>
      <c r="D19" s="26">
        <v>20</v>
      </c>
    </row>
    <row r="21" spans="1:4" x14ac:dyDescent="0.2">
      <c r="A21" s="442" t="s">
        <v>37</v>
      </c>
      <c r="B21" s="442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47" t="s">
        <v>100</v>
      </c>
      <c r="G2" s="448"/>
      <c r="H2" s="448"/>
      <c r="I2" s="448"/>
      <c r="J2" s="448"/>
      <c r="K2" s="448"/>
      <c r="L2" s="449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50" t="s">
        <v>72</v>
      </c>
      <c r="G3" s="451"/>
      <c r="H3" s="451"/>
      <c r="I3" s="451"/>
      <c r="J3" s="451"/>
      <c r="K3" s="451"/>
      <c r="L3" s="452"/>
    </row>
    <row r="4" spans="1:14" ht="13.5" thickBot="1" x14ac:dyDescent="0.25">
      <c r="A4" s="29" t="s">
        <v>38</v>
      </c>
      <c r="B4" s="484" t="s">
        <v>57</v>
      </c>
      <c r="C4" s="484"/>
      <c r="D4" s="485"/>
    </row>
    <row r="6" spans="1:14" ht="13.5" thickBot="1" x14ac:dyDescent="0.25"/>
    <row r="7" spans="1:14" ht="27.75" customHeight="1" x14ac:dyDescent="0.2">
      <c r="A7" s="470" t="s">
        <v>8</v>
      </c>
      <c r="B7" s="475" t="s">
        <v>9</v>
      </c>
      <c r="C7" s="476"/>
      <c r="D7" s="477" t="s">
        <v>12</v>
      </c>
      <c r="E7" s="479"/>
      <c r="F7" s="478" t="s">
        <v>24</v>
      </c>
      <c r="G7" s="492"/>
      <c r="I7" s="502" t="s">
        <v>73</v>
      </c>
      <c r="J7" s="502"/>
      <c r="K7" s="502"/>
      <c r="L7" s="502"/>
      <c r="N7" s="47" t="s">
        <v>58</v>
      </c>
    </row>
    <row r="8" spans="1:14" ht="25.5" x14ac:dyDescent="0.2">
      <c r="A8" s="474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502"/>
      <c r="J8" s="502"/>
      <c r="K8" s="502"/>
      <c r="L8" s="502"/>
      <c r="N8" s="47" t="s">
        <v>59</v>
      </c>
    </row>
    <row r="9" spans="1:14" ht="13.5" thickBot="1" x14ac:dyDescent="0.25">
      <c r="A9" s="471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7" customHeight="1" x14ac:dyDescent="0.2">
      <c r="A11" s="442" t="s">
        <v>60</v>
      </c>
      <c r="B11" s="3" t="s">
        <v>61</v>
      </c>
      <c r="C11" s="3" t="s">
        <v>62</v>
      </c>
      <c r="D11" s="32"/>
      <c r="E11" s="500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5" customHeight="1" x14ac:dyDescent="0.2">
      <c r="A12" s="442"/>
      <c r="B12" s="41">
        <v>0</v>
      </c>
      <c r="C12" s="41">
        <v>0</v>
      </c>
      <c r="D12" s="32"/>
      <c r="E12" s="501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5" customHeight="1" x14ac:dyDescent="0.2">
      <c r="A13" s="442"/>
      <c r="B13" s="41">
        <v>1</v>
      </c>
      <c r="C13" s="41">
        <v>0.75</v>
      </c>
      <c r="D13" s="32"/>
      <c r="E13" s="501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5" customHeight="1" x14ac:dyDescent="0.2">
      <c r="A14" s="442"/>
      <c r="B14" s="41">
        <v>2</v>
      </c>
      <c r="C14" s="41">
        <v>0</v>
      </c>
      <c r="D14" s="32"/>
      <c r="E14" s="501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5" customHeight="1" x14ac:dyDescent="0.2">
      <c r="A15" s="442"/>
      <c r="B15" s="41">
        <v>3</v>
      </c>
      <c r="C15" s="41">
        <v>-1</v>
      </c>
      <c r="D15" s="32"/>
      <c r="E15" s="501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5" customHeight="1" x14ac:dyDescent="0.2">
      <c r="A16" s="442"/>
      <c r="B16" s="41">
        <v>4</v>
      </c>
      <c r="C16" s="41">
        <v>3</v>
      </c>
      <c r="D16" s="32"/>
      <c r="E16" s="501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42"/>
      <c r="B17" s="42">
        <v>5</v>
      </c>
      <c r="C17" s="42">
        <v>3</v>
      </c>
      <c r="D17" s="40"/>
      <c r="E17" s="501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503" t="s">
        <v>74</v>
      </c>
      <c r="B18" s="504"/>
      <c r="C18" s="505"/>
      <c r="D18" s="33"/>
      <c r="E18" s="496" t="s">
        <v>75</v>
      </c>
      <c r="F18" s="496"/>
      <c r="G18" s="496"/>
      <c r="H18" s="496"/>
      <c r="I18" s="496"/>
      <c r="J18" s="496"/>
      <c r="K18" s="496"/>
      <c r="L18" s="496"/>
      <c r="M18" s="496"/>
    </row>
    <row r="19" spans="1:13" ht="35.450000000000003" customHeight="1" x14ac:dyDescent="0.2">
      <c r="A19" s="467"/>
      <c r="B19" s="468"/>
      <c r="C19" s="469"/>
      <c r="D19" s="33"/>
      <c r="E19" s="496"/>
      <c r="F19" s="496"/>
      <c r="G19" s="496"/>
      <c r="H19" s="496"/>
      <c r="I19" s="496"/>
      <c r="J19" s="496"/>
      <c r="K19" s="496"/>
      <c r="L19" s="496"/>
      <c r="M19" s="496"/>
    </row>
    <row r="21" spans="1:13" ht="13.5" thickBot="1" x14ac:dyDescent="0.25"/>
    <row r="22" spans="1:13" ht="17.100000000000001" customHeight="1" x14ac:dyDescent="0.2">
      <c r="A22" s="462" t="s">
        <v>34</v>
      </c>
      <c r="B22" s="21" t="s">
        <v>32</v>
      </c>
      <c r="C22" s="21" t="s">
        <v>31</v>
      </c>
      <c r="D22" s="15" t="s">
        <v>33</v>
      </c>
    </row>
    <row r="23" spans="1:13" ht="23.45" customHeight="1" thickBot="1" x14ac:dyDescent="0.25">
      <c r="A23" s="463"/>
      <c r="B23" s="12">
        <v>0</v>
      </c>
      <c r="C23" s="12">
        <v>5</v>
      </c>
      <c r="D23" s="26">
        <v>20</v>
      </c>
    </row>
    <row r="25" spans="1:13" x14ac:dyDescent="0.2">
      <c r="A25" s="442" t="s">
        <v>37</v>
      </c>
      <c r="B25" s="442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5703125" style="1" customWidth="1"/>
    <col min="5" max="6" width="12.42578125" style="1" customWidth="1"/>
    <col min="7" max="7" width="12" style="1" customWidth="1"/>
    <col min="8" max="10" width="10.42578125" style="1" customWidth="1"/>
    <col min="11" max="11" width="14.42578125" style="1" bestFit="1" customWidth="1"/>
    <col min="12" max="13" width="12" style="1" bestFit="1" customWidth="1"/>
    <col min="14" max="14" width="11.42578125" style="1" bestFit="1" customWidth="1"/>
    <col min="15" max="15" width="9.570312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506" t="s">
        <v>106</v>
      </c>
      <c r="C4" s="506"/>
      <c r="D4" s="506"/>
      <c r="E4" s="506"/>
      <c r="F4" s="507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70" t="s">
        <v>8</v>
      </c>
      <c r="B7" s="475" t="s">
        <v>9</v>
      </c>
      <c r="C7" s="476"/>
      <c r="D7" s="477" t="s">
        <v>12</v>
      </c>
      <c r="E7" s="479"/>
      <c r="F7" s="478" t="s">
        <v>24</v>
      </c>
      <c r="G7" s="492"/>
    </row>
    <row r="8" spans="1:15" ht="25.5" x14ac:dyDescent="0.2">
      <c r="A8" s="474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71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70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62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71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63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35" customHeight="1" x14ac:dyDescent="0.2">
      <c r="A13" s="464" t="s">
        <v>114</v>
      </c>
      <c r="B13" s="465"/>
      <c r="C13" s="465"/>
      <c r="D13" s="465"/>
      <c r="E13" s="465"/>
      <c r="F13" s="466"/>
      <c r="H13" s="464" t="s">
        <v>115</v>
      </c>
      <c r="I13" s="465"/>
      <c r="J13" s="465"/>
      <c r="K13" s="465"/>
      <c r="L13" s="465"/>
      <c r="M13" s="465"/>
      <c r="N13" s="465"/>
      <c r="O13" s="466"/>
    </row>
    <row r="14" spans="1:15" ht="33.6" customHeight="1" x14ac:dyDescent="0.2">
      <c r="A14" s="467"/>
      <c r="B14" s="468"/>
      <c r="C14" s="468"/>
      <c r="D14" s="468"/>
      <c r="E14" s="468"/>
      <c r="F14" s="469"/>
      <c r="H14" s="467"/>
      <c r="I14" s="468"/>
      <c r="J14" s="468"/>
      <c r="K14" s="468"/>
      <c r="L14" s="468"/>
      <c r="M14" s="468"/>
      <c r="N14" s="468"/>
      <c r="O14" s="469"/>
    </row>
    <row r="16" spans="1:15" ht="13.5" thickBot="1" x14ac:dyDescent="0.25"/>
    <row r="17" spans="1:4" ht="17.100000000000001" customHeight="1" x14ac:dyDescent="0.2">
      <c r="A17" s="462" t="s">
        <v>34</v>
      </c>
      <c r="B17" s="63" t="s">
        <v>32</v>
      </c>
      <c r="C17" s="63" t="s">
        <v>31</v>
      </c>
      <c r="D17" s="15" t="s">
        <v>33</v>
      </c>
    </row>
    <row r="18" spans="1:4" ht="23.45" customHeight="1" thickBot="1" x14ac:dyDescent="0.25">
      <c r="A18" s="463"/>
      <c r="B18" s="75">
        <v>0</v>
      </c>
      <c r="C18" s="76">
        <v>200000000</v>
      </c>
      <c r="D18" s="26">
        <v>20</v>
      </c>
    </row>
    <row r="20" spans="1:4" x14ac:dyDescent="0.2">
      <c r="A20" s="442" t="s">
        <v>37</v>
      </c>
      <c r="B20" s="442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Sensitivity - Template</vt:lpstr>
      <vt:lpstr>Scenario summary</vt:lpstr>
      <vt:lpstr>Scenario summary_incr_doses</vt:lpstr>
      <vt:lpstr>Chart - Combined</vt:lpstr>
      <vt:lpstr>Sensitivity</vt:lpstr>
      <vt:lpstr>Contribution, promo eff, ROI</vt:lpstr>
      <vt:lpstr>Scenario deep dive</vt:lpstr>
      <vt:lpstr>doses_contrib</vt:lpstr>
      <vt:lpstr>VAC_Optim_Scenario</vt:lpstr>
      <vt:lpstr>Current Constraints</vt:lpstr>
      <vt:lpstr>GINOFF</vt:lpstr>
      <vt:lpstr>GMCM</vt:lpstr>
      <vt:lpstr>GSOCIAL</vt:lpstr>
      <vt:lpstr>GOLV</vt:lpstr>
      <vt:lpstr>GSTRTV</vt:lpstr>
      <vt:lpstr>GDISP</vt:lpstr>
      <vt:lpstr>GPDSRCH</vt:lpstr>
      <vt:lpstr>GAUDIO</vt:lpstr>
      <vt:lpstr>GLINEARTV</vt:lpstr>
      <vt:lpstr>GPRNT</vt:lpstr>
      <vt:lpstr>GPHRMCY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Taunk, Vasu</cp:lastModifiedBy>
  <cp:lastPrinted>2013-05-08T17:24:00Z</cp:lastPrinted>
  <dcterms:created xsi:type="dcterms:W3CDTF">2013-03-17T16:17:06Z</dcterms:created>
  <dcterms:modified xsi:type="dcterms:W3CDTF">2024-01-22T10:11:26Z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2021-10-04T14:18:57Z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60036cc4-b9ee-4646-9f18-9d356e21f455</vt:lpwstr>
  </property>
  <property fmtid="{D5CDD505-2E9C-101B-9397-08002B2CF9AE}" pid="17" name="MSIP_Label_927fd646-07cb-4c4e-a107-4e4d6b30ba1b_ContentBits">
    <vt:lpwstr>1</vt:lpwstr>
  </property>
</Properties>
</file>