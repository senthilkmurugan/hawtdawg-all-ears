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6FE13AEC-0CD8-4871-9EF6-2C9E0C770C00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Sheet1" sheetId="95" r:id="rId7"/>
    <sheet name="VAC_Optim_Scenario" sheetId="23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VAC_Optim_Scenario!$I$28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95" l="1"/>
  <c r="H23" i="23"/>
  <c r="G23" i="23"/>
  <c r="I5" i="80" l="1"/>
  <c r="I6" i="80"/>
  <c r="I7" i="80"/>
  <c r="I8" i="80"/>
  <c r="I9" i="80"/>
  <c r="I10" i="80"/>
  <c r="I12" i="80"/>
  <c r="I4" i="80"/>
  <c r="F5" i="80"/>
  <c r="F6" i="80"/>
  <c r="F7" i="80"/>
  <c r="F8" i="80"/>
  <c r="F9" i="80"/>
  <c r="F10" i="80"/>
  <c r="F11" i="80"/>
  <c r="F12" i="80"/>
  <c r="F4" i="80"/>
  <c r="D13" i="80"/>
  <c r="D12" i="80"/>
  <c r="D11" i="80"/>
  <c r="D10" i="80"/>
  <c r="D9" i="80"/>
  <c r="D8" i="80"/>
  <c r="D7" i="80"/>
  <c r="D6" i="80"/>
  <c r="D5" i="80"/>
  <c r="D4" i="80"/>
  <c r="Q4" i="80" a="1"/>
  <c r="Q4" i="80" l="1"/>
  <c r="F5" i="95" l="1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D1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I28" i="23" l="1"/>
  <c r="G28" i="23"/>
  <c r="H28" i="23"/>
  <c r="E28" i="23"/>
  <c r="B12" i="23"/>
  <c r="H25" i="23"/>
  <c r="G25" i="23"/>
  <c r="G29" i="51"/>
  <c r="R10" i="80" a="1"/>
  <c r="Q12" i="80" a="1"/>
  <c r="R12" i="80" a="1"/>
  <c r="Q5" i="80" a="1"/>
  <c r="R6" i="80" a="1"/>
  <c r="Q9" i="80" a="1"/>
  <c r="Q6" i="80" a="1"/>
  <c r="Q7" i="80" a="1"/>
  <c r="Q13" i="80" a="1"/>
  <c r="Q11" i="80" a="1"/>
  <c r="R9" i="80" a="1"/>
  <c r="Q10" i="80" a="1"/>
  <c r="Q8" i="80" a="1"/>
  <c r="R13" i="80" a="1"/>
  <c r="R8" i="80" a="1"/>
  <c r="R7" i="80" a="1"/>
  <c r="R11" i="80" a="1"/>
  <c r="R4" i="80" a="1"/>
  <c r="R5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L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F14" i="95" s="1"/>
  <c r="G27" i="23"/>
  <c r="E14" i="95" s="1"/>
  <c r="H18" i="23"/>
  <c r="H19" i="23"/>
  <c r="H20" i="23"/>
  <c r="H21" i="23"/>
  <c r="H22" i="23"/>
  <c r="H24" i="23"/>
  <c r="H26" i="23"/>
  <c r="H17" i="23"/>
  <c r="G18" i="23"/>
  <c r="G19" i="23"/>
  <c r="G20" i="23"/>
  <c r="G21" i="23"/>
  <c r="G22" i="23"/>
  <c r="G24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S68" i="79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D28" i="94"/>
  <c r="Z52" i="79"/>
  <c r="C17" i="79"/>
  <c r="C33" i="79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J11" i="80" l="1"/>
  <c r="K11" i="80" s="1"/>
  <c r="I11" i="80"/>
  <c r="F45" i="23"/>
  <c r="G45" i="23" s="1"/>
  <c r="F13" i="80" s="1"/>
  <c r="E13" i="80"/>
  <c r="L26" i="23"/>
  <c r="N26" i="23" s="1"/>
  <c r="L21" i="23"/>
  <c r="N21" i="23" s="1"/>
  <c r="J13" i="80" l="1"/>
  <c r="K13" i="80" s="1"/>
  <c r="I13" i="80"/>
  <c r="G13" i="80"/>
  <c r="O45" i="23"/>
  <c r="D16" i="79"/>
  <c r="D52" i="79" s="1"/>
  <c r="D68" i="79" s="1"/>
  <c r="D84" i="79" s="1"/>
  <c r="L45" i="23"/>
  <c r="N45" i="23" s="1"/>
  <c r="H13" i="80"/>
  <c r="F24" i="80"/>
  <c r="E8" i="80"/>
  <c r="J8" i="80" s="1"/>
  <c r="K8" i="80" s="1"/>
  <c r="D32" i="79" l="1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R63" i="79"/>
  <c r="O63" i="79"/>
  <c r="N63" i="79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A27" i="79" s="1"/>
  <c r="G8" i="80"/>
  <c r="E9" i="80"/>
  <c r="J9" i="80" l="1"/>
  <c r="K9" i="80" s="1"/>
  <c r="H9" i="80"/>
  <c r="F38" i="23" l="1"/>
  <c r="E6" i="80"/>
  <c r="J6" i="80" s="1"/>
  <c r="K6" i="80" s="1"/>
  <c r="H6" i="80" l="1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C6" i="78" s="1"/>
  <c r="E10" i="78"/>
  <c r="C10" i="78" s="1"/>
  <c r="L8" i="78"/>
  <c r="E8" i="78"/>
  <c r="C16" i="78"/>
  <c r="E7" i="78"/>
  <c r="C7" i="78" s="1"/>
  <c r="E9" i="78"/>
  <c r="C9" i="78" s="1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E14" i="78" l="1"/>
  <c r="I14" i="78" s="1"/>
  <c r="E17" i="78"/>
  <c r="H10" i="80"/>
  <c r="E12" i="80" l="1"/>
  <c r="J12" i="80" s="1"/>
  <c r="K12" i="80" s="1"/>
  <c r="H12" i="80" l="1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J7" i="80" s="1"/>
  <c r="K7" i="80" s="1"/>
  <c r="F42" i="23"/>
  <c r="F43" i="23"/>
  <c r="T26" i="79" l="1"/>
  <c r="T62" i="79"/>
  <c r="H26" i="79"/>
  <c r="X26" i="79"/>
  <c r="P62" i="79"/>
  <c r="Z46" i="79"/>
  <c r="P26" i="79"/>
  <c r="L2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F19" i="80" l="1"/>
  <c r="H37" i="23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D81" i="79" s="1"/>
  <c r="G39" i="23"/>
  <c r="G43" i="23"/>
  <c r="H14" i="95" l="1"/>
  <c r="I14" i="95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G11" i="80"/>
  <c r="P66" i="79"/>
  <c r="Z50" i="79"/>
  <c r="Z48" i="79"/>
  <c r="Z49" i="79"/>
  <c r="N69" i="79"/>
  <c r="O69" i="79"/>
  <c r="J69" i="79"/>
  <c r="K53" i="79"/>
  <c r="K69" i="79" s="1"/>
  <c r="F69" i="79"/>
  <c r="F85" i="79" s="1"/>
  <c r="G53" i="79"/>
  <c r="G69" i="79" s="1"/>
  <c r="G85" i="79" s="1"/>
  <c r="D12" i="79"/>
  <c r="D48" i="79" s="1"/>
  <c r="D64" i="79" s="1"/>
  <c r="D80" i="79" s="1"/>
  <c r="R33" i="79"/>
  <c r="H30" i="79"/>
  <c r="L30" i="79"/>
  <c r="P30" i="79"/>
  <c r="V33" i="79"/>
  <c r="L29" i="79"/>
  <c r="P29" i="79"/>
  <c r="L28" i="79"/>
  <c r="P28" i="79"/>
  <c r="D30" i="79"/>
  <c r="A30" i="79" s="1"/>
  <c r="G10" i="80"/>
  <c r="D29" i="79"/>
  <c r="A29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6" i="79" l="1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D15" i="79" s="1"/>
  <c r="D51" i="79" s="1"/>
  <c r="D67" i="79" s="1"/>
  <c r="D83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G12" i="80" l="1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G28" i="51" l="1"/>
  <c r="G30" i="51" s="1"/>
  <c r="G6" i="80"/>
  <c r="D9" i="79"/>
  <c r="D45" i="79" s="1"/>
  <c r="D61" i="79" s="1"/>
  <c r="N17" i="23"/>
  <c r="F21" i="80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3" i="5"/>
  <c r="B28" i="5"/>
  <c r="E9" i="5"/>
  <c r="B30" i="5"/>
  <c r="B44" i="5"/>
  <c r="B45" i="5"/>
  <c r="B29" i="5"/>
  <c r="B37" i="5"/>
  <c r="B42" i="5"/>
  <c r="B31" i="5"/>
  <c r="B38" i="5"/>
  <c r="B47" i="5"/>
  <c r="B34" i="5"/>
  <c r="B40" i="5"/>
  <c r="B35" i="5"/>
  <c r="B36" i="5"/>
  <c r="B32" i="5"/>
  <c r="B39" i="5"/>
  <c r="B27" i="5"/>
  <c r="B46" i="5"/>
  <c r="B43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F37" i="23"/>
  <c r="F46" i="23" s="1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85" i="79" s="1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14" i="80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T71" i="79" l="1"/>
  <c r="T72" i="79" s="1"/>
  <c r="D85" i="79"/>
  <c r="H71" i="79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B9" i="79"/>
  <c r="AB17" i="79" s="1"/>
  <c r="I21" i="86"/>
  <c r="R21" i="86" s="1"/>
  <c r="Z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<sst xmlns="http://schemas.openxmlformats.org/spreadsheetml/2006/main" count="1266" uniqueCount="302">
  <si>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</si>
  <si>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</si>
  <si>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</si>
  <si>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</si>
  <si>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</si>
  <si>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</si>
  <si>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</si>
  <si>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</si>
  <si>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</si>
  <si>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</si>
  <si>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</si>
  <si>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</si>
  <si>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</si>
  <si>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</si>
  <si>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</si>
  <si>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</si>
  <si>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</si>
  <si>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</si>
  <si>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</si>
  <si>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</si>
  <si>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</si>
  <si>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</si>
  <si>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</si>
  <si>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</si>
  <si>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</si>
  <si>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</si>
  <si>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</si>
  <si>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</si>
  <si>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</si>
  <si>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</si>
  <si>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</si>
  <si>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</si>
  <si>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</si>
  <si>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</si>
  <si>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</si>
  <si>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</si>
  <si>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</si>
  <si>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</si>
  <si>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</si>
  <si>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</si>
  <si>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</si>
  <si>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</si>
  <si>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</si>
  <si>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</si>
  <si>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</si>
  <si>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</si>
  <si>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</si>
  <si>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</si>
  <si>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</si>
  <si>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</si>
  <si>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</si>
  <si>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</si>
  <si>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</si>
  <si>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</si>
  <si>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</si>
  <si>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</si>
  <si>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</si>
  <si>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</si>
  <si>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</si>
  <si>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</si>
  <si>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</si>
  <si>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</si>
  <si>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</si>
  <si>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</si>
  <si>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</si>
  <si>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</si>
  <si>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</si>
  <si>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</si>
  <si>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</si>
  <si>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</si>
  <si>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</si>
  <si>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</si>
  <si>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</si>
  <si>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</si>
  <si>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</si>
  <si>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</si>
  <si>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</si>
  <si>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</si>
  <si>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</si>
  <si>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</si>
  <si>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</si>
  <si>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</si>
  <si>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</si>
  <si>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</si>
  <si>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</si>
  <si>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</si>
  <si>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</si>
  <si>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</si>
  <si>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</si>
  <si>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</si>
  <si>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</si>
  <si>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</si>
  <si>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</si>
  <si>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</si>
  <si>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</si>
  <si>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</si>
  <si>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</si>
  <si>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</si>
  <si>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</si>
  <si>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</si>
  <si>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</si>
  <si>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</si>
  <si>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</si>
  <si>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</si>
  <si>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</si>
  <si>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</si>
  <si>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</si>
  <si>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</si>
  <si>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</si>
  <si>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</si>
  <si>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</si>
  <si>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</si>
  <si>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</si>
  <si>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</si>
  <si>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</si>
  <si>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</si>
  <si>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</si>
  <si>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</si>
  <si>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</si>
  <si>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</si>
  <si>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</si>
  <si>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</si>
  <si>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</si>
  <si>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</si>
  <si>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</si>
  <si>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</si>
  <si>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</si>
  <si>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</si>
  <si>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</si>
  <si>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</si>
  <si>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</si>
  <si>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</si>
  <si>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</si>
  <si>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</si>
  <si>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</si>
  <si>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</si>
  <si>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</si>
  <si>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</si>
  <si>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</si>
  <si>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</si>
  <si>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</si>
  <si>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</si>
  <si>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</si>
  <si>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</si>
  <si>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</si>
  <si>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</si>
  <si>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</si>
  <si>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</si>
  <si>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</si>
  <si>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</si>
  <si>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</si>
  <si>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</si>
  <si>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</si>
  <si>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</si>
  <si>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</si>
  <si>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</si>
  <si>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</si>
  <si>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</si>
  <si>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</si>
  <si>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</si>
  <si>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</si>
  <si>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</si>
  <si>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</si>
  <si>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</si>
  <si>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</si>
  <si>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</si>
  <si>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</si>
  <si>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</si>
  <si>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</si>
  <si>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</si>
  <si>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</si>
  <si>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</si>
  <si>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</si>
  <si>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</si>
  <si>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</si>
  <si>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</si>
  <si>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</si>
  <si>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</si>
  <si>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</si>
  <si>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</si>
  <si>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</si>
  <si>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</si>
  <si>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</si>
  <si>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</si>
  <si>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</si>
  <si>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</si>
  <si>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</si>
  <si>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</si>
  <si>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</si>
  <si>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</si>
  <si>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</si>
  <si>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</si>
  <si>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</si>
  <si>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</si>
  <si>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</si>
  <si>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</si>
  <si>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</si>
  <si>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</si>
  <si>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</si>
  <si>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</si>
  <si>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</si>
  <si>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</si>
  <si>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</si>
  <si>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</si>
  <si>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</si>
  <si>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</si>
  <si>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</si>
  <si>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</si>
  <si>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</si>
  <si>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</si>
  <si>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</si>
  <si>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</si>
  <si>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</si>
  <si>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</si>
  <si>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</si>
  <si>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</si>
  <si>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</si>
  <si>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</si>
  <si>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</si>
  <si>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</si>
  <si>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</si>
  <si>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</si>
  <si>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</si>
  <si>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</si>
  <si>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</si>
  <si>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</si>
  <si>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</si>
  <si>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</si>
  <si>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</si>
  <si>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</si>
  <si>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</si>
  <si>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</si>
  <si>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</si>
  <si>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</si>
  <si>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</si>
  <si>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</si>
  <si>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</si>
  <si>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</si>
  <si>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</si>
  <si>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</si>
  <si>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</si>
  <si>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</si>
  <si>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</si>
  <si>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</si>
  <si>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</si>
  <si>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</si>
  <si>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</si>
  <si>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</si>
  <si>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</si>
  <si>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</si>
  <si>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</si>
  <si>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</si>
  <si>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</si>
  <si>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</si>
  <si>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</si>
  <si>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</si>
  <si>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</si>
  <si>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</si>
  <si>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</si>
  <si>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</si>
  <si>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</si>
  <si>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</si>
  <si>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</si>
  <si>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</si>
  <si>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</si>
  <si>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</si>
  <si>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</si>
  <si>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</si>
  <si>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</si>
  <si>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</si>
  <si>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</si>
  <si>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</si>
  <si>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</si>
  <si>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</si>
  <si>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</si>
  <si>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</si>
  <si>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</si>
  <si>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</si>
  <si>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</si>
  <si>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</si>
  <si>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</si>
  <si>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</si>
  <si>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</si>
  <si>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</si>
  <si>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</si>
  <si>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</si>
  <si>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</si>
  <si>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Optimal channel spend allowed to vary between +/- 30% of the 2023 channel spend except Linear TV</t>
  </si>
  <si>
    <t>10% reduction optimal ($57M)</t>
  </si>
  <si>
    <t>20% reduction optimal ($53M)</t>
  </si>
  <si>
    <t>10% increase optimal ($63M)</t>
  </si>
  <si>
    <t>20% increase optimal ($67M)</t>
  </si>
  <si>
    <t>+$15  (8.5%)</t>
  </si>
  <si>
    <t>+$5  (2.9%)</t>
  </si>
  <si>
    <t>-$10           (-5.9%)</t>
  </si>
  <si>
    <t>+$19   (11.1%)</t>
  </si>
  <si>
    <t>+$23 (13.5%)</t>
  </si>
  <si>
    <t>Maximum Spend</t>
  </si>
  <si>
    <t>Minimum spend</t>
  </si>
  <si>
    <t>Current optimal ($60MM)</t>
  </si>
  <si>
    <t>Δ Pre-tax Revenue w.r.t 2023 Current baseline</t>
  </si>
  <si>
    <t>Fixed 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</si>
</sst>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sz val="11"/>
      <color theme="1" tint="4.9989318521683403E-2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66" fontId="42" fillId="48" borderId="86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1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9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50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41" fillId="0" borderId="72" xfId="0" applyFont="1" applyBorder="1" applyAlignment="1">
      <alignment horizontal="center" vertical="center"/>
    </xf>
    <xf numFmtId="0" fontId="41" fillId="0" borderId="100" xfId="0" applyFont="1" applyBorder="1" applyAlignment="1">
      <alignment horizontal="center" vertical="center"/>
    </xf>
    <xf numFmtId="0" fontId="41" fillId="0" borderId="73" xfId="0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66" fontId="1" fillId="49" borderId="2" xfId="4" applyNumberFormat="1" applyFont="1" applyFill="1" applyBorder="1" applyAlignment="1">
      <alignment horizont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0.91373372667280084</c:v>
                </c:pt>
                <c:pt idx="1">
                  <c:v>0.91373372667280084</c:v>
                </c:pt>
                <c:pt idx="2">
                  <c:v>0.91373372667280084</c:v>
                </c:pt>
                <c:pt idx="3">
                  <c:v>0.91373372667280084</c:v>
                </c:pt>
                <c:pt idx="4">
                  <c:v>0.91373372667280084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13.654847336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13.654847336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2.2763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1.4453127520000002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1.4453127520000002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14.735392401960981</c:v>
                </c:pt>
                <c:pt idx="1">
                  <c:v>14.735392401960981</c:v>
                </c:pt>
                <c:pt idx="2">
                  <c:v>14.735392401960981</c:v>
                </c:pt>
                <c:pt idx="3">
                  <c:v>14.735392401960981</c:v>
                </c:pt>
                <c:pt idx="4">
                  <c:v>14.735392401960981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3.7172548659999998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3.7172548659999998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1.2011674999999999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1.2011674999999999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193869602.87399936</c:v>
                </c:pt>
                <c:pt idx="1">
                  <c:v>189789971.13441807</c:v>
                </c:pt>
                <c:pt idx="2">
                  <c:v>185306894.62261692</c:v>
                </c:pt>
                <c:pt idx="3">
                  <c:v>175734407.32256734</c:v>
                </c:pt>
                <c:pt idx="4">
                  <c:v>160550738.70320585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913733.72667280084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6313.0331838401034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1201167.5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29522.816952164638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2276300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27881.435275465017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14735392.40196098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107635.39132557339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3004187.7083909721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21431.510893311352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913733.72667280084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6313.0331838401034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1445312.7520000001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25719.483123207465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3717254.8659999999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89032.988619922922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2276300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27881.435275465017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14735392.40196098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107635.39132557339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3004187.7083909721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21431.510893311352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0.91373372667280084</c:v>
                </c:pt>
                <c:pt idx="2">
                  <c:v>0.91373372667280084</c:v>
                </c:pt>
                <c:pt idx="3">
                  <c:v>0.91373372667280084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14.735392401960981</c:v>
                </c:pt>
                <c:pt idx="2">
                  <c:v>14.735392401960981</c:v>
                </c:pt>
                <c:pt idx="3">
                  <c:v>14.735392401960981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25.8109286</c:v>
                </c:pt>
                <c:pt idx="2">
                  <c:v>25.8109286</c:v>
                </c:pt>
                <c:pt idx="3">
                  <c:v>25.8109286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31.296979603846825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>
        <row r="4">
          <cell r="F4">
            <v>225.94</v>
          </cell>
        </row>
      </sheetData>
      <sheetData sheetId="1">
        <row r="5">
          <cell r="F5">
            <v>4647854</v>
          </cell>
        </row>
      </sheetData>
      <sheetData sheetId="2">
        <row r="3">
          <cell r="D3" t="str">
            <v>Incr. Doses</v>
          </cell>
        </row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>
        <row r="4">
          <cell r="F4">
            <v>225.94</v>
          </cell>
        </row>
      </sheetData>
      <sheetData sheetId="1">
        <row r="5">
          <cell r="F5">
            <v>4647854</v>
          </cell>
        </row>
      </sheetData>
      <sheetData sheetId="2">
        <row r="3">
          <cell r="D3" t="str">
            <v>Incr. Rx</v>
          </cell>
        </row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214</v>
      </c>
    </row>
    <row r="2" spans="2:20" ht="15.75" thickBot="1" x14ac:dyDescent="0.3"/>
    <row r="3" spans="2:20" ht="30.2" customHeight="1" x14ac:dyDescent="0.25">
      <c r="B3" s="417" t="s">
        <v>2</v>
      </c>
      <c r="C3" s="415" t="s">
        <v>3</v>
      </c>
      <c r="D3" s="413" t="s">
        <v>215</v>
      </c>
      <c r="E3" s="414"/>
      <c r="F3" s="413" t="s">
        <v>216</v>
      </c>
      <c r="G3" s="414"/>
      <c r="H3" s="413" t="s">
        <v>217</v>
      </c>
      <c r="I3" s="414"/>
      <c r="K3" s="417" t="s">
        <v>2</v>
      </c>
      <c r="L3" s="415" t="s">
        <v>3</v>
      </c>
      <c r="M3" s="413" t="s">
        <v>215</v>
      </c>
      <c r="N3" s="414"/>
      <c r="O3" s="413" t="s">
        <v>216</v>
      </c>
      <c r="P3" s="414"/>
      <c r="Q3" s="413" t="s">
        <v>217</v>
      </c>
      <c r="R3" s="414"/>
    </row>
    <row r="4" spans="2:20" ht="25.5" x14ac:dyDescent="0.25">
      <c r="B4" s="416"/>
      <c r="C4" s="416"/>
      <c r="D4" s="213" t="s">
        <v>218</v>
      </c>
      <c r="E4" s="214" t="s">
        <v>219</v>
      </c>
      <c r="F4" s="213" t="s">
        <v>218</v>
      </c>
      <c r="G4" s="214" t="s">
        <v>219</v>
      </c>
      <c r="H4" s="213" t="s">
        <v>218</v>
      </c>
      <c r="I4" s="214" t="s">
        <v>219</v>
      </c>
      <c r="K4" s="416"/>
      <c r="L4" s="416"/>
      <c r="M4" s="213" t="s">
        <v>218</v>
      </c>
      <c r="N4" s="214" t="s">
        <v>219</v>
      </c>
      <c r="O4" s="213" t="s">
        <v>218</v>
      </c>
      <c r="P4" s="214" t="s">
        <v>219</v>
      </c>
      <c r="Q4" s="213" t="s">
        <v>218</v>
      </c>
      <c r="R4" s="214" t="s">
        <v>219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913733.72667280084</v>
      </c>
      <c r="E5" s="217">
        <f>VAC_Optim_Scenario!$J36</f>
        <v>1426366.7175568331</v>
      </c>
      <c r="F5" s="216">
        <f>VAC_Optim_Scenario!$H36</f>
        <v>913733.72667280084</v>
      </c>
      <c r="G5" s="217">
        <f>VAC_Optim_Scenario!$J36</f>
        <v>1426366.7175568331</v>
      </c>
      <c r="H5" s="216">
        <f>VAC_Optim_Scenario!$H36</f>
        <v>913733.72667280084</v>
      </c>
      <c r="I5" s="217">
        <f>VAC_Optim_Scenario!$J36</f>
        <v>1426366.7175568331</v>
      </c>
      <c r="J5" s="218"/>
      <c r="K5" s="53" t="s">
        <v>154</v>
      </c>
      <c r="L5" s="53" t="str">
        <f>VAC_Optim_Scenario!B17</f>
        <v>HCC InOffice</v>
      </c>
      <c r="M5" s="219">
        <f>D5/1000000</f>
        <v>0.91373372667280084</v>
      </c>
      <c r="N5" s="220">
        <f t="shared" ref="N5:R13" si="0">E5/1000000</f>
        <v>1.4263667175568331</v>
      </c>
      <c r="O5" s="219">
        <f t="shared" si="0"/>
        <v>0.91373372667280084</v>
      </c>
      <c r="P5" s="220">
        <f t="shared" si="0"/>
        <v>1.4263667175568331</v>
      </c>
      <c r="Q5" s="219">
        <f t="shared" si="0"/>
        <v>0.91373372667280084</v>
      </c>
      <c r="R5" s="220">
        <f t="shared" si="0"/>
        <v>1.4263667175568331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13654847.335999999</v>
      </c>
      <c r="E6" s="223">
        <f>VAC_Optim_Scenario!$J37</f>
        <v>79502965.080439389</v>
      </c>
      <c r="F6" s="222">
        <f>VAC_Optim_Scenario!$H37</f>
        <v>13654847.335999999</v>
      </c>
      <c r="G6" s="223">
        <f>VAC_Optim_Scenario!$J37</f>
        <v>79502965.080439389</v>
      </c>
      <c r="H6" s="222">
        <f>VAC_Optim_Scenario!$H37</f>
        <v>13654847.335999999</v>
      </c>
      <c r="I6" s="223">
        <f>VAC_Optim_Scenario!$J37</f>
        <v>79502965.080439389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13.654847336</v>
      </c>
      <c r="N6" s="225">
        <f t="shared" si="0"/>
        <v>79.502965080439395</v>
      </c>
      <c r="O6" s="224">
        <f t="shared" si="0"/>
        <v>13.654847336</v>
      </c>
      <c r="P6" s="225">
        <f t="shared" si="0"/>
        <v>79.502965080439395</v>
      </c>
      <c r="Q6" s="224">
        <f t="shared" si="0"/>
        <v>13.654847336</v>
      </c>
      <c r="R6" s="225">
        <f t="shared" si="0"/>
        <v>79.502965080439395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2276300</v>
      </c>
      <c r="E7" s="223">
        <f>VAC_Optim_Scenario!$J38</f>
        <v>6299531.4861385655</v>
      </c>
      <c r="F7" s="222">
        <f>VAC_Optim_Scenario!$H38</f>
        <v>2276300</v>
      </c>
      <c r="G7" s="223">
        <f>VAC_Optim_Scenario!$J38</f>
        <v>6299531.4861385655</v>
      </c>
      <c r="H7" s="222">
        <f>VAC_Optim_Scenario!$H38</f>
        <v>2276300</v>
      </c>
      <c r="I7" s="223">
        <f>VAC_Optim_Scenario!$J38</f>
        <v>6299531.4861385655</v>
      </c>
      <c r="J7" s="226"/>
      <c r="K7" s="54" t="s">
        <v>154</v>
      </c>
      <c r="L7" s="54" t="str">
        <f>VAC_Optim_Scenario!B19</f>
        <v>HCC Social</v>
      </c>
      <c r="M7" s="224">
        <f t="shared" si="1"/>
        <v>2.2763</v>
      </c>
      <c r="N7" s="225">
        <f t="shared" si="0"/>
        <v>6.2995314861385658</v>
      </c>
      <c r="O7" s="224">
        <f t="shared" si="0"/>
        <v>2.2763</v>
      </c>
      <c r="P7" s="225">
        <f t="shared" si="0"/>
        <v>6.2995314861385658</v>
      </c>
      <c r="Q7" s="224">
        <f t="shared" si="0"/>
        <v>2.2763</v>
      </c>
      <c r="R7" s="225">
        <f t="shared" si="0"/>
        <v>6.2995314861385658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1445312.7520000001</v>
      </c>
      <c r="E8" s="223">
        <f>VAC_Optim_Scenario!$J39</f>
        <v>5811060.0168574946</v>
      </c>
      <c r="F8" s="222">
        <f>VAC_Optim_Scenario!$H39</f>
        <v>1445312.7520000001</v>
      </c>
      <c r="G8" s="223">
        <f>VAC_Optim_Scenario!$J39</f>
        <v>5811060.0168574946</v>
      </c>
      <c r="H8" s="222">
        <f>VAC_Optim_Scenario!$H39</f>
        <v>1445312.7520000001</v>
      </c>
      <c r="I8" s="223">
        <f>VAC_Optim_Scenario!$J39</f>
        <v>5811060.0168574946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1.4453127520000002</v>
      </c>
      <c r="N8" s="225">
        <f t="shared" si="0"/>
        <v>5.8110600168574944</v>
      </c>
      <c r="O8" s="224">
        <f t="shared" si="0"/>
        <v>1.4453127520000002</v>
      </c>
      <c r="P8" s="225">
        <f t="shared" si="0"/>
        <v>5.8110600168574944</v>
      </c>
      <c r="Q8" s="224">
        <f t="shared" si="0"/>
        <v>1.4453127520000002</v>
      </c>
      <c r="R8" s="225">
        <f t="shared" si="0"/>
        <v>5.8110600168574944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14735392.40196098</v>
      </c>
      <c r="E9" s="223">
        <f>VAC_Optim_Scenario!$J40</f>
        <v>24319140.316100053</v>
      </c>
      <c r="F9" s="222">
        <f>VAC_Optim_Scenario!$H40</f>
        <v>14735392.40196098</v>
      </c>
      <c r="G9" s="223">
        <f>VAC_Optim_Scenario!$J40</f>
        <v>24319140.316100053</v>
      </c>
      <c r="H9" s="222">
        <f>VAC_Optim_Scenario!$H40</f>
        <v>14735392.40196098</v>
      </c>
      <c r="I9" s="223">
        <f>VAC_Optim_Scenario!$J40</f>
        <v>24319140.316100053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14.735392401960981</v>
      </c>
      <c r="N9" s="225">
        <f t="shared" si="0"/>
        <v>24.319140316100054</v>
      </c>
      <c r="O9" s="224">
        <f t="shared" si="0"/>
        <v>14.735392401960981</v>
      </c>
      <c r="P9" s="225">
        <f t="shared" si="0"/>
        <v>24.319140316100054</v>
      </c>
      <c r="Q9" s="224">
        <f t="shared" si="0"/>
        <v>14.735392401960981</v>
      </c>
      <c r="R9" s="225">
        <f t="shared" si="0"/>
        <v>24.319140316100054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3717254.8659999999</v>
      </c>
      <c r="E10" s="223">
        <f>VAC_Optim_Scenario!$J41</f>
        <v>20116113.448785383</v>
      </c>
      <c r="F10" s="222">
        <f>VAC_Optim_Scenario!$H41</f>
        <v>3717254.8659999999</v>
      </c>
      <c r="G10" s="223">
        <f>VAC_Optim_Scenario!$J41</f>
        <v>20116113.448785383</v>
      </c>
      <c r="H10" s="222">
        <f>VAC_Optim_Scenario!$H41</f>
        <v>3717254.8659999999</v>
      </c>
      <c r="I10" s="223">
        <f>VAC_Optim_Scenario!$J41</f>
        <v>20116113.448785383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3.7172548659999998</v>
      </c>
      <c r="N10" s="225">
        <f t="shared" si="0"/>
        <v>20.116113448785384</v>
      </c>
      <c r="O10" s="224">
        <f t="shared" si="0"/>
        <v>3.7172548659999998</v>
      </c>
      <c r="P10" s="225">
        <f t="shared" si="0"/>
        <v>20.116113448785384</v>
      </c>
      <c r="Q10" s="224">
        <f t="shared" si="0"/>
        <v>3.7172548659999998</v>
      </c>
      <c r="R10" s="225">
        <f t="shared" si="0"/>
        <v>20.116113448785384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50000</v>
      </c>
      <c r="E11" s="223">
        <f>VAC_Optim_Scenario!$J42</f>
        <v>6809106.9964962909</v>
      </c>
      <c r="F11" s="222">
        <f>VAC_Optim_Scenario!$H42</f>
        <v>50000</v>
      </c>
      <c r="G11" s="223">
        <f>VAC_Optim_Scenario!$J42</f>
        <v>6809106.9964962909</v>
      </c>
      <c r="H11" s="222">
        <f>VAC_Optim_Scenario!$H42</f>
        <v>50000</v>
      </c>
      <c r="I11" s="223">
        <f>VAC_Optim_Scenario!$J42</f>
        <v>6809106.9964962909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0.05</v>
      </c>
      <c r="N11" s="225">
        <f t="shared" si="0"/>
        <v>6.8091069964962907</v>
      </c>
      <c r="O11" s="224">
        <f t="shared" si="0"/>
        <v>0.05</v>
      </c>
      <c r="P11" s="225">
        <f t="shared" si="0"/>
        <v>6.8091069964962907</v>
      </c>
      <c r="Q11" s="224">
        <f t="shared" si="0"/>
        <v>0.05</v>
      </c>
      <c r="R11" s="225">
        <f t="shared" si="0"/>
        <v>6.8091069964962907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1201167.5</v>
      </c>
      <c r="E12" s="223">
        <f>VAC_Optim_Scenario!$J43</f>
        <v>6670385.2621720778</v>
      </c>
      <c r="F12" s="222">
        <f>VAC_Optim_Scenario!$H43</f>
        <v>1201167.5</v>
      </c>
      <c r="G12" s="223">
        <f>VAC_Optim_Scenario!$J43</f>
        <v>6670385.2621720778</v>
      </c>
      <c r="H12" s="222">
        <f>VAC_Optim_Scenario!$H43</f>
        <v>1201167.5</v>
      </c>
      <c r="I12" s="223">
        <f>VAC_Optim_Scenario!$J43</f>
        <v>6670385.2621720778</v>
      </c>
      <c r="J12" s="218"/>
      <c r="K12" s="54" t="s">
        <v>154</v>
      </c>
      <c r="L12" s="54" t="str">
        <f>VAC_Optim_Scenario!B24</f>
        <v>HCC Radio</v>
      </c>
      <c r="M12" s="224">
        <f t="shared" si="1"/>
        <v>1.2011674999999999</v>
      </c>
      <c r="N12" s="225">
        <f t="shared" si="0"/>
        <v>6.6703852621720774</v>
      </c>
      <c r="O12" s="224">
        <f t="shared" si="0"/>
        <v>1.2011674999999999</v>
      </c>
      <c r="P12" s="225">
        <f t="shared" si="0"/>
        <v>6.6703852621720774</v>
      </c>
      <c r="Q12" s="224">
        <f t="shared" si="0"/>
        <v>1.2011674999999999</v>
      </c>
      <c r="R12" s="225">
        <f t="shared" si="0"/>
        <v>6.6703852621720774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25810928.600000001</v>
      </c>
      <c r="E13" s="236">
        <f>VAC_Optim_Scenario!$J44</f>
        <v>38072697.978218496</v>
      </c>
      <c r="F13" s="236">
        <f>VAC_Optim_Scenario!$H44</f>
        <v>25810928.600000001</v>
      </c>
      <c r="G13" s="236">
        <f>VAC_Optim_Scenario!$J44</f>
        <v>38072697.978218496</v>
      </c>
      <c r="H13" s="236">
        <f>VAC_Optim_Scenario!$H44</f>
        <v>25810928.600000001</v>
      </c>
      <c r="I13" s="236">
        <f>VAC_Optim_Scenario!$J44</f>
        <v>38072697.978218496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25.8109286</v>
      </c>
      <c r="N13" s="229">
        <f t="shared" si="0"/>
        <v>38.072697978218493</v>
      </c>
      <c r="O13" s="229">
        <f t="shared" si="0"/>
        <v>25.8109286</v>
      </c>
      <c r="P13" s="229">
        <f t="shared" si="0"/>
        <v>38.072697978218493</v>
      </c>
      <c r="Q13" s="229">
        <f t="shared" si="0"/>
        <v>25.8109286</v>
      </c>
      <c r="R13" s="229">
        <f t="shared" si="0"/>
        <v>38.072697978218493</v>
      </c>
    </row>
    <row r="14" spans="2:20" x14ac:dyDescent="0.25">
      <c r="T14" s="277"/>
    </row>
    <row r="15" spans="2:20" x14ac:dyDescent="0.25">
      <c r="C15" s="212" t="s">
        <v>220</v>
      </c>
    </row>
    <row r="17" spans="2:19" ht="38.1" customHeight="1" x14ac:dyDescent="0.25">
      <c r="C17" s="415" t="s">
        <v>3</v>
      </c>
      <c r="D17" s="413" t="s">
        <v>215</v>
      </c>
      <c r="E17" s="414"/>
      <c r="F17" s="413" t="s">
        <v>221</v>
      </c>
      <c r="G17" s="414"/>
      <c r="H17" s="413" t="s">
        <v>222</v>
      </c>
      <c r="I17" s="414"/>
      <c r="L17" s="415" t="s">
        <v>3</v>
      </c>
      <c r="M17" s="413" t="s">
        <v>215</v>
      </c>
      <c r="N17" s="414"/>
      <c r="O17" s="413" t="s">
        <v>221</v>
      </c>
      <c r="P17" s="414"/>
      <c r="Q17" s="413" t="s">
        <v>222</v>
      </c>
      <c r="R17" s="414"/>
    </row>
    <row r="18" spans="2:19" ht="25.5" x14ac:dyDescent="0.25">
      <c r="C18" s="41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1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913733.72667280084</v>
      </c>
      <c r="E19" s="217">
        <f>VAC_Optim_Scenario!$J36</f>
        <v>1426366.7175568331</v>
      </c>
      <c r="F19" s="216">
        <f>VAC_Optim_Scenario!$H36</f>
        <v>913733.72667280084</v>
      </c>
      <c r="G19" s="217">
        <f>VAC_Optim_Scenario!$J36</f>
        <v>1426366.7175568331</v>
      </c>
      <c r="H19" s="216">
        <f>VAC_Optim_Scenario!$H36</f>
        <v>913733.72667280084</v>
      </c>
      <c r="I19" s="217">
        <f>VAC_Optim_Scenario!$J36</f>
        <v>1426366.7175568331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0.91373372667280084</v>
      </c>
      <c r="N19" s="220">
        <f t="shared" ref="N19:R27" si="2">E19/1000000</f>
        <v>1.4263667175568331</v>
      </c>
      <c r="O19" s="219">
        <f t="shared" si="2"/>
        <v>0.91373372667280084</v>
      </c>
      <c r="P19" s="220">
        <f t="shared" si="2"/>
        <v>1.4263667175568331</v>
      </c>
      <c r="Q19" s="219">
        <f t="shared" si="2"/>
        <v>0.91373372667280084</v>
      </c>
      <c r="R19" s="220">
        <f t="shared" si="2"/>
        <v>1.4263667175568331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13654847.335999999</v>
      </c>
      <c r="E20" s="223">
        <f>VAC_Optim_Scenario!$J37</f>
        <v>79502965.080439389</v>
      </c>
      <c r="F20" s="222">
        <f>VAC_Optim_Scenario!$H37</f>
        <v>13654847.335999999</v>
      </c>
      <c r="G20" s="223">
        <f>VAC_Optim_Scenario!$J37</f>
        <v>79502965.080439389</v>
      </c>
      <c r="H20" s="222">
        <f>VAC_Optim_Scenario!$H37</f>
        <v>13654847.335999999</v>
      </c>
      <c r="I20" s="223">
        <f>VAC_Optim_Scenario!$J37</f>
        <v>79502965.080439389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13.654847336</v>
      </c>
      <c r="N20" s="225">
        <f t="shared" si="2"/>
        <v>79.502965080439395</v>
      </c>
      <c r="O20" s="224">
        <f t="shared" si="2"/>
        <v>13.654847336</v>
      </c>
      <c r="P20" s="225">
        <f t="shared" si="2"/>
        <v>79.502965080439395</v>
      </c>
      <c r="Q20" s="224">
        <f t="shared" si="2"/>
        <v>13.654847336</v>
      </c>
      <c r="R20" s="225">
        <f t="shared" si="2"/>
        <v>79.502965080439395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2276300</v>
      </c>
      <c r="E21" s="223">
        <f>VAC_Optim_Scenario!$J38</f>
        <v>6299531.4861385655</v>
      </c>
      <c r="F21" s="222">
        <f>VAC_Optim_Scenario!$H38</f>
        <v>2276300</v>
      </c>
      <c r="G21" s="223">
        <f>VAC_Optim_Scenario!$J38</f>
        <v>6299531.4861385655</v>
      </c>
      <c r="H21" s="222">
        <f>VAC_Optim_Scenario!$H38</f>
        <v>2276300</v>
      </c>
      <c r="I21" s="223">
        <f>VAC_Optim_Scenario!$J38</f>
        <v>6299531.4861385655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2.2763</v>
      </c>
      <c r="N21" s="225">
        <f t="shared" si="2"/>
        <v>6.2995314861385658</v>
      </c>
      <c r="O21" s="224">
        <f t="shared" si="2"/>
        <v>2.2763</v>
      </c>
      <c r="P21" s="225">
        <f t="shared" si="2"/>
        <v>6.2995314861385658</v>
      </c>
      <c r="Q21" s="224">
        <f t="shared" si="2"/>
        <v>2.2763</v>
      </c>
      <c r="R21" s="225">
        <f t="shared" si="2"/>
        <v>6.2995314861385658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1445312.7520000001</v>
      </c>
      <c r="E22" s="223">
        <f>VAC_Optim_Scenario!$J39</f>
        <v>5811060.0168574946</v>
      </c>
      <c r="F22" s="222">
        <f>VAC_Optim_Scenario!$H39</f>
        <v>1445312.7520000001</v>
      </c>
      <c r="G22" s="223">
        <f>VAC_Optim_Scenario!$J39</f>
        <v>5811060.0168574946</v>
      </c>
      <c r="H22" s="222">
        <f>VAC_Optim_Scenario!$H39</f>
        <v>1445312.7520000001</v>
      </c>
      <c r="I22" s="223">
        <f>VAC_Optim_Scenario!$J39</f>
        <v>5811060.0168574946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1.4453127520000002</v>
      </c>
      <c r="N22" s="225">
        <f t="shared" si="2"/>
        <v>5.8110600168574944</v>
      </c>
      <c r="O22" s="224">
        <f t="shared" si="2"/>
        <v>1.4453127520000002</v>
      </c>
      <c r="P22" s="225">
        <f t="shared" si="2"/>
        <v>5.8110600168574944</v>
      </c>
      <c r="Q22" s="224">
        <f t="shared" si="2"/>
        <v>1.4453127520000002</v>
      </c>
      <c r="R22" s="225">
        <f t="shared" si="2"/>
        <v>5.8110600168574944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14735392.40196098</v>
      </c>
      <c r="E23" s="223">
        <f>VAC_Optim_Scenario!$J40</f>
        <v>24319140.316100053</v>
      </c>
      <c r="F23" s="222">
        <f>VAC_Optim_Scenario!$H40</f>
        <v>14735392.40196098</v>
      </c>
      <c r="G23" s="223">
        <f>VAC_Optim_Scenario!$J40</f>
        <v>24319140.316100053</v>
      </c>
      <c r="H23" s="222">
        <f>VAC_Optim_Scenario!$H40</f>
        <v>14735392.40196098</v>
      </c>
      <c r="I23" s="223">
        <f>VAC_Optim_Scenario!$J40</f>
        <v>24319140.316100053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14.735392401960981</v>
      </c>
      <c r="N23" s="225">
        <f t="shared" si="2"/>
        <v>24.319140316100054</v>
      </c>
      <c r="O23" s="224">
        <f t="shared" si="2"/>
        <v>14.735392401960981</v>
      </c>
      <c r="P23" s="225">
        <f t="shared" si="2"/>
        <v>24.319140316100054</v>
      </c>
      <c r="Q23" s="224">
        <f t="shared" si="2"/>
        <v>14.735392401960981</v>
      </c>
      <c r="R23" s="225">
        <f t="shared" si="2"/>
        <v>24.319140316100054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3717254.8659999999</v>
      </c>
      <c r="E24" s="223">
        <f>VAC_Optim_Scenario!$J41</f>
        <v>20116113.448785383</v>
      </c>
      <c r="F24" s="222">
        <f>VAC_Optim_Scenario!$H41</f>
        <v>3717254.8659999999</v>
      </c>
      <c r="G24" s="223">
        <f>VAC_Optim_Scenario!$J41</f>
        <v>20116113.448785383</v>
      </c>
      <c r="H24" s="222">
        <f>VAC_Optim_Scenario!$H41</f>
        <v>3717254.8659999999</v>
      </c>
      <c r="I24" s="223">
        <f>VAC_Optim_Scenario!$J41</f>
        <v>20116113.448785383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3.7172548659999998</v>
      </c>
      <c r="N24" s="225">
        <f t="shared" si="2"/>
        <v>20.116113448785384</v>
      </c>
      <c r="O24" s="224">
        <f t="shared" si="2"/>
        <v>3.7172548659999998</v>
      </c>
      <c r="P24" s="225">
        <f t="shared" si="2"/>
        <v>20.116113448785384</v>
      </c>
      <c r="Q24" s="224">
        <f t="shared" si="2"/>
        <v>3.7172548659999998</v>
      </c>
      <c r="R24" s="225">
        <f t="shared" si="2"/>
        <v>20.116113448785384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50000</v>
      </c>
      <c r="E25" s="223">
        <f>VAC_Optim_Scenario!$J42</f>
        <v>6809106.9964962909</v>
      </c>
      <c r="F25" s="222">
        <f>VAC_Optim_Scenario!$H42</f>
        <v>50000</v>
      </c>
      <c r="G25" s="223">
        <f>VAC_Optim_Scenario!$J42</f>
        <v>6809106.9964962909</v>
      </c>
      <c r="H25" s="222">
        <f>VAC_Optim_Scenario!$H42</f>
        <v>50000</v>
      </c>
      <c r="I25" s="223">
        <f>VAC_Optim_Scenario!$J42</f>
        <v>6809106.9964962909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0.05</v>
      </c>
      <c r="N25" s="225">
        <f t="shared" si="2"/>
        <v>6.8091069964962907</v>
      </c>
      <c r="O25" s="224">
        <f t="shared" si="2"/>
        <v>0.05</v>
      </c>
      <c r="P25" s="225">
        <f t="shared" si="2"/>
        <v>6.8091069964962907</v>
      </c>
      <c r="Q25" s="224">
        <f t="shared" si="2"/>
        <v>0.05</v>
      </c>
      <c r="R25" s="225">
        <f t="shared" si="2"/>
        <v>6.8091069964962907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1201167.5</v>
      </c>
      <c r="E26" s="223">
        <f>VAC_Optim_Scenario!$J43</f>
        <v>6670385.2621720778</v>
      </c>
      <c r="F26" s="222">
        <f>VAC_Optim_Scenario!$H43</f>
        <v>1201167.5</v>
      </c>
      <c r="G26" s="223">
        <f>VAC_Optim_Scenario!$J43</f>
        <v>6670385.2621720778</v>
      </c>
      <c r="H26" s="222">
        <f>VAC_Optim_Scenario!$H43</f>
        <v>1201167.5</v>
      </c>
      <c r="I26" s="223">
        <f>VAC_Optim_Scenario!$J43</f>
        <v>6670385.2621720778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1.2011674999999999</v>
      </c>
      <c r="N26" s="225">
        <f t="shared" si="2"/>
        <v>6.6703852621720774</v>
      </c>
      <c r="O26" s="224">
        <f t="shared" si="2"/>
        <v>1.2011674999999999</v>
      </c>
      <c r="P26" s="225">
        <f t="shared" si="2"/>
        <v>6.6703852621720774</v>
      </c>
      <c r="Q26" s="224">
        <f t="shared" si="2"/>
        <v>1.2011674999999999</v>
      </c>
      <c r="R26" s="225">
        <f t="shared" si="2"/>
        <v>6.6703852621720774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25810928.600000001</v>
      </c>
      <c r="E27" s="236">
        <f>VAC_Optim_Scenario!$J44</f>
        <v>38072697.978218496</v>
      </c>
      <c r="F27" s="236">
        <f>VAC_Optim_Scenario!$H44</f>
        <v>25810928.600000001</v>
      </c>
      <c r="G27" s="236">
        <f>VAC_Optim_Scenario!$J44</f>
        <v>38072697.978218496</v>
      </c>
      <c r="H27" s="236">
        <f>VAC_Optim_Scenario!$H44</f>
        <v>25810928.600000001</v>
      </c>
      <c r="I27" s="236">
        <f>VAC_Optim_Scenario!$J44</f>
        <v>38072697.978218496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25.8109286</v>
      </c>
      <c r="N27" s="229">
        <f t="shared" si="2"/>
        <v>38.072697978218493</v>
      </c>
      <c r="O27" s="229">
        <f t="shared" si="2"/>
        <v>25.8109286</v>
      </c>
      <c r="P27" s="229">
        <f t="shared" si="2"/>
        <v>38.072697978218493</v>
      </c>
      <c r="Q27" s="229">
        <f t="shared" si="2"/>
        <v>25.8109286</v>
      </c>
      <c r="R27" s="229">
        <f t="shared" si="2"/>
        <v>38.072697978218493</v>
      </c>
    </row>
    <row r="30" spans="2:19" ht="34.35" customHeight="1" x14ac:dyDescent="0.25">
      <c r="C30" s="254" t="s">
        <v>3</v>
      </c>
      <c r="D30" s="255" t="s">
        <v>223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0.91373372667280084</v>
      </c>
      <c r="E31" s="219">
        <f>O5</f>
        <v>0.91373372667280084</v>
      </c>
      <c r="F31" s="219">
        <f>Q5</f>
        <v>0.91373372667280084</v>
      </c>
      <c r="G31" s="219">
        <f>O19</f>
        <v>0.91373372667280084</v>
      </c>
      <c r="H31" s="219">
        <f>Q19</f>
        <v>0.91373372667280084</v>
      </c>
      <c r="J31" s="228">
        <v>-0.5</v>
      </c>
      <c r="K31" s="229">
        <f>E$31</f>
        <v>0.91373372667280084</v>
      </c>
      <c r="L31" s="229">
        <f>E$32</f>
        <v>13.654847336</v>
      </c>
      <c r="M31" s="229">
        <f>E$33</f>
        <v>2.2763</v>
      </c>
      <c r="N31" s="229">
        <f>E$34</f>
        <v>1.4453127520000002</v>
      </c>
      <c r="O31" s="229">
        <f>E$35</f>
        <v>14.735392401960981</v>
      </c>
      <c r="P31" s="229">
        <f>E$36</f>
        <v>3.7172548659999998</v>
      </c>
      <c r="Q31" s="229">
        <f>E$37</f>
        <v>0.05</v>
      </c>
      <c r="R31" s="229">
        <f>E$38</f>
        <v>1.2011674999999999</v>
      </c>
      <c r="S31" s="229">
        <f>E$39</f>
        <v>25.8109286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13.654847336</v>
      </c>
      <c r="E32" s="224">
        <f t="shared" ref="E32:E39" si="5">O6</f>
        <v>13.654847336</v>
      </c>
      <c r="F32" s="224">
        <f t="shared" ref="F32:F39" si="6">Q6</f>
        <v>13.654847336</v>
      </c>
      <c r="G32" s="224">
        <f t="shared" ref="G32:G39" si="7">O20</f>
        <v>13.654847336</v>
      </c>
      <c r="H32" s="224">
        <f t="shared" ref="H32:H39" si="8">Q20</f>
        <v>13.654847336</v>
      </c>
      <c r="J32" s="228">
        <v>-0.4</v>
      </c>
      <c r="K32" s="229">
        <f>G$31</f>
        <v>0.91373372667280084</v>
      </c>
      <c r="L32" s="229">
        <f>G$32</f>
        <v>13.654847336</v>
      </c>
      <c r="M32" s="229">
        <f>G$33</f>
        <v>2.2763</v>
      </c>
      <c r="N32" s="229">
        <f>G$34</f>
        <v>1.4453127520000002</v>
      </c>
      <c r="O32" s="229">
        <f>G$35</f>
        <v>14.735392401960981</v>
      </c>
      <c r="P32" s="229">
        <f>G$36</f>
        <v>3.7172548659999998</v>
      </c>
      <c r="Q32" s="229">
        <f>G$37</f>
        <v>0.05</v>
      </c>
      <c r="R32" s="229">
        <f>G$38</f>
        <v>1.2011674999999999</v>
      </c>
      <c r="S32" s="229">
        <f>G$39</f>
        <v>25.8109286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2.2763</v>
      </c>
      <c r="E33" s="224">
        <f t="shared" si="5"/>
        <v>2.2763</v>
      </c>
      <c r="F33" s="224">
        <f t="shared" si="6"/>
        <v>2.2763</v>
      </c>
      <c r="G33" s="224">
        <f t="shared" si="7"/>
        <v>2.2763</v>
      </c>
      <c r="H33" s="224">
        <f t="shared" si="8"/>
        <v>2.2763</v>
      </c>
      <c r="J33" s="228" t="s">
        <v>223</v>
      </c>
      <c r="K33" s="229">
        <f>D$31</f>
        <v>0.91373372667280084</v>
      </c>
      <c r="L33" s="229">
        <f>D$32</f>
        <v>13.654847336</v>
      </c>
      <c r="M33" s="229">
        <f>D$33</f>
        <v>2.2763</v>
      </c>
      <c r="N33" s="229">
        <f>D$34</f>
        <v>1.4453127520000002</v>
      </c>
      <c r="O33" s="229">
        <f>D$35</f>
        <v>14.735392401960981</v>
      </c>
      <c r="P33" s="229">
        <f>D$36</f>
        <v>3.7172548659999998</v>
      </c>
      <c r="Q33" s="229">
        <f>D$37</f>
        <v>0.05</v>
      </c>
      <c r="R33" s="229">
        <f>D$38</f>
        <v>1.2011674999999999</v>
      </c>
      <c r="S33" s="229">
        <f>D$39</f>
        <v>25.8109286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1.4453127520000002</v>
      </c>
      <c r="E34" s="224">
        <f t="shared" si="5"/>
        <v>1.4453127520000002</v>
      </c>
      <c r="F34" s="224">
        <f t="shared" si="6"/>
        <v>1.4453127520000002</v>
      </c>
      <c r="G34" s="224">
        <f t="shared" si="7"/>
        <v>1.4453127520000002</v>
      </c>
      <c r="H34" s="224">
        <f t="shared" si="8"/>
        <v>1.4453127520000002</v>
      </c>
      <c r="J34" s="228">
        <v>0.4</v>
      </c>
      <c r="K34" s="229">
        <f>H$31</f>
        <v>0.91373372667280084</v>
      </c>
      <c r="L34" s="229">
        <f>H$32</f>
        <v>13.654847336</v>
      </c>
      <c r="M34" s="229">
        <f>H$33</f>
        <v>2.2763</v>
      </c>
      <c r="N34" s="229">
        <f>H$34</f>
        <v>1.4453127520000002</v>
      </c>
      <c r="O34" s="229">
        <f>H$35</f>
        <v>14.735392401960981</v>
      </c>
      <c r="P34" s="229">
        <f>H$36</f>
        <v>3.7172548659999998</v>
      </c>
      <c r="Q34" s="229">
        <f>H$37</f>
        <v>0.05</v>
      </c>
      <c r="R34" s="229">
        <f>H$38</f>
        <v>1.2011674999999999</v>
      </c>
      <c r="S34" s="229">
        <f>H$39</f>
        <v>25.8109286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14.735392401960981</v>
      </c>
      <c r="E35" s="224">
        <f t="shared" si="5"/>
        <v>14.735392401960981</v>
      </c>
      <c r="F35" s="224">
        <f t="shared" si="6"/>
        <v>14.735392401960981</v>
      </c>
      <c r="G35" s="224">
        <f t="shared" si="7"/>
        <v>14.735392401960981</v>
      </c>
      <c r="H35" s="224">
        <f t="shared" si="8"/>
        <v>14.735392401960981</v>
      </c>
      <c r="J35" s="227">
        <v>2</v>
      </c>
      <c r="K35" s="229">
        <f>F$31</f>
        <v>0.91373372667280084</v>
      </c>
      <c r="L35" s="229">
        <f>F$32</f>
        <v>13.654847336</v>
      </c>
      <c r="M35" s="229">
        <f>F$33</f>
        <v>2.2763</v>
      </c>
      <c r="N35" s="229">
        <f>F$34</f>
        <v>1.4453127520000002</v>
      </c>
      <c r="O35" s="229">
        <f>F$35</f>
        <v>14.735392401960981</v>
      </c>
      <c r="P35" s="229">
        <f>F$36</f>
        <v>3.7172548659999998</v>
      </c>
      <c r="Q35" s="229">
        <f>F$37</f>
        <v>0.05</v>
      </c>
      <c r="R35" s="229">
        <f>F$38</f>
        <v>1.2011674999999999</v>
      </c>
      <c r="S35" s="229">
        <f>F$39</f>
        <v>25.8109286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3.7172548659999998</v>
      </c>
      <c r="E36" s="224">
        <f t="shared" si="5"/>
        <v>3.7172548659999998</v>
      </c>
      <c r="F36" s="224">
        <f t="shared" si="6"/>
        <v>3.7172548659999998</v>
      </c>
      <c r="G36" s="224">
        <f t="shared" si="7"/>
        <v>3.7172548659999998</v>
      </c>
      <c r="H36" s="224">
        <f t="shared" si="8"/>
        <v>3.7172548659999998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0.05</v>
      </c>
      <c r="E37" s="224">
        <f t="shared" si="5"/>
        <v>0.05</v>
      </c>
      <c r="F37" s="224">
        <f t="shared" si="6"/>
        <v>0.05</v>
      </c>
      <c r="G37" s="224">
        <f t="shared" si="7"/>
        <v>0.05</v>
      </c>
      <c r="H37" s="224">
        <f t="shared" si="8"/>
        <v>0.05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1.2011674999999999</v>
      </c>
      <c r="E38" s="224">
        <f t="shared" si="5"/>
        <v>1.2011674999999999</v>
      </c>
      <c r="F38" s="224">
        <f t="shared" si="6"/>
        <v>1.2011674999999999</v>
      </c>
      <c r="G38" s="224">
        <f t="shared" si="7"/>
        <v>1.2011674999999999</v>
      </c>
      <c r="H38" s="224">
        <f t="shared" si="8"/>
        <v>1.2011674999999999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25.8109286</v>
      </c>
      <c r="E39" s="224">
        <f t="shared" si="5"/>
        <v>25.8109286</v>
      </c>
      <c r="F39" s="224">
        <f t="shared" si="6"/>
        <v>25.8109286</v>
      </c>
      <c r="G39" s="224">
        <f t="shared" si="7"/>
        <v>25.8109286</v>
      </c>
      <c r="H39" s="224">
        <f t="shared" si="8"/>
        <v>25.8109286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opLeftCell="A7" workbookViewId="0">
      <selection activeCell="D19" sqref="D19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18" t="s">
        <v>185</v>
      </c>
      <c r="H4" s="418"/>
      <c r="I4" s="419" t="s">
        <v>186</v>
      </c>
      <c r="J4" s="419"/>
      <c r="K4" s="420" t="s">
        <v>187</v>
      </c>
      <c r="L4" s="420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276</v>
      </c>
      <c r="G5" s="265" t="s">
        <v>229</v>
      </c>
      <c r="H5" s="265"/>
      <c r="I5" s="265" t="s">
        <v>229</v>
      </c>
      <c r="J5" s="265"/>
      <c r="K5" s="265" t="s">
        <v>229</v>
      </c>
      <c r="L5" s="265"/>
      <c r="M5" s="266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193869602.87399936</v>
      </c>
      <c r="H6" s="160"/>
      <c r="I6" s="160">
        <f t="shared" ref="I6:J10" si="1">G6-$F$8</f>
        <v>21820986.654991418</v>
      </c>
      <c r="J6" s="160">
        <f t="shared" si="1"/>
        <v>-172048616.21900794</v>
      </c>
      <c r="K6" s="163">
        <f t="shared" ref="K6:L10" si="2">G6/$C6</f>
        <v>2.6937067175055729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189789971.13441807</v>
      </c>
      <c r="H7" s="164"/>
      <c r="I7" s="160">
        <f t="shared" si="1"/>
        <v>17741354.915410131</v>
      </c>
      <c r="J7" s="160">
        <f t="shared" si="1"/>
        <v>-172048616.21900794</v>
      </c>
      <c r="K7" s="163">
        <f t="shared" si="2"/>
        <v>2.8767519043606606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185306894.62261692</v>
      </c>
      <c r="H8" s="160"/>
      <c r="I8" s="160">
        <f t="shared" si="1"/>
        <v>13258278.403608978</v>
      </c>
      <c r="J8" s="160">
        <f t="shared" si="1"/>
        <v>-172048616.21900794</v>
      </c>
      <c r="K8" s="163">
        <f t="shared" si="2"/>
        <v>3.0896793686803505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175734407.32256734</v>
      </c>
      <c r="H9" s="160"/>
      <c r="I9" s="160">
        <f t="shared" si="1"/>
        <v>3685791.1035594046</v>
      </c>
      <c r="J9" s="160">
        <f t="shared" si="1"/>
        <v>-172048616.21900794</v>
      </c>
      <c r="K9" s="163">
        <f t="shared" si="2"/>
        <v>3.2556381298504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160550738.70320585</v>
      </c>
      <c r="H10" s="160"/>
      <c r="I10" s="160">
        <f t="shared" si="1"/>
        <v>-11497877.515802085</v>
      </c>
      <c r="J10" s="160">
        <f t="shared" si="1"/>
        <v>-172048616.21900794</v>
      </c>
      <c r="K10" s="163">
        <f t="shared" si="2"/>
        <v>3.346140371678469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421" t="s">
        <v>191</v>
      </c>
      <c r="G12" s="421"/>
      <c r="H12" s="421" t="s">
        <v>192</v>
      </c>
      <c r="I12" s="421"/>
    </row>
    <row r="13" spans="2:13" x14ac:dyDescent="0.25">
      <c r="C13" s="157" t="s">
        <v>188</v>
      </c>
      <c r="D13" s="157" t="s">
        <v>189</v>
      </c>
      <c r="E13" s="97" t="s">
        <v>193</v>
      </c>
      <c r="F13" s="265" t="s">
        <v>229</v>
      </c>
      <c r="G13" s="159"/>
      <c r="H13" s="265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4079631.7395812869</v>
      </c>
      <c r="G14" s="169">
        <f t="shared" si="4"/>
        <v>0</v>
      </c>
      <c r="H14" s="163">
        <f t="shared" ref="H14:I17" si="5">F14/$E14</f>
        <v>0.68020966209961076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4483076.5118011534</v>
      </c>
      <c r="G15" s="169">
        <f t="shared" si="4"/>
        <v>0</v>
      </c>
      <c r="H15" s="163">
        <f t="shared" si="5"/>
        <v>0.74747726116375857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9572487.3000495732</v>
      </c>
      <c r="G16" s="169">
        <f t="shared" si="4"/>
        <v>0</v>
      </c>
      <c r="H16" s="163">
        <f t="shared" si="5"/>
        <v>1.5960505181499089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15183668.61936149</v>
      </c>
      <c r="G17" s="169">
        <f t="shared" si="4"/>
        <v>0</v>
      </c>
      <c r="H17" s="163">
        <f t="shared" si="5"/>
        <v>2.5316201952258477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115" zoomScaleNormal="115" workbookViewId="0">
      <selection activeCell="B31" sqref="B3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214</v>
      </c>
    </row>
    <row r="2" spans="2:20" ht="15.75" thickBot="1" x14ac:dyDescent="0.3"/>
    <row r="3" spans="2:20" ht="30.2" customHeight="1" x14ac:dyDescent="0.25">
      <c r="B3" s="417" t="s">
        <v>2</v>
      </c>
      <c r="C3" s="415" t="s">
        <v>3</v>
      </c>
      <c r="D3" s="413" t="s">
        <v>215</v>
      </c>
      <c r="E3" s="414"/>
      <c r="F3" s="413" t="s">
        <v>216</v>
      </c>
      <c r="G3" s="414"/>
      <c r="H3" s="413" t="s">
        <v>217</v>
      </c>
      <c r="I3" s="414"/>
      <c r="K3" s="417" t="s">
        <v>2</v>
      </c>
      <c r="L3" s="415" t="s">
        <v>3</v>
      </c>
      <c r="M3" s="413" t="s">
        <v>215</v>
      </c>
      <c r="N3" s="414"/>
      <c r="O3" s="413" t="s">
        <v>216</v>
      </c>
      <c r="P3" s="414"/>
      <c r="Q3" s="413" t="s">
        <v>217</v>
      </c>
      <c r="R3" s="414"/>
    </row>
    <row r="4" spans="2:20" ht="25.5" x14ac:dyDescent="0.25">
      <c r="B4" s="416"/>
      <c r="C4" s="416"/>
      <c r="D4" s="213" t="s">
        <v>218</v>
      </c>
      <c r="E4" s="214" t="s">
        <v>219</v>
      </c>
      <c r="F4" s="213" t="s">
        <v>218</v>
      </c>
      <c r="G4" s="214" t="s">
        <v>219</v>
      </c>
      <c r="H4" s="213" t="s">
        <v>218</v>
      </c>
      <c r="I4" s="214" t="s">
        <v>219</v>
      </c>
      <c r="K4" s="416"/>
      <c r="L4" s="416"/>
      <c r="M4" s="213" t="s">
        <v>218</v>
      </c>
      <c r="N4" s="214" t="s">
        <v>219</v>
      </c>
      <c r="O4" s="213" t="s">
        <v>218</v>
      </c>
      <c r="P4" s="214" t="s">
        <v>219</v>
      </c>
      <c r="Q4" s="213" t="s">
        <v>218</v>
      </c>
      <c r="R4" s="214" t="s">
        <v>219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913733.72667280084</v>
      </c>
      <c r="E5" s="217">
        <f>VAC_Optim_Scenario!$J36</f>
        <v>1426366.7175568331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0.91373372667280084</v>
      </c>
      <c r="N5" s="220">
        <f t="shared" ref="N5:R5" si="0">E5/1000000</f>
        <v>1.4263667175568331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13654847.335999999</v>
      </c>
      <c r="E6" s="223">
        <f>VAC_Optim_Scenario!$J37</f>
        <v>79502965.080439389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13.654847336</v>
      </c>
      <c r="N6" s="225">
        <f t="shared" ref="N6:N13" si="2">E6/1000000</f>
        <v>79.502965080439395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2276300</v>
      </c>
      <c r="E7" s="223">
        <f>VAC_Optim_Scenario!$J38</f>
        <v>6299531.4861385655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2.2763</v>
      </c>
      <c r="N7" s="225">
        <f t="shared" si="2"/>
        <v>6.2995314861385658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1445312.7520000001</v>
      </c>
      <c r="E8" s="223">
        <f>VAC_Optim_Scenario!$J39</f>
        <v>5811060.0168574946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1.4453127520000002</v>
      </c>
      <c r="N8" s="225">
        <f t="shared" si="2"/>
        <v>5.8110600168574944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14735392.40196098</v>
      </c>
      <c r="E9" s="223">
        <f>VAC_Optim_Scenario!$J40</f>
        <v>24319140.316100053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14.735392401960981</v>
      </c>
      <c r="N9" s="225">
        <f t="shared" si="2"/>
        <v>24.319140316100054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3717254.8659999999</v>
      </c>
      <c r="E10" s="223">
        <f>VAC_Optim_Scenario!$J41</f>
        <v>20116113.448785383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3.7172548659999998</v>
      </c>
      <c r="N10" s="225">
        <f t="shared" si="2"/>
        <v>20.116113448785384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50000</v>
      </c>
      <c r="E11" s="223">
        <f>VAC_Optim_Scenario!$J42</f>
        <v>6809106.9964962909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0.05</v>
      </c>
      <c r="N11" s="225">
        <f t="shared" si="2"/>
        <v>6.8091069964962907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1201167.5</v>
      </c>
      <c r="E12" s="223">
        <f>VAC_Optim_Scenario!$J43</f>
        <v>6670385.2621720778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1.2011674999999999</v>
      </c>
      <c r="N12" s="225">
        <f t="shared" si="2"/>
        <v>6.6703852621720774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25810928.600000001</v>
      </c>
      <c r="E13" s="236">
        <f>VAC_Optim_Scenario!$J44</f>
        <v>38072697.978218496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25.8109286</v>
      </c>
      <c r="N13" s="229">
        <f t="shared" si="2"/>
        <v>38.072697978218493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220</v>
      </c>
    </row>
    <row r="17" spans="2:19" ht="38.1" customHeight="1" x14ac:dyDescent="0.25">
      <c r="C17" s="415" t="s">
        <v>3</v>
      </c>
      <c r="D17" s="413" t="s">
        <v>215</v>
      </c>
      <c r="E17" s="414"/>
      <c r="F17" s="413" t="s">
        <v>221</v>
      </c>
      <c r="G17" s="414"/>
      <c r="H17" s="413" t="s">
        <v>222</v>
      </c>
      <c r="I17" s="414"/>
      <c r="L17" s="415" t="s">
        <v>3</v>
      </c>
      <c r="M17" s="413" t="s">
        <v>215</v>
      </c>
      <c r="N17" s="414"/>
      <c r="O17" s="413" t="s">
        <v>221</v>
      </c>
      <c r="P17" s="414"/>
      <c r="Q17" s="413" t="s">
        <v>222</v>
      </c>
      <c r="R17" s="414"/>
    </row>
    <row r="18" spans="2:19" ht="25.5" x14ac:dyDescent="0.25">
      <c r="C18" s="41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1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913733.72667280084</v>
      </c>
      <c r="E19" s="217">
        <f>VAC_Optim_Scenario!$J36</f>
        <v>1426366.7175568331</v>
      </c>
      <c r="F19" s="216">
        <f>VAC_Optim_Scenario!$H36</f>
        <v>913733.72667280084</v>
      </c>
      <c r="G19" s="217">
        <f>VAC_Optim_Scenario!$J36</f>
        <v>1426366.7175568331</v>
      </c>
      <c r="H19" s="216">
        <f>VAC_Optim_Scenario!$H36</f>
        <v>913733.72667280084</v>
      </c>
      <c r="I19" s="217">
        <f>VAC_Optim_Scenario!$J36</f>
        <v>1426366.7175568331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0.91373372667280084</v>
      </c>
      <c r="N19" s="220">
        <f t="shared" ref="N19:R19" si="7">E19/1000000</f>
        <v>1.4263667175568331</v>
      </c>
      <c r="O19" s="219">
        <f t="shared" si="7"/>
        <v>0.91373372667280084</v>
      </c>
      <c r="P19" s="220">
        <f t="shared" si="7"/>
        <v>1.4263667175568331</v>
      </c>
      <c r="Q19" s="219">
        <f t="shared" si="7"/>
        <v>0.91373372667280084</v>
      </c>
      <c r="R19" s="220">
        <f t="shared" si="7"/>
        <v>1.4263667175568331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13654847.335999999</v>
      </c>
      <c r="E20" s="223">
        <f>VAC_Optim_Scenario!$J37</f>
        <v>79502965.080439389</v>
      </c>
      <c r="F20" s="222">
        <f>VAC_Optim_Scenario!$H37</f>
        <v>13654847.335999999</v>
      </c>
      <c r="G20" s="223">
        <f>VAC_Optim_Scenario!$J37</f>
        <v>79502965.080439389</v>
      </c>
      <c r="H20" s="222">
        <f>VAC_Optim_Scenario!$H37</f>
        <v>13654847.335999999</v>
      </c>
      <c r="I20" s="223">
        <f>VAC_Optim_Scenario!$J37</f>
        <v>79502965.080439389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13.654847336</v>
      </c>
      <c r="N20" s="225">
        <f t="shared" ref="N20:N27" si="9">E20/1000000</f>
        <v>79.502965080439395</v>
      </c>
      <c r="O20" s="224">
        <f t="shared" ref="O20:O27" si="10">F20/1000000</f>
        <v>13.654847336</v>
      </c>
      <c r="P20" s="225">
        <f t="shared" ref="P20:P27" si="11">G20/1000000</f>
        <v>79.502965080439395</v>
      </c>
      <c r="Q20" s="224">
        <f t="shared" ref="Q20:Q27" si="12">H20/1000000</f>
        <v>13.654847336</v>
      </c>
      <c r="R20" s="225">
        <f t="shared" ref="R20:R27" si="13">I20/1000000</f>
        <v>79.502965080439395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2276300</v>
      </c>
      <c r="E21" s="223">
        <f>VAC_Optim_Scenario!$J38</f>
        <v>6299531.4861385655</v>
      </c>
      <c r="F21" s="222">
        <f>VAC_Optim_Scenario!$H38</f>
        <v>2276300</v>
      </c>
      <c r="G21" s="223">
        <f>VAC_Optim_Scenario!$J38</f>
        <v>6299531.4861385655</v>
      </c>
      <c r="H21" s="222">
        <f>VAC_Optim_Scenario!$H38</f>
        <v>2276300</v>
      </c>
      <c r="I21" s="223">
        <f>VAC_Optim_Scenario!$J38</f>
        <v>6299531.4861385655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2.2763</v>
      </c>
      <c r="N21" s="225">
        <f t="shared" si="9"/>
        <v>6.2995314861385658</v>
      </c>
      <c r="O21" s="224">
        <f t="shared" si="10"/>
        <v>2.2763</v>
      </c>
      <c r="P21" s="225">
        <f t="shared" si="11"/>
        <v>6.2995314861385658</v>
      </c>
      <c r="Q21" s="224">
        <f t="shared" si="12"/>
        <v>2.2763</v>
      </c>
      <c r="R21" s="225">
        <f t="shared" si="13"/>
        <v>6.2995314861385658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1445312.7520000001</v>
      </c>
      <c r="E22" s="223">
        <f>VAC_Optim_Scenario!$J39</f>
        <v>5811060.0168574946</v>
      </c>
      <c r="F22" s="222">
        <f>VAC_Optim_Scenario!$H39</f>
        <v>1445312.7520000001</v>
      </c>
      <c r="G22" s="223">
        <f>VAC_Optim_Scenario!$J39</f>
        <v>5811060.0168574946</v>
      </c>
      <c r="H22" s="222">
        <f>VAC_Optim_Scenario!$H39</f>
        <v>1445312.7520000001</v>
      </c>
      <c r="I22" s="223">
        <f>VAC_Optim_Scenario!$J39</f>
        <v>5811060.0168574946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1.4453127520000002</v>
      </c>
      <c r="N22" s="225">
        <f t="shared" si="9"/>
        <v>5.8110600168574944</v>
      </c>
      <c r="O22" s="224">
        <f t="shared" si="10"/>
        <v>1.4453127520000002</v>
      </c>
      <c r="P22" s="225">
        <f t="shared" si="11"/>
        <v>5.8110600168574944</v>
      </c>
      <c r="Q22" s="224">
        <f t="shared" si="12"/>
        <v>1.4453127520000002</v>
      </c>
      <c r="R22" s="225">
        <f t="shared" si="13"/>
        <v>5.8110600168574944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14735392.40196098</v>
      </c>
      <c r="E23" s="223">
        <f>VAC_Optim_Scenario!$J40</f>
        <v>24319140.316100053</v>
      </c>
      <c r="F23" s="222">
        <f>VAC_Optim_Scenario!$H40</f>
        <v>14735392.40196098</v>
      </c>
      <c r="G23" s="223">
        <f>VAC_Optim_Scenario!$J40</f>
        <v>24319140.316100053</v>
      </c>
      <c r="H23" s="222">
        <f>VAC_Optim_Scenario!$H40</f>
        <v>14735392.40196098</v>
      </c>
      <c r="I23" s="223">
        <f>VAC_Optim_Scenario!$J40</f>
        <v>24319140.316100053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14.735392401960981</v>
      </c>
      <c r="N23" s="225">
        <f t="shared" si="9"/>
        <v>24.319140316100054</v>
      </c>
      <c r="O23" s="224">
        <f t="shared" si="10"/>
        <v>14.735392401960981</v>
      </c>
      <c r="P23" s="225">
        <f t="shared" si="11"/>
        <v>24.319140316100054</v>
      </c>
      <c r="Q23" s="224">
        <f t="shared" si="12"/>
        <v>14.735392401960981</v>
      </c>
      <c r="R23" s="225">
        <f t="shared" si="13"/>
        <v>24.319140316100054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3717254.8659999999</v>
      </c>
      <c r="E24" s="223">
        <f>VAC_Optim_Scenario!$J41</f>
        <v>20116113.448785383</v>
      </c>
      <c r="F24" s="222">
        <f>VAC_Optim_Scenario!$H41</f>
        <v>3717254.8659999999</v>
      </c>
      <c r="G24" s="223">
        <f>VAC_Optim_Scenario!$J41</f>
        <v>20116113.448785383</v>
      </c>
      <c r="H24" s="222">
        <f>VAC_Optim_Scenario!$H41</f>
        <v>3717254.8659999999</v>
      </c>
      <c r="I24" s="223">
        <f>VAC_Optim_Scenario!$J41</f>
        <v>20116113.448785383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3.7172548659999998</v>
      </c>
      <c r="N24" s="225">
        <f t="shared" si="9"/>
        <v>20.116113448785384</v>
      </c>
      <c r="O24" s="224">
        <f t="shared" si="10"/>
        <v>3.7172548659999998</v>
      </c>
      <c r="P24" s="225">
        <f t="shared" si="11"/>
        <v>20.116113448785384</v>
      </c>
      <c r="Q24" s="224">
        <f t="shared" si="12"/>
        <v>3.7172548659999998</v>
      </c>
      <c r="R24" s="225">
        <f t="shared" si="13"/>
        <v>20.116113448785384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50000</v>
      </c>
      <c r="E25" s="223">
        <f>VAC_Optim_Scenario!$J42</f>
        <v>6809106.9964962909</v>
      </c>
      <c r="F25" s="222">
        <f>VAC_Optim_Scenario!$H42</f>
        <v>50000</v>
      </c>
      <c r="G25" s="223">
        <f>VAC_Optim_Scenario!$J42</f>
        <v>6809106.9964962909</v>
      </c>
      <c r="H25" s="222">
        <f>VAC_Optim_Scenario!$H42</f>
        <v>50000</v>
      </c>
      <c r="I25" s="223">
        <f>VAC_Optim_Scenario!$J42</f>
        <v>6809106.9964962909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0.05</v>
      </c>
      <c r="N25" s="225">
        <f t="shared" si="9"/>
        <v>6.8091069964962907</v>
      </c>
      <c r="O25" s="224">
        <f t="shared" si="10"/>
        <v>0.05</v>
      </c>
      <c r="P25" s="225">
        <f t="shared" si="11"/>
        <v>6.8091069964962907</v>
      </c>
      <c r="Q25" s="224">
        <f t="shared" si="12"/>
        <v>0.05</v>
      </c>
      <c r="R25" s="225">
        <f t="shared" si="13"/>
        <v>6.8091069964962907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1201167.5</v>
      </c>
      <c r="E26" s="223">
        <f>VAC_Optim_Scenario!$J43</f>
        <v>6670385.2621720778</v>
      </c>
      <c r="F26" s="222">
        <f>VAC_Optim_Scenario!$H43</f>
        <v>1201167.5</v>
      </c>
      <c r="G26" s="223">
        <f>VAC_Optim_Scenario!$J43</f>
        <v>6670385.2621720778</v>
      </c>
      <c r="H26" s="222">
        <f>VAC_Optim_Scenario!$H43</f>
        <v>1201167.5</v>
      </c>
      <c r="I26" s="223">
        <f>VAC_Optim_Scenario!$J43</f>
        <v>6670385.2621720778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1.2011674999999999</v>
      </c>
      <c r="N26" s="225">
        <f t="shared" si="9"/>
        <v>6.6703852621720774</v>
      </c>
      <c r="O26" s="224">
        <f t="shared" si="10"/>
        <v>1.2011674999999999</v>
      </c>
      <c r="P26" s="225">
        <f t="shared" si="11"/>
        <v>6.6703852621720774</v>
      </c>
      <c r="Q26" s="224">
        <f t="shared" si="12"/>
        <v>1.2011674999999999</v>
      </c>
      <c r="R26" s="225">
        <f t="shared" si="13"/>
        <v>6.6703852621720774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25810928.600000001</v>
      </c>
      <c r="E27" s="236">
        <f>VAC_Optim_Scenario!$J44</f>
        <v>38072697.978218496</v>
      </c>
      <c r="F27" s="236">
        <f>VAC_Optim_Scenario!$H44</f>
        <v>25810928.600000001</v>
      </c>
      <c r="G27" s="236">
        <f>VAC_Optim_Scenario!$J44</f>
        <v>38072697.978218496</v>
      </c>
      <c r="H27" s="236">
        <f>VAC_Optim_Scenario!$H44</f>
        <v>25810928.600000001</v>
      </c>
      <c r="I27" s="236">
        <f>VAC_Optim_Scenario!$J44</f>
        <v>38072697.978218496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25.8109286</v>
      </c>
      <c r="N27" s="229">
        <f t="shared" si="9"/>
        <v>38.072697978218493</v>
      </c>
      <c r="O27" s="229">
        <f t="shared" si="10"/>
        <v>25.8109286</v>
      </c>
      <c r="P27" s="229">
        <f t="shared" si="11"/>
        <v>38.072697978218493</v>
      </c>
      <c r="Q27" s="229">
        <f t="shared" si="12"/>
        <v>25.8109286</v>
      </c>
      <c r="R27" s="229">
        <f t="shared" si="13"/>
        <v>38.072697978218493</v>
      </c>
    </row>
    <row r="30" spans="2:19" ht="34.35" customHeight="1" x14ac:dyDescent="0.25">
      <c r="C30" s="141" t="s">
        <v>3</v>
      </c>
      <c r="D30" s="142" t="s">
        <v>223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0.91373372667280084</v>
      </c>
      <c r="E31" s="219">
        <f>O5</f>
        <v>2.3045999176017213</v>
      </c>
      <c r="F31" s="219">
        <f>Q5</f>
        <v>2.34</v>
      </c>
      <c r="G31" s="219">
        <f>O19</f>
        <v>0.91373372667280084</v>
      </c>
      <c r="H31" s="219">
        <f>Q19</f>
        <v>0.91373372667280084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13.654847336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13.654847336</v>
      </c>
      <c r="H32" s="224">
        <f t="shared" ref="H32:H39" si="18">Q20</f>
        <v>13.654847336</v>
      </c>
      <c r="J32" s="228">
        <v>-0.4</v>
      </c>
      <c r="K32" s="229">
        <f>G$31</f>
        <v>0.91373372667280084</v>
      </c>
      <c r="L32" s="229">
        <f>G$32</f>
        <v>13.654847336</v>
      </c>
      <c r="M32" s="229">
        <f>G$33</f>
        <v>2.2763</v>
      </c>
      <c r="N32" s="229">
        <f>G$34</f>
        <v>1.4453127520000002</v>
      </c>
      <c r="O32" s="229">
        <f>G$35</f>
        <v>14.735392401960981</v>
      </c>
      <c r="P32" s="229">
        <f>G$36</f>
        <v>3.7172548659999998</v>
      </c>
      <c r="Q32" s="229">
        <f>G$37</f>
        <v>0.05</v>
      </c>
      <c r="R32" s="229">
        <f>G$38</f>
        <v>1.2011674999999999</v>
      </c>
      <c r="S32" s="229">
        <f>G$39</f>
        <v>25.8109286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2.2763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2.2763</v>
      </c>
      <c r="H33" s="224">
        <f t="shared" si="18"/>
        <v>2.2763</v>
      </c>
      <c r="J33" s="228" t="s">
        <v>223</v>
      </c>
      <c r="K33" s="229">
        <f>D$31</f>
        <v>0.91373372667280084</v>
      </c>
      <c r="L33" s="229">
        <f>D$32</f>
        <v>13.654847336</v>
      </c>
      <c r="M33" s="229">
        <f>D$33</f>
        <v>2.2763</v>
      </c>
      <c r="N33" s="229">
        <f>D$34</f>
        <v>1.4453127520000002</v>
      </c>
      <c r="O33" s="229">
        <f>D$35</f>
        <v>14.735392401960981</v>
      </c>
      <c r="P33" s="229">
        <f>D$36</f>
        <v>3.7172548659999998</v>
      </c>
      <c r="Q33" s="229">
        <f>D$37</f>
        <v>0.05</v>
      </c>
      <c r="R33" s="229">
        <f>D$38</f>
        <v>1.2011674999999999</v>
      </c>
      <c r="S33" s="229">
        <f>D$39</f>
        <v>25.8109286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1.4453127520000002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1.4453127520000002</v>
      </c>
      <c r="H34" s="224">
        <f t="shared" si="18"/>
        <v>1.4453127520000002</v>
      </c>
      <c r="J34" s="228">
        <v>0.4</v>
      </c>
      <c r="K34" s="229">
        <f>H$31</f>
        <v>0.91373372667280084</v>
      </c>
      <c r="L34" s="229">
        <f>H$32</f>
        <v>13.654847336</v>
      </c>
      <c r="M34" s="229">
        <f>H$33</f>
        <v>2.2763</v>
      </c>
      <c r="N34" s="229">
        <f>H$34</f>
        <v>1.4453127520000002</v>
      </c>
      <c r="O34" s="229">
        <f>H$35</f>
        <v>14.735392401960981</v>
      </c>
      <c r="P34" s="229">
        <f>H$36</f>
        <v>3.7172548659999998</v>
      </c>
      <c r="Q34" s="229">
        <f>H$37</f>
        <v>0.05</v>
      </c>
      <c r="R34" s="229">
        <f>H$38</f>
        <v>1.2011674999999999</v>
      </c>
      <c r="S34" s="229">
        <f>H$39</f>
        <v>25.8109286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14.735392401960981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14.735392401960981</v>
      </c>
      <c r="H35" s="224">
        <f t="shared" si="18"/>
        <v>14.735392401960981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3.7172548659999998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3.7172548659999998</v>
      </c>
      <c r="H36" s="224">
        <f t="shared" si="18"/>
        <v>3.7172548659999998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0.05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0.05</v>
      </c>
      <c r="H37" s="224">
        <f t="shared" si="18"/>
        <v>0.05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1.2011674999999999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1.2011674999999999</v>
      </c>
      <c r="H38" s="224">
        <f t="shared" si="18"/>
        <v>1.2011674999999999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25.8109286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25.8109286</v>
      </c>
      <c r="H39" s="224">
        <f t="shared" si="18"/>
        <v>25.8109286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90" zoomScaleNormal="90" workbookViewId="0">
      <selection activeCell="D10" sqref="D10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2">
        <v>2023</v>
      </c>
      <c r="E2" s="422"/>
      <c r="F2" s="422"/>
      <c r="G2" s="422"/>
      <c r="H2" s="422"/>
      <c r="I2" s="422"/>
      <c r="J2" s="324"/>
      <c r="K2" s="324"/>
      <c r="N2" s="97" t="s">
        <v>275</v>
      </c>
    </row>
    <row r="3" spans="1:20" ht="63" x14ac:dyDescent="0.25">
      <c r="B3" s="359" t="s">
        <v>2</v>
      </c>
      <c r="C3" s="360" t="s">
        <v>3</v>
      </c>
      <c r="D3" s="360" t="s">
        <v>270</v>
      </c>
      <c r="E3" s="360" t="s">
        <v>271</v>
      </c>
      <c r="F3" s="360" t="s">
        <v>272</v>
      </c>
      <c r="G3" s="360" t="s">
        <v>273</v>
      </c>
      <c r="H3" s="360" t="s">
        <v>206</v>
      </c>
      <c r="I3" s="360" t="s">
        <v>207</v>
      </c>
      <c r="J3" s="360" t="s">
        <v>264</v>
      </c>
      <c r="K3" s="360" t="s">
        <v>265</v>
      </c>
      <c r="L3" s="361" t="s">
        <v>192</v>
      </c>
      <c r="N3" s="333">
        <v>4647854</v>
      </c>
      <c r="O3"/>
    </row>
    <row r="4" spans="1:20" x14ac:dyDescent="0.25">
      <c r="A4" s="97" t="s">
        <v>277</v>
      </c>
      <c r="B4" s="370" t="s">
        <v>231</v>
      </c>
      <c r="C4" s="371" t="str">
        <f>VAC_Optim_Scenario!B17</f>
        <v>HCC InOffice</v>
      </c>
      <c r="D4" s="411">
        <f>VAC_Optim_Scenario!E17</f>
        <v>1134710</v>
      </c>
      <c r="E4" s="372">
        <f>VAC_Optim_Scenario!F17</f>
        <v>7367.8666140222922</v>
      </c>
      <c r="F4" s="411">
        <f>VAC_Optim_Scenario!G36</f>
        <v>1664695.7827721967</v>
      </c>
      <c r="G4" s="374">
        <f t="shared" ref="G4:G12" si="0">F4/D4</f>
        <v>1.4670671649780092</v>
      </c>
      <c r="H4" s="375" t="e">
        <f>E4/#REF!</f>
        <v>#REF!</v>
      </c>
      <c r="I4" s="373">
        <f>(D4/E4)</f>
        <v>154.00794550765286</v>
      </c>
      <c r="J4" s="376">
        <f>E4/N$3</f>
        <v>1.5852190309812427E-3</v>
      </c>
      <c r="K4" s="376">
        <f>J4*0.54</f>
        <v>8.5601827672987106E-4</v>
      </c>
      <c r="L4" s="377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10" cm="1">
        <f t="array" aca="1" ref="Q4" ca="1">MAX(_xlfn._xlws.FILTER(INDIRECT("'"&amp;A4&amp;"'!"&amp;"A20:A42"),INDIRECT("'"&amp;A4&amp;"'!"&amp;"A20:A42")&lt;$D4))</f>
        <v>1000000</v>
      </c>
      <c r="R4" s="410" cm="1">
        <f t="array" aca="1" ref="R4" ca="1">MIN(_xlfn._xlws.FILTER(INDIRECT("'"&amp;A4&amp;"'!"&amp;"A20:A42"),INDIRECT("'"&amp;A4&amp;"'!"&amp;"A20:A42")&gt;=$D4))</f>
        <v>1200000</v>
      </c>
      <c r="S4" s="410"/>
      <c r="T4" s="410"/>
    </row>
    <row r="5" spans="1:20" x14ac:dyDescent="0.25">
      <c r="A5" s="97" t="s">
        <v>278</v>
      </c>
      <c r="B5" s="378" t="s">
        <v>231</v>
      </c>
      <c r="C5" s="379" t="str">
        <f>VAC_Optim_Scenario!B18</f>
        <v>HCP MCM</v>
      </c>
      <c r="D5" s="411">
        <f>VAC_Optim_Scenario!E18</f>
        <v>10503728.719999999</v>
      </c>
      <c r="E5" s="380">
        <f>VAC_Optim_Scenario!F18</f>
        <v>288339.09761974216</v>
      </c>
      <c r="F5" s="411">
        <f>VAC_Optim_Scenario!G37</f>
        <v>65147335.716204539</v>
      </c>
      <c r="G5" s="381">
        <f t="shared" si="0"/>
        <v>6.2023056243025803</v>
      </c>
      <c r="H5" s="382" t="e">
        <f>E5/#REF!</f>
        <v>#REF!</v>
      </c>
      <c r="I5" s="373">
        <f t="shared" ref="I5:I13" si="1">(D5/E5)</f>
        <v>36.428388680927966</v>
      </c>
      <c r="J5" s="376">
        <f t="shared" ref="J5:J13" si="2">E5/N$3</f>
        <v>6.2037038517075226E-2</v>
      </c>
      <c r="K5" s="376">
        <f t="shared" ref="K5:K13" si="3">J5*0.54</f>
        <v>3.3500000799220622E-2</v>
      </c>
      <c r="L5" s="377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10" cm="1">
        <f t="array" aca="1" ref="Q5" ca="1">MAX(_xlfn._xlws.FILTER(INDIRECT("'"&amp;A5&amp;"'!"&amp;"A20:A42"),INDIRECT("'"&amp;A5&amp;"'!"&amp;"A20:A42")&lt;$D5))</f>
        <v>10000000</v>
      </c>
      <c r="R5" s="410" cm="1">
        <f t="array" aca="1" ref="R5" ca="1">MIN(_xlfn._xlws.FILTER(INDIRECT("'"&amp;A5&amp;"'!"&amp;"A20:A42"),INDIRECT("'"&amp;A5&amp;"'!"&amp;"A20:A42")&gt;=$D5))</f>
        <v>10625000</v>
      </c>
      <c r="S5" s="410"/>
      <c r="T5" s="410"/>
    </row>
    <row r="6" spans="1:20" x14ac:dyDescent="0.25">
      <c r="A6" s="97" t="s">
        <v>279</v>
      </c>
      <c r="B6" s="378" t="s">
        <v>231</v>
      </c>
      <c r="C6" s="379" t="str">
        <f>VAC_Optim_Scenario!B19</f>
        <v>HCC Social</v>
      </c>
      <c r="D6" s="411">
        <f>VAC_Optim_Scenario!E19</f>
        <v>1751000</v>
      </c>
      <c r="E6" s="380">
        <f>VAC_Optim_Scenario!F19</f>
        <v>23820.403572058858</v>
      </c>
      <c r="F6" s="411">
        <f>VAC_Optim_Scenario!G38</f>
        <v>5381981.983070978</v>
      </c>
      <c r="G6" s="381">
        <f t="shared" si="0"/>
        <v>3.0736618978132371</v>
      </c>
      <c r="H6" s="382" t="e">
        <f>E6/#REF!</f>
        <v>#REF!</v>
      </c>
      <c r="I6" s="373">
        <f t="shared" si="1"/>
        <v>73.508410329953804</v>
      </c>
      <c r="J6" s="376">
        <f t="shared" si="2"/>
        <v>5.1250326649801949E-3</v>
      </c>
      <c r="K6" s="376">
        <f t="shared" si="3"/>
        <v>2.7675176390893055E-3</v>
      </c>
      <c r="L6" s="377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10" cm="1">
        <f t="array" aca="1" ref="Q6" ca="1">MAX(_xlfn._xlws.FILTER(INDIRECT("'"&amp;A6&amp;"'!"&amp;"A20:A42"),INDIRECT("'"&amp;A6&amp;"'!"&amp;"A20:A42")&lt;$D6))</f>
        <v>1750000</v>
      </c>
      <c r="R6" s="410" cm="1">
        <f t="array" aca="1" ref="R6" ca="1">MIN(_xlfn._xlws.FILTER(INDIRECT("'"&amp;A6&amp;"'!"&amp;"A20:A42"),INDIRECT("'"&amp;A6&amp;"'!"&amp;"A20:A42")&gt;=$D6))</f>
        <v>2000000</v>
      </c>
      <c r="S6" s="410"/>
      <c r="T6" s="410"/>
    </row>
    <row r="7" spans="1:20" x14ac:dyDescent="0.25">
      <c r="A7" s="245" t="s">
        <v>280</v>
      </c>
      <c r="B7" s="378" t="s">
        <v>231</v>
      </c>
      <c r="C7" s="379" t="str">
        <f>VAC_Optim_Scenario!B20</f>
        <v>HCC Online Video</v>
      </c>
      <c r="D7" s="411">
        <f>VAC_Optim_Scenario!E20</f>
        <v>1111779.04</v>
      </c>
      <c r="E7" s="380">
        <f>VAC_Optim_Scenario!F20</f>
        <v>21646.235649615526</v>
      </c>
      <c r="F7" s="411">
        <f>VAC_Optim_Scenario!G39</f>
        <v>4890750.4826741321</v>
      </c>
      <c r="G7" s="381">
        <f t="shared" si="0"/>
        <v>4.3990310184963839</v>
      </c>
      <c r="H7" s="382" t="e">
        <f>E7/#REF!</f>
        <v>#REF!</v>
      </c>
      <c r="I7" s="373">
        <f t="shared" si="1"/>
        <v>51.361310945524473</v>
      </c>
      <c r="J7" s="376">
        <f t="shared" si="2"/>
        <v>4.6572537884398968E-3</v>
      </c>
      <c r="K7" s="376">
        <f t="shared" si="3"/>
        <v>2.5149170457575446E-3</v>
      </c>
      <c r="L7" s="377">
        <f t="shared" ca="1" si="4"/>
        <v>1.363152908327058E-2</v>
      </c>
      <c r="M7"/>
      <c r="O7" s="97">
        <v>0</v>
      </c>
      <c r="P7" s="97">
        <v>200000</v>
      </c>
      <c r="Q7" s="410" cm="1">
        <f t="array" aca="1" ref="Q7" ca="1">MAX(_xlfn._xlws.FILTER(INDIRECT("'"&amp;A7&amp;"'!"&amp;"A20:A42"),INDIRECT("'"&amp;A7&amp;"'!"&amp;"A20:A42")&lt;$D7))</f>
        <v>1000000</v>
      </c>
      <c r="R7" s="410" cm="1">
        <f t="array" aca="1" ref="R7" ca="1">MIN(_xlfn._xlws.FILTER(INDIRECT("'"&amp;A7&amp;"'!"&amp;"A20:A42"),INDIRECT("'"&amp;A7&amp;"'!"&amp;"A20:A42")&gt;=$D7))</f>
        <v>1200000</v>
      </c>
      <c r="S7" s="410"/>
      <c r="T7" s="410"/>
    </row>
    <row r="8" spans="1:20" x14ac:dyDescent="0.25">
      <c r="A8" s="245" t="s">
        <v>281</v>
      </c>
      <c r="B8" s="378" t="s">
        <v>231</v>
      </c>
      <c r="C8" s="379" t="str">
        <f>VAC_Optim_Scenario!B21</f>
        <v>HCC Streaming Video</v>
      </c>
      <c r="D8" s="411">
        <f>VAC_Optim_Scenario!E21</f>
        <v>13418576</v>
      </c>
      <c r="E8" s="380">
        <f>VAC_Optim_Scenario!F21</f>
        <v>100808.3256282994</v>
      </c>
      <c r="F8" s="411">
        <f>VAC_Optim_Scenario!G40</f>
        <v>22776633.092457965</v>
      </c>
      <c r="G8" s="381">
        <f t="shared" si="0"/>
        <v>1.6973956917975472</v>
      </c>
      <c r="H8" s="382" t="e">
        <f>E8/#REF!</f>
        <v>#REF!</v>
      </c>
      <c r="I8" s="373">
        <f t="shared" si="1"/>
        <v>133.10979937785092</v>
      </c>
      <c r="J8" s="376">
        <f t="shared" si="2"/>
        <v>2.1689219503947282E-2</v>
      </c>
      <c r="K8" s="376">
        <f t="shared" si="3"/>
        <v>1.1712178532131533E-2</v>
      </c>
      <c r="L8" s="377">
        <f t="shared" ca="1" si="4"/>
        <v>1.1961518650093477</v>
      </c>
      <c r="M8"/>
      <c r="O8" s="97">
        <v>0</v>
      </c>
      <c r="P8" s="97">
        <v>750000</v>
      </c>
      <c r="Q8" s="410" cm="1">
        <f t="array" aca="1" ref="Q8" ca="1">MAX(_xlfn._xlws.FILTER(INDIRECT("'"&amp;A8&amp;"'!"&amp;"A20:A42"),INDIRECT("'"&amp;A8&amp;"'!"&amp;"A20:A42")&lt;$D8))</f>
        <v>12750000</v>
      </c>
      <c r="R8" s="410" cm="1">
        <f t="array" aca="1" ref="R8" ca="1">MIN(_xlfn._xlws.FILTER(INDIRECT("'"&amp;A8&amp;"'!"&amp;"A20:A42"),INDIRECT("'"&amp;A8&amp;"'!"&amp;"A20:A42")&gt;=$D8))</f>
        <v>13500000</v>
      </c>
      <c r="S8" s="410"/>
      <c r="T8" s="410"/>
    </row>
    <row r="9" spans="1:20" x14ac:dyDescent="0.25">
      <c r="A9" s="245" t="s">
        <v>282</v>
      </c>
      <c r="B9" s="378" t="s">
        <v>231</v>
      </c>
      <c r="C9" s="379" t="str">
        <f>VAC_Optim_Scenario!B22</f>
        <v>HCC Display</v>
      </c>
      <c r="D9" s="411">
        <f>VAC_Optim_Scenario!E22</f>
        <v>2859426.82</v>
      </c>
      <c r="E9" s="380">
        <f>VAC_Optim_Scenario!F22</f>
        <v>76065.012406995462</v>
      </c>
      <c r="F9" s="411">
        <f>VAC_Optim_Scenario!G41</f>
        <v>17186128.903236553</v>
      </c>
      <c r="G9" s="381">
        <f t="shared" si="0"/>
        <v>6.010340528049098</v>
      </c>
      <c r="H9" s="382" t="e">
        <f>E9/#REF!</f>
        <v>#REF!</v>
      </c>
      <c r="I9" s="373">
        <f t="shared" si="1"/>
        <v>37.591880018375271</v>
      </c>
      <c r="J9" s="376">
        <f t="shared" si="2"/>
        <v>1.6365620005920036E-2</v>
      </c>
      <c r="K9" s="376">
        <f t="shared" si="3"/>
        <v>8.8374348031968197E-3</v>
      </c>
      <c r="L9" s="377">
        <f t="shared" ca="1" si="4"/>
        <v>3.5990133726234732</v>
      </c>
      <c r="M9"/>
      <c r="O9" s="97">
        <v>0</v>
      </c>
      <c r="P9" s="97">
        <v>250000</v>
      </c>
      <c r="Q9" s="410" cm="1">
        <f t="array" aca="1" ref="Q9" ca="1">MAX(_xlfn._xlws.FILTER(INDIRECT("'"&amp;A9&amp;"'!"&amp;"A20:A42"),INDIRECT("'"&amp;A9&amp;"'!"&amp;"A20:A42")&lt;$D9))</f>
        <v>2750000</v>
      </c>
      <c r="R9" s="410" cm="1">
        <f t="array" aca="1" ref="R9" ca="1">MIN(_xlfn._xlws.FILTER(INDIRECT("'"&amp;A9&amp;"'!"&amp;"A20:A42"),INDIRECT("'"&amp;A9&amp;"'!"&amp;"A20:A42")&gt;=$D9))</f>
        <v>3000000</v>
      </c>
      <c r="S9" s="410"/>
      <c r="T9" s="410"/>
    </row>
    <row r="10" spans="1:20" x14ac:dyDescent="0.25">
      <c r="A10" s="97" t="s">
        <v>283</v>
      </c>
      <c r="B10" s="378" t="s">
        <v>231</v>
      </c>
      <c r="C10" s="379" t="str">
        <f>VAC_Optim_Scenario!B23</f>
        <v>HCC Paid Search</v>
      </c>
      <c r="D10" s="411">
        <f>VAC_Optim_Scenario!E23</f>
        <v>50000</v>
      </c>
      <c r="E10" s="380">
        <f>VAC_Optim_Scenario!F23</f>
        <v>30136.792938374307</v>
      </c>
      <c r="F10" s="411">
        <f>VAC_Optim_Scenario!G42</f>
        <v>6809106.9964962909</v>
      </c>
      <c r="G10" s="381">
        <f t="shared" si="0"/>
        <v>136.18213992992582</v>
      </c>
      <c r="H10" s="382" t="e">
        <f>E10/#REF!</f>
        <v>#REF!</v>
      </c>
      <c r="I10" s="373">
        <f t="shared" si="1"/>
        <v>1.6591015541117227</v>
      </c>
      <c r="J10" s="376">
        <f t="shared" si="2"/>
        <v>6.4840231509798512E-3</v>
      </c>
      <c r="K10" s="376">
        <f t="shared" si="3"/>
        <v>3.5013725015291199E-3</v>
      </c>
      <c r="L10" s="377">
        <f t="shared" ca="1" si="4"/>
        <v>84.028991834438983</v>
      </c>
      <c r="M10"/>
      <c r="O10" s="97">
        <v>0</v>
      </c>
      <c r="P10" s="97">
        <v>250000</v>
      </c>
      <c r="Q10" s="410" cm="1">
        <f t="array" aca="1" ref="Q10" ca="1">MAX(_xlfn._xlws.FILTER(INDIRECT("'"&amp;A10&amp;"'!"&amp;"A20:A42"),INDIRECT("'"&amp;A10&amp;"'!"&amp;"A20:A42")&lt;$D10))</f>
        <v>0</v>
      </c>
      <c r="R10" s="410" cm="1">
        <f t="array" aca="1" ref="R10" ca="1">MIN(_xlfn._xlws.FILTER(INDIRECT("'"&amp;A10&amp;"'!"&amp;"A20:A42"),INDIRECT("'"&amp;A10&amp;"'!"&amp;"A20:A42")&gt;=$D10))</f>
        <v>250000</v>
      </c>
      <c r="S10" s="410"/>
      <c r="T10" s="410"/>
    </row>
    <row r="11" spans="1:20" x14ac:dyDescent="0.25">
      <c r="A11" s="97" t="s">
        <v>284</v>
      </c>
      <c r="B11" s="378" t="s">
        <v>231</v>
      </c>
      <c r="C11" s="379" t="str">
        <f>VAC_Optim_Scenario!B24</f>
        <v>HCC Radio</v>
      </c>
      <c r="D11" s="411">
        <f>VAC_Optim_Scenario!E24</f>
        <v>923975</v>
      </c>
      <c r="E11" s="380">
        <f>VAC_Optim_Scenario!J24</f>
        <v>29522.816952164638</v>
      </c>
      <c r="F11" s="411">
        <f>VAC_Optim_Scenario!G43</f>
        <v>6005837.5</v>
      </c>
      <c r="G11" s="381">
        <f t="shared" si="0"/>
        <v>6.5</v>
      </c>
      <c r="H11" s="382" t="e">
        <f>E11/#REF!</f>
        <v>#REF!</v>
      </c>
      <c r="I11" s="373">
        <f t="shared" si="1"/>
        <v>31.296979603846825</v>
      </c>
      <c r="J11" s="376">
        <f t="shared" si="2"/>
        <v>6.351924340171752E-3</v>
      </c>
      <c r="K11" s="376">
        <f t="shared" si="3"/>
        <v>3.4300391436927462E-3</v>
      </c>
      <c r="L11" s="377">
        <f t="shared" ca="1" si="4"/>
        <v>2.6952193392368331</v>
      </c>
      <c r="M11"/>
      <c r="O11" s="97">
        <v>0</v>
      </c>
      <c r="P11" s="97">
        <v>250000</v>
      </c>
      <c r="Q11" s="410" cm="1">
        <f t="array" aca="1" ref="Q11" ca="1">MAX(_xlfn._xlws.FILTER(INDIRECT("'"&amp;A11&amp;"'!"&amp;"A20:A42"),INDIRECT("'"&amp;A11&amp;"'!"&amp;"A20:A42")&lt;$D11))</f>
        <v>750000</v>
      </c>
      <c r="R11" s="410" cm="1">
        <f t="array" aca="1" ref="R11" ca="1">MIN(_xlfn._xlws.FILTER(INDIRECT("'"&amp;A11&amp;"'!"&amp;"A20:A42"),INDIRECT("'"&amp;A11&amp;"'!"&amp;"A20:A42")&gt;=$D11))</f>
        <v>1000000</v>
      </c>
      <c r="S11" s="410"/>
      <c r="T11" s="410"/>
    </row>
    <row r="12" spans="1:20" x14ac:dyDescent="0.25">
      <c r="A12" s="97" t="s">
        <v>285</v>
      </c>
      <c r="B12" s="378" t="s">
        <v>231</v>
      </c>
      <c r="C12" s="379" t="str">
        <f>VAC_Optim_Scenario!B25</f>
        <v>HCC Linear TV</v>
      </c>
      <c r="D12" s="411">
        <f>VAC_Optim_Scenario!E25</f>
        <v>25810928.600000001</v>
      </c>
      <c r="E12" s="380">
        <f>VAC_Optim_Scenario!F25</f>
        <v>168508.00202805389</v>
      </c>
      <c r="F12" s="411">
        <f>VAC_Optim_Scenario!G44</f>
        <v>38072697.978218496</v>
      </c>
      <c r="G12" s="381">
        <f t="shared" si="0"/>
        <v>1.4750611482540188</v>
      </c>
      <c r="H12" s="382" t="e">
        <f>E12/#REF!</f>
        <v>#REF!</v>
      </c>
      <c r="I12" s="373">
        <f t="shared" si="1"/>
        <v>153.17331099625105</v>
      </c>
      <c r="J12" s="376">
        <f t="shared" si="2"/>
        <v>3.6255011888939259E-2</v>
      </c>
      <c r="K12" s="376">
        <f t="shared" si="3"/>
        <v>1.9577706420027201E-2</v>
      </c>
      <c r="L12" s="377">
        <f t="shared" ca="1" si="4"/>
        <v>1.0273854514533429</v>
      </c>
      <c r="M12"/>
      <c r="O12" s="97">
        <v>0</v>
      </c>
      <c r="P12" s="97">
        <v>1500000</v>
      </c>
      <c r="Q12" s="410" cm="1">
        <f t="array" aca="1" ref="Q12" ca="1">MAX(_xlfn._xlws.FILTER(INDIRECT("'"&amp;A12&amp;"'!"&amp;"A20:A42"),INDIRECT("'"&amp;A12&amp;"'!"&amp;"A20:A42")&lt;$D12))</f>
        <v>25500000</v>
      </c>
      <c r="R12" s="410" cm="1">
        <f t="array" aca="1" ref="R12" ca="1">MIN(_xlfn._xlws.FILTER(INDIRECT("'"&amp;A12&amp;"'!"&amp;"A20:A42"),INDIRECT("'"&amp;A12&amp;"'!"&amp;"A20:A42")&gt;=$D12))</f>
        <v>27000000</v>
      </c>
      <c r="S12" s="410"/>
      <c r="T12" s="410"/>
    </row>
    <row r="13" spans="1:20" x14ac:dyDescent="0.25">
      <c r="A13" s="97" t="s">
        <v>286</v>
      </c>
      <c r="B13" s="378" t="s">
        <v>231</v>
      </c>
      <c r="C13" s="379" t="str">
        <f>VAC_Optim_Scenario!B26</f>
        <v>HCC Pharmacy</v>
      </c>
      <c r="D13" s="411">
        <f>VAC_Optim_Scenario!E26</f>
        <v>2411968</v>
      </c>
      <c r="E13" s="380">
        <f>VAC_Optim_Scenario!F26</f>
        <v>18205.929821531288</v>
      </c>
      <c r="F13" s="411">
        <f>VAC_Optim_Scenario!G45</f>
        <v>4113447.783876779</v>
      </c>
      <c r="G13" s="381">
        <f t="shared" ref="G13" si="5">F13/D13</f>
        <v>1.7054321549360436</v>
      </c>
      <c r="H13" s="382" t="e">
        <f>E13/#REF!</f>
        <v>#REF!</v>
      </c>
      <c r="I13" s="373">
        <f t="shared" si="1"/>
        <v>132.48254956731077</v>
      </c>
      <c r="J13" s="376">
        <f t="shared" si="2"/>
        <v>3.9170614699883619E-3</v>
      </c>
      <c r="K13" s="376">
        <f t="shared" si="3"/>
        <v>2.1152131937937158E-3</v>
      </c>
      <c r="L13" s="377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10" cm="1">
        <f t="array" aca="1" ref="Q13" ca="1">MAX(_xlfn._xlws.FILTER(INDIRECT("'"&amp;A13&amp;"'!"&amp;"A20:A42"),INDIRECT("'"&amp;A13&amp;"'!"&amp;"A20:A42")&lt;$D13))</f>
        <v>2400000</v>
      </c>
      <c r="R13" s="410" cm="1">
        <f t="array" aca="1" ref="R13" ca="1">MIN(_xlfn._xlws.FILTER(INDIRECT("'"&amp;A13&amp;"'!"&amp;"A20:A42"),INDIRECT("'"&amp;A13&amp;"'!"&amp;"A20:A42")&gt;=$D13))</f>
        <v>2600000</v>
      </c>
      <c r="S13" s="410"/>
      <c r="T13" s="410"/>
    </row>
    <row r="14" spans="1:20" x14ac:dyDescent="0.25">
      <c r="B14" s="368" t="s">
        <v>154</v>
      </c>
      <c r="C14" s="369" t="s">
        <v>213</v>
      </c>
      <c r="D14" s="412">
        <f>SUM(D4:D13)</f>
        <v>59976092.18</v>
      </c>
      <c r="E14" s="362">
        <f>SUM(E4:E13)</f>
        <v>764420.48323085776</v>
      </c>
      <c r="F14" s="412">
        <f>SUM(F4:F13)</f>
        <v>172048616.21900794</v>
      </c>
      <c r="G14" s="363">
        <f>F14/D14</f>
        <v>2.8686199778181005</v>
      </c>
      <c r="H14" s="364" t="e">
        <f>SUM(H4:H12)</f>
        <v>#REF!</v>
      </c>
      <c r="I14" s="365">
        <f>(D14*1000000)/E14</f>
        <v>78459556.612753674</v>
      </c>
      <c r="J14" s="366">
        <f>SUM(J4:J13)</f>
        <v>0.16446740436142307</v>
      </c>
      <c r="K14" s="366">
        <f>SUM(K4:K13)</f>
        <v>8.8812398355168479E-2</v>
      </c>
      <c r="L14" s="367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274</v>
      </c>
    </row>
    <row r="18" spans="5:6" x14ac:dyDescent="0.25">
      <c r="E18" s="335" t="s">
        <v>212</v>
      </c>
      <c r="F18" s="244">
        <f t="shared" ref="F18:F23" si="6">VLOOKUP(E18,$C$4:$I$12,7,0)</f>
        <v>1.6591015541117227</v>
      </c>
    </row>
    <row r="19" spans="5:6" x14ac:dyDescent="0.25">
      <c r="E19" s="336" t="s">
        <v>177</v>
      </c>
      <c r="F19" s="244">
        <f t="shared" si="6"/>
        <v>31.296979603846825</v>
      </c>
    </row>
    <row r="20" spans="5:6" x14ac:dyDescent="0.25">
      <c r="E20" s="336" t="s">
        <v>209</v>
      </c>
      <c r="F20" s="244">
        <f t="shared" si="6"/>
        <v>36.428388680927966</v>
      </c>
    </row>
    <row r="21" spans="5:6" x14ac:dyDescent="0.25">
      <c r="E21" s="336" t="s">
        <v>211</v>
      </c>
      <c r="F21" s="244">
        <f t="shared" si="6"/>
        <v>37.591880018375271</v>
      </c>
    </row>
    <row r="22" spans="5:6" x14ac:dyDescent="0.25">
      <c r="E22" s="336" t="s">
        <v>226</v>
      </c>
      <c r="F22" s="244">
        <f t="shared" si="6"/>
        <v>51.361310945524473</v>
      </c>
    </row>
    <row r="23" spans="5:6" x14ac:dyDescent="0.25">
      <c r="E23" s="336" t="s">
        <v>210</v>
      </c>
      <c r="F23" s="244">
        <f t="shared" si="6"/>
        <v>73.508410329953804</v>
      </c>
    </row>
    <row r="24" spans="5:6" x14ac:dyDescent="0.25">
      <c r="E24" s="332" t="s">
        <v>238</v>
      </c>
      <c r="F24" s="244">
        <f>VLOOKUP(E24,$C$4:$I$13,7,0)</f>
        <v>132.48254956731077</v>
      </c>
    </row>
    <row r="25" spans="5:6" x14ac:dyDescent="0.25">
      <c r="E25" s="336" t="s">
        <v>228</v>
      </c>
      <c r="F25" s="244">
        <f>VLOOKUP(E25,$C$4:$I$13,7,0)</f>
        <v>133.10979937785092</v>
      </c>
    </row>
    <row r="26" spans="5:6" x14ac:dyDescent="0.25">
      <c r="E26" s="336" t="s">
        <v>237</v>
      </c>
      <c r="F26" s="244">
        <f>VLOOKUP(E26,$C$4:$I$12,7,0)</f>
        <v>153.17331099625105</v>
      </c>
    </row>
    <row r="27" spans="5:6" x14ac:dyDescent="0.25">
      <c r="E27" s="336" t="s">
        <v>236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G91"/>
  <sheetViews>
    <sheetView showGridLines="0" tabSelected="1" topLeftCell="A13" zoomScale="70" zoomScaleNormal="70" workbookViewId="0">
      <selection activeCell="B21" sqref="B21:H33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3.5703125" style="97" bestFit="1" customWidth="1"/>
    <col min="11" max="11" width="12.5703125" style="97" bestFit="1" customWidth="1"/>
    <col min="12" max="12" width="14" style="97" bestFit="1" customWidth="1"/>
    <col min="13" max="13" width="0.7109375" style="97" customWidth="1"/>
    <col min="14" max="14" width="13.140625" style="97" bestFit="1" customWidth="1"/>
    <col min="15" max="15" width="12.5703125" style="97" bestFit="1" customWidth="1"/>
    <col min="16" max="16" width="14" style="97" bestFit="1" customWidth="1"/>
    <col min="17" max="17" width="0.28515625" style="97" customWidth="1"/>
    <col min="18" max="18" width="16.42578125" style="97" bestFit="1" customWidth="1"/>
    <col min="19" max="19" width="12.5703125" style="97" bestFit="1" customWidth="1"/>
    <col min="20" max="20" width="17.140625" style="97" bestFit="1" customWidth="1"/>
    <col min="21" max="21" width="0.28515625" style="97" customWidth="1"/>
    <col min="22" max="22" width="13.140625" style="97" bestFit="1" customWidth="1"/>
    <col min="23" max="23" width="12.5703125" style="97" bestFit="1" customWidth="1"/>
    <col min="24" max="24" width="14.42578125" style="97" bestFit="1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.42578125" style="97" bestFit="1" customWidth="1"/>
    <col min="29" max="29" width="8.85546875" style="97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1">
        <f>SUM(C9:C13)</f>
        <v>19190781.859999999</v>
      </c>
      <c r="C3" s="171">
        <f>SUM(D9:D13)</f>
        <v>57044601.457935914</v>
      </c>
    </row>
    <row r="4" spans="2:33" x14ac:dyDescent="0.25">
      <c r="F4" s="429" t="s">
        <v>287</v>
      </c>
      <c r="G4" s="429"/>
      <c r="H4" s="429"/>
      <c r="I4" s="429"/>
      <c r="J4" s="429"/>
      <c r="K4" s="429"/>
      <c r="L4" s="429"/>
      <c r="M4" s="429"/>
      <c r="N4" s="429"/>
      <c r="O4" s="429"/>
      <c r="P4" s="429"/>
    </row>
    <row r="5" spans="2:33" x14ac:dyDescent="0.25">
      <c r="F5" s="423" t="s">
        <v>268</v>
      </c>
      <c r="G5" s="424"/>
      <c r="H5" s="425"/>
      <c r="I5" s="172"/>
      <c r="J5" s="423" t="s">
        <v>288</v>
      </c>
      <c r="K5" s="424"/>
      <c r="L5" s="425"/>
      <c r="M5" s="172"/>
      <c r="N5" s="423" t="s">
        <v>289</v>
      </c>
      <c r="O5" s="424"/>
      <c r="P5" s="425"/>
      <c r="R5" s="423" t="s">
        <v>290</v>
      </c>
      <c r="S5" s="424"/>
      <c r="T5" s="425"/>
      <c r="V5" s="423" t="s">
        <v>291</v>
      </c>
      <c r="W5" s="424"/>
      <c r="X5" s="425"/>
      <c r="Z5" s="97" t="s">
        <v>230</v>
      </c>
    </row>
    <row r="6" spans="2:33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33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794297</v>
      </c>
      <c r="G7" s="168">
        <v>-0.3</v>
      </c>
      <c r="H7" s="176">
        <v>1283066.8908256721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805746.47314841836</v>
      </c>
      <c r="S7" s="168">
        <v>-0.28990978034174514</v>
      </c>
      <c r="T7" s="176">
        <v>1297275.3525914492</v>
      </c>
      <c r="V7" s="176">
        <v>913733.72667280084</v>
      </c>
      <c r="W7" s="168">
        <v>-0.19474250982823732</v>
      </c>
      <c r="X7" s="176">
        <v>1426366.7175568331</v>
      </c>
      <c r="Z7" s="176">
        <f>VAC_Optim_Scenario!$H36</f>
        <v>913733.72667280084</v>
      </c>
      <c r="AA7" s="168">
        <f>IFERROR((Z7-$C7)/$C7,"")</f>
        <v>-0.19474250982823732</v>
      </c>
      <c r="AB7" s="176">
        <f>VAC_Optim_Scenario!$J36</f>
        <v>1426366.7175568331</v>
      </c>
      <c r="AD7" s="176"/>
      <c r="AE7" s="168"/>
      <c r="AF7" s="176"/>
      <c r="AG7" s="171"/>
    </row>
    <row r="8" spans="2:33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10754126.454310678</v>
      </c>
      <c r="O8" s="168">
        <v>2.3838937674951603E-2</v>
      </c>
      <c r="P8" s="176">
        <v>66365577.882644393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13654847.335999999</v>
      </c>
      <c r="AA8" s="168">
        <f t="shared" ref="AA8:AA16" si="0">IFERROR((Z8-$C8)/$C8,"")</f>
        <v>0.30000000000000004</v>
      </c>
      <c r="AB8" s="176">
        <f>VAC_Optim_Scenario!$J37</f>
        <v>79502965.080439389</v>
      </c>
      <c r="AD8" s="176"/>
      <c r="AE8" s="168"/>
      <c r="AF8" s="176"/>
      <c r="AG8" s="171"/>
    </row>
    <row r="9" spans="2:33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2220903.3260000008</v>
      </c>
      <c r="G9" s="168">
        <v>0.26836283609366124</v>
      </c>
      <c r="H9" s="176">
        <v>6207094.3179018227</v>
      </c>
      <c r="I9" s="176"/>
      <c r="J9" s="176">
        <v>1225700</v>
      </c>
      <c r="K9" s="168">
        <v>-0.3</v>
      </c>
      <c r="L9" s="176">
        <v>4345112.8827910451</v>
      </c>
      <c r="N9" s="176">
        <v>1225700</v>
      </c>
      <c r="O9" s="168">
        <v>-0.3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2276300</v>
      </c>
      <c r="AA9" s="168">
        <f t="shared" si="0"/>
        <v>0.3</v>
      </c>
      <c r="AB9" s="176">
        <f>VAC_Optim_Scenario!$J38</f>
        <v>6299531.4861385655</v>
      </c>
      <c r="AD9" s="176"/>
      <c r="AE9" s="168"/>
      <c r="AF9" s="176"/>
      <c r="AG9" s="171"/>
    </row>
    <row r="10" spans="2:33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778245.32799999998</v>
      </c>
      <c r="K10" s="168">
        <v>-0.30000000000000004</v>
      </c>
      <c r="L10" s="176">
        <v>3758344.6023231097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1445312.7520000001</v>
      </c>
      <c r="AA10" s="168">
        <f t="shared" si="0"/>
        <v>0.30000000000000004</v>
      </c>
      <c r="AB10" s="176">
        <f>VAC_Optim_Scenario!$J39</f>
        <v>5811060.0168574946</v>
      </c>
      <c r="AD10" s="176"/>
      <c r="AE10" s="168"/>
      <c r="AF10" s="176"/>
      <c r="AG10" s="171"/>
    </row>
    <row r="11" spans="2:33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9393003.1999999993</v>
      </c>
      <c r="G11" s="168">
        <v>-0.30000000000000004</v>
      </c>
      <c r="H11" s="176">
        <v>17744270.681404795</v>
      </c>
      <c r="I11" s="176"/>
      <c r="J11" s="176">
        <v>9393003.1999999993</v>
      </c>
      <c r="K11" s="168">
        <v>-0.30000000000000004</v>
      </c>
      <c r="L11" s="176">
        <v>17744270.681404795</v>
      </c>
      <c r="N11" s="176">
        <v>9393003.1999999993</v>
      </c>
      <c r="O11" s="168">
        <v>-0.30000000000000004</v>
      </c>
      <c r="P11" s="176">
        <v>17744270.681404795</v>
      </c>
      <c r="R11" s="176">
        <v>11748691.647231061</v>
      </c>
      <c r="S11" s="168">
        <v>-0.12444572008005463</v>
      </c>
      <c r="T11" s="176">
        <v>20753324.584318828</v>
      </c>
      <c r="V11" s="176">
        <v>14735392.40196098</v>
      </c>
      <c r="W11" s="168">
        <v>9.81338408755877E-2</v>
      </c>
      <c r="X11" s="176">
        <v>24319140.316100053</v>
      </c>
      <c r="Z11" s="176">
        <f>VAC_Optim_Scenario!$H40</f>
        <v>14735392.40196098</v>
      </c>
      <c r="AA11" s="168">
        <f t="shared" si="0"/>
        <v>9.81338408755877E-2</v>
      </c>
      <c r="AB11" s="176">
        <f>VAC_Optim_Scenario!$J40</f>
        <v>24319140.316100053</v>
      </c>
      <c r="AD11" s="176"/>
      <c r="AE11" s="168"/>
      <c r="AF11" s="176"/>
      <c r="AG11" s="171"/>
    </row>
    <row r="12" spans="2:33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2517394.2551396061</v>
      </c>
      <c r="K12" s="168">
        <v>-0.11961577840288767</v>
      </c>
      <c r="L12" s="176">
        <v>15921405.927306741</v>
      </c>
      <c r="N12" s="176">
        <v>2001598.7739999997</v>
      </c>
      <c r="O12" s="168">
        <v>-0.30000000000000004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3717254.8659999999</v>
      </c>
      <c r="AA12" s="168">
        <f t="shared" si="0"/>
        <v>0.30000000000000004</v>
      </c>
      <c r="AB12" s="176">
        <f>VAC_Optim_Scenario!$J41</f>
        <v>20116113.448785383</v>
      </c>
      <c r="AD12" s="176"/>
      <c r="AE12" s="168"/>
      <c r="AF12" s="176"/>
      <c r="AG12" s="171"/>
    </row>
    <row r="13" spans="2:33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50000</v>
      </c>
      <c r="G13" s="168">
        <v>0</v>
      </c>
      <c r="H13" s="176">
        <v>6809106.9964962909</v>
      </c>
      <c r="I13" s="176"/>
      <c r="J13" s="176">
        <v>50000</v>
      </c>
      <c r="K13" s="168">
        <v>0</v>
      </c>
      <c r="L13" s="176">
        <v>6809106.9964962909</v>
      </c>
      <c r="N13" s="176">
        <v>50000</v>
      </c>
      <c r="O13" s="168">
        <v>0</v>
      </c>
      <c r="P13" s="176">
        <v>6809106.9964962909</v>
      </c>
      <c r="R13" s="176">
        <v>50000</v>
      </c>
      <c r="S13" s="168">
        <v>0</v>
      </c>
      <c r="T13" s="176">
        <v>6809106.9964962909</v>
      </c>
      <c r="V13" s="176">
        <v>50000</v>
      </c>
      <c r="W13" s="168">
        <v>0</v>
      </c>
      <c r="X13" s="176">
        <v>6809106.9964962909</v>
      </c>
      <c r="Z13" s="176">
        <f>VAC_Optim_Scenario!$H42</f>
        <v>50000</v>
      </c>
      <c r="AA13" s="168">
        <f t="shared" si="0"/>
        <v>0</v>
      </c>
      <c r="AB13" s="176">
        <f>VAC_Optim_Scenario!$J42</f>
        <v>6809106.9964962909</v>
      </c>
      <c r="AD13" s="176"/>
      <c r="AE13" s="168"/>
      <c r="AF13" s="176"/>
      <c r="AG13" s="171"/>
    </row>
    <row r="14" spans="2:33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646782.5</v>
      </c>
      <c r="K14" s="168">
        <v>-0.3</v>
      </c>
      <c r="L14" s="176">
        <v>5207302.3332463158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1201167.5</v>
      </c>
      <c r="AA14" s="168">
        <f t="shared" si="0"/>
        <v>0.3</v>
      </c>
      <c r="AB14" s="176">
        <f>VAC_Optim_Scenario!$J43</f>
        <v>6670385.2621720778</v>
      </c>
      <c r="AD14" s="176"/>
      <c r="AE14" s="168"/>
      <c r="AF14" s="176"/>
      <c r="AG14" s="171"/>
    </row>
    <row r="15" spans="2:33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25810928.600000001</v>
      </c>
      <c r="G15" s="168">
        <v>0</v>
      </c>
      <c r="H15" s="176">
        <v>38072697.978218496</v>
      </c>
      <c r="I15" s="176"/>
      <c r="J15" s="176">
        <v>25810928.600000001</v>
      </c>
      <c r="K15" s="168">
        <v>0</v>
      </c>
      <c r="L15" s="176">
        <v>38072697.978218496</v>
      </c>
      <c r="N15" s="176">
        <v>25810928.600000001</v>
      </c>
      <c r="O15" s="168">
        <v>0</v>
      </c>
      <c r="P15" s="176">
        <v>38072697.978218496</v>
      </c>
      <c r="R15" s="176">
        <v>25810928.600000001</v>
      </c>
      <c r="S15" s="168">
        <v>0</v>
      </c>
      <c r="T15" s="176">
        <v>38072697.978218496</v>
      </c>
      <c r="V15" s="176">
        <v>25810928.600000001</v>
      </c>
      <c r="W15" s="168">
        <v>0</v>
      </c>
      <c r="X15" s="176">
        <v>38072697.978218496</v>
      </c>
      <c r="Z15" s="176">
        <f>VAC_Optim_Scenario!$H44</f>
        <v>25810928.600000001</v>
      </c>
      <c r="AA15" s="168">
        <f t="shared" si="0"/>
        <v>0</v>
      </c>
      <c r="AB15" s="176">
        <f>VAC_Optim_Scenario!$J44</f>
        <v>38072697.978218496</v>
      </c>
      <c r="AD15" s="176"/>
      <c r="AE15" s="168"/>
      <c r="AF15" s="176"/>
      <c r="AG15" s="171"/>
    </row>
    <row r="16" spans="2:33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1688377.6</v>
      </c>
      <c r="G16" s="168">
        <v>-0.3</v>
      </c>
      <c r="H16" s="176">
        <v>3090133.9495154945</v>
      </c>
      <c r="I16" s="176"/>
      <c r="J16" s="176">
        <v>1688377.6</v>
      </c>
      <c r="K16" s="168">
        <v>-0.3</v>
      </c>
      <c r="L16" s="176">
        <v>3090133.9495154945</v>
      </c>
      <c r="N16" s="176">
        <v>1688377.6</v>
      </c>
      <c r="O16" s="168">
        <v>-0.3</v>
      </c>
      <c r="P16" s="176">
        <v>3090133.9495154945</v>
      </c>
      <c r="R16" s="176">
        <v>2682359.4008305762</v>
      </c>
      <c r="S16" s="168">
        <v>0.11210405810963338</v>
      </c>
      <c r="T16" s="176">
        <v>4457510.9284000872</v>
      </c>
      <c r="V16" s="176">
        <v>3004187.7083909721</v>
      </c>
      <c r="W16" s="168">
        <v>0.24553381653113646</v>
      </c>
      <c r="X16" s="176">
        <v>4842235.5712347664</v>
      </c>
      <c r="Z16" s="176">
        <f>VAC_Optim_Scenario!$H45</f>
        <v>3004187.7083909721</v>
      </c>
      <c r="AA16" s="168">
        <f t="shared" si="0"/>
        <v>0.24553381653113646</v>
      </c>
      <c r="AB16" s="176">
        <f>VAC_Optim_Scenario!$J45</f>
        <v>4842235.5712347664</v>
      </c>
      <c r="AD16" s="176"/>
      <c r="AE16" s="168"/>
      <c r="AF16" s="176"/>
      <c r="AG16" s="171"/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59976092.18</v>
      </c>
      <c r="G17" s="179">
        <f>(F17-$C$17)/$C$17</f>
        <v>0</v>
      </c>
      <c r="H17" s="178">
        <f>SUM(H7:H16)</f>
        <v>185306894.62261692</v>
      </c>
      <c r="I17" s="170"/>
      <c r="J17" s="178">
        <f>SUM(J7:J16)</f>
        <v>56559575.819139607</v>
      </c>
      <c r="K17" s="179">
        <f>(J17-$C$17)/$C$17</f>
        <v>-5.6964637686075938E-2</v>
      </c>
      <c r="L17" s="178">
        <f>SUM(L7:L16)</f>
        <v>175734407.32256734</v>
      </c>
      <c r="M17" s="170"/>
      <c r="N17" s="178">
        <f>SUM(N7:N16)</f>
        <v>53143059.456310682</v>
      </c>
      <c r="O17" s="179">
        <f>(N17-$C$17)/$C$17</f>
        <v>-0.11392927540497384</v>
      </c>
      <c r="P17" s="178">
        <f>SUM(P7:P16)</f>
        <v>160550738.70320585</v>
      </c>
      <c r="Q17" s="170"/>
      <c r="R17" s="178">
        <f>SUM(R7:R16)</f>
        <v>63392608.57521005</v>
      </c>
      <c r="S17" s="179">
        <f>(R17-$C$17)/$C$17</f>
        <v>5.6964638258798439E-2</v>
      </c>
      <c r="T17" s="178">
        <f>SUM(T7:T16)</f>
        <v>189789971.13441807</v>
      </c>
      <c r="V17" s="178">
        <f>SUM(V7:V16)</f>
        <v>66809124.891024753</v>
      </c>
      <c r="W17" s="179">
        <f>(V17-$C$17)/$C$17</f>
        <v>0.11392927519381363</v>
      </c>
      <c r="X17" s="178">
        <f>SUM(X7:X16)</f>
        <v>193869602.87399936</v>
      </c>
      <c r="Z17" s="178">
        <f>SUM(Z7:Z16)</f>
        <v>66809124.891024753</v>
      </c>
      <c r="AA17" s="179">
        <f>(Z17-$C$17)/$C$17</f>
        <v>0.11392927519381363</v>
      </c>
      <c r="AB17" s="178">
        <f>SUM(AB7:AB16)</f>
        <v>193869602.87399936</v>
      </c>
    </row>
    <row r="18" spans="1:28" x14ac:dyDescent="0.25">
      <c r="D18" s="97">
        <f>D17/C17</f>
        <v>2.8686199778181005</v>
      </c>
      <c r="V18" s="171"/>
      <c r="X18" s="171"/>
    </row>
    <row r="19" spans="1:28" x14ac:dyDescent="0.25">
      <c r="X19" s="171"/>
    </row>
    <row r="20" spans="1:28" ht="26.85" customHeight="1" x14ac:dyDescent="0.25">
      <c r="F20" s="430" t="str">
        <f>F4</f>
        <v>Optimal channel spend allowed to vary between +/- 30% of the 2023 channel spend except Linear TV</v>
      </c>
      <c r="G20" s="430"/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</row>
    <row r="21" spans="1:28" ht="30.2" customHeight="1" x14ac:dyDescent="0.25">
      <c r="B21" s="341"/>
      <c r="C21" s="432" t="s">
        <v>269</v>
      </c>
      <c r="D21" s="433"/>
      <c r="E21" s="342"/>
      <c r="F21" s="426" t="str">
        <f>F5</f>
        <v>Current Optimal ($60.0MM)</v>
      </c>
      <c r="G21" s="427"/>
      <c r="H21" s="428"/>
      <c r="I21" s="404"/>
      <c r="J21" s="426" t="str">
        <f>J5</f>
        <v>10% reduction optimal ($57M)</v>
      </c>
      <c r="K21" s="427"/>
      <c r="L21" s="428"/>
      <c r="M21" s="404"/>
      <c r="N21" s="426" t="str">
        <f>N5</f>
        <v>20% reduction optimal ($53M)</v>
      </c>
      <c r="O21" s="427"/>
      <c r="P21" s="428"/>
      <c r="Q21" s="341"/>
      <c r="R21" s="426" t="str">
        <f>R5</f>
        <v>10% increase optimal ($63M)</v>
      </c>
      <c r="S21" s="427"/>
      <c r="T21" s="428"/>
      <c r="U21" s="341"/>
      <c r="V21" s="426" t="str">
        <f>V5</f>
        <v>20% increase optimal ($67M)</v>
      </c>
      <c r="W21" s="427"/>
      <c r="X21" s="428"/>
    </row>
    <row r="22" spans="1:28" ht="38.25" x14ac:dyDescent="0.25">
      <c r="B22" s="347" t="s">
        <v>196</v>
      </c>
      <c r="C22" s="343" t="s">
        <v>202</v>
      </c>
      <c r="D22" s="344" t="s">
        <v>203</v>
      </c>
      <c r="E22" s="345"/>
      <c r="F22" s="346" t="s">
        <v>205</v>
      </c>
      <c r="G22" s="344" t="s">
        <v>199</v>
      </c>
      <c r="H22" s="405" t="s">
        <v>200</v>
      </c>
      <c r="I22" s="345"/>
      <c r="J22" s="346" t="s">
        <v>205</v>
      </c>
      <c r="K22" s="344" t="s">
        <v>199</v>
      </c>
      <c r="L22" s="405" t="s">
        <v>200</v>
      </c>
      <c r="M22" s="383"/>
      <c r="N22" s="346" t="s">
        <v>205</v>
      </c>
      <c r="O22" s="344" t="s">
        <v>199</v>
      </c>
      <c r="P22" s="405" t="s">
        <v>200</v>
      </c>
      <c r="Q22" s="341"/>
      <c r="R22" s="346" t="s">
        <v>205</v>
      </c>
      <c r="S22" s="344" t="s">
        <v>199</v>
      </c>
      <c r="T22" s="405" t="s">
        <v>200</v>
      </c>
      <c r="U22" s="341"/>
      <c r="V22" s="346" t="s">
        <v>205</v>
      </c>
      <c r="W22" s="344" t="s">
        <v>199</v>
      </c>
      <c r="X22" s="405" t="s">
        <v>200</v>
      </c>
    </row>
    <row r="23" spans="1:28" x14ac:dyDescent="0.25">
      <c r="A23" s="337">
        <f>D23/C23</f>
        <v>1.4670671649780089</v>
      </c>
      <c r="B23" s="389" t="str">
        <f t="shared" ref="B23:B32" si="1">B7</f>
        <v>HCC InOffice</v>
      </c>
      <c r="C23" s="390">
        <f>C7/1000000</f>
        <v>1.1347100000000001</v>
      </c>
      <c r="D23" s="391">
        <f>D7/1000000</f>
        <v>1.6646957827721967</v>
      </c>
      <c r="E23" s="392"/>
      <c r="F23" s="393">
        <f t="shared" ref="F23:F32" si="2">F7/1000000</f>
        <v>0.79429700000000003</v>
      </c>
      <c r="G23" s="394">
        <f>IFERROR(G7,"")</f>
        <v>-0.3</v>
      </c>
      <c r="H23" s="395">
        <f t="shared" ref="H23:H32" si="3">H7/1000000</f>
        <v>1.2830668908256722</v>
      </c>
      <c r="I23" s="392"/>
      <c r="J23" s="393">
        <f t="shared" ref="J23:J32" si="4">J7/1000000</f>
        <v>0.79429700000000003</v>
      </c>
      <c r="K23" s="394">
        <f t="shared" ref="K23:K32" si="5">K7</f>
        <v>-0.3</v>
      </c>
      <c r="L23" s="395">
        <f t="shared" ref="L23:L32" si="6">L7/1000000</f>
        <v>1.2830668908256722</v>
      </c>
      <c r="M23" s="396"/>
      <c r="N23" s="393">
        <f t="shared" ref="N23:N32" si="7">N7/1000000</f>
        <v>0.79429700000000003</v>
      </c>
      <c r="O23" s="394">
        <f t="shared" ref="O23:O32" si="8">O7</f>
        <v>-0.3</v>
      </c>
      <c r="P23" s="395">
        <f t="shared" ref="P23:P32" si="9">P7/1000000</f>
        <v>1.2830668908256722</v>
      </c>
      <c r="Q23" s="396"/>
      <c r="R23" s="393">
        <f t="shared" ref="R23:R32" si="10">R7/1000000</f>
        <v>0.80574647314841841</v>
      </c>
      <c r="S23" s="394">
        <f t="shared" ref="S23:S32" si="11">S7</f>
        <v>-0.28990978034174514</v>
      </c>
      <c r="T23" s="395">
        <f t="shared" ref="T23:T32" si="12">T7/1000000</f>
        <v>1.2972753525914491</v>
      </c>
      <c r="U23" s="397"/>
      <c r="V23" s="393">
        <f t="shared" ref="V23:V32" si="13">V7/1000000</f>
        <v>0.91373372667280084</v>
      </c>
      <c r="W23" s="394">
        <f t="shared" ref="W23:W32" si="14">W7</f>
        <v>-0.19474250982823732</v>
      </c>
      <c r="X23" s="395">
        <f t="shared" ref="X23:X32" si="15">X7/1000000</f>
        <v>1.4263667175568331</v>
      </c>
    </row>
    <row r="24" spans="1:28" x14ac:dyDescent="0.25">
      <c r="A24" s="337">
        <f t="shared" ref="A24:A32" si="16">D24/C24</f>
        <v>6.2023056243025811</v>
      </c>
      <c r="B24" s="389" t="str">
        <f t="shared" si="1"/>
        <v>HCP MCM</v>
      </c>
      <c r="C24" s="398">
        <f t="shared" ref="C24:D24" si="17">C8/1000000</f>
        <v>10.503728719999998</v>
      </c>
      <c r="D24" s="399">
        <f t="shared" si="17"/>
        <v>65.147335716204537</v>
      </c>
      <c r="E24" s="392"/>
      <c r="F24" s="400">
        <f t="shared" si="2"/>
        <v>13.654847336</v>
      </c>
      <c r="G24" s="401">
        <f t="shared" ref="G24:G32" si="18">IFERROR(G8,"")</f>
        <v>0.30000000000000004</v>
      </c>
      <c r="H24" s="402">
        <f t="shared" si="3"/>
        <v>79.502965080439395</v>
      </c>
      <c r="I24" s="392"/>
      <c r="J24" s="400">
        <f t="shared" si="4"/>
        <v>13.654847336</v>
      </c>
      <c r="K24" s="401">
        <f t="shared" si="5"/>
        <v>0.30000000000000004</v>
      </c>
      <c r="L24" s="402">
        <f t="shared" si="6"/>
        <v>79.502965080439395</v>
      </c>
      <c r="M24" s="396"/>
      <c r="N24" s="400">
        <f t="shared" si="7"/>
        <v>10.754126454310677</v>
      </c>
      <c r="O24" s="401">
        <f t="shared" si="8"/>
        <v>2.3838937674951603E-2</v>
      </c>
      <c r="P24" s="402">
        <f t="shared" si="9"/>
        <v>66.365577882644388</v>
      </c>
      <c r="Q24" s="396"/>
      <c r="R24" s="400">
        <f t="shared" si="10"/>
        <v>13.654847336</v>
      </c>
      <c r="S24" s="394">
        <f t="shared" si="11"/>
        <v>0.30000000000000004</v>
      </c>
      <c r="T24" s="402">
        <f t="shared" si="12"/>
        <v>79.502965080439395</v>
      </c>
      <c r="U24" s="397"/>
      <c r="V24" s="400">
        <f t="shared" si="13"/>
        <v>13.654847336</v>
      </c>
      <c r="W24" s="394">
        <f t="shared" si="14"/>
        <v>0.30000000000000004</v>
      </c>
      <c r="X24" s="402">
        <f t="shared" si="15"/>
        <v>79.502965080439395</v>
      </c>
    </row>
    <row r="25" spans="1:28" x14ac:dyDescent="0.25">
      <c r="A25" s="337">
        <f t="shared" si="16"/>
        <v>3.0736618978132371</v>
      </c>
      <c r="B25" s="389" t="str">
        <f t="shared" si="1"/>
        <v>HCC Social</v>
      </c>
      <c r="C25" s="398">
        <f t="shared" ref="C25:D25" si="19">C9/1000000</f>
        <v>1.7509999999999999</v>
      </c>
      <c r="D25" s="399">
        <f t="shared" si="19"/>
        <v>5.3819819830709781</v>
      </c>
      <c r="E25" s="392"/>
      <c r="F25" s="400">
        <f t="shared" si="2"/>
        <v>2.2209033260000006</v>
      </c>
      <c r="G25" s="401">
        <f t="shared" si="18"/>
        <v>0.26836283609366124</v>
      </c>
      <c r="H25" s="402">
        <f t="shared" si="3"/>
        <v>6.2070943179018228</v>
      </c>
      <c r="I25" s="392"/>
      <c r="J25" s="400">
        <f t="shared" si="4"/>
        <v>1.2257</v>
      </c>
      <c r="K25" s="401">
        <f t="shared" si="5"/>
        <v>-0.3</v>
      </c>
      <c r="L25" s="402">
        <f t="shared" si="6"/>
        <v>4.345112882791045</v>
      </c>
      <c r="M25" s="396"/>
      <c r="N25" s="400">
        <f t="shared" si="7"/>
        <v>1.2257</v>
      </c>
      <c r="O25" s="401">
        <f t="shared" si="8"/>
        <v>-0.3</v>
      </c>
      <c r="P25" s="402">
        <f t="shared" si="9"/>
        <v>4.345112882791045</v>
      </c>
      <c r="Q25" s="396"/>
      <c r="R25" s="400">
        <f t="shared" si="10"/>
        <v>2.2763</v>
      </c>
      <c r="S25" s="394">
        <f t="shared" si="11"/>
        <v>0.3</v>
      </c>
      <c r="T25" s="402">
        <f t="shared" si="12"/>
        <v>6.2995314861385658</v>
      </c>
      <c r="U25" s="397"/>
      <c r="V25" s="400">
        <f t="shared" si="13"/>
        <v>2.2763</v>
      </c>
      <c r="W25" s="394">
        <f t="shared" si="14"/>
        <v>0.3</v>
      </c>
      <c r="X25" s="402">
        <f t="shared" si="15"/>
        <v>6.2995314861385658</v>
      </c>
    </row>
    <row r="26" spans="1:28" x14ac:dyDescent="0.25">
      <c r="A26" s="337">
        <f t="shared" si="16"/>
        <v>4.3990310184963839</v>
      </c>
      <c r="B26" s="389" t="str">
        <f t="shared" si="1"/>
        <v>HCC Online Video</v>
      </c>
      <c r="C26" s="398">
        <f t="shared" ref="C26:D26" si="20">C10/1000000</f>
        <v>1.1117790400000001</v>
      </c>
      <c r="D26" s="399">
        <f t="shared" si="20"/>
        <v>4.8907504826741324</v>
      </c>
      <c r="E26" s="392"/>
      <c r="F26" s="400">
        <f t="shared" si="2"/>
        <v>1.4453127520000002</v>
      </c>
      <c r="G26" s="401">
        <f t="shared" si="18"/>
        <v>0.30000000000000004</v>
      </c>
      <c r="H26" s="402">
        <f t="shared" si="3"/>
        <v>5.8110600168574944</v>
      </c>
      <c r="I26" s="392"/>
      <c r="J26" s="400">
        <f t="shared" si="4"/>
        <v>0.77824532800000001</v>
      </c>
      <c r="K26" s="401">
        <f t="shared" si="5"/>
        <v>-0.30000000000000004</v>
      </c>
      <c r="L26" s="402">
        <f t="shared" si="6"/>
        <v>3.7583446023231097</v>
      </c>
      <c r="M26" s="396"/>
      <c r="N26" s="400">
        <f t="shared" si="7"/>
        <v>0.77824532800000001</v>
      </c>
      <c r="O26" s="401">
        <f t="shared" si="8"/>
        <v>-0.30000000000000004</v>
      </c>
      <c r="P26" s="402">
        <f t="shared" si="9"/>
        <v>3.7583446023231097</v>
      </c>
      <c r="Q26" s="396"/>
      <c r="R26" s="400">
        <f t="shared" si="10"/>
        <v>1.4453127520000002</v>
      </c>
      <c r="S26" s="394">
        <f t="shared" si="11"/>
        <v>0.30000000000000004</v>
      </c>
      <c r="T26" s="402">
        <f t="shared" si="12"/>
        <v>5.8110600168574944</v>
      </c>
      <c r="U26" s="397"/>
      <c r="V26" s="400">
        <f t="shared" si="13"/>
        <v>1.4453127520000002</v>
      </c>
      <c r="W26" s="394">
        <f t="shared" si="14"/>
        <v>0.30000000000000004</v>
      </c>
      <c r="X26" s="402">
        <f t="shared" si="15"/>
        <v>5.8110600168574944</v>
      </c>
    </row>
    <row r="27" spans="1:28" x14ac:dyDescent="0.25">
      <c r="A27" s="337">
        <f t="shared" si="16"/>
        <v>1.6973956917975472</v>
      </c>
      <c r="B27" s="389" t="str">
        <f t="shared" si="1"/>
        <v>HCC Streaming Video</v>
      </c>
      <c r="C27" s="398">
        <f t="shared" ref="C27:D27" si="21">C11/1000000</f>
        <v>13.418576</v>
      </c>
      <c r="D27" s="399">
        <f t="shared" si="21"/>
        <v>22.776633092457963</v>
      </c>
      <c r="E27" s="392"/>
      <c r="F27" s="400">
        <f t="shared" si="2"/>
        <v>9.393003199999999</v>
      </c>
      <c r="G27" s="403">
        <f t="shared" si="18"/>
        <v>-0.30000000000000004</v>
      </c>
      <c r="H27" s="402">
        <f t="shared" si="3"/>
        <v>17.744270681404796</v>
      </c>
      <c r="I27" s="392"/>
      <c r="J27" s="400">
        <f t="shared" si="4"/>
        <v>9.393003199999999</v>
      </c>
      <c r="K27" s="401">
        <f t="shared" si="5"/>
        <v>-0.30000000000000004</v>
      </c>
      <c r="L27" s="402">
        <f t="shared" si="6"/>
        <v>17.744270681404796</v>
      </c>
      <c r="M27" s="396"/>
      <c r="N27" s="400">
        <f t="shared" si="7"/>
        <v>9.393003199999999</v>
      </c>
      <c r="O27" s="401">
        <f t="shared" si="8"/>
        <v>-0.30000000000000004</v>
      </c>
      <c r="P27" s="402">
        <f t="shared" si="9"/>
        <v>17.744270681404796</v>
      </c>
      <c r="Q27" s="396"/>
      <c r="R27" s="400">
        <f t="shared" si="10"/>
        <v>11.748691647231061</v>
      </c>
      <c r="S27" s="394">
        <f t="shared" si="11"/>
        <v>-0.12444572008005463</v>
      </c>
      <c r="T27" s="402">
        <f t="shared" si="12"/>
        <v>20.753324584318829</v>
      </c>
      <c r="U27" s="397"/>
      <c r="V27" s="400">
        <f t="shared" si="13"/>
        <v>14.735392401960981</v>
      </c>
      <c r="W27" s="394">
        <f t="shared" si="14"/>
        <v>9.81338408755877E-2</v>
      </c>
      <c r="X27" s="402">
        <f t="shared" si="15"/>
        <v>24.319140316100054</v>
      </c>
    </row>
    <row r="28" spans="1:28" x14ac:dyDescent="0.25">
      <c r="A28" s="337">
        <f t="shared" si="16"/>
        <v>6.0103405280490989</v>
      </c>
      <c r="B28" s="389" t="str">
        <f t="shared" si="1"/>
        <v>HCC Display</v>
      </c>
      <c r="C28" s="398">
        <f t="shared" ref="C28:D28" si="22">C12/1000000</f>
        <v>2.8594268199999999</v>
      </c>
      <c r="D28" s="399">
        <f t="shared" si="22"/>
        <v>17.186128903236554</v>
      </c>
      <c r="E28" s="392"/>
      <c r="F28" s="400">
        <f t="shared" si="2"/>
        <v>3.7172548659999998</v>
      </c>
      <c r="G28" s="403">
        <f t="shared" si="18"/>
        <v>0.30000000000000004</v>
      </c>
      <c r="H28" s="402">
        <f t="shared" si="3"/>
        <v>20.116113448785384</v>
      </c>
      <c r="I28" s="392"/>
      <c r="J28" s="400">
        <f t="shared" si="4"/>
        <v>2.5173942551396062</v>
      </c>
      <c r="K28" s="401">
        <f t="shared" si="5"/>
        <v>-0.11961577840288767</v>
      </c>
      <c r="L28" s="402">
        <f t="shared" si="6"/>
        <v>15.921405927306742</v>
      </c>
      <c r="M28" s="396"/>
      <c r="N28" s="400">
        <f t="shared" si="7"/>
        <v>2.0015987739999996</v>
      </c>
      <c r="O28" s="401">
        <f t="shared" si="8"/>
        <v>-0.30000000000000004</v>
      </c>
      <c r="P28" s="402">
        <f t="shared" si="9"/>
        <v>13.875124505740258</v>
      </c>
      <c r="Q28" s="396"/>
      <c r="R28" s="400">
        <f t="shared" si="10"/>
        <v>3.7172548659999998</v>
      </c>
      <c r="S28" s="394">
        <f t="shared" si="11"/>
        <v>0.30000000000000004</v>
      </c>
      <c r="T28" s="402">
        <f t="shared" si="12"/>
        <v>20.116113448785384</v>
      </c>
      <c r="U28" s="397"/>
      <c r="V28" s="400">
        <f t="shared" si="13"/>
        <v>3.7172548659999998</v>
      </c>
      <c r="W28" s="394">
        <f t="shared" si="14"/>
        <v>0.30000000000000004</v>
      </c>
      <c r="X28" s="402">
        <f t="shared" si="15"/>
        <v>20.116113448785384</v>
      </c>
    </row>
    <row r="29" spans="1:28" x14ac:dyDescent="0.25">
      <c r="A29" s="337">
        <f t="shared" si="16"/>
        <v>136.1821399299258</v>
      </c>
      <c r="B29" s="389" t="str">
        <f t="shared" si="1"/>
        <v>HCC Paid Search</v>
      </c>
      <c r="C29" s="398">
        <f t="shared" ref="C29:D29" si="23">C13/1000000</f>
        <v>0.05</v>
      </c>
      <c r="D29" s="399">
        <f t="shared" si="23"/>
        <v>6.8091069964962907</v>
      </c>
      <c r="E29" s="392"/>
      <c r="F29" s="400">
        <f t="shared" si="2"/>
        <v>0.05</v>
      </c>
      <c r="G29" s="401">
        <f t="shared" si="18"/>
        <v>0</v>
      </c>
      <c r="H29" s="402">
        <f t="shared" si="3"/>
        <v>6.8091069964962907</v>
      </c>
      <c r="I29" s="392"/>
      <c r="J29" s="400">
        <f t="shared" si="4"/>
        <v>0.05</v>
      </c>
      <c r="K29" s="401">
        <f t="shared" si="5"/>
        <v>0</v>
      </c>
      <c r="L29" s="402">
        <f t="shared" si="6"/>
        <v>6.8091069964962907</v>
      </c>
      <c r="M29" s="396"/>
      <c r="N29" s="400">
        <f t="shared" si="7"/>
        <v>0.05</v>
      </c>
      <c r="O29" s="401">
        <f t="shared" si="8"/>
        <v>0</v>
      </c>
      <c r="P29" s="402">
        <f t="shared" si="9"/>
        <v>6.8091069964962907</v>
      </c>
      <c r="Q29" s="396"/>
      <c r="R29" s="400">
        <f t="shared" si="10"/>
        <v>0.05</v>
      </c>
      <c r="S29" s="394">
        <f t="shared" si="11"/>
        <v>0</v>
      </c>
      <c r="T29" s="402">
        <f t="shared" si="12"/>
        <v>6.8091069964962907</v>
      </c>
      <c r="U29" s="397"/>
      <c r="V29" s="400">
        <f t="shared" si="13"/>
        <v>0.05</v>
      </c>
      <c r="W29" s="394">
        <f t="shared" si="14"/>
        <v>0</v>
      </c>
      <c r="X29" s="402">
        <f t="shared" si="15"/>
        <v>6.8091069964962907</v>
      </c>
    </row>
    <row r="30" spans="1:28" x14ac:dyDescent="0.25">
      <c r="A30" s="337">
        <f t="shared" si="16"/>
        <v>6.5</v>
      </c>
      <c r="B30" s="389" t="str">
        <f t="shared" si="1"/>
        <v>HCC Radio</v>
      </c>
      <c r="C30" s="398">
        <f t="shared" ref="C30:D30" si="24">C14/1000000</f>
        <v>0.92397499999999999</v>
      </c>
      <c r="D30" s="399">
        <f t="shared" si="24"/>
        <v>6.0058375000000002</v>
      </c>
      <c r="E30" s="392"/>
      <c r="F30" s="400">
        <f t="shared" si="2"/>
        <v>1.2011674999999999</v>
      </c>
      <c r="G30" s="401">
        <f t="shared" si="18"/>
        <v>0.3</v>
      </c>
      <c r="H30" s="402">
        <f t="shared" si="3"/>
        <v>6.6703852621720774</v>
      </c>
      <c r="I30" s="392"/>
      <c r="J30" s="400">
        <f t="shared" si="4"/>
        <v>0.64678250000000004</v>
      </c>
      <c r="K30" s="401">
        <f t="shared" si="5"/>
        <v>-0.3</v>
      </c>
      <c r="L30" s="402">
        <f t="shared" si="6"/>
        <v>5.2073023332463162</v>
      </c>
      <c r="M30" s="396"/>
      <c r="N30" s="400">
        <f t="shared" si="7"/>
        <v>0.64678250000000004</v>
      </c>
      <c r="O30" s="401">
        <f t="shared" si="8"/>
        <v>-0.3</v>
      </c>
      <c r="P30" s="402">
        <f t="shared" si="9"/>
        <v>5.2073023332463162</v>
      </c>
      <c r="Q30" s="396"/>
      <c r="R30" s="400">
        <f t="shared" si="10"/>
        <v>1.2011674999999999</v>
      </c>
      <c r="S30" s="401">
        <f t="shared" ref="S30" si="25">IFERROR(S14,"")</f>
        <v>0.3</v>
      </c>
      <c r="T30" s="402">
        <f t="shared" si="12"/>
        <v>6.6703852621720774</v>
      </c>
      <c r="U30" s="397"/>
      <c r="V30" s="400">
        <f t="shared" si="13"/>
        <v>1.2011674999999999</v>
      </c>
      <c r="W30" s="401">
        <f t="shared" ref="W30" si="26">IFERROR(W14,"")</f>
        <v>0.3</v>
      </c>
      <c r="X30" s="402">
        <f t="shared" si="15"/>
        <v>6.6703852621720774</v>
      </c>
    </row>
    <row r="31" spans="1:28" x14ac:dyDescent="0.25">
      <c r="A31" s="337">
        <f t="shared" si="16"/>
        <v>1.4750611482540188</v>
      </c>
      <c r="B31" s="389" t="str">
        <f t="shared" si="1"/>
        <v>HCC Linear TV</v>
      </c>
      <c r="C31" s="398">
        <f t="shared" ref="C31:D32" si="27">C15/1000000</f>
        <v>25.8109286</v>
      </c>
      <c r="D31" s="399">
        <f t="shared" si="27"/>
        <v>38.072697978218493</v>
      </c>
      <c r="E31" s="392"/>
      <c r="F31" s="400">
        <f t="shared" si="2"/>
        <v>25.8109286</v>
      </c>
      <c r="G31" s="401">
        <f t="shared" si="18"/>
        <v>0</v>
      </c>
      <c r="H31" s="402">
        <f t="shared" si="3"/>
        <v>38.072697978218493</v>
      </c>
      <c r="I31" s="392"/>
      <c r="J31" s="400">
        <f t="shared" si="4"/>
        <v>25.8109286</v>
      </c>
      <c r="K31" s="401">
        <f t="shared" si="5"/>
        <v>0</v>
      </c>
      <c r="L31" s="402">
        <f t="shared" si="6"/>
        <v>38.072697978218493</v>
      </c>
      <c r="M31" s="396"/>
      <c r="N31" s="400">
        <f t="shared" si="7"/>
        <v>25.8109286</v>
      </c>
      <c r="O31" s="401">
        <f t="shared" si="8"/>
        <v>0</v>
      </c>
      <c r="P31" s="402">
        <f t="shared" si="9"/>
        <v>38.072697978218493</v>
      </c>
      <c r="Q31" s="396"/>
      <c r="R31" s="400">
        <f t="shared" si="10"/>
        <v>25.8109286</v>
      </c>
      <c r="S31" s="394">
        <f t="shared" si="11"/>
        <v>0</v>
      </c>
      <c r="T31" s="402">
        <f t="shared" si="12"/>
        <v>38.072697978218493</v>
      </c>
      <c r="U31" s="397"/>
      <c r="V31" s="400">
        <f t="shared" si="13"/>
        <v>25.8109286</v>
      </c>
      <c r="W31" s="394">
        <f t="shared" si="14"/>
        <v>0</v>
      </c>
      <c r="X31" s="402">
        <f t="shared" si="15"/>
        <v>38.072697978218493</v>
      </c>
    </row>
    <row r="32" spans="1:28" x14ac:dyDescent="0.25">
      <c r="A32" s="337">
        <f t="shared" si="16"/>
        <v>1.7054321549360438</v>
      </c>
      <c r="B32" s="389" t="str">
        <f t="shared" si="1"/>
        <v>HCC Pharmacy</v>
      </c>
      <c r="C32" s="398">
        <f t="shared" si="27"/>
        <v>2.4119679999999999</v>
      </c>
      <c r="D32" s="399">
        <f t="shared" si="27"/>
        <v>4.1134477838767793</v>
      </c>
      <c r="E32" s="392"/>
      <c r="F32" s="400">
        <f t="shared" si="2"/>
        <v>1.6883776000000001</v>
      </c>
      <c r="G32" s="401">
        <f t="shared" si="18"/>
        <v>-0.3</v>
      </c>
      <c r="H32" s="402">
        <f t="shared" si="3"/>
        <v>3.0901339495154945</v>
      </c>
      <c r="I32" s="392"/>
      <c r="J32" s="400">
        <f t="shared" si="4"/>
        <v>1.6883776000000001</v>
      </c>
      <c r="K32" s="401">
        <f t="shared" si="5"/>
        <v>-0.3</v>
      </c>
      <c r="L32" s="402">
        <f t="shared" si="6"/>
        <v>3.0901339495154945</v>
      </c>
      <c r="M32" s="396"/>
      <c r="N32" s="400">
        <f t="shared" si="7"/>
        <v>1.6883776000000001</v>
      </c>
      <c r="O32" s="401">
        <f t="shared" si="8"/>
        <v>-0.3</v>
      </c>
      <c r="P32" s="402">
        <f t="shared" si="9"/>
        <v>3.0901339495154945</v>
      </c>
      <c r="Q32" s="396"/>
      <c r="R32" s="400">
        <f t="shared" si="10"/>
        <v>2.6823594008305762</v>
      </c>
      <c r="S32" s="394">
        <f t="shared" si="11"/>
        <v>0.11210405810963338</v>
      </c>
      <c r="T32" s="402">
        <f t="shared" si="12"/>
        <v>4.4575109284000876</v>
      </c>
      <c r="U32" s="397"/>
      <c r="V32" s="400">
        <f t="shared" si="13"/>
        <v>3.004187708390972</v>
      </c>
      <c r="W32" s="394">
        <f t="shared" si="14"/>
        <v>0.24553381653113646</v>
      </c>
      <c r="X32" s="402">
        <f t="shared" si="15"/>
        <v>4.8422355712347667</v>
      </c>
    </row>
    <row r="33" spans="2:26" ht="29.45" customHeight="1" x14ac:dyDescent="0.25">
      <c r="B33" s="384" t="s">
        <v>201</v>
      </c>
      <c r="C33" s="355">
        <f>C17/1000000</f>
        <v>59.976092180000002</v>
      </c>
      <c r="D33" s="385">
        <f>D17/1000000</f>
        <v>172.04861621900793</v>
      </c>
      <c r="E33" s="386"/>
      <c r="F33" s="357">
        <f>F17/1000000</f>
        <v>59.976092180000002</v>
      </c>
      <c r="G33" s="358">
        <f>G17</f>
        <v>0</v>
      </c>
      <c r="H33" s="387">
        <f>H17/1000000</f>
        <v>185.30689462261691</v>
      </c>
      <c r="I33" s="386"/>
      <c r="J33" s="357">
        <f>J17/1000000</f>
        <v>56.55957581913961</v>
      </c>
      <c r="K33" s="358">
        <f>K17</f>
        <v>-5.6964637686075938E-2</v>
      </c>
      <c r="L33" s="387">
        <f>L17/1000000</f>
        <v>175.73440732256734</v>
      </c>
      <c r="M33" s="386"/>
      <c r="N33" s="357">
        <f>N17/1000000</f>
        <v>53.143059456310681</v>
      </c>
      <c r="O33" s="358">
        <f>O17</f>
        <v>-0.11392927540497384</v>
      </c>
      <c r="P33" s="387">
        <f>P17/1000000</f>
        <v>160.55073870320587</v>
      </c>
      <c r="Q33" s="388"/>
      <c r="R33" s="357">
        <f>R17/1000000</f>
        <v>63.392608575210048</v>
      </c>
      <c r="S33" s="358">
        <f>S17</f>
        <v>5.6964638258798439E-2</v>
      </c>
      <c r="T33" s="387">
        <f>T17/1000000</f>
        <v>189.78997113441807</v>
      </c>
      <c r="U33" s="388"/>
      <c r="V33" s="357">
        <f>V17/1000000</f>
        <v>66.809124891024751</v>
      </c>
      <c r="W33" s="358">
        <f>W17</f>
        <v>0.11392927519381363</v>
      </c>
      <c r="X33" s="387">
        <f>X17/1000000</f>
        <v>193.86960287399936</v>
      </c>
      <c r="Y33" s="266"/>
    </row>
    <row r="34" spans="2:26" ht="38.25" x14ac:dyDescent="0.25">
      <c r="B34" s="384" t="s">
        <v>300</v>
      </c>
      <c r="C34" s="355"/>
      <c r="D34" s="385"/>
      <c r="E34" s="386"/>
      <c r="F34" s="357"/>
      <c r="G34" s="358"/>
      <c r="H34" s="406" t="s">
        <v>292</v>
      </c>
      <c r="I34" s="386"/>
      <c r="J34" s="357"/>
      <c r="K34" s="358"/>
      <c r="L34" s="406" t="s">
        <v>293</v>
      </c>
      <c r="M34" s="386"/>
      <c r="N34" s="357"/>
      <c r="O34" s="358"/>
      <c r="P34" s="407" t="s">
        <v>294</v>
      </c>
      <c r="Q34" s="388"/>
      <c r="R34" s="357"/>
      <c r="S34" s="358"/>
      <c r="T34" s="406" t="s">
        <v>295</v>
      </c>
      <c r="U34" s="388"/>
      <c r="V34" s="357"/>
      <c r="W34" s="358"/>
      <c r="X34" s="406" t="s">
        <v>296</v>
      </c>
      <c r="Y34" s="266"/>
    </row>
    <row r="35" spans="2:26" x14ac:dyDescent="0.25">
      <c r="B35" s="341"/>
      <c r="C35" s="341"/>
      <c r="D35" s="341"/>
      <c r="E35" s="341"/>
      <c r="F35" s="341"/>
      <c r="G35" s="341"/>
      <c r="H35" s="408">
        <f>(H33-$D$33)</f>
        <v>13.258278403608983</v>
      </c>
      <c r="I35" s="341"/>
      <c r="J35" s="341"/>
      <c r="K35" s="341"/>
      <c r="L35" s="408">
        <f>(L33-$D$33)</f>
        <v>3.68579110355941</v>
      </c>
      <c r="M35" s="341"/>
      <c r="N35" s="341"/>
      <c r="O35" s="341"/>
      <c r="P35" s="408">
        <f>(P33-$D$33)</f>
        <v>-11.49787751580206</v>
      </c>
      <c r="Q35" s="341"/>
      <c r="R35" s="341"/>
      <c r="S35" s="341"/>
      <c r="T35" s="408">
        <f>(T33-$D$33)</f>
        <v>17.741354915410142</v>
      </c>
      <c r="U35" s="341"/>
      <c r="V35" s="341"/>
      <c r="W35" s="341"/>
      <c r="X35" s="408">
        <f>(X33-$D$33)</f>
        <v>21.82098665499143</v>
      </c>
    </row>
    <row r="36" spans="2:26" x14ac:dyDescent="0.25">
      <c r="B36" s="341"/>
      <c r="C36" s="341"/>
      <c r="D36" s="341"/>
      <c r="E36" s="341"/>
      <c r="F36" s="341"/>
      <c r="G36" s="341"/>
      <c r="H36" s="409">
        <f>H35/$D$33</f>
        <v>7.7061232429396373E-2</v>
      </c>
      <c r="I36" s="341"/>
      <c r="J36" s="341"/>
      <c r="K36" s="341"/>
      <c r="L36" s="409">
        <f>L35/$D$33</f>
        <v>2.1422962791328767E-2</v>
      </c>
      <c r="M36" s="341"/>
      <c r="N36" s="341"/>
      <c r="O36" s="341"/>
      <c r="P36" s="409">
        <f>P35/$D$33</f>
        <v>-6.6829235645615007E-2</v>
      </c>
      <c r="Q36" s="341"/>
      <c r="R36" s="341"/>
      <c r="S36" s="341"/>
      <c r="T36" s="409">
        <f>T35/$D$33</f>
        <v>0.10311826566989893</v>
      </c>
      <c r="U36" s="341"/>
      <c r="V36" s="341"/>
      <c r="W36" s="341"/>
      <c r="X36" s="409">
        <f>X35/$D$33</f>
        <v>0.12683035257438269</v>
      </c>
    </row>
    <row r="38" spans="2:26" hidden="1" x14ac:dyDescent="0.25">
      <c r="B38" s="431" t="s">
        <v>243</v>
      </c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</row>
    <row r="39" spans="2:26" hidden="1" x14ac:dyDescent="0.25">
      <c r="B39" s="431"/>
      <c r="C39" s="431"/>
      <c r="D39" s="431"/>
      <c r="E39" s="431"/>
      <c r="F39" s="431"/>
      <c r="G39" s="431"/>
      <c r="H39" s="431"/>
      <c r="I39" s="431"/>
      <c r="J39" s="431"/>
      <c r="K39" s="431"/>
      <c r="L39" s="431"/>
      <c r="M39" s="431"/>
      <c r="N39" s="431"/>
      <c r="O39" s="431"/>
      <c r="P39" s="431"/>
      <c r="Q39" s="431"/>
      <c r="R39" s="431"/>
      <c r="S39" s="431"/>
      <c r="T39" s="431"/>
    </row>
    <row r="40" spans="2:26" hidden="1" x14ac:dyDescent="0.25"/>
    <row r="41" spans="2:26" hidden="1" x14ac:dyDescent="0.25">
      <c r="F41" s="423" t="s">
        <v>224</v>
      </c>
      <c r="G41" s="424"/>
      <c r="H41" s="425"/>
      <c r="I41" s="172"/>
      <c r="J41" s="423" t="s">
        <v>194</v>
      </c>
      <c r="K41" s="424"/>
      <c r="L41" s="425"/>
      <c r="M41" s="172"/>
      <c r="N41" s="423" t="s">
        <v>195</v>
      </c>
      <c r="O41" s="424"/>
      <c r="P41" s="425"/>
      <c r="R41" s="423" t="s">
        <v>244</v>
      </c>
      <c r="S41" s="424"/>
      <c r="T41" s="425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913733.72667280084</v>
      </c>
      <c r="Y43" s="168">
        <f>(X43-$C43)/$C43</f>
        <v>-0.19474250982823732</v>
      </c>
      <c r="Z43" s="176">
        <f>VAC_Optim_Scenario!$J36</f>
        <v>1426366.7175568331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13654847.335999999</v>
      </c>
      <c r="Y44" s="168">
        <f t="shared" ref="Y44:Y52" si="29">(X44-$C44)/$C44</f>
        <v>0.30000000000000004</v>
      </c>
      <c r="Z44" s="176">
        <f>VAC_Optim_Scenario!$J37</f>
        <v>79502965.080439389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2276300</v>
      </c>
      <c r="Y45" s="168">
        <f t="shared" si="29"/>
        <v>0.3</v>
      </c>
      <c r="Z45" s="176">
        <f>VAC_Optim_Scenario!$J38</f>
        <v>6299531.4861385655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1445312.7520000001</v>
      </c>
      <c r="Y46" s="168">
        <f t="shared" si="29"/>
        <v>0.30000000000000004</v>
      </c>
      <c r="Z46" s="176">
        <f>VAC_Optim_Scenario!$J39</f>
        <v>5811060.0168574946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14735392.40196098</v>
      </c>
      <c r="Y47" s="168">
        <f t="shared" si="29"/>
        <v>9.81338408755877E-2</v>
      </c>
      <c r="Z47" s="176">
        <f>VAC_Optim_Scenario!$J40</f>
        <v>24319140.316100053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3717254.8659999999</v>
      </c>
      <c r="Y48" s="168">
        <f t="shared" si="29"/>
        <v>0.30000000000000004</v>
      </c>
      <c r="Z48" s="176">
        <f>VAC_Optim_Scenario!$J41</f>
        <v>20116113.448785383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50000</v>
      </c>
      <c r="Y49" s="168">
        <f t="shared" si="29"/>
        <v>0</v>
      </c>
      <c r="Z49" s="176">
        <f>VAC_Optim_Scenario!$J42</f>
        <v>6809106.9964962909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245</v>
      </c>
      <c r="T50" s="176">
        <v>6550890.6021728441</v>
      </c>
      <c r="X50" s="176">
        <f>VAC_Optim_Scenario!$H43</f>
        <v>1201167.5</v>
      </c>
      <c r="Y50" s="168">
        <f>IFERROR((X50-$C50)/$C50,"")</f>
        <v>0.3</v>
      </c>
      <c r="Z50" s="176">
        <f>VAC_Optim_Scenario!$J43</f>
        <v>6670385.2621720778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25810928.600000001</v>
      </c>
      <c r="Y51" s="168">
        <f t="shared" si="29"/>
        <v>0</v>
      </c>
      <c r="Z51" s="176">
        <f>VAC_Optim_Scenario!$J44</f>
        <v>38072697.978218496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4113447.783876779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3004187.7083909721</v>
      </c>
      <c r="Y52" s="168">
        <f t="shared" si="29"/>
        <v>0.24553381653113646</v>
      </c>
      <c r="Z52" s="176">
        <f>VAC_Optim_Scenario!$J45</f>
        <v>4842235.5712347664</v>
      </c>
    </row>
    <row r="53" spans="2:26" s="180" customFormat="1" hidden="1" x14ac:dyDescent="0.25">
      <c r="B53" s="303" t="s">
        <v>201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0</v>
      </c>
      <c r="K53" s="305">
        <f>(J53-$C$17)/$C$17</f>
        <v>-1</v>
      </c>
      <c r="L53" s="304">
        <f>SUM(L43:L52)</f>
        <v>0</v>
      </c>
      <c r="M53" s="304">
        <f>SUM(M43:M52)</f>
        <v>0</v>
      </c>
      <c r="N53" s="304">
        <f>SUM(N43:N52)</f>
        <v>0</v>
      </c>
      <c r="O53" s="305">
        <f>(N53-$C$17)/$C$17</f>
        <v>-1</v>
      </c>
      <c r="P53" s="304">
        <f>SUM(P43:P52)</f>
        <v>0</v>
      </c>
      <c r="Q53" s="199"/>
      <c r="R53" s="304">
        <f>SUM(R43:R52)</f>
        <v>48930792.75</v>
      </c>
      <c r="S53" s="305">
        <f>(R53-$C$53)/$C$53</f>
        <v>-0.18416170558179903</v>
      </c>
      <c r="T53" s="304">
        <f>SUM(T43:T52)</f>
        <v>123495154.54556742</v>
      </c>
    </row>
    <row r="54" spans="2:26" hidden="1" x14ac:dyDescent="0.25">
      <c r="D54" s="97">
        <f>D53/C53</f>
        <v>2.8686199778181005</v>
      </c>
    </row>
    <row r="55" spans="2:26" hidden="1" x14ac:dyDescent="0.25"/>
    <row r="56" spans="2:26" ht="27.6" hidden="1" customHeight="1" x14ac:dyDescent="0.25">
      <c r="F56" s="429" t="str">
        <f>B38</f>
        <v>Optimal channel spend allowed to vary between constraints defined by marketing team &amp; INI of the 2021 channel spend - LINEAR TV and Streaming TV constraints modified</v>
      </c>
      <c r="G56" s="429"/>
      <c r="H56" s="429"/>
      <c r="I56" s="429"/>
      <c r="J56" s="429"/>
      <c r="K56" s="429"/>
      <c r="L56" s="429"/>
      <c r="M56" s="429"/>
      <c r="N56" s="429"/>
      <c r="O56" s="429"/>
      <c r="P56" s="429"/>
    </row>
    <row r="57" spans="2:26" hidden="1" x14ac:dyDescent="0.25">
      <c r="C57" s="436" t="s">
        <v>225</v>
      </c>
      <c r="D57" s="437"/>
      <c r="E57" s="180"/>
      <c r="F57" s="423" t="str">
        <f>F41</f>
        <v>Current Optimal ($MM)</v>
      </c>
      <c r="G57" s="424"/>
      <c r="H57" s="425"/>
      <c r="I57" s="181"/>
      <c r="J57" s="423" t="str">
        <f>J41</f>
        <v>10% reduction optimal ($)</v>
      </c>
      <c r="K57" s="424"/>
      <c r="L57" s="425"/>
      <c r="M57" s="181"/>
      <c r="N57" s="423" t="str">
        <f>N41</f>
        <v>20% reduction optimal ()</v>
      </c>
      <c r="O57" s="424"/>
      <c r="P57" s="425"/>
      <c r="R57" s="423" t="str">
        <f>R41</f>
        <v>25% reduction optimal ()</v>
      </c>
      <c r="S57" s="424"/>
      <c r="T57" s="425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5" t="s">
        <v>205</v>
      </c>
      <c r="G58" s="183" t="s">
        <v>199</v>
      </c>
      <c r="H58" s="185" t="s">
        <v>200</v>
      </c>
      <c r="I58" s="184"/>
      <c r="J58" s="205" t="s">
        <v>205</v>
      </c>
      <c r="K58" s="183" t="s">
        <v>199</v>
      </c>
      <c r="L58" s="185" t="s">
        <v>200</v>
      </c>
      <c r="M58" s="170"/>
      <c r="N58" s="205" t="s">
        <v>205</v>
      </c>
      <c r="O58" s="183" t="s">
        <v>199</v>
      </c>
      <c r="P58" s="185" t="s">
        <v>200</v>
      </c>
      <c r="R58" s="205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06">
        <f t="shared" si="31"/>
        <v>0</v>
      </c>
      <c r="G67" s="307">
        <f t="shared" si="32"/>
        <v>0</v>
      </c>
      <c r="H67" s="308">
        <f t="shared" si="33"/>
        <v>0</v>
      </c>
      <c r="I67" s="188"/>
      <c r="J67" s="306">
        <f t="shared" si="34"/>
        <v>0</v>
      </c>
      <c r="K67" s="307">
        <f t="shared" si="35"/>
        <v>0</v>
      </c>
      <c r="L67" s="308">
        <f t="shared" si="36"/>
        <v>0</v>
      </c>
      <c r="M67" s="170"/>
      <c r="N67" s="306">
        <f t="shared" si="37"/>
        <v>0</v>
      </c>
      <c r="O67" s="307">
        <f t="shared" si="38"/>
        <v>0</v>
      </c>
      <c r="P67" s="308">
        <f t="shared" si="39"/>
        <v>0</v>
      </c>
      <c r="Q67" s="170"/>
      <c r="R67" s="306">
        <f t="shared" si="40"/>
        <v>18.647619061795581</v>
      </c>
      <c r="S67" s="307">
        <f t="shared" si="41"/>
        <v>-0.33479099668610202</v>
      </c>
      <c r="T67" s="308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4.1134477838767793</v>
      </c>
      <c r="E68" s="188"/>
      <c r="F68" s="306">
        <f t="shared" si="31"/>
        <v>0</v>
      </c>
      <c r="G68" s="307">
        <f t="shared" si="32"/>
        <v>0</v>
      </c>
      <c r="H68" s="308">
        <f t="shared" si="33"/>
        <v>0</v>
      </c>
      <c r="I68" s="188"/>
      <c r="J68" s="306">
        <f t="shared" si="34"/>
        <v>0</v>
      </c>
      <c r="K68" s="307">
        <f t="shared" si="35"/>
        <v>0</v>
      </c>
      <c r="L68" s="308">
        <f t="shared" si="36"/>
        <v>0</v>
      </c>
      <c r="M68" s="170"/>
      <c r="N68" s="306">
        <f t="shared" si="37"/>
        <v>0</v>
      </c>
      <c r="O68" s="307">
        <f t="shared" si="38"/>
        <v>0</v>
      </c>
      <c r="P68" s="308">
        <f t="shared" si="39"/>
        <v>0</v>
      </c>
      <c r="Q68" s="170"/>
      <c r="R68" s="306">
        <f t="shared" si="40"/>
        <v>1.8369175999999998</v>
      </c>
      <c r="S68" s="307">
        <f t="shared" si="41"/>
        <v>-0.30000000000000004</v>
      </c>
      <c r="T68" s="308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172.04861621900793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70" t="s">
        <v>246</v>
      </c>
      <c r="R70" s="200"/>
      <c r="S70" s="201"/>
      <c r="T70" s="270" t="s">
        <v>247</v>
      </c>
    </row>
    <row r="71" spans="2:20" hidden="1" x14ac:dyDescent="0.25">
      <c r="H71" s="206">
        <f>H69-$D$69</f>
        <v>-172.04861621900793</v>
      </c>
      <c r="L71" s="206">
        <f>L69-$D$69</f>
        <v>-172.04861621900793</v>
      </c>
      <c r="P71" s="206">
        <f>P69-$D$69</f>
        <v>-172.04861621900793</v>
      </c>
      <c r="T71" s="206">
        <f>T69-$D$69</f>
        <v>-48.553461673440509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-0.28220780114636179</v>
      </c>
    </row>
    <row r="78" spans="2:20" ht="15" customHeight="1" x14ac:dyDescent="0.25">
      <c r="C78" s="434" t="s">
        <v>269</v>
      </c>
      <c r="D78" s="435"/>
      <c r="E78" s="180"/>
      <c r="F78" s="423">
        <f>F62</f>
        <v>0</v>
      </c>
      <c r="G78" s="424"/>
      <c r="H78" s="425"/>
    </row>
    <row r="79" spans="2:20" ht="45" x14ac:dyDescent="0.25">
      <c r="B79" s="173" t="s">
        <v>196</v>
      </c>
      <c r="C79" s="182" t="s">
        <v>202</v>
      </c>
      <c r="D79" s="183" t="s">
        <v>203</v>
      </c>
      <c r="E79" s="184"/>
      <c r="F79" s="205" t="s">
        <v>205</v>
      </c>
      <c r="G79" s="183" t="s">
        <v>199</v>
      </c>
      <c r="H79" s="185" t="s">
        <v>200</v>
      </c>
    </row>
    <row r="80" spans="2:20" x14ac:dyDescent="0.25">
      <c r="B80" s="175" t="str">
        <f t="shared" ref="B80:B89" si="61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62">F64/1000000</f>
        <v>0</v>
      </c>
      <c r="G80" s="190">
        <f>IFERROR(G64,"")</f>
        <v>0</v>
      </c>
      <c r="H80" s="267">
        <f t="shared" ref="H80:H89" si="63">H64/1000000</f>
        <v>0</v>
      </c>
    </row>
    <row r="81" spans="2:8" x14ac:dyDescent="0.25">
      <c r="B81" s="175" t="str">
        <f t="shared" si="61"/>
        <v>HCC Paid Search</v>
      </c>
      <c r="C81" s="192">
        <f t="shared" ref="C81:D81" si="64">C65/1000000</f>
        <v>5.0000000000000004E-8</v>
      </c>
      <c r="D81" s="272">
        <f t="shared" si="64"/>
        <v>6.8091069964962903E-6</v>
      </c>
      <c r="E81" s="188"/>
      <c r="F81" s="193">
        <f t="shared" si="62"/>
        <v>0</v>
      </c>
      <c r="G81" s="194">
        <f t="shared" ref="G81:G89" si="65">IFERROR(G65,"")</f>
        <v>0</v>
      </c>
      <c r="H81" s="268">
        <f t="shared" si="63"/>
        <v>0</v>
      </c>
    </row>
    <row r="82" spans="2:8" x14ac:dyDescent="0.25">
      <c r="B82" s="175" t="str">
        <f t="shared" si="61"/>
        <v>HCC Radio</v>
      </c>
      <c r="C82" s="192">
        <f t="shared" ref="C82:D82" si="66">C66/1000000</f>
        <v>9.2397500000000001E-7</v>
      </c>
      <c r="D82" s="272">
        <f t="shared" si="66"/>
        <v>6.0058375000000002E-6</v>
      </c>
      <c r="E82" s="188"/>
      <c r="F82" s="193">
        <f t="shared" si="62"/>
        <v>0</v>
      </c>
      <c r="G82" s="194">
        <f t="shared" si="65"/>
        <v>0</v>
      </c>
      <c r="H82" s="268">
        <f t="shared" si="63"/>
        <v>0</v>
      </c>
    </row>
    <row r="83" spans="2:8" x14ac:dyDescent="0.25">
      <c r="B83" s="175" t="str">
        <f t="shared" si="61"/>
        <v>HCC Linear TV</v>
      </c>
      <c r="C83" s="192">
        <f t="shared" ref="C83:D83" si="67">C67/1000000</f>
        <v>2.58109286E-5</v>
      </c>
      <c r="D83" s="272">
        <f t="shared" si="67"/>
        <v>3.8072697978218494E-5</v>
      </c>
      <c r="E83" s="188"/>
      <c r="F83" s="193">
        <f t="shared" si="62"/>
        <v>0</v>
      </c>
      <c r="G83" s="194">
        <f t="shared" si="65"/>
        <v>0</v>
      </c>
      <c r="H83" s="268">
        <f t="shared" si="63"/>
        <v>0</v>
      </c>
    </row>
    <row r="84" spans="2:8" x14ac:dyDescent="0.25">
      <c r="B84" s="175" t="str">
        <f t="shared" si="61"/>
        <v>HCC Pharmacy</v>
      </c>
      <c r="C84" s="192">
        <f t="shared" ref="C84:D84" si="68">C68/1000000</f>
        <v>2.4119679999999999E-6</v>
      </c>
      <c r="D84" s="272">
        <f t="shared" si="68"/>
        <v>4.1134477838767796E-6</v>
      </c>
      <c r="E84" s="188"/>
      <c r="F84" s="193">
        <f t="shared" si="62"/>
        <v>0</v>
      </c>
      <c r="G84" s="326">
        <f t="shared" si="65"/>
        <v>0</v>
      </c>
      <c r="H84" s="268">
        <f t="shared" si="63"/>
        <v>0</v>
      </c>
    </row>
    <row r="85" spans="2:8" x14ac:dyDescent="0.25">
      <c r="B85" s="175" t="str">
        <f t="shared" si="61"/>
        <v>Total InScope Budget</v>
      </c>
      <c r="C85" s="192">
        <f t="shared" ref="C85:D85" si="69">C69/1000000</f>
        <v>5.9976092180000005E-5</v>
      </c>
      <c r="D85" s="272">
        <f t="shared" si="69"/>
        <v>1.7204861621900793E-4</v>
      </c>
      <c r="E85" s="188"/>
      <c r="F85" s="193">
        <f t="shared" si="62"/>
        <v>0</v>
      </c>
      <c r="G85" s="326">
        <f t="shared" si="65"/>
        <v>-1</v>
      </c>
      <c r="H85" s="268">
        <f t="shared" si="63"/>
        <v>0</v>
      </c>
    </row>
    <row r="86" spans="2:8" x14ac:dyDescent="0.25">
      <c r="B86" s="175" t="str">
        <f t="shared" si="61"/>
        <v>Δ Pre-tax Revenue</v>
      </c>
      <c r="C86" s="192">
        <f t="shared" ref="C86:D86" si="70">C70/1000000</f>
        <v>0</v>
      </c>
      <c r="D86" s="272">
        <f t="shared" si="70"/>
        <v>0</v>
      </c>
      <c r="E86" s="188"/>
      <c r="F86" s="193">
        <f t="shared" si="62"/>
        <v>0</v>
      </c>
      <c r="G86" s="194">
        <f t="shared" si="65"/>
        <v>0</v>
      </c>
      <c r="H86" s="268">
        <f t="shared" si="63"/>
        <v>0</v>
      </c>
    </row>
    <row r="87" spans="2:8" x14ac:dyDescent="0.25">
      <c r="B87" s="175">
        <f t="shared" si="61"/>
        <v>0</v>
      </c>
      <c r="C87" s="192">
        <f t="shared" ref="C87:D87" si="71">C71/1000000</f>
        <v>0</v>
      </c>
      <c r="D87" s="272">
        <f t="shared" si="71"/>
        <v>0</v>
      </c>
      <c r="E87" s="188"/>
      <c r="F87" s="193">
        <f t="shared" si="62"/>
        <v>0</v>
      </c>
      <c r="G87" s="194">
        <f t="shared" si="65"/>
        <v>0</v>
      </c>
      <c r="H87" s="268">
        <f t="shared" si="63"/>
        <v>-1.7204861621900793E-4</v>
      </c>
    </row>
    <row r="88" spans="2:8" x14ac:dyDescent="0.25">
      <c r="B88" s="175">
        <f t="shared" si="61"/>
        <v>0</v>
      </c>
      <c r="C88" s="192">
        <f t="shared" ref="C88:D88" si="72">C72/1000000</f>
        <v>0</v>
      </c>
      <c r="D88" s="272">
        <f t="shared" si="72"/>
        <v>0</v>
      </c>
      <c r="E88" s="188"/>
      <c r="F88" s="193">
        <f t="shared" si="62"/>
        <v>0</v>
      </c>
      <c r="G88" s="194">
        <f t="shared" si="65"/>
        <v>0</v>
      </c>
      <c r="H88" s="268">
        <f t="shared" si="63"/>
        <v>-9.9999999999999995E-7</v>
      </c>
    </row>
    <row r="89" spans="2:8" x14ac:dyDescent="0.25">
      <c r="B89" s="175">
        <f t="shared" si="61"/>
        <v>0</v>
      </c>
      <c r="C89" s="192">
        <f t="shared" ref="C89:D89" si="73">C73/1000000</f>
        <v>0</v>
      </c>
      <c r="D89" s="272">
        <f t="shared" si="73"/>
        <v>0</v>
      </c>
      <c r="E89" s="188"/>
      <c r="F89" s="193">
        <f t="shared" si="62"/>
        <v>0</v>
      </c>
      <c r="G89" s="194">
        <f t="shared" si="65"/>
        <v>0</v>
      </c>
      <c r="H89" s="268">
        <f t="shared" si="63"/>
        <v>0</v>
      </c>
    </row>
    <row r="90" spans="2:8" x14ac:dyDescent="0.25">
      <c r="B90" s="196" t="s">
        <v>201</v>
      </c>
      <c r="C90" s="197">
        <f>C74/1000000</f>
        <v>0</v>
      </c>
      <c r="D90" s="273">
        <f>D74/1000000</f>
        <v>0</v>
      </c>
      <c r="E90" s="199"/>
      <c r="F90" s="200">
        <f t="shared" si="62"/>
        <v>0</v>
      </c>
      <c r="G90" s="201">
        <f>G74</f>
        <v>0</v>
      </c>
      <c r="H90" s="204">
        <f>H74/1000000</f>
        <v>0</v>
      </c>
    </row>
    <row r="91" spans="2:8" ht="45" x14ac:dyDescent="0.25">
      <c r="B91" s="269" t="s">
        <v>266</v>
      </c>
      <c r="C91" s="197"/>
      <c r="D91" s="198"/>
      <c r="E91" s="199"/>
      <c r="F91" s="200"/>
      <c r="G91" s="201"/>
      <c r="H91" s="270" t="s">
        <v>292</v>
      </c>
    </row>
  </sheetData>
  <mergeCells count="26">
    <mergeCell ref="C78:D78"/>
    <mergeCell ref="F78:H78"/>
    <mergeCell ref="C57:D57"/>
    <mergeCell ref="F57:H57"/>
    <mergeCell ref="J57:L57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</mergeCells>
  <conditionalFormatting sqref="G23:G31">
    <cfRule type="cellIs" dxfId="38" priority="45" operator="lessThan">
      <formula>0</formula>
    </cfRule>
    <cfRule type="cellIs" dxfId="37" priority="46" operator="greaterThan">
      <formula>0</formula>
    </cfRule>
  </conditionalFormatting>
  <conditionalFormatting sqref="K23:K31">
    <cfRule type="cellIs" dxfId="36" priority="43" operator="lessThan">
      <formula>0</formula>
    </cfRule>
    <cfRule type="cellIs" dxfId="35" priority="44" operator="greaterThan">
      <formula>0</formula>
    </cfRule>
  </conditionalFormatting>
  <conditionalFormatting sqref="O23:O31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S23:S29 S31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G59:G68">
    <cfRule type="cellIs" dxfId="30" priority="37" operator="lessThan">
      <formula>0</formula>
    </cfRule>
    <cfRule type="cellIs" dxfId="29" priority="38" operator="greaterThan">
      <formula>0</formula>
    </cfRule>
  </conditionalFormatting>
  <conditionalFormatting sqref="W23:W29 W31">
    <cfRule type="cellIs" dxfId="28" priority="29" operator="lessThan">
      <formula>0</formula>
    </cfRule>
    <cfRule type="cellIs" dxfId="27" priority="30" operator="greaterThan">
      <formula>0</formula>
    </cfRule>
  </conditionalFormatting>
  <conditionalFormatting sqref="K59:K68">
    <cfRule type="cellIs" dxfId="26" priority="27" operator="lessThan">
      <formula>0</formula>
    </cfRule>
    <cfRule type="cellIs" dxfId="25" priority="28" operator="greaterThan">
      <formula>0</formula>
    </cfRule>
  </conditionalFormatting>
  <conditionalFormatting sqref="O59:O68">
    <cfRule type="cellIs" dxfId="24" priority="25" operator="lessThan">
      <formula>0</formula>
    </cfRule>
    <cfRule type="cellIs" dxfId="23" priority="26" operator="greaterThan">
      <formula>0</formula>
    </cfRule>
  </conditionalFormatting>
  <conditionalFormatting sqref="S59:S68">
    <cfRule type="cellIs" dxfId="22" priority="23" operator="lessThan">
      <formula>0</formula>
    </cfRule>
    <cfRule type="cellIs" dxfId="21" priority="24" operator="greaterThan">
      <formula>0</formula>
    </cfRule>
  </conditionalFormatting>
  <conditionalFormatting sqref="G32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32">
    <cfRule type="cellIs" dxfId="18" priority="19" operator="lessThan">
      <formula>0</formula>
    </cfRule>
    <cfRule type="cellIs" dxfId="17" priority="20" operator="greaterThan">
      <formula>0</formula>
    </cfRule>
  </conditionalFormatting>
  <conditionalFormatting sqref="O32">
    <cfRule type="cellIs" dxfId="16" priority="17" operator="lessThan">
      <formula>0</formula>
    </cfRule>
    <cfRule type="cellIs" dxfId="15" priority="18" operator="greaterThan">
      <formula>0</formula>
    </cfRule>
  </conditionalFormatting>
  <conditionalFormatting sqref="S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S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W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W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J16"/>
  <sheetViews>
    <sheetView showGridLines="0" workbookViewId="0">
      <selection activeCell="L12" sqref="L12"/>
    </sheetView>
  </sheetViews>
  <sheetFormatPr defaultRowHeight="15" x14ac:dyDescent="0.25"/>
  <cols>
    <col min="3" max="3" width="21" customWidth="1"/>
    <col min="4" max="4" width="11.7109375" bestFit="1" customWidth="1"/>
    <col min="5" max="5" width="9.7109375" customWidth="1"/>
    <col min="6" max="6" width="10.85546875" customWidth="1"/>
    <col min="7" max="7" width="0.7109375" style="97" customWidth="1"/>
    <col min="8" max="8" width="12" customWidth="1"/>
    <col min="9" max="9" width="12.5703125" customWidth="1"/>
    <col min="10" max="10" width="12.85546875" customWidth="1"/>
  </cols>
  <sheetData>
    <row r="2" spans="3:10" ht="15" customHeight="1" x14ac:dyDescent="0.25">
      <c r="C2" s="341"/>
      <c r="D2" s="438" t="s">
        <v>269</v>
      </c>
      <c r="E2" s="439"/>
      <c r="F2" s="440"/>
      <c r="G2" s="342"/>
      <c r="H2" s="426" t="s">
        <v>299</v>
      </c>
      <c r="I2" s="427"/>
    </row>
    <row r="3" spans="3:10" ht="25.5" x14ac:dyDescent="0.25">
      <c r="C3" s="343" t="s">
        <v>196</v>
      </c>
      <c r="D3" s="343" t="s">
        <v>202</v>
      </c>
      <c r="E3" s="344" t="s">
        <v>298</v>
      </c>
      <c r="F3" s="345" t="s">
        <v>297</v>
      </c>
      <c r="G3" s="345"/>
      <c r="H3" s="346" t="s">
        <v>205</v>
      </c>
      <c r="I3" s="344" t="s">
        <v>199</v>
      </c>
      <c r="J3" s="405" t="s">
        <v>200</v>
      </c>
    </row>
    <row r="4" spans="3:10" x14ac:dyDescent="0.25">
      <c r="C4" s="347" t="str">
        <f>VAC_Optim_Scenario!B17</f>
        <v>HCC InOffice</v>
      </c>
      <c r="D4" s="348">
        <v>1.1347100000000001</v>
      </c>
      <c r="E4" s="348">
        <f>VAC_Optim_Scenario!G17/1000000</f>
        <v>0.79429700000000003</v>
      </c>
      <c r="F4" s="348">
        <f>VAC_Optim_Scenario!H17/1000000</f>
        <v>1.475123</v>
      </c>
      <c r="G4" s="349"/>
      <c r="H4" s="350">
        <v>0.79429700000000003</v>
      </c>
      <c r="I4" s="351">
        <v>-0.3</v>
      </c>
      <c r="J4" s="395">
        <v>1.2830668908256722</v>
      </c>
    </row>
    <row r="5" spans="3:10" x14ac:dyDescent="0.25">
      <c r="C5" s="352" t="str">
        <f>VAC_Optim_Scenario!B18</f>
        <v>HCP MCM</v>
      </c>
      <c r="D5" s="348">
        <v>10.503728719999998</v>
      </c>
      <c r="E5" s="348">
        <f>VAC_Optim_Scenario!G18/1000000</f>
        <v>7.3526101039999983</v>
      </c>
      <c r="F5" s="348">
        <f>VAC_Optim_Scenario!H18/1000000</f>
        <v>13.654847336</v>
      </c>
      <c r="G5" s="353"/>
      <c r="H5" s="350">
        <v>13.654847336</v>
      </c>
      <c r="I5" s="351">
        <v>0.30000000000000004</v>
      </c>
      <c r="J5" s="402">
        <v>79.502965080439395</v>
      </c>
    </row>
    <row r="6" spans="3:10" x14ac:dyDescent="0.25">
      <c r="C6" s="352" t="str">
        <f>VAC_Optim_Scenario!B19</f>
        <v>HCC Social</v>
      </c>
      <c r="D6" s="348">
        <v>1.7509999999999999</v>
      </c>
      <c r="E6" s="348">
        <f>VAC_Optim_Scenario!G19/1000000</f>
        <v>1.2257</v>
      </c>
      <c r="F6" s="348">
        <f>VAC_Optim_Scenario!H19/1000000</f>
        <v>2.2763</v>
      </c>
      <c r="G6" s="353"/>
      <c r="H6" s="350">
        <v>2.2209033260000006</v>
      </c>
      <c r="I6" s="351">
        <v>0.26836283609366124</v>
      </c>
      <c r="J6" s="402">
        <v>6.2070943179018228</v>
      </c>
    </row>
    <row r="7" spans="3:10" x14ac:dyDescent="0.25">
      <c r="C7" s="352" t="str">
        <f>VAC_Optim_Scenario!B20</f>
        <v>HCC Online Video</v>
      </c>
      <c r="D7" s="348">
        <v>1.1117790400000001</v>
      </c>
      <c r="E7" s="348">
        <f>VAC_Optim_Scenario!G20/1000000</f>
        <v>0.77824532800000001</v>
      </c>
      <c r="F7" s="348">
        <f>VAC_Optim_Scenario!H20/1000000</f>
        <v>1.4453127520000002</v>
      </c>
      <c r="G7" s="353"/>
      <c r="H7" s="350">
        <v>1.4453127520000002</v>
      </c>
      <c r="I7" s="351">
        <v>0.30000000000000004</v>
      </c>
      <c r="J7" s="402">
        <v>5.8110600168574944</v>
      </c>
    </row>
    <row r="8" spans="3:10" x14ac:dyDescent="0.25">
      <c r="C8" s="352" t="str">
        <f>VAC_Optim_Scenario!B21</f>
        <v>HCC Streaming Video</v>
      </c>
      <c r="D8" s="348">
        <v>13.418576</v>
      </c>
      <c r="E8" s="348">
        <f>VAC_Optim_Scenario!G21/1000000</f>
        <v>9.393003199999999</v>
      </c>
      <c r="F8" s="348">
        <f>VAC_Optim_Scenario!H21/1000000</f>
        <v>17.444148800000001</v>
      </c>
      <c r="G8" s="353"/>
      <c r="H8" s="350">
        <v>9.393003199999999</v>
      </c>
      <c r="I8" s="351">
        <v>-0.30000000000000004</v>
      </c>
      <c r="J8" s="402">
        <v>17.744270681404796</v>
      </c>
    </row>
    <row r="9" spans="3:10" x14ac:dyDescent="0.25">
      <c r="C9" s="352" t="str">
        <f>VAC_Optim_Scenario!B22</f>
        <v>HCC Display</v>
      </c>
      <c r="D9" s="348">
        <v>2.8594268199999999</v>
      </c>
      <c r="E9" s="348">
        <f>VAC_Optim_Scenario!G22/1000000</f>
        <v>2.0015987739999996</v>
      </c>
      <c r="F9" s="348">
        <f>VAC_Optim_Scenario!H22/1000000</f>
        <v>3.7172548659999998</v>
      </c>
      <c r="G9" s="353"/>
      <c r="H9" s="350">
        <v>3.7172548659999998</v>
      </c>
      <c r="I9" s="351">
        <v>0.30000000000000004</v>
      </c>
      <c r="J9" s="402">
        <v>20.116113448785384</v>
      </c>
    </row>
    <row r="10" spans="3:10" x14ac:dyDescent="0.25">
      <c r="C10" s="352" t="str">
        <f>VAC_Optim_Scenario!B23</f>
        <v>HCC Paid Search</v>
      </c>
      <c r="D10" s="348">
        <v>0.05</v>
      </c>
      <c r="E10" s="348">
        <f>VAC_Optim_Scenario!G23/1000000</f>
        <v>0.05</v>
      </c>
      <c r="F10" s="348">
        <f>VAC_Optim_Scenario!H23/1000000</f>
        <v>0.05</v>
      </c>
      <c r="G10" s="353"/>
      <c r="H10" s="350">
        <v>0.05</v>
      </c>
      <c r="I10" s="351">
        <v>0</v>
      </c>
      <c r="J10" s="402">
        <v>6.8091069964962907</v>
      </c>
    </row>
    <row r="11" spans="3:10" x14ac:dyDescent="0.25">
      <c r="C11" s="352" t="str">
        <f>VAC_Optim_Scenario!B24</f>
        <v>HCC Radio</v>
      </c>
      <c r="D11" s="348">
        <v>0.92397499999999999</v>
      </c>
      <c r="E11" s="348">
        <f>VAC_Optim_Scenario!G24/1000000</f>
        <v>0.64678250000000004</v>
      </c>
      <c r="F11" s="348">
        <f>VAC_Optim_Scenario!H24/1000000</f>
        <v>1.2011674999999999</v>
      </c>
      <c r="G11" s="353"/>
      <c r="H11" s="350">
        <v>1.2011674999999999</v>
      </c>
      <c r="I11" s="351">
        <v>0.3</v>
      </c>
      <c r="J11" s="402">
        <v>6.6703852621720774</v>
      </c>
    </row>
    <row r="12" spans="3:10" x14ac:dyDescent="0.25">
      <c r="C12" s="352" t="str">
        <f>VAC_Optim_Scenario!B25</f>
        <v>HCC Linear TV</v>
      </c>
      <c r="D12" s="348">
        <v>25.8109286</v>
      </c>
      <c r="E12" s="348">
        <f>VAC_Optim_Scenario!G25/1000000</f>
        <v>25.8109286</v>
      </c>
      <c r="F12" s="348">
        <f>VAC_Optim_Scenario!H25/1000000</f>
        <v>25.8109286</v>
      </c>
      <c r="G12" s="353"/>
      <c r="H12" s="350">
        <v>25.8109286</v>
      </c>
      <c r="I12" s="351">
        <v>0</v>
      </c>
      <c r="J12" s="402">
        <v>38.072697978218493</v>
      </c>
    </row>
    <row r="13" spans="3:10" x14ac:dyDescent="0.25">
      <c r="C13" s="352" t="str">
        <f>VAC_Optim_Scenario!B26</f>
        <v>HCC Pharmacy</v>
      </c>
      <c r="D13" s="348">
        <v>2.4119679999999999</v>
      </c>
      <c r="E13" s="348">
        <f>VAC_Optim_Scenario!G26/1000000</f>
        <v>1.6883775999999999</v>
      </c>
      <c r="F13" s="348">
        <f>VAC_Optim_Scenario!H26/1000000</f>
        <v>3.1355583999999999</v>
      </c>
      <c r="G13" s="353"/>
      <c r="H13" s="350">
        <v>1.6883776000000001</v>
      </c>
      <c r="I13" s="351">
        <v>-0.3</v>
      </c>
      <c r="J13" s="402">
        <v>3.0901339495154945</v>
      </c>
    </row>
    <row r="14" spans="3:10" ht="25.5" x14ac:dyDescent="0.25">
      <c r="C14" s="354" t="s">
        <v>201</v>
      </c>
      <c r="D14" s="355">
        <f>'Scenario deep dive'!C33</f>
        <v>59.976092180000002</v>
      </c>
      <c r="E14" s="356">
        <f>VAC_Optim_Scenario!G27/1000000</f>
        <v>49.741543106000002</v>
      </c>
      <c r="F14" s="356">
        <f>VAC_Optim_Scenario!H27/1000000</f>
        <v>70.210641253999995</v>
      </c>
      <c r="G14" s="353"/>
      <c r="H14" s="357">
        <f>SUM(H4:H13)</f>
        <v>59.976092180000002</v>
      </c>
      <c r="I14" s="358">
        <f>(H14-D14)/D14</f>
        <v>0</v>
      </c>
      <c r="J14" s="387">
        <f>SUM(J4:J13)</f>
        <v>185.30689462261691</v>
      </c>
    </row>
    <row r="15" spans="3:10" x14ac:dyDescent="0.25">
      <c r="G15"/>
    </row>
    <row r="16" spans="3:10" x14ac:dyDescent="0.25">
      <c r="G16"/>
    </row>
  </sheetData>
  <mergeCells count="2">
    <mergeCell ref="H2:I2"/>
    <mergeCell ref="D2:F2"/>
  </mergeCells>
  <conditionalFormatting sqref="I4:I13">
    <cfRule type="cellIs" dxfId="2" priority="3" operator="lessThan">
      <formula>0</formula>
    </cfRule>
    <cfRule type="cellIs" dxfId="1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242</v>
      </c>
    </row>
    <row r="3" spans="1:15" x14ac:dyDescent="0.2">
      <c r="A3" s="48" t="s">
        <v>77</v>
      </c>
      <c r="B3" s="1" t="s">
        <v>241</v>
      </c>
    </row>
    <row r="4" spans="1:15" ht="29.1" customHeight="1" x14ac:dyDescent="0.2">
      <c r="A4" s="49" t="s">
        <v>78</v>
      </c>
      <c r="B4" s="443" t="s">
        <v>267</v>
      </c>
      <c r="C4" s="444"/>
      <c r="D4" s="444"/>
      <c r="E4" s="444"/>
      <c r="F4" s="444"/>
      <c r="G4" s="444"/>
      <c r="H4" s="444"/>
      <c r="I4" s="444"/>
    </row>
    <row r="5" spans="1:15" x14ac:dyDescent="0.2">
      <c r="A5" s="48" t="s">
        <v>79</v>
      </c>
      <c r="B5" s="1" t="s">
        <v>127</v>
      </c>
      <c r="E5" s="445" t="s">
        <v>50</v>
      </c>
      <c r="F5" s="446"/>
      <c r="G5" s="446"/>
      <c r="H5" s="446"/>
      <c r="I5" s="447"/>
    </row>
    <row r="6" spans="1:15" x14ac:dyDescent="0.2">
      <c r="A6" s="48" t="s">
        <v>80</v>
      </c>
      <c r="B6" s="1" t="s">
        <v>180</v>
      </c>
      <c r="E6" s="448" t="s">
        <v>51</v>
      </c>
      <c r="F6" s="449"/>
      <c r="G6" s="449"/>
      <c r="H6" s="449"/>
      <c r="I6" s="450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858057.90419580135</v>
      </c>
      <c r="K9" s="117"/>
      <c r="O9" s="296"/>
    </row>
    <row r="10" spans="1:15" ht="13.5" thickBot="1" x14ac:dyDescent="0.25">
      <c r="A10" s="50"/>
      <c r="B10" s="1">
        <v>1.2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I11" s="507"/>
      <c r="J11" s="2" t="s">
        <v>301</v>
      </c>
      <c r="M11" s="140"/>
    </row>
    <row r="12" spans="1:15" s="235" customFormat="1" ht="13.5" thickBot="1" x14ac:dyDescent="0.25">
      <c r="A12" s="144" t="s">
        <v>157</v>
      </c>
      <c r="B12" s="145">
        <f>SUM(E17:E24,E26)*B10</f>
        <v>40998196.295999996</v>
      </c>
      <c r="C12" s="146">
        <f>B12*E12</f>
        <v>0</v>
      </c>
      <c r="D12" s="146">
        <f>B12*F12</f>
        <v>40998196.295999996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193869602.87399936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17" t="s">
        <v>2</v>
      </c>
      <c r="B15" s="415" t="s">
        <v>3</v>
      </c>
      <c r="C15" s="415" t="s">
        <v>38</v>
      </c>
      <c r="D15" s="415" t="s">
        <v>128</v>
      </c>
      <c r="E15" s="451" t="s">
        <v>86</v>
      </c>
      <c r="F15" s="453"/>
      <c r="G15" s="413" t="s">
        <v>131</v>
      </c>
      <c r="H15" s="414"/>
      <c r="I15" s="413" t="s">
        <v>89</v>
      </c>
      <c r="J15" s="414"/>
      <c r="K15" s="451" t="s">
        <v>90</v>
      </c>
      <c r="L15" s="452"/>
      <c r="M15" s="452"/>
      <c r="N15" s="453"/>
    </row>
    <row r="16" spans="1:15" ht="25.5" x14ac:dyDescent="0.2">
      <c r="A16" s="416"/>
      <c r="B16" s="416"/>
      <c r="C16" s="416"/>
      <c r="D16" s="416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231</v>
      </c>
      <c r="B17" s="274" t="s">
        <v>236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f>E17*$G$14</f>
        <v>794297</v>
      </c>
      <c r="H17" s="285">
        <f>E17*$H$14</f>
        <v>1475123</v>
      </c>
      <c r="I17" s="329">
        <v>913733.72667280084</v>
      </c>
      <c r="J17" s="283">
        <f>GINOFF!F9</f>
        <v>6313.0331838401034</v>
      </c>
      <c r="K17" s="292">
        <f>I17-E17</f>
        <v>-220976.27332719916</v>
      </c>
      <c r="L17" s="288">
        <f>J17-F17</f>
        <v>-1054.8334301821887</v>
      </c>
      <c r="M17" s="289">
        <f>K17/E17</f>
        <v>-0.19474250982823732</v>
      </c>
      <c r="N17" s="289">
        <f>L17/F17</f>
        <v>-0.14316673814027292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231</v>
      </c>
      <c r="B18" s="275" t="s">
        <v>209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f t="shared" ref="G18:G26" si="0">E18*$G$14</f>
        <v>7352610.1039999984</v>
      </c>
      <c r="H18" s="286">
        <f t="shared" ref="H18:H26" si="1">E18*$H$14</f>
        <v>13654847.335999999</v>
      </c>
      <c r="I18" s="329">
        <v>13654847.335999999</v>
      </c>
      <c r="J18" s="284">
        <f>GMCM!F9</f>
        <v>351876.44985588826</v>
      </c>
      <c r="K18" s="293">
        <f t="shared" ref="K18:K26" si="2">I18-E18</f>
        <v>3151118.6160000004</v>
      </c>
      <c r="L18" s="290">
        <f t="shared" ref="L18:L26" si="3">J18-F18</f>
        <v>63537.352236146107</v>
      </c>
      <c r="M18" s="291">
        <f t="shared" ref="M18:M26" si="4">K18/E18</f>
        <v>0.30000000000000004</v>
      </c>
      <c r="N18" s="291">
        <f t="shared" ref="N18:N26" si="5">L18/F18</f>
        <v>0.22035635389252115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231</v>
      </c>
      <c r="B19" s="275" t="s">
        <v>210</v>
      </c>
      <c r="C19" s="54" t="s">
        <v>248</v>
      </c>
      <c r="D19" s="298">
        <v>1</v>
      </c>
      <c r="E19" s="286">
        <v>1751000</v>
      </c>
      <c r="F19" s="282">
        <f>GSOCIAL!I9</f>
        <v>23820.403572058858</v>
      </c>
      <c r="G19" s="328">
        <f t="shared" si="0"/>
        <v>1225700</v>
      </c>
      <c r="H19" s="286">
        <f t="shared" si="1"/>
        <v>2276300</v>
      </c>
      <c r="I19" s="329">
        <v>2276300</v>
      </c>
      <c r="J19" s="284">
        <f>GSOCIAL!F9</f>
        <v>27881.435275465017</v>
      </c>
      <c r="K19" s="293">
        <f t="shared" si="2"/>
        <v>525300</v>
      </c>
      <c r="L19" s="290">
        <f t="shared" si="3"/>
        <v>4061.0317034061591</v>
      </c>
      <c r="M19" s="291">
        <f t="shared" si="4"/>
        <v>0.3</v>
      </c>
      <c r="N19" s="291">
        <f>L19/F19</f>
        <v>0.17048542822211948</v>
      </c>
      <c r="O19" s="300"/>
      <c r="U19" s="276"/>
      <c r="V19" s="276"/>
    </row>
    <row r="20" spans="1:24" s="98" customFormat="1" x14ac:dyDescent="0.2">
      <c r="A20" s="253" t="s">
        <v>231</v>
      </c>
      <c r="B20" s="275" t="s">
        <v>226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f t="shared" si="0"/>
        <v>778245.32799999998</v>
      </c>
      <c r="H20" s="286">
        <f t="shared" si="1"/>
        <v>1445312.7520000001</v>
      </c>
      <c r="I20" s="329">
        <v>1445312.7520000001</v>
      </c>
      <c r="J20" s="284">
        <f>GOLV!F9</f>
        <v>25719.483123207465</v>
      </c>
      <c r="K20" s="293">
        <f t="shared" si="2"/>
        <v>333533.71200000006</v>
      </c>
      <c r="L20" s="290">
        <f t="shared" si="3"/>
        <v>4073.2474735919386</v>
      </c>
      <c r="M20" s="291">
        <f t="shared" si="4"/>
        <v>0.30000000000000004</v>
      </c>
      <c r="N20" s="291">
        <f t="shared" si="5"/>
        <v>0.1881734791917174</v>
      </c>
      <c r="O20" s="300"/>
      <c r="U20" s="276"/>
      <c r="V20" s="276"/>
    </row>
    <row r="21" spans="1:24" s="98" customFormat="1" x14ac:dyDescent="0.2">
      <c r="A21" s="253" t="s">
        <v>231</v>
      </c>
      <c r="B21" s="275" t="s">
        <v>228</v>
      </c>
      <c r="C21" s="54" t="s">
        <v>248</v>
      </c>
      <c r="D21" s="298">
        <v>1</v>
      </c>
      <c r="E21" s="286">
        <v>13418576</v>
      </c>
      <c r="F21" s="282">
        <f>GSTRTV!I9</f>
        <v>100808.3256282994</v>
      </c>
      <c r="G21" s="328">
        <f t="shared" si="0"/>
        <v>9393003.1999999993</v>
      </c>
      <c r="H21" s="286">
        <f t="shared" si="1"/>
        <v>17444148.800000001</v>
      </c>
      <c r="I21" s="329">
        <v>14735392.40196098</v>
      </c>
      <c r="J21" s="284">
        <f>GSTRTV!F9</f>
        <v>107635.39132557339</v>
      </c>
      <c r="K21" s="293">
        <f t="shared" si="2"/>
        <v>1316816.4019609801</v>
      </c>
      <c r="L21" s="290">
        <f t="shared" si="3"/>
        <v>6827.0656972739962</v>
      </c>
      <c r="M21" s="291">
        <f>K21/E21</f>
        <v>9.81338408755877E-2</v>
      </c>
      <c r="N21" s="291">
        <f t="shared" si="5"/>
        <v>6.7723232726300431E-2</v>
      </c>
      <c r="O21" s="300"/>
      <c r="U21" s="276"/>
      <c r="V21" s="276"/>
    </row>
    <row r="22" spans="1:24" s="98" customFormat="1" x14ac:dyDescent="0.2">
      <c r="A22" s="253" t="s">
        <v>231</v>
      </c>
      <c r="B22" s="275" t="s">
        <v>211</v>
      </c>
      <c r="C22" s="54" t="s">
        <v>248</v>
      </c>
      <c r="D22" s="298">
        <v>1</v>
      </c>
      <c r="E22" s="286">
        <v>2859426.82</v>
      </c>
      <c r="F22" s="282">
        <f>GDISP!I9</f>
        <v>76065.012406995462</v>
      </c>
      <c r="G22" s="328">
        <f t="shared" si="0"/>
        <v>2001598.7739999997</v>
      </c>
      <c r="H22" s="286">
        <f t="shared" si="1"/>
        <v>3717254.8659999999</v>
      </c>
      <c r="I22" s="329">
        <v>3717254.8659999999</v>
      </c>
      <c r="J22" s="284">
        <f>GDISP!F9</f>
        <v>89032.988619922922</v>
      </c>
      <c r="K22" s="293">
        <f t="shared" si="2"/>
        <v>857828.04600000009</v>
      </c>
      <c r="L22" s="290">
        <f t="shared" si="3"/>
        <v>12967.97621292746</v>
      </c>
      <c r="M22" s="291">
        <f t="shared" si="4"/>
        <v>0.30000000000000004</v>
      </c>
      <c r="N22" s="291">
        <f t="shared" si="5"/>
        <v>0.17048542822211959</v>
      </c>
      <c r="O22" s="300"/>
      <c r="U22" s="276"/>
      <c r="V22" s="276"/>
    </row>
    <row r="23" spans="1:24" s="98" customFormat="1" x14ac:dyDescent="0.2">
      <c r="A23" s="253" t="s">
        <v>231</v>
      </c>
      <c r="B23" s="275" t="s">
        <v>212</v>
      </c>
      <c r="C23" s="54" t="s">
        <v>248</v>
      </c>
      <c r="D23" s="298">
        <v>1</v>
      </c>
      <c r="E23" s="286">
        <v>50000</v>
      </c>
      <c r="F23" s="282">
        <f>GPDSRCH!I9</f>
        <v>30136.792938374307</v>
      </c>
      <c r="G23" s="339">
        <f>E23</f>
        <v>50000</v>
      </c>
      <c r="H23" s="340">
        <f>E23</f>
        <v>50000</v>
      </c>
      <c r="I23" s="329">
        <v>50000</v>
      </c>
      <c r="J23" s="284">
        <f>GPDSRCH!F9</f>
        <v>30136.792938374307</v>
      </c>
      <c r="K23" s="293">
        <f t="shared" si="2"/>
        <v>0</v>
      </c>
      <c r="L23" s="290">
        <f t="shared" si="3"/>
        <v>0</v>
      </c>
      <c r="M23" s="291">
        <f t="shared" si="4"/>
        <v>0</v>
      </c>
      <c r="N23" s="291">
        <f t="shared" si="5"/>
        <v>0</v>
      </c>
      <c r="O23" s="300"/>
      <c r="U23" s="276"/>
      <c r="V23" s="276"/>
    </row>
    <row r="24" spans="1:24" x14ac:dyDescent="0.2">
      <c r="A24" s="253" t="s">
        <v>231</v>
      </c>
      <c r="B24" s="275" t="s">
        <v>177</v>
      </c>
      <c r="C24" s="54" t="s">
        <v>248</v>
      </c>
      <c r="D24" s="298">
        <v>1</v>
      </c>
      <c r="E24" s="286">
        <v>923975</v>
      </c>
      <c r="F24" s="282">
        <f>GAUDIO!I9</f>
        <v>26581.559263521289</v>
      </c>
      <c r="G24" s="328">
        <f t="shared" si="0"/>
        <v>646782.5</v>
      </c>
      <c r="H24" s="286">
        <f t="shared" si="1"/>
        <v>1201167.5</v>
      </c>
      <c r="I24" s="329">
        <v>1201167.5</v>
      </c>
      <c r="J24" s="284">
        <f>GAUDIO!F9</f>
        <v>29522.816952164638</v>
      </c>
      <c r="K24" s="293">
        <f t="shared" si="2"/>
        <v>277192.5</v>
      </c>
      <c r="L24" s="290">
        <f t="shared" si="3"/>
        <v>2941.257688643349</v>
      </c>
      <c r="M24" s="291">
        <f t="shared" si="4"/>
        <v>0.3</v>
      </c>
      <c r="N24" s="291">
        <f t="shared" si="5"/>
        <v>0.11065030683432216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231</v>
      </c>
      <c r="B25" s="275" t="s">
        <v>237</v>
      </c>
      <c r="C25" s="54" t="s">
        <v>248</v>
      </c>
      <c r="D25" s="298">
        <v>1</v>
      </c>
      <c r="E25" s="286">
        <v>25810928.600000001</v>
      </c>
      <c r="F25" s="282">
        <f>GLINEARTV!I9</f>
        <v>168508.00202805389</v>
      </c>
      <c r="G25" s="339">
        <f>E25</f>
        <v>25810928.600000001</v>
      </c>
      <c r="H25" s="340">
        <f>E25</f>
        <v>25810928.600000001</v>
      </c>
      <c r="I25" s="329">
        <v>25810928.600000001</v>
      </c>
      <c r="J25" s="284">
        <f>GLINEARTV!F9</f>
        <v>168508.00202805389</v>
      </c>
      <c r="K25" s="293">
        <f t="shared" si="2"/>
        <v>0</v>
      </c>
      <c r="L25" s="290">
        <f t="shared" si="3"/>
        <v>0</v>
      </c>
      <c r="M25" s="291">
        <f t="shared" si="4"/>
        <v>0</v>
      </c>
      <c r="N25" s="291">
        <f t="shared" si="5"/>
        <v>0</v>
      </c>
      <c r="O25" s="300"/>
      <c r="U25" s="276"/>
      <c r="V25" s="276"/>
    </row>
    <row r="26" spans="1:24" s="98" customFormat="1" x14ac:dyDescent="0.2">
      <c r="A26" s="253" t="s">
        <v>231</v>
      </c>
      <c r="B26" s="275" t="s">
        <v>238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f t="shared" si="0"/>
        <v>1688377.5999999999</v>
      </c>
      <c r="H26" s="330">
        <f t="shared" si="1"/>
        <v>3135558.4</v>
      </c>
      <c r="I26" s="329">
        <v>3004187.7083909721</v>
      </c>
      <c r="J26" s="284">
        <f>GPHRMCY!F9</f>
        <v>21431.510893311352</v>
      </c>
      <c r="K26" s="293">
        <f t="shared" si="2"/>
        <v>592219.70839097211</v>
      </c>
      <c r="L26" s="290">
        <f t="shared" si="3"/>
        <v>3225.5810717800632</v>
      </c>
      <c r="M26" s="291">
        <f t="shared" si="4"/>
        <v>0.24553381653113646</v>
      </c>
      <c r="N26" s="291">
        <f t="shared" si="5"/>
        <v>0.17717200403383526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49741543.105999999</v>
      </c>
      <c r="H27" s="287">
        <f>SUM(H17:H26)</f>
        <v>70210641.253999993</v>
      </c>
      <c r="I27" s="287">
        <f t="shared" ref="I27:J27" si="6">SUM(I17:I26)</f>
        <v>66809124.891024753</v>
      </c>
      <c r="J27" s="297">
        <f t="shared" si="6"/>
        <v>858057.90419580135</v>
      </c>
      <c r="K27" s="287">
        <f t="shared" ref="K27" si="7">SUM(K17:K26)</f>
        <v>6833032.7110247537</v>
      </c>
      <c r="L27" s="152">
        <f>SUM(L17:L26)</f>
        <v>96578.678653586889</v>
      </c>
      <c r="M27" s="153">
        <f>K27/E27</f>
        <v>0.11392927519381363</v>
      </c>
      <c r="N27" s="153">
        <f>L27/F27</f>
        <v>0.12683035257438263</v>
      </c>
      <c r="O27" s="301"/>
    </row>
    <row r="28" spans="1:24" x14ac:dyDescent="0.2">
      <c r="E28" s="296">
        <f>SUM(E17:E24,E26)</f>
        <v>34165163.579999998</v>
      </c>
      <c r="F28" s="296">
        <f t="shared" ref="F28:L28" si="8">SUM(F17:F24,F26)</f>
        <v>592971.22351416061</v>
      </c>
      <c r="G28" s="296">
        <f t="shared" si="8"/>
        <v>23930614.506000001</v>
      </c>
      <c r="H28" s="296">
        <f t="shared" si="8"/>
        <v>44399712.653999992</v>
      </c>
      <c r="I28" s="296">
        <f t="shared" si="8"/>
        <v>40998196.291024752</v>
      </c>
      <c r="J28" s="296">
        <f t="shared" si="8"/>
        <v>689549.9021677475</v>
      </c>
      <c r="K28" s="296">
        <f t="shared" si="8"/>
        <v>6833032.7110247537</v>
      </c>
      <c r="L28" s="296">
        <f t="shared" si="8"/>
        <v>96578.678653586889</v>
      </c>
      <c r="M28" s="300">
        <f>K28/E28</f>
        <v>0.19999999985437664</v>
      </c>
      <c r="N28" s="300">
        <f>L28/F28</f>
        <v>0.16287245455391061</v>
      </c>
    </row>
    <row r="29" spans="1:24" x14ac:dyDescent="0.2"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58" t="s">
        <v>154</v>
      </c>
      <c r="E31" s="458"/>
      <c r="F31" s="458"/>
      <c r="G31" s="458"/>
      <c r="H31" s="458"/>
      <c r="I31" s="458"/>
      <c r="J31" s="457"/>
      <c r="K31" s="457"/>
      <c r="L31" s="457"/>
      <c r="M31" s="457"/>
      <c r="N31" s="457"/>
      <c r="O31" s="457"/>
      <c r="P31" s="134"/>
    </row>
    <row r="32" spans="1:24" ht="51" x14ac:dyDescent="0.2">
      <c r="A32" s="460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60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59" t="s">
        <v>2</v>
      </c>
      <c r="B34" s="415" t="s">
        <v>3</v>
      </c>
      <c r="C34" s="415" t="str">
        <f t="shared" ref="C34:C45" si="9">D15</f>
        <v>Response Scaling Factor for Sensitivity Analysis</v>
      </c>
      <c r="D34" s="454" t="s">
        <v>86</v>
      </c>
      <c r="E34" s="455"/>
      <c r="F34" s="455"/>
      <c r="G34" s="456"/>
      <c r="H34" s="441" t="s">
        <v>89</v>
      </c>
      <c r="I34" s="442"/>
      <c r="J34" s="442"/>
      <c r="K34" s="454" t="s">
        <v>136</v>
      </c>
      <c r="L34" s="455"/>
      <c r="M34" s="455"/>
      <c r="N34" s="456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16"/>
      <c r="B35" s="416"/>
      <c r="C35" s="416">
        <f t="shared" si="9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10">A17</f>
        <v>Gardasil Adults</v>
      </c>
      <c r="B36" s="215" t="str">
        <f t="shared" si="10"/>
        <v>HCC InOffice</v>
      </c>
      <c r="C36" s="331">
        <f t="shared" si="9"/>
        <v>1</v>
      </c>
      <c r="D36" s="99">
        <f t="shared" ref="D36:D45" si="11">E17</f>
        <v>1134710</v>
      </c>
      <c r="E36" s="237" t="s">
        <v>161</v>
      </c>
      <c r="F36" s="101">
        <f t="shared" ref="F36:F45" si="12">F17/$D$33</f>
        <v>7367.8666140222922</v>
      </c>
      <c r="G36" s="103">
        <f>F36*$F$33</f>
        <v>1664695.7827721967</v>
      </c>
      <c r="H36" s="105">
        <f t="shared" ref="H36:H45" si="13">I17</f>
        <v>913733.72667280084</v>
      </c>
      <c r="I36" s="101">
        <f t="shared" ref="I36:I45" si="14">J17/$D$33</f>
        <v>6313.0331838401034</v>
      </c>
      <c r="J36" s="107">
        <f>I36*$F$33</f>
        <v>1426366.7175568331</v>
      </c>
      <c r="K36" s="99">
        <f>H36-D36</f>
        <v>-220976.27332719916</v>
      </c>
      <c r="L36" s="99">
        <f>J36-G36</f>
        <v>-238329.06521536363</v>
      </c>
      <c r="M36" s="109">
        <f>K36/D36</f>
        <v>-0.19474250982823732</v>
      </c>
      <c r="N36" s="110">
        <f>L36/G36</f>
        <v>-0.14316673814027286</v>
      </c>
      <c r="O36" s="302">
        <f>(J36-G36)/1000000</f>
        <v>-0.23832906521536362</v>
      </c>
    </row>
    <row r="37" spans="1:22" x14ac:dyDescent="0.2">
      <c r="A37" s="221" t="str">
        <f t="shared" si="10"/>
        <v>Gardasil Adults</v>
      </c>
      <c r="B37" s="221" t="str">
        <f t="shared" si="10"/>
        <v>HCP MCM</v>
      </c>
      <c r="C37" s="298">
        <f t="shared" si="9"/>
        <v>1</v>
      </c>
      <c r="D37" s="100">
        <f t="shared" si="11"/>
        <v>10503728.719999999</v>
      </c>
      <c r="E37" s="238" t="s">
        <v>161</v>
      </c>
      <c r="F37" s="102">
        <f t="shared" si="12"/>
        <v>288339.09761974216</v>
      </c>
      <c r="G37" s="104">
        <f t="shared" ref="G37:G44" si="15">F37*$F$33</f>
        <v>65147335.716204539</v>
      </c>
      <c r="H37" s="106">
        <f t="shared" si="13"/>
        <v>13654847.335999999</v>
      </c>
      <c r="I37" s="102">
        <f t="shared" si="14"/>
        <v>351876.44985588826</v>
      </c>
      <c r="J37" s="108">
        <f t="shared" ref="J37" si="16">I37*$F$33</f>
        <v>79502965.080439389</v>
      </c>
      <c r="K37" s="100">
        <f t="shared" ref="K37" si="17">H37-D37</f>
        <v>3151118.6160000004</v>
      </c>
      <c r="L37" s="100">
        <f t="shared" ref="L37" si="18">J37-G37</f>
        <v>14355629.36423485</v>
      </c>
      <c r="M37" s="111">
        <f t="shared" ref="M37" si="19">K37/D37</f>
        <v>0.30000000000000004</v>
      </c>
      <c r="N37" s="112">
        <f t="shared" ref="N37" si="20">L37/G37</f>
        <v>0.22035635389252115</v>
      </c>
      <c r="O37" s="302">
        <f t="shared" ref="O37:O45" si="21">(J37-G37)/1000000</f>
        <v>14.355629364234851</v>
      </c>
    </row>
    <row r="38" spans="1:22" s="98" customFormat="1" x14ac:dyDescent="0.2">
      <c r="A38" s="221" t="str">
        <f t="shared" si="10"/>
        <v>Gardasil Adults</v>
      </c>
      <c r="B38" s="221" t="str">
        <f t="shared" si="10"/>
        <v>HCC Social</v>
      </c>
      <c r="C38" s="298">
        <f t="shared" si="9"/>
        <v>1</v>
      </c>
      <c r="D38" s="100">
        <f t="shared" si="11"/>
        <v>1751000</v>
      </c>
      <c r="E38" s="238" t="s">
        <v>161</v>
      </c>
      <c r="F38" s="102">
        <f t="shared" si="12"/>
        <v>23820.403572058858</v>
      </c>
      <c r="G38" s="104">
        <f t="shared" si="15"/>
        <v>5381981.983070978</v>
      </c>
      <c r="H38" s="106">
        <f t="shared" si="13"/>
        <v>2276300</v>
      </c>
      <c r="I38" s="102">
        <f t="shared" si="14"/>
        <v>27881.435275465017</v>
      </c>
      <c r="J38" s="108">
        <f t="shared" ref="J38:J44" si="22">I38*$F$33</f>
        <v>6299531.4861385655</v>
      </c>
      <c r="K38" s="100">
        <f t="shared" ref="K38:K44" si="23">H38-D38</f>
        <v>525300</v>
      </c>
      <c r="L38" s="100">
        <f t="shared" ref="L38:L44" si="24">J38-G38</f>
        <v>917549.5030675875</v>
      </c>
      <c r="M38" s="111">
        <f t="shared" ref="M38:M44" si="25">K38/D38</f>
        <v>0.3</v>
      </c>
      <c r="N38" s="112">
        <f t="shared" ref="N38:N44" si="26">L38/G38</f>
        <v>0.17048542822211948</v>
      </c>
      <c r="O38" s="302">
        <f t="shared" si="21"/>
        <v>0.91754950306758754</v>
      </c>
      <c r="P38" s="113"/>
    </row>
    <row r="39" spans="1:22" s="98" customFormat="1" x14ac:dyDescent="0.2">
      <c r="A39" s="221" t="str">
        <f t="shared" si="10"/>
        <v>Gardasil Adults</v>
      </c>
      <c r="B39" s="221" t="str">
        <f t="shared" si="10"/>
        <v>HCC Online Video</v>
      </c>
      <c r="C39" s="298">
        <f t="shared" si="9"/>
        <v>1</v>
      </c>
      <c r="D39" s="100">
        <f t="shared" si="11"/>
        <v>1111779.04</v>
      </c>
      <c r="E39" s="238" t="s">
        <v>161</v>
      </c>
      <c r="F39" s="102">
        <f t="shared" si="12"/>
        <v>21646.235649615526</v>
      </c>
      <c r="G39" s="104">
        <f t="shared" si="15"/>
        <v>4890750.4826741321</v>
      </c>
      <c r="H39" s="106">
        <f t="shared" si="13"/>
        <v>1445312.7520000001</v>
      </c>
      <c r="I39" s="102">
        <f t="shared" si="14"/>
        <v>25719.483123207465</v>
      </c>
      <c r="J39" s="108">
        <f t="shared" si="22"/>
        <v>5811060.0168574946</v>
      </c>
      <c r="K39" s="100">
        <f t="shared" si="23"/>
        <v>333533.71200000006</v>
      </c>
      <c r="L39" s="100">
        <f t="shared" si="24"/>
        <v>920309.5341833625</v>
      </c>
      <c r="M39" s="111">
        <f t="shared" si="25"/>
        <v>0.30000000000000004</v>
      </c>
      <c r="N39" s="112">
        <f t="shared" si="26"/>
        <v>0.18817347919171737</v>
      </c>
      <c r="O39" s="302">
        <f t="shared" si="21"/>
        <v>0.92030953418336248</v>
      </c>
    </row>
    <row r="40" spans="1:22" s="98" customFormat="1" x14ac:dyDescent="0.2">
      <c r="A40" s="221" t="str">
        <f t="shared" ref="A40:A45" si="27">A21</f>
        <v>Gardasil Adults</v>
      </c>
      <c r="B40" s="221" t="str">
        <f t="shared" ref="B40:B45" si="28">B21</f>
        <v>HCC Streaming Video</v>
      </c>
      <c r="C40" s="298">
        <f t="shared" si="9"/>
        <v>1</v>
      </c>
      <c r="D40" s="100">
        <f t="shared" si="11"/>
        <v>13418576</v>
      </c>
      <c r="E40" s="238" t="s">
        <v>161</v>
      </c>
      <c r="F40" s="102">
        <f t="shared" si="12"/>
        <v>100808.3256282994</v>
      </c>
      <c r="G40" s="104">
        <f t="shared" si="15"/>
        <v>22776633.092457965</v>
      </c>
      <c r="H40" s="106">
        <f t="shared" si="13"/>
        <v>14735392.40196098</v>
      </c>
      <c r="I40" s="102">
        <f t="shared" si="14"/>
        <v>107635.39132557339</v>
      </c>
      <c r="J40" s="108">
        <f t="shared" si="22"/>
        <v>24319140.316100053</v>
      </c>
      <c r="K40" s="100">
        <f t="shared" si="23"/>
        <v>1316816.4019609801</v>
      </c>
      <c r="L40" s="100">
        <f t="shared" si="24"/>
        <v>1542507.2236420885</v>
      </c>
      <c r="M40" s="111">
        <f t="shared" si="25"/>
        <v>9.81338408755877E-2</v>
      </c>
      <c r="N40" s="112">
        <f t="shared" si="26"/>
        <v>6.7723232726300514E-2</v>
      </c>
      <c r="O40" s="302">
        <f t="shared" si="21"/>
        <v>1.5425072236420885</v>
      </c>
    </row>
    <row r="41" spans="1:22" s="98" customFormat="1" x14ac:dyDescent="0.2">
      <c r="A41" s="221" t="str">
        <f t="shared" si="27"/>
        <v>Gardasil Adults</v>
      </c>
      <c r="B41" s="221" t="str">
        <f t="shared" si="28"/>
        <v>HCC Display</v>
      </c>
      <c r="C41" s="298">
        <f t="shared" si="9"/>
        <v>1</v>
      </c>
      <c r="D41" s="100">
        <f t="shared" si="11"/>
        <v>2859426.82</v>
      </c>
      <c r="E41" s="238" t="s">
        <v>161</v>
      </c>
      <c r="F41" s="102">
        <f t="shared" si="12"/>
        <v>76065.012406995462</v>
      </c>
      <c r="G41" s="104">
        <f t="shared" si="15"/>
        <v>17186128.903236553</v>
      </c>
      <c r="H41" s="106">
        <f t="shared" si="13"/>
        <v>3717254.8659999999</v>
      </c>
      <c r="I41" s="102">
        <f t="shared" si="14"/>
        <v>89032.988619922922</v>
      </c>
      <c r="J41" s="108">
        <f t="shared" si="22"/>
        <v>20116113.448785383</v>
      </c>
      <c r="K41" s="100">
        <f t="shared" si="23"/>
        <v>857828.04600000009</v>
      </c>
      <c r="L41" s="100">
        <f t="shared" si="24"/>
        <v>2929984.5455488302</v>
      </c>
      <c r="M41" s="111">
        <f t="shared" si="25"/>
        <v>0.30000000000000004</v>
      </c>
      <c r="N41" s="112">
        <f t="shared" si="26"/>
        <v>0.17048542822211959</v>
      </c>
      <c r="O41" s="302">
        <f t="shared" si="21"/>
        <v>2.9299845455488303</v>
      </c>
    </row>
    <row r="42" spans="1:22" x14ac:dyDescent="0.2">
      <c r="A42" s="221" t="str">
        <f t="shared" si="27"/>
        <v>Gardasil Adults</v>
      </c>
      <c r="B42" s="221" t="str">
        <f t="shared" si="28"/>
        <v>HCC Paid Search</v>
      </c>
      <c r="C42" s="298">
        <f t="shared" si="9"/>
        <v>1</v>
      </c>
      <c r="D42" s="100">
        <f t="shared" si="11"/>
        <v>50000</v>
      </c>
      <c r="E42" s="238" t="s">
        <v>161</v>
      </c>
      <c r="F42" s="102">
        <f t="shared" si="12"/>
        <v>30136.792938374307</v>
      </c>
      <c r="G42" s="104">
        <f t="shared" si="15"/>
        <v>6809106.9964962909</v>
      </c>
      <c r="H42" s="106">
        <f t="shared" si="13"/>
        <v>50000</v>
      </c>
      <c r="I42" s="102">
        <f t="shared" si="14"/>
        <v>30136.792938374307</v>
      </c>
      <c r="J42" s="108">
        <f t="shared" si="22"/>
        <v>6809106.9964962909</v>
      </c>
      <c r="K42" s="100">
        <f t="shared" si="23"/>
        <v>0</v>
      </c>
      <c r="L42" s="100">
        <f t="shared" si="24"/>
        <v>0</v>
      </c>
      <c r="M42" s="111">
        <f t="shared" si="25"/>
        <v>0</v>
      </c>
      <c r="N42" s="112">
        <f t="shared" si="26"/>
        <v>0</v>
      </c>
      <c r="O42" s="302">
        <f t="shared" si="21"/>
        <v>0</v>
      </c>
    </row>
    <row r="43" spans="1:22" s="98" customFormat="1" x14ac:dyDescent="0.2">
      <c r="A43" s="221" t="str">
        <f t="shared" si="27"/>
        <v>Gardasil Adults</v>
      </c>
      <c r="B43" s="221" t="str">
        <f t="shared" si="28"/>
        <v>HCC Radio</v>
      </c>
      <c r="C43" s="298">
        <f t="shared" si="9"/>
        <v>1</v>
      </c>
      <c r="D43" s="100">
        <f t="shared" si="11"/>
        <v>923975</v>
      </c>
      <c r="E43" s="238" t="s">
        <v>161</v>
      </c>
      <c r="F43" s="102">
        <f t="shared" si="12"/>
        <v>26581.559263521289</v>
      </c>
      <c r="G43" s="104">
        <f t="shared" si="15"/>
        <v>6005837.5</v>
      </c>
      <c r="H43" s="106">
        <f t="shared" si="13"/>
        <v>1201167.5</v>
      </c>
      <c r="I43" s="102">
        <f t="shared" si="14"/>
        <v>29522.816952164638</v>
      </c>
      <c r="J43" s="108">
        <f t="shared" si="22"/>
        <v>6670385.2621720778</v>
      </c>
      <c r="K43" s="100">
        <f t="shared" si="23"/>
        <v>277192.5</v>
      </c>
      <c r="L43" s="100">
        <f t="shared" si="24"/>
        <v>664547.76217207778</v>
      </c>
      <c r="M43" s="111">
        <f t="shared" si="25"/>
        <v>0.3</v>
      </c>
      <c r="N43" s="112">
        <f t="shared" si="26"/>
        <v>0.11065030683432207</v>
      </c>
      <c r="O43" s="302">
        <f t="shared" si="21"/>
        <v>0.66454776217207778</v>
      </c>
    </row>
    <row r="44" spans="1:22" s="98" customFormat="1" x14ac:dyDescent="0.2">
      <c r="A44" s="221" t="str">
        <f t="shared" si="27"/>
        <v>Gardasil Adults</v>
      </c>
      <c r="B44" s="221" t="str">
        <f t="shared" si="28"/>
        <v>HCC Linear TV</v>
      </c>
      <c r="C44" s="298">
        <f t="shared" si="9"/>
        <v>1</v>
      </c>
      <c r="D44" s="100">
        <f t="shared" si="11"/>
        <v>25810928.600000001</v>
      </c>
      <c r="E44" s="238" t="s">
        <v>161</v>
      </c>
      <c r="F44" s="102">
        <f t="shared" si="12"/>
        <v>168508.00202805389</v>
      </c>
      <c r="G44" s="104">
        <f t="shared" si="15"/>
        <v>38072697.978218496</v>
      </c>
      <c r="H44" s="106">
        <f t="shared" si="13"/>
        <v>25810928.600000001</v>
      </c>
      <c r="I44" s="102">
        <f t="shared" si="14"/>
        <v>168508.00202805389</v>
      </c>
      <c r="J44" s="108">
        <f t="shared" si="22"/>
        <v>38072697.978218496</v>
      </c>
      <c r="K44" s="100">
        <f t="shared" si="23"/>
        <v>0</v>
      </c>
      <c r="L44" s="100">
        <f t="shared" si="24"/>
        <v>0</v>
      </c>
      <c r="M44" s="111">
        <f t="shared" si="25"/>
        <v>0</v>
      </c>
      <c r="N44" s="112">
        <f t="shared" si="26"/>
        <v>0</v>
      </c>
      <c r="O44" s="302">
        <f t="shared" si="21"/>
        <v>0</v>
      </c>
    </row>
    <row r="45" spans="1:22" s="98" customFormat="1" x14ac:dyDescent="0.2">
      <c r="A45" s="221" t="str">
        <f t="shared" si="27"/>
        <v>Gardasil Adults</v>
      </c>
      <c r="B45" s="221" t="str">
        <f t="shared" si="28"/>
        <v>HCC Pharmacy</v>
      </c>
      <c r="C45" s="298">
        <f t="shared" si="9"/>
        <v>1</v>
      </c>
      <c r="D45" s="100">
        <f t="shared" si="11"/>
        <v>2411968</v>
      </c>
      <c r="E45" s="238" t="s">
        <v>161</v>
      </c>
      <c r="F45" s="102">
        <f t="shared" si="12"/>
        <v>18205.929821531288</v>
      </c>
      <c r="G45" s="104">
        <f t="shared" ref="G45" si="29">F45*$F$33</f>
        <v>4113447.783876779</v>
      </c>
      <c r="H45" s="106">
        <f t="shared" si="13"/>
        <v>3004187.7083909721</v>
      </c>
      <c r="I45" s="102">
        <f t="shared" si="14"/>
        <v>21431.510893311352</v>
      </c>
      <c r="J45" s="108">
        <f t="shared" ref="J45" si="30">I45*$F$33</f>
        <v>4842235.5712347664</v>
      </c>
      <c r="K45" s="100">
        <f t="shared" ref="K45" si="31">H45-D45</f>
        <v>592219.70839097211</v>
      </c>
      <c r="L45" s="100">
        <f t="shared" ref="L45" si="32">J45-G45</f>
        <v>728787.78735798737</v>
      </c>
      <c r="M45" s="111">
        <f t="shared" ref="M45" si="33">K45/D45</f>
        <v>0.24553381653113646</v>
      </c>
      <c r="N45" s="112">
        <f t="shared" ref="N45" si="34">L45/G45</f>
        <v>0.17717200403383526</v>
      </c>
      <c r="O45" s="302">
        <f t="shared" si="21"/>
        <v>0.72878778735798733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5">SUM(F36:F45)</f>
        <v>761479.22554221447</v>
      </c>
      <c r="G46" s="131">
        <f t="shared" si="35"/>
        <v>172048616.21900794</v>
      </c>
      <c r="H46" s="131">
        <f t="shared" si="35"/>
        <v>66809124.891024753</v>
      </c>
      <c r="I46" s="130">
        <f t="shared" si="35"/>
        <v>858057.90419580135</v>
      </c>
      <c r="J46" s="131">
        <f>SUM(J36:J45)</f>
        <v>193869602.87399936</v>
      </c>
      <c r="K46" s="131">
        <f>SUM(K36:K45)</f>
        <v>6833032.7110247537</v>
      </c>
      <c r="L46" s="131">
        <f>SUM(L36:L45)</f>
        <v>21820986.654991418</v>
      </c>
      <c r="M46" s="129">
        <f>K46/D46</f>
        <v>0.11392927519381363</v>
      </c>
      <c r="N46" s="132">
        <f>L46/G46</f>
        <v>0.1268303525743826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3.2324480610066875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5:H25 G23:H23 G24:H24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9" workbookViewId="0">
      <selection activeCell="A27" sqref="A2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VAC_Optim_Scenario!G17</f>
        <v>794297</v>
      </c>
      <c r="C9" s="95">
        <f>VAC_Optim_Scenario!H17</f>
        <v>1475123</v>
      </c>
      <c r="D9" s="68">
        <f>VAC_Optim_Scenario!I17</f>
        <v>913733.72667280084</v>
      </c>
      <c r="E9" s="84">
        <f>((($R$12/(1+EXP($P$12+$Q$12*D9)))-1) - ($F$12-$C$12))*$I$12</f>
        <v>6313.0331838401034</v>
      </c>
      <c r="F9" s="89">
        <f>E9*$G$12</f>
        <v>6313.0331838401034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7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13654847.335999999</v>
      </c>
      <c r="E9" s="84">
        <f>((($R$12/(1+EXP($P$12+$Q$12*D9)))-1) - ($F$12-$C$12))*$I$12</f>
        <v>351876.44985588826</v>
      </c>
      <c r="F9" s="89">
        <f>E9*$G$12</f>
        <v>351876.44985588826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7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74" t="s">
        <v>174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12500000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VAC_Optim_Scenario!G19</f>
        <v>1225700</v>
      </c>
      <c r="C9" s="312">
        <f>VAC_Optim_Scenario!H19</f>
        <v>2276300</v>
      </c>
      <c r="D9" s="313">
        <f>VAC_Optim_Scenario!I19</f>
        <v>2276300</v>
      </c>
      <c r="E9" s="84">
        <f>((GSOCIAL!D9/$B$12)^$D$12)*$C$12*$F$12</f>
        <v>27881.435275465017</v>
      </c>
      <c r="F9" s="84">
        <f>E9*F11</f>
        <v>27881.435275465017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11" sqref="F1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1445312.7520000001</v>
      </c>
      <c r="E9" s="84">
        <f>((($R$12/(1+EXP($P$12+$Q$12*D9)))-1) - ($F$12-$C$12))*$I$12</f>
        <v>25719.483123207465</v>
      </c>
      <c r="F9" s="89">
        <f>E9*$G$12</f>
        <v>25719.483123207465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5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7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7" t="s">
        <v>150</v>
      </c>
      <c r="H13" s="257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3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VAC_Optim_Scenario!G21</f>
        <v>9393003.1999999993</v>
      </c>
      <c r="C9" s="312">
        <f>VAC_Optim_Scenario!H21</f>
        <v>17444148.800000001</v>
      </c>
      <c r="D9" s="313">
        <f>VAC_Optim_Scenario!I21</f>
        <v>14735392.40196098</v>
      </c>
      <c r="E9" s="84">
        <f>((GSTRTV!D9/$B$12)^$D$12)*$C$12*$F$12</f>
        <v>107635.39132557339</v>
      </c>
      <c r="F9" s="84">
        <f>E9*F11</f>
        <v>107635.39132557339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VAC_Optim_Scenario!G22</f>
        <v>2001598.7739999997</v>
      </c>
      <c r="C9" s="312">
        <f>VAC_Optim_Scenario!H22</f>
        <v>3717254.8659999999</v>
      </c>
      <c r="D9" s="313">
        <f>VAC_Optim_Scenario!I22</f>
        <v>3717254.8659999999</v>
      </c>
      <c r="E9" s="84">
        <f>((GDISP!D9/$B$12)^$D$12)*$C$12*$F$12</f>
        <v>89032.988619922922</v>
      </c>
      <c r="F9" s="84">
        <f>E9*F11</f>
        <v>89032.988619922922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VAC_Optim_Scenario!G23</f>
        <v>50000</v>
      </c>
      <c r="C9" s="312">
        <f>VAC_Optim_Scenario!H23</f>
        <v>50000</v>
      </c>
      <c r="D9" s="313">
        <f>VAC_Optim_Scenario!I23</f>
        <v>50000</v>
      </c>
      <c r="E9" s="84">
        <f>((GPDSRCH!D9/$B$12)^$D$12)*$C$12*$F$12</f>
        <v>30136.792938374307</v>
      </c>
      <c r="F9" s="84">
        <f>E9*F11</f>
        <v>30136.792938374307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topLeftCell="A13" workbookViewId="0">
      <selection activeCell="H13" sqref="H1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261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VAC_Optim_Scenario!G24</f>
        <v>646782.5</v>
      </c>
      <c r="C9" s="312">
        <f>VAC_Optim_Scenario!H24</f>
        <v>1201167.5</v>
      </c>
      <c r="D9" s="313">
        <f>VAC_Optim_Scenario!I24</f>
        <v>1201167.5</v>
      </c>
      <c r="E9" s="84">
        <f>((GAUDIO!D9/$B$12)^$D$12)*$C$12*$F$12</f>
        <v>29522.816952164638</v>
      </c>
      <c r="F9" s="84">
        <f>E9*F11</f>
        <v>29522.816952164638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0.4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15757.683313448728</v>
      </c>
      <c r="C22" s="321">
        <f t="shared" ref="C22:C41" si="1">B22*$F$14</f>
        <v>3560290.9678406054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20792.387787549629</v>
      </c>
      <c r="C23" s="321">
        <f t="shared" si="1"/>
        <v>4697832.0967189632</v>
      </c>
    </row>
    <row r="24" spans="1:4" x14ac:dyDescent="0.25">
      <c r="A24" s="320">
        <f t="shared" si="2"/>
        <v>750000</v>
      </c>
      <c r="B24" s="314">
        <f t="shared" si="0"/>
        <v>24453.49110513533</v>
      </c>
      <c r="C24" s="321">
        <f t="shared" si="1"/>
        <v>5525021.7802942768</v>
      </c>
    </row>
    <row r="25" spans="1:4" x14ac:dyDescent="0.25">
      <c r="A25" s="320">
        <f t="shared" si="2"/>
        <v>1000000</v>
      </c>
      <c r="B25" s="314">
        <f t="shared" si="0"/>
        <v>27435.720169529453</v>
      </c>
      <c r="C25" s="321">
        <f t="shared" si="1"/>
        <v>6198826.6151034851</v>
      </c>
    </row>
    <row r="26" spans="1:4" x14ac:dyDescent="0.25">
      <c r="A26" s="320">
        <f t="shared" si="2"/>
        <v>1250000</v>
      </c>
      <c r="B26" s="314">
        <f t="shared" si="0"/>
        <v>29997.175904684151</v>
      </c>
      <c r="C26" s="321">
        <f t="shared" si="1"/>
        <v>6777561.923904337</v>
      </c>
    </row>
    <row r="27" spans="1:4" x14ac:dyDescent="0.25">
      <c r="A27" s="320">
        <f t="shared" si="2"/>
        <v>1500000</v>
      </c>
      <c r="B27" s="314">
        <f t="shared" si="0"/>
        <v>32266.574959240672</v>
      </c>
      <c r="C27" s="321">
        <f t="shared" si="1"/>
        <v>7290309.9462908376</v>
      </c>
    </row>
    <row r="28" spans="1:4" x14ac:dyDescent="0.25">
      <c r="A28" s="320">
        <f t="shared" si="2"/>
        <v>1750000</v>
      </c>
      <c r="B28" s="314">
        <f t="shared" si="0"/>
        <v>34318.759723325085</v>
      </c>
      <c r="C28" s="321">
        <f t="shared" si="1"/>
        <v>7753980.5718880696</v>
      </c>
    </row>
    <row r="29" spans="1:4" x14ac:dyDescent="0.25">
      <c r="A29" s="320">
        <f t="shared" si="2"/>
        <v>2000000</v>
      </c>
      <c r="B29" s="314">
        <f t="shared" si="0"/>
        <v>36201.649801445565</v>
      </c>
      <c r="C29" s="321">
        <f t="shared" si="1"/>
        <v>8179400.7561386107</v>
      </c>
    </row>
    <row r="30" spans="1:4" x14ac:dyDescent="0.25">
      <c r="A30" s="320">
        <f t="shared" si="2"/>
        <v>2250000</v>
      </c>
      <c r="B30" s="314">
        <f t="shared" si="0"/>
        <v>37948.041938282877</v>
      </c>
      <c r="C30" s="321">
        <f t="shared" si="1"/>
        <v>8573980.5955356322</v>
      </c>
    </row>
    <row r="31" spans="1:4" x14ac:dyDescent="0.25">
      <c r="A31" s="320">
        <f t="shared" si="2"/>
        <v>2500000</v>
      </c>
      <c r="B31" s="314">
        <f t="shared" si="0"/>
        <v>39581.510907076787</v>
      </c>
      <c r="C31" s="321">
        <f t="shared" si="1"/>
        <v>8943046.5743449293</v>
      </c>
    </row>
    <row r="32" spans="1:4" x14ac:dyDescent="0.25">
      <c r="A32" s="320">
        <f t="shared" si="2"/>
        <v>2750000</v>
      </c>
      <c r="B32" s="314">
        <f t="shared" si="0"/>
        <v>41119.653101601129</v>
      </c>
      <c r="C32" s="321">
        <f t="shared" si="1"/>
        <v>9290574.4217757583</v>
      </c>
    </row>
    <row r="33" spans="1:3" x14ac:dyDescent="0.25">
      <c r="A33" s="320">
        <f t="shared" si="2"/>
        <v>3000000</v>
      </c>
      <c r="B33" s="314">
        <f t="shared" si="0"/>
        <v>42576.000912264644</v>
      </c>
      <c r="C33" s="321">
        <f t="shared" si="1"/>
        <v>9619621.6461170744</v>
      </c>
    </row>
    <row r="34" spans="1:3" x14ac:dyDescent="0.25">
      <c r="A34" s="320">
        <f t="shared" si="2"/>
        <v>3250000</v>
      </c>
      <c r="B34" s="314">
        <f t="shared" si="0"/>
        <v>43961.217233910902</v>
      </c>
      <c r="C34" s="321">
        <f t="shared" si="1"/>
        <v>9932597.421829829</v>
      </c>
    </row>
    <row r="35" spans="1:3" x14ac:dyDescent="0.25">
      <c r="A35" s="320">
        <f t="shared" si="2"/>
        <v>3500000</v>
      </c>
      <c r="B35" s="314">
        <f t="shared" si="0"/>
        <v>45283.874942841634</v>
      </c>
      <c r="C35" s="321">
        <f t="shared" si="1"/>
        <v>10231438.704585638</v>
      </c>
    </row>
    <row r="36" spans="1:3" x14ac:dyDescent="0.25">
      <c r="A36" s="320">
        <f t="shared" si="2"/>
        <v>3750000</v>
      </c>
      <c r="B36" s="314">
        <f t="shared" si="0"/>
        <v>46550.984657644571</v>
      </c>
      <c r="C36" s="321">
        <f t="shared" si="1"/>
        <v>10517729.473548215</v>
      </c>
    </row>
    <row r="37" spans="1:3" x14ac:dyDescent="0.25">
      <c r="A37" s="320">
        <f t="shared" si="2"/>
        <v>4000000</v>
      </c>
      <c r="B37" s="314">
        <f t="shared" si="0"/>
        <v>47768.363296037402</v>
      </c>
      <c r="C37" s="321">
        <f t="shared" si="1"/>
        <v>10792784.003106691</v>
      </c>
    </row>
    <row r="38" spans="1:3" x14ac:dyDescent="0.25">
      <c r="A38" s="320">
        <f t="shared" si="2"/>
        <v>4250000</v>
      </c>
      <c r="B38" s="314">
        <f t="shared" si="0"/>
        <v>48940.898319309759</v>
      </c>
      <c r="C38" s="321">
        <f t="shared" si="1"/>
        <v>11057706.566264847</v>
      </c>
    </row>
    <row r="39" spans="1:3" x14ac:dyDescent="0.25">
      <c r="A39" s="320">
        <f t="shared" si="2"/>
        <v>4500000</v>
      </c>
      <c r="B39" s="314">
        <f t="shared" si="0"/>
        <v>50072.741535905814</v>
      </c>
      <c r="C39" s="321">
        <f t="shared" si="1"/>
        <v>11313435.22262256</v>
      </c>
    </row>
    <row r="40" spans="1:3" x14ac:dyDescent="0.25">
      <c r="A40" s="320">
        <f t="shared" si="2"/>
        <v>4750000</v>
      </c>
      <c r="B40" s="314">
        <f t="shared" si="0"/>
        <v>51167.454079337178</v>
      </c>
      <c r="C40" s="321">
        <f t="shared" si="1"/>
        <v>11560774.574685441</v>
      </c>
    </row>
    <row r="41" spans="1:3" x14ac:dyDescent="0.25">
      <c r="A41" s="320">
        <f t="shared" si="2"/>
        <v>5000000</v>
      </c>
      <c r="B41" s="314">
        <f t="shared" si="0"/>
        <v>52228.116762231417</v>
      </c>
      <c r="C41" s="321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topLeftCell="A19"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VAC_Optim_Scenario!G25</f>
        <v>25810928.600000001</v>
      </c>
      <c r="C9" s="312">
        <f>VAC_Optim_Scenario!H25</f>
        <v>25810928.600000001</v>
      </c>
      <c r="D9" s="313">
        <f>VAC_Optim_Scenario!I25</f>
        <v>25810928.600000001</v>
      </c>
      <c r="E9" s="84">
        <f>((GLINEARTV!D9/$B$12)^$D$12)*$C$12*$F$12</f>
        <v>168508.00202805389</v>
      </c>
      <c r="F9" s="84">
        <f>E9*F11</f>
        <v>168508.00202805389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6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7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74" t="s">
        <v>114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VAC_Optim_Scenario!I33</f>
        <v>225.94</v>
      </c>
      <c r="H14" s="95">
        <f>VAC_Optim_Scenario!G33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C12" sqref="C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240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239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3004187.7083909721</v>
      </c>
      <c r="E9" s="84">
        <f>((($R$12/(1+EXP($P$12+$Q$12*D9)))-1) - ($F$12-$C$12))*$I$12</f>
        <v>21431.510893311352</v>
      </c>
      <c r="F9" s="89">
        <f>E9*$G$12</f>
        <v>21431.510893311352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5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73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7" t="s">
        <v>150</v>
      </c>
      <c r="H13" s="257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2" ht="13.5" thickBot="1" x14ac:dyDescent="0.25">
      <c r="A4" s="29" t="s">
        <v>38</v>
      </c>
      <c r="B4" s="483" t="s">
        <v>39</v>
      </c>
      <c r="C4" s="483"/>
      <c r="D4" s="484"/>
    </row>
    <row r="6" spans="1:12" ht="13.5" thickBot="1" x14ac:dyDescent="0.25"/>
    <row r="7" spans="1:12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</row>
    <row r="8" spans="1:12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6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6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65"/>
      <c r="B12" s="12">
        <v>20</v>
      </c>
      <c r="C12" s="12">
        <v>30</v>
      </c>
      <c r="D12" s="12">
        <v>0</v>
      </c>
      <c r="E12" s="14">
        <v>70</v>
      </c>
      <c r="G12" s="46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74" t="s">
        <v>30</v>
      </c>
      <c r="B13" s="475"/>
      <c r="C13" s="475"/>
      <c r="D13" s="475"/>
      <c r="E13" s="476"/>
      <c r="G13" s="485" t="s">
        <v>29</v>
      </c>
      <c r="H13" s="486"/>
      <c r="I13" s="486"/>
      <c r="J13" s="487"/>
    </row>
    <row r="14" spans="1:12" ht="33.6" customHeight="1" x14ac:dyDescent="0.2">
      <c r="A14" s="477"/>
      <c r="B14" s="478"/>
      <c r="C14" s="478"/>
      <c r="D14" s="478"/>
      <c r="E14" s="479"/>
      <c r="G14" s="488"/>
      <c r="H14" s="489"/>
      <c r="I14" s="489"/>
      <c r="J14" s="490"/>
    </row>
    <row r="16" spans="1:12" ht="13.5" thickBot="1" x14ac:dyDescent="0.25"/>
    <row r="17" spans="1:4" ht="17.100000000000001" customHeight="1" x14ac:dyDescent="0.2">
      <c r="A17" s="47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73"/>
      <c r="B18" s="12">
        <v>0</v>
      </c>
      <c r="C18" s="12">
        <v>100</v>
      </c>
      <c r="D18" s="26">
        <v>20</v>
      </c>
    </row>
    <row r="20" spans="1:4" x14ac:dyDescent="0.2">
      <c r="A20" s="460" t="s">
        <v>37</v>
      </c>
      <c r="B20" s="46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2" ht="31.7" customHeight="1" thickBot="1" x14ac:dyDescent="0.25">
      <c r="A4" s="29" t="s">
        <v>38</v>
      </c>
      <c r="B4" s="496" t="s">
        <v>41</v>
      </c>
      <c r="C4" s="497"/>
      <c r="D4" s="498"/>
    </row>
    <row r="6" spans="1:12" ht="13.5" thickBot="1" x14ac:dyDescent="0.25"/>
    <row r="7" spans="1:12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  <c r="H7" s="1" t="s">
        <v>54</v>
      </c>
    </row>
    <row r="8" spans="1:12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63" t="s">
        <v>42</v>
      </c>
      <c r="B11" s="417" t="s">
        <v>47</v>
      </c>
      <c r="C11" s="493" t="s">
        <v>46</v>
      </c>
      <c r="D11" s="469"/>
      <c r="E11" s="469"/>
      <c r="F11" s="3" t="s">
        <v>48</v>
      </c>
      <c r="G11" s="33"/>
      <c r="H11" s="32"/>
      <c r="I11" s="32"/>
      <c r="J11" s="32"/>
    </row>
    <row r="12" spans="1:12" x14ac:dyDescent="0.2">
      <c r="A12" s="494"/>
      <c r="B12" s="41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9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2" t="s">
        <v>52</v>
      </c>
      <c r="B14" s="492"/>
      <c r="C14" s="492"/>
      <c r="D14" s="492"/>
      <c r="E14" s="492"/>
      <c r="F14" s="492"/>
      <c r="G14" s="38"/>
      <c r="H14" s="39"/>
      <c r="I14" s="39"/>
      <c r="J14" s="39"/>
    </row>
    <row r="15" spans="1:12" ht="30.6" customHeight="1" x14ac:dyDescent="0.2">
      <c r="A15" s="492"/>
      <c r="B15" s="492"/>
      <c r="C15" s="492"/>
      <c r="D15" s="492"/>
      <c r="E15" s="492"/>
      <c r="F15" s="492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7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73"/>
      <c r="B19" s="12">
        <v>0</v>
      </c>
      <c r="C19" s="12">
        <v>20000000</v>
      </c>
      <c r="D19" s="26">
        <v>20</v>
      </c>
    </row>
    <row r="21" spans="1:4" x14ac:dyDescent="0.2">
      <c r="A21" s="460" t="s">
        <v>37</v>
      </c>
      <c r="B21" s="46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4" ht="13.5" thickBot="1" x14ac:dyDescent="0.25">
      <c r="A4" s="29" t="s">
        <v>38</v>
      </c>
      <c r="B4" s="483" t="s">
        <v>57</v>
      </c>
      <c r="C4" s="483"/>
      <c r="D4" s="484"/>
    </row>
    <row r="6" spans="1:14" ht="13.5" thickBot="1" x14ac:dyDescent="0.25"/>
    <row r="7" spans="1:14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  <c r="I7" s="504" t="s">
        <v>73</v>
      </c>
      <c r="J7" s="504"/>
      <c r="K7" s="504"/>
      <c r="L7" s="504"/>
      <c r="N7" s="47" t="s">
        <v>58</v>
      </c>
    </row>
    <row r="8" spans="1:14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4"/>
      <c r="J8" s="504"/>
      <c r="K8" s="504"/>
      <c r="L8" s="504"/>
      <c r="N8" s="47" t="s">
        <v>59</v>
      </c>
    </row>
    <row r="9" spans="1:14" ht="13.5" thickBot="1" x14ac:dyDescent="0.25">
      <c r="A9" s="46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60" t="s">
        <v>60</v>
      </c>
      <c r="B11" s="3" t="s">
        <v>61</v>
      </c>
      <c r="C11" s="3" t="s">
        <v>62</v>
      </c>
      <c r="D11" s="32"/>
      <c r="E11" s="50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60"/>
      <c r="B12" s="41">
        <v>0</v>
      </c>
      <c r="C12" s="41">
        <v>0</v>
      </c>
      <c r="D12" s="32"/>
      <c r="E12" s="50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60"/>
      <c r="B13" s="41">
        <v>1</v>
      </c>
      <c r="C13" s="41">
        <v>0.75</v>
      </c>
      <c r="D13" s="32"/>
      <c r="E13" s="50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60"/>
      <c r="B14" s="41">
        <v>2</v>
      </c>
      <c r="C14" s="41">
        <v>0</v>
      </c>
      <c r="D14" s="32"/>
      <c r="E14" s="50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60"/>
      <c r="B15" s="41">
        <v>3</v>
      </c>
      <c r="C15" s="41">
        <v>-1</v>
      </c>
      <c r="D15" s="32"/>
      <c r="E15" s="50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60"/>
      <c r="B16" s="41">
        <v>4</v>
      </c>
      <c r="C16" s="41">
        <v>3</v>
      </c>
      <c r="D16" s="32"/>
      <c r="E16" s="50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60"/>
      <c r="B17" s="42">
        <v>5</v>
      </c>
      <c r="C17" s="42">
        <v>3</v>
      </c>
      <c r="D17" s="40"/>
      <c r="E17" s="50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99" t="s">
        <v>74</v>
      </c>
      <c r="B18" s="500"/>
      <c r="C18" s="501"/>
      <c r="D18" s="33"/>
      <c r="E18" s="492" t="s">
        <v>75</v>
      </c>
      <c r="F18" s="492"/>
      <c r="G18" s="492"/>
      <c r="H18" s="492"/>
      <c r="I18" s="492"/>
      <c r="J18" s="492"/>
      <c r="K18" s="492"/>
      <c r="L18" s="492"/>
      <c r="M18" s="492"/>
    </row>
    <row r="19" spans="1:13" ht="35.450000000000003" customHeight="1" x14ac:dyDescent="0.2">
      <c r="A19" s="477"/>
      <c r="B19" s="478"/>
      <c r="C19" s="479"/>
      <c r="D19" s="33"/>
      <c r="E19" s="492"/>
      <c r="F19" s="492"/>
      <c r="G19" s="492"/>
      <c r="H19" s="492"/>
      <c r="I19" s="492"/>
      <c r="J19" s="492"/>
      <c r="K19" s="492"/>
      <c r="L19" s="492"/>
      <c r="M19" s="492"/>
    </row>
    <row r="21" spans="1:13" ht="13.5" thickBot="1" x14ac:dyDescent="0.25"/>
    <row r="22" spans="1:13" ht="17.100000000000001" customHeight="1" x14ac:dyDescent="0.2">
      <c r="A22" s="47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73"/>
      <c r="B23" s="12">
        <v>0</v>
      </c>
      <c r="C23" s="12">
        <v>5</v>
      </c>
      <c r="D23" s="26">
        <v>20</v>
      </c>
    </row>
    <row r="25" spans="1:13" x14ac:dyDescent="0.2">
      <c r="A25" s="460" t="s">
        <v>37</v>
      </c>
      <c r="B25" s="46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5" t="s">
        <v>106</v>
      </c>
      <c r="C4" s="505"/>
      <c r="D4" s="505"/>
      <c r="E4" s="505"/>
      <c r="F4" s="50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</row>
    <row r="8" spans="1:15" ht="25.5" x14ac:dyDescent="0.2">
      <c r="A8" s="46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6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6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6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7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74" t="s">
        <v>114</v>
      </c>
      <c r="B13" s="475"/>
      <c r="C13" s="475"/>
      <c r="D13" s="475"/>
      <c r="E13" s="475"/>
      <c r="F13" s="476"/>
      <c r="H13" s="474" t="s">
        <v>115</v>
      </c>
      <c r="I13" s="475"/>
      <c r="J13" s="475"/>
      <c r="K13" s="475"/>
      <c r="L13" s="475"/>
      <c r="M13" s="475"/>
      <c r="N13" s="475"/>
      <c r="O13" s="476"/>
    </row>
    <row r="14" spans="1:15" ht="33.6" customHeight="1" x14ac:dyDescent="0.2">
      <c r="A14" s="477"/>
      <c r="B14" s="478"/>
      <c r="C14" s="478"/>
      <c r="D14" s="478"/>
      <c r="E14" s="478"/>
      <c r="F14" s="479"/>
      <c r="H14" s="477"/>
      <c r="I14" s="478"/>
      <c r="J14" s="478"/>
      <c r="K14" s="478"/>
      <c r="L14" s="478"/>
      <c r="M14" s="478"/>
      <c r="N14" s="478"/>
      <c r="O14" s="479"/>
    </row>
    <row r="16" spans="1:15" ht="13.5" thickBot="1" x14ac:dyDescent="0.25"/>
    <row r="17" spans="1:4" ht="17.100000000000001" customHeight="1" x14ac:dyDescent="0.2">
      <c r="A17" s="47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73"/>
      <c r="B18" s="75">
        <v>0</v>
      </c>
      <c r="C18" s="76">
        <v>200000000</v>
      </c>
      <c r="D18" s="26">
        <v>20</v>
      </c>
    </row>
    <row r="20" spans="1:4" x14ac:dyDescent="0.2">
      <c r="A20" s="460" t="s">
        <v>37</v>
      </c>
      <c r="B20" s="46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Sheet1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2023-08-10T06:11:30Z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