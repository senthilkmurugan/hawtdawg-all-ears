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6.xml" ContentType="application/vnd.openxmlformats-officedocument.drawingml.chartshap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7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8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9.xml" ContentType="application/vnd.openxmlformats-officedocument.drawing+xml"/>
  <Override PartName="/xl/charts/chart8.xml" ContentType="application/vnd.openxmlformats-officedocument.drawingml.chart+xml"/>
  <Override PartName="/xl/drawings/drawing10.xml" ContentType="application/vnd.openxmlformats-officedocument.drawing+xml"/>
  <Override PartName="/xl/charts/chart9.xml" ContentType="application/vnd.openxmlformats-officedocument.drawingml.chart+xml"/>
  <Override PartName="/xl/drawings/drawing11.xml" ContentType="application/vnd.openxmlformats-officedocument.drawing+xml"/>
  <Override PartName="/xl/charts/chart10.xml" ContentType="application/vnd.openxmlformats-officedocument.drawingml.chart+xml"/>
  <Override PartName="/xl/drawings/drawing12.xml" ContentType="application/vnd.openxmlformats-officedocument.drawing+xml"/>
  <Override PartName="/xl/charts/chart11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wpushh01\dinfopln\Marketing Mix PI\InvOpt\P12 2024 AB\Products\G9\ADULT\Optimize\"/>
    </mc:Choice>
  </mc:AlternateContent>
  <xr:revisionPtr revIDLastSave="0" documentId="13_ncr:1_{06C94861-412D-4651-A81C-DA55C9DF972B}" xr6:coauthVersionLast="47" xr6:coauthVersionMax="47" xr10:uidLastSave="{00000000-0000-0000-0000-000000000000}"/>
  <bookViews>
    <workbookView xWindow="-120" yWindow="-120" windowWidth="20730" windowHeight="11160" tabRatio="906" firstSheet="1" activeTab="1" xr2:uid="{00000000-000D-0000-FFFF-FFFF00000000}"/>
  </bookViews>
  <sheets>
    <sheet name="Sensitivity - Template" sheetId="86" state="hidden" r:id="rId1"/>
    <sheet name="Sheet1 (2)" sheetId="96" r:id="rId2"/>
    <sheet name="Scenario summary" sheetId="78" r:id="rId3"/>
    <sheet name="Chart - Combined" sheetId="36" r:id="rId4"/>
    <sheet name="Sensitivity" sheetId="81" state="hidden" r:id="rId5"/>
    <sheet name="Contribution, promo eff, ROI" sheetId="80" r:id="rId6"/>
    <sheet name="Scenario deep dive" sheetId="79" r:id="rId7"/>
    <sheet name="Sheet1" sheetId="95" r:id="rId8"/>
    <sheet name="VAC_Optim_Scenario" sheetId="23" r:id="rId9"/>
    <sheet name="GINOFF" sheetId="51" r:id="rId10"/>
    <sheet name="GMCM" sheetId="50" r:id="rId11"/>
    <sheet name="GSOCIAL" sheetId="89" r:id="rId12"/>
    <sheet name="GOLV" sheetId="92" r:id="rId13"/>
    <sheet name="GSTRTV" sheetId="91" r:id="rId14"/>
    <sheet name="GDISP" sheetId="87" r:id="rId15"/>
    <sheet name="GPDSRCH" sheetId="93" r:id="rId16"/>
    <sheet name="GAUDIO" sheetId="88" r:id="rId17"/>
    <sheet name="GLINEARTV" sheetId="90" r:id="rId18"/>
    <sheet name="GPRNT" sheetId="48" state="hidden" r:id="rId19"/>
    <sheet name="GPHRMCY" sheetId="94" r:id="rId20"/>
    <sheet name="Fn.Templates ==&gt;" sheetId="3" r:id="rId21"/>
    <sheet name="FT_SCurveEst" sheetId="2" r:id="rId22"/>
    <sheet name="FT_Equation" sheetId="4" r:id="rId23"/>
    <sheet name="FT_Interpolate" sheetId="5" r:id="rId24"/>
    <sheet name="FT_SCurve3Est" sheetId="13" r:id="rId25"/>
  </sheets>
  <functionGroups builtInGroupCount="19"/>
  <externalReferences>
    <externalReference r:id="rId26"/>
    <externalReference r:id="rId27"/>
    <externalReference r:id="rId28"/>
    <externalReference r:id="rId29"/>
    <externalReference r:id="rId30"/>
    <externalReference r:id="rId31"/>
    <externalReference r:id="rId32"/>
    <externalReference r:id="rId33"/>
    <externalReference r:id="rId34"/>
    <externalReference r:id="rId35"/>
    <externalReference r:id="rId36"/>
  </externalReferences>
  <definedNames>
    <definedName name="_xlnm._FilterDatabase" localSheetId="5" hidden="1">'Contribution, promo eff, ROI'!$E$17:$F$25</definedName>
    <definedName name="solver_adj" localSheetId="8" hidden="1">VAC_Optim_Scenario!$I$17:$I$26</definedName>
    <definedName name="solver_cvg" localSheetId="4" hidden="1">0.0001</definedName>
    <definedName name="solver_cvg" localSheetId="0" hidden="1">0.0001</definedName>
    <definedName name="solver_cvg" localSheetId="8" hidden="1">0.0001</definedName>
    <definedName name="solver_drv" localSheetId="4" hidden="1">1</definedName>
    <definedName name="solver_drv" localSheetId="0" hidden="1">1</definedName>
    <definedName name="solver_drv" localSheetId="8" hidden="1">1</definedName>
    <definedName name="solver_eng" localSheetId="19" hidden="1">1</definedName>
    <definedName name="solver_eng" localSheetId="4" hidden="1">1</definedName>
    <definedName name="solver_eng" localSheetId="0" hidden="1">1</definedName>
    <definedName name="solver_eng" localSheetId="8" hidden="1">1</definedName>
    <definedName name="solver_est" localSheetId="4" hidden="1">1</definedName>
    <definedName name="solver_est" localSheetId="0" hidden="1">1</definedName>
    <definedName name="solver_est" localSheetId="8" hidden="1">1</definedName>
    <definedName name="solver_itr" localSheetId="4" hidden="1">2147483647</definedName>
    <definedName name="solver_itr" localSheetId="0" hidden="1">2147483647</definedName>
    <definedName name="solver_itr" localSheetId="8" hidden="1">2147483647</definedName>
    <definedName name="solver_lhs0" localSheetId="8" hidden="1">VAC_Optim_Scenario!$I$27</definedName>
    <definedName name="solver_lhs1" localSheetId="8" hidden="1">VAC_Optim_Scenario!$B$12</definedName>
    <definedName name="solver_lhs2" localSheetId="8" hidden="1">VAC_Optim_Scenario!$I$17:$I$26</definedName>
    <definedName name="solver_lhs3" localSheetId="8" hidden="1">VAC_Optim_Scenario!$I$17:$I$26</definedName>
    <definedName name="solver_lhs4" localSheetId="8" hidden="1">VAC_Optim_Scenario!$I$27</definedName>
    <definedName name="solver_lhs5" localSheetId="8" hidden="1">VAC_Optim_Scenario!#REF!</definedName>
    <definedName name="solver_mip" localSheetId="4" hidden="1">2147483647</definedName>
    <definedName name="solver_mip" localSheetId="0" hidden="1">2147483647</definedName>
    <definedName name="solver_mip" localSheetId="8" hidden="1">2147483647</definedName>
    <definedName name="solver_mni" localSheetId="4" hidden="1">30</definedName>
    <definedName name="solver_mni" localSheetId="0" hidden="1">30</definedName>
    <definedName name="solver_mni" localSheetId="8" hidden="1">30</definedName>
    <definedName name="solver_mrt" localSheetId="4" hidden="1">0.075</definedName>
    <definedName name="solver_mrt" localSheetId="0" hidden="1">0.075</definedName>
    <definedName name="solver_mrt" localSheetId="8" hidden="1">0.075</definedName>
    <definedName name="solver_msl" localSheetId="4" hidden="1">2</definedName>
    <definedName name="solver_msl" localSheetId="0" hidden="1">2</definedName>
    <definedName name="solver_msl" localSheetId="8" hidden="1">2</definedName>
    <definedName name="solver_neg" localSheetId="19" hidden="1">1</definedName>
    <definedName name="solver_neg" localSheetId="4" hidden="1">1</definedName>
    <definedName name="solver_neg" localSheetId="0" hidden="1">1</definedName>
    <definedName name="solver_neg" localSheetId="8" hidden="1">1</definedName>
    <definedName name="solver_nod" localSheetId="4" hidden="1">2147483647</definedName>
    <definedName name="solver_nod" localSheetId="0" hidden="1">2147483647</definedName>
    <definedName name="solver_nod" localSheetId="8" hidden="1">2147483647</definedName>
    <definedName name="solver_num" localSheetId="19" hidden="1">0</definedName>
    <definedName name="solver_num" localSheetId="4" hidden="1">0</definedName>
    <definedName name="solver_num" localSheetId="0" hidden="1">0</definedName>
    <definedName name="solver_num" localSheetId="8" hidden="1">3</definedName>
    <definedName name="solver_nwt" localSheetId="4" hidden="1">1</definedName>
    <definedName name="solver_nwt" localSheetId="0" hidden="1">1</definedName>
    <definedName name="solver_nwt" localSheetId="8" hidden="1">1</definedName>
    <definedName name="solver_opt" localSheetId="19" hidden="1">GPHRMCY!$I$12</definedName>
    <definedName name="solver_opt" localSheetId="4" hidden="1">Sensitivity!$F$6</definedName>
    <definedName name="solver_opt" localSheetId="0" hidden="1">'Sensitivity - Template'!$F$6</definedName>
    <definedName name="solver_opt" localSheetId="8" hidden="1">VAC_Optim_Scenario!$B$9</definedName>
    <definedName name="solver_pre" localSheetId="4" hidden="1">0.000001</definedName>
    <definedName name="solver_pre" localSheetId="0" hidden="1">0.000001</definedName>
    <definedName name="solver_pre" localSheetId="8" hidden="1">0.00000001</definedName>
    <definedName name="solver_rbv" localSheetId="4" hidden="1">1</definedName>
    <definedName name="solver_rbv" localSheetId="0" hidden="1">1</definedName>
    <definedName name="solver_rbv" localSheetId="8" hidden="1">1</definedName>
    <definedName name="solver_rel0" localSheetId="8" hidden="1">3</definedName>
    <definedName name="solver_rel1" localSheetId="8" hidden="1">2</definedName>
    <definedName name="solver_rel2" localSheetId="8" hidden="1">1</definedName>
    <definedName name="solver_rel3" localSheetId="8" hidden="1">3</definedName>
    <definedName name="solver_rel4" localSheetId="8" hidden="1">3</definedName>
    <definedName name="solver_rel5" localSheetId="8" hidden="1">2</definedName>
    <definedName name="solver_rhs0" localSheetId="8" hidden="1">VAC_Optim_Scenario!$C$12</definedName>
    <definedName name="solver_rhs1" localSheetId="8" hidden="1">VAC_Optim_Scenario!$I$28</definedName>
    <definedName name="solver_rhs2" localSheetId="8" hidden="1">VAC_Optim_Scenario!$H$17:$H$26</definedName>
    <definedName name="solver_rhs3" localSheetId="8" hidden="1">VAC_Optim_Scenario!$G$17:$G$26</definedName>
    <definedName name="solver_rhs4" localSheetId="8" hidden="1">VAC_Optim_Scenario!$C$12</definedName>
    <definedName name="solver_rhs5" localSheetId="8" hidden="1">VAC_Optim_Scenario!#REF!</definedName>
    <definedName name="solver_rlx" localSheetId="4" hidden="1">2</definedName>
    <definedName name="solver_rlx" localSheetId="0" hidden="1">2</definedName>
    <definedName name="solver_rlx" localSheetId="8" hidden="1">2</definedName>
    <definedName name="solver_rsd" localSheetId="4" hidden="1">0</definedName>
    <definedName name="solver_rsd" localSheetId="0" hidden="1">0</definedName>
    <definedName name="solver_rsd" localSheetId="8" hidden="1">0</definedName>
    <definedName name="solver_scl" localSheetId="4" hidden="1">1</definedName>
    <definedName name="solver_scl" localSheetId="0" hidden="1">1</definedName>
    <definedName name="solver_scl" localSheetId="8" hidden="1">1</definedName>
    <definedName name="solver_sho" localSheetId="4" hidden="1">2</definedName>
    <definedName name="solver_sho" localSheetId="0" hidden="1">2</definedName>
    <definedName name="solver_sho" localSheetId="8" hidden="1">2</definedName>
    <definedName name="solver_ssz" localSheetId="4" hidden="1">100</definedName>
    <definedName name="solver_ssz" localSheetId="0" hidden="1">100</definedName>
    <definedName name="solver_ssz" localSheetId="8" hidden="1">100</definedName>
    <definedName name="solver_tim" localSheetId="4" hidden="1">2147483647</definedName>
    <definedName name="solver_tim" localSheetId="0" hidden="1">2147483647</definedName>
    <definedName name="solver_tim" localSheetId="8" hidden="1">2147483647</definedName>
    <definedName name="solver_tol" localSheetId="4" hidden="1">0.01</definedName>
    <definedName name="solver_tol" localSheetId="0" hidden="1">0.01</definedName>
    <definedName name="solver_tol" localSheetId="8" hidden="1">0.01</definedName>
    <definedName name="solver_typ" localSheetId="19" hidden="1">1</definedName>
    <definedName name="solver_typ" localSheetId="4" hidden="1">1</definedName>
    <definedName name="solver_typ" localSheetId="0" hidden="1">1</definedName>
    <definedName name="solver_typ" localSheetId="8" hidden="1">1</definedName>
    <definedName name="solver_val" localSheetId="19" hidden="1">0</definedName>
    <definedName name="solver_val" localSheetId="4" hidden="1">0</definedName>
    <definedName name="solver_val" localSheetId="0" hidden="1">0</definedName>
    <definedName name="solver_val" localSheetId="8" hidden="1">0</definedName>
    <definedName name="solver_ver" localSheetId="19" hidden="1">3</definedName>
    <definedName name="solver_ver" localSheetId="4" hidden="1">3</definedName>
    <definedName name="solver_ver" localSheetId="0" hidden="1">3</definedName>
    <definedName name="solver_ver" localSheetId="8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37" i="96" l="1"/>
  <c r="D43" i="50"/>
  <c r="E43" i="50"/>
  <c r="D44" i="50"/>
  <c r="E44" i="50"/>
  <c r="D45" i="50"/>
  <c r="E45" i="50"/>
  <c r="D46" i="50"/>
  <c r="E46" i="50"/>
  <c r="D47" i="50"/>
  <c r="E47" i="50"/>
  <c r="D48" i="50"/>
  <c r="E48" i="50"/>
  <c r="D49" i="50"/>
  <c r="E49" i="50"/>
  <c r="D50" i="50"/>
  <c r="E50" i="50"/>
  <c r="D51" i="50"/>
  <c r="E51" i="50"/>
  <c r="D52" i="50"/>
  <c r="E52" i="50"/>
  <c r="D53" i="50"/>
  <c r="E53" i="50"/>
  <c r="D54" i="50"/>
  <c r="E54" i="50"/>
  <c r="D55" i="50"/>
  <c r="E55" i="50"/>
  <c r="D56" i="50"/>
  <c r="E56" i="50"/>
  <c r="D57" i="50"/>
  <c r="E57" i="50"/>
  <c r="D58" i="50"/>
  <c r="E58" i="50"/>
  <c r="D59" i="50"/>
  <c r="E59" i="50"/>
  <c r="D60" i="50"/>
  <c r="E60" i="50"/>
  <c r="D61" i="50"/>
  <c r="E61" i="50"/>
  <c r="D62" i="50"/>
  <c r="E62" i="50"/>
  <c r="D63" i="50"/>
  <c r="E63" i="50"/>
  <c r="D64" i="50"/>
  <c r="E64" i="50"/>
  <c r="D65" i="50"/>
  <c r="E65" i="50"/>
  <c r="D66" i="50"/>
  <c r="E66" i="50"/>
  <c r="D67" i="50"/>
  <c r="E67" i="50"/>
  <c r="D68" i="50"/>
  <c r="E68" i="50"/>
  <c r="D69" i="50"/>
  <c r="E69" i="50"/>
  <c r="D70" i="50"/>
  <c r="E70" i="50"/>
  <c r="D71" i="50"/>
  <c r="E71" i="50"/>
  <c r="D72" i="50"/>
  <c r="E72" i="50"/>
  <c r="D73" i="50"/>
  <c r="E73" i="50"/>
  <c r="D74" i="50"/>
  <c r="E74" i="50"/>
  <c r="D75" i="50"/>
  <c r="E75" i="50"/>
  <c r="D76" i="50"/>
  <c r="E76" i="50"/>
  <c r="D77" i="50"/>
  <c r="E77" i="50"/>
  <c r="D78" i="50"/>
  <c r="E78" i="50"/>
  <c r="D79" i="50"/>
  <c r="E79" i="50"/>
  <c r="D80" i="50"/>
  <c r="E80" i="50"/>
  <c r="D81" i="50"/>
  <c r="E81" i="50"/>
  <c r="D82" i="50"/>
  <c r="E82" i="50"/>
  <c r="D83" i="50"/>
  <c r="E83" i="50"/>
  <c r="D84" i="50"/>
  <c r="E84" i="50"/>
  <c r="D85" i="50"/>
  <c r="E85" i="50"/>
  <c r="D86" i="50"/>
  <c r="E86" i="50"/>
  <c r="D87" i="50"/>
  <c r="E87" i="50"/>
  <c r="D88" i="50"/>
  <c r="E88" i="50"/>
  <c r="D89" i="50"/>
  <c r="E89" i="50"/>
  <c r="D90" i="50"/>
  <c r="E90" i="50"/>
  <c r="D91" i="50"/>
  <c r="E91" i="50"/>
  <c r="D92" i="50"/>
  <c r="E92" i="50"/>
  <c r="D93" i="50"/>
  <c r="E93" i="50"/>
  <c r="D94" i="50"/>
  <c r="E94" i="50"/>
  <c r="D95" i="50"/>
  <c r="E95" i="50"/>
  <c r="D96" i="50"/>
  <c r="E96" i="50"/>
  <c r="D97" i="50"/>
  <c r="E97" i="50"/>
  <c r="A43" i="50"/>
  <c r="B43" i="50" s="1"/>
  <c r="C43" i="50" s="1"/>
  <c r="A44" i="50"/>
  <c r="B44" i="50" s="1"/>
  <c r="C44" i="50" s="1"/>
  <c r="A42" i="89"/>
  <c r="B42" i="89"/>
  <c r="C42" i="89" s="1"/>
  <c r="A43" i="89"/>
  <c r="B43" i="89" s="1"/>
  <c r="C43" i="89" s="1"/>
  <c r="A93" i="91"/>
  <c r="B93" i="91" s="1"/>
  <c r="C93" i="91" s="1"/>
  <c r="A94" i="91"/>
  <c r="B94" i="91" s="1"/>
  <c r="C94" i="91" s="1"/>
  <c r="A73" i="91"/>
  <c r="B73" i="91" s="1"/>
  <c r="C73" i="91" s="1"/>
  <c r="A74" i="91"/>
  <c r="B74" i="91" s="1"/>
  <c r="C74" i="91" s="1"/>
  <c r="A46" i="91"/>
  <c r="B46" i="91" s="1"/>
  <c r="C46" i="91" s="1"/>
  <c r="A47" i="91"/>
  <c r="B47" i="91" s="1"/>
  <c r="C47" i="91" s="1"/>
  <c r="A46" i="87"/>
  <c r="B46" i="87" s="1"/>
  <c r="C46" i="87" s="1"/>
  <c r="A42" i="87"/>
  <c r="B42" i="87" s="1"/>
  <c r="C42" i="87" s="1"/>
  <c r="A43" i="87"/>
  <c r="B43" i="87" s="1"/>
  <c r="C43" i="87" s="1"/>
  <c r="A42" i="93"/>
  <c r="B42" i="93" s="1"/>
  <c r="C42" i="93" s="1"/>
  <c r="A43" i="93"/>
  <c r="B43" i="93" s="1"/>
  <c r="C43" i="93" s="1"/>
  <c r="A45" i="88"/>
  <c r="B45" i="88" s="1"/>
  <c r="C45" i="88" s="1"/>
  <c r="A46" i="88"/>
  <c r="B46" i="88" s="1"/>
  <c r="C46" i="88" s="1"/>
  <c r="A42" i="88"/>
  <c r="B42" i="88" s="1"/>
  <c r="C42" i="88" s="1"/>
  <c r="A43" i="88"/>
  <c r="B43" i="88" s="1"/>
  <c r="C43" i="88" s="1"/>
  <c r="A21" i="90"/>
  <c r="B21" i="90" s="1"/>
  <c r="C21" i="90" s="1"/>
  <c r="A22" i="90"/>
  <c r="B22" i="90" s="1"/>
  <c r="C22" i="90" s="1"/>
  <c r="I14" i="95"/>
  <c r="I5" i="95"/>
  <c r="I6" i="95"/>
  <c r="I7" i="95"/>
  <c r="I8" i="95"/>
  <c r="I9" i="95"/>
  <c r="I10" i="95"/>
  <c r="I11" i="95"/>
  <c r="I12" i="95"/>
  <c r="I13" i="95"/>
  <c r="I4" i="95"/>
  <c r="H14" i="95"/>
  <c r="H5" i="95"/>
  <c r="H6" i="95"/>
  <c r="H7" i="95"/>
  <c r="H8" i="95"/>
  <c r="H9" i="95"/>
  <c r="H10" i="95"/>
  <c r="H11" i="95"/>
  <c r="H12" i="95"/>
  <c r="H13" i="95"/>
  <c r="H4" i="95"/>
  <c r="F5" i="95"/>
  <c r="F6" i="95"/>
  <c r="F7" i="95"/>
  <c r="F8" i="95"/>
  <c r="F9" i="95"/>
  <c r="F10" i="95"/>
  <c r="F11" i="95"/>
  <c r="F12" i="95"/>
  <c r="F13" i="95"/>
  <c r="F14" i="95"/>
  <c r="F4" i="95"/>
  <c r="E5" i="95"/>
  <c r="E6" i="95"/>
  <c r="E7" i="95"/>
  <c r="E8" i="95"/>
  <c r="E9" i="95"/>
  <c r="E10" i="95"/>
  <c r="E11" i="95"/>
  <c r="E12" i="95"/>
  <c r="E13" i="95"/>
  <c r="E14" i="95"/>
  <c r="E4" i="95"/>
  <c r="D5" i="95"/>
  <c r="D6" i="95"/>
  <c r="D7" i="95"/>
  <c r="D8" i="95"/>
  <c r="D9" i="95"/>
  <c r="D10" i="95"/>
  <c r="D11" i="95"/>
  <c r="D12" i="95"/>
  <c r="D13" i="95"/>
  <c r="D14" i="95"/>
  <c r="D4" i="95"/>
  <c r="C5" i="95"/>
  <c r="C6" i="95"/>
  <c r="C7" i="95"/>
  <c r="C8" i="95"/>
  <c r="C9" i="95"/>
  <c r="C10" i="95"/>
  <c r="C11" i="95"/>
  <c r="C12" i="95"/>
  <c r="C13" i="95"/>
  <c r="C4" i="95"/>
  <c r="G86" i="79"/>
  <c r="G87" i="79"/>
  <c r="G88" i="79"/>
  <c r="G89" i="79"/>
  <c r="G90" i="79"/>
  <c r="H90" i="79"/>
  <c r="F90" i="79"/>
  <c r="D90" i="79"/>
  <c r="C90" i="79"/>
  <c r="H89" i="79"/>
  <c r="F89" i="79"/>
  <c r="D89" i="79"/>
  <c r="C89" i="79"/>
  <c r="B89" i="79"/>
  <c r="F88" i="79"/>
  <c r="D88" i="79"/>
  <c r="C88" i="79"/>
  <c r="B88" i="79"/>
  <c r="F87" i="79"/>
  <c r="D87" i="79"/>
  <c r="C87" i="79"/>
  <c r="B87" i="79"/>
  <c r="H86" i="79"/>
  <c r="F86" i="79"/>
  <c r="D86" i="79"/>
  <c r="C86" i="79"/>
  <c r="B86" i="79"/>
  <c r="B85" i="79"/>
  <c r="A45" i="50" l="1"/>
  <c r="A44" i="89"/>
  <c r="A95" i="91"/>
  <c r="A75" i="91"/>
  <c r="A48" i="91"/>
  <c r="A44" i="87"/>
  <c r="A44" i="93"/>
  <c r="A44" i="88"/>
  <c r="B44" i="88" s="1"/>
  <c r="C44" i="88" s="1"/>
  <c r="A23" i="90"/>
  <c r="I28" i="23"/>
  <c r="G28" i="23"/>
  <c r="H28" i="23"/>
  <c r="E28" i="23"/>
  <c r="B12" i="23"/>
  <c r="H25" i="23"/>
  <c r="G25" i="23"/>
  <c r="G29" i="51"/>
  <c r="D13" i="80"/>
  <c r="D12" i="80"/>
  <c r="D11" i="80"/>
  <c r="D10" i="80"/>
  <c r="D9" i="80"/>
  <c r="D8" i="80"/>
  <c r="D7" i="80"/>
  <c r="D6" i="80"/>
  <c r="D4" i="80"/>
  <c r="D5" i="80"/>
  <c r="R13" i="80" a="1"/>
  <c r="R7" i="80" a="1"/>
  <c r="Q13" i="80" a="1"/>
  <c r="R4" i="80" a="1"/>
  <c r="Q4" i="80" a="1"/>
  <c r="Q7" i="80" a="1"/>
  <c r="A46" i="50" l="1"/>
  <c r="B45" i="50"/>
  <c r="C45" i="50" s="1"/>
  <c r="A45" i="89"/>
  <c r="B44" i="89"/>
  <c r="C44" i="89" s="1"/>
  <c r="B95" i="91"/>
  <c r="C95" i="91" s="1"/>
  <c r="A96" i="91"/>
  <c r="B75" i="91"/>
  <c r="C75" i="91" s="1"/>
  <c r="A76" i="91"/>
  <c r="B48" i="91"/>
  <c r="C48" i="91" s="1"/>
  <c r="A49" i="91"/>
  <c r="B44" i="87"/>
  <c r="C44" i="87" s="1"/>
  <c r="A45" i="87"/>
  <c r="B45" i="87" s="1"/>
  <c r="C45" i="87" s="1"/>
  <c r="B44" i="93"/>
  <c r="C44" i="93" s="1"/>
  <c r="A45" i="93"/>
  <c r="A24" i="90"/>
  <c r="B23" i="90"/>
  <c r="C23" i="90" s="1"/>
  <c r="R13" i="80"/>
  <c r="Q13" i="80"/>
  <c r="Q7" i="80"/>
  <c r="R7" i="80"/>
  <c r="R4" i="80"/>
  <c r="Q4" i="80"/>
  <c r="A47" i="50" l="1"/>
  <c r="B46" i="50"/>
  <c r="C46" i="50" s="1"/>
  <c r="A46" i="89"/>
  <c r="B46" i="89" s="1"/>
  <c r="C46" i="89" s="1"/>
  <c r="B45" i="89"/>
  <c r="C45" i="89" s="1"/>
  <c r="B96" i="91"/>
  <c r="C96" i="91" s="1"/>
  <c r="A77" i="91"/>
  <c r="B76" i="91"/>
  <c r="C76" i="91" s="1"/>
  <c r="A50" i="91"/>
  <c r="B49" i="91"/>
  <c r="C49" i="91" s="1"/>
  <c r="A46" i="93"/>
  <c r="B46" i="93" s="1"/>
  <c r="C46" i="93" s="1"/>
  <c r="B45" i="93"/>
  <c r="C45" i="93" s="1"/>
  <c r="A25" i="90"/>
  <c r="B24" i="90"/>
  <c r="C24" i="90" s="1"/>
  <c r="F12" i="94"/>
  <c r="E12" i="94"/>
  <c r="D12" i="94"/>
  <c r="C12" i="94"/>
  <c r="B12" i="94"/>
  <c r="B47" i="50" l="1"/>
  <c r="C47" i="50" s="1"/>
  <c r="A48" i="50"/>
  <c r="B77" i="91"/>
  <c r="C77" i="91" s="1"/>
  <c r="A78" i="91"/>
  <c r="A51" i="91"/>
  <c r="B50" i="91"/>
  <c r="C50" i="91" s="1"/>
  <c r="B25" i="90"/>
  <c r="C25" i="90" s="1"/>
  <c r="A26" i="90"/>
  <c r="D12" i="90"/>
  <c r="C12" i="90"/>
  <c r="B12" i="90"/>
  <c r="B48" i="50" l="1"/>
  <c r="C48" i="50" s="1"/>
  <c r="A49" i="50"/>
  <c r="B78" i="91"/>
  <c r="C78" i="91" s="1"/>
  <c r="A79" i="91"/>
  <c r="B51" i="91"/>
  <c r="C51" i="91" s="1"/>
  <c r="A52" i="91"/>
  <c r="B26" i="90"/>
  <c r="C26" i="90" s="1"/>
  <c r="A27" i="90"/>
  <c r="D12" i="88"/>
  <c r="C12" i="88"/>
  <c r="B12" i="88"/>
  <c r="A50" i="50" l="1"/>
  <c r="B49" i="50"/>
  <c r="C49" i="50" s="1"/>
  <c r="B79" i="91"/>
  <c r="C79" i="91" s="1"/>
  <c r="A80" i="91"/>
  <c r="A53" i="91"/>
  <c r="B52" i="91"/>
  <c r="C52" i="91" s="1"/>
  <c r="B27" i="90"/>
  <c r="C27" i="90" s="1"/>
  <c r="A28" i="90"/>
  <c r="D12" i="93"/>
  <c r="C12" i="93"/>
  <c r="B12" i="93"/>
  <c r="A51" i="50" l="1"/>
  <c r="B50" i="50"/>
  <c r="C50" i="50" s="1"/>
  <c r="A81" i="91"/>
  <c r="B80" i="91"/>
  <c r="C80" i="91" s="1"/>
  <c r="A54" i="91"/>
  <c r="B53" i="91"/>
  <c r="C53" i="91" s="1"/>
  <c r="A29" i="90"/>
  <c r="B28" i="90"/>
  <c r="C28" i="90" s="1"/>
  <c r="D12" i="87"/>
  <c r="C12" i="87"/>
  <c r="B12" i="87"/>
  <c r="B51" i="50" l="1"/>
  <c r="C51" i="50" s="1"/>
  <c r="A52" i="50"/>
  <c r="A82" i="91"/>
  <c r="B81" i="91"/>
  <c r="C81" i="91" s="1"/>
  <c r="A55" i="91"/>
  <c r="B54" i="91"/>
  <c r="C54" i="91" s="1"/>
  <c r="A30" i="90"/>
  <c r="B29" i="90"/>
  <c r="C29" i="90" s="1"/>
  <c r="D12" i="91"/>
  <c r="C12" i="91"/>
  <c r="B12" i="91"/>
  <c r="B52" i="50" l="1"/>
  <c r="C52" i="50" s="1"/>
  <c r="A53" i="50"/>
  <c r="B82" i="91"/>
  <c r="C82" i="91" s="1"/>
  <c r="A83" i="91"/>
  <c r="B55" i="91"/>
  <c r="C55" i="91" s="1"/>
  <c r="A56" i="91"/>
  <c r="B30" i="90"/>
  <c r="C30" i="90" s="1"/>
  <c r="A31" i="90"/>
  <c r="F12" i="92"/>
  <c r="E12" i="92"/>
  <c r="D12" i="92"/>
  <c r="C12" i="92"/>
  <c r="B12" i="92"/>
  <c r="A54" i="50" l="1"/>
  <c r="B53" i="50"/>
  <c r="C53" i="50" s="1"/>
  <c r="A84" i="91"/>
  <c r="B83" i="91"/>
  <c r="C83" i="91" s="1"/>
  <c r="B56" i="91"/>
  <c r="C56" i="91" s="1"/>
  <c r="A57" i="91"/>
  <c r="A32" i="90"/>
  <c r="B31" i="90"/>
  <c r="C31" i="90" s="1"/>
  <c r="D12" i="89"/>
  <c r="C12" i="89"/>
  <c r="B12" i="89"/>
  <c r="A55" i="50" l="1"/>
  <c r="B54" i="50"/>
  <c r="C54" i="50" s="1"/>
  <c r="A85" i="91"/>
  <c r="B84" i="91"/>
  <c r="C84" i="91" s="1"/>
  <c r="A58" i="91"/>
  <c r="B57" i="91"/>
  <c r="C57" i="91" s="1"/>
  <c r="A33" i="90"/>
  <c r="B32" i="90"/>
  <c r="C32" i="90" s="1"/>
  <c r="F12" i="50"/>
  <c r="E12" i="50"/>
  <c r="D12" i="50"/>
  <c r="C12" i="50"/>
  <c r="B12" i="50"/>
  <c r="B55" i="50" l="1"/>
  <c r="C55" i="50" s="1"/>
  <c r="A56" i="50"/>
  <c r="B85" i="91"/>
  <c r="C85" i="91" s="1"/>
  <c r="A86" i="91"/>
  <c r="B58" i="91"/>
  <c r="C58" i="91" s="1"/>
  <c r="A59" i="91"/>
  <c r="B33" i="90"/>
  <c r="C33" i="90" s="1"/>
  <c r="A34" i="90"/>
  <c r="F12" i="51"/>
  <c r="E12" i="51"/>
  <c r="D12" i="51"/>
  <c r="C12" i="51"/>
  <c r="B12" i="51"/>
  <c r="B56" i="50" l="1"/>
  <c r="C56" i="50" s="1"/>
  <c r="A57" i="50"/>
  <c r="B86" i="91"/>
  <c r="C86" i="91" s="1"/>
  <c r="A87" i="91"/>
  <c r="B59" i="91"/>
  <c r="C59" i="91" s="1"/>
  <c r="A60" i="91"/>
  <c r="B34" i="90"/>
  <c r="C34" i="90" s="1"/>
  <c r="A35" i="90"/>
  <c r="A45" i="23"/>
  <c r="A40" i="23"/>
  <c r="H27" i="23"/>
  <c r="G27" i="23"/>
  <c r="H18" i="23"/>
  <c r="H19" i="23"/>
  <c r="H20" i="23"/>
  <c r="H21" i="23"/>
  <c r="H22" i="23"/>
  <c r="H23" i="23"/>
  <c r="H24" i="23"/>
  <c r="H26" i="23"/>
  <c r="H17" i="23"/>
  <c r="G18" i="23"/>
  <c r="G19" i="23"/>
  <c r="G20" i="23"/>
  <c r="G21" i="23"/>
  <c r="G22" i="23"/>
  <c r="G23" i="23"/>
  <c r="G24" i="23"/>
  <c r="G26" i="23"/>
  <c r="G17" i="23"/>
  <c r="A58" i="50" l="1"/>
  <c r="B57" i="50"/>
  <c r="C57" i="50" s="1"/>
  <c r="B87" i="91"/>
  <c r="C87" i="91" s="1"/>
  <c r="A88" i="91"/>
  <c r="A61" i="91"/>
  <c r="B60" i="91"/>
  <c r="C60" i="91" s="1"/>
  <c r="B35" i="90"/>
  <c r="C35" i="90" s="1"/>
  <c r="A36" i="90"/>
  <c r="F12" i="90"/>
  <c r="G9" i="90"/>
  <c r="D9" i="90"/>
  <c r="B9" i="90"/>
  <c r="F14" i="90"/>
  <c r="A59" i="50" l="1"/>
  <c r="B58" i="50"/>
  <c r="C58" i="50" s="1"/>
  <c r="A89" i="91"/>
  <c r="B88" i="91"/>
  <c r="C88" i="91" s="1"/>
  <c r="A62" i="91"/>
  <c r="B61" i="91"/>
  <c r="C61" i="91" s="1"/>
  <c r="A37" i="90"/>
  <c r="B36" i="90"/>
  <c r="C36" i="90" s="1"/>
  <c r="H9" i="90"/>
  <c r="I9" i="90" s="1"/>
  <c r="G12" i="90"/>
  <c r="E9" i="90"/>
  <c r="F9" i="90" s="1"/>
  <c r="B59" i="50" l="1"/>
  <c r="C59" i="50" s="1"/>
  <c r="A60" i="50"/>
  <c r="A90" i="91"/>
  <c r="B89" i="91"/>
  <c r="C89" i="91" s="1"/>
  <c r="A63" i="91"/>
  <c r="B62" i="91"/>
  <c r="C62" i="91" s="1"/>
  <c r="A38" i="90"/>
  <c r="B37" i="90"/>
  <c r="C37" i="90" s="1"/>
  <c r="F12" i="88"/>
  <c r="G9" i="88"/>
  <c r="D9" i="88"/>
  <c r="B9" i="88"/>
  <c r="A21" i="88"/>
  <c r="A22" i="88" s="1"/>
  <c r="F14" i="88"/>
  <c r="B60" i="50" l="1"/>
  <c r="C60" i="50" s="1"/>
  <c r="A61" i="50"/>
  <c r="B90" i="91"/>
  <c r="C90" i="91" s="1"/>
  <c r="A91" i="91"/>
  <c r="B63" i="91"/>
  <c r="C63" i="91" s="1"/>
  <c r="A64" i="91"/>
  <c r="B38" i="90"/>
  <c r="C38" i="90" s="1"/>
  <c r="A39" i="90"/>
  <c r="H9" i="88"/>
  <c r="I9" i="88" s="1"/>
  <c r="E9" i="88"/>
  <c r="F9" i="88" s="1"/>
  <c r="G12" i="88"/>
  <c r="B22" i="88"/>
  <c r="C22" i="88" s="1"/>
  <c r="A23" i="88"/>
  <c r="B21" i="88"/>
  <c r="C21" i="88" s="1"/>
  <c r="A62" i="50" l="1"/>
  <c r="B61" i="50"/>
  <c r="C61" i="50" s="1"/>
  <c r="A92" i="91"/>
  <c r="B92" i="91" s="1"/>
  <c r="C92" i="91" s="1"/>
  <c r="B91" i="91"/>
  <c r="C91" i="91" s="1"/>
  <c r="A65" i="91"/>
  <c r="B64" i="91"/>
  <c r="C64" i="91" s="1"/>
  <c r="A40" i="90"/>
  <c r="B39" i="90"/>
  <c r="C39" i="90" s="1"/>
  <c r="A24" i="88"/>
  <c r="B23" i="88"/>
  <c r="C23" i="88" s="1"/>
  <c r="A63" i="50" l="1"/>
  <c r="B62" i="50"/>
  <c r="C62" i="50" s="1"/>
  <c r="A66" i="91"/>
  <c r="B65" i="91"/>
  <c r="C65" i="91" s="1"/>
  <c r="A41" i="90"/>
  <c r="B40" i="90"/>
  <c r="C40" i="90" s="1"/>
  <c r="A25" i="88"/>
  <c r="B24" i="88"/>
  <c r="C24" i="88" s="1"/>
  <c r="B63" i="50" l="1"/>
  <c r="C63" i="50" s="1"/>
  <c r="A64" i="50"/>
  <c r="B66" i="91"/>
  <c r="C66" i="91" s="1"/>
  <c r="A67" i="91"/>
  <c r="B41" i="90"/>
  <c r="C41" i="90" s="1"/>
  <c r="A42" i="90"/>
  <c r="B25" i="88"/>
  <c r="C25" i="88" s="1"/>
  <c r="A26" i="88"/>
  <c r="R12" i="80" a="1"/>
  <c r="Q12" i="80" a="1"/>
  <c r="B64" i="50" l="1"/>
  <c r="C64" i="50" s="1"/>
  <c r="A65" i="50"/>
  <c r="B67" i="91"/>
  <c r="C67" i="91" s="1"/>
  <c r="A68" i="91"/>
  <c r="Q12" i="80"/>
  <c r="R12" i="80"/>
  <c r="B42" i="90"/>
  <c r="C42" i="90" s="1"/>
  <c r="A43" i="90"/>
  <c r="A27" i="88"/>
  <c r="B26" i="88"/>
  <c r="C26" i="88" s="1"/>
  <c r="L12" i="80"/>
  <c r="A66" i="50" l="1"/>
  <c r="B65" i="50"/>
  <c r="C65" i="50" s="1"/>
  <c r="A69" i="91"/>
  <c r="B68" i="91"/>
  <c r="C68" i="91" s="1"/>
  <c r="A44" i="90"/>
  <c r="B43" i="90"/>
  <c r="C43" i="90" s="1"/>
  <c r="B27" i="88"/>
  <c r="C27" i="88" s="1"/>
  <c r="A28" i="88"/>
  <c r="A67" i="50" l="1"/>
  <c r="B66" i="50"/>
  <c r="C66" i="50" s="1"/>
  <c r="A70" i="91"/>
  <c r="B69" i="91"/>
  <c r="C69" i="91" s="1"/>
  <c r="A45" i="90"/>
  <c r="B44" i="90"/>
  <c r="C44" i="90" s="1"/>
  <c r="A29" i="88"/>
  <c r="B28" i="88"/>
  <c r="C28" i="88" s="1"/>
  <c r="B67" i="50" l="1"/>
  <c r="C67" i="50" s="1"/>
  <c r="A68" i="50"/>
  <c r="B70" i="91"/>
  <c r="C70" i="91" s="1"/>
  <c r="A71" i="91"/>
  <c r="B45" i="90"/>
  <c r="C45" i="90" s="1"/>
  <c r="A46" i="90"/>
  <c r="A30" i="88"/>
  <c r="B29" i="88"/>
  <c r="C29" i="88" s="1"/>
  <c r="B68" i="50" l="1"/>
  <c r="C68" i="50" s="1"/>
  <c r="A69" i="50"/>
  <c r="B71" i="91"/>
  <c r="C71" i="91" s="1"/>
  <c r="A72" i="91"/>
  <c r="B72" i="91" s="1"/>
  <c r="C72" i="91" s="1"/>
  <c r="B46" i="90"/>
  <c r="C46" i="90" s="1"/>
  <c r="A47" i="90"/>
  <c r="B30" i="88"/>
  <c r="C30" i="88" s="1"/>
  <c r="A31" i="88"/>
  <c r="B69" i="50" l="1"/>
  <c r="C69" i="50" s="1"/>
  <c r="A70" i="50"/>
  <c r="A48" i="90"/>
  <c r="B47" i="90"/>
  <c r="C47" i="90" s="1"/>
  <c r="A32" i="88"/>
  <c r="B31" i="88"/>
  <c r="C31" i="88" s="1"/>
  <c r="A71" i="50" l="1"/>
  <c r="B70" i="50"/>
  <c r="C70" i="50" s="1"/>
  <c r="A49" i="90"/>
  <c r="B48" i="90"/>
  <c r="C48" i="90" s="1"/>
  <c r="A33" i="88"/>
  <c r="B32" i="88"/>
  <c r="C32" i="88" s="1"/>
  <c r="B71" i="50" l="1"/>
  <c r="C71" i="50" s="1"/>
  <c r="A72" i="50"/>
  <c r="B49" i="90"/>
  <c r="C49" i="90" s="1"/>
  <c r="A50" i="90"/>
  <c r="A34" i="88"/>
  <c r="B33" i="88"/>
  <c r="C33" i="88" s="1"/>
  <c r="B72" i="50" l="1"/>
  <c r="C72" i="50" s="1"/>
  <c r="A73" i="50"/>
  <c r="B50" i="90"/>
  <c r="C50" i="90" s="1"/>
  <c r="A51" i="90"/>
  <c r="A35" i="88"/>
  <c r="B34" i="88"/>
  <c r="C34" i="88" s="1"/>
  <c r="A74" i="50" l="1"/>
  <c r="B73" i="50"/>
  <c r="C73" i="50" s="1"/>
  <c r="A52" i="90"/>
  <c r="B51" i="90"/>
  <c r="C51" i="90" s="1"/>
  <c r="B35" i="88"/>
  <c r="C35" i="88" s="1"/>
  <c r="A36" i="88"/>
  <c r="A75" i="50" l="1"/>
  <c r="B74" i="50"/>
  <c r="C74" i="50" s="1"/>
  <c r="A53" i="90"/>
  <c r="B52" i="90"/>
  <c r="C52" i="90" s="1"/>
  <c r="A37" i="88"/>
  <c r="B36" i="88"/>
  <c r="C36" i="88" s="1"/>
  <c r="B75" i="50" l="1"/>
  <c r="C75" i="50" s="1"/>
  <c r="A76" i="50"/>
  <c r="A54" i="90"/>
  <c r="B53" i="90"/>
  <c r="C53" i="90" s="1"/>
  <c r="A38" i="88"/>
  <c r="B37" i="88"/>
  <c r="C37" i="88" s="1"/>
  <c r="B76" i="50" l="1"/>
  <c r="C76" i="50" s="1"/>
  <c r="A77" i="50"/>
  <c r="B54" i="90"/>
  <c r="C54" i="90" s="1"/>
  <c r="A55" i="90"/>
  <c r="B38" i="88"/>
  <c r="C38" i="88" s="1"/>
  <c r="A39" i="88"/>
  <c r="B77" i="50" l="1"/>
  <c r="C77" i="50" s="1"/>
  <c r="A78" i="50"/>
  <c r="A56" i="90"/>
  <c r="B55" i="90"/>
  <c r="C55" i="90" s="1"/>
  <c r="A40" i="88"/>
  <c r="B39" i="88"/>
  <c r="C39" i="88" s="1"/>
  <c r="A79" i="50" l="1"/>
  <c r="B78" i="50"/>
  <c r="C78" i="50" s="1"/>
  <c r="A57" i="90"/>
  <c r="B56" i="90"/>
  <c r="C56" i="90" s="1"/>
  <c r="A41" i="88"/>
  <c r="B40" i="88"/>
  <c r="C40" i="88" s="1"/>
  <c r="R11" i="80" a="1"/>
  <c r="Q11" i="80" a="1"/>
  <c r="B79" i="50" l="1"/>
  <c r="C79" i="50" s="1"/>
  <c r="A80" i="50"/>
  <c r="A58" i="90"/>
  <c r="B57" i="90"/>
  <c r="C57" i="90" s="1"/>
  <c r="Q11" i="80"/>
  <c r="R11" i="80"/>
  <c r="B41" i="88"/>
  <c r="C41" i="88" s="1"/>
  <c r="F12" i="93"/>
  <c r="G12" i="93"/>
  <c r="G9" i="93"/>
  <c r="D9" i="93"/>
  <c r="B9" i="93"/>
  <c r="A21" i="93"/>
  <c r="A22" i="93" s="1"/>
  <c r="F14" i="93"/>
  <c r="L11" i="80"/>
  <c r="B80" i="50" l="1"/>
  <c r="C80" i="50" s="1"/>
  <c r="A81" i="50"/>
  <c r="B58" i="90"/>
  <c r="C58" i="90" s="1"/>
  <c r="A59" i="90"/>
  <c r="E9" i="93"/>
  <c r="F9" i="93" s="1"/>
  <c r="H9" i="93"/>
  <c r="I9" i="93" s="1"/>
  <c r="B22" i="93"/>
  <c r="C22" i="93" s="1"/>
  <c r="A23" i="93"/>
  <c r="B21" i="93"/>
  <c r="C21" i="93" s="1"/>
  <c r="A82" i="50" l="1"/>
  <c r="B81" i="50"/>
  <c r="C81" i="50" s="1"/>
  <c r="A60" i="90"/>
  <c r="B59" i="90"/>
  <c r="C59" i="90" s="1"/>
  <c r="A24" i="93"/>
  <c r="B23" i="93"/>
  <c r="C23" i="93" s="1"/>
  <c r="A83" i="50" l="1"/>
  <c r="B82" i="50"/>
  <c r="C82" i="50" s="1"/>
  <c r="A61" i="90"/>
  <c r="B60" i="90"/>
  <c r="C60" i="90" s="1"/>
  <c r="A25" i="93"/>
  <c r="B24" i="93"/>
  <c r="C24" i="93" s="1"/>
  <c r="B83" i="50" l="1"/>
  <c r="C83" i="50" s="1"/>
  <c r="A84" i="50"/>
  <c r="A62" i="90"/>
  <c r="B61" i="90"/>
  <c r="C61" i="90" s="1"/>
  <c r="B25" i="93"/>
  <c r="C25" i="93" s="1"/>
  <c r="A26" i="93"/>
  <c r="B84" i="50" l="1"/>
  <c r="C84" i="50" s="1"/>
  <c r="A85" i="50"/>
  <c r="B62" i="90"/>
  <c r="C62" i="90" s="1"/>
  <c r="A63" i="90"/>
  <c r="A27" i="93"/>
  <c r="B26" i="93"/>
  <c r="C26" i="93" s="1"/>
  <c r="A86" i="50" l="1"/>
  <c r="B85" i="50"/>
  <c r="C85" i="50" s="1"/>
  <c r="A64" i="90"/>
  <c r="B63" i="90"/>
  <c r="C63" i="90" s="1"/>
  <c r="A28" i="93"/>
  <c r="B27" i="93"/>
  <c r="C27" i="93" s="1"/>
  <c r="A87" i="50" l="1"/>
  <c r="B86" i="50"/>
  <c r="C86" i="50" s="1"/>
  <c r="A65" i="90"/>
  <c r="B64" i="90"/>
  <c r="C64" i="90" s="1"/>
  <c r="A29" i="93"/>
  <c r="B28" i="93"/>
  <c r="C28" i="93" s="1"/>
  <c r="B87" i="50" l="1"/>
  <c r="C87" i="50" s="1"/>
  <c r="A88" i="50"/>
  <c r="B65" i="90"/>
  <c r="C65" i="90" s="1"/>
  <c r="A66" i="90"/>
  <c r="B29" i="93"/>
  <c r="C29" i="93" s="1"/>
  <c r="A30" i="93"/>
  <c r="B88" i="50" l="1"/>
  <c r="C88" i="50" s="1"/>
  <c r="A89" i="50"/>
  <c r="B66" i="90"/>
  <c r="C66" i="90" s="1"/>
  <c r="A67" i="90"/>
  <c r="B30" i="93"/>
  <c r="C30" i="93" s="1"/>
  <c r="A31" i="93"/>
  <c r="A90" i="50" l="1"/>
  <c r="B89" i="50"/>
  <c r="C89" i="50" s="1"/>
  <c r="B67" i="90"/>
  <c r="C67" i="90" s="1"/>
  <c r="A68" i="90"/>
  <c r="A32" i="93"/>
  <c r="B31" i="93"/>
  <c r="C31" i="93" s="1"/>
  <c r="A91" i="50" l="1"/>
  <c r="B90" i="50"/>
  <c r="C90" i="50" s="1"/>
  <c r="A69" i="90"/>
  <c r="B68" i="90"/>
  <c r="C68" i="90" s="1"/>
  <c r="A33" i="93"/>
  <c r="B32" i="93"/>
  <c r="C32" i="93" s="1"/>
  <c r="B91" i="50" l="1"/>
  <c r="C91" i="50" s="1"/>
  <c r="A92" i="50"/>
  <c r="B69" i="90"/>
  <c r="C69" i="90" s="1"/>
  <c r="A70" i="90"/>
  <c r="B33" i="93"/>
  <c r="C33" i="93" s="1"/>
  <c r="A34" i="93"/>
  <c r="B92" i="50" l="1"/>
  <c r="C92" i="50" s="1"/>
  <c r="A93" i="50"/>
  <c r="B70" i="90"/>
  <c r="C70" i="90" s="1"/>
  <c r="A71" i="90"/>
  <c r="A35" i="93"/>
  <c r="B34" i="93"/>
  <c r="C34" i="93" s="1"/>
  <c r="A94" i="50" l="1"/>
  <c r="B93" i="50"/>
  <c r="C93" i="50" s="1"/>
  <c r="B71" i="90"/>
  <c r="C71" i="90" s="1"/>
  <c r="A72" i="90"/>
  <c r="A36" i="93"/>
  <c r="B35" i="93"/>
  <c r="C35" i="93" s="1"/>
  <c r="A95" i="50" l="1"/>
  <c r="B94" i="50"/>
  <c r="C94" i="50" s="1"/>
  <c r="A73" i="90"/>
  <c r="B72" i="90"/>
  <c r="C72" i="90" s="1"/>
  <c r="B36" i="93"/>
  <c r="C36" i="93" s="1"/>
  <c r="A37" i="93"/>
  <c r="B95" i="50" l="1"/>
  <c r="C95" i="50" s="1"/>
  <c r="A96" i="50"/>
  <c r="A74" i="90"/>
  <c r="B73" i="90"/>
  <c r="C73" i="90" s="1"/>
  <c r="B37" i="93"/>
  <c r="C37" i="93" s="1"/>
  <c r="A38" i="93"/>
  <c r="B96" i="50" l="1"/>
  <c r="C96" i="50" s="1"/>
  <c r="A97" i="50"/>
  <c r="B74" i="90"/>
  <c r="C74" i="90" s="1"/>
  <c r="A75" i="90"/>
  <c r="B38" i="93"/>
  <c r="C38" i="93" s="1"/>
  <c r="A39" i="93"/>
  <c r="B97" i="50" l="1"/>
  <c r="C97" i="50" s="1"/>
  <c r="A76" i="90"/>
  <c r="B75" i="90"/>
  <c r="C75" i="90" s="1"/>
  <c r="A40" i="93"/>
  <c r="B39" i="93"/>
  <c r="C39" i="93" s="1"/>
  <c r="A77" i="90" l="1"/>
  <c r="B76" i="90"/>
  <c r="C76" i="90" s="1"/>
  <c r="A41" i="93"/>
  <c r="B40" i="93"/>
  <c r="C40" i="93" s="1"/>
  <c r="R10" i="80" a="1"/>
  <c r="Q10" i="80" a="1"/>
  <c r="B77" i="90" l="1"/>
  <c r="C77" i="90" s="1"/>
  <c r="A78" i="90"/>
  <c r="Q10" i="80"/>
  <c r="R10" i="80"/>
  <c r="B41" i="93"/>
  <c r="C41" i="93" s="1"/>
  <c r="F12" i="87"/>
  <c r="L10" i="80"/>
  <c r="B78" i="90" l="1"/>
  <c r="C78" i="90" s="1"/>
  <c r="A79" i="90"/>
  <c r="G9" i="87"/>
  <c r="H9" i="87" s="1"/>
  <c r="D9" i="87"/>
  <c r="E9" i="87" s="1"/>
  <c r="B9" i="87"/>
  <c r="A21" i="87"/>
  <c r="A22" i="87" s="1"/>
  <c r="F14" i="87"/>
  <c r="G12" i="87"/>
  <c r="B79" i="90" l="1"/>
  <c r="C79" i="90" s="1"/>
  <c r="A80" i="90"/>
  <c r="B22" i="87"/>
  <c r="C22" i="87" s="1"/>
  <c r="A23" i="87"/>
  <c r="B21" i="87"/>
  <c r="C21" i="87" s="1"/>
  <c r="I9" i="87"/>
  <c r="F9" i="87"/>
  <c r="F12" i="91"/>
  <c r="D9" i="91"/>
  <c r="G12" i="91"/>
  <c r="G9" i="91"/>
  <c r="B9" i="91"/>
  <c r="A21" i="91"/>
  <c r="A22" i="91" s="1"/>
  <c r="F14" i="91"/>
  <c r="A81" i="90" l="1"/>
  <c r="B80" i="90"/>
  <c r="C80" i="90" s="1"/>
  <c r="H9" i="91"/>
  <c r="I9" i="91" s="1"/>
  <c r="E9" i="91"/>
  <c r="F9" i="91" s="1"/>
  <c r="A24" i="87"/>
  <c r="B23" i="87"/>
  <c r="C23" i="87" s="1"/>
  <c r="B22" i="91"/>
  <c r="C22" i="91" s="1"/>
  <c r="A23" i="91"/>
  <c r="B21" i="91"/>
  <c r="C21" i="91" s="1"/>
  <c r="B81" i="90" l="1"/>
  <c r="C81" i="90" s="1"/>
  <c r="A82" i="90"/>
  <c r="B24" i="87"/>
  <c r="C24" i="87" s="1"/>
  <c r="A25" i="87"/>
  <c r="A24" i="91"/>
  <c r="B23" i="91"/>
  <c r="C23" i="91" s="1"/>
  <c r="B82" i="90" l="1"/>
  <c r="C82" i="90" s="1"/>
  <c r="A83" i="90"/>
  <c r="B25" i="87"/>
  <c r="C25" i="87" s="1"/>
  <c r="A26" i="87"/>
  <c r="A25" i="91"/>
  <c r="B24" i="91"/>
  <c r="C24" i="91" s="1"/>
  <c r="B83" i="90" l="1"/>
  <c r="C83" i="90" s="1"/>
  <c r="A84" i="90"/>
  <c r="A27" i="87"/>
  <c r="B26" i="87"/>
  <c r="C26" i="87" s="1"/>
  <c r="B25" i="91"/>
  <c r="C25" i="91" s="1"/>
  <c r="A26" i="91"/>
  <c r="A85" i="90" l="1"/>
  <c r="B84" i="90"/>
  <c r="C84" i="90" s="1"/>
  <c r="A28" i="87"/>
  <c r="B27" i="87"/>
  <c r="C27" i="87" s="1"/>
  <c r="A27" i="91"/>
  <c r="B26" i="91"/>
  <c r="C26" i="91" s="1"/>
  <c r="B85" i="90" l="1"/>
  <c r="C85" i="90" s="1"/>
  <c r="A86" i="90"/>
  <c r="A29" i="87"/>
  <c r="B28" i="87"/>
  <c r="C28" i="87" s="1"/>
  <c r="B27" i="91"/>
  <c r="C27" i="91" s="1"/>
  <c r="A28" i="91"/>
  <c r="B86" i="90" l="1"/>
  <c r="C86" i="90" s="1"/>
  <c r="A87" i="90"/>
  <c r="A30" i="87"/>
  <c r="B29" i="87"/>
  <c r="C29" i="87" s="1"/>
  <c r="B28" i="91"/>
  <c r="C28" i="91" s="1"/>
  <c r="A29" i="91"/>
  <c r="B87" i="90" l="1"/>
  <c r="C87" i="90" s="1"/>
  <c r="A88" i="90"/>
  <c r="B30" i="87"/>
  <c r="C30" i="87" s="1"/>
  <c r="A31" i="87"/>
  <c r="A30" i="91"/>
  <c r="B29" i="91"/>
  <c r="C29" i="91" s="1"/>
  <c r="A89" i="90" l="1"/>
  <c r="B88" i="90"/>
  <c r="C88" i="90" s="1"/>
  <c r="A32" i="87"/>
  <c r="B31" i="87"/>
  <c r="C31" i="87" s="1"/>
  <c r="B30" i="91"/>
  <c r="C30" i="91" s="1"/>
  <c r="A31" i="91"/>
  <c r="B89" i="90" l="1"/>
  <c r="C89" i="90" s="1"/>
  <c r="A90" i="90"/>
  <c r="A33" i="87"/>
  <c r="B32" i="87"/>
  <c r="C32" i="87" s="1"/>
  <c r="A32" i="91"/>
  <c r="B31" i="91"/>
  <c r="C31" i="91" s="1"/>
  <c r="B90" i="90" l="1"/>
  <c r="C90" i="90" s="1"/>
  <c r="A91" i="90"/>
  <c r="B33" i="87"/>
  <c r="C33" i="87" s="1"/>
  <c r="A34" i="87"/>
  <c r="A33" i="91"/>
  <c r="B32" i="91"/>
  <c r="C32" i="91" s="1"/>
  <c r="B91" i="90" l="1"/>
  <c r="C91" i="90" s="1"/>
  <c r="A92" i="90"/>
  <c r="A35" i="87"/>
  <c r="B34" i="87"/>
  <c r="C34" i="87" s="1"/>
  <c r="B33" i="91"/>
  <c r="C33" i="91" s="1"/>
  <c r="A34" i="91"/>
  <c r="A93" i="90" l="1"/>
  <c r="B92" i="90"/>
  <c r="C92" i="90" s="1"/>
  <c r="A36" i="87"/>
  <c r="B35" i="87"/>
  <c r="C35" i="87" s="1"/>
  <c r="A35" i="91"/>
  <c r="B34" i="91"/>
  <c r="C34" i="91" s="1"/>
  <c r="B93" i="90" l="1"/>
  <c r="C93" i="90" s="1"/>
  <c r="A94" i="90"/>
  <c r="A37" i="87"/>
  <c r="B36" i="87"/>
  <c r="C36" i="87" s="1"/>
  <c r="B35" i="91"/>
  <c r="C35" i="91" s="1"/>
  <c r="A36" i="91"/>
  <c r="B94" i="90" l="1"/>
  <c r="C94" i="90" s="1"/>
  <c r="A95" i="90"/>
  <c r="A38" i="87"/>
  <c r="B37" i="87"/>
  <c r="C37" i="87" s="1"/>
  <c r="A37" i="91"/>
  <c r="B36" i="91"/>
  <c r="C36" i="91" s="1"/>
  <c r="B95" i="90" l="1"/>
  <c r="C95" i="90" s="1"/>
  <c r="A96" i="90"/>
  <c r="B38" i="87"/>
  <c r="C38" i="87" s="1"/>
  <c r="A39" i="87"/>
  <c r="A38" i="91"/>
  <c r="B37" i="91"/>
  <c r="C37" i="91" s="1"/>
  <c r="B96" i="90" l="1"/>
  <c r="C96" i="90" s="1"/>
  <c r="A97" i="90"/>
  <c r="B39" i="87"/>
  <c r="C39" i="87" s="1"/>
  <c r="A40" i="87"/>
  <c r="B38" i="91"/>
  <c r="C38" i="91" s="1"/>
  <c r="A39" i="91"/>
  <c r="A98" i="90" l="1"/>
  <c r="B97" i="90"/>
  <c r="C97" i="90" s="1"/>
  <c r="A41" i="87"/>
  <c r="B40" i="87"/>
  <c r="C40" i="87" s="1"/>
  <c r="A40" i="91"/>
  <c r="B39" i="91"/>
  <c r="C39" i="91" s="1"/>
  <c r="R9" i="80" a="1"/>
  <c r="Q9" i="80" a="1"/>
  <c r="B98" i="90" l="1"/>
  <c r="C98" i="90" s="1"/>
  <c r="A99" i="90"/>
  <c r="Q9" i="80"/>
  <c r="R9" i="80"/>
  <c r="B41" i="87"/>
  <c r="C41" i="87" s="1"/>
  <c r="A41" i="91"/>
  <c r="B40" i="91"/>
  <c r="C40" i="91" s="1"/>
  <c r="L9" i="80"/>
  <c r="A100" i="90" l="1"/>
  <c r="B99" i="90"/>
  <c r="C99" i="90" s="1"/>
  <c r="B41" i="91"/>
  <c r="C41" i="91" s="1"/>
  <c r="A42" i="91"/>
  <c r="I33" i="23"/>
  <c r="G33" i="23"/>
  <c r="F33" i="23"/>
  <c r="G9" i="89"/>
  <c r="F12" i="89"/>
  <c r="D9" i="89"/>
  <c r="Q8" i="80" a="1"/>
  <c r="R8" i="80" a="1"/>
  <c r="A101" i="90" l="1"/>
  <c r="B100" i="90"/>
  <c r="C100" i="90" s="1"/>
  <c r="R8" i="80"/>
  <c r="Q8" i="80"/>
  <c r="A43" i="91"/>
  <c r="B42" i="91"/>
  <c r="C42" i="91" s="1"/>
  <c r="E14" i="90"/>
  <c r="E14" i="88"/>
  <c r="E14" i="93"/>
  <c r="E14" i="87"/>
  <c r="E14" i="91"/>
  <c r="F14" i="89"/>
  <c r="E14" i="89"/>
  <c r="B9" i="89"/>
  <c r="B9" i="51"/>
  <c r="L8" i="80"/>
  <c r="B101" i="90" l="1"/>
  <c r="C101" i="90" s="1"/>
  <c r="A102" i="90"/>
  <c r="A44" i="91"/>
  <c r="B43" i="91"/>
  <c r="C43" i="91" s="1"/>
  <c r="H9" i="89"/>
  <c r="E9" i="89"/>
  <c r="B21" i="89"/>
  <c r="A103" i="90" l="1"/>
  <c r="B102" i="90"/>
  <c r="C102" i="90" s="1"/>
  <c r="A45" i="91"/>
  <c r="B45" i="91" s="1"/>
  <c r="C45" i="91" s="1"/>
  <c r="B44" i="91"/>
  <c r="C44" i="91" s="1"/>
  <c r="A21" i="89"/>
  <c r="A22" i="89" s="1"/>
  <c r="A104" i="90" l="1"/>
  <c r="B103" i="90"/>
  <c r="C103" i="90" s="1"/>
  <c r="A23" i="89"/>
  <c r="B22" i="89"/>
  <c r="C22" i="89" s="1"/>
  <c r="G12" i="89"/>
  <c r="I9" i="89"/>
  <c r="C21" i="89"/>
  <c r="A105" i="90" l="1"/>
  <c r="B104" i="90"/>
  <c r="C104" i="90" s="1"/>
  <c r="A24" i="89"/>
  <c r="B23" i="89"/>
  <c r="C23" i="89" s="1"/>
  <c r="C9" i="89"/>
  <c r="C9" i="91"/>
  <c r="C9" i="87"/>
  <c r="C9" i="93"/>
  <c r="C9" i="88"/>
  <c r="C9" i="90"/>
  <c r="C9" i="51"/>
  <c r="B105" i="90" l="1"/>
  <c r="C105" i="90" s="1"/>
  <c r="A106" i="90"/>
  <c r="A25" i="89"/>
  <c r="B24" i="89"/>
  <c r="C24" i="89" s="1"/>
  <c r="C13" i="80"/>
  <c r="A107" i="90" l="1"/>
  <c r="B106" i="90"/>
  <c r="C106" i="90" s="1"/>
  <c r="A26" i="89"/>
  <c r="B25" i="89"/>
  <c r="C25" i="89" s="1"/>
  <c r="P32" i="79"/>
  <c r="O32" i="79"/>
  <c r="N32" i="79"/>
  <c r="L32" i="79"/>
  <c r="K32" i="79"/>
  <c r="J32" i="79"/>
  <c r="H53" i="79"/>
  <c r="F53" i="79"/>
  <c r="J53" i="79"/>
  <c r="L53" i="79"/>
  <c r="M53" i="79"/>
  <c r="R57" i="79"/>
  <c r="L68" i="79"/>
  <c r="K68" i="79"/>
  <c r="J68" i="79"/>
  <c r="L67" i="79"/>
  <c r="K67" i="79"/>
  <c r="J67" i="79"/>
  <c r="L66" i="79"/>
  <c r="K66" i="79"/>
  <c r="J66" i="79"/>
  <c r="L65" i="79"/>
  <c r="K65" i="79"/>
  <c r="J65" i="79"/>
  <c r="L64" i="79"/>
  <c r="K64" i="79"/>
  <c r="J64" i="79"/>
  <c r="L63" i="79"/>
  <c r="K63" i="79"/>
  <c r="J63" i="79"/>
  <c r="L62" i="79"/>
  <c r="K62" i="79"/>
  <c r="J62" i="79"/>
  <c r="L61" i="79"/>
  <c r="K61" i="79"/>
  <c r="J61" i="79"/>
  <c r="L60" i="79"/>
  <c r="K60" i="79"/>
  <c r="J60" i="79"/>
  <c r="L59" i="79"/>
  <c r="K59" i="79"/>
  <c r="J59" i="79"/>
  <c r="H68" i="79"/>
  <c r="H84" i="79" s="1"/>
  <c r="G68" i="79"/>
  <c r="G84" i="79" s="1"/>
  <c r="F68" i="79"/>
  <c r="F84" i="79" s="1"/>
  <c r="H67" i="79"/>
  <c r="H83" i="79" s="1"/>
  <c r="G67" i="79"/>
  <c r="G83" i="79" s="1"/>
  <c r="F67" i="79"/>
  <c r="F83" i="79" s="1"/>
  <c r="H66" i="79"/>
  <c r="H82" i="79" s="1"/>
  <c r="G66" i="79"/>
  <c r="G82" i="79" s="1"/>
  <c r="F66" i="79"/>
  <c r="F82" i="79" s="1"/>
  <c r="H65" i="79"/>
  <c r="H81" i="79" s="1"/>
  <c r="G65" i="79"/>
  <c r="G81" i="79" s="1"/>
  <c r="F65" i="79"/>
  <c r="F81" i="79" s="1"/>
  <c r="H64" i="79"/>
  <c r="H80" i="79" s="1"/>
  <c r="G64" i="79"/>
  <c r="G80" i="79" s="1"/>
  <c r="F64" i="79"/>
  <c r="F80" i="79" s="1"/>
  <c r="H63" i="79"/>
  <c r="G63" i="79"/>
  <c r="F63" i="79"/>
  <c r="H62" i="79"/>
  <c r="G62" i="79"/>
  <c r="F62" i="79"/>
  <c r="F78" i="79" s="1"/>
  <c r="H61" i="79"/>
  <c r="G61" i="79"/>
  <c r="F61" i="79"/>
  <c r="H60" i="79"/>
  <c r="G60" i="79"/>
  <c r="F60" i="79"/>
  <c r="A108" i="90" l="1"/>
  <c r="B107" i="90"/>
  <c r="C107" i="90" s="1"/>
  <c r="A27" i="89"/>
  <c r="B26" i="89"/>
  <c r="C26" i="89" s="1"/>
  <c r="C8" i="79"/>
  <c r="C44" i="79" s="1"/>
  <c r="C60" i="79" s="1"/>
  <c r="C9" i="79"/>
  <c r="C45" i="79" s="1"/>
  <c r="C61" i="79" s="1"/>
  <c r="C10" i="79"/>
  <c r="C46" i="79" s="1"/>
  <c r="C62" i="79" s="1"/>
  <c r="C11" i="79"/>
  <c r="C47" i="79" s="1"/>
  <c r="C63" i="79" s="1"/>
  <c r="C12" i="79"/>
  <c r="C48" i="79" s="1"/>
  <c r="C64" i="79" s="1"/>
  <c r="C80" i="79" s="1"/>
  <c r="C13" i="79"/>
  <c r="C49" i="79" s="1"/>
  <c r="C65" i="79" s="1"/>
  <c r="C81" i="79" s="1"/>
  <c r="C14" i="79"/>
  <c r="C50" i="79" s="1"/>
  <c r="C66" i="79" s="1"/>
  <c r="C82" i="79" s="1"/>
  <c r="C15" i="79"/>
  <c r="C51" i="79" s="1"/>
  <c r="C67" i="79" s="1"/>
  <c r="C83" i="79" s="1"/>
  <c r="C16" i="79"/>
  <c r="B8" i="79"/>
  <c r="B44" i="79" s="1"/>
  <c r="B60" i="79" s="1"/>
  <c r="B9" i="79"/>
  <c r="B45" i="79" s="1"/>
  <c r="B61" i="79" s="1"/>
  <c r="B10" i="79"/>
  <c r="B46" i="79" s="1"/>
  <c r="B62" i="79" s="1"/>
  <c r="B11" i="79"/>
  <c r="B47" i="79" s="1"/>
  <c r="B63" i="79" s="1"/>
  <c r="B12" i="79"/>
  <c r="B48" i="79" s="1"/>
  <c r="B64" i="79" s="1"/>
  <c r="B80" i="79" s="1"/>
  <c r="B13" i="79"/>
  <c r="B49" i="79" s="1"/>
  <c r="B65" i="79" s="1"/>
  <c r="B81" i="79" s="1"/>
  <c r="B14" i="79"/>
  <c r="B50" i="79" s="1"/>
  <c r="B66" i="79" s="1"/>
  <c r="B82" i="79" s="1"/>
  <c r="B15" i="79"/>
  <c r="B51" i="79" s="1"/>
  <c r="B67" i="79" s="1"/>
  <c r="B83" i="79" s="1"/>
  <c r="B16" i="79"/>
  <c r="A109" i="90" l="1"/>
  <c r="B108" i="90"/>
  <c r="C108" i="90" s="1"/>
  <c r="A28" i="89"/>
  <c r="B27" i="89"/>
  <c r="C27" i="89" s="1"/>
  <c r="B52" i="79"/>
  <c r="B68" i="79" s="1"/>
  <c r="B84" i="79" s="1"/>
  <c r="B32" i="79"/>
  <c r="C52" i="79"/>
  <c r="C68" i="79" s="1"/>
  <c r="C84" i="79" s="1"/>
  <c r="C32" i="79"/>
  <c r="E27" i="23"/>
  <c r="B109" i="90" l="1"/>
  <c r="C109" i="90" s="1"/>
  <c r="A110" i="90"/>
  <c r="A29" i="89"/>
  <c r="B28" i="89"/>
  <c r="C28" i="89" s="1"/>
  <c r="I27" i="23"/>
  <c r="B110" i="90" l="1"/>
  <c r="C110" i="90" s="1"/>
  <c r="A111" i="90"/>
  <c r="A30" i="89"/>
  <c r="B29" i="89"/>
  <c r="C29" i="89" s="1"/>
  <c r="H45" i="23"/>
  <c r="D45" i="23"/>
  <c r="C45" i="23"/>
  <c r="B45" i="23"/>
  <c r="I12" i="94"/>
  <c r="I12" i="92"/>
  <c r="G9" i="94"/>
  <c r="D9" i="94"/>
  <c r="G9" i="92"/>
  <c r="D9" i="92"/>
  <c r="C9" i="94"/>
  <c r="B9" i="94"/>
  <c r="K26" i="23"/>
  <c r="M26" i="23" s="1"/>
  <c r="K25" i="23"/>
  <c r="M25" i="23" s="1"/>
  <c r="K24" i="23"/>
  <c r="M24" i="23" s="1"/>
  <c r="K23" i="23"/>
  <c r="M23" i="23" s="1"/>
  <c r="K22" i="23"/>
  <c r="M22" i="23" s="1"/>
  <c r="K21" i="23"/>
  <c r="M21" i="23" s="1"/>
  <c r="K20" i="23"/>
  <c r="M20" i="23" s="1"/>
  <c r="K19" i="23"/>
  <c r="M19" i="23" s="1"/>
  <c r="K18" i="23"/>
  <c r="M18" i="23" s="1"/>
  <c r="K17" i="23"/>
  <c r="A22" i="94"/>
  <c r="A23" i="94" s="1"/>
  <c r="A24" i="94" s="1"/>
  <c r="A25" i="94" s="1"/>
  <c r="A26" i="94" s="1"/>
  <c r="A27" i="94" s="1"/>
  <c r="A28" i="94" s="1"/>
  <c r="A29" i="94" s="1"/>
  <c r="A30" i="94" s="1"/>
  <c r="A31" i="94" s="1"/>
  <c r="A32" i="94" s="1"/>
  <c r="A33" i="94" s="1"/>
  <c r="A34" i="94" s="1"/>
  <c r="A35" i="94" s="1"/>
  <c r="A36" i="94" s="1"/>
  <c r="A37" i="94" s="1"/>
  <c r="A38" i="94" s="1"/>
  <c r="A39" i="94" s="1"/>
  <c r="A40" i="94" s="1"/>
  <c r="A41" i="94" s="1"/>
  <c r="A42" i="94" s="1"/>
  <c r="H14" i="94"/>
  <c r="G14" i="94"/>
  <c r="G12" i="94"/>
  <c r="O12" i="94"/>
  <c r="N12" i="94"/>
  <c r="C6" i="94"/>
  <c r="B6" i="94"/>
  <c r="A22" i="92"/>
  <c r="A23" i="92" s="1"/>
  <c r="A24" i="92" s="1"/>
  <c r="A25" i="92" s="1"/>
  <c r="A26" i="92" s="1"/>
  <c r="A27" i="92" s="1"/>
  <c r="A28" i="92" s="1"/>
  <c r="A29" i="92" s="1"/>
  <c r="A30" i="92" s="1"/>
  <c r="A31" i="92" s="1"/>
  <c r="A32" i="92" s="1"/>
  <c r="A33" i="92" s="1"/>
  <c r="A34" i="92" s="1"/>
  <c r="A35" i="92" s="1"/>
  <c r="A36" i="92" s="1"/>
  <c r="A37" i="92" s="1"/>
  <c r="A38" i="92" s="1"/>
  <c r="A39" i="92" s="1"/>
  <c r="A40" i="92" s="1"/>
  <c r="A41" i="92" s="1"/>
  <c r="A42" i="92" s="1"/>
  <c r="H14" i="92"/>
  <c r="G14" i="92"/>
  <c r="G12" i="92"/>
  <c r="H12" i="92" s="1"/>
  <c r="O12" i="92"/>
  <c r="N12" i="92"/>
  <c r="C6" i="92"/>
  <c r="B6" i="92"/>
  <c r="A112" i="90" l="1"/>
  <c r="B111" i="90"/>
  <c r="C111" i="90" s="1"/>
  <c r="A31" i="89"/>
  <c r="B30" i="89"/>
  <c r="C30" i="89" s="1"/>
  <c r="K28" i="23"/>
  <c r="M28" i="23" s="1"/>
  <c r="S68" i="79"/>
  <c r="X52" i="79"/>
  <c r="Y52" i="79" s="1"/>
  <c r="K45" i="23"/>
  <c r="M45" i="23" s="1"/>
  <c r="Z16" i="79"/>
  <c r="AA16" i="79" s="1"/>
  <c r="M17" i="23"/>
  <c r="K27" i="23"/>
  <c r="M27" i="23" s="1"/>
  <c r="L12" i="94"/>
  <c r="M12" i="94" s="1"/>
  <c r="P12" i="94" s="1"/>
  <c r="Q12" i="94" s="1"/>
  <c r="H12" i="94"/>
  <c r="L12" i="92"/>
  <c r="M12" i="92" s="1"/>
  <c r="C39" i="86"/>
  <c r="C38" i="86"/>
  <c r="C37" i="86"/>
  <c r="C36" i="86"/>
  <c r="C35" i="86"/>
  <c r="C34" i="86"/>
  <c r="C33" i="86"/>
  <c r="C32" i="86"/>
  <c r="C31" i="86"/>
  <c r="L27" i="86"/>
  <c r="C27" i="86"/>
  <c r="L26" i="86"/>
  <c r="C26" i="86"/>
  <c r="L25" i="86"/>
  <c r="C25" i="86"/>
  <c r="L24" i="86"/>
  <c r="C24" i="86"/>
  <c r="L23" i="86"/>
  <c r="C23" i="86"/>
  <c r="L22" i="86"/>
  <c r="C22" i="86"/>
  <c r="L21" i="86"/>
  <c r="C21" i="86"/>
  <c r="L20" i="86"/>
  <c r="C20" i="86"/>
  <c r="L19" i="86"/>
  <c r="C19" i="86"/>
  <c r="L13" i="86"/>
  <c r="C13" i="86"/>
  <c r="L12" i="86"/>
  <c r="C12" i="86"/>
  <c r="L11" i="86"/>
  <c r="C11" i="86"/>
  <c r="L10" i="86"/>
  <c r="C10" i="86"/>
  <c r="L9" i="86"/>
  <c r="C9" i="86"/>
  <c r="L8" i="86"/>
  <c r="C8" i="86"/>
  <c r="L7" i="86"/>
  <c r="C7" i="86"/>
  <c r="L6" i="86"/>
  <c r="C6" i="86"/>
  <c r="L5" i="86"/>
  <c r="C5" i="86"/>
  <c r="C39" i="81"/>
  <c r="C38" i="81"/>
  <c r="C37" i="81"/>
  <c r="C36" i="81"/>
  <c r="C35" i="81"/>
  <c r="C34" i="81"/>
  <c r="C33" i="81"/>
  <c r="C32" i="81"/>
  <c r="C31" i="81"/>
  <c r="L13" i="81"/>
  <c r="L12" i="81"/>
  <c r="L11" i="81"/>
  <c r="L10" i="81"/>
  <c r="L9" i="81"/>
  <c r="L8" i="81"/>
  <c r="L7" i="81"/>
  <c r="L6" i="81"/>
  <c r="L5" i="81"/>
  <c r="L27" i="81"/>
  <c r="L26" i="81"/>
  <c r="L25" i="81"/>
  <c r="L24" i="81"/>
  <c r="L23" i="81"/>
  <c r="L22" i="81"/>
  <c r="L21" i="81"/>
  <c r="L20" i="81"/>
  <c r="L19" i="81"/>
  <c r="C27" i="81"/>
  <c r="C26" i="81"/>
  <c r="C25" i="81"/>
  <c r="C24" i="81"/>
  <c r="C23" i="81"/>
  <c r="C22" i="81"/>
  <c r="C21" i="81"/>
  <c r="C20" i="81"/>
  <c r="C19" i="81"/>
  <c r="C13" i="81"/>
  <c r="C12" i="81"/>
  <c r="C11" i="81"/>
  <c r="C10" i="81"/>
  <c r="C9" i="81"/>
  <c r="C8" i="81"/>
  <c r="C7" i="81"/>
  <c r="C6" i="81"/>
  <c r="C5" i="81"/>
  <c r="C12" i="80"/>
  <c r="C11" i="80"/>
  <c r="C10" i="80"/>
  <c r="C9" i="80"/>
  <c r="C8" i="80"/>
  <c r="C7" i="80"/>
  <c r="C6" i="80"/>
  <c r="C5" i="80"/>
  <c r="C4" i="80"/>
  <c r="A113" i="90" l="1"/>
  <c r="B112" i="90"/>
  <c r="C112" i="90" s="1"/>
  <c r="A32" i="89"/>
  <c r="B31" i="89"/>
  <c r="C31" i="89" s="1"/>
  <c r="D14" i="80"/>
  <c r="R68" i="79"/>
  <c r="G32" i="79"/>
  <c r="F32" i="79"/>
  <c r="S32" i="79"/>
  <c r="R32" i="79"/>
  <c r="W32" i="79"/>
  <c r="V32" i="79"/>
  <c r="O68" i="79"/>
  <c r="N68" i="79"/>
  <c r="R12" i="94"/>
  <c r="B33" i="94" s="1"/>
  <c r="P12" i="92"/>
  <c r="Q12" i="92" s="1"/>
  <c r="R12" i="92"/>
  <c r="B113" i="90" l="1"/>
  <c r="C113" i="90" s="1"/>
  <c r="A114" i="90"/>
  <c r="A33" i="89"/>
  <c r="B32" i="89"/>
  <c r="C32" i="89" s="1"/>
  <c r="B25" i="94"/>
  <c r="E25" i="94" s="1"/>
  <c r="H9" i="94"/>
  <c r="I9" i="94" s="1"/>
  <c r="J9" i="94" s="1"/>
  <c r="B30" i="94"/>
  <c r="E30" i="94" s="1"/>
  <c r="B24" i="94"/>
  <c r="E24" i="94" s="1"/>
  <c r="B22" i="94"/>
  <c r="E22" i="94" s="1"/>
  <c r="B42" i="94"/>
  <c r="E42" i="94" s="1"/>
  <c r="E9" i="94"/>
  <c r="F9" i="94" s="1"/>
  <c r="J26" i="23" s="1"/>
  <c r="I45" i="23" s="1"/>
  <c r="J45" i="23" s="1"/>
  <c r="B36" i="94"/>
  <c r="C36" i="94" s="1"/>
  <c r="B27" i="94"/>
  <c r="C27" i="94" s="1"/>
  <c r="B23" i="94"/>
  <c r="B34" i="94"/>
  <c r="E34" i="94" s="1"/>
  <c r="B31" i="94"/>
  <c r="E31" i="94" s="1"/>
  <c r="B29" i="94"/>
  <c r="E29" i="94" s="1"/>
  <c r="B39" i="94"/>
  <c r="E39" i="94" s="1"/>
  <c r="B35" i="94"/>
  <c r="C35" i="94" s="1"/>
  <c r="B41" i="94"/>
  <c r="C41" i="94" s="1"/>
  <c r="B38" i="94"/>
  <c r="E38" i="94" s="1"/>
  <c r="B28" i="94"/>
  <c r="C28" i="94" s="1"/>
  <c r="B26" i="94"/>
  <c r="C26" i="94" s="1"/>
  <c r="B32" i="94"/>
  <c r="E32" i="94" s="1"/>
  <c r="B37" i="94"/>
  <c r="E37" i="94" s="1"/>
  <c r="B40" i="94"/>
  <c r="E40" i="94" s="1"/>
  <c r="C25" i="94"/>
  <c r="C23" i="94"/>
  <c r="E27" i="94"/>
  <c r="E33" i="94"/>
  <c r="C33" i="94"/>
  <c r="J23" i="23"/>
  <c r="B33" i="92"/>
  <c r="B31" i="92"/>
  <c r="B40" i="92"/>
  <c r="B28" i="92"/>
  <c r="B36" i="92"/>
  <c r="B38" i="92"/>
  <c r="B26" i="92"/>
  <c r="B35" i="92"/>
  <c r="B23" i="92"/>
  <c r="B42" i="92"/>
  <c r="B30" i="92"/>
  <c r="H9" i="92"/>
  <c r="I9" i="92" s="1"/>
  <c r="B37" i="92"/>
  <c r="B25" i="92"/>
  <c r="B32" i="92"/>
  <c r="B39" i="92"/>
  <c r="B27" i="92"/>
  <c r="B22" i="92"/>
  <c r="E9" i="92"/>
  <c r="F9" i="92" s="1"/>
  <c r="J20" i="23" s="1"/>
  <c r="B24" i="92"/>
  <c r="B34" i="92"/>
  <c r="B41" i="92"/>
  <c r="B29" i="92"/>
  <c r="J21" i="23"/>
  <c r="J25" i="23"/>
  <c r="J24" i="23"/>
  <c r="J22" i="23"/>
  <c r="V21" i="79"/>
  <c r="R21" i="79"/>
  <c r="B24" i="79"/>
  <c r="B25" i="79"/>
  <c r="B26" i="79"/>
  <c r="B27" i="79"/>
  <c r="B28" i="79"/>
  <c r="B29" i="79"/>
  <c r="B30" i="79"/>
  <c r="B31" i="79"/>
  <c r="B7" i="79"/>
  <c r="B43" i="79" s="1"/>
  <c r="B59" i="79" s="1"/>
  <c r="C7" i="79"/>
  <c r="B114" i="90" l="1"/>
  <c r="C114" i="90" s="1"/>
  <c r="A115" i="90"/>
  <c r="A34" i="89"/>
  <c r="B33" i="89"/>
  <c r="C33" i="89" s="1"/>
  <c r="C24" i="94"/>
  <c r="D25" i="94"/>
  <c r="C22" i="94"/>
  <c r="C31" i="94"/>
  <c r="D31" i="94"/>
  <c r="C37" i="94"/>
  <c r="C39" i="94"/>
  <c r="C42" i="94"/>
  <c r="E28" i="94"/>
  <c r="D23" i="94"/>
  <c r="E23" i="94"/>
  <c r="D38" i="94"/>
  <c r="C38" i="94"/>
  <c r="T68" i="79"/>
  <c r="H32" i="79"/>
  <c r="T32" i="79"/>
  <c r="X32" i="79"/>
  <c r="D33" i="94"/>
  <c r="P68" i="79"/>
  <c r="E11" i="80"/>
  <c r="J11" i="80" s="1"/>
  <c r="K11" i="80" s="1"/>
  <c r="D28" i="94"/>
  <c r="Z52" i="79"/>
  <c r="C17" i="79"/>
  <c r="C33" i="79" s="1"/>
  <c r="C43" i="79"/>
  <c r="C53" i="79" s="1"/>
  <c r="C69" i="79" s="1"/>
  <c r="C85" i="79" s="1"/>
  <c r="D39" i="94"/>
  <c r="D24" i="94"/>
  <c r="D26" i="94"/>
  <c r="C34" i="94"/>
  <c r="C29" i="94"/>
  <c r="F26" i="23"/>
  <c r="E26" i="94"/>
  <c r="D34" i="94"/>
  <c r="D29" i="94"/>
  <c r="C30" i="94"/>
  <c r="D27" i="94"/>
  <c r="D30" i="94"/>
  <c r="D40" i="94"/>
  <c r="AB16" i="79"/>
  <c r="C25" i="79"/>
  <c r="C27" i="79"/>
  <c r="C26" i="79"/>
  <c r="C28" i="79"/>
  <c r="C29" i="79"/>
  <c r="C30" i="79"/>
  <c r="C31" i="79"/>
  <c r="C24" i="79"/>
  <c r="D35" i="94"/>
  <c r="C32" i="94"/>
  <c r="D37" i="94"/>
  <c r="E41" i="94"/>
  <c r="E36" i="94"/>
  <c r="D41" i="94"/>
  <c r="D32" i="94"/>
  <c r="D36" i="94"/>
  <c r="D42" i="94"/>
  <c r="E35" i="94"/>
  <c r="C40" i="94"/>
  <c r="J9" i="92"/>
  <c r="F20" i="23"/>
  <c r="L20" i="23" s="1"/>
  <c r="N20" i="23" s="1"/>
  <c r="F23" i="23"/>
  <c r="L23" i="23" s="1"/>
  <c r="N23" i="23" s="1"/>
  <c r="F21" i="23"/>
  <c r="F24" i="23"/>
  <c r="L24" i="23" s="1"/>
  <c r="N24" i="23" s="1"/>
  <c r="F25" i="23"/>
  <c r="L25" i="23" s="1"/>
  <c r="N25" i="23" s="1"/>
  <c r="F22" i="23"/>
  <c r="L22" i="23" s="1"/>
  <c r="N22" i="23" s="1"/>
  <c r="F19" i="23"/>
  <c r="E30" i="92"/>
  <c r="D30" i="92"/>
  <c r="C30" i="92"/>
  <c r="E41" i="92"/>
  <c r="D41" i="92"/>
  <c r="C41" i="92"/>
  <c r="E42" i="92"/>
  <c r="D42" i="92"/>
  <c r="C42" i="92"/>
  <c r="E29" i="92"/>
  <c r="D29" i="92"/>
  <c r="C29" i="92"/>
  <c r="E34" i="92"/>
  <c r="D34" i="92"/>
  <c r="C34" i="92"/>
  <c r="D23" i="92"/>
  <c r="E23" i="92"/>
  <c r="C23" i="92"/>
  <c r="E24" i="92"/>
  <c r="C24" i="92"/>
  <c r="D24" i="92"/>
  <c r="D35" i="92"/>
  <c r="E35" i="92"/>
  <c r="C35" i="92"/>
  <c r="D26" i="92"/>
  <c r="E26" i="92"/>
  <c r="C26" i="92"/>
  <c r="E22" i="92"/>
  <c r="C22" i="92"/>
  <c r="D38" i="92"/>
  <c r="C38" i="92"/>
  <c r="E38" i="92"/>
  <c r="E27" i="92"/>
  <c r="D27" i="92"/>
  <c r="C27" i="92"/>
  <c r="E36" i="92"/>
  <c r="D36" i="92"/>
  <c r="C36" i="92"/>
  <c r="E39" i="92"/>
  <c r="D39" i="92"/>
  <c r="C39" i="92"/>
  <c r="C28" i="92"/>
  <c r="E28" i="92"/>
  <c r="D28" i="92"/>
  <c r="E32" i="92"/>
  <c r="D32" i="92"/>
  <c r="C32" i="92"/>
  <c r="C40" i="92"/>
  <c r="E40" i="92"/>
  <c r="D40" i="92"/>
  <c r="E25" i="92"/>
  <c r="D25" i="92"/>
  <c r="C25" i="92"/>
  <c r="E31" i="92"/>
  <c r="C31" i="92"/>
  <c r="D31" i="92"/>
  <c r="E37" i="92"/>
  <c r="D37" i="92"/>
  <c r="C37" i="92"/>
  <c r="E33" i="92"/>
  <c r="C33" i="92"/>
  <c r="D33" i="92"/>
  <c r="L7" i="80"/>
  <c r="L13" i="80"/>
  <c r="A116" i="90" l="1"/>
  <c r="B115" i="90"/>
  <c r="C115" i="90" s="1"/>
  <c r="A35" i="89"/>
  <c r="B34" i="89"/>
  <c r="C34" i="89" s="1"/>
  <c r="F45" i="23"/>
  <c r="G45" i="23" s="1"/>
  <c r="E13" i="80"/>
  <c r="J13" i="80" s="1"/>
  <c r="K13" i="80" s="1"/>
  <c r="L26" i="23"/>
  <c r="N26" i="23" s="1"/>
  <c r="L21" i="23"/>
  <c r="N21" i="23" s="1"/>
  <c r="A117" i="90" l="1"/>
  <c r="B116" i="90"/>
  <c r="C116" i="90" s="1"/>
  <c r="A36" i="89"/>
  <c r="B35" i="89"/>
  <c r="C35" i="89" s="1"/>
  <c r="F13" i="80"/>
  <c r="G13" i="80" s="1"/>
  <c r="O45" i="23"/>
  <c r="D16" i="79"/>
  <c r="D52" i="79" s="1"/>
  <c r="D68" i="79" s="1"/>
  <c r="D84" i="79" s="1"/>
  <c r="L45" i="23"/>
  <c r="N45" i="23" s="1"/>
  <c r="H13" i="80"/>
  <c r="I13" i="80"/>
  <c r="F24" i="80" s="1"/>
  <c r="E8" i="80"/>
  <c r="J8" i="80" s="1"/>
  <c r="K8" i="80" s="1"/>
  <c r="B117" i="90" l="1"/>
  <c r="C117" i="90" s="1"/>
  <c r="A118" i="90"/>
  <c r="A37" i="89"/>
  <c r="B36" i="89"/>
  <c r="C36" i="89" s="1"/>
  <c r="D32" i="79"/>
  <c r="A32" i="79" s="1"/>
  <c r="I8" i="80"/>
  <c r="F25" i="80" s="1"/>
  <c r="H8" i="80"/>
  <c r="I40" i="23"/>
  <c r="J40" i="23" s="1"/>
  <c r="H40" i="23"/>
  <c r="F40" i="23"/>
  <c r="D40" i="23"/>
  <c r="C40" i="23"/>
  <c r="B40" i="23"/>
  <c r="B41" i="23"/>
  <c r="B42" i="23"/>
  <c r="B43" i="23"/>
  <c r="B44" i="23"/>
  <c r="B118" i="90" l="1"/>
  <c r="C118" i="90" s="1"/>
  <c r="A119" i="90"/>
  <c r="A38" i="89"/>
  <c r="B37" i="89"/>
  <c r="C37" i="89" s="1"/>
  <c r="S63" i="79"/>
  <c r="H27" i="79"/>
  <c r="T27" i="79"/>
  <c r="X27" i="79"/>
  <c r="T63" i="79"/>
  <c r="G27" i="79"/>
  <c r="X47" i="79"/>
  <c r="Y47" i="79" s="1"/>
  <c r="P63" i="79"/>
  <c r="Z47" i="79"/>
  <c r="L27" i="79"/>
  <c r="P27" i="79"/>
  <c r="G40" i="23"/>
  <c r="L40" i="23" s="1"/>
  <c r="N40" i="23" s="1"/>
  <c r="I23" i="86"/>
  <c r="R23" i="86" s="1"/>
  <c r="E23" i="86"/>
  <c r="N23" i="86" s="1"/>
  <c r="G9" i="86"/>
  <c r="P9" i="86" s="1"/>
  <c r="G23" i="86"/>
  <c r="P23" i="86" s="1"/>
  <c r="I9" i="86"/>
  <c r="R9" i="86" s="1"/>
  <c r="E9" i="86"/>
  <c r="N9" i="86" s="1"/>
  <c r="H9" i="86"/>
  <c r="Q9" i="86" s="1"/>
  <c r="F35" i="86" s="1"/>
  <c r="O35" i="86" s="1"/>
  <c r="D9" i="86"/>
  <c r="M9" i="86" s="1"/>
  <c r="H23" i="86"/>
  <c r="Q23" i="86" s="1"/>
  <c r="H35" i="86" s="1"/>
  <c r="O34" i="86" s="1"/>
  <c r="D23" i="86"/>
  <c r="M23" i="86" s="1"/>
  <c r="D35" i="86" s="1"/>
  <c r="O33" i="86" s="1"/>
  <c r="F9" i="86"/>
  <c r="O9" i="86" s="1"/>
  <c r="E35" i="86" s="1"/>
  <c r="O31" i="86" s="1"/>
  <c r="F23" i="86"/>
  <c r="O23" i="86" s="1"/>
  <c r="G35" i="86" s="1"/>
  <c r="O32" i="86" s="1"/>
  <c r="AB11" i="79"/>
  <c r="G23" i="81"/>
  <c r="P23" i="81" s="1"/>
  <c r="I23" i="81"/>
  <c r="R23" i="81" s="1"/>
  <c r="E23" i="81"/>
  <c r="N23" i="81" s="1"/>
  <c r="R9" i="81"/>
  <c r="P9" i="81"/>
  <c r="E9" i="81"/>
  <c r="N9" i="81" s="1"/>
  <c r="Z11" i="79"/>
  <c r="AA11" i="79" s="1"/>
  <c r="F23" i="81"/>
  <c r="O23" i="81" s="1"/>
  <c r="G35" i="81" s="1"/>
  <c r="O9" i="81"/>
  <c r="E35" i="81" s="1"/>
  <c r="D9" i="81"/>
  <c r="M9" i="81" s="1"/>
  <c r="H23" i="81"/>
  <c r="Q23" i="81" s="1"/>
  <c r="H35" i="81" s="1"/>
  <c r="D23" i="81"/>
  <c r="M23" i="81" s="1"/>
  <c r="D35" i="81" s="1"/>
  <c r="Q9" i="81"/>
  <c r="F35" i="81" s="1"/>
  <c r="K40" i="23"/>
  <c r="M40" i="23" s="1"/>
  <c r="A120" i="90" l="1"/>
  <c r="B119" i="90"/>
  <c r="C119" i="90" s="1"/>
  <c r="A39" i="89"/>
  <c r="B38" i="89"/>
  <c r="C38" i="89" s="1"/>
  <c r="O40" i="23"/>
  <c r="R63" i="79"/>
  <c r="O63" i="79"/>
  <c r="N63" i="79"/>
  <c r="F8" i="80"/>
  <c r="D11" i="79"/>
  <c r="D47" i="79" s="1"/>
  <c r="D63" i="79" s="1"/>
  <c r="W27" i="79"/>
  <c r="V27" i="79"/>
  <c r="K27" i="79"/>
  <c r="J27" i="79"/>
  <c r="O27" i="79"/>
  <c r="N27" i="79"/>
  <c r="S27" i="79"/>
  <c r="R27" i="79"/>
  <c r="F27" i="79"/>
  <c r="H14" i="48"/>
  <c r="G14" i="48"/>
  <c r="A121" i="90" l="1"/>
  <c r="B120" i="90"/>
  <c r="C120" i="90" s="1"/>
  <c r="A40" i="89"/>
  <c r="B39" i="89"/>
  <c r="C39" i="89" s="1"/>
  <c r="D27" i="79"/>
  <c r="A27" i="79" s="1"/>
  <c r="G8" i="80"/>
  <c r="E9" i="80"/>
  <c r="B121" i="90" l="1"/>
  <c r="C121" i="90" s="1"/>
  <c r="A122" i="90"/>
  <c r="A41" i="89"/>
  <c r="B40" i="89"/>
  <c r="C40" i="89" s="1"/>
  <c r="J9" i="80"/>
  <c r="K9" i="80" s="1"/>
  <c r="I9" i="80"/>
  <c r="H9" i="80"/>
  <c r="Q6" i="80" a="1"/>
  <c r="R6" i="80" a="1"/>
  <c r="B122" i="90" l="1"/>
  <c r="C122" i="90" s="1"/>
  <c r="A123" i="90"/>
  <c r="R6" i="80"/>
  <c r="Q6" i="80"/>
  <c r="B41" i="89"/>
  <c r="C41" i="89" s="1"/>
  <c r="F38" i="23"/>
  <c r="E6" i="80"/>
  <c r="J6" i="80" s="1"/>
  <c r="K6" i="80" s="1"/>
  <c r="L6" i="80"/>
  <c r="A124" i="90" l="1"/>
  <c r="B123" i="90"/>
  <c r="C123" i="90" s="1"/>
  <c r="H6" i="80"/>
  <c r="I6" i="80"/>
  <c r="A125" i="90" l="1"/>
  <c r="B124" i="90"/>
  <c r="C124" i="90" s="1"/>
  <c r="O35" i="81"/>
  <c r="O34" i="81"/>
  <c r="O33" i="81"/>
  <c r="O32" i="81"/>
  <c r="O31" i="81"/>
  <c r="F20" i="79"/>
  <c r="F56" i="79"/>
  <c r="N57" i="79"/>
  <c r="J57" i="79"/>
  <c r="F57" i="79"/>
  <c r="N21" i="79"/>
  <c r="J21" i="79"/>
  <c r="F21" i="79"/>
  <c r="B23" i="79"/>
  <c r="B125" i="90" l="1"/>
  <c r="C125" i="90" s="1"/>
  <c r="A126" i="90"/>
  <c r="C59" i="79"/>
  <c r="C23" i="79"/>
  <c r="B3" i="79"/>
  <c r="D18" i="78"/>
  <c r="D17" i="78"/>
  <c r="G16" i="78"/>
  <c r="D16" i="78"/>
  <c r="G15" i="78"/>
  <c r="D15" i="78"/>
  <c r="G14" i="78"/>
  <c r="D14" i="78"/>
  <c r="B126" i="90" l="1"/>
  <c r="C126" i="90" s="1"/>
  <c r="A127" i="90"/>
  <c r="C8" i="78"/>
  <c r="A128" i="90" l="1"/>
  <c r="B127" i="90"/>
  <c r="C127" i="90" s="1"/>
  <c r="E6" i="78"/>
  <c r="C6" i="78" s="1"/>
  <c r="E10" i="78"/>
  <c r="C10" i="78" s="1"/>
  <c r="L8" i="78"/>
  <c r="E8" i="78"/>
  <c r="C16" i="78"/>
  <c r="E7" i="78"/>
  <c r="C7" i="78" s="1"/>
  <c r="E9" i="78"/>
  <c r="C9" i="78" s="1"/>
  <c r="B128" i="90" l="1"/>
  <c r="C128" i="90" s="1"/>
  <c r="A129" i="90"/>
  <c r="C17" i="78"/>
  <c r="E16" i="78" s="1"/>
  <c r="I16" i="78" s="1"/>
  <c r="L9" i="78"/>
  <c r="C18" i="78"/>
  <c r="L7" i="78"/>
  <c r="C15" i="78"/>
  <c r="E15" i="78" s="1"/>
  <c r="I15" i="78" s="1"/>
  <c r="C14" i="78"/>
  <c r="L6" i="78"/>
  <c r="E10" i="80"/>
  <c r="J10" i="80" s="1"/>
  <c r="K10" i="80" s="1"/>
  <c r="B129" i="90" l="1"/>
  <c r="C129" i="90" s="1"/>
  <c r="A130" i="90"/>
  <c r="E14" i="78"/>
  <c r="I14" i="78" s="1"/>
  <c r="E17" i="78"/>
  <c r="I10" i="80"/>
  <c r="H10" i="80"/>
  <c r="B130" i="90" l="1"/>
  <c r="C130" i="90" s="1"/>
  <c r="A131" i="90"/>
  <c r="E12" i="80"/>
  <c r="J12" i="80" s="1"/>
  <c r="K12" i="80" s="1"/>
  <c r="A132" i="90" l="1"/>
  <c r="B131" i="90"/>
  <c r="C131" i="90" s="1"/>
  <c r="H12" i="80"/>
  <c r="I12" i="80"/>
  <c r="H11" i="80"/>
  <c r="I11" i="80"/>
  <c r="A133" i="90" l="1"/>
  <c r="B132" i="90"/>
  <c r="C132" i="90" s="1"/>
  <c r="D12" i="23"/>
  <c r="B133" i="90" l="1"/>
  <c r="C133" i="90" s="1"/>
  <c r="A134" i="90"/>
  <c r="C6" i="48"/>
  <c r="B6" i="48"/>
  <c r="C6" i="50"/>
  <c r="B6" i="50"/>
  <c r="C6" i="51"/>
  <c r="B6" i="51"/>
  <c r="B134" i="90" l="1"/>
  <c r="C134" i="90" s="1"/>
  <c r="A135" i="90"/>
  <c r="C44" i="23"/>
  <c r="D44" i="23"/>
  <c r="H44" i="23"/>
  <c r="C38" i="23"/>
  <c r="D38" i="23"/>
  <c r="H38" i="23"/>
  <c r="C39" i="23"/>
  <c r="D39" i="23"/>
  <c r="H39" i="23"/>
  <c r="C41" i="23"/>
  <c r="D41" i="23"/>
  <c r="H41" i="23"/>
  <c r="C42" i="23"/>
  <c r="D42" i="23"/>
  <c r="H42" i="23"/>
  <c r="C43" i="23"/>
  <c r="D43" i="23"/>
  <c r="H43" i="23"/>
  <c r="A136" i="90" l="1"/>
  <c r="B135" i="90"/>
  <c r="C135" i="90" s="1"/>
  <c r="S61" i="79"/>
  <c r="G25" i="79"/>
  <c r="S65" i="79"/>
  <c r="G29" i="79"/>
  <c r="S30" i="79"/>
  <c r="W30" i="79"/>
  <c r="S64" i="79"/>
  <c r="G28" i="79"/>
  <c r="S67" i="79"/>
  <c r="G31" i="79"/>
  <c r="G26" i="79"/>
  <c r="G30" i="79"/>
  <c r="S62" i="79"/>
  <c r="X49" i="79"/>
  <c r="Y49" i="79" s="1"/>
  <c r="X45" i="79"/>
  <c r="Y45" i="79" s="1"/>
  <c r="X50" i="79"/>
  <c r="Y50" i="79" s="1"/>
  <c r="X48" i="79"/>
  <c r="Y48" i="79" s="1"/>
  <c r="X51" i="79"/>
  <c r="Y51" i="79" s="1"/>
  <c r="X46" i="79"/>
  <c r="Y46" i="79" s="1"/>
  <c r="F24" i="86"/>
  <c r="O24" i="86" s="1"/>
  <c r="G36" i="86" s="1"/>
  <c r="P32" i="86" s="1"/>
  <c r="H10" i="86"/>
  <c r="Q10" i="86" s="1"/>
  <c r="F36" i="86" s="1"/>
  <c r="P35" i="86" s="1"/>
  <c r="D10" i="86"/>
  <c r="M10" i="86" s="1"/>
  <c r="H24" i="86"/>
  <c r="Q24" i="86" s="1"/>
  <c r="H36" i="86" s="1"/>
  <c r="P34" i="86" s="1"/>
  <c r="D24" i="86"/>
  <c r="M24" i="86" s="1"/>
  <c r="D36" i="86" s="1"/>
  <c r="P33" i="86" s="1"/>
  <c r="F10" i="86"/>
  <c r="O10" i="86" s="1"/>
  <c r="E36" i="86" s="1"/>
  <c r="P31" i="86" s="1"/>
  <c r="F11" i="86"/>
  <c r="O11" i="86" s="1"/>
  <c r="E37" i="86" s="1"/>
  <c r="Q31" i="86" s="1"/>
  <c r="F25" i="86"/>
  <c r="O25" i="86" s="1"/>
  <c r="G37" i="86" s="1"/>
  <c r="Q32" i="86" s="1"/>
  <c r="H11" i="86"/>
  <c r="Q11" i="86" s="1"/>
  <c r="F37" i="86" s="1"/>
  <c r="Q35" i="86" s="1"/>
  <c r="D11" i="86"/>
  <c r="M11" i="86" s="1"/>
  <c r="H25" i="86"/>
  <c r="Q25" i="86" s="1"/>
  <c r="H37" i="86" s="1"/>
  <c r="Q34" i="86" s="1"/>
  <c r="D25" i="86"/>
  <c r="M25" i="86" s="1"/>
  <c r="D37" i="86" s="1"/>
  <c r="Q33" i="86" s="1"/>
  <c r="H13" i="86"/>
  <c r="Q13" i="86" s="1"/>
  <c r="F39" i="86" s="1"/>
  <c r="S35" i="86" s="1"/>
  <c r="D13" i="86"/>
  <c r="M13" i="86" s="1"/>
  <c r="H27" i="86"/>
  <c r="Q27" i="86" s="1"/>
  <c r="H39" i="86" s="1"/>
  <c r="S34" i="86" s="1"/>
  <c r="D27" i="86"/>
  <c r="M27" i="86" s="1"/>
  <c r="D39" i="86" s="1"/>
  <c r="S33" i="86" s="1"/>
  <c r="F13" i="86"/>
  <c r="O13" i="86" s="1"/>
  <c r="E39" i="86" s="1"/>
  <c r="S31" i="86" s="1"/>
  <c r="F27" i="86"/>
  <c r="O27" i="86" s="1"/>
  <c r="G39" i="86" s="1"/>
  <c r="S32" i="86" s="1"/>
  <c r="H26" i="86"/>
  <c r="Q26" i="86" s="1"/>
  <c r="H38" i="86" s="1"/>
  <c r="R34" i="86" s="1"/>
  <c r="D26" i="86"/>
  <c r="M26" i="86" s="1"/>
  <c r="D38" i="86" s="1"/>
  <c r="R33" i="86" s="1"/>
  <c r="F12" i="86"/>
  <c r="O12" i="86" s="1"/>
  <c r="E38" i="86" s="1"/>
  <c r="R31" i="86" s="1"/>
  <c r="F26" i="86"/>
  <c r="O26" i="86" s="1"/>
  <c r="G38" i="86" s="1"/>
  <c r="R32" i="86" s="1"/>
  <c r="H12" i="86"/>
  <c r="Q12" i="86" s="1"/>
  <c r="F38" i="86" s="1"/>
  <c r="R35" i="86" s="1"/>
  <c r="D12" i="86"/>
  <c r="M12" i="86" s="1"/>
  <c r="F7" i="86"/>
  <c r="O7" i="86" s="1"/>
  <c r="E33" i="86" s="1"/>
  <c r="M31" i="86" s="1"/>
  <c r="F21" i="86"/>
  <c r="O21" i="86" s="1"/>
  <c r="G33" i="86" s="1"/>
  <c r="M32" i="86" s="1"/>
  <c r="H7" i="86"/>
  <c r="Q7" i="86" s="1"/>
  <c r="F33" i="86" s="1"/>
  <c r="M35" i="86" s="1"/>
  <c r="D7" i="86"/>
  <c r="M7" i="86" s="1"/>
  <c r="H21" i="86"/>
  <c r="Q21" i="86" s="1"/>
  <c r="H33" i="86" s="1"/>
  <c r="M34" i="86" s="1"/>
  <c r="D21" i="86"/>
  <c r="M21" i="86" s="1"/>
  <c r="D33" i="86" s="1"/>
  <c r="M33" i="86" s="1"/>
  <c r="H22" i="86"/>
  <c r="Q22" i="86" s="1"/>
  <c r="H34" i="86" s="1"/>
  <c r="N34" i="86" s="1"/>
  <c r="D22" i="86"/>
  <c r="M22" i="86" s="1"/>
  <c r="D34" i="86" s="1"/>
  <c r="N33" i="86" s="1"/>
  <c r="F8" i="86"/>
  <c r="O8" i="86" s="1"/>
  <c r="E34" i="86" s="1"/>
  <c r="N31" i="86" s="1"/>
  <c r="F22" i="86"/>
  <c r="O22" i="86" s="1"/>
  <c r="G34" i="86" s="1"/>
  <c r="N32" i="86" s="1"/>
  <c r="H8" i="86"/>
  <c r="Q8" i="86" s="1"/>
  <c r="F34" i="86" s="1"/>
  <c r="N35" i="86" s="1"/>
  <c r="D8" i="86"/>
  <c r="M8" i="86" s="1"/>
  <c r="Z12" i="79"/>
  <c r="AA12" i="79" s="1"/>
  <c r="H24" i="81"/>
  <c r="Q24" i="81" s="1"/>
  <c r="H36" i="81" s="1"/>
  <c r="P34" i="81" s="1"/>
  <c r="D24" i="81"/>
  <c r="M24" i="81" s="1"/>
  <c r="D36" i="81" s="1"/>
  <c r="P33" i="81" s="1"/>
  <c r="Q10" i="81"/>
  <c r="F36" i="81" s="1"/>
  <c r="P35" i="81" s="1"/>
  <c r="O10" i="81"/>
  <c r="E36" i="81" s="1"/>
  <c r="P31" i="81" s="1"/>
  <c r="D10" i="81"/>
  <c r="M10" i="81" s="1"/>
  <c r="F24" i="81"/>
  <c r="O24" i="81" s="1"/>
  <c r="G36" i="81" s="1"/>
  <c r="P32" i="81" s="1"/>
  <c r="Z13" i="79"/>
  <c r="AA13" i="79" s="1"/>
  <c r="O11" i="81"/>
  <c r="E37" i="81" s="1"/>
  <c r="Q31" i="81" s="1"/>
  <c r="D11" i="81"/>
  <c r="M11" i="81" s="1"/>
  <c r="F25" i="81"/>
  <c r="O25" i="81" s="1"/>
  <c r="G37" i="81" s="1"/>
  <c r="Q32" i="81" s="1"/>
  <c r="H25" i="81"/>
  <c r="Q25" i="81" s="1"/>
  <c r="H37" i="81" s="1"/>
  <c r="Q34" i="81" s="1"/>
  <c r="D25" i="81"/>
  <c r="M25" i="81" s="1"/>
  <c r="D37" i="81" s="1"/>
  <c r="Q33" i="81" s="1"/>
  <c r="Q11" i="81"/>
  <c r="F37" i="81" s="1"/>
  <c r="Q35" i="81" s="1"/>
  <c r="Z15" i="79"/>
  <c r="AA15" i="79" s="1"/>
  <c r="F27" i="81"/>
  <c r="O27" i="81" s="1"/>
  <c r="G39" i="81" s="1"/>
  <c r="S32" i="81" s="1"/>
  <c r="O13" i="81"/>
  <c r="E39" i="81" s="1"/>
  <c r="S31" i="81" s="1"/>
  <c r="D13" i="81"/>
  <c r="M13" i="81" s="1"/>
  <c r="H27" i="81"/>
  <c r="Q27" i="81" s="1"/>
  <c r="H39" i="81" s="1"/>
  <c r="S34" i="81" s="1"/>
  <c r="D27" i="81"/>
  <c r="M27" i="81" s="1"/>
  <c r="D39" i="81" s="1"/>
  <c r="S33" i="81" s="1"/>
  <c r="Q13" i="81"/>
  <c r="F39" i="81" s="1"/>
  <c r="S35" i="81" s="1"/>
  <c r="Z14" i="79"/>
  <c r="AA14" i="79" s="1"/>
  <c r="H26" i="81"/>
  <c r="Q26" i="81" s="1"/>
  <c r="H38" i="81" s="1"/>
  <c r="R34" i="81" s="1"/>
  <c r="D26" i="81"/>
  <c r="M26" i="81" s="1"/>
  <c r="D38" i="81" s="1"/>
  <c r="R33" i="81" s="1"/>
  <c r="Q12" i="81"/>
  <c r="F38" i="81" s="1"/>
  <c r="R35" i="81" s="1"/>
  <c r="F26" i="81"/>
  <c r="O26" i="81" s="1"/>
  <c r="G38" i="81" s="1"/>
  <c r="R32" i="81" s="1"/>
  <c r="O12" i="81"/>
  <c r="E38" i="81" s="1"/>
  <c r="R31" i="81" s="1"/>
  <c r="D12" i="81"/>
  <c r="M12" i="81" s="1"/>
  <c r="Z9" i="79"/>
  <c r="AA9" i="79" s="1"/>
  <c r="O7" i="81"/>
  <c r="E33" i="81" s="1"/>
  <c r="M31" i="81" s="1"/>
  <c r="D7" i="81"/>
  <c r="M7" i="81" s="1"/>
  <c r="F21" i="81"/>
  <c r="O21" i="81" s="1"/>
  <c r="G33" i="81" s="1"/>
  <c r="M32" i="81" s="1"/>
  <c r="H21" i="81"/>
  <c r="Q21" i="81" s="1"/>
  <c r="H33" i="81" s="1"/>
  <c r="M34" i="81" s="1"/>
  <c r="D21" i="81"/>
  <c r="M21" i="81" s="1"/>
  <c r="D33" i="81" s="1"/>
  <c r="M33" i="81" s="1"/>
  <c r="Q7" i="81"/>
  <c r="F33" i="81" s="1"/>
  <c r="M35" i="81" s="1"/>
  <c r="Z10" i="79"/>
  <c r="AA10" i="79" s="1"/>
  <c r="H22" i="81"/>
  <c r="Q22" i="81" s="1"/>
  <c r="H34" i="81" s="1"/>
  <c r="N34" i="81" s="1"/>
  <c r="D22" i="81"/>
  <c r="M22" i="81" s="1"/>
  <c r="D34" i="81" s="1"/>
  <c r="N33" i="81" s="1"/>
  <c r="Q8" i="81"/>
  <c r="F34" i="81" s="1"/>
  <c r="N35" i="81" s="1"/>
  <c r="F22" i="81"/>
  <c r="O22" i="81" s="1"/>
  <c r="G34" i="81" s="1"/>
  <c r="N32" i="81" s="1"/>
  <c r="O8" i="81"/>
  <c r="E34" i="81" s="1"/>
  <c r="N31" i="81" s="1"/>
  <c r="D8" i="81"/>
  <c r="M8" i="81" s="1"/>
  <c r="K41" i="23"/>
  <c r="M41" i="23" s="1"/>
  <c r="K44" i="23"/>
  <c r="M44" i="23" s="1"/>
  <c r="K43" i="23"/>
  <c r="M43" i="23" s="1"/>
  <c r="K39" i="23"/>
  <c r="M39" i="23" s="1"/>
  <c r="K42" i="23"/>
  <c r="M42" i="23" s="1"/>
  <c r="K38" i="23"/>
  <c r="M38" i="23" s="1"/>
  <c r="A137" i="90" l="1"/>
  <c r="B136" i="90"/>
  <c r="C136" i="90" s="1"/>
  <c r="R65" i="79"/>
  <c r="R64" i="79"/>
  <c r="N65" i="79"/>
  <c r="N61" i="79"/>
  <c r="R66" i="79"/>
  <c r="R67" i="79"/>
  <c r="R61" i="79"/>
  <c r="N62" i="79"/>
  <c r="N67" i="79"/>
  <c r="N64" i="79"/>
  <c r="R62" i="79"/>
  <c r="N66" i="79"/>
  <c r="O67" i="79"/>
  <c r="O61" i="79"/>
  <c r="O62" i="79"/>
  <c r="O65" i="79"/>
  <c r="O64" i="79"/>
  <c r="N28" i="79"/>
  <c r="V30" i="79"/>
  <c r="S31" i="79"/>
  <c r="R31" i="79"/>
  <c r="S28" i="79"/>
  <c r="R28" i="79"/>
  <c r="J26" i="79"/>
  <c r="K30" i="79"/>
  <c r="J30" i="79"/>
  <c r="O31" i="79"/>
  <c r="N31" i="79"/>
  <c r="K28" i="79"/>
  <c r="J28" i="79"/>
  <c r="R30" i="79"/>
  <c r="O26" i="79"/>
  <c r="N26" i="79"/>
  <c r="F30" i="79"/>
  <c r="W31" i="79"/>
  <c r="V31" i="79"/>
  <c r="J29" i="79"/>
  <c r="F26" i="79"/>
  <c r="F25" i="79"/>
  <c r="K31" i="79"/>
  <c r="J31" i="79"/>
  <c r="F29" i="79"/>
  <c r="W26" i="79"/>
  <c r="V26" i="79"/>
  <c r="W25" i="79"/>
  <c r="V25" i="79"/>
  <c r="F31" i="79"/>
  <c r="O29" i="79"/>
  <c r="N29" i="79"/>
  <c r="N25" i="79"/>
  <c r="S26" i="79"/>
  <c r="R26" i="79"/>
  <c r="S25" i="79"/>
  <c r="R25" i="79"/>
  <c r="F28" i="79"/>
  <c r="W29" i="79"/>
  <c r="V29" i="79"/>
  <c r="O30" i="79"/>
  <c r="N30" i="79"/>
  <c r="K25" i="79"/>
  <c r="J25" i="79"/>
  <c r="W28" i="79"/>
  <c r="V28" i="79"/>
  <c r="S29" i="79"/>
  <c r="R29" i="79"/>
  <c r="O25" i="79"/>
  <c r="K26" i="79"/>
  <c r="K29" i="79"/>
  <c r="O28" i="79"/>
  <c r="G9" i="50"/>
  <c r="G9" i="51"/>
  <c r="B137" i="90" l="1"/>
  <c r="C137" i="90" s="1"/>
  <c r="A138" i="90"/>
  <c r="C9" i="92"/>
  <c r="B9" i="92"/>
  <c r="B138" i="90" l="1"/>
  <c r="C138" i="90" s="1"/>
  <c r="A139" i="90"/>
  <c r="I43" i="23"/>
  <c r="I42" i="23"/>
  <c r="A140" i="90" l="1"/>
  <c r="B139" i="90"/>
  <c r="C139" i="90" s="1"/>
  <c r="I41" i="23"/>
  <c r="I39" i="23"/>
  <c r="J39" i="23" s="1"/>
  <c r="E7" i="80"/>
  <c r="J7" i="80" s="1"/>
  <c r="K7" i="80" s="1"/>
  <c r="F42" i="23"/>
  <c r="F43" i="23"/>
  <c r="A141" i="90" l="1"/>
  <c r="B140" i="90"/>
  <c r="C140" i="90" s="1"/>
  <c r="T26" i="79"/>
  <c r="T62" i="79"/>
  <c r="H26" i="79"/>
  <c r="X26" i="79"/>
  <c r="P62" i="79"/>
  <c r="Z46" i="79"/>
  <c r="P26" i="79"/>
  <c r="L26" i="79"/>
  <c r="H7" i="80"/>
  <c r="I7" i="80"/>
  <c r="F26" i="80" s="1"/>
  <c r="G8" i="86"/>
  <c r="P8" i="86" s="1"/>
  <c r="G22" i="86"/>
  <c r="P22" i="86" s="1"/>
  <c r="I8" i="86"/>
  <c r="R8" i="86" s="1"/>
  <c r="E8" i="86"/>
  <c r="N8" i="86" s="1"/>
  <c r="I22" i="86"/>
  <c r="R22" i="86" s="1"/>
  <c r="E22" i="86"/>
  <c r="N22" i="86" s="1"/>
  <c r="AB10" i="79"/>
  <c r="I22" i="81"/>
  <c r="R22" i="81" s="1"/>
  <c r="E22" i="81"/>
  <c r="N22" i="81" s="1"/>
  <c r="R8" i="81"/>
  <c r="G22" i="81"/>
  <c r="P22" i="81" s="1"/>
  <c r="P8" i="81"/>
  <c r="E8" i="81"/>
  <c r="N8" i="81" s="1"/>
  <c r="F39" i="23"/>
  <c r="F41" i="23"/>
  <c r="A44" i="23"/>
  <c r="A42" i="23"/>
  <c r="A43" i="23"/>
  <c r="A38" i="23"/>
  <c r="B38" i="23"/>
  <c r="A39" i="23"/>
  <c r="B39" i="23"/>
  <c r="A41" i="23"/>
  <c r="B141" i="90" l="1"/>
  <c r="C141" i="90" s="1"/>
  <c r="A142" i="90"/>
  <c r="F19" i="80"/>
  <c r="H37" i="23"/>
  <c r="H36" i="23"/>
  <c r="C37" i="23"/>
  <c r="D37" i="23"/>
  <c r="B37" i="23"/>
  <c r="B36" i="23"/>
  <c r="A37" i="23"/>
  <c r="A36" i="23"/>
  <c r="B142" i="90" l="1"/>
  <c r="C142" i="90" s="1"/>
  <c r="A143" i="90"/>
  <c r="S60" i="79"/>
  <c r="G24" i="79"/>
  <c r="G23" i="79"/>
  <c r="N59" i="79"/>
  <c r="X44" i="79"/>
  <c r="Y44" i="79" s="1"/>
  <c r="X43" i="79"/>
  <c r="Y43" i="79" s="1"/>
  <c r="H46" i="23"/>
  <c r="Z7" i="79"/>
  <c r="AA7" i="79" s="1"/>
  <c r="H5" i="86"/>
  <c r="Q5" i="86" s="1"/>
  <c r="F31" i="86" s="1"/>
  <c r="K35" i="86" s="1"/>
  <c r="D5" i="86"/>
  <c r="M5" i="86" s="1"/>
  <c r="H19" i="86"/>
  <c r="Q19" i="86" s="1"/>
  <c r="H31" i="86" s="1"/>
  <c r="K34" i="86" s="1"/>
  <c r="D19" i="86"/>
  <c r="M19" i="86" s="1"/>
  <c r="D31" i="86" s="1"/>
  <c r="K33" i="86" s="1"/>
  <c r="F5" i="86"/>
  <c r="O5" i="86" s="1"/>
  <c r="E31" i="86" s="1"/>
  <c r="K31" i="86" s="1"/>
  <c r="O5" i="81"/>
  <c r="E31" i="81" s="1"/>
  <c r="K31" i="81" s="1"/>
  <c r="F19" i="86"/>
  <c r="O19" i="86" s="1"/>
  <c r="G31" i="86" s="1"/>
  <c r="K32" i="86" s="1"/>
  <c r="F20" i="86"/>
  <c r="O20" i="86" s="1"/>
  <c r="G32" i="86" s="1"/>
  <c r="L32" i="86" s="1"/>
  <c r="H6" i="86"/>
  <c r="Q6" i="86" s="1"/>
  <c r="F32" i="86" s="1"/>
  <c r="L35" i="86" s="1"/>
  <c r="D6" i="86"/>
  <c r="M6" i="86" s="1"/>
  <c r="H20" i="86"/>
  <c r="Q20" i="86" s="1"/>
  <c r="H32" i="86" s="1"/>
  <c r="L34" i="86" s="1"/>
  <c r="D20" i="86"/>
  <c r="M20" i="86" s="1"/>
  <c r="D32" i="86" s="1"/>
  <c r="L33" i="86" s="1"/>
  <c r="F6" i="86"/>
  <c r="O6" i="86" s="1"/>
  <c r="E32" i="86" s="1"/>
  <c r="L31" i="86" s="1"/>
  <c r="Z8" i="79"/>
  <c r="AA8" i="79" s="1"/>
  <c r="H20" i="81"/>
  <c r="Q20" i="81" s="1"/>
  <c r="H32" i="81" s="1"/>
  <c r="L34" i="81" s="1"/>
  <c r="D20" i="81"/>
  <c r="M20" i="81" s="1"/>
  <c r="D32" i="81" s="1"/>
  <c r="L33" i="81" s="1"/>
  <c r="Q6" i="81"/>
  <c r="F32" i="81" s="1"/>
  <c r="L35" i="81" s="1"/>
  <c r="O6" i="81"/>
  <c r="E32" i="81" s="1"/>
  <c r="L31" i="81" s="1"/>
  <c r="D6" i="81"/>
  <c r="M6" i="81" s="1"/>
  <c r="F20" i="81"/>
  <c r="O20" i="81" s="1"/>
  <c r="G32" i="81" s="1"/>
  <c r="L32" i="81" s="1"/>
  <c r="F19" i="81"/>
  <c r="O19" i="81" s="1"/>
  <c r="G31" i="81" s="1"/>
  <c r="K32" i="81" s="1"/>
  <c r="Q5" i="81"/>
  <c r="F31" i="81" s="1"/>
  <c r="K35" i="81" s="1"/>
  <c r="D5" i="81"/>
  <c r="M5" i="81" s="1"/>
  <c r="H19" i="81"/>
  <c r="Q19" i="81" s="1"/>
  <c r="H31" i="81" s="1"/>
  <c r="K34" i="81" s="1"/>
  <c r="D19" i="81"/>
  <c r="M19" i="81" s="1"/>
  <c r="D31" i="81" s="1"/>
  <c r="K33" i="81" s="1"/>
  <c r="K37" i="23"/>
  <c r="M37" i="23" s="1"/>
  <c r="A144" i="90" l="1"/>
  <c r="B143" i="90"/>
  <c r="C143" i="90" s="1"/>
  <c r="R59" i="79"/>
  <c r="N60" i="79"/>
  <c r="R60" i="79"/>
  <c r="O59" i="79"/>
  <c r="N53" i="79"/>
  <c r="O53" i="79" s="1"/>
  <c r="S59" i="79"/>
  <c r="R53" i="79"/>
  <c r="S53" i="79" s="1"/>
  <c r="S69" i="79" s="1"/>
  <c r="Z17" i="79"/>
  <c r="AA17" i="79" s="1"/>
  <c r="O60" i="79"/>
  <c r="G59" i="79"/>
  <c r="F59" i="79"/>
  <c r="J24" i="79"/>
  <c r="O24" i="79"/>
  <c r="N24" i="79"/>
  <c r="F24" i="79"/>
  <c r="N17" i="79"/>
  <c r="O17" i="79" s="1"/>
  <c r="O23" i="79"/>
  <c r="N23" i="79"/>
  <c r="R17" i="79"/>
  <c r="S17" i="79" s="1"/>
  <c r="S33" i="79" s="1"/>
  <c r="R23" i="79"/>
  <c r="K23" i="79"/>
  <c r="J17" i="79"/>
  <c r="K17" i="79" s="1"/>
  <c r="J23" i="79"/>
  <c r="W24" i="79"/>
  <c r="V24" i="79"/>
  <c r="F17" i="79"/>
  <c r="S24" i="79"/>
  <c r="R24" i="79"/>
  <c r="W23" i="79"/>
  <c r="V17" i="79"/>
  <c r="W17" i="79" s="1"/>
  <c r="W33" i="79" s="1"/>
  <c r="V23" i="79"/>
  <c r="K24" i="79"/>
  <c r="F23" i="79"/>
  <c r="S23" i="79"/>
  <c r="J42" i="23"/>
  <c r="J43" i="23"/>
  <c r="J41" i="23"/>
  <c r="G41" i="23"/>
  <c r="G42" i="23"/>
  <c r="D13" i="79" s="1"/>
  <c r="D49" i="79" s="1"/>
  <c r="D65" i="79" s="1"/>
  <c r="D81" i="79" s="1"/>
  <c r="G39" i="23"/>
  <c r="G43" i="23"/>
  <c r="A145" i="90" l="1"/>
  <c r="B144" i="90"/>
  <c r="C144" i="90" s="1"/>
  <c r="O43" i="23"/>
  <c r="D14" i="79"/>
  <c r="D50" i="79" s="1"/>
  <c r="D66" i="79" s="1"/>
  <c r="D82" i="79" s="1"/>
  <c r="D50" i="23"/>
  <c r="O42" i="23"/>
  <c r="O41" i="23"/>
  <c r="D10" i="79"/>
  <c r="D46" i="79" s="1"/>
  <c r="D62" i="79" s="1"/>
  <c r="O39" i="23"/>
  <c r="T30" i="79"/>
  <c r="X30" i="79"/>
  <c r="T66" i="79"/>
  <c r="H29" i="79"/>
  <c r="T29" i="79"/>
  <c r="X29" i="79"/>
  <c r="T65" i="79"/>
  <c r="X28" i="79"/>
  <c r="T64" i="79"/>
  <c r="H28" i="79"/>
  <c r="T28" i="79"/>
  <c r="R69" i="79"/>
  <c r="G17" i="79"/>
  <c r="G33" i="79" s="1"/>
  <c r="F33" i="79"/>
  <c r="P64" i="79"/>
  <c r="P65" i="79"/>
  <c r="F11" i="80"/>
  <c r="G11" i="80" s="1"/>
  <c r="P66" i="79"/>
  <c r="Z50" i="79"/>
  <c r="Z48" i="79"/>
  <c r="Z49" i="79"/>
  <c r="N69" i="79"/>
  <c r="O69" i="79"/>
  <c r="J69" i="79"/>
  <c r="K53" i="79"/>
  <c r="K69" i="79" s="1"/>
  <c r="F69" i="79"/>
  <c r="F85" i="79" s="1"/>
  <c r="G53" i="79"/>
  <c r="G69" i="79" s="1"/>
  <c r="G85" i="79" s="1"/>
  <c r="F9" i="80"/>
  <c r="D12" i="79"/>
  <c r="D48" i="79" s="1"/>
  <c r="D64" i="79" s="1"/>
  <c r="D80" i="79" s="1"/>
  <c r="R33" i="79"/>
  <c r="H30" i="79"/>
  <c r="L30" i="79"/>
  <c r="P30" i="79"/>
  <c r="V33" i="79"/>
  <c r="L29" i="79"/>
  <c r="P29" i="79"/>
  <c r="L28" i="79"/>
  <c r="P28" i="79"/>
  <c r="D30" i="79"/>
  <c r="A30" i="79" s="1"/>
  <c r="F10" i="80"/>
  <c r="G10" i="80" s="1"/>
  <c r="D29" i="79"/>
  <c r="A29" i="79" s="1"/>
  <c r="F7" i="80"/>
  <c r="G7" i="80" s="1"/>
  <c r="G12" i="86"/>
  <c r="P12" i="86" s="1"/>
  <c r="G26" i="86"/>
  <c r="P26" i="86" s="1"/>
  <c r="I12" i="86"/>
  <c r="R12" i="86" s="1"/>
  <c r="E12" i="86"/>
  <c r="N12" i="86" s="1"/>
  <c r="I26" i="86"/>
  <c r="R26" i="86" s="1"/>
  <c r="E26" i="86"/>
  <c r="N26" i="86" s="1"/>
  <c r="G25" i="86"/>
  <c r="P25" i="86" s="1"/>
  <c r="I11" i="86"/>
  <c r="R11" i="86" s="1"/>
  <c r="E11" i="86"/>
  <c r="N11" i="86" s="1"/>
  <c r="I25" i="86"/>
  <c r="R25" i="86" s="1"/>
  <c r="E25" i="86"/>
  <c r="N25" i="86" s="1"/>
  <c r="G11" i="86"/>
  <c r="P11" i="86" s="1"/>
  <c r="I10" i="86"/>
  <c r="R10" i="86" s="1"/>
  <c r="E10" i="86"/>
  <c r="N10" i="86" s="1"/>
  <c r="I24" i="86"/>
  <c r="R24" i="86" s="1"/>
  <c r="E24" i="86"/>
  <c r="N24" i="86" s="1"/>
  <c r="G10" i="86"/>
  <c r="P10" i="86" s="1"/>
  <c r="G24" i="86"/>
  <c r="P24" i="86" s="1"/>
  <c r="AB12" i="79"/>
  <c r="I24" i="81"/>
  <c r="R24" i="81" s="1"/>
  <c r="E24" i="81"/>
  <c r="N24" i="81" s="1"/>
  <c r="R10" i="81"/>
  <c r="P10" i="81"/>
  <c r="E10" i="81"/>
  <c r="N10" i="81" s="1"/>
  <c r="G24" i="81"/>
  <c r="P24" i="81" s="1"/>
  <c r="AB14" i="79"/>
  <c r="I26" i="81"/>
  <c r="R26" i="81" s="1"/>
  <c r="E26" i="81"/>
  <c r="N26" i="81" s="1"/>
  <c r="R12" i="81"/>
  <c r="G26" i="81"/>
  <c r="P26" i="81" s="1"/>
  <c r="P12" i="81"/>
  <c r="E12" i="81"/>
  <c r="N12" i="81" s="1"/>
  <c r="AB13" i="79"/>
  <c r="G25" i="81"/>
  <c r="P25" i="81" s="1"/>
  <c r="P11" i="81"/>
  <c r="E11" i="81"/>
  <c r="N11" i="81" s="1"/>
  <c r="I25" i="81"/>
  <c r="R25" i="81" s="1"/>
  <c r="E25" i="81"/>
  <c r="N25" i="81" s="1"/>
  <c r="R11" i="81"/>
  <c r="N33" i="79"/>
  <c r="O33" i="79"/>
  <c r="J33" i="79"/>
  <c r="K33" i="79"/>
  <c r="L39" i="23"/>
  <c r="N39" i="23" s="1"/>
  <c r="L43" i="23"/>
  <c r="N43" i="23" s="1"/>
  <c r="L41" i="23"/>
  <c r="N41" i="23" s="1"/>
  <c r="L42" i="23"/>
  <c r="N42" i="23" s="1"/>
  <c r="I44" i="23"/>
  <c r="J44" i="23" s="1"/>
  <c r="F44" i="23"/>
  <c r="B145" i="90" l="1"/>
  <c r="C145" i="90" s="1"/>
  <c r="A146" i="90"/>
  <c r="D26" i="79"/>
  <c r="A26" i="79" s="1"/>
  <c r="G9" i="80"/>
  <c r="T31" i="79"/>
  <c r="T67" i="79"/>
  <c r="X31" i="79"/>
  <c r="H31" i="79"/>
  <c r="P67" i="79"/>
  <c r="D28" i="79"/>
  <c r="A28" i="79" s="1"/>
  <c r="Z51" i="79"/>
  <c r="P31" i="79"/>
  <c r="L31" i="79"/>
  <c r="G44" i="23"/>
  <c r="D15" i="79" s="1"/>
  <c r="D51" i="79" s="1"/>
  <c r="D67" i="79" s="1"/>
  <c r="D83" i="79" s="1"/>
  <c r="I27" i="86"/>
  <c r="R27" i="86" s="1"/>
  <c r="E27" i="86"/>
  <c r="N27" i="86" s="1"/>
  <c r="G13" i="86"/>
  <c r="P13" i="86" s="1"/>
  <c r="G27" i="86"/>
  <c r="P27" i="86" s="1"/>
  <c r="I13" i="86"/>
  <c r="R13" i="86" s="1"/>
  <c r="E13" i="86"/>
  <c r="N13" i="86" s="1"/>
  <c r="AB15" i="79"/>
  <c r="G27" i="81"/>
  <c r="P27" i="81" s="1"/>
  <c r="I27" i="81"/>
  <c r="R27" i="81" s="1"/>
  <c r="E27" i="81"/>
  <c r="N27" i="81" s="1"/>
  <c r="R13" i="81"/>
  <c r="P13" i="81"/>
  <c r="E13" i="81"/>
  <c r="N13" i="81" s="1"/>
  <c r="B146" i="90" l="1"/>
  <c r="C146" i="90" s="1"/>
  <c r="A147" i="90"/>
  <c r="F12" i="80"/>
  <c r="G12" i="80" s="1"/>
  <c r="L44" i="23"/>
  <c r="N44" i="23" s="1"/>
  <c r="D31" i="79"/>
  <c r="A31" i="79" s="1"/>
  <c r="O44" i="23"/>
  <c r="C12" i="23"/>
  <c r="A148" i="90" l="1"/>
  <c r="B147" i="90"/>
  <c r="C147" i="90" s="1"/>
  <c r="G9" i="48"/>
  <c r="D9" i="48"/>
  <c r="I12" i="48"/>
  <c r="I12" i="50"/>
  <c r="I12" i="51"/>
  <c r="D9" i="50"/>
  <c r="D9" i="51"/>
  <c r="G12" i="51"/>
  <c r="A149" i="90" l="1"/>
  <c r="B148" i="90"/>
  <c r="C148" i="90" s="1"/>
  <c r="A22" i="51"/>
  <c r="A23" i="51" s="1"/>
  <c r="A24" i="51" s="1"/>
  <c r="A25" i="51" s="1"/>
  <c r="A26" i="51" s="1"/>
  <c r="A27" i="51" s="1"/>
  <c r="A28" i="51" s="1"/>
  <c r="A29" i="51" s="1"/>
  <c r="A30" i="51" s="1"/>
  <c r="A31" i="51" s="1"/>
  <c r="A32" i="51" s="1"/>
  <c r="A33" i="51" s="1"/>
  <c r="A34" i="51" s="1"/>
  <c r="A35" i="51" s="1"/>
  <c r="A36" i="51" s="1"/>
  <c r="A37" i="51" s="1"/>
  <c r="A38" i="51" s="1"/>
  <c r="A39" i="51" s="1"/>
  <c r="A40" i="51" s="1"/>
  <c r="A41" i="51" s="1"/>
  <c r="A42" i="51" s="1"/>
  <c r="H14" i="51"/>
  <c r="O12" i="51"/>
  <c r="N12" i="51"/>
  <c r="L12" i="51"/>
  <c r="M12" i="51" s="1"/>
  <c r="H12" i="51"/>
  <c r="A22" i="50"/>
  <c r="A23" i="50" s="1"/>
  <c r="H14" i="50"/>
  <c r="O12" i="50"/>
  <c r="G12" i="50"/>
  <c r="A22" i="48"/>
  <c r="A23" i="48" s="1"/>
  <c r="A24" i="48" s="1"/>
  <c r="A25" i="48" s="1"/>
  <c r="A26" i="48" s="1"/>
  <c r="A27" i="48" s="1"/>
  <c r="A28" i="48" s="1"/>
  <c r="A29" i="48" s="1"/>
  <c r="A30" i="48" s="1"/>
  <c r="A31" i="48" s="1"/>
  <c r="A32" i="48" s="1"/>
  <c r="A33" i="48" s="1"/>
  <c r="A34" i="48" s="1"/>
  <c r="A35" i="48" s="1"/>
  <c r="A36" i="48" s="1"/>
  <c r="A37" i="48" s="1"/>
  <c r="A38" i="48" s="1"/>
  <c r="A39" i="48" s="1"/>
  <c r="A40" i="48" s="1"/>
  <c r="A41" i="48" s="1"/>
  <c r="A42" i="48" s="1"/>
  <c r="O12" i="48"/>
  <c r="N12" i="48"/>
  <c r="L12" i="48"/>
  <c r="M12" i="48" s="1"/>
  <c r="P12" i="48" s="1"/>
  <c r="G12" i="48"/>
  <c r="H12" i="48" s="1"/>
  <c r="B149" i="90" l="1"/>
  <c r="C149" i="90" s="1"/>
  <c r="A150" i="90"/>
  <c r="A24" i="50"/>
  <c r="P12" i="51"/>
  <c r="Q12" i="51" s="1"/>
  <c r="R12" i="51"/>
  <c r="R12" i="48"/>
  <c r="Q12" i="48"/>
  <c r="B150" i="90" l="1"/>
  <c r="C150" i="90" s="1"/>
  <c r="A151" i="90"/>
  <c r="A25" i="50"/>
  <c r="B41" i="51"/>
  <c r="B37" i="51"/>
  <c r="B33" i="51"/>
  <c r="B29" i="51"/>
  <c r="B25" i="51"/>
  <c r="B40" i="51"/>
  <c r="B36" i="51"/>
  <c r="B32" i="51"/>
  <c r="B28" i="51"/>
  <c r="B24" i="51"/>
  <c r="E9" i="51"/>
  <c r="F9" i="51" s="1"/>
  <c r="J17" i="23" s="1"/>
  <c r="B39" i="51"/>
  <c r="B35" i="51"/>
  <c r="B31" i="51"/>
  <c r="B27" i="51"/>
  <c r="B23" i="51"/>
  <c r="B22" i="51"/>
  <c r="H9" i="51"/>
  <c r="I9" i="51" s="1"/>
  <c r="F17" i="23" s="1"/>
  <c r="B42" i="51"/>
  <c r="B38" i="51"/>
  <c r="B34" i="51"/>
  <c r="B30" i="51"/>
  <c r="B26" i="51"/>
  <c r="B41" i="48"/>
  <c r="B37" i="48"/>
  <c r="B33" i="48"/>
  <c r="B29" i="48"/>
  <c r="B25" i="48"/>
  <c r="B38" i="48"/>
  <c r="B30" i="48"/>
  <c r="B26" i="48"/>
  <c r="B40" i="48"/>
  <c r="B36" i="48"/>
  <c r="B32" i="48"/>
  <c r="B28" i="48"/>
  <c r="B24" i="48"/>
  <c r="E9" i="48"/>
  <c r="F9" i="48" s="1"/>
  <c r="B34" i="48"/>
  <c r="B39" i="48"/>
  <c r="B35" i="48"/>
  <c r="B31" i="48"/>
  <c r="B27" i="48"/>
  <c r="B23" i="48"/>
  <c r="B22" i="48"/>
  <c r="H9" i="48"/>
  <c r="I9" i="48" s="1"/>
  <c r="B42" i="48"/>
  <c r="A152" i="90" l="1"/>
  <c r="B151" i="90"/>
  <c r="C151" i="90" s="1"/>
  <c r="A26" i="50"/>
  <c r="L17" i="23"/>
  <c r="G38" i="23"/>
  <c r="I36" i="23"/>
  <c r="J9" i="48"/>
  <c r="J9" i="51"/>
  <c r="E4" i="80"/>
  <c r="J4" i="80" s="1"/>
  <c r="K4" i="80" s="1"/>
  <c r="E38" i="51"/>
  <c r="D38" i="51"/>
  <c r="C38" i="51"/>
  <c r="D23" i="51"/>
  <c r="C23" i="51"/>
  <c r="E23" i="51"/>
  <c r="D39" i="51"/>
  <c r="C39" i="51"/>
  <c r="E39" i="51"/>
  <c r="C32" i="51"/>
  <c r="E32" i="51"/>
  <c r="D32" i="51"/>
  <c r="E29" i="51"/>
  <c r="D29" i="51"/>
  <c r="C29" i="51"/>
  <c r="E26" i="51"/>
  <c r="D26" i="51"/>
  <c r="C26" i="51"/>
  <c r="E42" i="51"/>
  <c r="D42" i="51"/>
  <c r="C42" i="51"/>
  <c r="D27" i="51"/>
  <c r="C27" i="51"/>
  <c r="E27" i="51"/>
  <c r="C36" i="51"/>
  <c r="E36" i="51"/>
  <c r="D36" i="51"/>
  <c r="E33" i="51"/>
  <c r="D33" i="51"/>
  <c r="C33" i="51"/>
  <c r="E30" i="51"/>
  <c r="D30" i="51"/>
  <c r="C30" i="51"/>
  <c r="D31" i="51"/>
  <c r="C31" i="51"/>
  <c r="E31" i="51"/>
  <c r="C24" i="51"/>
  <c r="E24" i="51"/>
  <c r="D24" i="51"/>
  <c r="C40" i="51"/>
  <c r="E40" i="51"/>
  <c r="D40" i="51"/>
  <c r="E37" i="51"/>
  <c r="D37" i="51"/>
  <c r="C37" i="51"/>
  <c r="E34" i="51"/>
  <c r="D34" i="51"/>
  <c r="C34" i="51"/>
  <c r="E22" i="51"/>
  <c r="C22" i="51"/>
  <c r="D35" i="51"/>
  <c r="C35" i="51"/>
  <c r="E35" i="51"/>
  <c r="C28" i="51"/>
  <c r="E28" i="51"/>
  <c r="D28" i="51"/>
  <c r="E25" i="51"/>
  <c r="D25" i="51"/>
  <c r="C25" i="51"/>
  <c r="E41" i="51"/>
  <c r="D41" i="51"/>
  <c r="C41" i="51"/>
  <c r="D23" i="48"/>
  <c r="C23" i="48"/>
  <c r="E23" i="48"/>
  <c r="D39" i="48"/>
  <c r="C39" i="48"/>
  <c r="E39" i="48"/>
  <c r="C28" i="48"/>
  <c r="E28" i="48"/>
  <c r="D28" i="48"/>
  <c r="E26" i="48"/>
  <c r="D26" i="48"/>
  <c r="C26" i="48"/>
  <c r="E29" i="48"/>
  <c r="C29" i="48"/>
  <c r="D29" i="48"/>
  <c r="E42" i="48"/>
  <c r="D42" i="48"/>
  <c r="C42" i="48"/>
  <c r="D27" i="48"/>
  <c r="E27" i="48"/>
  <c r="C27" i="48"/>
  <c r="E34" i="48"/>
  <c r="D34" i="48"/>
  <c r="C34" i="48"/>
  <c r="C32" i="48"/>
  <c r="D32" i="48"/>
  <c r="E32" i="48"/>
  <c r="E30" i="48"/>
  <c r="D30" i="48"/>
  <c r="C30" i="48"/>
  <c r="C33" i="48"/>
  <c r="E33" i="48"/>
  <c r="D33" i="48"/>
  <c r="D31" i="48"/>
  <c r="E31" i="48"/>
  <c r="C31" i="48"/>
  <c r="C36" i="48"/>
  <c r="D36" i="48"/>
  <c r="E36" i="48"/>
  <c r="E38" i="48"/>
  <c r="D38" i="48"/>
  <c r="C38" i="48"/>
  <c r="E37" i="48"/>
  <c r="D37" i="48"/>
  <c r="C37" i="48"/>
  <c r="E22" i="48"/>
  <c r="C22" i="48"/>
  <c r="D35" i="48"/>
  <c r="E35" i="48"/>
  <c r="C35" i="48"/>
  <c r="C24" i="48"/>
  <c r="D24" i="48"/>
  <c r="E24" i="48"/>
  <c r="C40" i="48"/>
  <c r="D40" i="48"/>
  <c r="E40" i="48"/>
  <c r="E25" i="48"/>
  <c r="D25" i="48"/>
  <c r="C25" i="48"/>
  <c r="E41" i="48"/>
  <c r="C41" i="48"/>
  <c r="D41" i="48"/>
  <c r="L4" i="80"/>
  <c r="A153" i="90" l="1"/>
  <c r="B152" i="90"/>
  <c r="C152" i="90" s="1"/>
  <c r="A27" i="50"/>
  <c r="G28" i="51"/>
  <c r="G30" i="51" s="1"/>
  <c r="F6" i="80"/>
  <c r="G6" i="80" s="1"/>
  <c r="D9" i="79"/>
  <c r="D45" i="79" s="1"/>
  <c r="D61" i="79" s="1"/>
  <c r="N17" i="23"/>
  <c r="I4" i="80"/>
  <c r="F21" i="80" s="1"/>
  <c r="H4" i="80"/>
  <c r="F36" i="23"/>
  <c r="J36" i="23"/>
  <c r="B153" i="90" l="1"/>
  <c r="C153" i="90" s="1"/>
  <c r="A154" i="90"/>
  <c r="A28" i="50"/>
  <c r="T59" i="79"/>
  <c r="T61" i="79"/>
  <c r="H25" i="79"/>
  <c r="T25" i="79"/>
  <c r="X25" i="79"/>
  <c r="Z43" i="79"/>
  <c r="P59" i="79"/>
  <c r="P61" i="79"/>
  <c r="P25" i="79"/>
  <c r="L25" i="79"/>
  <c r="G36" i="23"/>
  <c r="F4" i="80" s="1"/>
  <c r="AB7" i="79"/>
  <c r="I19" i="86"/>
  <c r="R19" i="86" s="1"/>
  <c r="E19" i="86"/>
  <c r="N19" i="86" s="1"/>
  <c r="G5" i="86"/>
  <c r="P5" i="86" s="1"/>
  <c r="G19" i="86"/>
  <c r="P19" i="86" s="1"/>
  <c r="I5" i="86"/>
  <c r="R5" i="86" s="1"/>
  <c r="E5" i="86"/>
  <c r="N5" i="86" s="1"/>
  <c r="P5" i="81"/>
  <c r="P7" i="81"/>
  <c r="R7" i="81"/>
  <c r="F22" i="80"/>
  <c r="F23" i="80"/>
  <c r="D25" i="79"/>
  <c r="A25" i="79" s="1"/>
  <c r="C3" i="79"/>
  <c r="I19" i="81"/>
  <c r="R19" i="81" s="1"/>
  <c r="E19" i="81"/>
  <c r="N19" i="81" s="1"/>
  <c r="R5" i="81"/>
  <c r="E5" i="81"/>
  <c r="N5" i="81" s="1"/>
  <c r="G19" i="81"/>
  <c r="P19" i="81" s="1"/>
  <c r="B154" i="90" l="1"/>
  <c r="C154" i="90" s="1"/>
  <c r="A155" i="90"/>
  <c r="A29" i="50"/>
  <c r="D7" i="79"/>
  <c r="D43" i="79" s="1"/>
  <c r="D59" i="79" s="1"/>
  <c r="O36" i="23"/>
  <c r="G4" i="80"/>
  <c r="H59" i="79"/>
  <c r="D23" i="79"/>
  <c r="A23" i="79" s="1"/>
  <c r="X23" i="79"/>
  <c r="T23" i="79"/>
  <c r="L23" i="79"/>
  <c r="P23" i="79"/>
  <c r="H23" i="79"/>
  <c r="A156" i="90" l="1"/>
  <c r="B155" i="90"/>
  <c r="C155" i="90" s="1"/>
  <c r="A30" i="50"/>
  <c r="B9" i="50"/>
  <c r="B9" i="48"/>
  <c r="C9" i="50"/>
  <c r="C9" i="48"/>
  <c r="A157" i="90" l="1"/>
  <c r="B156" i="90"/>
  <c r="C156" i="90" s="1"/>
  <c r="A31" i="50"/>
  <c r="G14" i="51"/>
  <c r="D36" i="23"/>
  <c r="D46" i="23" s="1"/>
  <c r="C34" i="23"/>
  <c r="C35" i="23"/>
  <c r="C36" i="23"/>
  <c r="B157" i="90" l="1"/>
  <c r="C157" i="90" s="1"/>
  <c r="A158" i="90"/>
  <c r="A32" i="50"/>
  <c r="G14" i="50"/>
  <c r="K36" i="23"/>
  <c r="B158" i="90" l="1"/>
  <c r="C158" i="90" s="1"/>
  <c r="A159" i="90"/>
  <c r="A33" i="50"/>
  <c r="M36" i="23"/>
  <c r="K46" i="23"/>
  <c r="M46" i="23" s="1"/>
  <c r="L36" i="23"/>
  <c r="A160" i="90" l="1"/>
  <c r="B159" i="90"/>
  <c r="C159" i="90" s="1"/>
  <c r="A34" i="50"/>
  <c r="N36" i="23"/>
  <c r="A22" i="13"/>
  <c r="A23" i="13" s="1"/>
  <c r="A24" i="13" s="1"/>
  <c r="A25" i="13" s="1"/>
  <c r="A26" i="13" s="1"/>
  <c r="A27" i="13" s="1"/>
  <c r="A28" i="13" s="1"/>
  <c r="A29" i="13" s="1"/>
  <c r="A30" i="13" s="1"/>
  <c r="A31" i="13" s="1"/>
  <c r="A32" i="13" s="1"/>
  <c r="A33" i="13" s="1"/>
  <c r="A34" i="13" s="1"/>
  <c r="A35" i="13" s="1"/>
  <c r="A36" i="13" s="1"/>
  <c r="A37" i="13" s="1"/>
  <c r="A38" i="13" s="1"/>
  <c r="A39" i="13" s="1"/>
  <c r="A40" i="13" s="1"/>
  <c r="A41" i="13" s="1"/>
  <c r="A42" i="13" s="1"/>
  <c r="L12" i="13"/>
  <c r="K12" i="13"/>
  <c r="I12" i="13"/>
  <c r="J12" i="13" s="1"/>
  <c r="M12" i="13" s="1"/>
  <c r="G9" i="13"/>
  <c r="F9" i="13"/>
  <c r="D9" i="13" s="1"/>
  <c r="C9" i="13"/>
  <c r="B9" i="13"/>
  <c r="A161" i="90" l="1"/>
  <c r="B160" i="90"/>
  <c r="C160" i="90" s="1"/>
  <c r="A35" i="50"/>
  <c r="N12" i="13"/>
  <c r="O12" i="13"/>
  <c r="B161" i="90" l="1"/>
  <c r="C161" i="90" s="1"/>
  <c r="A162" i="90"/>
  <c r="A36" i="50"/>
  <c r="B41" i="13"/>
  <c r="B37" i="13"/>
  <c r="B33" i="13"/>
  <c r="B29" i="13"/>
  <c r="B25" i="13"/>
  <c r="B22" i="13"/>
  <c r="B42" i="13"/>
  <c r="C42" i="13" s="1"/>
  <c r="B38" i="13"/>
  <c r="B34" i="13"/>
  <c r="B30" i="13"/>
  <c r="C30" i="13" s="1"/>
  <c r="B26" i="13"/>
  <c r="C26" i="13" s="1"/>
  <c r="B39" i="13"/>
  <c r="C39" i="13" s="1"/>
  <c r="B35" i="13"/>
  <c r="C35" i="13" s="1"/>
  <c r="B31" i="13"/>
  <c r="C31" i="13" s="1"/>
  <c r="B27" i="13"/>
  <c r="C27" i="13" s="1"/>
  <c r="B23" i="13"/>
  <c r="B40" i="13"/>
  <c r="C40" i="13" s="1"/>
  <c r="B36" i="13"/>
  <c r="C36" i="13" s="1"/>
  <c r="B32" i="13"/>
  <c r="C32" i="13" s="1"/>
  <c r="B28" i="13"/>
  <c r="B24" i="13"/>
  <c r="C24" i="13" s="1"/>
  <c r="E9" i="13"/>
  <c r="A163" i="90" l="1"/>
  <c r="B162" i="90"/>
  <c r="C162" i="90" s="1"/>
  <c r="A37" i="50"/>
  <c r="C33" i="13"/>
  <c r="C28" i="13"/>
  <c r="C23" i="13"/>
  <c r="C38" i="13"/>
  <c r="C29" i="13"/>
  <c r="C37" i="13"/>
  <c r="C34" i="13"/>
  <c r="C25" i="13"/>
  <c r="C41" i="13"/>
  <c r="F12" i="5" a="1"/>
  <c r="A164" i="90" l="1"/>
  <c r="B163" i="90"/>
  <c r="C163" i="90" s="1"/>
  <c r="A38" i="50"/>
  <c r="F12" i="5"/>
  <c r="J12" i="5"/>
  <c r="F13" i="5"/>
  <c r="J13" i="5"/>
  <c r="F14" i="5"/>
  <c r="J14" i="5"/>
  <c r="F15" i="5"/>
  <c r="J15" i="5"/>
  <c r="F16" i="5"/>
  <c r="J16" i="5"/>
  <c r="F17" i="5"/>
  <c r="J17" i="5"/>
  <c r="G12" i="5"/>
  <c r="K12" i="5"/>
  <c r="G13" i="5"/>
  <c r="K13" i="5"/>
  <c r="G14" i="5"/>
  <c r="K14" i="5"/>
  <c r="G15" i="5"/>
  <c r="K15" i="5"/>
  <c r="G16" i="5"/>
  <c r="K16" i="5"/>
  <c r="G17" i="5"/>
  <c r="K17" i="5"/>
  <c r="L12" i="5"/>
  <c r="H13" i="5"/>
  <c r="L13" i="5"/>
  <c r="H14" i="5"/>
  <c r="L14" i="5"/>
  <c r="L15" i="5"/>
  <c r="H16" i="5"/>
  <c r="L16" i="5"/>
  <c r="H17" i="5"/>
  <c r="H12" i="5"/>
  <c r="H15" i="5"/>
  <c r="L17" i="5"/>
  <c r="I12" i="5"/>
  <c r="M12" i="5"/>
  <c r="I13" i="5"/>
  <c r="M13" i="5"/>
  <c r="I14" i="5"/>
  <c r="M14" i="5"/>
  <c r="I15" i="5"/>
  <c r="M15" i="5"/>
  <c r="I16" i="5"/>
  <c r="M16" i="5"/>
  <c r="I17" i="5"/>
  <c r="M17" i="5"/>
  <c r="A27" i="5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A40" i="5" s="1"/>
  <c r="A41" i="5" s="1"/>
  <c r="A42" i="5" s="1"/>
  <c r="A43" i="5" s="1"/>
  <c r="A44" i="5" s="1"/>
  <c r="A45" i="5" s="1"/>
  <c r="A46" i="5" s="1"/>
  <c r="A47" i="5" s="1"/>
  <c r="G9" i="4"/>
  <c r="E9" i="4"/>
  <c r="A23" i="4"/>
  <c r="B23" i="4" s="1"/>
  <c r="B33" i="5"/>
  <c r="B44" i="5"/>
  <c r="B42" i="5"/>
  <c r="B34" i="5"/>
  <c r="B32" i="5"/>
  <c r="B43" i="5"/>
  <c r="B31" i="5"/>
  <c r="B39" i="5"/>
  <c r="B29" i="5"/>
  <c r="B35" i="5"/>
  <c r="B28" i="5"/>
  <c r="B45" i="5"/>
  <c r="B40" i="5"/>
  <c r="B38" i="5"/>
  <c r="E9" i="5"/>
  <c r="B27" i="5"/>
  <c r="B41" i="5"/>
  <c r="B30" i="5"/>
  <c r="B37" i="5"/>
  <c r="B47" i="5"/>
  <c r="B36" i="5"/>
  <c r="B46" i="5"/>
  <c r="A165" i="90" l="1"/>
  <c r="B164" i="90"/>
  <c r="C164" i="90" s="1"/>
  <c r="A39" i="50"/>
  <c r="A24" i="4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43" i="4" s="1"/>
  <c r="B43" i="4" s="1"/>
  <c r="B24" i="4"/>
  <c r="B28" i="4"/>
  <c r="B32" i="4"/>
  <c r="B36" i="4"/>
  <c r="B40" i="4"/>
  <c r="B25" i="4"/>
  <c r="B29" i="4"/>
  <c r="B33" i="4"/>
  <c r="B37" i="4"/>
  <c r="B41" i="4"/>
  <c r="B26" i="4"/>
  <c r="B30" i="4"/>
  <c r="B34" i="4"/>
  <c r="B38" i="4"/>
  <c r="B27" i="4"/>
  <c r="B31" i="4"/>
  <c r="B35" i="4"/>
  <c r="B39" i="4"/>
  <c r="A22" i="2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J12" i="2"/>
  <c r="H12" i="2"/>
  <c r="G9" i="2"/>
  <c r="F9" i="2"/>
  <c r="B165" i="90" l="1"/>
  <c r="C165" i="90" s="1"/>
  <c r="A166" i="90"/>
  <c r="A40" i="50"/>
  <c r="B42" i="4"/>
  <c r="I12" i="2"/>
  <c r="B38" i="2" s="1"/>
  <c r="B166" i="90" l="1"/>
  <c r="C166" i="90" s="1"/>
  <c r="A167" i="90"/>
  <c r="A41" i="50"/>
  <c r="B39" i="2"/>
  <c r="B33" i="2"/>
  <c r="B22" i="2"/>
  <c r="B28" i="2"/>
  <c r="B34" i="2"/>
  <c r="B27" i="2"/>
  <c r="B32" i="2"/>
  <c r="B30" i="2"/>
  <c r="B37" i="2"/>
  <c r="B42" i="2"/>
  <c r="B31" i="2"/>
  <c r="E9" i="2"/>
  <c r="B36" i="2"/>
  <c r="B25" i="2"/>
  <c r="B41" i="2"/>
  <c r="B23" i="2"/>
  <c r="B35" i="2"/>
  <c r="B24" i="2"/>
  <c r="B40" i="2"/>
  <c r="B29" i="2"/>
  <c r="B26" i="2"/>
  <c r="A168" i="90" l="1"/>
  <c r="B167" i="90"/>
  <c r="C167" i="90" s="1"/>
  <c r="A42" i="50"/>
  <c r="N12" i="50"/>
  <c r="R5" i="80" a="1"/>
  <c r="Q5" i="80" a="1"/>
  <c r="A169" i="90" l="1"/>
  <c r="B168" i="90"/>
  <c r="C168" i="90" s="1"/>
  <c r="Q5" i="80"/>
  <c r="R5" i="80"/>
  <c r="L12" i="50"/>
  <c r="M12" i="50" s="1"/>
  <c r="H12" i="50"/>
  <c r="B169" i="90" l="1"/>
  <c r="C169" i="90" s="1"/>
  <c r="A170" i="90"/>
  <c r="P12" i="50"/>
  <c r="Q12" i="50" s="1"/>
  <c r="R12" i="50"/>
  <c r="B170" i="90" l="1"/>
  <c r="C170" i="90" s="1"/>
  <c r="A171" i="90"/>
  <c r="H9" i="50"/>
  <c r="I9" i="50" s="1"/>
  <c r="F18" i="23" s="1"/>
  <c r="B41" i="50"/>
  <c r="B25" i="50"/>
  <c r="B28" i="50"/>
  <c r="B34" i="50"/>
  <c r="B31" i="50"/>
  <c r="B37" i="50"/>
  <c r="B40" i="50"/>
  <c r="B24" i="50"/>
  <c r="B26" i="50"/>
  <c r="B27" i="50"/>
  <c r="B42" i="50"/>
  <c r="B33" i="50"/>
  <c r="B36" i="50"/>
  <c r="E9" i="50"/>
  <c r="F9" i="50" s="1"/>
  <c r="J18" i="23" s="1"/>
  <c r="B39" i="50"/>
  <c r="B23" i="50"/>
  <c r="B30" i="50"/>
  <c r="B29" i="50"/>
  <c r="B32" i="50"/>
  <c r="B38" i="50"/>
  <c r="B35" i="50"/>
  <c r="B22" i="50"/>
  <c r="B171" i="90" l="1"/>
  <c r="C171" i="90" s="1"/>
  <c r="F27" i="23"/>
  <c r="F28" i="23"/>
  <c r="L18" i="23"/>
  <c r="E42" i="50"/>
  <c r="D42" i="50"/>
  <c r="C42" i="50"/>
  <c r="E22" i="50"/>
  <c r="C22" i="50"/>
  <c r="D29" i="50"/>
  <c r="E29" i="50"/>
  <c r="C29" i="50"/>
  <c r="I37" i="23"/>
  <c r="C27" i="50"/>
  <c r="E27" i="50"/>
  <c r="D27" i="50"/>
  <c r="D37" i="50"/>
  <c r="C37" i="50"/>
  <c r="E37" i="50"/>
  <c r="D25" i="50"/>
  <c r="C25" i="50"/>
  <c r="E25" i="50"/>
  <c r="C39" i="50"/>
  <c r="E39" i="50"/>
  <c r="D39" i="50"/>
  <c r="D28" i="50"/>
  <c r="C28" i="50"/>
  <c r="E28" i="50"/>
  <c r="E35" i="50"/>
  <c r="C35" i="50"/>
  <c r="D35" i="50"/>
  <c r="C30" i="50"/>
  <c r="E30" i="50"/>
  <c r="D30" i="50"/>
  <c r="E36" i="50"/>
  <c r="C36" i="50"/>
  <c r="D36" i="50"/>
  <c r="C26" i="50"/>
  <c r="D26" i="50"/>
  <c r="E26" i="50"/>
  <c r="C31" i="50"/>
  <c r="E31" i="50"/>
  <c r="D31" i="50"/>
  <c r="D41" i="50"/>
  <c r="E41" i="50"/>
  <c r="C41" i="50"/>
  <c r="C32" i="50"/>
  <c r="E32" i="50"/>
  <c r="D32" i="50"/>
  <c r="C40" i="50"/>
  <c r="E40" i="50"/>
  <c r="D40" i="50"/>
  <c r="D38" i="50"/>
  <c r="C38" i="50"/>
  <c r="E38" i="50"/>
  <c r="D23" i="50"/>
  <c r="E23" i="50"/>
  <c r="C23" i="50"/>
  <c r="C33" i="50"/>
  <c r="E33" i="50"/>
  <c r="D33" i="50"/>
  <c r="E24" i="50"/>
  <c r="C24" i="50"/>
  <c r="D24" i="50"/>
  <c r="E34" i="50"/>
  <c r="D34" i="50"/>
  <c r="C34" i="50"/>
  <c r="J9" i="50"/>
  <c r="L5" i="80"/>
  <c r="N18" i="23" l="1"/>
  <c r="E5" i="80"/>
  <c r="F37" i="23"/>
  <c r="F46" i="23" s="1"/>
  <c r="J37" i="23"/>
  <c r="J5" i="80" l="1"/>
  <c r="K5" i="80" s="1"/>
  <c r="K14" i="80" s="1"/>
  <c r="E14" i="80"/>
  <c r="I14" i="80" s="1"/>
  <c r="J14" i="80"/>
  <c r="T53" i="79"/>
  <c r="P53" i="79"/>
  <c r="Z44" i="79"/>
  <c r="T60" i="79"/>
  <c r="H5" i="80"/>
  <c r="H14" i="80" s="1"/>
  <c r="I5" i="80"/>
  <c r="I6" i="86"/>
  <c r="R6" i="86" s="1"/>
  <c r="E6" i="86"/>
  <c r="N6" i="86" s="1"/>
  <c r="I20" i="86"/>
  <c r="R20" i="86" s="1"/>
  <c r="E20" i="86"/>
  <c r="N20" i="86" s="1"/>
  <c r="G6" i="86"/>
  <c r="P6" i="86" s="1"/>
  <c r="G20" i="86"/>
  <c r="P20" i="86" s="1"/>
  <c r="AB8" i="79"/>
  <c r="I20" i="81"/>
  <c r="R20" i="81" s="1"/>
  <c r="E20" i="81"/>
  <c r="N20" i="81" s="1"/>
  <c r="R6" i="81"/>
  <c r="P6" i="81"/>
  <c r="E6" i="81"/>
  <c r="N6" i="81" s="1"/>
  <c r="G20" i="81"/>
  <c r="P20" i="81" s="1"/>
  <c r="G37" i="23"/>
  <c r="D8" i="79" s="1"/>
  <c r="F18" i="80"/>
  <c r="O37" i="23" l="1"/>
  <c r="P60" i="79"/>
  <c r="P69" i="79"/>
  <c r="F27" i="80"/>
  <c r="F20" i="80"/>
  <c r="T69" i="79"/>
  <c r="L69" i="79"/>
  <c r="D44" i="79"/>
  <c r="D17" i="79"/>
  <c r="F8" i="78" s="1"/>
  <c r="H69" i="79"/>
  <c r="H85" i="79" s="1"/>
  <c r="H24" i="79"/>
  <c r="H17" i="79"/>
  <c r="X24" i="79"/>
  <c r="X17" i="79"/>
  <c r="T24" i="79"/>
  <c r="T17" i="79"/>
  <c r="L24" i="79"/>
  <c r="L17" i="79"/>
  <c r="G9" i="78" s="1"/>
  <c r="P24" i="79"/>
  <c r="P17" i="79"/>
  <c r="G10" i="78" s="1"/>
  <c r="F5" i="80"/>
  <c r="F14" i="80" s="1"/>
  <c r="G46" i="23"/>
  <c r="G49" i="23" s="1"/>
  <c r="L37" i="23"/>
  <c r="G17" i="78" l="1"/>
  <c r="I17" i="78" s="1"/>
  <c r="L10" i="78"/>
  <c r="G5" i="80"/>
  <c r="G14" i="80"/>
  <c r="D60" i="79"/>
  <c r="D53" i="79"/>
  <c r="N37" i="23"/>
  <c r="D24" i="79"/>
  <c r="A24" i="79" s="1"/>
  <c r="L13" i="23"/>
  <c r="L33" i="79"/>
  <c r="K9" i="78"/>
  <c r="T33" i="79"/>
  <c r="G7" i="78"/>
  <c r="G6" i="78"/>
  <c r="X33" i="79"/>
  <c r="P33" i="79"/>
  <c r="H33" i="79"/>
  <c r="G8" i="78"/>
  <c r="D54" i="79" l="1"/>
  <c r="D69" i="79"/>
  <c r="I10" i="78"/>
  <c r="D18" i="79"/>
  <c r="D33" i="79"/>
  <c r="H35" i="79" s="1"/>
  <c r="F17" i="78"/>
  <c r="H17" i="78" s="1"/>
  <c r="K6" i="78"/>
  <c r="F15" i="78"/>
  <c r="H15" i="78" s="1"/>
  <c r="K8" i="78"/>
  <c r="F16" i="78"/>
  <c r="H16" i="78" s="1"/>
  <c r="K10" i="78"/>
  <c r="K7" i="78"/>
  <c r="F14" i="78"/>
  <c r="H14" i="78" s="1"/>
  <c r="T71" i="79" l="1"/>
  <c r="T72" i="79" s="1"/>
  <c r="D85" i="79"/>
  <c r="H71" i="79"/>
  <c r="L71" i="79"/>
  <c r="L72" i="79" s="1"/>
  <c r="P71" i="79"/>
  <c r="P72" i="79" s="1"/>
  <c r="I7" i="78"/>
  <c r="P35" i="79"/>
  <c r="P36" i="79" s="1"/>
  <c r="T35" i="79"/>
  <c r="T36" i="79" s="1"/>
  <c r="L35" i="79"/>
  <c r="L36" i="79" s="1"/>
  <c r="X35" i="79"/>
  <c r="X36" i="79" s="1"/>
  <c r="H36" i="79"/>
  <c r="J9" i="78"/>
  <c r="J6" i="78"/>
  <c r="J7" i="78"/>
  <c r="J8" i="78"/>
  <c r="J10" i="78"/>
  <c r="I9" i="78"/>
  <c r="I6" i="78"/>
  <c r="I8" i="78"/>
  <c r="F9" i="89"/>
  <c r="J19" i="23" s="1"/>
  <c r="H72" i="79" l="1"/>
  <c r="H88" i="79" s="1"/>
  <c r="H87" i="79"/>
  <c r="I38" i="23"/>
  <c r="I46" i="23" s="1"/>
  <c r="J28" i="23"/>
  <c r="J27" i="23"/>
  <c r="L19" i="23"/>
  <c r="L28" i="23" s="1"/>
  <c r="N28" i="23" s="1"/>
  <c r="J38" i="23" l="1"/>
  <c r="O38" i="23" s="1"/>
  <c r="L27" i="23"/>
  <c r="N27" i="23" s="1"/>
  <c r="N19" i="23"/>
  <c r="B9" i="23"/>
  <c r="E21" i="81" l="1"/>
  <c r="N21" i="81" s="1"/>
  <c r="I21" i="81"/>
  <c r="R21" i="81" s="1"/>
  <c r="E7" i="86"/>
  <c r="N7" i="86" s="1"/>
  <c r="J46" i="23"/>
  <c r="M13" i="23" s="1"/>
  <c r="AB9" i="79"/>
  <c r="AB17" i="79" s="1"/>
  <c r="I21" i="86"/>
  <c r="R21" i="86" s="1"/>
  <c r="Z45" i="79"/>
  <c r="E21" i="86"/>
  <c r="N21" i="86" s="1"/>
  <c r="I7" i="86"/>
  <c r="R7" i="86" s="1"/>
  <c r="E7" i="81"/>
  <c r="N7" i="81" s="1"/>
  <c r="L38" i="23"/>
  <c r="N38" i="23" s="1"/>
  <c r="G21" i="86"/>
  <c r="P21" i="86" s="1"/>
  <c r="G21" i="81"/>
  <c r="P21" i="81" s="1"/>
  <c r="G7" i="86"/>
  <c r="P7" i="86" s="1"/>
  <c r="J49" i="23" l="1"/>
  <c r="L46" i="23"/>
  <c r="N46" i="2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<sst xmlns="http://schemas.openxmlformats.org/spreadsheetml/2006/main" count="1376" uniqueCount="321">
  <si>
    <t>Purpose</t>
  </si>
  <si>
    <t>Creates a S type curve given (Xcurr,Ycurr), Ymin, Ymax. Uses equation proposed by Lodish.</t>
  </si>
  <si>
    <t>Product</t>
  </si>
  <si>
    <t>Channel</t>
  </si>
  <si>
    <t>X unit</t>
  </si>
  <si>
    <t>Y unit</t>
  </si>
  <si>
    <t>Spend $</t>
  </si>
  <si>
    <t>Incr. NRx</t>
  </si>
  <si>
    <t>Optimization Details</t>
  </si>
  <si>
    <t>Constraints</t>
  </si>
  <si>
    <t>Min</t>
  </si>
  <si>
    <t>Max</t>
  </si>
  <si>
    <t>Objective Function</t>
  </si>
  <si>
    <t>Januvia</t>
  </si>
  <si>
    <t>DTC</t>
  </si>
  <si>
    <t>Inputs</t>
  </si>
  <si>
    <t>X current</t>
  </si>
  <si>
    <t>Y current</t>
  </si>
  <si>
    <t>Y min</t>
  </si>
  <si>
    <t>Y max</t>
  </si>
  <si>
    <t>Optimal X value</t>
  </si>
  <si>
    <t>Optimal Y value</t>
  </si>
  <si>
    <t>Starting X value</t>
  </si>
  <si>
    <t>Starting Y value</t>
  </si>
  <si>
    <t>Initial Starting Values (optional)</t>
  </si>
  <si>
    <t>Temporary Values</t>
  </si>
  <si>
    <t>A</t>
  </si>
  <si>
    <t>B</t>
  </si>
  <si>
    <t>C</t>
  </si>
  <si>
    <t>* Note: To avoid singularity when Ymin is 0, the whole curve is lifted up in Y axis by one unit and then in the final objective function estimation, they are brought down by one unit.</t>
  </si>
  <si>
    <t>*Note: All values are positive. Only Ymin could be zero.  Y min &lt; Y curr &lt; Ymax.</t>
  </si>
  <si>
    <t>Xaxis Max</t>
  </si>
  <si>
    <t>Xaxis MIN</t>
  </si>
  <si>
    <t>Intervals</t>
  </si>
  <si>
    <t>Axis Configuration for Plotting</t>
  </si>
  <si>
    <t>X</t>
  </si>
  <si>
    <t>Y</t>
  </si>
  <si>
    <t>Data Values</t>
  </si>
  <si>
    <t>Function Type</t>
  </si>
  <si>
    <t>S type curve estimation</t>
  </si>
  <si>
    <t>Creates a polynomial or semi-log or any other curve based on single mathematical equation</t>
  </si>
  <si>
    <t>Polynomial or Semi-Log or any other Equation</t>
  </si>
  <si>
    <t>Inputs (Polynomial OR Semi-Log)</t>
  </si>
  <si>
    <t>X  [a]</t>
  </si>
  <si>
    <t>X^2  [b]</t>
  </si>
  <si>
    <t>X^3  [c]</t>
  </si>
  <si>
    <t>SLOPES of Polynomial Eqn. Y=K+a*X+b*X^2+c*X^3</t>
  </si>
  <si>
    <t>Constant (if any) [K]</t>
  </si>
  <si>
    <t>SLOPE of Semi-Log Y=p*LOG(X+1)</t>
  </si>
  <si>
    <t>LOG(X+1)    [p]</t>
  </si>
  <si>
    <t>Note 1: YELLOW cells need user input (some are optional)</t>
  </si>
  <si>
    <r>
      <t xml:space="preserve">Note2 : ORANGE cells need </t>
    </r>
    <r>
      <rPr>
        <u/>
        <sz val="10"/>
        <color theme="1"/>
        <rFont val="Calibri"/>
        <family val="2"/>
        <scheme val="minor"/>
      </rPr>
      <t>formula</t>
    </r>
    <r>
      <rPr>
        <sz val="10"/>
        <color theme="1"/>
        <rFont val="Calibri"/>
        <family val="2"/>
        <scheme val="minor"/>
      </rPr>
      <t xml:space="preserve"> input (i.e., the equation)</t>
    </r>
  </si>
  <si>
    <t>*Note: The above inputs are most common curve types: polynomial or semi-log functions. Polynomials of upto 3rd degree is represented here. For linear polynomial only slope [a] is needed and the equations in orange cells are modified accordingly. For the functions not covered in the inputs, enter the equations directly in the orange cells.</t>
  </si>
  <si>
    <t>Details</t>
  </si>
  <si>
    <t>The initial starting values may be historic mean</t>
  </si>
  <si>
    <t>Given a set of X and Y values, a cubic spline function (i.e., a smooth continuous curve) is fit for each pair of values</t>
  </si>
  <si>
    <t>Sample</t>
  </si>
  <si>
    <t>Cubic Spline Interpolation</t>
  </si>
  <si>
    <t>STEP 1. First compute FACT table (size: NUMROWS, 8) using CSsplineA() function with Option 2 in the last parameter.</t>
  </si>
  <si>
    <t>STEP 2. Then predict Y value for a given X value using CSplinePred() function</t>
  </si>
  <si>
    <t>Input Points</t>
  </si>
  <si>
    <t xml:space="preserve">X </t>
  </si>
  <si>
    <t xml:space="preserve">Y </t>
  </si>
  <si>
    <t>col1</t>
  </si>
  <si>
    <t>col2</t>
  </si>
  <si>
    <t>col3</t>
  </si>
  <si>
    <t>col4</t>
  </si>
  <si>
    <t>col5</t>
  </si>
  <si>
    <t>col6</t>
  </si>
  <si>
    <t>col7</t>
  </si>
  <si>
    <t>col8</t>
  </si>
  <si>
    <t>Temporary Values for predicting Y for a given X [FACT Table (NUMROWS,8)]</t>
  </si>
  <si>
    <t>Note2 : ORANGE cells need CSplinePred() function call modifications</t>
  </si>
  <si>
    <r>
      <t xml:space="preserve">Usage of Spline Prediction Function (returns predicted Y value for a given X value): </t>
    </r>
    <r>
      <rPr>
        <b/>
        <sz val="10"/>
        <color theme="4"/>
        <rFont val="Calibri"/>
        <family val="2"/>
        <scheme val="minor"/>
      </rPr>
      <t>CSplinePred(Initial X vals, Initial Y vals, FACTS table reference, X value for prediction)</t>
    </r>
  </si>
  <si>
    <r>
      <t>*Note:  Expand this according to the number of points (or line segments) available for interpolation. The POINTS should cover</t>
    </r>
    <r>
      <rPr>
        <b/>
        <i/>
        <u/>
        <sz val="10"/>
        <color rgb="FFFF0000"/>
        <rFont val="Calibri"/>
        <family val="2"/>
        <scheme val="minor"/>
      </rPr>
      <t xml:space="preserve"> ATLEAST</t>
    </r>
    <r>
      <rPr>
        <sz val="10"/>
        <color theme="1"/>
        <rFont val="Calibri"/>
        <family val="2"/>
        <scheme val="minor"/>
      </rPr>
      <t xml:space="preserve"> Minimum and Maximum X values</t>
    </r>
  </si>
  <si>
    <r>
      <t>* Note: FACT Table has various constant coefficients computed during interpolation step. This has same number of rows as number of knots (i.e., points) available for interpolation and 8 columns. This is computed using array function CSplineA() with option 2 for the last function input. THIS IS</t>
    </r>
    <r>
      <rPr>
        <b/>
        <i/>
        <sz val="10"/>
        <color theme="1"/>
        <rFont val="Calibri"/>
        <family val="2"/>
        <scheme val="minor"/>
      </rPr>
      <t xml:space="preserve"> </t>
    </r>
    <r>
      <rPr>
        <b/>
        <i/>
        <u/>
        <sz val="10"/>
        <color rgb="FFFF0000"/>
        <rFont val="Calibri"/>
        <family val="2"/>
        <scheme val="minor"/>
      </rPr>
      <t>FIRST STEP</t>
    </r>
    <r>
      <rPr>
        <sz val="10"/>
        <color theme="1"/>
        <rFont val="Calibri"/>
        <family val="2"/>
        <scheme val="minor"/>
      </rPr>
      <t xml:space="preserve">IN SETTING UP SPLINE INTERPOLATION. 
</t>
    </r>
    <r>
      <rPr>
        <b/>
        <sz val="10"/>
        <color theme="1"/>
        <rFont val="Calibri"/>
        <family val="2"/>
        <scheme val="minor"/>
      </rPr>
      <t xml:space="preserve">Usage: CSplineA(Initial X vals, Initial Y vals, Set of X vals to Predict, 2). </t>
    </r>
    <r>
      <rPr>
        <sz val="10"/>
        <color theme="1"/>
        <rFont val="Calibri"/>
        <family val="2"/>
        <scheme val="minor"/>
      </rPr>
      <t>Option 2 generaes FACT table. Option 1 (default) gives predited Y's (for the given X's to predict) and various other values like slopes etc.</t>
    </r>
  </si>
  <si>
    <t>Products</t>
  </si>
  <si>
    <t>Channels</t>
  </si>
  <si>
    <t>Scenario Description</t>
  </si>
  <si>
    <t>X axis unit</t>
  </si>
  <si>
    <t>Y axis unit</t>
  </si>
  <si>
    <t>Scenario Setup</t>
  </si>
  <si>
    <t>Global Constraints</t>
  </si>
  <si>
    <t>Optimal Total Y</t>
  </si>
  <si>
    <t>Total Budget</t>
  </si>
  <si>
    <t>Products and Channels Setup</t>
  </si>
  <si>
    <t>Current Values</t>
  </si>
  <si>
    <t>X min</t>
  </si>
  <si>
    <t>X max</t>
  </si>
  <si>
    <t>Optimal Values</t>
  </si>
  <si>
    <t>Optimal Values: Change from current values</t>
  </si>
  <si>
    <t>Delta X (%)</t>
  </si>
  <si>
    <t>Delta Y (%)</t>
  </si>
  <si>
    <t>MCM</t>
  </si>
  <si>
    <t>Keep adding more global constraints as appropriate</t>
  </si>
  <si>
    <r>
      <t xml:space="preserve">These cells are refered </t>
    </r>
    <r>
      <rPr>
        <b/>
        <i/>
        <u/>
        <sz val="10"/>
        <color rgb="FFFF0000"/>
        <rFont val="Calibri"/>
        <family val="2"/>
        <scheme val="minor"/>
      </rPr>
      <t>BY</t>
    </r>
    <r>
      <rPr>
        <sz val="10"/>
        <color theme="1"/>
        <rFont val="Calibri"/>
        <family val="2"/>
        <scheme val="minor"/>
      </rPr>
      <t xml:space="preserve"> individual tabs</t>
    </r>
  </si>
  <si>
    <r>
      <t xml:space="preserve">These cells are got </t>
    </r>
    <r>
      <rPr>
        <b/>
        <i/>
        <u/>
        <sz val="10"/>
        <color rgb="FFFF0000"/>
        <rFont val="Calibri"/>
        <family val="2"/>
        <scheme val="minor"/>
      </rPr>
      <t>FROM</t>
    </r>
    <r>
      <rPr>
        <sz val="10"/>
        <color theme="1"/>
        <rFont val="Calibri"/>
        <family val="2"/>
        <scheme val="minor"/>
      </rPr>
      <t xml:space="preserve"> individual tabs</t>
    </r>
  </si>
  <si>
    <t>Min Global Budget</t>
  </si>
  <si>
    <t>Max Global Budget</t>
  </si>
  <si>
    <t>TOTAL</t>
  </si>
  <si>
    <t>Note 1: YELLOW cells may need user input (either reference to optim sheet or a value)</t>
  </si>
  <si>
    <t>Jantot</t>
  </si>
  <si>
    <t>Note 1: YELLOW cells need user input (some or optional)</t>
  </si>
  <si>
    <t>HCC</t>
  </si>
  <si>
    <t>Ybase</t>
  </si>
  <si>
    <t xml:space="preserve"> NRx</t>
  </si>
  <si>
    <t>S type curve estimation(Lodish). Adjusted with respect to Y base</t>
  </si>
  <si>
    <t>In here, lodish curve is applied to YLmin = Ybase + Ymin and YLmax = YLmin + Ymax.</t>
  </si>
  <si>
    <t xml:space="preserve">In terms of NRx, Ybase = Curr NRx; YLmin =  Curr NRx - Curr Incr. NRx(Yc).; YLMax = Curr NRx + Max Possible Incr. NRx (Ymax); Ymin = min Incr NRx for no investmet = 0; </t>
  </si>
  <si>
    <t>Y Base</t>
  </si>
  <si>
    <t>YL min [=YBase - Ycurrent]</t>
  </si>
  <si>
    <t>YL max [=YLmin + Ymax]</t>
  </si>
  <si>
    <t>XL current [=Xcurrent]</t>
  </si>
  <si>
    <t>YL current [=YBase]</t>
  </si>
  <si>
    <t xml:space="preserve">*Note: All values are positive. Only Ymin could be zero.  Y min &lt; Y curr &lt; Ymax. Here, Y Base represents observed total business (i.e., observed NRx or observed Total Revenue) in the presence of current level of promotions. </t>
  </si>
  <si>
    <t>* Note: To avoid singularity when YLmin is 0, the whole curve is lifted up in Y axis by one unit and then in the final objective function estimation, they are brought down by one unit.</t>
  </si>
  <si>
    <t>YT unit</t>
  </si>
  <si>
    <t>Optimal YT value</t>
  </si>
  <si>
    <t>Multiplication Factor (3yr Adherence Rxs)</t>
  </si>
  <si>
    <t>YT Current</t>
  </si>
  <si>
    <t>Y (Incr. NRx)</t>
  </si>
  <si>
    <t>Incr. NRx slope</t>
  </si>
  <si>
    <t>Response Function Scaling Factor (for sensitivity analysis)</t>
  </si>
  <si>
    <t>Starting YT value</t>
  </si>
  <si>
    <t>Current Values (optional)</t>
  </si>
  <si>
    <t>The current values here represents 2013 levels</t>
  </si>
  <si>
    <t>3-Yr Adherence Rxs per New Patient</t>
  </si>
  <si>
    <t>Spend in $</t>
  </si>
  <si>
    <t>Response Scaling Factor for Sensitivity Analysis</t>
  </si>
  <si>
    <t>Scurve Est. [Base Adjusted]</t>
  </si>
  <si>
    <t>Delta X 
($ Spend)</t>
  </si>
  <si>
    <t>Local Constraints ($ Spend)</t>
  </si>
  <si>
    <t>Incremental Revenue vs. Channel Spend</t>
  </si>
  <si>
    <t>Measured Unit of Response</t>
  </si>
  <si>
    <t>Incremental Rxs (in Response Units)</t>
  </si>
  <si>
    <t>Optimal Incremental Rxs (in Response Units)</t>
  </si>
  <si>
    <t>Delta between Optimal and Current Values</t>
  </si>
  <si>
    <t>Delta in Spend ($)</t>
  </si>
  <si>
    <t>Delta in Incr. Revenue ($)</t>
  </si>
  <si>
    <t>Delta in Spend (%)</t>
  </si>
  <si>
    <t>Delta in Incr. Revenue (%)</t>
  </si>
  <si>
    <t>3-Yr Pre-Tax NPV</t>
  </si>
  <si>
    <t>Pre-Tax PGM</t>
  </si>
  <si>
    <t>Tax Rate</t>
  </si>
  <si>
    <t>After-Tax PGM</t>
  </si>
  <si>
    <t>3-Yr Post-Tax NPV</t>
  </si>
  <si>
    <t>Total post-tax 3-year Incremental Revenue ($)</t>
  </si>
  <si>
    <t>Optimized post-tax 3-year Incremental Revenue ($)</t>
  </si>
  <si>
    <t>X opt 
($ Spend)</t>
  </si>
  <si>
    <t>X curr 
($ Spend)</t>
  </si>
  <si>
    <t>Post Tax PGM ($)</t>
  </si>
  <si>
    <t>3-yr post tax NPV</t>
  </si>
  <si>
    <t>3-yr Incr. Rev.</t>
  </si>
  <si>
    <r>
      <rPr>
        <b/>
        <sz val="10"/>
        <color rgb="FFC00000"/>
        <rFont val="Calibri"/>
        <family val="2"/>
        <scheme val="minor"/>
      </rPr>
      <t>Gardasil InOffice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</si>
  <si>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t>Gardasil</t>
  </si>
  <si>
    <t>In Office</t>
  </si>
  <si>
    <r>
      <rPr>
        <b/>
        <sz val="10"/>
        <color rgb="FFC00000"/>
        <rFont val="Calibri"/>
        <family val="2"/>
        <scheme val="minor"/>
      </rPr>
      <t>Gardasil MCM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</si>
  <si>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t>Gardasil Total</t>
  </si>
  <si>
    <t>Min %</t>
  </si>
  <si>
    <t>Max %</t>
  </si>
  <si>
    <t>Print</t>
  </si>
  <si>
    <t>Doses</t>
  </si>
  <si>
    <t>Gardasil Adolescents</t>
  </si>
  <si>
    <t>Incr. Doses</t>
  </si>
  <si>
    <t>Y (Incr. Doses)</t>
  </si>
  <si>
    <t xml:space="preserve"> Doses</t>
  </si>
  <si>
    <t xml:space="preserve">In terms of NDoses, Ybase = Curr NDoses; YLmin =  Curr NDoses - Curr Incr. NDoses(Yc).; YLMax = Curr NDoses + Max Possible Incr. NDoses (Ymax); Ymin = min Incr NDoses for no investmet = 0; </t>
  </si>
  <si>
    <t>&lt;-- Spend per Incr. TDoses</t>
  </si>
  <si>
    <t>Multiplication Factor (3yr Adherence Dosess)</t>
  </si>
  <si>
    <t xml:space="preserve">*Note: All values are positive. Only Ymin could be zero.  Y min &lt; Y curr &lt; Ymax. Here, Y Base represents observed total business (i.e., observed NDoses or observed Total Revenue) in the presence of current level of promotions. </t>
  </si>
  <si>
    <t>Y (Incr. NDoses)</t>
  </si>
  <si>
    <t>YT (Incr. TDoses)</t>
  </si>
  <si>
    <t>Incr. NDoses slope</t>
  </si>
  <si>
    <t xml:space="preserve">In terms of Doses, Ybase = Curr Doses; YLmin =  Curr Doses - Curr Incr. Doses(Yc).; YLMax = Curr Doses + Max Possible Incr. Doses (Ymax); Ymin = min Incr Doses for no investmet = 0; </t>
  </si>
  <si>
    <t xml:space="preserve">*Note: All values are positive. Only Ymin could be zero.  Y min &lt; Y curr &lt; Ymax. Here, Y Base represents observed total business (i.e., observed Doses or observed Total Revenue) in the presence of current level of promotions. </t>
  </si>
  <si>
    <t>Incr. Doses slope</t>
  </si>
  <si>
    <t>HCC TV</t>
  </si>
  <si>
    <t>HCC Radio</t>
  </si>
  <si>
    <t>Y curr 
(Incr. Doses)</t>
  </si>
  <si>
    <t>To optimize allocation of spend across represented channels. All used response functions are converted to Channel Spend vs.  Incr. Doses scale</t>
  </si>
  <si>
    <t xml:space="preserve">Incremental Doses </t>
  </si>
  <si>
    <t>Y opt 
(Incr. Doses)</t>
  </si>
  <si>
    <t>Delta Y 
(Incr. Doses)</t>
  </si>
  <si>
    <t>&lt;-- Spend per Incr. Doses</t>
  </si>
  <si>
    <t>YT (Incr. Doses)</t>
  </si>
  <si>
    <t>Pre-tax incr. Revenue</t>
  </si>
  <si>
    <r>
      <t>Change in pre-tax incr. revenue (</t>
    </r>
    <r>
      <rPr>
        <b/>
        <sz val="11"/>
        <color rgb="FFFF0000"/>
        <rFont val="Calibri"/>
        <family val="2"/>
        <scheme val="minor"/>
      </rPr>
      <t>relative to base case</t>
    </r>
    <r>
      <rPr>
        <b/>
        <sz val="11"/>
        <color theme="0"/>
        <rFont val="Calibri"/>
        <family val="2"/>
        <scheme val="minor"/>
      </rPr>
      <t>)</t>
    </r>
  </si>
  <si>
    <t>Estimated ROI</t>
  </si>
  <si>
    <t>Budget</t>
  </si>
  <si>
    <t>% Change</t>
  </si>
  <si>
    <r>
      <t>Change in budget (</t>
    </r>
    <r>
      <rPr>
        <b/>
        <sz val="11"/>
        <color rgb="FFFF0000"/>
        <rFont val="Calibri"/>
        <family val="2"/>
        <scheme val="minor"/>
      </rPr>
      <t>relative to base</t>
    </r>
    <r>
      <rPr>
        <b/>
        <sz val="11"/>
        <color theme="1"/>
        <rFont val="Calibri"/>
        <family val="2"/>
        <scheme val="minor"/>
      </rPr>
      <t>)</t>
    </r>
  </si>
  <si>
    <t>Incr. Revenue</t>
  </si>
  <si>
    <t>Marginal ROI</t>
  </si>
  <si>
    <t>Incr. Budget</t>
  </si>
  <si>
    <t>10% reduction optimal ($)</t>
  </si>
  <si>
    <t>20% reduction optimal ()</t>
  </si>
  <si>
    <t>InScope Promotion</t>
  </si>
  <si>
    <t>Spend</t>
  </si>
  <si>
    <t>Expected pre-tax NPV($MM)</t>
  </si>
  <si>
    <t>% Change from current</t>
  </si>
  <si>
    <t>Expected pre-tax NPV (MM)</t>
  </si>
  <si>
    <t>Total InScope Budget</t>
  </si>
  <si>
    <t>Spend (MM)</t>
  </si>
  <si>
    <t>Expected pre-tax NPV(MM)</t>
  </si>
  <si>
    <t>Δ Pre-tax Revenue</t>
  </si>
  <si>
    <t>Pre-tax Spend (MM)</t>
  </si>
  <si>
    <t>Estimated % Contribution</t>
  </si>
  <si>
    <t>Promotion Efficiency ($Spend/Incr. Dose)</t>
  </si>
  <si>
    <t>HCC In Office</t>
  </si>
  <si>
    <t>HCP MCM</t>
  </si>
  <si>
    <t>HCC Social</t>
  </si>
  <si>
    <t>HCC Display</t>
  </si>
  <si>
    <t>HCC Paid Search</t>
  </si>
  <si>
    <t>Total</t>
  </si>
  <si>
    <t>Sensitivity High (-50% and 200% change in responsiveness)</t>
  </si>
  <si>
    <t>Sensitivity: All Responses are at the estimated level.</t>
  </si>
  <si>
    <r>
      <t xml:space="preserve">Sensitivity: Selected Channel Response is </t>
    </r>
    <r>
      <rPr>
        <b/>
        <sz val="10"/>
        <color rgb="FFC00000"/>
        <rFont val="Calibri"/>
        <family val="2"/>
        <scheme val="minor"/>
      </rPr>
      <t>reduced by HALF.</t>
    </r>
  </si>
  <si>
    <r>
      <t>Sensitivity: Selected Channel Response</t>
    </r>
    <r>
      <rPr>
        <b/>
        <sz val="10"/>
        <color rgb="FFC00000"/>
        <rFont val="Calibri"/>
        <family val="2"/>
        <scheme val="minor"/>
      </rPr>
      <t xml:space="preserve"> is DOUBLED</t>
    </r>
    <r>
      <rPr>
        <sz val="10"/>
        <color rgb="FFC00000"/>
        <rFont val="Calibri"/>
        <family val="2"/>
        <scheme val="minor"/>
      </rPr>
      <t>.</t>
    </r>
  </si>
  <si>
    <t>Optimal Spend ($)</t>
  </si>
  <si>
    <t>Incr. Rev. ($)</t>
  </si>
  <si>
    <t>Sensitivity Medium (-40% and +40% change in responsiveness)</t>
  </si>
  <si>
    <r>
      <t xml:space="preserve">Sensitivity: Selected Channel Response is </t>
    </r>
    <r>
      <rPr>
        <b/>
        <sz val="10"/>
        <color rgb="FFC00000"/>
        <rFont val="Calibri"/>
        <family val="2"/>
        <scheme val="minor"/>
      </rPr>
      <t>reduced by 40%.</t>
    </r>
  </si>
  <si>
    <r>
      <t xml:space="preserve">Sensitivity: Selected Channel Response is </t>
    </r>
    <r>
      <rPr>
        <b/>
        <sz val="10"/>
        <color rgb="FFC00000"/>
        <rFont val="Calibri"/>
        <family val="2"/>
        <scheme val="minor"/>
      </rPr>
      <t>increased by 40%.</t>
    </r>
  </si>
  <si>
    <t>Estimated</t>
  </si>
  <si>
    <t>Current Optimal ($MM)</t>
  </si>
  <si>
    <t>Current Baseline ($MM)</t>
  </si>
  <si>
    <t>HCC Online Video</t>
  </si>
  <si>
    <t>Online Video</t>
  </si>
  <si>
    <t>HCC Streaming Video</t>
  </si>
  <si>
    <t>-30% to +30%</t>
  </si>
  <si>
    <t>Formula Template</t>
  </si>
  <si>
    <t>Gardasil Adults</t>
  </si>
  <si>
    <t>HCC Streaming TV</t>
  </si>
  <si>
    <r>
      <rPr>
        <b/>
        <sz val="10"/>
        <color rgb="FFC00000"/>
        <rFont val="Calibri"/>
        <family val="2"/>
        <scheme val="minor"/>
      </rPr>
      <t>Gardasil Online Video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</si>
  <si>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t>2021 Planned Spend ($)</t>
  </si>
  <si>
    <t>2021 Optimal Spend ($)</t>
  </si>
  <si>
    <t>HCC InOffice</t>
  </si>
  <si>
    <t>HCC Linear TV</t>
  </si>
  <si>
    <t>HCC Pharmacy</t>
  </si>
  <si>
    <t>Pharmacy</t>
  </si>
  <si>
    <r>
      <rPr>
        <b/>
        <sz val="10"/>
        <color rgb="FFC00000"/>
        <rFont val="Calibri"/>
        <family val="2"/>
        <scheme val="minor"/>
      </rPr>
      <t>Gardasil Pharmacy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</si>
  <si>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t>Gardasil Adults: HCC InOffice, HCC Pharmacy, HCC Streaming TV, HCP MCM, HCC Digital, HCC Linear TV</t>
  </si>
  <si>
    <t>All Vaccines: Gardasil Adult</t>
  </si>
  <si>
    <t>Optimal channel spend allowed to vary between constraints defined by marketing team &amp; INI of the 2021 channel spend - LINEAR TV and Streaming TV constraints modified</t>
  </si>
  <si>
    <t>25% reduction optimal ()</t>
  </si>
  <si>
    <t/>
  </si>
  <si>
    <t>$9(+8%)</t>
  </si>
  <si>
    <t>$1.5(+1%)</t>
  </si>
  <si>
    <t>Power</t>
  </si>
  <si>
    <t xml:space="preserve">Note : </t>
  </si>
  <si>
    <t>Pre Tax PGM ($)</t>
  </si>
  <si>
    <t>3-yr pre tax NPV</t>
  </si>
  <si>
    <t>3-yr pre-tax Incr. Rev.</t>
  </si>
  <si>
    <t>Gardasil Adult Social. Given a set of X and Y values, a power function (i.e., a smooth continuous curve) is fit for each pair of values</t>
  </si>
  <si>
    <t>Gardasil Adult Streaming. Given a set of X and Y values, a power function (i.e., a smooth continuous curve) is fit for each pair of values</t>
  </si>
  <si>
    <t>Gardasil Adultdisplay. Given a set of X and Y values, a power function (i.e., a smooth continuous curve) is fit for each pair of values</t>
  </si>
  <si>
    <t>Gardasil Adult Disp. Given a set of X and Y values, a power function (i.e., a smooth continuous curve) is fit for each pair of values</t>
  </si>
  <si>
    <t>HCC Disp</t>
  </si>
  <si>
    <t>Gardasil Adult psrch. Given a set of X and Y values, a power function (i.e., a smooth continuous curve) is fit for each pair of values</t>
  </si>
  <si>
    <t>HCC psrch</t>
  </si>
  <si>
    <t>Gardasil Adult audio. Given a set of X and Y values, a power function (i.e., a smooth continuous curve) is fit for each pair of values</t>
  </si>
  <si>
    <t>HCC audio</t>
  </si>
  <si>
    <t>Gardasil Adult linear tv. Given a set of X and Y values, a power function (i.e., a smooth continuous curve) is fit for each pair of values</t>
  </si>
  <si>
    <t>HCC linear tv</t>
  </si>
  <si>
    <t>Estimated Contribution to Private Sales</t>
  </si>
  <si>
    <t>Estimated Contribution to total G9 Sales</t>
  </si>
  <si>
    <t>Δ Pre-tax Revenue w.r.t 2022 Current baseline</t>
  </si>
  <si>
    <t>BASE Case: Vary promotion type spend by + or - 30%. Keep global spend constant.</t>
  </si>
  <si>
    <t>Current Optimal ($60.0MM)</t>
  </si>
  <si>
    <t>2023 Current Baseline ($MM)</t>
  </si>
  <si>
    <t>2023 Spend ($MM)</t>
  </si>
  <si>
    <t>2023 Estimated Incr. Doses ('000)</t>
  </si>
  <si>
    <t>2023 Estimated Pre-Tax NPV</t>
  </si>
  <si>
    <t>2023 Estimated Pre-tax ROI</t>
  </si>
  <si>
    <t>2023 Projected Promotion Efficiency</t>
  </si>
  <si>
    <t>2023 projected</t>
  </si>
  <si>
    <t>Current 2023 Baseline</t>
  </si>
  <si>
    <t>GINOFF</t>
  </si>
  <si>
    <t>GMCM</t>
  </si>
  <si>
    <t>GSOCIAL</t>
  </si>
  <si>
    <t>GOLV</t>
  </si>
  <si>
    <t>GSTRTV</t>
  </si>
  <si>
    <t>GDISP</t>
  </si>
  <si>
    <t>GPDSRCH</t>
  </si>
  <si>
    <t>GAUDIO</t>
  </si>
  <si>
    <t>GLINEARTV</t>
  </si>
  <si>
    <t>GPHRMCY</t>
  </si>
  <si>
    <t>Optimal channel spend allowed to vary between +/- 30% of the 2023 channel spend except Linear TV</t>
  </si>
  <si>
    <t>10% reduction optimal ($57M)</t>
  </si>
  <si>
    <t>20% reduction optimal ($53M)</t>
  </si>
  <si>
    <t>10% increase optimal ($63M)</t>
  </si>
  <si>
    <t>20% increase optimal ($67M)</t>
  </si>
  <si>
    <t>+$15  (8.5%)</t>
  </si>
  <si>
    <t>+$5  (2.9%)</t>
  </si>
  <si>
    <t>-$10           (-5.9%)</t>
  </si>
  <si>
    <t>+$19   (11.1%)</t>
  </si>
  <si>
    <t>+$23 (13.5%)</t>
  </si>
  <si>
    <t>Maximum Spend</t>
  </si>
  <si>
    <t>Minimum spend</t>
  </si>
  <si>
    <t>Current optimal ($60MM)</t>
  </si>
  <si>
    <t>Given a set of X and Y values, a power function (i.e., a smooth continuous curve) is fit for each pair of values</t>
  </si>
  <si>
    <t>Keytruda HCC</t>
  </si>
  <si>
    <t>Pre-tax Spend $</t>
  </si>
  <si>
    <t>Incr. Vials</t>
  </si>
  <si>
    <t>All</t>
  </si>
  <si>
    <t>Optimal Current Scenario</t>
  </si>
  <si>
    <t>E</t>
  </si>
  <si>
    <t>HCC_2024_with_MB</t>
  </si>
  <si>
    <t>10% increase in budget</t>
  </si>
  <si>
    <t>I</t>
  </si>
  <si>
    <t>HCC_2024_without_MB</t>
  </si>
  <si>
    <t>10% decrease in budget</t>
  </si>
  <si>
    <t>M</t>
  </si>
  <si>
    <t>HCC_2024_only_MB</t>
  </si>
  <si>
    <t>20% increase in budget</t>
  </si>
  <si>
    <t>Q</t>
  </si>
  <si>
    <t>20% decrease in budget</t>
  </si>
  <si>
    <t>U</t>
  </si>
  <si>
    <t>HCC MCM</t>
  </si>
  <si>
    <t>Red - Current</t>
  </si>
  <si>
    <t>Green - Optimised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</si>
</sst>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5" formatCode="&quot;$&quot;#,##0_);\(&quot;$&quot;#,##0\)"/>
    <numFmt numFmtId="6" formatCode="&quot;$&quot;#,##0_);[Red]\(&quot;$&quot;#,##0\)"/>
    <numFmt numFmtId="7" formatCode="&quot;$&quot;#,##0.00_);\(&quot;$&quot;#,##0.00\)"/>
    <numFmt numFmtId="8" formatCode="&quot;$&quot;#,##0.00_);[Red]\(&quot;$&quot;#,##0.00\)"/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$&quot;* #,##0_);_(&quot;$&quot;* \(#,##0\);_(&quot;$&quot;* &quot;-&quot;??_);_(@_)"/>
    <numFmt numFmtId="165" formatCode="_(* #,##0_);_(* \(#,##0\);_(* &quot;-&quot;??_);_(@_)"/>
    <numFmt numFmtId="166" formatCode="&quot;$&quot;#,##0"/>
    <numFmt numFmtId="167" formatCode="0.00000"/>
    <numFmt numFmtId="168" formatCode="&quot;$&quot;#,##0.00"/>
    <numFmt numFmtId="169" formatCode="0.0"/>
    <numFmt numFmtId="170" formatCode="&quot;$&quot;#,##0.0"/>
    <numFmt numFmtId="171" formatCode="0.0%"/>
    <numFmt numFmtId="172" formatCode="#,##0.0"/>
  </numFmts>
  <fonts count="44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C00000"/>
      <name val="Calibri"/>
      <family val="2"/>
      <scheme val="minor"/>
    </font>
    <font>
      <b/>
      <sz val="10"/>
      <color theme="4" tint="-0.499984740745262"/>
      <name val="Calibri"/>
      <family val="2"/>
      <scheme val="minor"/>
    </font>
    <font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u/>
      <sz val="10"/>
      <color theme="1"/>
      <name val="Calibri"/>
      <family val="2"/>
      <scheme val="minor"/>
    </font>
    <font>
      <sz val="10"/>
      <name val="Arial"/>
      <family val="2"/>
    </font>
    <font>
      <b/>
      <sz val="10"/>
      <color theme="4"/>
      <name val="Calibri"/>
      <family val="2"/>
      <scheme val="minor"/>
    </font>
    <font>
      <b/>
      <i/>
      <u/>
      <sz val="10"/>
      <color rgb="FFFF0000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theme="3"/>
      <name val="Calibri"/>
      <family val="2"/>
      <scheme val="minor"/>
    </font>
    <font>
      <sz val="10"/>
      <name val="MS Sans Serif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rgb="FFC00000"/>
      <name val="Calibri"/>
      <family val="2"/>
      <scheme val="minor"/>
    </font>
    <font>
      <sz val="8"/>
      <color rgb="FFC00000"/>
      <name val="Calibri"/>
      <family val="2"/>
      <scheme val="minor"/>
    </font>
    <font>
      <sz val="10"/>
      <color rgb="FF0000FF"/>
      <name val="Calibri"/>
      <family val="2"/>
      <scheme val="minor"/>
    </font>
    <font>
      <b/>
      <sz val="10"/>
      <color rgb="FF000000"/>
      <name val="Arial"/>
      <family val="2"/>
    </font>
    <font>
      <i/>
      <sz val="10"/>
      <color rgb="FF0000FF"/>
      <name val="Calibri"/>
      <family val="2"/>
      <scheme val="minor"/>
    </font>
    <font>
      <b/>
      <sz val="10"/>
      <color rgb="FF0000FF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0"/>
      <color theme="0"/>
      <name val="Arial"/>
      <family val="2"/>
    </font>
  </fonts>
  <fills count="51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</fills>
  <borders count="107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14996795556505021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24994659260841701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499984740745262"/>
      </left>
      <right style="thin">
        <color theme="0" tint="-0.14996795556505021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2499465926084170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499984740745262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14996795556505021"/>
      </right>
      <top style="thin">
        <color theme="0" tint="-0.1499679555650502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24994659260841701"/>
      </right>
      <top style="thin">
        <color theme="0" tint="-0.14996795556505021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0" tint="-0.14996795556505021"/>
      </right>
      <top style="thin">
        <color theme="0" tint="-0.14996795556505021"/>
      </top>
      <bottom style="thin">
        <color theme="0" tint="-0.49998474074526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499984740745262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14996795556505021"/>
      </top>
      <bottom style="thin">
        <color theme="0" tint="-0.499984740745262"/>
      </bottom>
      <diagonal/>
    </border>
    <border>
      <left style="thin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14996795556505021"/>
      </right>
      <top style="thin">
        <color indexed="64"/>
      </top>
      <bottom/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 style="thin">
        <color indexed="64"/>
      </right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499984740745262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1499679555650502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</borders>
  <cellStyleXfs count="57">
    <xf numFmtId="0" fontId="0" fillId="0" borderId="0"/>
    <xf numFmtId="0" fontId="7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3" fillId="0" borderId="0" applyFont="0" applyFill="0" applyBorder="0" applyAlignment="0" applyProtection="0"/>
    <xf numFmtId="44" fontId="7" fillId="0" borderId="0" applyFont="0" applyFill="0" applyBorder="0" applyAlignment="0" applyProtection="0"/>
    <xf numFmtId="0" fontId="7" fillId="0" borderId="0"/>
    <xf numFmtId="0" fontId="13" fillId="0" borderId="0"/>
    <xf numFmtId="9" fontId="13" fillId="0" borderId="0" applyFon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51" applyNumberFormat="0" applyFill="0" applyAlignment="0" applyProtection="0"/>
    <xf numFmtId="0" fontId="16" fillId="0" borderId="52" applyNumberFormat="0" applyFill="0" applyAlignment="0" applyProtection="0"/>
    <xf numFmtId="0" fontId="17" fillId="0" borderId="53" applyNumberFormat="0" applyFill="0" applyAlignment="0" applyProtection="0"/>
    <xf numFmtId="0" fontId="17" fillId="0" borderId="0" applyNumberFormat="0" applyFill="0" applyBorder="0" applyAlignment="0" applyProtection="0"/>
    <xf numFmtId="0" fontId="18" fillId="10" borderId="0" applyNumberFormat="0" applyBorder="0" applyAlignment="0" applyProtection="0"/>
    <xf numFmtId="0" fontId="19" fillId="11" borderId="0" applyNumberFormat="0" applyBorder="0" applyAlignment="0" applyProtection="0"/>
    <xf numFmtId="0" fontId="20" fillId="12" borderId="0" applyNumberFormat="0" applyBorder="0" applyAlignment="0" applyProtection="0"/>
    <xf numFmtId="0" fontId="21" fillId="13" borderId="54" applyNumberFormat="0" applyAlignment="0" applyProtection="0"/>
    <xf numFmtId="0" fontId="22" fillId="14" borderId="55" applyNumberFormat="0" applyAlignment="0" applyProtection="0"/>
    <xf numFmtId="0" fontId="23" fillId="14" borderId="54" applyNumberFormat="0" applyAlignment="0" applyProtection="0"/>
    <xf numFmtId="0" fontId="24" fillId="0" borderId="56" applyNumberFormat="0" applyFill="0" applyAlignment="0" applyProtection="0"/>
    <xf numFmtId="0" fontId="25" fillId="15" borderId="57" applyNumberFormat="0" applyAlignment="0" applyProtection="0"/>
    <xf numFmtId="0" fontId="26" fillId="0" borderId="0" applyNumberFormat="0" applyFill="0" applyBorder="0" applyAlignment="0" applyProtection="0"/>
    <xf numFmtId="0" fontId="11" fillId="16" borderId="58" applyNumberFormat="0" applyFont="0" applyAlignment="0" applyProtection="0"/>
    <xf numFmtId="0" fontId="27" fillId="0" borderId="0" applyNumberFormat="0" applyFill="0" applyBorder="0" applyAlignment="0" applyProtection="0"/>
    <xf numFmtId="0" fontId="28" fillId="0" borderId="59" applyNumberFormat="0" applyFill="0" applyAlignment="0" applyProtection="0"/>
    <xf numFmtId="0" fontId="29" fillId="17" borderId="0" applyNumberFormat="0" applyBorder="0" applyAlignment="0" applyProtection="0"/>
    <xf numFmtId="0" fontId="11" fillId="18" borderId="0" applyNumberFormat="0" applyBorder="0" applyAlignment="0" applyProtection="0"/>
    <xf numFmtId="0" fontId="11" fillId="19" borderId="0" applyNumberFormat="0" applyBorder="0" applyAlignment="0" applyProtection="0"/>
    <xf numFmtId="0" fontId="29" fillId="20" borderId="0" applyNumberFormat="0" applyBorder="0" applyAlignment="0" applyProtection="0"/>
    <xf numFmtId="0" fontId="29" fillId="21" borderId="0" applyNumberFormat="0" applyBorder="0" applyAlignment="0" applyProtection="0"/>
    <xf numFmtId="0" fontId="11" fillId="22" borderId="0" applyNumberFormat="0" applyBorder="0" applyAlignment="0" applyProtection="0"/>
    <xf numFmtId="0" fontId="11" fillId="23" borderId="0" applyNumberFormat="0" applyBorder="0" applyAlignment="0" applyProtection="0"/>
    <xf numFmtId="0" fontId="29" fillId="24" borderId="0" applyNumberFormat="0" applyBorder="0" applyAlignment="0" applyProtection="0"/>
    <xf numFmtId="0" fontId="29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29" fillId="28" borderId="0" applyNumberFormat="0" applyBorder="0" applyAlignment="0" applyProtection="0"/>
    <xf numFmtId="0" fontId="29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29" fillId="32" borderId="0" applyNumberFormat="0" applyBorder="0" applyAlignment="0" applyProtection="0"/>
    <xf numFmtId="0" fontId="29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29" fillId="36" borderId="0" applyNumberFormat="0" applyBorder="0" applyAlignment="0" applyProtection="0"/>
    <xf numFmtId="0" fontId="29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29" fillId="40" borderId="0" applyNumberFormat="0" applyBorder="0" applyAlignment="0" applyProtection="0"/>
    <xf numFmtId="0" fontId="33" fillId="0" borderId="0"/>
    <xf numFmtId="0" fontId="33" fillId="0" borderId="0"/>
    <xf numFmtId="43" fontId="33" fillId="0" borderId="0" applyFont="0" applyFill="0" applyBorder="0" applyAlignment="0" applyProtection="0"/>
    <xf numFmtId="0" fontId="33" fillId="0" borderId="0"/>
  </cellStyleXfs>
  <cellXfs count="531">
    <xf numFmtId="0" fontId="0" fillId="0" borderId="0" xfId="0"/>
    <xf numFmtId="0" fontId="1" fillId="0" borderId="0" xfId="0" applyFont="1"/>
    <xf numFmtId="0" fontId="1" fillId="0" borderId="2" xfId="0" applyFont="1" applyBorder="1"/>
    <xf numFmtId="0" fontId="2" fillId="3" borderId="2" xfId="0" applyFont="1" applyFill="1" applyBorder="1" applyAlignment="1">
      <alignment horizontal="center" vertical="center" wrapText="1"/>
    </xf>
    <xf numFmtId="0" fontId="2" fillId="3" borderId="8" xfId="0" applyFont="1" applyFill="1" applyBorder="1" applyAlignment="1">
      <alignment horizontal="center" vertical="center" wrapText="1"/>
    </xf>
    <xf numFmtId="0" fontId="1" fillId="2" borderId="10" xfId="0" applyFont="1" applyFill="1" applyBorder="1" applyAlignment="1">
      <alignment vertical="center" wrapText="1"/>
    </xf>
    <xf numFmtId="0" fontId="2" fillId="3" borderId="12" xfId="0" applyFont="1" applyFill="1" applyBorder="1"/>
    <xf numFmtId="0" fontId="2" fillId="3" borderId="4" xfId="0" applyFont="1" applyFill="1" applyBorder="1"/>
    <xf numFmtId="0" fontId="1" fillId="2" borderId="5" xfId="0" applyFont="1" applyFill="1" applyBorder="1"/>
    <xf numFmtId="0" fontId="2" fillId="3" borderId="5" xfId="0" applyFont="1" applyFill="1" applyBorder="1"/>
    <xf numFmtId="0" fontId="1" fillId="2" borderId="6" xfId="0" applyFont="1" applyFill="1" applyBorder="1"/>
    <xf numFmtId="0" fontId="2" fillId="3" borderId="9" xfId="0" applyFont="1" applyFill="1" applyBorder="1"/>
    <xf numFmtId="0" fontId="1" fillId="2" borderId="10" xfId="0" applyFont="1" applyFill="1" applyBorder="1"/>
    <xf numFmtId="0" fontId="2" fillId="3" borderId="10" xfId="0" applyFont="1" applyFill="1" applyBorder="1"/>
    <xf numFmtId="0" fontId="1" fillId="2" borderId="11" xfId="0" applyFont="1" applyFill="1" applyBorder="1"/>
    <xf numFmtId="0" fontId="2" fillId="3" borderId="6" xfId="0" applyFont="1" applyFill="1" applyBorder="1" applyAlignment="1">
      <alignment horizontal="center" vertical="center" wrapText="1"/>
    </xf>
    <xf numFmtId="0" fontId="2" fillId="3" borderId="13" xfId="0" applyFont="1" applyFill="1" applyBorder="1" applyAlignment="1">
      <alignment horizontal="center" vertical="center" wrapText="1"/>
    </xf>
    <xf numFmtId="0" fontId="2" fillId="3" borderId="16" xfId="0" applyFont="1" applyFill="1" applyBorder="1" applyAlignment="1">
      <alignment horizontal="center" vertical="center" wrapText="1"/>
    </xf>
    <xf numFmtId="0" fontId="1" fillId="2" borderId="17" xfId="0" applyFont="1" applyFill="1" applyBorder="1" applyAlignment="1">
      <alignment vertical="center" wrapText="1"/>
    </xf>
    <xf numFmtId="0" fontId="2" fillId="3" borderId="22" xfId="0" applyFont="1" applyFill="1" applyBorder="1" applyAlignment="1">
      <alignment horizontal="center" vertical="center" wrapText="1"/>
    </xf>
    <xf numFmtId="0" fontId="1" fillId="2" borderId="14" xfId="0" applyFont="1" applyFill="1" applyBorder="1"/>
    <xf numFmtId="0" fontId="2" fillId="3" borderId="5" xfId="0" applyFont="1" applyFill="1" applyBorder="1" applyAlignment="1">
      <alignment horizontal="center" vertical="center" wrapText="1"/>
    </xf>
    <xf numFmtId="0" fontId="3" fillId="5" borderId="23" xfId="0" applyFont="1" applyFill="1" applyBorder="1"/>
    <xf numFmtId="0" fontId="3" fillId="5" borderId="17" xfId="0" applyFont="1" applyFill="1" applyBorder="1"/>
    <xf numFmtId="0" fontId="1" fillId="4" borderId="10" xfId="0" applyFont="1" applyFill="1" applyBorder="1" applyAlignment="1">
      <alignment horizontal="center" vertical="center" wrapText="1"/>
    </xf>
    <xf numFmtId="0" fontId="1" fillId="4" borderId="11" xfId="0" applyFont="1" applyFill="1" applyBorder="1" applyAlignment="1">
      <alignment horizontal="center" vertical="center" wrapText="1"/>
    </xf>
    <xf numFmtId="0" fontId="1" fillId="4" borderId="11" xfId="0" applyFont="1" applyFill="1" applyBorder="1"/>
    <xf numFmtId="0" fontId="1" fillId="2" borderId="12" xfId="0" applyFont="1" applyFill="1" applyBorder="1"/>
    <xf numFmtId="0" fontId="1" fillId="2" borderId="31" xfId="0" applyFont="1" applyFill="1" applyBorder="1"/>
    <xf numFmtId="0" fontId="2" fillId="3" borderId="33" xfId="0" applyFont="1" applyFill="1" applyBorder="1"/>
    <xf numFmtId="0" fontId="2" fillId="3" borderId="37" xfId="0" applyFont="1" applyFill="1" applyBorder="1" applyAlignment="1">
      <alignment horizontal="center" vertical="center" wrapText="1"/>
    </xf>
    <xf numFmtId="0" fontId="2" fillId="3" borderId="40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vertical="center" wrapText="1"/>
    </xf>
    <xf numFmtId="0" fontId="3" fillId="6" borderId="17" xfId="0" applyFont="1" applyFill="1" applyBorder="1"/>
    <xf numFmtId="0" fontId="1" fillId="6" borderId="11" xfId="0" applyFont="1" applyFill="1" applyBorder="1"/>
    <xf numFmtId="0" fontId="1" fillId="6" borderId="2" xfId="0" applyFont="1" applyFill="1" applyBorder="1"/>
    <xf numFmtId="0" fontId="1" fillId="2" borderId="43" xfId="0" applyFont="1" applyFill="1" applyBorder="1"/>
    <xf numFmtId="0" fontId="4" fillId="0" borderId="40" xfId="0" applyFont="1" applyFill="1" applyBorder="1" applyAlignment="1"/>
    <xf numFmtId="0" fontId="4" fillId="0" borderId="0" xfId="0" applyFont="1" applyFill="1" applyBorder="1" applyAlignment="1"/>
    <xf numFmtId="0" fontId="4" fillId="0" borderId="0" xfId="0" applyFont="1" applyFill="1" applyBorder="1"/>
    <xf numFmtId="0" fontId="4" fillId="2" borderId="2" xfId="0" applyFont="1" applyFill="1" applyBorder="1" applyAlignment="1">
      <alignment vertical="center" wrapText="1"/>
    </xf>
    <xf numFmtId="0" fontId="4" fillId="2" borderId="2" xfId="0" applyFont="1" applyFill="1" applyBorder="1" applyAlignment="1"/>
    <xf numFmtId="0" fontId="4" fillId="7" borderId="2" xfId="0" applyFont="1" applyFill="1" applyBorder="1" applyAlignment="1">
      <alignment horizontal="center" vertical="center" wrapText="1"/>
    </xf>
    <xf numFmtId="0" fontId="4" fillId="7" borderId="2" xfId="0" applyFont="1" applyFill="1" applyBorder="1"/>
    <xf numFmtId="0" fontId="4" fillId="7" borderId="12" xfId="0" applyFont="1" applyFill="1" applyBorder="1" applyAlignment="1">
      <alignment horizontal="center" vertical="center" wrapText="1"/>
    </xf>
    <xf numFmtId="0" fontId="4" fillId="7" borderId="12" xfId="0" applyFont="1" applyFill="1" applyBorder="1"/>
    <xf numFmtId="0" fontId="7" fillId="0" borderId="0" xfId="1" applyFont="1"/>
    <xf numFmtId="0" fontId="2" fillId="3" borderId="2" xfId="0" applyFont="1" applyFill="1" applyBorder="1"/>
    <xf numFmtId="0" fontId="2" fillId="3" borderId="2" xfId="0" applyFont="1" applyFill="1" applyBorder="1" applyAlignment="1">
      <alignment wrapText="1"/>
    </xf>
    <xf numFmtId="0" fontId="2" fillId="0" borderId="0" xfId="0" applyFont="1" applyFill="1" applyBorder="1"/>
    <xf numFmtId="0" fontId="2" fillId="3" borderId="50" xfId="0" applyFont="1" applyFill="1" applyBorder="1"/>
    <xf numFmtId="0" fontId="2" fillId="3" borderId="50" xfId="0" applyFont="1" applyFill="1" applyBorder="1" applyAlignment="1">
      <alignment horizontal="center" vertical="center" wrapText="1"/>
    </xf>
    <xf numFmtId="0" fontId="1" fillId="0" borderId="12" xfId="0" applyFont="1" applyBorder="1"/>
    <xf numFmtId="0" fontId="1" fillId="0" borderId="37" xfId="0" applyFont="1" applyBorder="1"/>
    <xf numFmtId="0" fontId="2" fillId="8" borderId="2" xfId="0" applyFont="1" applyFill="1" applyBorder="1" applyAlignment="1">
      <alignment horizontal="center" vertical="center" wrapText="1"/>
    </xf>
    <xf numFmtId="0" fontId="1" fillId="0" borderId="0" xfId="0" applyFont="1" applyAlignment="1">
      <alignment wrapText="1"/>
    </xf>
    <xf numFmtId="3" fontId="12" fillId="8" borderId="35" xfId="0" applyNumberFormat="1" applyFont="1" applyFill="1" applyBorder="1"/>
    <xf numFmtId="0" fontId="2" fillId="3" borderId="13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9" fontId="1" fillId="0" borderId="0" xfId="0" applyNumberFormat="1" applyFont="1"/>
    <xf numFmtId="164" fontId="1" fillId="2" borderId="10" xfId="4" applyNumberFormat="1" applyFont="1" applyFill="1" applyBorder="1"/>
    <xf numFmtId="3" fontId="1" fillId="2" borderId="10" xfId="0" applyNumberFormat="1" applyFont="1" applyFill="1" applyBorder="1"/>
    <xf numFmtId="0" fontId="2" fillId="3" borderId="30" xfId="0" applyFont="1" applyFill="1" applyBorder="1"/>
    <xf numFmtId="164" fontId="3" fillId="5" borderId="23" xfId="4" applyNumberFormat="1" applyFont="1" applyFill="1" applyBorder="1"/>
    <xf numFmtId="3" fontId="3" fillId="5" borderId="17" xfId="0" applyNumberFormat="1" applyFont="1" applyFill="1" applyBorder="1"/>
    <xf numFmtId="165" fontId="1" fillId="2" borderId="11" xfId="2" applyNumberFormat="1" applyFont="1" applyFill="1" applyBorder="1"/>
    <xf numFmtId="165" fontId="1" fillId="4" borderId="10" xfId="0" applyNumberFormat="1" applyFont="1" applyFill="1" applyBorder="1" applyAlignment="1">
      <alignment horizontal="center" vertical="center" wrapText="1"/>
    </xf>
    <xf numFmtId="164" fontId="1" fillId="4" borderId="10" xfId="4" applyNumberFormat="1" applyFont="1" applyFill="1" applyBorder="1" applyAlignment="1">
      <alignment horizontal="center" vertical="center" wrapText="1"/>
    </xf>
    <xf numFmtId="0" fontId="1" fillId="4" borderId="10" xfId="0" applyNumberFormat="1" applyFont="1" applyFill="1" applyBorder="1" applyAlignment="1">
      <alignment horizontal="center" vertical="center" wrapText="1"/>
    </xf>
    <xf numFmtId="165" fontId="1" fillId="4" borderId="11" xfId="0" applyNumberFormat="1" applyFont="1" applyFill="1" applyBorder="1" applyAlignment="1">
      <alignment horizontal="center" vertical="center" wrapText="1"/>
    </xf>
    <xf numFmtId="166" fontId="1" fillId="2" borderId="10" xfId="4" applyNumberFormat="1" applyFont="1" applyFill="1" applyBorder="1"/>
    <xf numFmtId="166" fontId="1" fillId="2" borderId="10" xfId="0" applyNumberFormat="1" applyFont="1" applyFill="1" applyBorder="1"/>
    <xf numFmtId="167" fontId="1" fillId="0" borderId="0" xfId="0" applyNumberFormat="1" applyFont="1"/>
    <xf numFmtId="0" fontId="2" fillId="3" borderId="2" xfId="0" applyFont="1" applyFill="1" applyBorder="1" applyAlignment="1">
      <alignment horizontal="center" vertical="center" wrapText="1"/>
    </xf>
    <xf numFmtId="3" fontId="1" fillId="0" borderId="2" xfId="0" applyNumberFormat="1" applyFont="1" applyBorder="1"/>
    <xf numFmtId="0" fontId="2" fillId="3" borderId="29" xfId="0" applyFont="1" applyFill="1" applyBorder="1"/>
    <xf numFmtId="0" fontId="2" fillId="3" borderId="62" xfId="0" applyFont="1" applyFill="1" applyBorder="1" applyAlignment="1">
      <alignment horizontal="center" vertical="center" wrapText="1"/>
    </xf>
    <xf numFmtId="0" fontId="1" fillId="0" borderId="0" xfId="0" applyFont="1" applyFill="1" applyBorder="1" applyAlignment="1">
      <alignment wrapText="1"/>
    </xf>
    <xf numFmtId="0" fontId="5" fillId="0" borderId="0" xfId="0" applyFont="1" applyFill="1" applyBorder="1"/>
    <xf numFmtId="3" fontId="3" fillId="6" borderId="10" xfId="0" applyNumberFormat="1" applyFont="1" applyFill="1" applyBorder="1"/>
    <xf numFmtId="3" fontId="1" fillId="6" borderId="10" xfId="0" applyNumberFormat="1" applyFont="1" applyFill="1" applyBorder="1"/>
    <xf numFmtId="166" fontId="1" fillId="0" borderId="2" xfId="0" applyNumberFormat="1" applyFont="1" applyBorder="1"/>
    <xf numFmtId="168" fontId="1" fillId="0" borderId="0" xfId="0" applyNumberFormat="1" applyFont="1"/>
    <xf numFmtId="0" fontId="2" fillId="3" borderId="64" xfId="0" applyFont="1" applyFill="1" applyBorder="1" applyAlignment="1">
      <alignment horizontal="center" vertical="center" wrapText="1"/>
    </xf>
    <xf numFmtId="3" fontId="3" fillId="6" borderId="63" xfId="0" applyNumberFormat="1" applyFont="1" applyFill="1" applyBorder="1"/>
    <xf numFmtId="3" fontId="1" fillId="6" borderId="65" xfId="0" applyNumberFormat="1" applyFont="1" applyFill="1" applyBorder="1"/>
    <xf numFmtId="43" fontId="1" fillId="2" borderId="9" xfId="2" applyNumberFormat="1" applyFont="1" applyFill="1" applyBorder="1"/>
    <xf numFmtId="0" fontId="31" fillId="3" borderId="6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9" fontId="1" fillId="0" borderId="0" xfId="0" applyNumberFormat="1" applyFont="1"/>
    <xf numFmtId="164" fontId="1" fillId="2" borderId="10" xfId="4" applyNumberFormat="1" applyFont="1" applyFill="1" applyBorder="1"/>
    <xf numFmtId="0" fontId="1" fillId="0" borderId="0" xfId="0" applyFont="1" applyAlignment="1">
      <alignment wrapText="1"/>
    </xf>
    <xf numFmtId="0" fontId="0" fillId="0" borderId="0" xfId="0"/>
    <xf numFmtId="0" fontId="1" fillId="0" borderId="0" xfId="0" applyFont="1"/>
    <xf numFmtId="164" fontId="1" fillId="0" borderId="12" xfId="4" applyNumberFormat="1" applyFont="1" applyFill="1" applyBorder="1"/>
    <xf numFmtId="164" fontId="1" fillId="0" borderId="37" xfId="4" applyNumberFormat="1" applyFont="1" applyFill="1" applyBorder="1"/>
    <xf numFmtId="3" fontId="1" fillId="0" borderId="12" xfId="2" applyNumberFormat="1" applyFont="1" applyFill="1" applyBorder="1"/>
    <xf numFmtId="3" fontId="1" fillId="0" borderId="37" xfId="2" applyNumberFormat="1" applyFont="1" applyFill="1" applyBorder="1"/>
    <xf numFmtId="42" fontId="1" fillId="41" borderId="12" xfId="2" applyNumberFormat="1" applyFont="1" applyFill="1" applyBorder="1" applyAlignment="1">
      <alignment horizontal="left"/>
    </xf>
    <xf numFmtId="42" fontId="1" fillId="41" borderId="37" xfId="2" applyNumberFormat="1" applyFont="1" applyFill="1" applyBorder="1" applyAlignment="1">
      <alignment horizontal="left"/>
    </xf>
    <xf numFmtId="164" fontId="1" fillId="8" borderId="12" xfId="4" applyNumberFormat="1" applyFont="1" applyFill="1" applyBorder="1"/>
    <xf numFmtId="164" fontId="1" fillId="8" borderId="37" xfId="4" applyNumberFormat="1" applyFont="1" applyFill="1" applyBorder="1"/>
    <xf numFmtId="42" fontId="1" fillId="8" borderId="12" xfId="2" applyNumberFormat="1" applyFont="1" applyFill="1" applyBorder="1" applyAlignment="1">
      <alignment horizontal="left"/>
    </xf>
    <xf numFmtId="42" fontId="1" fillId="8" borderId="37" xfId="2" applyNumberFormat="1" applyFont="1" applyFill="1" applyBorder="1" applyAlignment="1">
      <alignment horizontal="left"/>
    </xf>
    <xf numFmtId="9" fontId="1" fillId="0" borderId="12" xfId="3" applyFont="1" applyFill="1" applyBorder="1"/>
    <xf numFmtId="9" fontId="1" fillId="0" borderId="12" xfId="3" applyFont="1" applyFill="1" applyBorder="1" applyAlignment="1">
      <alignment horizontal="left"/>
    </xf>
    <xf numFmtId="9" fontId="1" fillId="0" borderId="37" xfId="3" applyFont="1" applyFill="1" applyBorder="1"/>
    <xf numFmtId="9" fontId="1" fillId="0" borderId="37" xfId="3" applyFont="1" applyFill="1" applyBorder="1" applyAlignment="1">
      <alignment horizontal="left"/>
    </xf>
    <xf numFmtId="164" fontId="1" fillId="0" borderId="0" xfId="0" applyNumberFormat="1" applyFont="1"/>
    <xf numFmtId="9" fontId="1" fillId="0" borderId="0" xfId="3" applyFont="1" applyAlignment="1">
      <alignment horizontal="left"/>
    </xf>
    <xf numFmtId="9" fontId="1" fillId="2" borderId="11" xfId="3" applyFont="1" applyFill="1" applyBorder="1" applyAlignment="1">
      <alignment horizontal="right" vertical="center" wrapText="1"/>
    </xf>
    <xf numFmtId="5" fontId="1" fillId="5" borderId="2" xfId="4" applyNumberFormat="1" applyFont="1" applyFill="1" applyBorder="1"/>
    <xf numFmtId="9" fontId="1" fillId="0" borderId="0" xfId="3" applyFont="1"/>
    <xf numFmtId="0" fontId="2" fillId="3" borderId="13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8" fontId="1" fillId="9" borderId="2" xfId="0" applyNumberFormat="1" applyFont="1" applyFill="1" applyBorder="1"/>
    <xf numFmtId="0" fontId="1" fillId="42" borderId="12" xfId="0" applyFont="1" applyFill="1" applyBorder="1"/>
    <xf numFmtId="0" fontId="1" fillId="42" borderId="37" xfId="0" applyFont="1" applyFill="1" applyBorder="1"/>
    <xf numFmtId="9" fontId="1" fillId="42" borderId="37" xfId="3" applyFont="1" applyFill="1" applyBorder="1"/>
    <xf numFmtId="165" fontId="1" fillId="42" borderId="37" xfId="2" applyNumberFormat="1" applyFont="1" applyFill="1" applyBorder="1"/>
    <xf numFmtId="164" fontId="1" fillId="42" borderId="37" xfId="4" applyNumberFormat="1" applyFont="1" applyFill="1" applyBorder="1"/>
    <xf numFmtId="9" fontId="1" fillId="42" borderId="37" xfId="3" applyFont="1" applyFill="1" applyBorder="1" applyAlignment="1">
      <alignment horizontal="left"/>
    </xf>
    <xf numFmtId="0" fontId="1" fillId="0" borderId="0" xfId="0" applyFont="1" applyFill="1" applyBorder="1"/>
    <xf numFmtId="0" fontId="1" fillId="0" borderId="0" xfId="0" applyFont="1" applyFill="1"/>
    <xf numFmtId="8" fontId="1" fillId="0" borderId="0" xfId="0" applyNumberFormat="1" applyFont="1" applyFill="1" applyBorder="1"/>
    <xf numFmtId="44" fontId="1" fillId="0" borderId="0" xfId="4" applyNumberFormat="1" applyFont="1" applyFill="1" applyBorder="1"/>
    <xf numFmtId="9" fontId="1" fillId="0" borderId="0" xfId="0" applyNumberFormat="1" applyFont="1" applyFill="1" applyBorder="1"/>
    <xf numFmtId="0" fontId="1" fillId="9" borderId="2" xfId="0" applyFont="1" applyFill="1" applyBorder="1" applyAlignment="1">
      <alignment horizontal="center" wrapText="1"/>
    </xf>
    <xf numFmtId="9" fontId="1" fillId="9" borderId="2" xfId="3" applyFont="1" applyFill="1" applyBorder="1" applyAlignment="1">
      <alignment horizontal="center"/>
    </xf>
    <xf numFmtId="166" fontId="1" fillId="0" borderId="0" xfId="0" applyNumberFormat="1" applyFont="1"/>
    <xf numFmtId="0" fontId="2" fillId="3" borderId="12" xfId="0" applyFont="1" applyFill="1" applyBorder="1" applyAlignment="1">
      <alignment horizontal="center" vertical="center" wrapText="1"/>
    </xf>
    <xf numFmtId="0" fontId="2" fillId="8" borderId="41" xfId="0" applyFont="1" applyFill="1" applyBorder="1" applyAlignment="1">
      <alignment horizontal="center" vertical="center" wrapText="1"/>
    </xf>
    <xf numFmtId="0" fontId="2" fillId="3" borderId="66" xfId="0" applyFont="1" applyFill="1" applyBorder="1" applyAlignment="1">
      <alignment horizontal="center" vertical="center" wrapText="1"/>
    </xf>
    <xf numFmtId="0" fontId="2" fillId="8" borderId="33" xfId="0" applyFont="1" applyFill="1" applyBorder="1" applyAlignment="1">
      <alignment horizontal="center" vertical="center" wrapText="1"/>
    </xf>
    <xf numFmtId="164" fontId="1" fillId="2" borderId="34" xfId="4" applyNumberFormat="1" applyFont="1" applyFill="1" applyBorder="1"/>
    <xf numFmtId="6" fontId="1" fillId="0" borderId="34" xfId="0" applyNumberFormat="1" applyFont="1" applyFill="1" applyBorder="1"/>
    <xf numFmtId="9" fontId="1" fillId="2" borderId="34" xfId="3" applyFont="1" applyFill="1" applyBorder="1"/>
    <xf numFmtId="9" fontId="1" fillId="2" borderId="35" xfId="3" applyFont="1" applyFill="1" applyBorder="1"/>
    <xf numFmtId="9" fontId="1" fillId="0" borderId="0" xfId="0" applyNumberFormat="1" applyFont="1" applyFill="1"/>
    <xf numFmtId="0" fontId="5" fillId="0" borderId="0" xfId="0" applyFont="1" applyFill="1"/>
    <xf numFmtId="0" fontId="1" fillId="0" borderId="0" xfId="0" applyFont="1" applyFill="1" applyAlignment="1">
      <alignment wrapText="1"/>
    </xf>
    <xf numFmtId="37" fontId="1" fillId="42" borderId="12" xfId="0" applyNumberFormat="1" applyFont="1" applyFill="1" applyBorder="1" applyAlignment="1">
      <alignment horizontal="center"/>
    </xf>
    <xf numFmtId="9" fontId="1" fillId="42" borderId="12" xfId="3" applyFont="1" applyFill="1" applyBorder="1" applyAlignment="1">
      <alignment horizontal="center"/>
    </xf>
    <xf numFmtId="3" fontId="1" fillId="2" borderId="10" xfId="4" applyNumberFormat="1" applyFont="1" applyFill="1" applyBorder="1" applyAlignment="1">
      <alignment horizontal="center"/>
    </xf>
    <xf numFmtId="1" fontId="1" fillId="9" borderId="2" xfId="0" applyNumberFormat="1" applyFont="1" applyFill="1" applyBorder="1" applyAlignment="1">
      <alignment horizontal="center"/>
    </xf>
    <xf numFmtId="43" fontId="1" fillId="2" borderId="9" xfId="2" applyNumberFormat="1" applyFont="1" applyFill="1" applyBorder="1" applyAlignment="1">
      <alignment horizontal="center"/>
    </xf>
    <xf numFmtId="0" fontId="28" fillId="0" borderId="0" xfId="0" applyFont="1" applyAlignment="1">
      <alignment horizontal="center"/>
    </xf>
    <xf numFmtId="0" fontId="28" fillId="0" borderId="0" xfId="0" applyFont="1" applyAlignment="1">
      <alignment horizontal="left" wrapText="1"/>
    </xf>
    <xf numFmtId="0" fontId="28" fillId="0" borderId="0" xfId="0" quotePrefix="1" applyFont="1" applyAlignment="1">
      <alignment horizontal="center"/>
    </xf>
    <xf numFmtId="164" fontId="0" fillId="0" borderId="0" xfId="4" applyNumberFormat="1" applyFont="1" applyAlignment="1">
      <alignment horizontal="center"/>
    </xf>
    <xf numFmtId="9" fontId="0" fillId="0" borderId="0" xfId="0" applyNumberFormat="1" applyAlignment="1">
      <alignment horizontal="center"/>
    </xf>
    <xf numFmtId="164" fontId="0" fillId="0" borderId="0" xfId="4" applyNumberFormat="1" applyFont="1" applyAlignment="1">
      <alignment horizontal="center" vertical="center"/>
    </xf>
    <xf numFmtId="169" fontId="0" fillId="0" borderId="0" xfId="0" applyNumberFormat="1" applyAlignment="1">
      <alignment horizontal="center"/>
    </xf>
    <xf numFmtId="164" fontId="0" fillId="46" borderId="0" xfId="4" applyNumberFormat="1" applyFont="1" applyFill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64" fontId="0" fillId="0" borderId="0" xfId="0" applyNumberFormat="1"/>
    <xf numFmtId="9" fontId="0" fillId="0" borderId="0" xfId="3" applyFont="1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166" fontId="0" fillId="0" borderId="0" xfId="0" applyNumberFormat="1"/>
    <xf numFmtId="0" fontId="29" fillId="0" borderId="0" xfId="0" applyFont="1" applyFill="1" applyAlignment="1">
      <alignment horizontal="center"/>
    </xf>
    <xf numFmtId="0" fontId="0" fillId="0" borderId="70" xfId="0" applyBorder="1" applyAlignment="1">
      <alignment horizontal="left" vertical="center" wrapText="1" indent="1"/>
    </xf>
    <xf numFmtId="0" fontId="0" fillId="0" borderId="0" xfId="0" applyAlignment="1">
      <alignment wrapText="1"/>
    </xf>
    <xf numFmtId="0" fontId="0" fillId="0" borderId="71" xfId="0" applyBorder="1" applyAlignment="1">
      <alignment horizontal="left" vertical="center" indent="1"/>
    </xf>
    <xf numFmtId="166" fontId="0" fillId="0" borderId="0" xfId="4" applyNumberFormat="1" applyFont="1" applyAlignment="1">
      <alignment horizontal="center"/>
    </xf>
    <xf numFmtId="0" fontId="0" fillId="0" borderId="0" xfId="0" applyAlignment="1">
      <alignment horizontal="left" vertical="center" wrapText="1"/>
    </xf>
    <xf numFmtId="166" fontId="0" fillId="0" borderId="0" xfId="0" applyNumberFormat="1" applyAlignment="1">
      <alignment horizontal="center" vertical="center"/>
    </xf>
    <xf numFmtId="9" fontId="0" fillId="0" borderId="0" xfId="3" applyFont="1" applyAlignment="1">
      <alignment horizontal="center" vertical="center"/>
    </xf>
    <xf numFmtId="0" fontId="28" fillId="0" borderId="0" xfId="0" applyFont="1"/>
    <xf numFmtId="0" fontId="25" fillId="0" borderId="0" xfId="0" applyFont="1" applyFill="1" applyAlignment="1">
      <alignment horizontal="center"/>
    </xf>
    <xf numFmtId="0" fontId="0" fillId="0" borderId="70" xfId="0" applyBorder="1" applyAlignment="1">
      <alignment horizontal="center" vertical="center"/>
    </xf>
    <xf numFmtId="0" fontId="0" fillId="0" borderId="70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75" xfId="0" applyBorder="1" applyAlignment="1">
      <alignment horizontal="center" vertical="center" wrapText="1"/>
    </xf>
    <xf numFmtId="170" fontId="0" fillId="0" borderId="76" xfId="4" applyNumberFormat="1" applyFont="1" applyBorder="1" applyAlignment="1">
      <alignment horizontal="center" vertical="center"/>
    </xf>
    <xf numFmtId="170" fontId="0" fillId="0" borderId="77" xfId="4" applyNumberFormat="1" applyFont="1" applyBorder="1" applyAlignment="1">
      <alignment horizontal="center" vertical="center"/>
    </xf>
    <xf numFmtId="166" fontId="0" fillId="0" borderId="0" xfId="4" applyNumberFormat="1" applyFont="1" applyAlignment="1">
      <alignment horizontal="center" vertical="center"/>
    </xf>
    <xf numFmtId="170" fontId="0" fillId="0" borderId="78" xfId="4" applyNumberFormat="1" applyFont="1" applyBorder="1" applyAlignment="1">
      <alignment horizontal="center" vertical="center"/>
    </xf>
    <xf numFmtId="9" fontId="0" fillId="0" borderId="76" xfId="3" applyFont="1" applyBorder="1" applyAlignment="1">
      <alignment horizontal="center" vertical="center"/>
    </xf>
    <xf numFmtId="170" fontId="0" fillId="0" borderId="79" xfId="4" applyNumberFormat="1" applyFont="1" applyBorder="1" applyAlignment="1">
      <alignment horizontal="center" vertical="center"/>
    </xf>
    <xf numFmtId="170" fontId="0" fillId="0" borderId="80" xfId="4" applyNumberFormat="1" applyFont="1" applyBorder="1" applyAlignment="1">
      <alignment horizontal="center" vertical="center"/>
    </xf>
    <xf numFmtId="170" fontId="0" fillId="0" borderId="82" xfId="4" applyNumberFormat="1" applyFont="1" applyBorder="1" applyAlignment="1">
      <alignment horizontal="center" vertical="center"/>
    </xf>
    <xf numFmtId="9" fontId="0" fillId="0" borderId="80" xfId="3" applyFont="1" applyBorder="1" applyAlignment="1">
      <alignment horizontal="center" vertical="center"/>
    </xf>
    <xf numFmtId="170" fontId="0" fillId="0" borderId="83" xfId="4" applyNumberFormat="1" applyFont="1" applyBorder="1" applyAlignment="1">
      <alignment horizontal="center" vertical="center"/>
    </xf>
    <xf numFmtId="0" fontId="28" fillId="48" borderId="84" xfId="0" applyFont="1" applyFill="1" applyBorder="1" applyAlignment="1">
      <alignment horizontal="left" wrapText="1" indent="1"/>
    </xf>
    <xf numFmtId="170" fontId="28" fillId="48" borderId="85" xfId="0" applyNumberFormat="1" applyFont="1" applyFill="1" applyBorder="1" applyAlignment="1">
      <alignment horizontal="center" vertical="center"/>
    </xf>
    <xf numFmtId="170" fontId="28" fillId="48" borderId="86" xfId="0" applyNumberFormat="1" applyFont="1" applyFill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170" fontId="28" fillId="48" borderId="87" xfId="4" applyNumberFormat="1" applyFont="1" applyFill="1" applyBorder="1" applyAlignment="1">
      <alignment horizontal="center" vertical="center" wrapText="1"/>
    </xf>
    <xf numFmtId="9" fontId="28" fillId="48" borderId="88" xfId="3" applyFont="1" applyFill="1" applyBorder="1" applyAlignment="1">
      <alignment horizontal="center" vertical="center"/>
    </xf>
    <xf numFmtId="170" fontId="28" fillId="48" borderId="89" xfId="4" applyNumberFormat="1" applyFont="1" applyFill="1" applyBorder="1" applyAlignment="1">
      <alignment horizontal="center" vertical="center" wrapText="1"/>
    </xf>
    <xf numFmtId="166" fontId="38" fillId="48" borderId="89" xfId="4" applyNumberFormat="1" applyFont="1" applyFill="1" applyBorder="1" applyAlignment="1">
      <alignment horizontal="center" vertical="center" wrapText="1"/>
    </xf>
    <xf numFmtId="166" fontId="37" fillId="48" borderId="89" xfId="4" quotePrefix="1" applyNumberFormat="1" applyFont="1" applyFill="1" applyBorder="1" applyAlignment="1">
      <alignment horizontal="center" vertical="center" wrapText="1"/>
    </xf>
    <xf numFmtId="166" fontId="28" fillId="48" borderId="89" xfId="4" applyNumberFormat="1" applyFont="1" applyFill="1" applyBorder="1" applyAlignment="1">
      <alignment horizontal="center" vertical="center" wrapText="1"/>
    </xf>
    <xf numFmtId="0" fontId="0" fillId="0" borderId="74" xfId="0" applyBorder="1" applyAlignment="1">
      <alignment horizontal="center" vertical="center" wrapText="1"/>
    </xf>
    <xf numFmtId="170" fontId="0" fillId="0" borderId="0" xfId="3" applyNumberFormat="1" applyFont="1" applyFill="1" applyBorder="1" applyAlignment="1">
      <alignment horizontal="center" vertical="center"/>
    </xf>
    <xf numFmtId="0" fontId="39" fillId="47" borderId="47" xfId="0" applyFont="1" applyFill="1" applyBorder="1" applyAlignment="1">
      <alignment horizontal="center" vertical="center" wrapText="1"/>
    </xf>
    <xf numFmtId="0" fontId="39" fillId="47" borderId="48" xfId="0" applyFont="1" applyFill="1" applyBorder="1" applyAlignment="1">
      <alignment horizontal="center" vertical="center" wrapText="1"/>
    </xf>
    <xf numFmtId="0" fontId="39" fillId="47" borderId="0" xfId="0" applyFont="1" applyFill="1" applyBorder="1" applyAlignment="1">
      <alignment horizontal="center" vertical="center" wrapText="1"/>
    </xf>
    <xf numFmtId="0" fontId="1" fillId="0" borderId="47" xfId="0" applyFont="1" applyBorder="1" applyAlignment="1">
      <alignment horizontal="left" indent="1"/>
    </xf>
    <xf numFmtId="0" fontId="1" fillId="0" borderId="48" xfId="0" applyFont="1" applyBorder="1" applyAlignment="1">
      <alignment horizontal="left" indent="1"/>
    </xf>
    <xf numFmtId="3" fontId="0" fillId="0" borderId="48" xfId="0" applyNumberFormat="1" applyFont="1" applyBorder="1" applyAlignment="1">
      <alignment horizontal="center"/>
    </xf>
    <xf numFmtId="169" fontId="0" fillId="0" borderId="48" xfId="0" applyNumberFormat="1" applyFont="1" applyBorder="1" applyAlignment="1">
      <alignment horizontal="center"/>
    </xf>
    <xf numFmtId="171" fontId="11" fillId="0" borderId="48" xfId="3" applyNumberFormat="1" applyFont="1" applyBorder="1" applyAlignment="1">
      <alignment horizontal="center"/>
    </xf>
    <xf numFmtId="0" fontId="1" fillId="0" borderId="40" xfId="0" applyFont="1" applyBorder="1" applyAlignment="1">
      <alignment horizontal="left" indent="1"/>
    </xf>
    <xf numFmtId="0" fontId="1" fillId="0" borderId="0" xfId="0" applyFont="1" applyBorder="1" applyAlignment="1">
      <alignment horizontal="left" indent="1"/>
    </xf>
    <xf numFmtId="3" fontId="0" fillId="0" borderId="0" xfId="0" applyNumberFormat="1" applyFont="1" applyBorder="1" applyAlignment="1">
      <alignment horizontal="center"/>
    </xf>
    <xf numFmtId="169" fontId="0" fillId="0" borderId="0" xfId="0" applyNumberFormat="1" applyFont="1" applyBorder="1" applyAlignment="1">
      <alignment horizontal="center"/>
    </xf>
    <xf numFmtId="171" fontId="11" fillId="0" borderId="0" xfId="3" applyNumberFormat="1" applyFont="1" applyBorder="1" applyAlignment="1">
      <alignment horizontal="center"/>
    </xf>
    <xf numFmtId="0" fontId="1" fillId="0" borderId="25" xfId="0" applyFont="1" applyBorder="1" applyAlignment="1">
      <alignment horizontal="left" indent="1"/>
    </xf>
    <xf numFmtId="0" fontId="5" fillId="0" borderId="41" xfId="0" applyFont="1" applyBorder="1" applyAlignment="1">
      <alignment horizontal="left" indent="1"/>
    </xf>
    <xf numFmtId="0" fontId="5" fillId="0" borderId="42" xfId="0" applyFont="1" applyFill="1" applyBorder="1" applyAlignment="1">
      <alignment horizontal="left" indent="1"/>
    </xf>
    <xf numFmtId="166" fontId="28" fillId="0" borderId="42" xfId="0" applyNumberFormat="1" applyFont="1" applyBorder="1" applyAlignment="1">
      <alignment horizontal="center"/>
    </xf>
    <xf numFmtId="3" fontId="28" fillId="0" borderId="42" xfId="0" applyNumberFormat="1" applyFont="1" applyBorder="1" applyAlignment="1">
      <alignment horizontal="center"/>
    </xf>
    <xf numFmtId="171" fontId="28" fillId="0" borderId="42" xfId="0" applyNumberFormat="1" applyFont="1" applyBorder="1" applyAlignment="1">
      <alignment horizontal="center"/>
    </xf>
    <xf numFmtId="169" fontId="28" fillId="0" borderId="0" xfId="0" applyNumberFormat="1" applyFont="1" applyFill="1" applyBorder="1" applyAlignment="1">
      <alignment horizontal="center"/>
    </xf>
    <xf numFmtId="171" fontId="28" fillId="0" borderId="0" xfId="0" applyNumberFormat="1" applyFont="1" applyAlignment="1">
      <alignment horizontal="center"/>
    </xf>
    <xf numFmtId="0" fontId="40" fillId="0" borderId="0" xfId="0" applyFont="1"/>
    <xf numFmtId="0" fontId="2" fillId="8" borderId="90" xfId="0" applyFont="1" applyFill="1" applyBorder="1" applyAlignment="1">
      <alignment horizontal="center" vertical="center" wrapText="1"/>
    </xf>
    <xf numFmtId="0" fontId="2" fillId="8" borderId="91" xfId="0" applyFont="1" applyFill="1" applyBorder="1" applyAlignment="1">
      <alignment horizontal="center" vertical="center" wrapText="1"/>
    </xf>
    <xf numFmtId="0" fontId="1" fillId="0" borderId="12" xfId="0" applyFont="1" applyBorder="1" applyAlignment="1">
      <alignment horizontal="left" indent="1"/>
    </xf>
    <xf numFmtId="164" fontId="0" fillId="0" borderId="92" xfId="4" applyNumberFormat="1" applyFont="1" applyBorder="1"/>
    <xf numFmtId="164" fontId="0" fillId="0" borderId="93" xfId="4" applyNumberFormat="1" applyFont="1" applyBorder="1"/>
    <xf numFmtId="0" fontId="36" fillId="0" borderId="0" xfId="0" applyFont="1"/>
    <xf numFmtId="170" fontId="0" fillId="0" borderId="92" xfId="4" applyNumberFormat="1" applyFont="1" applyBorder="1" applyAlignment="1">
      <alignment horizontal="center"/>
    </xf>
    <xf numFmtId="170" fontId="0" fillId="0" borderId="93" xfId="4" applyNumberFormat="1" applyFont="1" applyBorder="1" applyAlignment="1">
      <alignment horizontal="center"/>
    </xf>
    <xf numFmtId="0" fontId="1" fillId="0" borderId="37" xfId="0" applyFont="1" applyBorder="1" applyAlignment="1">
      <alignment horizontal="left" indent="1"/>
    </xf>
    <xf numFmtId="164" fontId="0" fillId="0" borderId="94" xfId="4" applyNumberFormat="1" applyFont="1" applyBorder="1"/>
    <xf numFmtId="164" fontId="0" fillId="0" borderId="95" xfId="4" applyNumberFormat="1" applyFont="1" applyBorder="1"/>
    <xf numFmtId="170" fontId="0" fillId="0" borderId="94" xfId="4" applyNumberFormat="1" applyFont="1" applyBorder="1" applyAlignment="1">
      <alignment horizontal="center"/>
    </xf>
    <xf numFmtId="170" fontId="0" fillId="0" borderId="95" xfId="4" applyNumberFormat="1" applyFont="1" applyBorder="1" applyAlignment="1">
      <alignment horizontal="center"/>
    </xf>
    <xf numFmtId="0" fontId="26" fillId="0" borderId="0" xfId="0" applyFont="1"/>
    <xf numFmtId="9" fontId="2" fillId="8" borderId="41" xfId="0" applyNumberFormat="1" applyFont="1" applyFill="1" applyBorder="1" applyAlignment="1">
      <alignment horizontal="center" vertical="center" wrapText="1"/>
    </xf>
    <xf numFmtId="9" fontId="2" fillId="8" borderId="41" xfId="3" applyFont="1" applyFill="1" applyBorder="1" applyAlignment="1">
      <alignment horizontal="center" vertical="center" wrapText="1"/>
    </xf>
    <xf numFmtId="170" fontId="0" fillId="0" borderId="0" xfId="4" applyNumberFormat="1" applyFont="1" applyBorder="1" applyAlignment="1">
      <alignment horizontal="center"/>
    </xf>
    <xf numFmtId="0" fontId="0" fillId="0" borderId="0" xfId="0" applyFill="1"/>
    <xf numFmtId="170" fontId="0" fillId="0" borderId="0" xfId="4" applyNumberFormat="1" applyFont="1" applyFill="1" applyBorder="1" applyAlignment="1">
      <alignment horizontal="center"/>
    </xf>
    <xf numFmtId="9" fontId="0" fillId="0" borderId="0" xfId="0" applyNumberFormat="1"/>
    <xf numFmtId="168" fontId="0" fillId="0" borderId="0" xfId="4" applyNumberFormat="1" applyFont="1" applyBorder="1" applyAlignment="1">
      <alignment horizontal="center"/>
    </xf>
    <xf numFmtId="170" fontId="0" fillId="0" borderId="0" xfId="0" applyNumberFormat="1" applyAlignment="1">
      <alignment horizontal="center"/>
    </xf>
    <xf numFmtId="0" fontId="1" fillId="0" borderId="0" xfId="0" applyFont="1" applyBorder="1"/>
    <xf numFmtId="164" fontId="0" fillId="0" borderId="0" xfId="4" applyNumberFormat="1" applyFont="1" applyBorder="1"/>
    <xf numFmtId="3" fontId="1" fillId="0" borderId="12" xfId="2" applyNumberFormat="1" applyFont="1" applyFill="1" applyBorder="1" applyAlignment="1">
      <alignment horizontal="center"/>
    </xf>
    <xf numFmtId="3" fontId="1" fillId="0" borderId="37" xfId="2" applyNumberFormat="1" applyFont="1" applyFill="1" applyBorder="1" applyAlignment="1">
      <alignment horizontal="center"/>
    </xf>
    <xf numFmtId="3" fontId="34" fillId="42" borderId="37" xfId="2" applyNumberFormat="1" applyFont="1" applyFill="1" applyBorder="1" applyAlignment="1">
      <alignment horizontal="center"/>
    </xf>
    <xf numFmtId="9" fontId="1" fillId="0" borderId="0" xfId="0" applyNumberFormat="1" applyFont="1" applyFill="1" applyAlignment="1">
      <alignment horizontal="center"/>
    </xf>
    <xf numFmtId="0" fontId="1" fillId="0" borderId="0" xfId="0" applyFont="1" applyFill="1" applyAlignment="1">
      <alignment horizontal="center"/>
    </xf>
    <xf numFmtId="0" fontId="1" fillId="0" borderId="0" xfId="0" applyFont="1" applyAlignment="1">
      <alignment horizontal="center"/>
    </xf>
    <xf numFmtId="0" fontId="28" fillId="0" borderId="0" xfId="0" applyFont="1" applyAlignment="1">
      <alignment horizontal="center" wrapText="1"/>
    </xf>
    <xf numFmtId="166" fontId="0" fillId="0" borderId="48" xfId="0" applyNumberFormat="1" applyFont="1" applyBorder="1" applyAlignment="1">
      <alignment horizontal="center"/>
    </xf>
    <xf numFmtId="166" fontId="0" fillId="0" borderId="0" xfId="0" applyNumberFormat="1" applyFont="1" applyBorder="1" applyAlignment="1">
      <alignment horizontal="center"/>
    </xf>
    <xf numFmtId="166" fontId="0" fillId="0" borderId="0" xfId="0" applyNumberFormat="1" applyBorder="1" applyAlignment="1">
      <alignment horizontal="center"/>
    </xf>
    <xf numFmtId="0" fontId="0" fillId="0" borderId="0" xfId="0" applyFill="1" applyBorder="1"/>
    <xf numFmtId="9" fontId="2" fillId="0" borderId="0" xfId="3" applyFont="1" applyFill="1" applyBorder="1" applyAlignment="1">
      <alignment horizontal="center" vertical="center" wrapText="1"/>
    </xf>
    <xf numFmtId="0" fontId="2" fillId="3" borderId="38" xfId="0" applyFont="1" applyFill="1" applyBorder="1" applyAlignment="1">
      <alignment horizontal="center" vertical="center" wrapText="1"/>
    </xf>
    <xf numFmtId="0" fontId="2" fillId="3" borderId="26" xfId="0" applyFont="1" applyFill="1" applyBorder="1" applyAlignment="1">
      <alignment horizontal="center" vertical="center" wrapText="1"/>
    </xf>
    <xf numFmtId="44" fontId="1" fillId="0" borderId="0" xfId="4" applyNumberFormat="1" applyFont="1" applyBorder="1"/>
    <xf numFmtId="166" fontId="1" fillId="0" borderId="0" xfId="0" applyNumberFormat="1" applyFont="1" applyBorder="1"/>
    <xf numFmtId="0" fontId="2" fillId="8" borderId="28" xfId="0" applyFont="1" applyFill="1" applyBorder="1" applyAlignment="1">
      <alignment horizontal="center" vertical="center" wrapText="1"/>
    </xf>
    <xf numFmtId="0" fontId="1" fillId="0" borderId="12" xfId="0" applyFont="1" applyFill="1" applyBorder="1" applyAlignment="1">
      <alignment horizontal="left"/>
    </xf>
    <xf numFmtId="0" fontId="1" fillId="0" borderId="37" xfId="0" applyFont="1" applyFill="1" applyBorder="1" applyAlignment="1">
      <alignment horizontal="left"/>
    </xf>
    <xf numFmtId="0" fontId="2" fillId="3" borderId="12" xfId="0" applyFont="1" applyFill="1" applyBorder="1" applyAlignment="1">
      <alignment horizontal="center" vertical="center" wrapText="1"/>
    </xf>
    <xf numFmtId="0" fontId="2" fillId="8" borderId="41" xfId="0" applyFont="1" applyFill="1" applyBorder="1" applyAlignment="1">
      <alignment horizontal="center" vertical="center" wrapText="1"/>
    </xf>
    <xf numFmtId="9" fontId="32" fillId="8" borderId="2" xfId="0" applyNumberFormat="1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13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28" fillId="0" borderId="0" xfId="0" quotePrefix="1" applyFont="1" applyAlignment="1">
      <alignment horizontal="center" vertical="center" wrapText="1"/>
    </xf>
    <xf numFmtId="0" fontId="0" fillId="0" borderId="0" xfId="0" applyAlignment="1">
      <alignment vertical="center"/>
    </xf>
    <xf numFmtId="166" fontId="0" fillId="0" borderId="79" xfId="4" applyNumberFormat="1" applyFont="1" applyBorder="1" applyAlignment="1">
      <alignment horizontal="center" vertical="center"/>
    </xf>
    <xf numFmtId="166" fontId="0" fillId="0" borderId="83" xfId="4" applyNumberFormat="1" applyFont="1" applyBorder="1" applyAlignment="1">
      <alignment horizontal="center" vertical="center"/>
    </xf>
    <xf numFmtId="0" fontId="0" fillId="48" borderId="84" xfId="0" applyFont="1" applyFill="1" applyBorder="1" applyAlignment="1">
      <alignment horizontal="left" wrapText="1" indent="1"/>
    </xf>
    <xf numFmtId="171" fontId="0" fillId="0" borderId="0" xfId="3" applyNumberFormat="1" applyFont="1" applyAlignment="1">
      <alignment horizontal="center"/>
    </xf>
    <xf numFmtId="166" fontId="38" fillId="48" borderId="89" xfId="4" quotePrefix="1" applyNumberFormat="1" applyFont="1" applyFill="1" applyBorder="1" applyAlignment="1">
      <alignment horizontal="center" vertical="center" wrapText="1"/>
    </xf>
    <xf numFmtId="166" fontId="0" fillId="0" borderId="77" xfId="4" applyNumberFormat="1" applyFont="1" applyBorder="1" applyAlignment="1">
      <alignment horizontal="center" vertical="center"/>
    </xf>
    <xf numFmtId="166" fontId="0" fillId="0" borderId="81" xfId="4" applyNumberFormat="1" applyFont="1" applyBorder="1" applyAlignment="1">
      <alignment horizontal="center" vertical="center"/>
    </xf>
    <xf numFmtId="166" fontId="28" fillId="48" borderId="86" xfId="0" applyNumberFormat="1" applyFont="1" applyFill="1" applyBorder="1" applyAlignment="1">
      <alignment horizontal="center" vertical="center"/>
    </xf>
    <xf numFmtId="0" fontId="1" fillId="0" borderId="12" xfId="0" applyFont="1" applyFill="1" applyBorder="1" applyAlignment="1">
      <alignment horizontal="left" indent="1"/>
    </xf>
    <xf numFmtId="0" fontId="1" fillId="0" borderId="37" xfId="0" applyFont="1" applyFill="1" applyBorder="1" applyAlignment="1">
      <alignment horizontal="left" indent="1"/>
    </xf>
    <xf numFmtId="170" fontId="1" fillId="0" borderId="0" xfId="0" applyNumberFormat="1" applyFont="1" applyAlignment="1">
      <alignment horizontal="center"/>
    </xf>
    <xf numFmtId="0" fontId="39" fillId="47" borderId="49" xfId="0" applyFont="1" applyFill="1" applyBorder="1" applyAlignment="1">
      <alignment horizontal="center" vertical="center" wrapText="1"/>
    </xf>
    <xf numFmtId="166" fontId="28" fillId="0" borderId="42" xfId="4" applyNumberFormat="1" applyFont="1" applyBorder="1" applyAlignment="1">
      <alignment horizontal="center"/>
    </xf>
    <xf numFmtId="169" fontId="28" fillId="0" borderId="42" xfId="0" applyNumberFormat="1" applyFont="1" applyBorder="1" applyAlignment="1">
      <alignment horizontal="center"/>
    </xf>
    <xf numFmtId="170" fontId="0" fillId="0" borderId="48" xfId="0" applyNumberFormat="1" applyFont="1" applyBorder="1" applyAlignment="1">
      <alignment horizontal="center"/>
    </xf>
    <xf numFmtId="170" fontId="0" fillId="0" borderId="0" xfId="0" applyNumberFormat="1" applyFont="1" applyBorder="1" applyAlignment="1">
      <alignment horizontal="center"/>
    </xf>
    <xf numFmtId="10" fontId="0" fillId="0" borderId="0" xfId="3" applyNumberFormat="1" applyFont="1"/>
    <xf numFmtId="0" fontId="1" fillId="0" borderId="12" xfId="0" applyFont="1" applyBorder="1" applyAlignment="1">
      <alignment horizontal="left" vertical="center" indent="1"/>
    </xf>
    <xf numFmtId="0" fontId="1" fillId="0" borderId="37" xfId="0" applyFont="1" applyBorder="1" applyAlignment="1">
      <alignment horizontal="left" vertical="center" indent="1"/>
    </xf>
    <xf numFmtId="0" fontId="0" fillId="0" borderId="0" xfId="0" applyAlignment="1">
      <alignment horizontal="left" vertical="center" indent="1"/>
    </xf>
    <xf numFmtId="3" fontId="1" fillId="2" borderId="12" xfId="2" applyNumberFormat="1" applyFont="1" applyFill="1" applyBorder="1" applyAlignment="1">
      <alignment horizontal="center"/>
    </xf>
    <xf numFmtId="3" fontId="1" fillId="2" borderId="37" xfId="2" applyNumberFormat="1" applyFont="1" applyFill="1" applyBorder="1" applyAlignment="1">
      <alignment horizontal="center"/>
    </xf>
    <xf numFmtId="3" fontId="12" fillId="8" borderId="12" xfId="2" applyNumberFormat="1" applyFont="1" applyFill="1" applyBorder="1" applyAlignment="1">
      <alignment horizontal="center"/>
    </xf>
    <xf numFmtId="3" fontId="12" fillId="8" borderId="37" xfId="2" applyNumberFormat="1" applyFont="1" applyFill="1" applyBorder="1" applyAlignment="1">
      <alignment horizontal="center"/>
    </xf>
    <xf numFmtId="166" fontId="1" fillId="2" borderId="12" xfId="4" applyNumberFormat="1" applyFont="1" applyFill="1" applyBorder="1" applyAlignment="1">
      <alignment horizontal="center"/>
    </xf>
    <xf numFmtId="166" fontId="1" fillId="2" borderId="37" xfId="4" applyNumberFormat="1" applyFont="1" applyFill="1" applyBorder="1" applyAlignment="1">
      <alignment horizontal="center"/>
    </xf>
    <xf numFmtId="166" fontId="1" fillId="42" borderId="12" xfId="0" applyNumberFormat="1" applyFont="1" applyFill="1" applyBorder="1" applyAlignment="1">
      <alignment horizontal="center"/>
    </xf>
    <xf numFmtId="3" fontId="1" fillId="9" borderId="12" xfId="0" applyNumberFormat="1" applyFont="1" applyFill="1" applyBorder="1" applyAlignment="1">
      <alignment horizontal="center"/>
    </xf>
    <xf numFmtId="9" fontId="1" fillId="9" borderId="12" xfId="3" applyFont="1" applyFill="1" applyBorder="1" applyAlignment="1">
      <alignment horizontal="center"/>
    </xf>
    <xf numFmtId="3" fontId="1" fillId="9" borderId="37" xfId="0" applyNumberFormat="1" applyFont="1" applyFill="1" applyBorder="1" applyAlignment="1">
      <alignment horizontal="center"/>
    </xf>
    <xf numFmtId="9" fontId="1" fillId="9" borderId="37" xfId="3" applyFont="1" applyFill="1" applyBorder="1" applyAlignment="1">
      <alignment horizontal="center"/>
    </xf>
    <xf numFmtId="166" fontId="1" fillId="9" borderId="12" xfId="0" applyNumberFormat="1" applyFont="1" applyFill="1" applyBorder="1" applyAlignment="1">
      <alignment horizontal="center"/>
    </xf>
    <xf numFmtId="166" fontId="1" fillId="9" borderId="37" xfId="0" applyNumberFormat="1" applyFont="1" applyFill="1" applyBorder="1" applyAlignment="1">
      <alignment horizontal="center"/>
    </xf>
    <xf numFmtId="164" fontId="1" fillId="2" borderId="10" xfId="4" applyNumberFormat="1" applyFont="1" applyFill="1" applyBorder="1" applyAlignment="1">
      <alignment horizontal="center"/>
    </xf>
    <xf numFmtId="9" fontId="1" fillId="2" borderId="11" xfId="3" applyFont="1" applyFill="1" applyBorder="1" applyAlignment="1">
      <alignment horizontal="center" vertical="center" wrapText="1"/>
    </xf>
    <xf numFmtId="3" fontId="1" fillId="0" borderId="0" xfId="0" applyNumberFormat="1" applyFont="1" applyAlignment="1">
      <alignment horizontal="center"/>
    </xf>
    <xf numFmtId="37" fontId="1" fillId="42" borderId="12" xfId="2" applyNumberFormat="1" applyFont="1" applyFill="1" applyBorder="1" applyAlignment="1">
      <alignment horizontal="center"/>
    </xf>
    <xf numFmtId="9" fontId="1" fillId="0" borderId="37" xfId="0" applyNumberFormat="1" applyFont="1" applyBorder="1" applyAlignment="1">
      <alignment horizontal="center"/>
    </xf>
    <xf numFmtId="166" fontId="1" fillId="0" borderId="0" xfId="0" applyNumberFormat="1" applyFont="1" applyAlignment="1">
      <alignment horizontal="center"/>
    </xf>
    <xf numFmtId="9" fontId="1" fillId="0" borderId="0" xfId="3" applyFont="1" applyAlignment="1">
      <alignment horizontal="center"/>
    </xf>
    <xf numFmtId="9" fontId="1" fillId="0" borderId="0" xfId="0" applyNumberFormat="1" applyFont="1" applyAlignment="1">
      <alignment horizontal="center"/>
    </xf>
    <xf numFmtId="2" fontId="1" fillId="0" borderId="0" xfId="0" applyNumberFormat="1" applyFont="1"/>
    <xf numFmtId="0" fontId="28" fillId="0" borderId="0" xfId="0" applyFont="1" applyAlignment="1">
      <alignment horizontal="left" vertical="center" wrapText="1"/>
    </xf>
    <xf numFmtId="166" fontId="28" fillId="0" borderId="0" xfId="0" applyNumberFormat="1" applyFont="1" applyAlignment="1">
      <alignment horizontal="center" vertical="center"/>
    </xf>
    <xf numFmtId="9" fontId="28" fillId="0" borderId="0" xfId="3" applyFont="1" applyAlignment="1">
      <alignment horizontal="center" vertical="center"/>
    </xf>
    <xf numFmtId="170" fontId="0" fillId="0" borderId="97" xfId="4" applyNumberFormat="1" applyFont="1" applyBorder="1" applyAlignment="1">
      <alignment horizontal="center" vertical="center"/>
    </xf>
    <xf numFmtId="9" fontId="0" fillId="0" borderId="96" xfId="3" applyFont="1" applyBorder="1" applyAlignment="1">
      <alignment horizontal="center" vertical="center"/>
    </xf>
    <xf numFmtId="170" fontId="0" fillId="0" borderId="98" xfId="4" applyNumberFormat="1" applyFont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166" fontId="1" fillId="2" borderId="10" xfId="0" applyNumberFormat="1" applyFont="1" applyFill="1" applyBorder="1" applyAlignment="1">
      <alignment horizontal="center" vertical="center" wrapText="1"/>
    </xf>
    <xf numFmtId="166" fontId="3" fillId="5" borderId="10" xfId="0" applyNumberFormat="1" applyFont="1" applyFill="1" applyBorder="1" applyAlignment="1">
      <alignment horizontal="center"/>
    </xf>
    <xf numFmtId="3" fontId="1" fillId="6" borderId="2" xfId="0" applyNumberFormat="1" applyFont="1" applyFill="1" applyBorder="1" applyAlignment="1">
      <alignment horizontal="center"/>
    </xf>
    <xf numFmtId="3" fontId="1" fillId="6" borderId="11" xfId="0" applyNumberFormat="1" applyFont="1" applyFill="1" applyBorder="1" applyAlignment="1">
      <alignment horizontal="center"/>
    </xf>
    <xf numFmtId="2" fontId="1" fillId="2" borderId="2" xfId="0" applyNumberFormat="1" applyFont="1" applyFill="1" applyBorder="1" applyAlignment="1">
      <alignment horizontal="center"/>
    </xf>
    <xf numFmtId="5" fontId="1" fillId="2" borderId="2" xfId="4" applyNumberFormat="1" applyFont="1" applyFill="1" applyBorder="1" applyAlignment="1">
      <alignment horizontal="center" vertical="center"/>
    </xf>
    <xf numFmtId="9" fontId="1" fillId="2" borderId="2" xfId="0" applyNumberFormat="1" applyFont="1" applyFill="1" applyBorder="1" applyAlignment="1">
      <alignment horizontal="center"/>
    </xf>
    <xf numFmtId="7" fontId="0" fillId="0" borderId="0" xfId="0" applyNumberFormat="1"/>
    <xf numFmtId="166" fontId="1" fillId="0" borderId="2" xfId="0" applyNumberFormat="1" applyFont="1" applyBorder="1" applyAlignment="1">
      <alignment horizontal="center"/>
    </xf>
    <xf numFmtId="5" fontId="1" fillId="5" borderId="2" xfId="4" applyNumberFormat="1" applyFont="1" applyFill="1" applyBorder="1" applyAlignment="1">
      <alignment horizontal="center"/>
    </xf>
    <xf numFmtId="2" fontId="1" fillId="2" borderId="2" xfId="4" applyNumberFormat="1" applyFont="1" applyFill="1" applyBorder="1" applyAlignment="1">
      <alignment horizontal="center" vertical="center"/>
    </xf>
    <xf numFmtId="8" fontId="1" fillId="9" borderId="2" xfId="4" applyNumberFormat="1" applyFont="1" applyFill="1" applyBorder="1"/>
    <xf numFmtId="0" fontId="28" fillId="48" borderId="0" xfId="0" applyFont="1" applyFill="1" applyAlignment="1">
      <alignment horizontal="center"/>
    </xf>
    <xf numFmtId="171" fontId="28" fillId="0" borderId="42" xfId="3" applyNumberFormat="1" applyFont="1" applyBorder="1" applyAlignment="1">
      <alignment horizontal="center"/>
    </xf>
    <xf numFmtId="10" fontId="0" fillId="0" borderId="0" xfId="3" applyNumberFormat="1" applyFont="1" applyBorder="1" applyAlignment="1">
      <alignment horizontal="center"/>
    </xf>
    <xf numFmtId="44" fontId="1" fillId="0" borderId="0" xfId="0" applyNumberFormat="1" applyFont="1"/>
    <xf numFmtId="9" fontId="0" fillId="0" borderId="80" xfId="3" applyFont="1" applyFill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 wrapText="1"/>
    </xf>
    <xf numFmtId="166" fontId="1" fillId="2" borderId="40" xfId="4" applyNumberFormat="1" applyFont="1" applyFill="1" applyBorder="1" applyAlignment="1">
      <alignment horizontal="center"/>
    </xf>
    <xf numFmtId="166" fontId="12" fillId="8" borderId="49" xfId="2" applyNumberFormat="1" applyFont="1" applyFill="1" applyBorder="1" applyAlignment="1">
      <alignment horizontal="center"/>
    </xf>
    <xf numFmtId="166" fontId="1" fillId="2" borderId="32" xfId="4" applyNumberFormat="1" applyFont="1" applyFill="1" applyBorder="1" applyAlignment="1">
      <alignment horizontal="center"/>
    </xf>
    <xf numFmtId="9" fontId="1" fillId="0" borderId="12" xfId="0" applyNumberFormat="1" applyFont="1" applyBorder="1" applyAlignment="1">
      <alignment horizontal="center"/>
    </xf>
    <xf numFmtId="0" fontId="0" fillId="0" borderId="0" xfId="0" applyAlignment="1"/>
    <xf numFmtId="3" fontId="0" fillId="43" borderId="0" xfId="0" applyNumberFormat="1" applyFill="1"/>
    <xf numFmtId="9" fontId="0" fillId="0" borderId="0" xfId="3" applyFont="1"/>
    <xf numFmtId="0" fontId="1" fillId="0" borderId="48" xfId="0" applyFont="1" applyBorder="1" applyAlignment="1"/>
    <xf numFmtId="0" fontId="1" fillId="0" borderId="0" xfId="0" applyFont="1" applyBorder="1" applyAlignment="1"/>
    <xf numFmtId="2" fontId="0" fillId="0" borderId="0" xfId="0" applyNumberFormat="1"/>
    <xf numFmtId="3" fontId="1" fillId="0" borderId="0" xfId="0" applyNumberFormat="1" applyFont="1"/>
    <xf numFmtId="172" fontId="28" fillId="0" borderId="27" xfId="0" applyNumberFormat="1" applyFont="1" applyBorder="1" applyAlignment="1">
      <alignment horizontal="center"/>
    </xf>
    <xf numFmtId="4" fontId="0" fillId="43" borderId="12" xfId="0" applyNumberFormat="1" applyFont="1" applyFill="1" applyBorder="1" applyAlignment="1">
      <alignment horizontal="center"/>
    </xf>
    <xf numFmtId="4" fontId="0" fillId="43" borderId="37" xfId="0" applyNumberFormat="1" applyFont="1" applyFill="1" applyBorder="1" applyAlignment="1">
      <alignment horizontal="center"/>
    </xf>
    <xf numFmtId="4" fontId="0" fillId="43" borderId="32" xfId="0" applyNumberFormat="1" applyFont="1" applyFill="1" applyBorder="1" applyAlignment="1">
      <alignment horizontal="center"/>
    </xf>
    <xf numFmtId="0" fontId="29" fillId="0" borderId="0" xfId="0" applyFont="1"/>
    <xf numFmtId="166" fontId="1" fillId="49" borderId="40" xfId="4" applyNumberFormat="1" applyFont="1" applyFill="1" applyBorder="1" applyAlignment="1">
      <alignment horizontal="center"/>
    </xf>
    <xf numFmtId="166" fontId="1" fillId="49" borderId="37" xfId="4" applyNumberFormat="1" applyFont="1" applyFill="1" applyBorder="1" applyAlignment="1">
      <alignment horizontal="center"/>
    </xf>
    <xf numFmtId="0" fontId="2" fillId="3" borderId="12" xfId="0" applyFont="1" applyFill="1" applyBorder="1" applyAlignment="1">
      <alignment horizontal="center" vertical="center" wrapText="1"/>
    </xf>
    <xf numFmtId="0" fontId="2" fillId="3" borderId="13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41" fillId="0" borderId="0" xfId="0" applyFont="1"/>
    <xf numFmtId="0" fontId="42" fillId="0" borderId="0" xfId="0" applyFont="1"/>
    <xf numFmtId="0" fontId="41" fillId="0" borderId="70" xfId="0" applyFont="1" applyBorder="1" applyAlignment="1">
      <alignment horizontal="center" vertical="center"/>
    </xf>
    <xf numFmtId="0" fontId="41" fillId="0" borderId="70" xfId="0" applyFont="1" applyBorder="1" applyAlignment="1">
      <alignment horizontal="center" vertical="center" wrapText="1"/>
    </xf>
    <xf numFmtId="0" fontId="41" fillId="0" borderId="0" xfId="0" applyFont="1" applyAlignment="1">
      <alignment horizontal="center" vertical="center" wrapText="1"/>
    </xf>
    <xf numFmtId="0" fontId="41" fillId="0" borderId="74" xfId="0" applyFont="1" applyBorder="1" applyAlignment="1">
      <alignment horizontal="center" vertical="center" wrapText="1"/>
    </xf>
    <xf numFmtId="0" fontId="41" fillId="0" borderId="70" xfId="0" applyFont="1" applyBorder="1" applyAlignment="1">
      <alignment horizontal="left" vertical="center" wrapText="1" indent="1"/>
    </xf>
    <xf numFmtId="170" fontId="41" fillId="0" borderId="70" xfId="0" applyNumberFormat="1" applyFont="1" applyBorder="1" applyAlignment="1">
      <alignment horizontal="center" vertical="center"/>
    </xf>
    <xf numFmtId="170" fontId="41" fillId="0" borderId="99" xfId="0" applyNumberFormat="1" applyFont="1" applyBorder="1" applyAlignment="1">
      <alignment horizontal="center" vertical="center"/>
    </xf>
    <xf numFmtId="170" fontId="41" fillId="0" borderId="78" xfId="4" applyNumberFormat="1" applyFont="1" applyBorder="1" applyAlignment="1">
      <alignment horizontal="center" vertical="center"/>
    </xf>
    <xf numFmtId="9" fontId="41" fillId="0" borderId="76" xfId="3" applyFont="1" applyBorder="1" applyAlignment="1">
      <alignment horizontal="center" vertical="center"/>
    </xf>
    <xf numFmtId="0" fontId="41" fillId="0" borderId="71" xfId="0" applyFont="1" applyBorder="1" applyAlignment="1">
      <alignment horizontal="left" vertical="center" indent="1"/>
    </xf>
    <xf numFmtId="170" fontId="41" fillId="0" borderId="0" xfId="0" applyNumberFormat="1" applyFont="1" applyBorder="1" applyAlignment="1">
      <alignment horizontal="center" vertical="center"/>
    </xf>
    <xf numFmtId="0" fontId="42" fillId="48" borderId="84" xfId="0" applyFont="1" applyFill="1" applyBorder="1" applyAlignment="1">
      <alignment horizontal="left" vertical="center" wrapText="1" indent="1"/>
    </xf>
    <xf numFmtId="170" fontId="42" fillId="48" borderId="85" xfId="0" applyNumberFormat="1" applyFont="1" applyFill="1" applyBorder="1" applyAlignment="1">
      <alignment horizontal="center" vertical="center"/>
    </xf>
    <xf numFmtId="166" fontId="42" fillId="48" borderId="86" xfId="0" applyNumberFormat="1" applyFont="1" applyFill="1" applyBorder="1" applyAlignment="1">
      <alignment horizontal="center" vertical="center"/>
    </xf>
    <xf numFmtId="170" fontId="42" fillId="48" borderId="87" xfId="4" applyNumberFormat="1" applyFont="1" applyFill="1" applyBorder="1" applyAlignment="1">
      <alignment horizontal="center" vertical="center" wrapText="1"/>
    </xf>
    <xf numFmtId="9" fontId="42" fillId="48" borderId="88" xfId="3" applyFont="1" applyFill="1" applyBorder="1" applyAlignment="1">
      <alignment horizontal="center" vertical="center"/>
    </xf>
    <xf numFmtId="0" fontId="28" fillId="48" borderId="84" xfId="0" applyFont="1" applyFill="1" applyBorder="1" applyAlignment="1">
      <alignment horizontal="left" vertical="center" wrapText="1"/>
    </xf>
    <xf numFmtId="0" fontId="0" fillId="48" borderId="84" xfId="0" applyFont="1" applyFill="1" applyBorder="1" applyAlignment="1">
      <alignment horizontal="left" vertical="center" wrapText="1"/>
    </xf>
    <xf numFmtId="0" fontId="2" fillId="3" borderId="38" xfId="0" applyFont="1" applyFill="1" applyBorder="1" applyAlignment="1">
      <alignment horizontal="center" vertical="center" wrapText="1"/>
    </xf>
    <xf numFmtId="0" fontId="2" fillId="3" borderId="32" xfId="0" applyFont="1" applyFill="1" applyBorder="1" applyAlignment="1">
      <alignment horizontal="center" vertical="center" wrapText="1"/>
    </xf>
    <xf numFmtId="0" fontId="2" fillId="3" borderId="12" xfId="0" applyFont="1" applyFill="1" applyBorder="1" applyAlignment="1">
      <alignment horizontal="center" vertical="center" wrapText="1"/>
    </xf>
    <xf numFmtId="0" fontId="2" fillId="8" borderId="41" xfId="0" applyFont="1" applyFill="1" applyBorder="1" applyAlignment="1">
      <alignment horizontal="center" vertical="center" wrapText="1"/>
    </xf>
    <xf numFmtId="0" fontId="2" fillId="8" borderId="13" xfId="0" applyFont="1" applyFill="1" applyBorder="1" applyAlignment="1">
      <alignment horizontal="center" vertical="center" wrapText="1"/>
    </xf>
    <xf numFmtId="0" fontId="28" fillId="44" borderId="0" xfId="0" applyFont="1" applyFill="1" applyAlignment="1">
      <alignment horizontal="center"/>
    </xf>
    <xf numFmtId="0" fontId="25" fillId="45" borderId="0" xfId="0" applyFont="1" applyFill="1" applyAlignment="1">
      <alignment horizontal="center" wrapText="1"/>
    </xf>
    <xf numFmtId="0" fontId="25" fillId="45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28" fillId="48" borderId="0" xfId="0" applyFont="1" applyFill="1" applyAlignment="1">
      <alignment horizontal="center"/>
    </xf>
    <xf numFmtId="0" fontId="28" fillId="0" borderId="72" xfId="0" applyFont="1" applyBorder="1" applyAlignment="1">
      <alignment horizontal="center" vertical="center" wrapText="1"/>
    </xf>
    <xf numFmtId="0" fontId="28" fillId="0" borderId="73" xfId="0" applyFont="1" applyBorder="1" applyAlignment="1">
      <alignment horizontal="center" vertical="center" wrapText="1"/>
    </xf>
    <xf numFmtId="0" fontId="25" fillId="47" borderId="67" xfId="0" applyFont="1" applyFill="1" applyBorder="1" applyAlignment="1">
      <alignment horizontal="center" vertical="center"/>
    </xf>
    <xf numFmtId="0" fontId="25" fillId="47" borderId="68" xfId="0" applyFont="1" applyFill="1" applyBorder="1" applyAlignment="1">
      <alignment horizontal="center" vertical="center"/>
    </xf>
    <xf numFmtId="0" fontId="25" fillId="47" borderId="69" xfId="0" applyFont="1" applyFill="1" applyBorder="1" applyAlignment="1">
      <alignment horizontal="center" vertical="center"/>
    </xf>
    <xf numFmtId="0" fontId="28" fillId="0" borderId="72" xfId="0" applyFont="1" applyBorder="1" applyAlignment="1">
      <alignment horizontal="center" vertical="center"/>
    </xf>
    <xf numFmtId="0" fontId="28" fillId="0" borderId="73" xfId="0" applyFont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6" fillId="43" borderId="0" xfId="0" applyFont="1" applyFill="1" applyAlignment="1">
      <alignment horizontal="center" vertical="center"/>
    </xf>
    <xf numFmtId="0" fontId="26" fillId="0" borderId="0" xfId="0" applyFont="1" applyFill="1" applyAlignment="1">
      <alignment horizontal="center" vertical="center"/>
    </xf>
    <xf numFmtId="0" fontId="43" fillId="47" borderId="67" xfId="0" applyFont="1" applyFill="1" applyBorder="1" applyAlignment="1">
      <alignment horizontal="center" vertical="center"/>
    </xf>
    <xf numFmtId="0" fontId="43" fillId="47" borderId="68" xfId="0" applyFont="1" applyFill="1" applyBorder="1" applyAlignment="1">
      <alignment horizontal="center" vertical="center"/>
    </xf>
    <xf numFmtId="0" fontId="41" fillId="0" borderId="72" xfId="0" applyFont="1" applyBorder="1" applyAlignment="1">
      <alignment horizontal="center" vertical="center"/>
    </xf>
    <xf numFmtId="0" fontId="41" fillId="0" borderId="100" xfId="0" applyFont="1" applyBorder="1" applyAlignment="1">
      <alignment horizontal="center" vertical="center"/>
    </xf>
    <xf numFmtId="0" fontId="41" fillId="0" borderId="73" xfId="0" applyFont="1" applyBorder="1" applyAlignment="1">
      <alignment horizontal="center" vertical="center"/>
    </xf>
    <xf numFmtId="0" fontId="2" fillId="3" borderId="37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8" borderId="41" xfId="0" applyFont="1" applyFill="1" applyBorder="1" applyAlignment="1">
      <alignment horizontal="center" vertical="center"/>
    </xf>
    <xf numFmtId="0" fontId="2" fillId="8" borderId="42" xfId="0" applyFont="1" applyFill="1" applyBorder="1" applyAlignment="1">
      <alignment horizontal="center" vertical="center"/>
    </xf>
    <xf numFmtId="0" fontId="35" fillId="0" borderId="40" xfId="0" applyFont="1" applyBorder="1" applyAlignment="1">
      <alignment horizontal="left" wrapText="1"/>
    </xf>
    <xf numFmtId="0" fontId="32" fillId="0" borderId="0" xfId="0" applyFont="1" applyAlignment="1">
      <alignment horizontal="left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1" fillId="6" borderId="41" xfId="0" applyFont="1" applyFill="1" applyBorder="1" applyAlignment="1">
      <alignment horizontal="left"/>
    </xf>
    <xf numFmtId="0" fontId="1" fillId="6" borderId="42" xfId="0" applyFont="1" applyFill="1" applyBorder="1" applyAlignment="1">
      <alignment horizontal="left"/>
    </xf>
    <xf numFmtId="0" fontId="1" fillId="6" borderId="13" xfId="0" applyFont="1" applyFill="1" applyBorder="1" applyAlignment="1">
      <alignment horizontal="left"/>
    </xf>
    <xf numFmtId="0" fontId="2" fillId="3" borderId="41" xfId="0" applyFont="1" applyFill="1" applyBorder="1" applyAlignment="1">
      <alignment horizontal="center" vertical="center" wrapText="1"/>
    </xf>
    <xf numFmtId="0" fontId="2" fillId="3" borderId="42" xfId="0" applyFont="1" applyFill="1" applyBorder="1" applyAlignment="1">
      <alignment horizontal="center" vertical="center" wrapText="1"/>
    </xf>
    <xf numFmtId="0" fontId="2" fillId="3" borderId="13" xfId="0" applyFont="1" applyFill="1" applyBorder="1" applyAlignment="1">
      <alignment horizontal="center" vertical="center" wrapText="1"/>
    </xf>
    <xf numFmtId="0" fontId="2" fillId="3" borderId="41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 wrapText="1"/>
    </xf>
    <xf numFmtId="0" fontId="5" fillId="0" borderId="2" xfId="0" applyFont="1" applyBorder="1" applyAlignment="1">
      <alignment horizontal="center" vertical="center" wrapText="1"/>
    </xf>
    <xf numFmtId="0" fontId="2" fillId="3" borderId="28" xfId="0" applyFont="1" applyFill="1" applyBorder="1" applyAlignment="1">
      <alignment horizontal="center" vertical="center" wrapText="1"/>
    </xf>
    <xf numFmtId="0" fontId="2" fillId="3" borderId="29" xfId="0" applyFont="1" applyFill="1" applyBorder="1" applyAlignment="1">
      <alignment horizontal="center" vertical="center" wrapText="1"/>
    </xf>
    <xf numFmtId="0" fontId="1" fillId="0" borderId="24" xfId="0" applyFont="1" applyBorder="1" applyAlignment="1">
      <alignment horizontal="left" vertical="center" wrapText="1"/>
    </xf>
    <xf numFmtId="0" fontId="1" fillId="0" borderId="3" xfId="0" applyFont="1" applyBorder="1" applyAlignment="1">
      <alignment horizontal="left" vertical="center" wrapText="1"/>
    </xf>
    <xf numFmtId="0" fontId="1" fillId="0" borderId="26" xfId="0" applyFont="1" applyBorder="1" applyAlignment="1">
      <alignment horizontal="left" vertical="center" wrapText="1"/>
    </xf>
    <xf numFmtId="0" fontId="1" fillId="0" borderId="25" xfId="0" applyFont="1" applyBorder="1" applyAlignment="1">
      <alignment horizontal="left" vertical="center" wrapText="1"/>
    </xf>
    <xf numFmtId="0" fontId="1" fillId="0" borderId="20" xfId="0" applyFont="1" applyBorder="1" applyAlignment="1">
      <alignment horizontal="left" vertical="center" wrapText="1"/>
    </xf>
    <xf numFmtId="0" fontId="1" fillId="0" borderId="27" xfId="0" applyFont="1" applyBorder="1" applyAlignment="1">
      <alignment horizontal="left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3" borderId="9" xfId="0" applyFont="1" applyFill="1" applyBorder="1" applyAlignment="1">
      <alignment horizontal="center" vertical="center" wrapText="1"/>
    </xf>
    <xf numFmtId="0" fontId="1" fillId="3" borderId="60" xfId="0" applyFont="1" applyFill="1" applyBorder="1" applyAlignment="1">
      <alignment horizontal="center" wrapText="1"/>
    </xf>
    <xf numFmtId="0" fontId="1" fillId="3" borderId="61" xfId="0" applyFont="1" applyFill="1" applyBorder="1" applyAlignment="1">
      <alignment horizontal="center" wrapText="1"/>
    </xf>
    <xf numFmtId="0" fontId="2" fillId="3" borderId="7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15" xfId="0" applyFont="1" applyFill="1" applyBorder="1" applyAlignment="1">
      <alignment horizontal="center" vertical="center" wrapText="1"/>
    </xf>
    <xf numFmtId="0" fontId="2" fillId="3" borderId="18" xfId="0" applyFont="1" applyFill="1" applyBorder="1" applyAlignment="1">
      <alignment horizontal="center" vertical="center" wrapText="1"/>
    </xf>
    <xf numFmtId="0" fontId="2" fillId="3" borderId="19" xfId="0" applyFont="1" applyFill="1" applyBorder="1" applyAlignment="1">
      <alignment horizontal="center" vertical="center" wrapText="1"/>
    </xf>
    <xf numFmtId="0" fontId="2" fillId="3" borderId="21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1" fillId="3" borderId="44" xfId="0" applyFont="1" applyFill="1" applyBorder="1" applyAlignment="1">
      <alignment horizontal="center"/>
    </xf>
    <xf numFmtId="0" fontId="1" fillId="3" borderId="45" xfId="0" applyFont="1" applyFill="1" applyBorder="1" applyAlignment="1">
      <alignment horizontal="center"/>
    </xf>
    <xf numFmtId="0" fontId="1" fillId="3" borderId="46" xfId="0" applyFont="1" applyFill="1" applyBorder="1" applyAlignment="1">
      <alignment horizontal="center"/>
    </xf>
    <xf numFmtId="0" fontId="1" fillId="3" borderId="34" xfId="0" applyFont="1" applyFill="1" applyBorder="1" applyAlignment="1">
      <alignment horizontal="left"/>
    </xf>
    <xf numFmtId="0" fontId="1" fillId="3" borderId="35" xfId="0" applyFont="1" applyFill="1" applyBorder="1" applyAlignment="1">
      <alignment horizontal="left"/>
    </xf>
    <xf numFmtId="0" fontId="1" fillId="0" borderId="24" xfId="0" applyFont="1" applyBorder="1" applyAlignment="1">
      <alignment horizontal="left" wrapText="1"/>
    </xf>
    <xf numFmtId="0" fontId="1" fillId="0" borderId="3" xfId="0" applyFont="1" applyBorder="1" applyAlignment="1">
      <alignment horizontal="left" wrapText="1"/>
    </xf>
    <xf numFmtId="0" fontId="1" fillId="0" borderId="26" xfId="0" applyFont="1" applyBorder="1" applyAlignment="1">
      <alignment horizontal="left" wrapText="1"/>
    </xf>
    <xf numFmtId="0" fontId="1" fillId="0" borderId="25" xfId="0" applyFont="1" applyBorder="1" applyAlignment="1">
      <alignment horizontal="left" wrapText="1"/>
    </xf>
    <xf numFmtId="0" fontId="1" fillId="0" borderId="20" xfId="0" applyFont="1" applyBorder="1" applyAlignment="1">
      <alignment horizontal="left" wrapText="1"/>
    </xf>
    <xf numFmtId="0" fontId="1" fillId="0" borderId="27" xfId="0" applyFont="1" applyBorder="1" applyAlignment="1">
      <alignment horizontal="left" wrapText="1"/>
    </xf>
    <xf numFmtId="0" fontId="2" fillId="3" borderId="1" xfId="0" applyFont="1" applyFill="1" applyBorder="1" applyAlignment="1">
      <alignment horizontal="center" vertical="center" wrapText="1"/>
    </xf>
    <xf numFmtId="0" fontId="1" fillId="3" borderId="44" xfId="0" applyFont="1" applyFill="1" applyBorder="1" applyAlignment="1">
      <alignment horizontal="left" wrapText="1"/>
    </xf>
    <xf numFmtId="0" fontId="1" fillId="3" borderId="45" xfId="0" applyFont="1" applyFill="1" applyBorder="1" applyAlignment="1">
      <alignment horizontal="left" wrapText="1"/>
    </xf>
    <xf numFmtId="0" fontId="1" fillId="3" borderId="46" xfId="0" applyFont="1" applyFill="1" applyBorder="1" applyAlignment="1">
      <alignment horizontal="left" wrapText="1"/>
    </xf>
    <xf numFmtId="0" fontId="1" fillId="0" borderId="2" xfId="0" applyFont="1" applyBorder="1" applyAlignment="1">
      <alignment horizontal="left" vertical="center" wrapText="1"/>
    </xf>
    <xf numFmtId="0" fontId="2" fillId="3" borderId="39" xfId="0" applyFont="1" applyFill="1" applyBorder="1" applyAlignment="1">
      <alignment horizontal="center" vertical="center" wrapText="1"/>
    </xf>
    <xf numFmtId="0" fontId="2" fillId="3" borderId="36" xfId="0" applyFont="1" applyFill="1" applyBorder="1" applyAlignment="1">
      <alignment horizontal="center" vertical="center" wrapText="1"/>
    </xf>
    <xf numFmtId="0" fontId="2" fillId="3" borderId="30" xfId="0" applyFont="1" applyFill="1" applyBorder="1" applyAlignment="1">
      <alignment horizontal="center" vertical="center" wrapText="1"/>
    </xf>
    <xf numFmtId="0" fontId="2" fillId="3" borderId="28" xfId="0" applyFont="1" applyFill="1" applyBorder="1" applyAlignment="1">
      <alignment horizontal="left" vertical="center" wrapText="1"/>
    </xf>
    <xf numFmtId="0" fontId="2" fillId="3" borderId="36" xfId="0" applyFont="1" applyFill="1" applyBorder="1" applyAlignment="1">
      <alignment horizontal="left" vertical="center" wrapText="1"/>
    </xf>
    <xf numFmtId="0" fontId="5" fillId="0" borderId="2" xfId="0" applyFont="1" applyBorder="1" applyAlignment="1">
      <alignment horizontal="left" wrapText="1"/>
    </xf>
    <xf numFmtId="0" fontId="1" fillId="0" borderId="47" xfId="0" applyFont="1" applyBorder="1" applyAlignment="1">
      <alignment horizontal="left" vertical="center" wrapText="1"/>
    </xf>
    <xf numFmtId="0" fontId="1" fillId="0" borderId="48" xfId="0" applyFont="1" applyBorder="1" applyAlignment="1">
      <alignment horizontal="left" vertical="center" wrapText="1"/>
    </xf>
    <xf numFmtId="0" fontId="1" fillId="0" borderId="49" xfId="0" applyFont="1" applyBorder="1" applyAlignment="1">
      <alignment horizontal="left" vertical="center" wrapText="1"/>
    </xf>
    <xf numFmtId="0" fontId="1" fillId="3" borderId="34" xfId="0" applyFont="1" applyFill="1" applyBorder="1" applyAlignment="1">
      <alignment horizontal="center" wrapText="1"/>
    </xf>
    <xf numFmtId="0" fontId="1" fillId="3" borderId="35" xfId="0" applyFont="1" applyFill="1" applyBorder="1" applyAlignment="1">
      <alignment horizontal="center" wrapText="1"/>
    </xf>
    <xf numFmtId="0" fontId="25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0" fontId="1" fillId="0" borderId="101" xfId="0" applyFont="1" applyBorder="1"/>
    <xf numFmtId="0" fontId="1" fillId="0" borderId="3" xfId="0" applyFont="1" applyBorder="1"/>
    <xf numFmtId="9" fontId="1" fillId="0" borderId="3" xfId="0" applyNumberFormat="1" applyFont="1" applyBorder="1" applyAlignment="1">
      <alignment horizontal="center"/>
    </xf>
    <xf numFmtId="0" fontId="1" fillId="0" borderId="102" xfId="0" applyFont="1" applyBorder="1"/>
    <xf numFmtId="0" fontId="2" fillId="3" borderId="48" xfId="0" applyFont="1" applyFill="1" applyBorder="1" applyAlignment="1">
      <alignment horizontal="center" vertical="center" wrapText="1"/>
    </xf>
    <xf numFmtId="0" fontId="2" fillId="3" borderId="26" xfId="0" applyFont="1" applyFill="1" applyBorder="1" applyAlignment="1">
      <alignment horizontal="center" vertical="center" wrapText="1"/>
    </xf>
    <xf numFmtId="0" fontId="2" fillId="3" borderId="103" xfId="0" applyFont="1" applyFill="1" applyBorder="1" applyAlignment="1">
      <alignment horizontal="center" vertical="center" wrapText="1"/>
    </xf>
    <xf numFmtId="0" fontId="2" fillId="3" borderId="0" xfId="0" applyFont="1" applyFill="1" applyAlignment="1">
      <alignment horizontal="center" vertical="center" wrapText="1"/>
    </xf>
    <xf numFmtId="0" fontId="2" fillId="3" borderId="104" xfId="0" applyFont="1" applyFill="1" applyBorder="1" applyAlignment="1">
      <alignment horizontal="center" vertical="center" wrapText="1"/>
    </xf>
    <xf numFmtId="0" fontId="2" fillId="3" borderId="31" xfId="0" applyFont="1" applyFill="1" applyBorder="1" applyAlignment="1">
      <alignment horizontal="center" vertical="center" wrapText="1"/>
    </xf>
    <xf numFmtId="166" fontId="1" fillId="2" borderId="13" xfId="0" applyNumberFormat="1" applyFont="1" applyFill="1" applyBorder="1" applyAlignment="1">
      <alignment horizontal="center" vertical="center" wrapText="1"/>
    </xf>
    <xf numFmtId="166" fontId="1" fillId="2" borderId="2" xfId="0" applyNumberFormat="1" applyFont="1" applyFill="1" applyBorder="1" applyAlignment="1">
      <alignment horizontal="center" vertical="center" wrapText="1"/>
    </xf>
    <xf numFmtId="166" fontId="3" fillId="5" borderId="2" xfId="0" applyNumberFormat="1" applyFont="1" applyFill="1" applyBorder="1" applyAlignment="1">
      <alignment horizontal="center"/>
    </xf>
    <xf numFmtId="3" fontId="3" fillId="6" borderId="2" xfId="0" applyNumberFormat="1" applyFont="1" applyFill="1" applyBorder="1"/>
    <xf numFmtId="166" fontId="1" fillId="2" borderId="2" xfId="0" applyNumberFormat="1" applyFont="1" applyFill="1" applyBorder="1"/>
    <xf numFmtId="3" fontId="1" fillId="6" borderId="8" xfId="0" applyNumberFormat="1" applyFont="1" applyFill="1" applyBorder="1" applyAlignment="1">
      <alignment horizontal="center"/>
    </xf>
    <xf numFmtId="0" fontId="2" fillId="3" borderId="47" xfId="0" applyFont="1" applyFill="1" applyBorder="1" applyAlignment="1">
      <alignment horizontal="center" vertical="center" wrapText="1"/>
    </xf>
    <xf numFmtId="2" fontId="1" fillId="2" borderId="2" xfId="0" applyNumberFormat="1" applyFont="1" applyFill="1" applyBorder="1" applyAlignment="1">
      <alignment horizontal="center" vertical="center"/>
    </xf>
    <xf numFmtId="0" fontId="2" fillId="3" borderId="40" xfId="0" applyFont="1" applyFill="1" applyBorder="1" applyAlignment="1">
      <alignment horizontal="center" vertical="center" wrapText="1"/>
    </xf>
    <xf numFmtId="37" fontId="1" fillId="2" borderId="2" xfId="4" applyNumberFormat="1" applyFont="1" applyFill="1" applyBorder="1" applyAlignment="1">
      <alignment horizontal="center" vertical="center"/>
    </xf>
    <xf numFmtId="0" fontId="1" fillId="2" borderId="2" xfId="4" applyNumberFormat="1" applyFont="1" applyFill="1" applyBorder="1" applyAlignment="1">
      <alignment horizontal="center" vertical="center"/>
    </xf>
    <xf numFmtId="2" fontId="1" fillId="2" borderId="2" xfId="3" applyNumberFormat="1" applyFont="1" applyFill="1" applyBorder="1" applyAlignment="1">
      <alignment horizontal="center" vertical="center"/>
    </xf>
    <xf numFmtId="5" fontId="0" fillId="0" borderId="0" xfId="0" applyNumberFormat="1" applyAlignment="1">
      <alignment vertical="center"/>
    </xf>
    <xf numFmtId="164" fontId="1" fillId="2" borderId="9" xfId="4" applyNumberFormat="1" applyFont="1" applyFill="1" applyBorder="1" applyAlignment="1">
      <alignment vertical="center"/>
    </xf>
    <xf numFmtId="164" fontId="1" fillId="2" borderId="11" xfId="4" applyNumberFormat="1" applyFont="1" applyFill="1" applyBorder="1" applyAlignment="1">
      <alignment vertical="center"/>
    </xf>
    <xf numFmtId="0" fontId="2" fillId="50" borderId="0" xfId="0" applyFont="1" applyFill="1" applyAlignment="1">
      <alignment horizontal="center" vertical="center" wrapText="1"/>
    </xf>
    <xf numFmtId="2" fontId="1" fillId="50" borderId="0" xfId="3" applyNumberFormat="1" applyFont="1" applyFill="1" applyBorder="1" applyAlignment="1">
      <alignment horizontal="center"/>
    </xf>
    <xf numFmtId="5" fontId="0" fillId="0" borderId="0" xfId="0" applyNumberFormat="1"/>
    <xf numFmtId="164" fontId="1" fillId="50" borderId="0" xfId="4" applyNumberFormat="1" applyFont="1" applyFill="1" applyBorder="1"/>
    <xf numFmtId="0" fontId="1" fillId="0" borderId="40" xfId="0" applyFont="1" applyBorder="1" applyAlignment="1">
      <alignment horizontal="left" vertical="center" wrapText="1"/>
    </xf>
    <xf numFmtId="0" fontId="1" fillId="0" borderId="0" xfId="0" applyFont="1" applyAlignment="1">
      <alignment horizontal="left" vertical="center" wrapText="1"/>
    </xf>
    <xf numFmtId="0" fontId="2" fillId="3" borderId="105" xfId="0" applyFont="1" applyFill="1" applyBorder="1" applyAlignment="1">
      <alignment horizontal="center" vertical="center" wrapText="1"/>
    </xf>
    <xf numFmtId="0" fontId="2" fillId="3" borderId="64" xfId="0" applyFont="1" applyFill="1" applyBorder="1" applyAlignment="1">
      <alignment horizontal="center" vertical="center" wrapText="1"/>
    </xf>
    <xf numFmtId="0" fontId="2" fillId="3" borderId="106" xfId="0" applyFont="1" applyFill="1" applyBorder="1" applyAlignment="1">
      <alignment horizontal="center" vertical="center" wrapText="1"/>
    </xf>
    <xf numFmtId="166" fontId="1" fillId="0" borderId="7" xfId="0" applyNumberFormat="1" applyFont="1" applyBorder="1" applyAlignment="1">
      <alignment horizontal="center"/>
    </xf>
    <xf numFmtId="5" fontId="1" fillId="5" borderId="8" xfId="4" applyNumberFormat="1" applyFont="1" applyFill="1" applyBorder="1" applyAlignment="1">
      <alignment horizontal="center"/>
    </xf>
    <xf numFmtId="166" fontId="1" fillId="0" borderId="9" xfId="0" applyNumberFormat="1" applyFont="1" applyBorder="1" applyAlignment="1">
      <alignment horizontal="center"/>
    </xf>
    <xf numFmtId="5" fontId="1" fillId="5" borderId="10" xfId="4" applyNumberFormat="1" applyFont="1" applyFill="1" applyBorder="1" applyAlignment="1">
      <alignment horizontal="center"/>
    </xf>
    <xf numFmtId="5" fontId="1" fillId="5" borderId="11" xfId="4" applyNumberFormat="1" applyFont="1" applyFill="1" applyBorder="1" applyAlignment="1">
      <alignment horizontal="center"/>
    </xf>
  </cellXfs>
  <cellStyles count="57">
    <cellStyle name="20% - Accent1" xfId="30" builtinId="30" customBuiltin="1"/>
    <cellStyle name="20% - Accent2" xfId="34" builtinId="34" customBuiltin="1"/>
    <cellStyle name="20% - Accent3" xfId="38" builtinId="38" customBuiltin="1"/>
    <cellStyle name="20% - Accent4" xfId="42" builtinId="42" customBuiltin="1"/>
    <cellStyle name="20% - Accent5" xfId="46" builtinId="46" customBuiltin="1"/>
    <cellStyle name="20% - Accent6" xfId="50" builtinId="50" customBuiltin="1"/>
    <cellStyle name="40% - Accent1" xfId="31" builtinId="31" customBuiltin="1"/>
    <cellStyle name="40% - Accent2" xfId="35" builtinId="35" customBuiltin="1"/>
    <cellStyle name="40% - Accent3" xfId="39" builtinId="39" customBuiltin="1"/>
    <cellStyle name="40% - Accent4" xfId="43" builtinId="43" customBuiltin="1"/>
    <cellStyle name="40% - Accent5" xfId="47" builtinId="47" customBuiltin="1"/>
    <cellStyle name="40% - Accent6" xfId="51" builtinId="51" customBuiltin="1"/>
    <cellStyle name="60% - Accent1" xfId="32" builtinId="32" customBuiltin="1"/>
    <cellStyle name="60% - Accent2" xfId="36" builtinId="36" customBuiltin="1"/>
    <cellStyle name="60% - Accent3" xfId="40" builtinId="40" customBuiltin="1"/>
    <cellStyle name="60% - Accent4" xfId="44" builtinId="44" customBuiltin="1"/>
    <cellStyle name="60% - Accent5" xfId="48" builtinId="48" customBuiltin="1"/>
    <cellStyle name="60% - Accent6" xfId="52" builtinId="52" customBuiltin="1"/>
    <cellStyle name="Accent1" xfId="29" builtinId="29" customBuiltin="1"/>
    <cellStyle name="Accent2" xfId="33" builtinId="33" customBuiltin="1"/>
    <cellStyle name="Accent3" xfId="37" builtinId="37" customBuiltin="1"/>
    <cellStyle name="Accent4" xfId="41" builtinId="41" customBuiltin="1"/>
    <cellStyle name="Accent5" xfId="45" builtinId="45" customBuiltin="1"/>
    <cellStyle name="Accent6" xfId="49" builtinId="49" customBuiltin="1"/>
    <cellStyle name="Bad" xfId="18" builtinId="27" customBuiltin="1"/>
    <cellStyle name="Calculation" xfId="22" builtinId="22" customBuiltin="1"/>
    <cellStyle name="Check Cell" xfId="24" builtinId="23" customBuiltin="1"/>
    <cellStyle name="Comma" xfId="2" builtinId="3"/>
    <cellStyle name="Comma 2" xfId="5" xr:uid="{00000000-0005-0000-0000-00001C000000}"/>
    <cellStyle name="Comma 2 2" xfId="6" xr:uid="{00000000-0005-0000-0000-00001D000000}"/>
    <cellStyle name="Comma 2 3" xfId="7" xr:uid="{00000000-0005-0000-0000-00001E000000}"/>
    <cellStyle name="Comma 3" xfId="55" xr:uid="{00000000-0005-0000-0000-00001F000000}"/>
    <cellStyle name="Currency" xfId="4" builtinId="4"/>
    <cellStyle name="Currency 2" xfId="8" xr:uid="{00000000-0005-0000-0000-000021000000}"/>
    <cellStyle name="Explanatory Text" xfId="27" builtinId="53" customBuiltin="1"/>
    <cellStyle name="Good" xfId="17" builtinId="26" customBuiltin="1"/>
    <cellStyle name="Heading 1" xfId="13" builtinId="16" customBuiltin="1"/>
    <cellStyle name="Heading 2" xfId="14" builtinId="17" customBuiltin="1"/>
    <cellStyle name="Heading 3" xfId="15" builtinId="18" customBuiltin="1"/>
    <cellStyle name="Heading 4" xfId="16" builtinId="19" customBuiltin="1"/>
    <cellStyle name="Input" xfId="20" builtinId="20" customBuiltin="1"/>
    <cellStyle name="Linked Cell" xfId="23" builtinId="24" customBuiltin="1"/>
    <cellStyle name="Neutral" xfId="19" builtinId="28" customBuiltin="1"/>
    <cellStyle name="Normal" xfId="0" builtinId="0"/>
    <cellStyle name="Normal 2" xfId="1" xr:uid="{00000000-0005-0000-0000-00002C000000}"/>
    <cellStyle name="Normal 2 2" xfId="9" xr:uid="{00000000-0005-0000-0000-00002D000000}"/>
    <cellStyle name="Normal 2 2 2" xfId="56" xr:uid="{00000000-0005-0000-0000-00002E000000}"/>
    <cellStyle name="Normal 2 3" xfId="10" xr:uid="{00000000-0005-0000-0000-00002F000000}"/>
    <cellStyle name="Normal 3" xfId="53" xr:uid="{00000000-0005-0000-0000-000030000000}"/>
    <cellStyle name="Normal 4" xfId="54" xr:uid="{00000000-0005-0000-0000-000031000000}"/>
    <cellStyle name="Note" xfId="26" builtinId="10" customBuiltin="1"/>
    <cellStyle name="Output" xfId="21" builtinId="21" customBuiltin="1"/>
    <cellStyle name="Percent" xfId="3" builtinId="5"/>
    <cellStyle name="Percent 2" xfId="11" xr:uid="{00000000-0005-0000-0000-000035000000}"/>
    <cellStyle name="Title" xfId="12" builtinId="15" customBuiltin="1"/>
    <cellStyle name="Total" xfId="28" builtinId="25" customBuiltin="1"/>
    <cellStyle name="Warning Text" xfId="25" builtinId="11" customBuiltin="1"/>
  </cellStyles>
  <dxfs count="39"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6C31"/>
      <color rgb="FF0000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1.xml"/><Relationship Id="rId39" Type="http://schemas.openxmlformats.org/officeDocument/2006/relationships/sharedStrings" Target="sharedStrings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9.xml"/><Relationship Id="rId42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4.xml"/><Relationship Id="rId41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externalLink" Target="externalLinks/externalLink7.xml"/><Relationship Id="rId37" Type="http://schemas.openxmlformats.org/officeDocument/2006/relationships/theme" Target="theme/theme1.xml"/><Relationship Id="rId40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externalLink" Target="externalLinks/externalLink3.xml"/><Relationship Id="rId36" Type="http://schemas.openxmlformats.org/officeDocument/2006/relationships/externalLink" Target="externalLinks/externalLink1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externalLink" Target="externalLinks/externalLink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externalLink" Target="externalLinks/externalLink2.xml"/><Relationship Id="rId30" Type="http://schemas.openxmlformats.org/officeDocument/2006/relationships/externalLink" Target="externalLinks/externalLink5.xml"/><Relationship Id="rId35" Type="http://schemas.openxmlformats.org/officeDocument/2006/relationships/externalLink" Target="externalLinks/externalLink10.xml"/><Relationship Id="rId43" Type="http://schemas.microsoft.com/office/2006/relationships/vbaProject" Target="vbaProject.bin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externalLink" Target="externalLinks/externalLink8.xml"/><Relationship Id="rId38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300"/>
              <a:t>Change in</a:t>
            </a:r>
            <a:r>
              <a:rPr lang="en-US" sz="1300" baseline="0"/>
              <a:t> optimal spend for a channel as its responsiveness changes</a:t>
            </a:r>
          </a:p>
          <a:p>
            <a:pPr>
              <a:defRPr/>
            </a:pPr>
            <a:r>
              <a:rPr lang="en-US" sz="1300" baseline="0">
                <a:solidFill>
                  <a:srgbClr val="FF0000"/>
                </a:solidFill>
              </a:rPr>
              <a:t>Current Optimal scenario (InScope budget : $12MM, -30% to +20% channel variation)</a:t>
            </a:r>
            <a:endParaRPr lang="en-US" sz="1300">
              <a:solidFill>
                <a:srgbClr val="FF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851005694895961"/>
          <c:y val="0.15359131739832232"/>
          <c:w val="0.8569693339756066"/>
          <c:h val="0.70247442658755632"/>
        </c:manualLayout>
      </c:layout>
      <c:lineChart>
        <c:grouping val="standard"/>
        <c:varyColors val="0"/>
        <c:ser>
          <c:idx val="1"/>
          <c:order val="0"/>
          <c:tx>
            <c:strRef>
              <c:f>'Sensitivity - Template'!$K$30</c:f>
              <c:strCache>
                <c:ptCount val="1"/>
                <c:pt idx="0">
                  <c:v>HCC In Office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19050">
                <a:solidFill>
                  <a:schemeClr val="accent2"/>
                </a:solidFill>
                <a:prstDash val="solid"/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Template'!$K$31:$K$35</c:f>
              <c:numCache>
                <c:formatCode>"$"#,##0.0</c:formatCode>
                <c:ptCount val="5"/>
                <c:pt idx="0">
                  <c:v>0.79429700000000003</c:v>
                </c:pt>
                <c:pt idx="1">
                  <c:v>0.79429700000000003</c:v>
                </c:pt>
                <c:pt idx="2">
                  <c:v>0.79429700000000003</c:v>
                </c:pt>
                <c:pt idx="3">
                  <c:v>0.79429700000000003</c:v>
                </c:pt>
                <c:pt idx="4">
                  <c:v>0.79429700000000003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D66-4E3D-AD45-6D181B32C788}"/>
            </c:ext>
          </c:extLst>
        </c:ser>
        <c:ser>
          <c:idx val="2"/>
          <c:order val="1"/>
          <c:tx>
            <c:strRef>
              <c:f>'Sensitivity - Template'!$L$30</c:f>
              <c:strCache>
                <c:ptCount val="1"/>
                <c:pt idx="0">
                  <c:v>HCP MCM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19050">
                <a:solidFill>
                  <a:schemeClr val="accent3"/>
                </a:solidFill>
                <a:prstDash val="solid"/>
              </a:ln>
              <a:effectLst/>
            </c:spPr>
          </c:marker>
          <c:dLbls>
            <c:dLbl>
              <c:idx val="4"/>
              <c:layout>
                <c:manualLayout>
                  <c:x val="-1.5835492425835258E-3"/>
                  <c:y val="-2.3223563139176628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3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Template'!$L$31:$L$35</c:f>
              <c:numCache>
                <c:formatCode>"$"#,##0.0</c:formatCode>
                <c:ptCount val="5"/>
                <c:pt idx="0">
                  <c:v>13.654847336</c:v>
                </c:pt>
                <c:pt idx="1">
                  <c:v>13.654847336</c:v>
                </c:pt>
                <c:pt idx="2">
                  <c:v>13.654847336</c:v>
                </c:pt>
                <c:pt idx="3">
                  <c:v>13.654847336</c:v>
                </c:pt>
                <c:pt idx="4">
                  <c:v>13.654847336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D66-4E3D-AD45-6D181B32C788}"/>
            </c:ext>
          </c:extLst>
        </c:ser>
        <c:ser>
          <c:idx val="3"/>
          <c:order val="2"/>
          <c:tx>
            <c:strRef>
              <c:f>'Sensitivity - Template'!$M$30</c:f>
              <c:strCache>
                <c:ptCount val="1"/>
                <c:pt idx="0">
                  <c:v>HCC Social</c:v>
                </c:pt>
              </c:strCache>
            </c:strRef>
          </c:tx>
          <c:spPr>
            <a:ln w="1905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19050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dLbl>
              <c:idx val="4"/>
              <c:layout>
                <c:manualLayout>
                  <c:x val="-1.1006443862179908E-16"/>
                  <c:y val="2.7765223832448892E-4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7030A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Template'!$M$31:$M$35</c:f>
              <c:numCache>
                <c:formatCode>"$"#,##0.0</c:formatCode>
                <c:ptCount val="5"/>
                <c:pt idx="0">
                  <c:v>2.2059033000226274</c:v>
                </c:pt>
                <c:pt idx="1">
                  <c:v>2.2059033000226274</c:v>
                </c:pt>
                <c:pt idx="2">
                  <c:v>2.2059033000226274</c:v>
                </c:pt>
                <c:pt idx="3">
                  <c:v>2.2059033000226274</c:v>
                </c:pt>
                <c:pt idx="4">
                  <c:v>2.2059033000226274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D66-4E3D-AD45-6D181B32C788}"/>
            </c:ext>
          </c:extLst>
        </c:ser>
        <c:ser>
          <c:idx val="4"/>
          <c:order val="3"/>
          <c:tx>
            <c:strRef>
              <c:f>'Sensitivity - Template'!$N$30</c:f>
              <c:strCache>
                <c:ptCount val="1"/>
                <c:pt idx="0">
                  <c:v>HCC Online Video</c:v>
                </c:pt>
              </c:strCache>
            </c:strRef>
          </c:tx>
          <c:spPr>
            <a:ln w="19050" cap="rnd">
              <a:solidFill>
                <a:schemeClr val="accent5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19050">
                <a:solidFill>
                  <a:schemeClr val="accent5"/>
                </a:solidFill>
                <a:prstDash val="dash"/>
              </a:ln>
              <a:effectLst/>
            </c:spPr>
          </c:marker>
          <c:dLbls>
            <c:dLbl>
              <c:idx val="4"/>
              <c:layout>
                <c:manualLayout>
                  <c:x val="1.5008960467578836E-3"/>
                  <c:y val="-1.7370361707985359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5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Template'!$N$31:$N$35</c:f>
              <c:numCache>
                <c:formatCode>"$"#,##0.0</c:formatCode>
                <c:ptCount val="5"/>
                <c:pt idx="0">
                  <c:v>1.4453127520000002</c:v>
                </c:pt>
                <c:pt idx="1">
                  <c:v>1.4453127520000002</c:v>
                </c:pt>
                <c:pt idx="2">
                  <c:v>1.4453127520000002</c:v>
                </c:pt>
                <c:pt idx="3">
                  <c:v>1.4453127520000002</c:v>
                </c:pt>
                <c:pt idx="4">
                  <c:v>1.4453127520000002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8D66-4E3D-AD45-6D181B32C788}"/>
            </c:ext>
          </c:extLst>
        </c:ser>
        <c:ser>
          <c:idx val="5"/>
          <c:order val="4"/>
          <c:tx>
            <c:strRef>
              <c:f>'Sensitivity - Template'!$O$30</c:f>
              <c:strCache>
                <c:ptCount val="1"/>
                <c:pt idx="0">
                  <c:v>HCC Streaming Video</c:v>
                </c:pt>
              </c:strCache>
            </c:strRef>
          </c:tx>
          <c:spPr>
            <a:ln w="19050" cap="rnd">
              <a:solidFill>
                <a:schemeClr val="accent6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19050">
                <a:solidFill>
                  <a:schemeClr val="accent6"/>
                </a:solidFill>
                <a:prstDash val="dash"/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6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Template'!$O$31:$O$35</c:f>
              <c:numCache>
                <c:formatCode>"$"#,##0.0</c:formatCode>
                <c:ptCount val="5"/>
                <c:pt idx="0">
                  <c:v>9.393003199999999</c:v>
                </c:pt>
                <c:pt idx="1">
                  <c:v>9.393003199999999</c:v>
                </c:pt>
                <c:pt idx="2">
                  <c:v>9.393003199999999</c:v>
                </c:pt>
                <c:pt idx="3">
                  <c:v>9.393003199999999</c:v>
                </c:pt>
                <c:pt idx="4">
                  <c:v>9.393003199999999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8D66-4E3D-AD45-6D181B32C788}"/>
            </c:ext>
          </c:extLst>
        </c:ser>
        <c:ser>
          <c:idx val="6"/>
          <c:order val="5"/>
          <c:tx>
            <c:strRef>
              <c:f>'Sensitivity - Template'!$P$30</c:f>
              <c:strCache>
                <c:ptCount val="1"/>
                <c:pt idx="0">
                  <c:v>HCC Display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rgbClr val="00B0F0"/>
                </a:solidFill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00B0F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Template'!$P$31:$P$35</c:f>
              <c:numCache>
                <c:formatCode>"$"#,##0.0</c:formatCode>
                <c:ptCount val="5"/>
                <c:pt idx="0">
                  <c:v>3.7172548659999998</c:v>
                </c:pt>
                <c:pt idx="1">
                  <c:v>3.7172548659999998</c:v>
                </c:pt>
                <c:pt idx="2">
                  <c:v>3.7172548659999998</c:v>
                </c:pt>
                <c:pt idx="3">
                  <c:v>3.7172548659999998</c:v>
                </c:pt>
                <c:pt idx="4">
                  <c:v>3.7172548659999998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8D66-4E3D-AD45-6D181B32C788}"/>
            </c:ext>
          </c:extLst>
        </c:ser>
        <c:ser>
          <c:idx val="7"/>
          <c:order val="6"/>
          <c:tx>
            <c:strRef>
              <c:f>'Sensitivity - Template'!$Q$30</c:f>
              <c:strCache>
                <c:ptCount val="1"/>
                <c:pt idx="0">
                  <c:v>HCC Paid Search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dLbls>
            <c:dLbl>
              <c:idx val="4"/>
              <c:layout>
                <c:manualLayout>
                  <c:x val="4.5475112879135703E-3"/>
                  <c:y val="-1.1185305503060319E-2"/>
                </c:manualLayout>
              </c:layout>
              <c:tx>
                <c:rich>
                  <a:bodyPr/>
                  <a:lstStyle/>
                  <a:p>
                    <a:fld id="{8966E5C0-AB39-44E0-A37B-7D0475CE4AB1}" type="SERIESNAME">
                      <a:rPr lang="en-US">
                        <a:solidFill>
                          <a:schemeClr val="accent2">
                            <a:lumMod val="50000"/>
                          </a:schemeClr>
                        </a:solidFill>
                      </a:rPr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C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Template'!$Q$31:$Q$35</c:f>
              <c:numCache>
                <c:formatCode>"$"#,##0.0</c:formatCode>
                <c:ptCount val="5"/>
                <c:pt idx="0">
                  <c:v>6.5000000000000002E-2</c:v>
                </c:pt>
                <c:pt idx="1">
                  <c:v>6.5000000000000002E-2</c:v>
                </c:pt>
                <c:pt idx="2">
                  <c:v>6.5000000000000002E-2</c:v>
                </c:pt>
                <c:pt idx="3">
                  <c:v>6.5000000000000002E-2</c:v>
                </c:pt>
                <c:pt idx="4">
                  <c:v>6.5000000000000002E-2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8D66-4E3D-AD45-6D181B32C788}"/>
            </c:ext>
          </c:extLst>
        </c:ser>
        <c:ser>
          <c:idx val="8"/>
          <c:order val="7"/>
          <c:tx>
            <c:strRef>
              <c:f>'Sensitivity - Template'!$R$30</c:f>
              <c:strCache>
                <c:ptCount val="1"/>
                <c:pt idx="0">
                  <c:v>HCC Radio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rgbClr val="00B050"/>
                </a:solidFill>
              </a:ln>
              <a:effectLst/>
            </c:spPr>
          </c:marker>
          <c:dLbls>
            <c:dLbl>
              <c:idx val="4"/>
              <c:layout>
                <c:manualLayout>
                  <c:x val="-1.1116010290689556E-16"/>
                  <c:y val="2.7963263757650438E-2"/>
                </c:manualLayout>
              </c:layout>
              <c:tx>
                <c:rich>
                  <a:bodyPr/>
                  <a:lstStyle/>
                  <a:p>
                    <a:fld id="{AF699563-CEB1-4BC4-914C-2AC9DE41D2E6}" type="SERIESNAME">
                      <a:rPr lang="en-US">
                        <a:solidFill>
                          <a:srgbClr val="00B050"/>
                        </a:solidFill>
                      </a:rPr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E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Template'!$R$31:$R$35</c:f>
              <c:numCache>
                <c:formatCode>"$"#,##0.0</c:formatCode>
                <c:ptCount val="5"/>
                <c:pt idx="0">
                  <c:v>1.2011674999999999</c:v>
                </c:pt>
                <c:pt idx="1">
                  <c:v>1.2011674999999999</c:v>
                </c:pt>
                <c:pt idx="2">
                  <c:v>1.2011674999999999</c:v>
                </c:pt>
                <c:pt idx="3">
                  <c:v>1.2011674999999999</c:v>
                </c:pt>
                <c:pt idx="4">
                  <c:v>1.2011674999999999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8D66-4E3D-AD45-6D181B32C7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7161744"/>
        <c:axId val="797164696"/>
      </c:lineChart>
      <c:catAx>
        <c:axId val="7971617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Change in responsiveness</a:t>
                </a:r>
              </a:p>
            </c:rich>
          </c:tx>
          <c:layout>
            <c:manualLayout>
              <c:xMode val="edge"/>
              <c:yMode val="edge"/>
              <c:x val="0.44875965076629448"/>
              <c:y val="0.9529576556270166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164696"/>
        <c:crosses val="autoZero"/>
        <c:auto val="1"/>
        <c:lblAlgn val="ctr"/>
        <c:lblOffset val="100"/>
        <c:noMultiLvlLbl val="0"/>
      </c:catAx>
      <c:valAx>
        <c:axId val="797164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Optimal</a:t>
                </a:r>
                <a:r>
                  <a:rPr lang="en-US" sz="1400" baseline="0"/>
                  <a:t> Spend</a:t>
                </a:r>
                <a:endParaRPr lang="en-US" sz="1400"/>
              </a:p>
            </c:rich>
          </c:tx>
          <c:layout>
            <c:manualLayout>
              <c:xMode val="edge"/>
              <c:yMode val="edge"/>
              <c:x val="1.650985651433793E-2"/>
              <c:y val="0.392907421443076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161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sng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 u="sng"/>
              <a:t>Digital Optimizer curve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sng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5911661256517392E-2"/>
          <c:y val="7.8850095154442995E-2"/>
          <c:w val="0.914028196825864"/>
          <c:h val="0.85087595687561457"/>
        </c:manualLayout>
      </c:layout>
      <c:scatterChart>
        <c:scatterStyle val="smoothMarker"/>
        <c:varyColors val="0"/>
        <c:ser>
          <c:idx val="2"/>
          <c:order val="2"/>
          <c:tx>
            <c:strRef>
              <c:f>'Sheet1 (2)'!$D$40:$D$41</c:f>
              <c:strCache>
                <c:ptCount val="2"/>
                <c:pt idx="0">
                  <c:v>HCC Display</c:v>
                </c:pt>
                <c:pt idx="1">
                  <c:v>Y (Incr. Doses)</c:v>
                </c:pt>
              </c:strCache>
            </c:strRef>
          </c:tx>
          <c:spPr>
            <a:ln w="28575" cap="rnd">
              <a:solidFill>
                <a:schemeClr val="accent6">
                  <a:lumMod val="7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'Sheet1 (2)'!$A$42:$A$62</c:f>
              <c:numCache>
                <c:formatCode>"$"#,##0</c:formatCode>
                <c:ptCount val="21"/>
                <c:pt idx="0">
                  <c:v>0</c:v>
                </c:pt>
                <c:pt idx="1">
                  <c:v>200000</c:v>
                </c:pt>
                <c:pt idx="2">
                  <c:v>400000</c:v>
                </c:pt>
                <c:pt idx="3">
                  <c:v>600000</c:v>
                </c:pt>
                <c:pt idx="4">
                  <c:v>800000</c:v>
                </c:pt>
                <c:pt idx="5">
                  <c:v>1000000</c:v>
                </c:pt>
                <c:pt idx="6">
                  <c:v>1200000</c:v>
                </c:pt>
                <c:pt idx="7">
                  <c:v>1400000</c:v>
                </c:pt>
                <c:pt idx="8">
                  <c:v>1600000</c:v>
                </c:pt>
                <c:pt idx="9">
                  <c:v>1800000</c:v>
                </c:pt>
                <c:pt idx="10">
                  <c:v>2000000</c:v>
                </c:pt>
                <c:pt idx="11">
                  <c:v>2200000</c:v>
                </c:pt>
                <c:pt idx="12">
                  <c:v>2400000</c:v>
                </c:pt>
                <c:pt idx="13">
                  <c:v>2600000</c:v>
                </c:pt>
                <c:pt idx="14">
                  <c:v>2800000</c:v>
                </c:pt>
                <c:pt idx="15">
                  <c:v>3000000</c:v>
                </c:pt>
                <c:pt idx="16">
                  <c:v>3200000</c:v>
                </c:pt>
                <c:pt idx="17">
                  <c:v>3400000</c:v>
                </c:pt>
                <c:pt idx="18">
                  <c:v>3600000</c:v>
                </c:pt>
                <c:pt idx="19">
                  <c:v>3800000</c:v>
                </c:pt>
                <c:pt idx="20">
                  <c:v>4000000</c:v>
                </c:pt>
              </c:numCache>
            </c:numRef>
          </c:xVal>
          <c:yVal>
            <c:numRef>
              <c:f>'Sheet1 (2)'!$D$42:$D$62</c:f>
              <c:numCache>
                <c:formatCode>#,##0</c:formatCode>
                <c:ptCount val="21"/>
                <c:pt idx="0">
                  <c:v>0</c:v>
                </c:pt>
                <c:pt idx="1">
                  <c:v>15418.266428927403</c:v>
                </c:pt>
                <c:pt idx="2">
                  <c:v>23369.721853196384</c:v>
                </c:pt>
                <c:pt idx="3">
                  <c:v>29806.31582437663</c:v>
                </c:pt>
                <c:pt idx="4">
                  <c:v>35421.874567629835</c:v>
                </c:pt>
                <c:pt idx="5">
                  <c:v>40496.50547128301</c:v>
                </c:pt>
                <c:pt idx="6">
                  <c:v>45177.926681648685</c:v>
                </c:pt>
                <c:pt idx="7">
                  <c:v>49555.786139031705</c:v>
                </c:pt>
                <c:pt idx="8">
                  <c:v>53689.522099009882</c:v>
                </c:pt>
                <c:pt idx="9">
                  <c:v>57621.034577250372</c:v>
                </c:pt>
                <c:pt idx="10">
                  <c:v>61381.22422860263</c:v>
                </c:pt>
                <c:pt idx="11">
                  <c:v>64993.684390287664</c:v>
                </c:pt>
                <c:pt idx="12">
                  <c:v>68476.931911967054</c:v>
                </c:pt>
                <c:pt idx="13">
                  <c:v>71845.828526013895</c:v>
                </c:pt>
                <c:pt idx="14">
                  <c:v>75112.526017376702</c:v>
                </c:pt>
                <c:pt idx="15">
                  <c:v>78287.117259565202</c:v>
                </c:pt>
                <c:pt idx="16">
                  <c:v>81378.098093495413</c:v>
                </c:pt>
                <c:pt idx="17">
                  <c:v>84392.703353188583</c:v>
                </c:pt>
                <c:pt idx="18">
                  <c:v>87337.156688206844</c:v>
                </c:pt>
                <c:pt idx="19">
                  <c:v>90216.859838313525</c:v>
                </c:pt>
                <c:pt idx="20">
                  <c:v>93036.538435982438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040-4A8A-AE2A-100717A504A6}"/>
            </c:ext>
          </c:extLst>
        </c:ser>
        <c:ser>
          <c:idx val="4"/>
          <c:order val="4"/>
          <c:tx>
            <c:strRef>
              <c:f>#REF!</c:f>
              <c:strCache>
                <c:ptCount val="1"/>
                <c:pt idx="0">
                  <c:v>HCC Online Video Y (Incr. Vials)</c:v>
                </c:pt>
              </c:strCache>
            </c:strRef>
          </c:tx>
          <c:spPr>
            <a:ln w="28575" cap="rnd">
              <a:solidFill>
                <a:schemeClr val="accent2">
                  <a:lumMod val="7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#REF!</c:f>
              <c:numCache>
                <c:formatCode>General</c:formatCode>
                <c:ptCount val="41"/>
                <c:pt idx="0">
                  <c:v>0</c:v>
                </c:pt>
                <c:pt idx="1">
                  <c:v>2542716.3050000002</c:v>
                </c:pt>
                <c:pt idx="2">
                  <c:v>5085432.6100000003</c:v>
                </c:pt>
                <c:pt idx="3">
                  <c:v>7628148.915000001</c:v>
                </c:pt>
                <c:pt idx="4">
                  <c:v>10170865.220000001</c:v>
                </c:pt>
                <c:pt idx="5">
                  <c:v>12713581.525</c:v>
                </c:pt>
                <c:pt idx="6">
                  <c:v>15256297.83</c:v>
                </c:pt>
                <c:pt idx="7">
                  <c:v>17799014.135000002</c:v>
                </c:pt>
                <c:pt idx="8">
                  <c:v>20341730.440000001</c:v>
                </c:pt>
                <c:pt idx="9">
                  <c:v>22884446.745000001</c:v>
                </c:pt>
                <c:pt idx="10">
                  <c:v>25427163.050000001</c:v>
                </c:pt>
                <c:pt idx="11">
                  <c:v>27969879.355</c:v>
                </c:pt>
                <c:pt idx="12">
                  <c:v>30512595.66</c:v>
                </c:pt>
                <c:pt idx="13">
                  <c:v>33055311.965</c:v>
                </c:pt>
                <c:pt idx="14">
                  <c:v>35598028.270000003</c:v>
                </c:pt>
                <c:pt idx="15">
                  <c:v>38140744.575000003</c:v>
                </c:pt>
                <c:pt idx="16">
                  <c:v>40683460.880000003</c:v>
                </c:pt>
                <c:pt idx="17">
                  <c:v>43226177.185000002</c:v>
                </c:pt>
                <c:pt idx="18">
                  <c:v>45768893.490000002</c:v>
                </c:pt>
                <c:pt idx="19">
                  <c:v>48311609.795000002</c:v>
                </c:pt>
                <c:pt idx="20">
                  <c:v>50854326.100000001</c:v>
                </c:pt>
                <c:pt idx="21">
                  <c:v>53397042.405000001</c:v>
                </c:pt>
                <c:pt idx="22">
                  <c:v>55939758.710000001</c:v>
                </c:pt>
                <c:pt idx="23">
                  <c:v>58482475.015000001</c:v>
                </c:pt>
                <c:pt idx="24">
                  <c:v>61025191.32</c:v>
                </c:pt>
                <c:pt idx="25">
                  <c:v>63567907.625</c:v>
                </c:pt>
                <c:pt idx="26">
                  <c:v>66110623.93</c:v>
                </c:pt>
                <c:pt idx="27">
                  <c:v>68653340.234999999</c:v>
                </c:pt>
                <c:pt idx="28">
                  <c:v>71196056.540000007</c:v>
                </c:pt>
                <c:pt idx="29">
                  <c:v>73738772.845000014</c:v>
                </c:pt>
                <c:pt idx="30">
                  <c:v>76281489.150000021</c:v>
                </c:pt>
                <c:pt idx="31">
                  <c:v>78824205.455000028</c:v>
                </c:pt>
                <c:pt idx="32">
                  <c:v>81366921.760000035</c:v>
                </c:pt>
                <c:pt idx="33">
                  <c:v>83909638.065000042</c:v>
                </c:pt>
                <c:pt idx="34">
                  <c:v>86452354.370000049</c:v>
                </c:pt>
                <c:pt idx="35">
                  <c:v>88995070.675000057</c:v>
                </c:pt>
                <c:pt idx="36">
                  <c:v>91537786.980000064</c:v>
                </c:pt>
                <c:pt idx="37">
                  <c:v>94080503.285000071</c:v>
                </c:pt>
                <c:pt idx="38">
                  <c:v>96623219.590000078</c:v>
                </c:pt>
                <c:pt idx="39">
                  <c:v>99165935.895000085</c:v>
                </c:pt>
                <c:pt idx="40">
                  <c:v>101708652.20000009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41"/>
                <c:pt idx="0">
                  <c:v>0</c:v>
                </c:pt>
                <c:pt idx="1">
                  <c:v>13245.680430224371</c:v>
                </c:pt>
                <c:pt idx="2">
                  <c:v>21517.671341637277</c:v>
                </c:pt>
                <c:pt idx="3">
                  <c:v>28579.797756655789</c:v>
                </c:pt>
                <c:pt idx="4">
                  <c:v>34955.560222501546</c:v>
                </c:pt>
                <c:pt idx="5">
                  <c:v>40865.166801080893</c:v>
                </c:pt>
                <c:pt idx="6">
                  <c:v>46428.018430440439</c:v>
                </c:pt>
                <c:pt idx="7">
                  <c:v>51718.140412382352</c:v>
                </c:pt>
                <c:pt idx="8">
                  <c:v>56785.475113403154</c:v>
                </c:pt>
                <c:pt idx="9">
                  <c:v>61665.751647422978</c:v>
                </c:pt>
                <c:pt idx="10">
                  <c:v>66385.659323350483</c:v>
                </c:pt>
                <c:pt idx="11">
                  <c:v>70965.808098846828</c:v>
                </c:pt>
                <c:pt idx="12">
                  <c:v>75422.538456393435</c:v>
                </c:pt>
                <c:pt idx="13">
                  <c:v>79769.086663849463</c:v>
                </c:pt>
                <c:pt idx="14">
                  <c:v>84016.36697009168</c:v>
                </c:pt>
                <c:pt idx="15">
                  <c:v>88173.515027729882</c:v>
                </c:pt>
                <c:pt idx="16">
                  <c:v>92248.276478178188</c:v>
                </c:pt>
                <c:pt idx="17">
                  <c:v>96247.291725413059</c:v>
                </c:pt>
                <c:pt idx="18">
                  <c:v>100176.30909745554</c:v>
                </c:pt>
                <c:pt idx="19">
                  <c:v>104040.34737463118</c:v>
                </c:pt>
                <c:pt idx="20">
                  <c:v>107843.8217381602</c:v>
                </c:pt>
                <c:pt idx="21">
                  <c:v>111590.64278520987</c:v>
                </c:pt>
                <c:pt idx="22">
                  <c:v>115284.29537529008</c:v>
                </c:pt>
                <c:pt idx="23">
                  <c:v>118927.90214398215</c:v>
                </c:pt>
                <c:pt idx="24">
                  <c:v>122524.2752009518</c:v>
                </c:pt>
                <c:pt idx="25">
                  <c:v>126075.95860984227</c:v>
                </c:pt>
                <c:pt idx="26">
                  <c:v>129585.26359571995</c:v>
                </c:pt>
                <c:pt idx="27">
                  <c:v>133054.29795618719</c:v>
                </c:pt>
                <c:pt idx="28">
                  <c:v>136484.99080920356</c:v>
                </c:pt>
                <c:pt idx="29">
                  <c:v>139879.11355670428</c:v>
                </c:pt>
                <c:pt idx="30">
                  <c:v>143238.29775285229</c:v>
                </c:pt>
                <c:pt idx="31">
                  <c:v>146564.05042164124</c:v>
                </c:pt>
                <c:pt idx="32">
                  <c:v>149857.76725826564</c:v>
                </c:pt>
                <c:pt idx="33">
                  <c:v>153120.74406345401</c:v>
                </c:pt>
                <c:pt idx="34">
                  <c:v>156354.1866935289</c:v>
                </c:pt>
                <c:pt idx="35">
                  <c:v>159559.21975674064</c:v>
                </c:pt>
                <c:pt idx="36">
                  <c:v>162736.89424506261</c:v>
                </c:pt>
                <c:pt idx="37">
                  <c:v>165888.19425763833</c:v>
                </c:pt>
                <c:pt idx="38">
                  <c:v>169014.04294555882</c:v>
                </c:pt>
                <c:pt idx="39">
                  <c:v>172115.30778621911</c:v>
                </c:pt>
                <c:pt idx="40">
                  <c:v>175192.80527807077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040-4A8A-AE2A-100717A504A6}"/>
            </c:ext>
          </c:extLst>
        </c:ser>
        <c:ser>
          <c:idx val="6"/>
          <c:order val="6"/>
          <c:tx>
            <c:strRef>
              <c:f>'Sheet1 (2)'!$H$40:$H$41</c:f>
              <c:strCache>
                <c:ptCount val="2"/>
                <c:pt idx="0">
                  <c:v>HCC Streaming Video</c:v>
                </c:pt>
                <c:pt idx="1">
                  <c:v>Y (Incr. Doses)</c:v>
                </c:pt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'Sheet1 (2)'!$A$42:$A$62</c:f>
              <c:numCache>
                <c:formatCode>"$"#,##0</c:formatCode>
                <c:ptCount val="21"/>
                <c:pt idx="0">
                  <c:v>0</c:v>
                </c:pt>
                <c:pt idx="1">
                  <c:v>200000</c:v>
                </c:pt>
                <c:pt idx="2">
                  <c:v>400000</c:v>
                </c:pt>
                <c:pt idx="3">
                  <c:v>600000</c:v>
                </c:pt>
                <c:pt idx="4">
                  <c:v>800000</c:v>
                </c:pt>
                <c:pt idx="5">
                  <c:v>1000000</c:v>
                </c:pt>
                <c:pt idx="6">
                  <c:v>1200000</c:v>
                </c:pt>
                <c:pt idx="7">
                  <c:v>1400000</c:v>
                </c:pt>
                <c:pt idx="8">
                  <c:v>1600000</c:v>
                </c:pt>
                <c:pt idx="9">
                  <c:v>1800000</c:v>
                </c:pt>
                <c:pt idx="10">
                  <c:v>2000000</c:v>
                </c:pt>
                <c:pt idx="11">
                  <c:v>2200000</c:v>
                </c:pt>
                <c:pt idx="12">
                  <c:v>2400000</c:v>
                </c:pt>
                <c:pt idx="13">
                  <c:v>2600000</c:v>
                </c:pt>
                <c:pt idx="14">
                  <c:v>2800000</c:v>
                </c:pt>
                <c:pt idx="15">
                  <c:v>3000000</c:v>
                </c:pt>
                <c:pt idx="16">
                  <c:v>3200000</c:v>
                </c:pt>
                <c:pt idx="17">
                  <c:v>3400000</c:v>
                </c:pt>
                <c:pt idx="18">
                  <c:v>3600000</c:v>
                </c:pt>
                <c:pt idx="19">
                  <c:v>3800000</c:v>
                </c:pt>
                <c:pt idx="20">
                  <c:v>4000000</c:v>
                </c:pt>
              </c:numCache>
            </c:numRef>
          </c:xVal>
          <c:yVal>
            <c:numRef>
              <c:f>'Sheet1 (2)'!$H$42:$H$62</c:f>
              <c:numCache>
                <c:formatCode>#,##0</c:formatCode>
                <c:ptCount val="21"/>
                <c:pt idx="0">
                  <c:v>0</c:v>
                </c:pt>
                <c:pt idx="1">
                  <c:v>5306.6799670584487</c:v>
                </c:pt>
                <c:pt idx="2">
                  <c:v>8620.7270398777109</c:v>
                </c:pt>
                <c:pt idx="3">
                  <c:v>11450.060343578602</c:v>
                </c:pt>
                <c:pt idx="4">
                  <c:v>14004.412392947337</c:v>
                </c:pt>
                <c:pt idx="5">
                  <c:v>16372.006191464845</c:v>
                </c:pt>
                <c:pt idx="6">
                  <c:v>18600.677904990443</c:v>
                </c:pt>
                <c:pt idx="7">
                  <c:v>20720.08464236038</c:v>
                </c:pt>
                <c:pt idx="8">
                  <c:v>22750.235051464868</c:v>
                </c:pt>
                <c:pt idx="9">
                  <c:v>24705.443457194888</c:v>
                </c:pt>
                <c:pt idx="10">
                  <c:v>26596.402524352889</c:v>
                </c:pt>
                <c:pt idx="11">
                  <c:v>28431.369318328445</c:v>
                </c:pt>
                <c:pt idx="12">
                  <c:v>30216.890404357946</c:v>
                </c:pt>
                <c:pt idx="13">
                  <c:v>31958.26869140529</c:v>
                </c:pt>
                <c:pt idx="14">
                  <c:v>33659.876806922497</c:v>
                </c:pt>
                <c:pt idx="15">
                  <c:v>35325.374810877525</c:v>
                </c:pt>
                <c:pt idx="16">
                  <c:v>36957.865876439937</c:v>
                </c:pt>
                <c:pt idx="17">
                  <c:v>38560.010380246516</c:v>
                </c:pt>
                <c:pt idx="18">
                  <c:v>40134.111302300051</c:v>
                </c:pt>
                <c:pt idx="19">
                  <c:v>41682.17934043915</c:v>
                </c:pt>
                <c:pt idx="20">
                  <c:v>43205.983369721333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040-4A8A-AE2A-100717A504A6}"/>
            </c:ext>
          </c:extLst>
        </c:ser>
        <c:ser>
          <c:idx val="8"/>
          <c:order val="8"/>
          <c:tx>
            <c:strRef>
              <c:f>'Sheet1 (2)'!$J$40:$J$41</c:f>
              <c:strCache>
                <c:ptCount val="2"/>
                <c:pt idx="0">
                  <c:v>HCC Paid Search</c:v>
                </c:pt>
                <c:pt idx="1">
                  <c:v>Y (Incr. Doses)</c:v>
                </c:pt>
              </c:strCache>
            </c:strRef>
          </c:tx>
          <c:spPr>
            <a:ln w="28575" cap="rnd">
              <a:solidFill>
                <a:schemeClr val="accent1">
                  <a:lumMod val="7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'Sheet1 (2)'!$A$42:$A$62</c:f>
              <c:numCache>
                <c:formatCode>"$"#,##0</c:formatCode>
                <c:ptCount val="21"/>
                <c:pt idx="0">
                  <c:v>0</c:v>
                </c:pt>
                <c:pt idx="1">
                  <c:v>200000</c:v>
                </c:pt>
                <c:pt idx="2">
                  <c:v>400000</c:v>
                </c:pt>
                <c:pt idx="3">
                  <c:v>600000</c:v>
                </c:pt>
                <c:pt idx="4">
                  <c:v>800000</c:v>
                </c:pt>
                <c:pt idx="5">
                  <c:v>1000000</c:v>
                </c:pt>
                <c:pt idx="6">
                  <c:v>1200000</c:v>
                </c:pt>
                <c:pt idx="7">
                  <c:v>1400000</c:v>
                </c:pt>
                <c:pt idx="8">
                  <c:v>1600000</c:v>
                </c:pt>
                <c:pt idx="9">
                  <c:v>1800000</c:v>
                </c:pt>
                <c:pt idx="10">
                  <c:v>2000000</c:v>
                </c:pt>
                <c:pt idx="11">
                  <c:v>2200000</c:v>
                </c:pt>
                <c:pt idx="12">
                  <c:v>2400000</c:v>
                </c:pt>
                <c:pt idx="13">
                  <c:v>2600000</c:v>
                </c:pt>
                <c:pt idx="14">
                  <c:v>2800000</c:v>
                </c:pt>
                <c:pt idx="15">
                  <c:v>3000000</c:v>
                </c:pt>
                <c:pt idx="16">
                  <c:v>3200000</c:v>
                </c:pt>
                <c:pt idx="17">
                  <c:v>3400000</c:v>
                </c:pt>
                <c:pt idx="18">
                  <c:v>3600000</c:v>
                </c:pt>
                <c:pt idx="19">
                  <c:v>3800000</c:v>
                </c:pt>
                <c:pt idx="20">
                  <c:v>4000000</c:v>
                </c:pt>
              </c:numCache>
            </c:numRef>
          </c:xVal>
          <c:yVal>
            <c:numRef>
              <c:f>'Sheet1 (2)'!$J$42:$J$62</c:f>
              <c:numCache>
                <c:formatCode>#,##0</c:formatCode>
                <c:ptCount val="21"/>
                <c:pt idx="0">
                  <c:v>0</c:v>
                </c:pt>
                <c:pt idx="1">
                  <c:v>79531.473375019181</c:v>
                </c:pt>
                <c:pt idx="2">
                  <c:v>129199.25966920293</c:v>
                </c:pt>
                <c:pt idx="3">
                  <c:v>171602.61689239615</c:v>
                </c:pt>
                <c:pt idx="4">
                  <c:v>209884.81654752325</c:v>
                </c:pt>
                <c:pt idx="5">
                  <c:v>245368.06112200834</c:v>
                </c:pt>
                <c:pt idx="6">
                  <c:v>278769.27358369966</c:v>
                </c:pt>
                <c:pt idx="7">
                  <c:v>310532.92647973198</c:v>
                </c:pt>
                <c:pt idx="8">
                  <c:v>340958.89039902925</c:v>
                </c:pt>
                <c:pt idx="9">
                  <c:v>370261.69483197236</c:v>
                </c:pt>
                <c:pt idx="10">
                  <c:v>398601.59127126914</c:v>
                </c:pt>
                <c:pt idx="11">
                  <c:v>426102.32876156975</c:v>
                </c:pt>
                <c:pt idx="12">
                  <c:v>452862.02099769411</c:v>
                </c:pt>
                <c:pt idx="13">
                  <c:v>478960.14293680771</c:v>
                </c:pt>
                <c:pt idx="14">
                  <c:v>504462.22736135405</c:v>
                </c:pt>
                <c:pt idx="15">
                  <c:v>529423.1277698857</c:v>
                </c:pt>
                <c:pt idx="16">
                  <c:v>553889.35157114896</c:v>
                </c:pt>
                <c:pt idx="17">
                  <c:v>577900.76996050018</c:v>
                </c:pt>
                <c:pt idx="18">
                  <c:v>601491.89781238139</c:v>
                </c:pt>
                <c:pt idx="19">
                  <c:v>624692.8695540831</c:v>
                </c:pt>
                <c:pt idx="20">
                  <c:v>647530.19540299417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040-4A8A-AE2A-100717A504A6}"/>
            </c:ext>
          </c:extLst>
        </c:ser>
        <c:ser>
          <c:idx val="10"/>
          <c:order val="10"/>
          <c:tx>
            <c:strRef>
              <c:f>'Sheet1 (2)'!$L$40:$L$41</c:f>
              <c:strCache>
                <c:ptCount val="2"/>
                <c:pt idx="0">
                  <c:v>HCC Radio</c:v>
                </c:pt>
                <c:pt idx="1">
                  <c:v>Y (Incr. Doses)</c:v>
                </c:pt>
              </c:strCache>
            </c:strRef>
          </c:tx>
          <c:spPr>
            <a:ln w="28575" cap="rnd">
              <a:solidFill>
                <a:srgbClr val="7030A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'Sheet1 (2)'!$A$42:$A$62</c:f>
              <c:numCache>
                <c:formatCode>"$"#,##0</c:formatCode>
                <c:ptCount val="21"/>
                <c:pt idx="0">
                  <c:v>0</c:v>
                </c:pt>
                <c:pt idx="1">
                  <c:v>200000</c:v>
                </c:pt>
                <c:pt idx="2">
                  <c:v>400000</c:v>
                </c:pt>
                <c:pt idx="3">
                  <c:v>600000</c:v>
                </c:pt>
                <c:pt idx="4">
                  <c:v>800000</c:v>
                </c:pt>
                <c:pt idx="5">
                  <c:v>1000000</c:v>
                </c:pt>
                <c:pt idx="6">
                  <c:v>1200000</c:v>
                </c:pt>
                <c:pt idx="7">
                  <c:v>1400000</c:v>
                </c:pt>
                <c:pt idx="8">
                  <c:v>1600000</c:v>
                </c:pt>
                <c:pt idx="9">
                  <c:v>1800000</c:v>
                </c:pt>
                <c:pt idx="10">
                  <c:v>2000000</c:v>
                </c:pt>
                <c:pt idx="11">
                  <c:v>2200000</c:v>
                </c:pt>
                <c:pt idx="12">
                  <c:v>2400000</c:v>
                </c:pt>
                <c:pt idx="13">
                  <c:v>2600000</c:v>
                </c:pt>
                <c:pt idx="14">
                  <c:v>2800000</c:v>
                </c:pt>
                <c:pt idx="15">
                  <c:v>3000000</c:v>
                </c:pt>
                <c:pt idx="16">
                  <c:v>3200000</c:v>
                </c:pt>
                <c:pt idx="17">
                  <c:v>3400000</c:v>
                </c:pt>
                <c:pt idx="18">
                  <c:v>3600000</c:v>
                </c:pt>
                <c:pt idx="19">
                  <c:v>3800000</c:v>
                </c:pt>
                <c:pt idx="20">
                  <c:v>4000000</c:v>
                </c:pt>
              </c:numCache>
            </c:numRef>
          </c:xVal>
          <c:yVal>
            <c:numRef>
              <c:f>'Sheet1 (2)'!$L$42:$L$62</c:f>
              <c:numCache>
                <c:formatCode>#,##0</c:formatCode>
                <c:ptCount val="21"/>
                <c:pt idx="0">
                  <c:v>0</c:v>
                </c:pt>
                <c:pt idx="1">
                  <c:v>14412.136371822071</c:v>
                </c:pt>
                <c:pt idx="2">
                  <c:v>19016.927953756978</c:v>
                </c:pt>
                <c:pt idx="3">
                  <c:v>22365.410039276649</c:v>
                </c:pt>
                <c:pt idx="4">
                  <c:v>25092.986873580521</c:v>
                </c:pt>
                <c:pt idx="5">
                  <c:v>27435.720169529453</c:v>
                </c:pt>
                <c:pt idx="6">
                  <c:v>29511.335474505049</c:v>
                </c:pt>
                <c:pt idx="7">
                  <c:v>31388.284394713228</c:v>
                </c:pt>
                <c:pt idx="8">
                  <c:v>33110.394684609899</c:v>
                </c:pt>
                <c:pt idx="9">
                  <c:v>34707.662578253614</c:v>
                </c:pt>
                <c:pt idx="10">
                  <c:v>36201.649801445565</c:v>
                </c:pt>
                <c:pt idx="11">
                  <c:v>37608.450193722703</c:v>
                </c:pt>
                <c:pt idx="12">
                  <c:v>38940.440616082153</c:v>
                </c:pt>
                <c:pt idx="13">
                  <c:v>40207.373459884198</c:v>
                </c:pt>
                <c:pt idx="14">
                  <c:v>41417.089564413494</c:v>
                </c:pt>
                <c:pt idx="15">
                  <c:v>42576.000912264644</c:v>
                </c:pt>
                <c:pt idx="16">
                  <c:v>43689.427715155543</c:v>
                </c:pt>
                <c:pt idx="17">
                  <c:v>44761.840094563893</c:v>
                </c:pt>
                <c:pt idx="18">
                  <c:v>45797.035336442001</c:v>
                </c:pt>
                <c:pt idx="19">
                  <c:v>46798.270489480747</c:v>
                </c:pt>
                <c:pt idx="20">
                  <c:v>47768.363296037402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040-4A8A-AE2A-100717A504A6}"/>
            </c:ext>
          </c:extLst>
        </c:ser>
        <c:ser>
          <c:idx val="12"/>
          <c:order val="12"/>
          <c:tx>
            <c:strRef>
              <c:f>'Sheet1 (2)'!$N$40:$N$41</c:f>
              <c:strCache>
                <c:ptCount val="2"/>
                <c:pt idx="0">
                  <c:v>HCC Social</c:v>
                </c:pt>
                <c:pt idx="1">
                  <c:v>Y (Incr. Doses)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'Sheet1 (2)'!$A$42:$A$62</c:f>
              <c:numCache>
                <c:formatCode>"$"#,##0</c:formatCode>
                <c:ptCount val="21"/>
                <c:pt idx="0">
                  <c:v>0</c:v>
                </c:pt>
                <c:pt idx="1">
                  <c:v>200000</c:v>
                </c:pt>
                <c:pt idx="2">
                  <c:v>400000</c:v>
                </c:pt>
                <c:pt idx="3">
                  <c:v>600000</c:v>
                </c:pt>
                <c:pt idx="4">
                  <c:v>800000</c:v>
                </c:pt>
                <c:pt idx="5">
                  <c:v>1000000</c:v>
                </c:pt>
                <c:pt idx="6">
                  <c:v>1200000</c:v>
                </c:pt>
                <c:pt idx="7">
                  <c:v>1400000</c:v>
                </c:pt>
                <c:pt idx="8">
                  <c:v>1600000</c:v>
                </c:pt>
                <c:pt idx="9">
                  <c:v>1800000</c:v>
                </c:pt>
                <c:pt idx="10">
                  <c:v>2000000</c:v>
                </c:pt>
                <c:pt idx="11">
                  <c:v>2200000</c:v>
                </c:pt>
                <c:pt idx="12">
                  <c:v>2400000</c:v>
                </c:pt>
                <c:pt idx="13">
                  <c:v>2600000</c:v>
                </c:pt>
                <c:pt idx="14">
                  <c:v>2800000</c:v>
                </c:pt>
                <c:pt idx="15">
                  <c:v>3000000</c:v>
                </c:pt>
                <c:pt idx="16">
                  <c:v>3200000</c:v>
                </c:pt>
                <c:pt idx="17">
                  <c:v>3400000</c:v>
                </c:pt>
                <c:pt idx="18">
                  <c:v>3600000</c:v>
                </c:pt>
                <c:pt idx="19">
                  <c:v>3800000</c:v>
                </c:pt>
                <c:pt idx="20">
                  <c:v>4000000</c:v>
                </c:pt>
              </c:numCache>
            </c:numRef>
          </c:xVal>
          <c:yVal>
            <c:numRef>
              <c:f>'Sheet1 (2)'!$N$42:$N$62</c:f>
              <c:numCache>
                <c:formatCode>#,##0</c:formatCode>
                <c:ptCount val="21"/>
                <c:pt idx="0">
                  <c:v>0</c:v>
                </c:pt>
                <c:pt idx="1">
                  <c:v>6480.3046743965815</c:v>
                </c:pt>
                <c:pt idx="2">
                  <c:v>9822.305151017672</c:v>
                </c:pt>
                <c:pt idx="3">
                  <c:v>12527.608642230847</c:v>
                </c:pt>
                <c:pt idx="4">
                  <c:v>14887.830638717902</c:v>
                </c:pt>
                <c:pt idx="5">
                  <c:v>17020.700408310324</c:v>
                </c:pt>
                <c:pt idx="6">
                  <c:v>18988.303957788128</c:v>
                </c:pt>
                <c:pt idx="7">
                  <c:v>20828.320358873501</c:v>
                </c:pt>
                <c:pt idx="8">
                  <c:v>22565.731538505803</c:v>
                </c:pt>
                <c:pt idx="9">
                  <c:v>24218.148093092648</c:v>
                </c:pt>
                <c:pt idx="10">
                  <c:v>25798.557582486257</c:v>
                </c:pt>
                <c:pt idx="11">
                  <c:v>27316.876297482511</c:v>
                </c:pt>
                <c:pt idx="12">
                  <c:v>28780.886878754423</c:v>
                </c:pt>
                <c:pt idx="13">
                  <c:v>30196.835719449435</c:v>
                </c:pt>
                <c:pt idx="14">
                  <c:v>31569.830220530366</c:v>
                </c:pt>
                <c:pt idx="15">
                  <c:v>32904.112421508238</c:v>
                </c:pt>
                <c:pt idx="16">
                  <c:v>34203.25312833942</c:v>
                </c:pt>
                <c:pt idx="17">
                  <c:v>35470.293145185802</c:v>
                </c:pt>
                <c:pt idx="18">
                  <c:v>36707.848274902732</c:v>
                </c:pt>
                <c:pt idx="19">
                  <c:v>37918.188871268278</c:v>
                </c:pt>
                <c:pt idx="20">
                  <c:v>39103.301119846867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3040-4A8A-AE2A-100717A504A6}"/>
            </c:ext>
          </c:extLst>
        </c:ser>
        <c:ser>
          <c:idx val="17"/>
          <c:order val="17"/>
          <c:tx>
            <c:strRef>
              <c:f>'Sheet1 (2)'!$B$12</c:f>
              <c:strCache>
                <c:ptCount val="1"/>
                <c:pt idx="0">
                  <c:v>HCP MCM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square"/>
            <c:size val="7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dLbls>
            <c:numFmt formatCode="0.0#,,\ &quot;M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'Sheet1 (2)'!$H$12</c:f>
              <c:numCache>
                <c:formatCode>"$"#,##0</c:formatCode>
                <c:ptCount val="1"/>
                <c:pt idx="0">
                  <c:v>10503728.719999999</c:v>
                </c:pt>
              </c:numCache>
            </c:numRef>
          </c:xVal>
          <c:yVal>
            <c:numRef>
              <c:f>'Sheet1 (2)'!$I$12</c:f>
              <c:numCache>
                <c:formatCode>#,##0</c:formatCode>
                <c:ptCount val="1"/>
                <c:pt idx="0">
                  <c:v>288339.09761974216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3040-4A8A-AE2A-100717A504A6}"/>
            </c:ext>
          </c:extLst>
        </c:ser>
        <c:ser>
          <c:idx val="18"/>
          <c:order val="18"/>
          <c:tx>
            <c:strRef>
              <c:f>'Sheet1 (2)'!$B$13</c:f>
              <c:strCache>
                <c:ptCount val="1"/>
                <c:pt idx="0">
                  <c:v>HCC Social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square"/>
            <c:size val="7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1.4133164278218266E-2"/>
                  <c:y val="-0.16336004358016254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040-4A8A-AE2A-100717A504A6}"/>
                </c:ext>
              </c:extLst>
            </c:dLbl>
            <c:numFmt formatCode="0.0#,,\ &quot;M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'Sheet1 (2)'!$H$13</c:f>
              <c:numCache>
                <c:formatCode>"$"#,##0</c:formatCode>
                <c:ptCount val="1"/>
                <c:pt idx="0">
                  <c:v>1751000</c:v>
                </c:pt>
              </c:numCache>
            </c:numRef>
          </c:xVal>
          <c:yVal>
            <c:numRef>
              <c:f>'Sheet1 (2)'!$I$13</c:f>
              <c:numCache>
                <c:formatCode>#,##0</c:formatCode>
                <c:ptCount val="1"/>
                <c:pt idx="0">
                  <c:v>23820.403572058858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3040-4A8A-AE2A-100717A504A6}"/>
            </c:ext>
          </c:extLst>
        </c:ser>
        <c:ser>
          <c:idx val="19"/>
          <c:order val="19"/>
          <c:tx>
            <c:strRef>
              <c:f>'Sheet1 (2)'!$B$14</c:f>
              <c:strCache>
                <c:ptCount val="1"/>
                <c:pt idx="0">
                  <c:v>HCC Online Video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dPt>
            <c:idx val="0"/>
            <c:marker>
              <c:symbol val="square"/>
              <c:size val="7"/>
              <c:spPr>
                <a:solidFill>
                  <a:srgbClr val="FF0000"/>
                </a:solidFill>
                <a:ln w="9525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9-3040-4A8A-AE2A-100717A504A6}"/>
              </c:ext>
            </c:extLst>
          </c:dPt>
          <c:dLbls>
            <c:numFmt formatCode="0.0#,,\ &quot;M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'Sheet1 (2)'!$H$14</c:f>
              <c:numCache>
                <c:formatCode>"$"#,##0</c:formatCode>
                <c:ptCount val="1"/>
                <c:pt idx="0">
                  <c:v>1111779.04</c:v>
                </c:pt>
              </c:numCache>
            </c:numRef>
          </c:xVal>
          <c:yVal>
            <c:numRef>
              <c:f>'Sheet1 (2)'!$I$14</c:f>
              <c:numCache>
                <c:formatCode>#,##0</c:formatCode>
                <c:ptCount val="1"/>
                <c:pt idx="0">
                  <c:v>21646.235649615526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3040-4A8A-AE2A-100717A504A6}"/>
            </c:ext>
          </c:extLst>
        </c:ser>
        <c:ser>
          <c:idx val="20"/>
          <c:order val="20"/>
          <c:tx>
            <c:strRef>
              <c:f>'Sheet1 (2)'!$B$15</c:f>
              <c:strCache>
                <c:ptCount val="1"/>
                <c:pt idx="0">
                  <c:v>HCC Streaming Video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square"/>
            <c:size val="7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dLbls>
            <c:numFmt formatCode="0.0#,,\ &quot;M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'Sheet1 (2)'!$H$15</c:f>
              <c:numCache>
                <c:formatCode>"$"#,##0</c:formatCode>
                <c:ptCount val="1"/>
                <c:pt idx="0">
                  <c:v>13418576</c:v>
                </c:pt>
              </c:numCache>
            </c:numRef>
          </c:xVal>
          <c:yVal>
            <c:numRef>
              <c:f>'Sheet1 (2)'!$I$15</c:f>
              <c:numCache>
                <c:formatCode>#,##0</c:formatCode>
                <c:ptCount val="1"/>
                <c:pt idx="0">
                  <c:v>100808.3256282994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3040-4A8A-AE2A-100717A504A6}"/>
            </c:ext>
          </c:extLst>
        </c:ser>
        <c:ser>
          <c:idx val="21"/>
          <c:order val="21"/>
          <c:tx>
            <c:strRef>
              <c:f>'Sheet1 (2)'!$B$16</c:f>
              <c:strCache>
                <c:ptCount val="1"/>
                <c:pt idx="0">
                  <c:v>HCC Display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square"/>
            <c:size val="7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1.5120794885980591E-2"/>
                  <c:y val="-8.5658831914640299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040-4A8A-AE2A-100717A504A6}"/>
                </c:ext>
              </c:extLst>
            </c:dLbl>
            <c:numFmt formatCode="0.0#,,\ &quot;M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'Sheet1 (2)'!$H$16</c:f>
              <c:numCache>
                <c:formatCode>"$"#,##0</c:formatCode>
                <c:ptCount val="1"/>
                <c:pt idx="0">
                  <c:v>2859426.82</c:v>
                </c:pt>
              </c:numCache>
            </c:numRef>
          </c:xVal>
          <c:yVal>
            <c:numRef>
              <c:f>'Sheet1 (2)'!$I$16</c:f>
              <c:numCache>
                <c:formatCode>#,##0</c:formatCode>
                <c:ptCount val="1"/>
                <c:pt idx="0">
                  <c:v>76065.012406995462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3040-4A8A-AE2A-100717A504A6}"/>
            </c:ext>
          </c:extLst>
        </c:ser>
        <c:ser>
          <c:idx val="22"/>
          <c:order val="22"/>
          <c:tx>
            <c:strRef>
              <c:f>'Sheet1 (2)'!$B$17</c:f>
              <c:strCache>
                <c:ptCount val="1"/>
                <c:pt idx="0">
                  <c:v>HCC Paid Search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square"/>
            <c:size val="7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dLbls>
            <c:numFmt formatCode="0.0#,,\ &quot;M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'Sheet1 (2)'!$H$17</c:f>
              <c:numCache>
                <c:formatCode>"$"#,##0</c:formatCode>
                <c:ptCount val="1"/>
                <c:pt idx="0">
                  <c:v>50000</c:v>
                </c:pt>
              </c:numCache>
            </c:numRef>
          </c:xVal>
          <c:yVal>
            <c:numRef>
              <c:f>'Sheet1 (2)'!$I$17</c:f>
              <c:numCache>
                <c:formatCode>#,##0</c:formatCode>
                <c:ptCount val="1"/>
                <c:pt idx="0">
                  <c:v>30136.792938374307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3040-4A8A-AE2A-100717A504A6}"/>
            </c:ext>
          </c:extLst>
        </c:ser>
        <c:ser>
          <c:idx val="25"/>
          <c:order val="25"/>
          <c:tx>
            <c:v>HCC Display OPT</c:v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dLbls>
            <c:numFmt formatCode="0.0#,,\ &quot;M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'Sheet1 (2)'!$E$12</c:f>
              <c:numCache>
                <c:formatCode>"$"#,##0</c:formatCode>
                <c:ptCount val="1"/>
                <c:pt idx="0">
                  <c:v>13654847.335999999</c:v>
                </c:pt>
              </c:numCache>
            </c:numRef>
          </c:xVal>
          <c:yVal>
            <c:numRef>
              <c:f>'Sheet1 (2)'!$F$12</c:f>
              <c:numCache>
                <c:formatCode>#,##0</c:formatCode>
                <c:ptCount val="1"/>
                <c:pt idx="0">
                  <c:v>351876.44985588826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3040-4A8A-AE2A-100717A504A6}"/>
            </c:ext>
          </c:extLst>
        </c:ser>
        <c:ser>
          <c:idx val="26"/>
          <c:order val="26"/>
          <c:tx>
            <c:v>HCC Online Video OPT</c:v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1.5272515381069617E-2"/>
                  <c:y val="-0.18935058707632904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3040-4A8A-AE2A-100717A504A6}"/>
                </c:ext>
              </c:extLst>
            </c:dLbl>
            <c:numFmt formatCode="0.0#,,\ &quot;M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'Sheet1 (2)'!$E$13</c:f>
              <c:numCache>
                <c:formatCode>"$"#,##0</c:formatCode>
                <c:ptCount val="1"/>
                <c:pt idx="0">
                  <c:v>2205903.3000226272</c:v>
                </c:pt>
              </c:numCache>
            </c:numRef>
          </c:xVal>
          <c:yVal>
            <c:numRef>
              <c:f>'Sheet1 (2)'!$F$13</c:f>
              <c:numCache>
                <c:formatCode>#,##0</c:formatCode>
                <c:ptCount val="1"/>
                <c:pt idx="0">
                  <c:v>27360.83264723729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3040-4A8A-AE2A-100717A504A6}"/>
            </c:ext>
          </c:extLst>
        </c:ser>
        <c:ser>
          <c:idx val="27"/>
          <c:order val="27"/>
          <c:tx>
            <c:v>HCC OTT OPT</c:v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dLbls>
            <c:numFmt formatCode="0.0#,,\ &quot;M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'Sheet1 (2)'!$E$14</c:f>
              <c:numCache>
                <c:formatCode>"$"#,##0</c:formatCode>
                <c:ptCount val="1"/>
                <c:pt idx="0">
                  <c:v>1445312.7520000001</c:v>
                </c:pt>
              </c:numCache>
            </c:numRef>
          </c:xVal>
          <c:yVal>
            <c:numRef>
              <c:f>'Sheet1 (2)'!$F$14</c:f>
              <c:numCache>
                <c:formatCode>#,##0</c:formatCode>
                <c:ptCount val="1"/>
                <c:pt idx="0">
                  <c:v>25719.483123207465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3040-4A8A-AE2A-100717A504A6}"/>
            </c:ext>
          </c:extLst>
        </c:ser>
        <c:ser>
          <c:idx val="28"/>
          <c:order val="28"/>
          <c:tx>
            <c:v>HCC Paid Search OPT</c:v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dLbls>
            <c:numFmt formatCode="0.0#,,\ &quot;M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5">
                    <a:lumMod val="60000"/>
                    <a:lumOff val="40000"/>
                  </a:schemeClr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'Sheet1 (2)'!$E$15</c:f>
              <c:numCache>
                <c:formatCode>"$"#,##0</c:formatCode>
                <c:ptCount val="1"/>
                <c:pt idx="0">
                  <c:v>9393003.1999999993</c:v>
                </c:pt>
              </c:numCache>
            </c:numRef>
          </c:xVal>
          <c:yVal>
            <c:numRef>
              <c:f>'Sheet1 (2)'!$F$15</c:f>
              <c:numCache>
                <c:formatCode>#,##0</c:formatCode>
                <c:ptCount val="1"/>
                <c:pt idx="0">
                  <c:v>78535.322127134612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3040-4A8A-AE2A-100717A504A6}"/>
            </c:ext>
          </c:extLst>
        </c:ser>
        <c:ser>
          <c:idx val="29"/>
          <c:order val="29"/>
          <c:tx>
            <c:v>HCC Contextual Search OPT</c:v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1.2955074216183145E-2"/>
                  <c:y val="-0.10557082347261479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3040-4A8A-AE2A-100717A504A6}"/>
                </c:ext>
              </c:extLst>
            </c:dLbl>
            <c:numFmt formatCode="0.0#,,\ &quot;M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'Sheet1 (2)'!$E$16</c:f>
              <c:numCache>
                <c:formatCode>"$"#,##0</c:formatCode>
                <c:ptCount val="1"/>
                <c:pt idx="0">
                  <c:v>3717254.8659999999</c:v>
                </c:pt>
              </c:numCache>
            </c:numRef>
          </c:xVal>
          <c:yVal>
            <c:numRef>
              <c:f>'Sheet1 (2)'!$F$16</c:f>
              <c:numCache>
                <c:formatCode>#,##0</c:formatCode>
                <c:ptCount val="1"/>
                <c:pt idx="0">
                  <c:v>89032.988619922922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3040-4A8A-AE2A-100717A504A6}"/>
            </c:ext>
          </c:extLst>
        </c:ser>
        <c:ser>
          <c:idx val="30"/>
          <c:order val="30"/>
          <c:tx>
            <c:v>HCC Social OPT</c:v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dLbls>
            <c:numFmt formatCode="0.0#,,\ &quot;M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'Sheet1 (2)'!$E$17</c:f>
              <c:numCache>
                <c:formatCode>"$"#,##0</c:formatCode>
                <c:ptCount val="1"/>
                <c:pt idx="0">
                  <c:v>65000</c:v>
                </c:pt>
              </c:numCache>
            </c:numRef>
          </c:xVal>
          <c:yVal>
            <c:numRef>
              <c:f>'Sheet1 (2)'!$F$17</c:f>
              <c:numCache>
                <c:formatCode>#,##0</c:formatCode>
                <c:ptCount val="1"/>
                <c:pt idx="0">
                  <c:v>36212.405995131681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3040-4A8A-AE2A-100717A504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0272015"/>
        <c:axId val="760272847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'Sheet1 (2)'!$B$40:$B$41</c15:sqref>
                        </c15:formulaRef>
                      </c:ext>
                    </c:extLst>
                    <c:strCache>
                      <c:ptCount val="2"/>
                      <c:pt idx="0">
                        <c:v>HCC Linear TV</c:v>
                      </c:pt>
                      <c:pt idx="1">
                        <c:v>Y (Incr. Doses)</c:v>
                      </c:pt>
                    </c:strCache>
                  </c:strRef>
                </c:tx>
                <c:spPr>
                  <a:ln w="28575" cap="rnd">
                    <a:solidFill>
                      <a:schemeClr val="accent2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'Sheet1 (2)'!$A$42:$A$62</c15:sqref>
                        </c15:formulaRef>
                      </c:ext>
                    </c:extLst>
                    <c:numCache>
                      <c:formatCode>"$"#,##0</c:formatCode>
                      <c:ptCount val="21"/>
                      <c:pt idx="0">
                        <c:v>0</c:v>
                      </c:pt>
                      <c:pt idx="1">
                        <c:v>200000</c:v>
                      </c:pt>
                      <c:pt idx="2">
                        <c:v>400000</c:v>
                      </c:pt>
                      <c:pt idx="3">
                        <c:v>600000</c:v>
                      </c:pt>
                      <c:pt idx="4">
                        <c:v>800000</c:v>
                      </c:pt>
                      <c:pt idx="5">
                        <c:v>1000000</c:v>
                      </c:pt>
                      <c:pt idx="6">
                        <c:v>1200000</c:v>
                      </c:pt>
                      <c:pt idx="7">
                        <c:v>1400000</c:v>
                      </c:pt>
                      <c:pt idx="8">
                        <c:v>1600000</c:v>
                      </c:pt>
                      <c:pt idx="9">
                        <c:v>1800000</c:v>
                      </c:pt>
                      <c:pt idx="10">
                        <c:v>2000000</c:v>
                      </c:pt>
                      <c:pt idx="11">
                        <c:v>2200000</c:v>
                      </c:pt>
                      <c:pt idx="12">
                        <c:v>2400000</c:v>
                      </c:pt>
                      <c:pt idx="13">
                        <c:v>2600000</c:v>
                      </c:pt>
                      <c:pt idx="14">
                        <c:v>2800000</c:v>
                      </c:pt>
                      <c:pt idx="15">
                        <c:v>3000000</c:v>
                      </c:pt>
                      <c:pt idx="16">
                        <c:v>3200000</c:v>
                      </c:pt>
                      <c:pt idx="17">
                        <c:v>3400000</c:v>
                      </c:pt>
                      <c:pt idx="18">
                        <c:v>3600000</c:v>
                      </c:pt>
                      <c:pt idx="19">
                        <c:v>3800000</c:v>
                      </c:pt>
                      <c:pt idx="20">
                        <c:v>4000000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'Sheet1 (2)'!$B$42:$B$62</c15:sqref>
                        </c15:formulaRef>
                      </c:ext>
                    </c:extLst>
                    <c:numCache>
                      <c:formatCode>#,##0</c:formatCode>
                      <c:ptCount val="21"/>
                      <c:pt idx="0">
                        <c:v>0</c:v>
                      </c:pt>
                      <c:pt idx="1">
                        <c:v>5611.5002373501393</c:v>
                      </c:pt>
                      <c:pt idx="2">
                        <c:v>9115.9090298824703</c:v>
                      </c:pt>
                      <c:pt idx="3">
                        <c:v>12107.761676700537</c:v>
                      </c:pt>
                      <c:pt idx="4">
                        <c:v>14808.837908974965</c:v>
                      </c:pt>
                      <c:pt idx="5">
                        <c:v>17312.428335532044</c:v>
                      </c:pt>
                      <c:pt idx="6">
                        <c:v>19669.116872820407</c:v>
                      </c:pt>
                      <c:pt idx="7">
                        <c:v>21910.264159564609</c:v>
                      </c:pt>
                      <c:pt idx="8">
                        <c:v>24057.028157631961</c:v>
                      </c:pt>
                      <c:pt idx="9">
                        <c:v>26124.545419070415</c:v>
                      </c:pt>
                      <c:pt idx="10">
                        <c:v>28124.122804562983</c:v>
                      </c:pt>
                      <c:pt idx="11">
                        <c:v>30064.491672450658</c:v>
                      </c:pt>
                      <c:pt idx="12">
                        <c:v>31952.574628318467</c:v>
                      </c:pt>
                      <c:pt idx="13">
                        <c:v>33793.979184790936</c:v>
                      </c:pt>
                      <c:pt idx="14">
                        <c:v>35593.329136808985</c:v>
                      </c:pt>
                      <c:pt idx="15">
                        <c:v>37354.494781339148</c:v>
                      </c:pt>
                      <c:pt idx="16">
                        <c:v>39080.757540491992</c:v>
                      </c:pt>
                      <c:pt idx="17">
                        <c:v>40774.930605230875</c:v>
                      </c:pt>
                      <c:pt idx="18">
                        <c:v>42439.449240714515</c:v>
                      </c:pt>
                      <c:pt idx="19">
                        <c:v>44076.439640998062</c:v>
                      </c:pt>
                      <c:pt idx="20">
                        <c:v>45687.772286846674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18-3040-4A8A-AE2A-100717A504A6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'Sheet1 (2)'!$C$40:$C$41</c15:sqref>
                        </c15:formulaRef>
                      </c:ext>
                    </c:extLst>
                    <c:strCache>
                      <c:ptCount val="2"/>
                      <c:pt idx="0">
                        <c:v>HCC Linear TV</c:v>
                      </c:pt>
                      <c:pt idx="1">
                        <c:v>3-yr pre-tax Incr. Rev.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'Sheet1 (2)'!$A$42:$A$62</c15:sqref>
                        </c15:formulaRef>
                      </c:ext>
                    </c:extLst>
                    <c:numCache>
                      <c:formatCode>"$"#,##0</c:formatCode>
                      <c:ptCount val="21"/>
                      <c:pt idx="0">
                        <c:v>0</c:v>
                      </c:pt>
                      <c:pt idx="1">
                        <c:v>200000</c:v>
                      </c:pt>
                      <c:pt idx="2">
                        <c:v>400000</c:v>
                      </c:pt>
                      <c:pt idx="3">
                        <c:v>600000</c:v>
                      </c:pt>
                      <c:pt idx="4">
                        <c:v>800000</c:v>
                      </c:pt>
                      <c:pt idx="5">
                        <c:v>1000000</c:v>
                      </c:pt>
                      <c:pt idx="6">
                        <c:v>1200000</c:v>
                      </c:pt>
                      <c:pt idx="7">
                        <c:v>1400000</c:v>
                      </c:pt>
                      <c:pt idx="8">
                        <c:v>1600000</c:v>
                      </c:pt>
                      <c:pt idx="9">
                        <c:v>1800000</c:v>
                      </c:pt>
                      <c:pt idx="10">
                        <c:v>2000000</c:v>
                      </c:pt>
                      <c:pt idx="11">
                        <c:v>2200000</c:v>
                      </c:pt>
                      <c:pt idx="12">
                        <c:v>2400000</c:v>
                      </c:pt>
                      <c:pt idx="13">
                        <c:v>2600000</c:v>
                      </c:pt>
                      <c:pt idx="14">
                        <c:v>2800000</c:v>
                      </c:pt>
                      <c:pt idx="15">
                        <c:v>3000000</c:v>
                      </c:pt>
                      <c:pt idx="16">
                        <c:v>3200000</c:v>
                      </c:pt>
                      <c:pt idx="17">
                        <c:v>3400000</c:v>
                      </c:pt>
                      <c:pt idx="18">
                        <c:v>3600000</c:v>
                      </c:pt>
                      <c:pt idx="19">
                        <c:v>3800000</c:v>
                      </c:pt>
                      <c:pt idx="20">
                        <c:v>4000000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'Sheet1 (2)'!$C$42:$C$62</c15:sqref>
                        </c15:formulaRef>
                      </c:ext>
                    </c:extLst>
                    <c:numCache>
                      <c:formatCode>"$"#,##0_);\("$"#,##0\)</c:formatCode>
                      <c:ptCount val="21"/>
                      <c:pt idx="0">
                        <c:v>0</c:v>
                      </c:pt>
                      <c:pt idx="1">
                        <c:v>1267862.3636268904</c:v>
                      </c:pt>
                      <c:pt idx="2">
                        <c:v>2059648.4862116454</c:v>
                      </c:pt>
                      <c:pt idx="3">
                        <c:v>2735627.6732337191</c:v>
                      </c:pt>
                      <c:pt idx="4">
                        <c:v>3345908.8371538036</c:v>
                      </c:pt>
                      <c:pt idx="5">
                        <c:v>3911570.0581301101</c:v>
                      </c:pt>
                      <c:pt idx="6">
                        <c:v>4444040.2662450429</c:v>
                      </c:pt>
                      <c:pt idx="7">
                        <c:v>4950405.0842120275</c:v>
                      </c:pt>
                      <c:pt idx="8">
                        <c:v>5435444.9419353651</c:v>
                      </c:pt>
                      <c:pt idx="9">
                        <c:v>5902579.7919847695</c:v>
                      </c:pt>
                      <c:pt idx="10">
                        <c:v>6354364.3064629603</c:v>
                      </c:pt>
                      <c:pt idx="11">
                        <c:v>6792771.2484735018</c:v>
                      </c:pt>
                      <c:pt idx="12">
                        <c:v>7219364.7115222747</c:v>
                      </c:pt>
                      <c:pt idx="13">
                        <c:v>7635411.6570116645</c:v>
                      </c:pt>
                      <c:pt idx="14">
                        <c:v>8041956.7851706222</c:v>
                      </c:pt>
                      <c:pt idx="15">
                        <c:v>8439874.5508957673</c:v>
                      </c:pt>
                      <c:pt idx="16">
                        <c:v>8829906.3586987611</c:v>
                      </c:pt>
                      <c:pt idx="17">
                        <c:v>9212687.8209458645</c:v>
                      </c:pt>
                      <c:pt idx="18">
                        <c:v>9588769.161447037</c:v>
                      </c:pt>
                      <c:pt idx="19">
                        <c:v>9958630.7724871021</c:v>
                      </c:pt>
                      <c:pt idx="20">
                        <c:v>10322695.270490138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3040-4A8A-AE2A-100717A504A6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'Sheet1 (2)'!$E$40:$E$41</c15:sqref>
                        </c15:formulaRef>
                      </c:ext>
                    </c:extLst>
                    <c:strCache>
                      <c:ptCount val="2"/>
                      <c:pt idx="0">
                        <c:v>HCC Display</c:v>
                      </c:pt>
                      <c:pt idx="1">
                        <c:v>3-yr pre-tax Incr. Rev.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4"/>
                    </a:solidFill>
                    <a:ln w="9525">
                      <a:solidFill>
                        <a:schemeClr val="accent4"/>
                      </a:solidFill>
                    </a:ln>
                    <a:effectLst/>
                  </c:spPr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'Sheet1 (2)'!$A$42:$A$62</c15:sqref>
                        </c15:formulaRef>
                      </c:ext>
                    </c:extLst>
                    <c:numCache>
                      <c:formatCode>"$"#,##0</c:formatCode>
                      <c:ptCount val="21"/>
                      <c:pt idx="0">
                        <c:v>0</c:v>
                      </c:pt>
                      <c:pt idx="1">
                        <c:v>200000</c:v>
                      </c:pt>
                      <c:pt idx="2">
                        <c:v>400000</c:v>
                      </c:pt>
                      <c:pt idx="3">
                        <c:v>600000</c:v>
                      </c:pt>
                      <c:pt idx="4">
                        <c:v>800000</c:v>
                      </c:pt>
                      <c:pt idx="5">
                        <c:v>1000000</c:v>
                      </c:pt>
                      <c:pt idx="6">
                        <c:v>1200000</c:v>
                      </c:pt>
                      <c:pt idx="7">
                        <c:v>1400000</c:v>
                      </c:pt>
                      <c:pt idx="8">
                        <c:v>1600000</c:v>
                      </c:pt>
                      <c:pt idx="9">
                        <c:v>1800000</c:v>
                      </c:pt>
                      <c:pt idx="10">
                        <c:v>2000000</c:v>
                      </c:pt>
                      <c:pt idx="11">
                        <c:v>2200000</c:v>
                      </c:pt>
                      <c:pt idx="12">
                        <c:v>2400000</c:v>
                      </c:pt>
                      <c:pt idx="13">
                        <c:v>2600000</c:v>
                      </c:pt>
                      <c:pt idx="14">
                        <c:v>2800000</c:v>
                      </c:pt>
                      <c:pt idx="15">
                        <c:v>3000000</c:v>
                      </c:pt>
                      <c:pt idx="16">
                        <c:v>3200000</c:v>
                      </c:pt>
                      <c:pt idx="17">
                        <c:v>3400000</c:v>
                      </c:pt>
                      <c:pt idx="18">
                        <c:v>3600000</c:v>
                      </c:pt>
                      <c:pt idx="19">
                        <c:v>3800000</c:v>
                      </c:pt>
                      <c:pt idx="20">
                        <c:v>4000000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'Sheet1 (2)'!$E$42:$E$62</c15:sqref>
                        </c15:formulaRef>
                      </c:ext>
                    </c:extLst>
                    <c:numCache>
                      <c:formatCode>"$"#,##0_);\("$"#,##0\)</c:formatCode>
                      <c:ptCount val="21"/>
                      <c:pt idx="0">
                        <c:v>0</c:v>
                      </c:pt>
                      <c:pt idx="1">
                        <c:v>3483603.1169518577</c:v>
                      </c:pt>
                      <c:pt idx="2">
                        <c:v>5280154.9555111909</c:v>
                      </c:pt>
                      <c:pt idx="3">
                        <c:v>6734438.9973596558</c:v>
                      </c:pt>
                      <c:pt idx="4">
                        <c:v>8003218.3398102848</c:v>
                      </c:pt>
                      <c:pt idx="5">
                        <c:v>9149780.4461816829</c:v>
                      </c:pt>
                      <c:pt idx="6">
                        <c:v>10207500.754451703</c:v>
                      </c:pt>
                      <c:pt idx="7">
                        <c:v>11196634.320252823</c:v>
                      </c:pt>
                      <c:pt idx="8">
                        <c:v>12130610.623050293</c:v>
                      </c:pt>
                      <c:pt idx="9">
                        <c:v>13018896.552383948</c:v>
                      </c:pt>
                      <c:pt idx="10">
                        <c:v>13868473.802210478</c:v>
                      </c:pt>
                      <c:pt idx="11">
                        <c:v>14684673.051141595</c:v>
                      </c:pt>
                      <c:pt idx="12">
                        <c:v>15471677.996189836</c:v>
                      </c:pt>
                      <c:pt idx="13">
                        <c:v>16232846.49716758</c:v>
                      </c:pt>
                      <c:pt idx="14">
                        <c:v>16970924.12836609</c:v>
                      </c:pt>
                      <c:pt idx="15">
                        <c:v>17688191.27362616</c:v>
                      </c:pt>
                      <c:pt idx="16">
                        <c:v>18386567.483244352</c:v>
                      </c:pt>
                      <c:pt idx="17">
                        <c:v>19067687.39561943</c:v>
                      </c:pt>
                      <c:pt idx="18">
                        <c:v>19732957.182133455</c:v>
                      </c:pt>
                      <c:pt idx="19">
                        <c:v>20383597.311868556</c:v>
                      </c:pt>
                      <c:pt idx="20">
                        <c:v>21020675.494225871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3040-4A8A-AE2A-100717A504A6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'Sheet1 (2)'!$G$40:$G$41</c15:sqref>
                        </c15:formulaRef>
                      </c:ext>
                    </c:extLst>
                    <c:strCache>
                      <c:ptCount val="2"/>
                      <c:pt idx="0">
                        <c:v>HCC Online Video</c:v>
                      </c:pt>
                      <c:pt idx="1">
                        <c:v>3-yr pre-tax Incr. Rev.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6"/>
                    </a:solidFill>
                    <a:ln w="9525">
                      <a:solidFill>
                        <a:schemeClr val="accent6"/>
                      </a:solidFill>
                    </a:ln>
                    <a:effectLst/>
                  </c:spPr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'Sheet1 (2)'!$A$42:$A$62</c15:sqref>
                        </c15:formulaRef>
                      </c:ext>
                    </c:extLst>
                    <c:numCache>
                      <c:formatCode>"$"#,##0</c:formatCode>
                      <c:ptCount val="21"/>
                      <c:pt idx="0">
                        <c:v>0</c:v>
                      </c:pt>
                      <c:pt idx="1">
                        <c:v>200000</c:v>
                      </c:pt>
                      <c:pt idx="2">
                        <c:v>400000</c:v>
                      </c:pt>
                      <c:pt idx="3">
                        <c:v>600000</c:v>
                      </c:pt>
                      <c:pt idx="4">
                        <c:v>800000</c:v>
                      </c:pt>
                      <c:pt idx="5">
                        <c:v>1000000</c:v>
                      </c:pt>
                      <c:pt idx="6">
                        <c:v>1200000</c:v>
                      </c:pt>
                      <c:pt idx="7">
                        <c:v>1400000</c:v>
                      </c:pt>
                      <c:pt idx="8">
                        <c:v>1600000</c:v>
                      </c:pt>
                      <c:pt idx="9">
                        <c:v>1800000</c:v>
                      </c:pt>
                      <c:pt idx="10">
                        <c:v>2000000</c:v>
                      </c:pt>
                      <c:pt idx="11">
                        <c:v>2200000</c:v>
                      </c:pt>
                      <c:pt idx="12">
                        <c:v>2400000</c:v>
                      </c:pt>
                      <c:pt idx="13">
                        <c:v>2600000</c:v>
                      </c:pt>
                      <c:pt idx="14">
                        <c:v>2800000</c:v>
                      </c:pt>
                      <c:pt idx="15">
                        <c:v>3000000</c:v>
                      </c:pt>
                      <c:pt idx="16">
                        <c:v>3200000</c:v>
                      </c:pt>
                      <c:pt idx="17">
                        <c:v>3400000</c:v>
                      </c:pt>
                      <c:pt idx="18">
                        <c:v>3600000</c:v>
                      </c:pt>
                      <c:pt idx="19">
                        <c:v>3800000</c:v>
                      </c:pt>
                      <c:pt idx="20">
                        <c:v>4000000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'Sheet1 (2)'!$G$42:$G$62</c15:sqref>
                        </c15:formulaRef>
                      </c:ext>
                    </c:extLst>
                    <c:numCache>
                      <c:formatCode>"$"#,##0_);\("$"#,##0\)</c:formatCode>
                      <c:ptCount val="21"/>
                      <c:pt idx="0">
                        <c:v>0</c:v>
                      </c:pt>
                      <c:pt idx="1">
                        <c:v>1144494.8836013516</c:v>
                      </c:pt>
                      <c:pt idx="2">
                        <c:v>2156053.8736697803</c:v>
                      </c:pt>
                      <c:pt idx="3">
                        <c:v>3049902.0695450655</c:v>
                      </c:pt>
                      <c:pt idx="4">
                        <c:v>3839568.563785255</c:v>
                      </c:pt>
                      <c:pt idx="5">
                        <c:v>4537064.749615455</c:v>
                      </c:pt>
                      <c:pt idx="6">
                        <c:v>5153046.2858302863</c:v>
                      </c:pt>
                      <c:pt idx="7">
                        <c:v>5696959.6489262134</c:v>
                      </c:pt>
                      <c:pt idx="8">
                        <c:v>6177174.3007293213</c:v>
                      </c:pt>
                      <c:pt idx="9">
                        <c:v>6601101.5445576785</c:v>
                      </c:pt>
                      <c:pt idx="10">
                        <c:v>6975301.1484177262</c:v>
                      </c:pt>
                      <c:pt idx="11">
                        <c:v>7305576.7912405133</c:v>
                      </c:pt>
                      <c:pt idx="12">
                        <c:v>7597061.3464348512</c:v>
                      </c:pt>
                      <c:pt idx="13">
                        <c:v>7854292.9628001964</c:v>
                      </c:pt>
                      <c:pt idx="14">
                        <c:v>8081282.8411406297</c:v>
                      </c:pt>
                      <c:pt idx="15">
                        <c:v>8281575.5395068182</c:v>
                      </c:pt>
                      <c:pt idx="16">
                        <c:v>8458302.5736109596</c:v>
                      </c:pt>
                      <c:pt idx="17">
                        <c:v>8614230.013549054</c:v>
                      </c:pt>
                      <c:pt idx="18">
                        <c:v>8751800.7148638312</c:v>
                      </c:pt>
                      <c:pt idx="19">
                        <c:v>8873171.7620714754</c:v>
                      </c:pt>
                      <c:pt idx="20">
                        <c:v>8980247.6466075294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3040-4A8A-AE2A-100717A504A6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'Sheet1 (2)'!$I$40:$I$41</c15:sqref>
                        </c15:formulaRef>
                      </c:ext>
                    </c:extLst>
                    <c:strCache>
                      <c:ptCount val="2"/>
                      <c:pt idx="0">
                        <c:v>HCC Streaming Video</c:v>
                      </c:pt>
                      <c:pt idx="1">
                        <c:v>3-yr pre-tax Incr. Rev.</c:v>
                      </c:pt>
                    </c:strCache>
                  </c:strRef>
                </c:tx>
                <c:spPr>
                  <a:ln w="28575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>
                        <a:lumMod val="60000"/>
                      </a:schemeClr>
                    </a:solidFill>
                    <a:ln w="9525">
                      <a:solidFill>
                        <a:schemeClr val="accent2">
                          <a:lumMod val="6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'Sheet1 (2)'!$A$42:$A$62</c15:sqref>
                        </c15:formulaRef>
                      </c:ext>
                    </c:extLst>
                    <c:numCache>
                      <c:formatCode>"$"#,##0</c:formatCode>
                      <c:ptCount val="21"/>
                      <c:pt idx="0">
                        <c:v>0</c:v>
                      </c:pt>
                      <c:pt idx="1">
                        <c:v>200000</c:v>
                      </c:pt>
                      <c:pt idx="2">
                        <c:v>400000</c:v>
                      </c:pt>
                      <c:pt idx="3">
                        <c:v>600000</c:v>
                      </c:pt>
                      <c:pt idx="4">
                        <c:v>800000</c:v>
                      </c:pt>
                      <c:pt idx="5">
                        <c:v>1000000</c:v>
                      </c:pt>
                      <c:pt idx="6">
                        <c:v>1200000</c:v>
                      </c:pt>
                      <c:pt idx="7">
                        <c:v>1400000</c:v>
                      </c:pt>
                      <c:pt idx="8">
                        <c:v>1600000</c:v>
                      </c:pt>
                      <c:pt idx="9">
                        <c:v>1800000</c:v>
                      </c:pt>
                      <c:pt idx="10">
                        <c:v>2000000</c:v>
                      </c:pt>
                      <c:pt idx="11">
                        <c:v>2200000</c:v>
                      </c:pt>
                      <c:pt idx="12">
                        <c:v>2400000</c:v>
                      </c:pt>
                      <c:pt idx="13">
                        <c:v>2600000</c:v>
                      </c:pt>
                      <c:pt idx="14">
                        <c:v>2800000</c:v>
                      </c:pt>
                      <c:pt idx="15">
                        <c:v>3000000</c:v>
                      </c:pt>
                      <c:pt idx="16">
                        <c:v>3200000</c:v>
                      </c:pt>
                      <c:pt idx="17">
                        <c:v>3400000</c:v>
                      </c:pt>
                      <c:pt idx="18">
                        <c:v>3600000</c:v>
                      </c:pt>
                      <c:pt idx="19">
                        <c:v>3800000</c:v>
                      </c:pt>
                      <c:pt idx="20">
                        <c:v>4000000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'Sheet1 (2)'!$I$42:$I$62</c15:sqref>
                        </c15:formulaRef>
                      </c:ext>
                    </c:extLst>
                    <c:numCache>
                      <c:formatCode>"$"#,##0_);\("$"#,##0\)</c:formatCode>
                      <c:ptCount val="21"/>
                      <c:pt idx="0">
                        <c:v>0</c:v>
                      </c:pt>
                      <c:pt idx="1">
                        <c:v>1198991.2717571859</c:v>
                      </c:pt>
                      <c:pt idx="2">
                        <c:v>1947767.0673899699</c:v>
                      </c:pt>
                      <c:pt idx="3">
                        <c:v>2587026.6340281493</c:v>
                      </c:pt>
                      <c:pt idx="4">
                        <c:v>3164156.9360625213</c:v>
                      </c:pt>
                      <c:pt idx="5">
                        <c:v>3699091.078899567</c:v>
                      </c:pt>
                      <c:pt idx="6">
                        <c:v>4202637.1658535404</c:v>
                      </c:pt>
                      <c:pt idx="7">
                        <c:v>4681495.9240949042</c:v>
                      </c:pt>
                      <c:pt idx="8">
                        <c:v>5140188.1075279722</c:v>
                      </c:pt>
                      <c:pt idx="9">
                        <c:v>5581947.8947186125</c:v>
                      </c:pt>
                      <c:pt idx="10">
                        <c:v>6009191.1863522911</c:v>
                      </c:pt>
                      <c:pt idx="11">
                        <c:v>6423783.5837831292</c:v>
                      </c:pt>
                      <c:pt idx="12">
                        <c:v>6827204.2179606343</c:v>
                      </c:pt>
                      <c:pt idx="13">
                        <c:v>7220651.2281361111</c:v>
                      </c:pt>
                      <c:pt idx="14">
                        <c:v>7605112.5657560686</c:v>
                      </c:pt>
                      <c:pt idx="15">
                        <c:v>7981415.1847696677</c:v>
                      </c:pt>
                      <c:pt idx="16">
                        <c:v>8350260.2161228396</c:v>
                      </c:pt>
                      <c:pt idx="17">
                        <c:v>8712248.7453128975</c:v>
                      </c:pt>
                      <c:pt idx="18">
                        <c:v>9067901.1076416727</c:v>
                      </c:pt>
                      <c:pt idx="19">
                        <c:v>9417671.600178821</c:v>
                      </c:pt>
                      <c:pt idx="20">
                        <c:v>9761959.8825548384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3040-4A8A-AE2A-100717A504A6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'Sheet1 (2)'!$K$40:$K$41</c15:sqref>
                        </c15:formulaRef>
                      </c:ext>
                    </c:extLst>
                    <c:strCache>
                      <c:ptCount val="2"/>
                      <c:pt idx="0">
                        <c:v>HCC Paid Search</c:v>
                      </c:pt>
                      <c:pt idx="1">
                        <c:v>3-yr pre-tax Incr. Rev.</c:v>
                      </c:pt>
                    </c:strCache>
                  </c:strRef>
                </c:tx>
                <c:spPr>
                  <a:ln w="28575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4">
                        <a:lumMod val="60000"/>
                      </a:schemeClr>
                    </a:solidFill>
                    <a:ln w="9525">
                      <a:solidFill>
                        <a:schemeClr val="accent4">
                          <a:lumMod val="6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'Sheet1 (2)'!$A$42:$A$62</c15:sqref>
                        </c15:formulaRef>
                      </c:ext>
                    </c:extLst>
                    <c:numCache>
                      <c:formatCode>"$"#,##0</c:formatCode>
                      <c:ptCount val="21"/>
                      <c:pt idx="0">
                        <c:v>0</c:v>
                      </c:pt>
                      <c:pt idx="1">
                        <c:v>200000</c:v>
                      </c:pt>
                      <c:pt idx="2">
                        <c:v>400000</c:v>
                      </c:pt>
                      <c:pt idx="3">
                        <c:v>600000</c:v>
                      </c:pt>
                      <c:pt idx="4">
                        <c:v>800000</c:v>
                      </c:pt>
                      <c:pt idx="5">
                        <c:v>1000000</c:v>
                      </c:pt>
                      <c:pt idx="6">
                        <c:v>1200000</c:v>
                      </c:pt>
                      <c:pt idx="7">
                        <c:v>1400000</c:v>
                      </c:pt>
                      <c:pt idx="8">
                        <c:v>1600000</c:v>
                      </c:pt>
                      <c:pt idx="9">
                        <c:v>1800000</c:v>
                      </c:pt>
                      <c:pt idx="10">
                        <c:v>2000000</c:v>
                      </c:pt>
                      <c:pt idx="11">
                        <c:v>2200000</c:v>
                      </c:pt>
                      <c:pt idx="12">
                        <c:v>2400000</c:v>
                      </c:pt>
                      <c:pt idx="13">
                        <c:v>2600000</c:v>
                      </c:pt>
                      <c:pt idx="14">
                        <c:v>2800000</c:v>
                      </c:pt>
                      <c:pt idx="15">
                        <c:v>3000000</c:v>
                      </c:pt>
                      <c:pt idx="16">
                        <c:v>3200000</c:v>
                      </c:pt>
                      <c:pt idx="17">
                        <c:v>3400000</c:v>
                      </c:pt>
                      <c:pt idx="18">
                        <c:v>3600000</c:v>
                      </c:pt>
                      <c:pt idx="19">
                        <c:v>3800000</c:v>
                      </c:pt>
                      <c:pt idx="20">
                        <c:v>4000000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'Sheet1 (2)'!$K$42:$K$62</c15:sqref>
                        </c15:formulaRef>
                      </c:ext>
                    </c:extLst>
                    <c:numCache>
                      <c:formatCode>"$"#,##0_);\("$"#,##0\)</c:formatCode>
                      <c:ptCount val="21"/>
                      <c:pt idx="0">
                        <c:v>0</c:v>
                      </c:pt>
                      <c:pt idx="1">
                        <c:v>17969341.094351832</c:v>
                      </c:pt>
                      <c:pt idx="2">
                        <c:v>29191280.72965971</c:v>
                      </c:pt>
                      <c:pt idx="3">
                        <c:v>38771895.260667987</c:v>
                      </c:pt>
                      <c:pt idx="4">
                        <c:v>47421375.450747401</c:v>
                      </c:pt>
                      <c:pt idx="5">
                        <c:v>55438459.729906566</c:v>
                      </c:pt>
                      <c:pt idx="6">
                        <c:v>62985129.673501097</c:v>
                      </c:pt>
                      <c:pt idx="7">
                        <c:v>70161809.408830643</c:v>
                      </c:pt>
                      <c:pt idx="8">
                        <c:v>77036251.696756661</c:v>
                      </c:pt>
                      <c:pt idx="9">
                        <c:v>83656927.330335841</c:v>
                      </c:pt>
                      <c:pt idx="10">
                        <c:v>90060043.531830549</c:v>
                      </c:pt>
                      <c:pt idx="11">
                        <c:v>96273560.160389066</c:v>
                      </c:pt>
                      <c:pt idx="12">
                        <c:v>102319645.02421901</c:v>
                      </c:pt>
                      <c:pt idx="13">
                        <c:v>108216254.69514233</c:v>
                      </c:pt>
                      <c:pt idx="14">
                        <c:v>113978195.65002432</c:v>
                      </c:pt>
                      <c:pt idx="15">
                        <c:v>119617861.48832798</c:v>
                      </c:pt>
                      <c:pt idx="16">
                        <c:v>125145760.09398539</c:v>
                      </c:pt>
                      <c:pt idx="17">
                        <c:v>130570899.96487541</c:v>
                      </c:pt>
                      <c:pt idx="18">
                        <c:v>135901079.39172944</c:v>
                      </c:pt>
                      <c:pt idx="19">
                        <c:v>141143106.94704953</c:v>
                      </c:pt>
                      <c:pt idx="20">
                        <c:v>146302972.34935251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3040-4A8A-AE2A-100717A504A6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'Sheet1 (2)'!$M$40:$M$41</c15:sqref>
                        </c15:formulaRef>
                      </c:ext>
                    </c:extLst>
                    <c:strCache>
                      <c:ptCount val="2"/>
                      <c:pt idx="0">
                        <c:v>HCC Radio</c:v>
                      </c:pt>
                      <c:pt idx="1">
                        <c:v>3-yr pre-tax Incr. Rev.</c:v>
                      </c:pt>
                    </c:strCache>
                  </c:strRef>
                </c:tx>
                <c:spPr>
                  <a:ln w="28575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6">
                        <a:lumMod val="60000"/>
                      </a:schemeClr>
                    </a:solidFill>
                    <a:ln w="9525">
                      <a:solidFill>
                        <a:schemeClr val="accent6">
                          <a:lumMod val="6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'Sheet1 (2)'!$A$42:$A$62</c15:sqref>
                        </c15:formulaRef>
                      </c:ext>
                    </c:extLst>
                    <c:numCache>
                      <c:formatCode>"$"#,##0</c:formatCode>
                      <c:ptCount val="21"/>
                      <c:pt idx="0">
                        <c:v>0</c:v>
                      </c:pt>
                      <c:pt idx="1">
                        <c:v>200000</c:v>
                      </c:pt>
                      <c:pt idx="2">
                        <c:v>400000</c:v>
                      </c:pt>
                      <c:pt idx="3">
                        <c:v>600000</c:v>
                      </c:pt>
                      <c:pt idx="4">
                        <c:v>800000</c:v>
                      </c:pt>
                      <c:pt idx="5">
                        <c:v>1000000</c:v>
                      </c:pt>
                      <c:pt idx="6">
                        <c:v>1200000</c:v>
                      </c:pt>
                      <c:pt idx="7">
                        <c:v>1400000</c:v>
                      </c:pt>
                      <c:pt idx="8">
                        <c:v>1600000</c:v>
                      </c:pt>
                      <c:pt idx="9">
                        <c:v>1800000</c:v>
                      </c:pt>
                      <c:pt idx="10">
                        <c:v>2000000</c:v>
                      </c:pt>
                      <c:pt idx="11">
                        <c:v>2200000</c:v>
                      </c:pt>
                      <c:pt idx="12">
                        <c:v>2400000</c:v>
                      </c:pt>
                      <c:pt idx="13">
                        <c:v>2600000</c:v>
                      </c:pt>
                      <c:pt idx="14">
                        <c:v>2800000</c:v>
                      </c:pt>
                      <c:pt idx="15">
                        <c:v>3000000</c:v>
                      </c:pt>
                      <c:pt idx="16">
                        <c:v>3200000</c:v>
                      </c:pt>
                      <c:pt idx="17">
                        <c:v>3400000</c:v>
                      </c:pt>
                      <c:pt idx="18">
                        <c:v>3600000</c:v>
                      </c:pt>
                      <c:pt idx="19">
                        <c:v>3800000</c:v>
                      </c:pt>
                      <c:pt idx="20">
                        <c:v>4000000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'Sheet1 (2)'!$M$42:$M$62</c15:sqref>
                        </c15:formulaRef>
                      </c:ext>
                    </c:extLst>
                    <c:numCache>
                      <c:formatCode>"$"#,##0_);\("$"#,##0\)</c:formatCode>
                      <c:ptCount val="21"/>
                      <c:pt idx="0">
                        <c:v>0</c:v>
                      </c:pt>
                      <c:pt idx="1">
                        <c:v>3256278.0918494789</c:v>
                      </c:pt>
                      <c:pt idx="2">
                        <c:v>4296684.7018718515</c:v>
                      </c:pt>
                      <c:pt idx="3">
                        <c:v>5053240.7442741655</c:v>
                      </c:pt>
                      <c:pt idx="4">
                        <c:v>5669509.4542167829</c:v>
                      </c:pt>
                      <c:pt idx="5">
                        <c:v>6198826.6151034851</c:v>
                      </c:pt>
                      <c:pt idx="6">
                        <c:v>6667791.1371096708</c:v>
                      </c:pt>
                      <c:pt idx="7">
                        <c:v>7091868.9761415068</c:v>
                      </c:pt>
                      <c:pt idx="8">
                        <c:v>7480962.5750407605</c:v>
                      </c:pt>
                      <c:pt idx="9">
                        <c:v>7841849.2829306219</c:v>
                      </c:pt>
                      <c:pt idx="10">
                        <c:v>8179400.7561386107</c:v>
                      </c:pt>
                      <c:pt idx="11">
                        <c:v>8497253.2367697079</c:v>
                      </c:pt>
                      <c:pt idx="12">
                        <c:v>8798203.1527976021</c:v>
                      </c:pt>
                      <c:pt idx="13">
                        <c:v>9084453.9595262352</c:v>
                      </c:pt>
                      <c:pt idx="14">
                        <c:v>9357777.2161835842</c:v>
                      </c:pt>
                      <c:pt idx="15">
                        <c:v>9619621.6461170744</c:v>
                      </c:pt>
                      <c:pt idx="16">
                        <c:v>9871189.2979622427</c:v>
                      </c:pt>
                      <c:pt idx="17">
                        <c:v>10113490.150965765</c:v>
                      </c:pt>
                      <c:pt idx="18">
                        <c:v>10347382.163915705</c:v>
                      </c:pt>
                      <c:pt idx="19">
                        <c:v>10573601.23439328</c:v>
                      </c:pt>
                      <c:pt idx="20">
                        <c:v>10792784.003106691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3040-4A8A-AE2A-100717A504A6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'Sheet1 (2)'!$O$40:$O$41</c15:sqref>
                        </c15:formulaRef>
                      </c:ext>
                    </c:extLst>
                    <c:strCache>
                      <c:ptCount val="2"/>
                      <c:pt idx="0">
                        <c:v>HCC Social</c:v>
                      </c:pt>
                      <c:pt idx="1">
                        <c:v>3-yr pre-tax Incr. Rev.</c:v>
                      </c:pt>
                    </c:strCache>
                  </c:strRef>
                </c:tx>
                <c:spPr>
                  <a:ln w="28575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>
                        <a:lumMod val="80000"/>
                        <a:lumOff val="20000"/>
                      </a:schemeClr>
                    </a:solidFill>
                    <a:ln w="9525">
                      <a:solidFill>
                        <a:schemeClr val="accent2">
                          <a:lumMod val="80000"/>
                          <a:lumOff val="2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'Sheet1 (2)'!$A$42:$A$62</c15:sqref>
                        </c15:formulaRef>
                      </c:ext>
                    </c:extLst>
                    <c:numCache>
                      <c:formatCode>"$"#,##0</c:formatCode>
                      <c:ptCount val="21"/>
                      <c:pt idx="0">
                        <c:v>0</c:v>
                      </c:pt>
                      <c:pt idx="1">
                        <c:v>200000</c:v>
                      </c:pt>
                      <c:pt idx="2">
                        <c:v>400000</c:v>
                      </c:pt>
                      <c:pt idx="3">
                        <c:v>600000</c:v>
                      </c:pt>
                      <c:pt idx="4">
                        <c:v>800000</c:v>
                      </c:pt>
                      <c:pt idx="5">
                        <c:v>1000000</c:v>
                      </c:pt>
                      <c:pt idx="6">
                        <c:v>1200000</c:v>
                      </c:pt>
                      <c:pt idx="7">
                        <c:v>1400000</c:v>
                      </c:pt>
                      <c:pt idx="8">
                        <c:v>1600000</c:v>
                      </c:pt>
                      <c:pt idx="9">
                        <c:v>1800000</c:v>
                      </c:pt>
                      <c:pt idx="10">
                        <c:v>2000000</c:v>
                      </c:pt>
                      <c:pt idx="11">
                        <c:v>2200000</c:v>
                      </c:pt>
                      <c:pt idx="12">
                        <c:v>2400000</c:v>
                      </c:pt>
                      <c:pt idx="13">
                        <c:v>2600000</c:v>
                      </c:pt>
                      <c:pt idx="14">
                        <c:v>2800000</c:v>
                      </c:pt>
                      <c:pt idx="15">
                        <c:v>3000000</c:v>
                      </c:pt>
                      <c:pt idx="16">
                        <c:v>3200000</c:v>
                      </c:pt>
                      <c:pt idx="17">
                        <c:v>3400000</c:v>
                      </c:pt>
                      <c:pt idx="18">
                        <c:v>3600000</c:v>
                      </c:pt>
                      <c:pt idx="19">
                        <c:v>3800000</c:v>
                      </c:pt>
                      <c:pt idx="20">
                        <c:v>4000000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'Sheet1 (2)'!$O$42:$O$62</c15:sqref>
                        </c15:formulaRef>
                      </c:ext>
                    </c:extLst>
                    <c:numCache>
                      <c:formatCode>"$"#,##0_);\("$"#,##0\)</c:formatCode>
                      <c:ptCount val="21"/>
                      <c:pt idx="0">
                        <c:v>0</c:v>
                      </c:pt>
                      <c:pt idx="1">
                        <c:v>1464160.0381331637</c:v>
                      </c:pt>
                      <c:pt idx="2">
                        <c:v>2219251.6258209329</c:v>
                      </c:pt>
                      <c:pt idx="3">
                        <c:v>2830487.8966256375</c:v>
                      </c:pt>
                      <c:pt idx="4">
                        <c:v>3363756.4545119228</c:v>
                      </c:pt>
                      <c:pt idx="5">
                        <c:v>3845657.0502536343</c:v>
                      </c:pt>
                      <c:pt idx="6">
                        <c:v>4290217.3962226501</c:v>
                      </c:pt>
                      <c:pt idx="7">
                        <c:v>4705950.7018838786</c:v>
                      </c:pt>
                      <c:pt idx="8">
                        <c:v>5098501.3838100014</c:v>
                      </c:pt>
                      <c:pt idx="9">
                        <c:v>5471848.3801533533</c:v>
                      </c:pt>
                      <c:pt idx="10">
                        <c:v>5828926.1001869449</c:v>
                      </c:pt>
                      <c:pt idx="11">
                        <c:v>6171975.0306531982</c:v>
                      </c:pt>
                      <c:pt idx="12">
                        <c:v>6502753.5813857745</c:v>
                      </c:pt>
                      <c:pt idx="13">
                        <c:v>6822673.0624524048</c:v>
                      </c:pt>
                      <c:pt idx="14">
                        <c:v>7132887.4400266306</c:v>
                      </c:pt>
                      <c:pt idx="15">
                        <c:v>7434355.160515571</c:v>
                      </c:pt>
                      <c:pt idx="16">
                        <c:v>7727883.0118170083</c:v>
                      </c:pt>
                      <c:pt idx="17">
                        <c:v>8014158.0332232798</c:v>
                      </c:pt>
                      <c:pt idx="18">
                        <c:v>8293771.2392315231</c:v>
                      </c:pt>
                      <c:pt idx="19">
                        <c:v>8567235.5935743544</c:v>
                      </c:pt>
                      <c:pt idx="20">
                        <c:v>8834999.8550182004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3040-4A8A-AE2A-100717A504A6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'Sheet1 (2)'!$P$40:$P$41</c15:sqref>
                        </c15:formulaRef>
                      </c:ext>
                    </c:extLst>
                    <c:strCache>
                      <c:ptCount val="2"/>
                      <c:pt idx="0">
                        <c:v>HCC MCM</c:v>
                      </c:pt>
                      <c:pt idx="1">
                        <c:v>Y (Incr. Doses)</c:v>
                      </c:pt>
                    </c:strCache>
                  </c:strRef>
                </c:tx>
                <c:spPr>
                  <a:ln w="28575" cap="rnd">
                    <a:solidFill>
                      <a:schemeClr val="accent3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'Sheet1 (2)'!$A$42:$A$62</c15:sqref>
                        </c15:formulaRef>
                      </c:ext>
                    </c:extLst>
                    <c:numCache>
                      <c:formatCode>"$"#,##0</c:formatCode>
                      <c:ptCount val="21"/>
                      <c:pt idx="0">
                        <c:v>0</c:v>
                      </c:pt>
                      <c:pt idx="1">
                        <c:v>200000</c:v>
                      </c:pt>
                      <c:pt idx="2">
                        <c:v>400000</c:v>
                      </c:pt>
                      <c:pt idx="3">
                        <c:v>600000</c:v>
                      </c:pt>
                      <c:pt idx="4">
                        <c:v>800000</c:v>
                      </c:pt>
                      <c:pt idx="5">
                        <c:v>1000000</c:v>
                      </c:pt>
                      <c:pt idx="6">
                        <c:v>1200000</c:v>
                      </c:pt>
                      <c:pt idx="7">
                        <c:v>1400000</c:v>
                      </c:pt>
                      <c:pt idx="8">
                        <c:v>1600000</c:v>
                      </c:pt>
                      <c:pt idx="9">
                        <c:v>1800000</c:v>
                      </c:pt>
                      <c:pt idx="10">
                        <c:v>2000000</c:v>
                      </c:pt>
                      <c:pt idx="11">
                        <c:v>2200000</c:v>
                      </c:pt>
                      <c:pt idx="12">
                        <c:v>2400000</c:v>
                      </c:pt>
                      <c:pt idx="13">
                        <c:v>2600000</c:v>
                      </c:pt>
                      <c:pt idx="14">
                        <c:v>2800000</c:v>
                      </c:pt>
                      <c:pt idx="15">
                        <c:v>3000000</c:v>
                      </c:pt>
                      <c:pt idx="16">
                        <c:v>3200000</c:v>
                      </c:pt>
                      <c:pt idx="17">
                        <c:v>3400000</c:v>
                      </c:pt>
                      <c:pt idx="18">
                        <c:v>3600000</c:v>
                      </c:pt>
                      <c:pt idx="19">
                        <c:v>3800000</c:v>
                      </c:pt>
                      <c:pt idx="20">
                        <c:v>4000000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'Sheet1 (2)'!$P$42:$P$62</c15:sqref>
                        </c15:formulaRef>
                      </c:ext>
                    </c:extLst>
                    <c:numCache>
                      <c:formatCode>#,##0</c:formatCode>
                      <c:ptCount val="21"/>
                      <c:pt idx="0">
                        <c:v>0</c:v>
                      </c:pt>
                      <c:pt idx="1">
                        <c:v>6744.3499683793634</c:v>
                      </c:pt>
                      <c:pt idx="2">
                        <c:v>13435.838188506663</c:v>
                      </c:pt>
                      <c:pt idx="3">
                        <c:v>20074.687554519624</c:v>
                      </c:pt>
                      <c:pt idx="4">
                        <c:v>26661.123724805191</c:v>
                      </c:pt>
                      <c:pt idx="5">
                        <c:v>33195.375038976781</c:v>
                      </c:pt>
                      <c:pt idx="6">
                        <c:v>39677.672435625456</c:v>
                      </c:pt>
                      <c:pt idx="7">
                        <c:v>46108.249370880425</c:v>
                      </c:pt>
                      <c:pt idx="8">
                        <c:v>52487.34173778072</c:v>
                      </c:pt>
                      <c:pt idx="9">
                        <c:v>58815.187786469236</c:v>
                      </c:pt>
                      <c:pt idx="10">
                        <c:v>65092.028045233339</c:v>
                      </c:pt>
                      <c:pt idx="11">
                        <c:v>71318.105242387392</c:v>
                      </c:pt>
                      <c:pt idx="12">
                        <c:v>77493.664229021408</c:v>
                      </c:pt>
                      <c:pt idx="13">
                        <c:v>83618.951902620494</c:v>
                      </c:pt>
                      <c:pt idx="14">
                        <c:v>89694.217131564394</c:v>
                      </c:pt>
                      <c:pt idx="15">
                        <c:v>95719.710680508986</c:v>
                      </c:pt>
                      <c:pt idx="16">
                        <c:v>101695.68513668422</c:v>
                      </c:pt>
                      <c:pt idx="17">
                        <c:v>107622.39483707212</c:v>
                      </c:pt>
                      <c:pt idx="18">
                        <c:v>113500.09579651337</c:v>
                      </c:pt>
                      <c:pt idx="19">
                        <c:v>119329.04563672934</c:v>
                      </c:pt>
                      <c:pt idx="20">
                        <c:v>125109.50351626147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3040-4A8A-AE2A-100717A504A6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'Sheet1 (2)'!$Q$40:$Q$41</c15:sqref>
                        </c15:formulaRef>
                      </c:ext>
                    </c:extLst>
                    <c:strCache>
                      <c:ptCount val="2"/>
                      <c:pt idx="0">
                        <c:v>HCC MCM</c:v>
                      </c:pt>
                      <c:pt idx="1">
                        <c:v>3-yr pre-tax Incr. Rev.</c:v>
                      </c:pt>
                    </c:strCache>
                  </c:strRef>
                </c:tx>
                <c:spPr>
                  <a:ln w="28575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4">
                        <a:lumMod val="80000"/>
                        <a:lumOff val="20000"/>
                      </a:schemeClr>
                    </a:solidFill>
                    <a:ln w="9525">
                      <a:solidFill>
                        <a:schemeClr val="accent4">
                          <a:lumMod val="80000"/>
                          <a:lumOff val="2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'Sheet1 (2)'!$A$42:$A$62</c15:sqref>
                        </c15:formulaRef>
                      </c:ext>
                    </c:extLst>
                    <c:numCache>
                      <c:formatCode>"$"#,##0</c:formatCode>
                      <c:ptCount val="21"/>
                      <c:pt idx="0">
                        <c:v>0</c:v>
                      </c:pt>
                      <c:pt idx="1">
                        <c:v>200000</c:v>
                      </c:pt>
                      <c:pt idx="2">
                        <c:v>400000</c:v>
                      </c:pt>
                      <c:pt idx="3">
                        <c:v>600000</c:v>
                      </c:pt>
                      <c:pt idx="4">
                        <c:v>800000</c:v>
                      </c:pt>
                      <c:pt idx="5">
                        <c:v>1000000</c:v>
                      </c:pt>
                      <c:pt idx="6">
                        <c:v>1200000</c:v>
                      </c:pt>
                      <c:pt idx="7">
                        <c:v>1400000</c:v>
                      </c:pt>
                      <c:pt idx="8">
                        <c:v>1600000</c:v>
                      </c:pt>
                      <c:pt idx="9">
                        <c:v>1800000</c:v>
                      </c:pt>
                      <c:pt idx="10">
                        <c:v>2000000</c:v>
                      </c:pt>
                      <c:pt idx="11">
                        <c:v>2200000</c:v>
                      </c:pt>
                      <c:pt idx="12">
                        <c:v>2400000</c:v>
                      </c:pt>
                      <c:pt idx="13">
                        <c:v>2600000</c:v>
                      </c:pt>
                      <c:pt idx="14">
                        <c:v>2800000</c:v>
                      </c:pt>
                      <c:pt idx="15">
                        <c:v>3000000</c:v>
                      </c:pt>
                      <c:pt idx="16">
                        <c:v>3200000</c:v>
                      </c:pt>
                      <c:pt idx="17">
                        <c:v>3400000</c:v>
                      </c:pt>
                      <c:pt idx="18">
                        <c:v>3600000</c:v>
                      </c:pt>
                      <c:pt idx="19">
                        <c:v>3800000</c:v>
                      </c:pt>
                      <c:pt idx="20">
                        <c:v>4000000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'Sheet1 (2)'!$Q$42:$Q$62</c15:sqref>
                        </c15:formulaRef>
                      </c:ext>
                    </c:extLst>
                    <c:numCache>
                      <c:formatCode>"$"#,##0_);\("$"#,##0\)</c:formatCode>
                      <c:ptCount val="21"/>
                      <c:pt idx="0">
                        <c:v>0</c:v>
                      </c:pt>
                      <c:pt idx="1">
                        <c:v>1523818.4318556334</c:v>
                      </c:pt>
                      <c:pt idx="2">
                        <c:v>3035693.2803111952</c:v>
                      </c:pt>
                      <c:pt idx="3">
                        <c:v>4535674.9060681639</c:v>
                      </c:pt>
                      <c:pt idx="4">
                        <c:v>6023814.2943824846</c:v>
                      </c:pt>
                      <c:pt idx="5">
                        <c:v>7500163.0363064138</c:v>
                      </c:pt>
                      <c:pt idx="6">
                        <c:v>8964773.3101052158</c:v>
                      </c:pt>
                      <c:pt idx="7">
                        <c:v>10417697.862856723</c:v>
                      </c:pt>
                      <c:pt idx="8">
                        <c:v>11858989.992234176</c:v>
                      </c:pt>
                      <c:pt idx="9">
                        <c:v>13288703.52847486</c:v>
                      </c:pt>
                      <c:pt idx="10">
                        <c:v>14706892.81654002</c:v>
                      </c:pt>
                      <c:pt idx="11">
                        <c:v>16113612.698465006</c:v>
                      </c:pt>
                      <c:pt idx="12">
                        <c:v>17508918.495905098</c:v>
                      </c:pt>
                      <c:pt idx="13">
                        <c:v>18892865.992878076</c:v>
                      </c:pt>
                      <c:pt idx="14">
                        <c:v>20265511.418705657</c:v>
                      </c:pt>
                      <c:pt idx="15">
                        <c:v>21626911.431154199</c:v>
                      </c:pt>
                      <c:pt idx="16">
                        <c:v>22977123.099782433</c:v>
                      </c:pt>
                      <c:pt idx="17">
                        <c:v>24316203.889488075</c:v>
                      </c:pt>
                      <c:pt idx="18">
                        <c:v>25644211.644264232</c:v>
                      </c:pt>
                      <c:pt idx="19">
                        <c:v>26961204.571162626</c:v>
                      </c:pt>
                      <c:pt idx="20">
                        <c:v>28267241.224464115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3040-4A8A-AE2A-100717A504A6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'Sheet1 (2)'!$B$11</c15:sqref>
                        </c15:formulaRef>
                      </c:ext>
                    </c:extLst>
                    <c:strCache>
                      <c:ptCount val="1"/>
                      <c:pt idx="0">
                        <c:v>HCC InOffice</c:v>
                      </c:pt>
                    </c:strCache>
                  </c:strRef>
                </c:tx>
                <c:spPr>
                  <a:ln w="28575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0000"/>
                    </a:solidFill>
                    <a:ln w="9525">
                      <a:solidFill>
                        <a:srgbClr val="FF0000"/>
                      </a:solidFill>
                    </a:ln>
                    <a:effectLst/>
                  </c:spPr>
                </c:marker>
                <c:dPt>
                  <c:idx val="0"/>
                  <c:marker>
                    <c:symbol val="square"/>
                    <c:size val="7"/>
                    <c:spPr>
                      <a:solidFill>
                        <a:srgbClr val="FF0000"/>
                      </a:solidFill>
                      <a:ln w="9525">
                        <a:solidFill>
                          <a:srgbClr val="FF0000"/>
                        </a:solidFill>
                      </a:ln>
                      <a:effectLst/>
                    </c:spPr>
                  </c:marker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2-3040-4A8A-AE2A-100717A504A6}"/>
                    </c:ext>
                  </c:extLst>
                </c:dPt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'Sheet1 (2)'!$H$11</c15:sqref>
                        </c15:formulaRef>
                      </c:ext>
                    </c:extLst>
                    <c:numCache>
                      <c:formatCode>"$"#,##0</c:formatCode>
                      <c:ptCount val="1"/>
                      <c:pt idx="0">
                        <c:v>1134710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'Sheet1 (2)'!$I$11</c15:sqref>
                        </c15:formulaRef>
                      </c:ext>
                    </c:extLst>
                    <c:numCache>
                      <c:formatCode>#,##0</c:formatCode>
                      <c:ptCount val="1"/>
                      <c:pt idx="0">
                        <c:v>7367.8666140222922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3040-4A8A-AE2A-100717A504A6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'Sheet1 (2)'!$B$18</c15:sqref>
                        </c15:formulaRef>
                      </c:ext>
                    </c:extLst>
                    <c:strCache>
                      <c:ptCount val="1"/>
                      <c:pt idx="0">
                        <c:v>HCC Radio</c:v>
                      </c:pt>
                    </c:strCache>
                  </c:strRef>
                </c:tx>
                <c:spPr>
                  <a:ln w="28575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square"/>
                  <c:size val="7"/>
                  <c:spPr>
                    <a:solidFill>
                      <a:srgbClr val="FF0000"/>
                    </a:solidFill>
                    <a:ln w="9525">
                      <a:solidFill>
                        <a:srgbClr val="FF0000"/>
                      </a:solidFill>
                    </a:ln>
                    <a:effectLst/>
                  </c:spPr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'Sheet1 (2)'!$H$18</c15:sqref>
                        </c15:formulaRef>
                      </c:ext>
                    </c:extLst>
                    <c:numCache>
                      <c:formatCode>"$"#,##0</c:formatCode>
                      <c:ptCount val="1"/>
                      <c:pt idx="0">
                        <c:v>923975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'Sheet1 (2)'!$I$18</c15:sqref>
                        </c15:formulaRef>
                      </c:ext>
                    </c:extLst>
                    <c:numCache>
                      <c:formatCode>#,##0</c:formatCode>
                      <c:ptCount val="1"/>
                      <c:pt idx="0">
                        <c:v>26581.559263521289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3040-4A8A-AE2A-100717A504A6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v>HCC TV OPT</c:v>
                </c:tx>
                <c:spPr>
                  <a:ln w="28575" cap="rnd">
                    <a:solidFill>
                      <a:srgbClr val="00B050"/>
                    </a:solidFill>
                    <a:round/>
                  </a:ln>
                  <a:effectLst/>
                </c:spPr>
                <c:marker>
                  <c:symbol val="circle"/>
                  <c:size val="7"/>
                  <c:spPr>
                    <a:solidFill>
                      <a:srgbClr val="00B050"/>
                    </a:solidFill>
                    <a:ln w="9525">
                      <a:solidFill>
                        <a:srgbClr val="00B050"/>
                      </a:solidFill>
                    </a:ln>
                    <a:effectLst/>
                  </c:spPr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'Sheet1 (2)'!$E$11</c15:sqref>
                        </c15:formulaRef>
                      </c:ext>
                    </c:extLst>
                    <c:numCache>
                      <c:formatCode>"$"#,##0</c:formatCode>
                      <c:ptCount val="1"/>
                      <c:pt idx="0">
                        <c:v>794297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'Sheet1 (2)'!$F$11</c15:sqref>
                        </c15:formulaRef>
                      </c:ext>
                    </c:extLst>
                    <c:numCache>
                      <c:formatCode>#,##0</c:formatCode>
                      <c:ptCount val="1"/>
                      <c:pt idx="0">
                        <c:v>5678.7947721770033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3040-4A8A-AE2A-100717A504A6}"/>
                  </c:ext>
                </c:extLst>
              </c15:ser>
            </c15:filteredScatterSeries>
            <c15:filteredScatterSeries>
              <c15:ser>
                <c:idx val="31"/>
                <c:order val="31"/>
                <c:tx>
                  <c:v>HCC Point of Care OPT</c:v>
                </c:tx>
                <c:spPr>
                  <a:ln w="28575" cap="rnd">
                    <a:solidFill>
                      <a:srgbClr val="00B050"/>
                    </a:solidFill>
                    <a:round/>
                  </a:ln>
                  <a:effectLst/>
                </c:spPr>
                <c:marker>
                  <c:symbol val="circle"/>
                  <c:size val="7"/>
                  <c:spPr>
                    <a:solidFill>
                      <a:srgbClr val="00B050"/>
                    </a:solidFill>
                    <a:ln w="9525">
                      <a:solidFill>
                        <a:srgbClr val="00B050"/>
                      </a:solidFill>
                    </a:ln>
                    <a:effectLst/>
                  </c:spPr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'Sheet1 (2)'!$E$18</c15:sqref>
                        </c15:formulaRef>
                      </c:ext>
                    </c:extLst>
                    <c:numCache>
                      <c:formatCode>"$"#,##0</c:formatCode>
                      <c:ptCount val="1"/>
                      <c:pt idx="0">
                        <c:v>1201167.5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'Sheet1 (2)'!$F$18</c15:sqref>
                        </c15:formulaRef>
                      </c:ext>
                    </c:extLst>
                    <c:numCache>
                      <c:formatCode>#,##0</c:formatCode>
                      <c:ptCount val="1"/>
                      <c:pt idx="0">
                        <c:v>29522.816952164638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3040-4A8A-AE2A-100717A504A6}"/>
                  </c:ext>
                </c:extLst>
              </c15:ser>
            </c15:filteredScatterSeries>
          </c:ext>
        </c:extLst>
      </c:scatterChart>
      <c:valAx>
        <c:axId val="760272015"/>
        <c:scaling>
          <c:orientation val="minMax"/>
          <c:max val="4500000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Pre-tax Spends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,\ &quot;M&quot;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0272847"/>
        <c:crosses val="autoZero"/>
        <c:crossBetween val="midCat"/>
      </c:valAx>
      <c:valAx>
        <c:axId val="760272847"/>
        <c:scaling>
          <c:orientation val="minMax"/>
          <c:max val="20000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Incr. Vials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,\ &quot;K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027201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Pre-tax incr. revenue vs InScope Spend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5368845621419727"/>
          <c:y val="0.1625300595871462"/>
          <c:w val="0.75742315621568013"/>
          <c:h val="0.5266269419025324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'Scenario summary'!$G$5</c:f>
              <c:strCache>
                <c:ptCount val="1"/>
                <c:pt idx="0">
                  <c:v>-30% to +30%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3.7772154544711521E-2"/>
                  <c:y val="2.908810385188338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D5D-42B4-BEFA-75A103BB9930}"/>
                </c:ext>
              </c:extLst>
            </c:dLbl>
            <c:dLbl>
              <c:idx val="1"/>
              <c:layout>
                <c:manualLayout>
                  <c:x val="-7.3390253414472278E-2"/>
                  <c:y val="-8.0504894658437964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840-439C-9F45-CC4FC4754633}"/>
                </c:ext>
              </c:extLst>
            </c:dLbl>
            <c:dLbl>
              <c:idx val="2"/>
              <c:layout>
                <c:manualLayout>
                  <c:x val="-0.11593625153353537"/>
                  <c:y val="-3.1503245371355605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9770-4032-861D-70D3A5842C23}"/>
                </c:ext>
              </c:extLst>
            </c:dLbl>
            <c:dLbl>
              <c:idx val="3"/>
              <c:layout>
                <c:manualLayout>
                  <c:x val="-0.14312034030916118"/>
                  <c:y val="-4.2003756883330759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840-439C-9F45-CC4FC4754633}"/>
                </c:ext>
              </c:extLst>
            </c:dLbl>
            <c:dLbl>
              <c:idx val="4"/>
              <c:layout>
                <c:manualLayout>
                  <c:x val="-0.10795477147328428"/>
                  <c:y val="4.5499288588814482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840-439C-9F45-CC4FC475463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'Scenario summary'!$C$6:$C$10</c:f>
              <c:numCache>
                <c:formatCode>_("$"* #,##0_);_("$"* \(#,##0\);_("$"* "-"??_);_(@_)</c:formatCode>
                <c:ptCount val="5"/>
                <c:pt idx="0">
                  <c:v>71971310.615999997</c:v>
                </c:pt>
                <c:pt idx="1">
                  <c:v>65973701.398000002</c:v>
                </c:pt>
                <c:pt idx="2">
                  <c:v>59976092.18</c:v>
                </c:pt>
                <c:pt idx="3">
                  <c:v>53978482.961999997</c:v>
                </c:pt>
                <c:pt idx="4">
                  <c:v>47980873.744000003</c:v>
                </c:pt>
              </c:numCache>
            </c:numRef>
          </c:xVal>
          <c:yVal>
            <c:numRef>
              <c:f>'Scenario summary'!$G$6:$G$10</c:f>
              <c:numCache>
                <c:formatCode>_("$"* #,##0_);_("$"* \(#,##0\);_("$"* "-"??_);_(@_)</c:formatCode>
                <c:ptCount val="5"/>
                <c:pt idx="0">
                  <c:v>195224995.4539333</c:v>
                </c:pt>
                <c:pt idx="1">
                  <c:v>191144144.51306635</c:v>
                </c:pt>
                <c:pt idx="2">
                  <c:v>186654430.97801217</c:v>
                </c:pt>
                <c:pt idx="3">
                  <c:v>177050142.29008847</c:v>
                </c:pt>
                <c:pt idx="4">
                  <c:v>161850874.37877491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D5D-42B4-BEFA-75A103BB9930}"/>
            </c:ext>
          </c:extLst>
        </c:ser>
        <c:ser>
          <c:idx val="1"/>
          <c:order val="1"/>
          <c:tx>
            <c:strRef>
              <c:f>'Scenario summary'!$H$5</c:f>
              <c:strCache>
                <c:ptCount val="1"/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6.0895243997533023E-2"/>
                  <c:y val="-1.6977071929648101E-2"/>
                </c:manualLayout>
              </c:layout>
              <c:tx>
                <c:rich>
                  <a:bodyPr/>
                  <a:lstStyle/>
                  <a:p>
                    <a:fld id="{EFEE84AC-5C07-4654-ACCD-916E0D41363B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2-CD5D-42B4-BEFA-75A103BB9930}"/>
                </c:ext>
              </c:extLst>
            </c:dLbl>
            <c:dLbl>
              <c:idx val="2"/>
              <c:dLblPos val="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D5D-42B4-BEFA-75A103BB9930}"/>
                </c:ext>
              </c:extLst>
            </c:dLbl>
            <c:dLbl>
              <c:idx val="4"/>
              <c:layout>
                <c:manualLayout>
                  <c:x val="-7.6130039349874029E-2"/>
                  <c:y val="-4.72972972972973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770-4032-861D-70D3A5842C23}"/>
                </c:ext>
              </c:extLst>
            </c:dLbl>
            <c:dLbl>
              <c:idx val="5"/>
              <c:layout>
                <c:manualLayout>
                  <c:x val="-7.8475350177491993E-2"/>
                  <c:y val="6.0810810810810814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770-4032-861D-70D3A5842C2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'Scenario summary'!$C$6:$C$10</c:f>
              <c:numCache>
                <c:formatCode>_("$"* #,##0_);_("$"* \(#,##0\);_("$"* "-"??_);_(@_)</c:formatCode>
                <c:ptCount val="5"/>
                <c:pt idx="0">
                  <c:v>71971310.615999997</c:v>
                </c:pt>
                <c:pt idx="1">
                  <c:v>65973701.398000002</c:v>
                </c:pt>
                <c:pt idx="2">
                  <c:v>59976092.18</c:v>
                </c:pt>
                <c:pt idx="3">
                  <c:v>53978482.961999997</c:v>
                </c:pt>
                <c:pt idx="4">
                  <c:v>47980873.744000003</c:v>
                </c:pt>
              </c:numCache>
            </c:numRef>
          </c:xVal>
          <c:yVal>
            <c:numRef>
              <c:f>'Scenario summary'!$H$6:$H$10</c:f>
              <c:numCache>
                <c:formatCode>_("$"* #,##0_);_("$"* \(#,##0\);_("$"* "-"??_);_(@_)</c:formatCode>
                <c:ptCount val="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D5D-42B4-BEFA-75A103BB9930}"/>
            </c:ext>
          </c:extLst>
        </c:ser>
        <c:ser>
          <c:idx val="2"/>
          <c:order val="2"/>
          <c:tx>
            <c:strRef>
              <c:f>'Scenario summary'!$F$5</c:f>
              <c:strCache>
                <c:ptCount val="1"/>
                <c:pt idx="0">
                  <c:v>Current 2023 Baseline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dLbls>
            <c:dLbl>
              <c:idx val="0"/>
              <c:layout>
                <c:manualLayout>
                  <c:x val="-7.5577500013682422E-2"/>
                  <c:y val="3.1503511385401084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CD5D-42B4-BEFA-75A103BB993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'Scenario summary'!$C$8</c:f>
              <c:numCache>
                <c:formatCode>_("$"* #,##0_);_("$"* \(#,##0\);_("$"* "-"??_);_(@_)</c:formatCode>
                <c:ptCount val="1"/>
                <c:pt idx="0">
                  <c:v>59976092.18</c:v>
                </c:pt>
              </c:numCache>
            </c:numRef>
          </c:xVal>
          <c:yVal>
            <c:numRef>
              <c:f>'Scenario summary'!$F$8</c:f>
              <c:numCache>
                <c:formatCode>_("$"* #,##0_);_("$"* \(#,##0\);_("$"* "-"??_);_(@_)</c:formatCode>
                <c:ptCount val="1"/>
                <c:pt idx="0">
                  <c:v>172048616.21900794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D5D-42B4-BEFA-75A103BB99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1722088"/>
        <c:axId val="831723728"/>
      </c:scatterChart>
      <c:valAx>
        <c:axId val="831722088"/>
        <c:scaling>
          <c:orientation val="minMax"/>
          <c:max val="80000000"/>
          <c:min val="4000000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InScope Spend ($MM)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1723728"/>
        <c:crosses val="autoZero"/>
        <c:crossBetween val="midCat"/>
        <c:majorUnit val="10000000"/>
        <c:dispUnits>
          <c:builtInUnit val="millions"/>
        </c:dispUnits>
      </c:valAx>
      <c:valAx>
        <c:axId val="831723728"/>
        <c:scaling>
          <c:orientation val="minMax"/>
          <c:min val="15000000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Pre-tax Incr. Revenue ($MM)</a:t>
                </a:r>
              </a:p>
            </c:rich>
          </c:tx>
          <c:layout>
            <c:manualLayout>
              <c:xMode val="edge"/>
              <c:yMode val="edge"/>
              <c:x val="1.77611128326138E-2"/>
              <c:y val="0.1864580447426051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1722088"/>
        <c:crosses val="autoZero"/>
        <c:crossBetween val="midCat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"/>
          <c:y val="0.84224620831792008"/>
          <c:w val="0.8588792519471864"/>
          <c:h val="0.1376195634941605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Incr. Doses vs Pre-tax Spend</a:t>
            </a:r>
          </a:p>
          <a:p>
            <a:pPr>
              <a:defRPr/>
            </a:pPr>
            <a:r>
              <a:rPr lang="en-US" sz="1000">
                <a:solidFill>
                  <a:srgbClr val="FF0000"/>
                </a:solidFill>
              </a:rPr>
              <a:t>InScope budget :$60M, Optimal channel spend is allowed to vary within</a:t>
            </a:r>
            <a:r>
              <a:rPr lang="en-US" sz="1000" baseline="0">
                <a:solidFill>
                  <a:srgbClr val="FF0000"/>
                </a:solidFill>
              </a:rPr>
              <a:t> custom constraints</a:t>
            </a:r>
            <a:endParaRPr lang="en-US" sz="1000">
              <a:solidFill>
                <a:srgbClr val="FF0000"/>
              </a:solidFill>
            </a:endParaRPr>
          </a:p>
        </c:rich>
      </c:tx>
      <c:layout>
        <c:manualLayout>
          <c:xMode val="edge"/>
          <c:yMode val="edge"/>
          <c:x val="0.12304557941109451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282071011481869"/>
          <c:y val="0.1312875144000665"/>
          <c:w val="0.82595504145043763"/>
          <c:h val="0.71783484538410325"/>
        </c:manualLayout>
      </c:layout>
      <c:scatterChart>
        <c:scatterStyle val="smoothMarker"/>
        <c:varyColors val="0"/>
        <c:ser>
          <c:idx val="0"/>
          <c:order val="0"/>
          <c:tx>
            <c:v>HCC InOffice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1.1402319998944855E-2"/>
                  <c:y val="2.0748090345209091E-2"/>
                </c:manualLayout>
              </c:layout>
              <c:tx>
                <c:rich>
                  <a:bodyPr/>
                  <a:lstStyle/>
                  <a:p>
                    <a:fld id="{F094F515-7299-4E1E-ADDB-95653710ADEE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F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GINOFF!$A$22:$A$42</c:f>
              <c:numCache>
                <c:formatCode>"$"#,##0</c:formatCode>
                <c:ptCount val="21"/>
                <c:pt idx="0">
                  <c:v>0</c:v>
                </c:pt>
                <c:pt idx="1">
                  <c:v>200000</c:v>
                </c:pt>
                <c:pt idx="2">
                  <c:v>400000</c:v>
                </c:pt>
                <c:pt idx="3">
                  <c:v>600000</c:v>
                </c:pt>
                <c:pt idx="4">
                  <c:v>800000</c:v>
                </c:pt>
                <c:pt idx="5">
                  <c:v>1000000</c:v>
                </c:pt>
                <c:pt idx="6">
                  <c:v>1200000</c:v>
                </c:pt>
                <c:pt idx="7">
                  <c:v>1400000</c:v>
                </c:pt>
                <c:pt idx="8">
                  <c:v>1600000</c:v>
                </c:pt>
                <c:pt idx="9">
                  <c:v>1800000</c:v>
                </c:pt>
                <c:pt idx="10">
                  <c:v>2000000</c:v>
                </c:pt>
                <c:pt idx="11">
                  <c:v>2200000</c:v>
                </c:pt>
                <c:pt idx="12">
                  <c:v>2400000</c:v>
                </c:pt>
                <c:pt idx="13">
                  <c:v>2600000</c:v>
                </c:pt>
                <c:pt idx="14">
                  <c:v>2800000</c:v>
                </c:pt>
                <c:pt idx="15">
                  <c:v>3000000</c:v>
                </c:pt>
                <c:pt idx="16">
                  <c:v>3200000</c:v>
                </c:pt>
                <c:pt idx="17">
                  <c:v>3400000</c:v>
                </c:pt>
                <c:pt idx="18">
                  <c:v>3600000</c:v>
                </c:pt>
                <c:pt idx="19">
                  <c:v>3800000</c:v>
                </c:pt>
                <c:pt idx="20">
                  <c:v>4000000</c:v>
                </c:pt>
              </c:numCache>
            </c:numRef>
          </c:xVal>
          <c:yVal>
            <c:numRef>
              <c:f>GINOFF!$B$22:$B$42</c:f>
              <c:numCache>
                <c:formatCode>#,##0</c:formatCode>
                <c:ptCount val="21"/>
                <c:pt idx="0">
                  <c:v>0</c:v>
                </c:pt>
                <c:pt idx="1">
                  <c:v>1706.7793306829408</c:v>
                </c:pt>
                <c:pt idx="2">
                  <c:v>3212.0774911278859</c:v>
                </c:pt>
                <c:pt idx="3">
                  <c:v>4539.5701164426282</c:v>
                </c:pt>
                <c:pt idx="4">
                  <c:v>5710.1750087123364</c:v>
                </c:pt>
                <c:pt idx="5">
                  <c:v>6742.3679651152343</c:v>
                </c:pt>
                <c:pt idx="6">
                  <c:v>7652.4636531248689</c:v>
                </c:pt>
                <c:pt idx="7">
                  <c:v>8454.8651248225942</c:v>
                </c:pt>
                <c:pt idx="8">
                  <c:v>9162.2852577054873</c:v>
                </c:pt>
                <c:pt idx="9">
                  <c:v>9785.9431144567207</c:v>
                </c:pt>
                <c:pt idx="10">
                  <c:v>10335.737933591008</c:v>
                </c:pt>
                <c:pt idx="11">
                  <c:v>10820.403199190274</c:v>
                </c:pt>
                <c:pt idx="12">
                  <c:v>11247.64299300313</c:v>
                </c:pt>
                <c:pt idx="13">
                  <c:v>11624.252606132999</c:v>
                </c:pt>
                <c:pt idx="14">
                  <c:v>11956.225180637091</c:v>
                </c:pt>
                <c:pt idx="15">
                  <c:v>12248.845962864347</c:v>
                </c:pt>
                <c:pt idx="16">
                  <c:v>12506.775579451583</c:v>
                </c:pt>
                <c:pt idx="17">
                  <c:v>12734.123592615128</c:v>
                </c:pt>
                <c:pt idx="18">
                  <c:v>12934.513452414423</c:v>
                </c:pt>
                <c:pt idx="19">
                  <c:v>13111.139839037322</c:v>
                </c:pt>
                <c:pt idx="20">
                  <c:v>13266.819276439957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FF7-43DE-A86B-1A638C6F5E08}"/>
            </c:ext>
          </c:extLst>
        </c:ser>
        <c:ser>
          <c:idx val="1"/>
          <c:order val="1"/>
          <c:tx>
            <c:v>HCP MCM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Lbl>
              <c:idx val="20"/>
              <c:tx>
                <c:rich>
                  <a:bodyPr/>
                  <a:lstStyle/>
                  <a:p>
                    <a:fld id="{B78FA865-F9C3-46F2-A19B-8B169087FA05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B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 xmlns:c15="http://schemas.microsoft.com/office/drawing/2012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GMCM!$A$22:$A$48</c:f>
              <c:numCache>
                <c:formatCode>"$"#,##0</c:formatCode>
                <c:ptCount val="27"/>
                <c:pt idx="0">
                  <c:v>0</c:v>
                </c:pt>
                <c:pt idx="1">
                  <c:v>200000</c:v>
                </c:pt>
                <c:pt idx="2">
                  <c:v>400000</c:v>
                </c:pt>
                <c:pt idx="3">
                  <c:v>600000</c:v>
                </c:pt>
                <c:pt idx="4">
                  <c:v>800000</c:v>
                </c:pt>
                <c:pt idx="5">
                  <c:v>1000000</c:v>
                </c:pt>
                <c:pt idx="6">
                  <c:v>1200000</c:v>
                </c:pt>
                <c:pt idx="7">
                  <c:v>1400000</c:v>
                </c:pt>
                <c:pt idx="8">
                  <c:v>1600000</c:v>
                </c:pt>
                <c:pt idx="9">
                  <c:v>1800000</c:v>
                </c:pt>
                <c:pt idx="10">
                  <c:v>2000000</c:v>
                </c:pt>
                <c:pt idx="11">
                  <c:v>2200000</c:v>
                </c:pt>
                <c:pt idx="12">
                  <c:v>2400000</c:v>
                </c:pt>
                <c:pt idx="13">
                  <c:v>2600000</c:v>
                </c:pt>
                <c:pt idx="14">
                  <c:v>2800000</c:v>
                </c:pt>
                <c:pt idx="15">
                  <c:v>3000000</c:v>
                </c:pt>
                <c:pt idx="16">
                  <c:v>3200000</c:v>
                </c:pt>
                <c:pt idx="17">
                  <c:v>3400000</c:v>
                </c:pt>
                <c:pt idx="18">
                  <c:v>3600000</c:v>
                </c:pt>
                <c:pt idx="19">
                  <c:v>3800000</c:v>
                </c:pt>
                <c:pt idx="20">
                  <c:v>4000000</c:v>
                </c:pt>
                <c:pt idx="21">
                  <c:v>4200000</c:v>
                </c:pt>
                <c:pt idx="22">
                  <c:v>4400000</c:v>
                </c:pt>
                <c:pt idx="23">
                  <c:v>4600000</c:v>
                </c:pt>
                <c:pt idx="24">
                  <c:v>4800000</c:v>
                </c:pt>
                <c:pt idx="25">
                  <c:v>5000000</c:v>
                </c:pt>
                <c:pt idx="26">
                  <c:v>5200000</c:v>
                </c:pt>
              </c:numCache>
              <c:extLst xmlns:c15="http://schemas.microsoft.com/office/drawing/2012/chart"/>
            </c:numRef>
          </c:xVal>
          <c:yVal>
            <c:numRef>
              <c:f>GMCM!$B$22:$B$48</c:f>
              <c:numCache>
                <c:formatCode>#,##0</c:formatCode>
                <c:ptCount val="27"/>
                <c:pt idx="0">
                  <c:v>0</c:v>
                </c:pt>
                <c:pt idx="1">
                  <c:v>6744.3499683793634</c:v>
                </c:pt>
                <c:pt idx="2">
                  <c:v>13435.838188506663</c:v>
                </c:pt>
                <c:pt idx="3">
                  <c:v>20074.687554519624</c:v>
                </c:pt>
                <c:pt idx="4">
                  <c:v>26661.123724805191</c:v>
                </c:pt>
                <c:pt idx="5">
                  <c:v>33195.375038976781</c:v>
                </c:pt>
                <c:pt idx="6">
                  <c:v>39677.672435625456</c:v>
                </c:pt>
                <c:pt idx="7">
                  <c:v>46108.249370880425</c:v>
                </c:pt>
                <c:pt idx="8">
                  <c:v>52487.34173778072</c:v>
                </c:pt>
                <c:pt idx="9">
                  <c:v>58815.187786469236</c:v>
                </c:pt>
                <c:pt idx="10">
                  <c:v>65092.028045233339</c:v>
                </c:pt>
                <c:pt idx="11">
                  <c:v>71318.105242387392</c:v>
                </c:pt>
                <c:pt idx="12">
                  <c:v>77493.664229021408</c:v>
                </c:pt>
                <c:pt idx="13">
                  <c:v>83618.951902620494</c:v>
                </c:pt>
                <c:pt idx="14">
                  <c:v>89694.217131564394</c:v>
                </c:pt>
                <c:pt idx="15">
                  <c:v>95719.710680508986</c:v>
                </c:pt>
                <c:pt idx="16">
                  <c:v>101695.68513668422</c:v>
                </c:pt>
                <c:pt idx="17">
                  <c:v>107622.39483707212</c:v>
                </c:pt>
                <c:pt idx="18">
                  <c:v>113500.09579651337</c:v>
                </c:pt>
                <c:pt idx="19">
                  <c:v>119329.04563672934</c:v>
                </c:pt>
                <c:pt idx="20">
                  <c:v>125109.50351626147</c:v>
                </c:pt>
                <c:pt idx="21">
                  <c:v>130841.73006134667</c:v>
                </c:pt>
                <c:pt idx="22">
                  <c:v>136525.98729771748</c:v>
                </c:pt>
                <c:pt idx="23">
                  <c:v>142162.53858334757</c:v>
                </c:pt>
                <c:pt idx="24">
                  <c:v>147751.64854213502</c:v>
                </c:pt>
                <c:pt idx="25">
                  <c:v>153293.58299852163</c:v>
                </c:pt>
                <c:pt idx="26">
                  <c:v>158788.60891307052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FFF7-43DE-A86B-1A638C6F5E08}"/>
            </c:ext>
          </c:extLst>
        </c:ser>
        <c:ser>
          <c:idx val="2"/>
          <c:order val="2"/>
          <c:tx>
            <c:v>HCC TV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dLbl>
              <c:idx val="8"/>
              <c:delete val="1"/>
              <c:extLst xmlns:c15="http://schemas.microsoft.com/office/drawing/2012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AB9-4CEC-969C-111DFC7AEA4C}"/>
                </c:ext>
              </c:extLst>
            </c:dLbl>
            <c:dLbl>
              <c:idx val="13"/>
              <c:layout>
                <c:manualLayout>
                  <c:x val="8.4322853434922768E-2"/>
                  <c:y val="-0.10581595588817357"/>
                </c:manualLayout>
              </c:layout>
              <c:tx>
                <c:rich>
                  <a:bodyPr/>
                  <a:lstStyle/>
                  <a:p>
                    <a:fld id="{7861E7B3-7907-4E58-B121-D41D0BD1ED2F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9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 xmlns:c15="http://schemas.microsoft.com/office/drawing/2012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GLINEARTV!$A$21:$A$42</c:f>
              <c:numCache>
                <c:formatCode>"$"#,##0</c:formatCode>
                <c:ptCount val="22"/>
                <c:pt idx="0">
                  <c:v>0</c:v>
                </c:pt>
                <c:pt idx="1">
                  <c:v>200000</c:v>
                </c:pt>
                <c:pt idx="2">
                  <c:v>400000</c:v>
                </c:pt>
                <c:pt idx="3">
                  <c:v>600000</c:v>
                </c:pt>
                <c:pt idx="4">
                  <c:v>800000</c:v>
                </c:pt>
                <c:pt idx="5">
                  <c:v>1000000</c:v>
                </c:pt>
                <c:pt idx="6">
                  <c:v>1200000</c:v>
                </c:pt>
                <c:pt idx="7">
                  <c:v>1400000</c:v>
                </c:pt>
                <c:pt idx="8">
                  <c:v>1600000</c:v>
                </c:pt>
                <c:pt idx="9">
                  <c:v>1800000</c:v>
                </c:pt>
                <c:pt idx="10">
                  <c:v>2000000</c:v>
                </c:pt>
                <c:pt idx="11">
                  <c:v>2200000</c:v>
                </c:pt>
                <c:pt idx="12">
                  <c:v>2400000</c:v>
                </c:pt>
                <c:pt idx="13">
                  <c:v>2600000</c:v>
                </c:pt>
                <c:pt idx="14">
                  <c:v>2800000</c:v>
                </c:pt>
                <c:pt idx="15">
                  <c:v>3000000</c:v>
                </c:pt>
                <c:pt idx="16">
                  <c:v>3200000</c:v>
                </c:pt>
                <c:pt idx="17">
                  <c:v>3400000</c:v>
                </c:pt>
                <c:pt idx="18">
                  <c:v>3600000</c:v>
                </c:pt>
                <c:pt idx="19">
                  <c:v>3800000</c:v>
                </c:pt>
                <c:pt idx="20">
                  <c:v>4000000</c:v>
                </c:pt>
                <c:pt idx="21">
                  <c:v>4200000</c:v>
                </c:pt>
              </c:numCache>
              <c:extLst xmlns:c15="http://schemas.microsoft.com/office/drawing/2012/chart"/>
            </c:numRef>
          </c:xVal>
          <c:yVal>
            <c:numRef>
              <c:f>GLINEARTV!$B$21:$B$42</c:f>
              <c:numCache>
                <c:formatCode>#,##0</c:formatCode>
                <c:ptCount val="22"/>
                <c:pt idx="0">
                  <c:v>0</c:v>
                </c:pt>
                <c:pt idx="1">
                  <c:v>5611.5002373501393</c:v>
                </c:pt>
                <c:pt idx="2">
                  <c:v>9115.9090298824703</c:v>
                </c:pt>
                <c:pt idx="3">
                  <c:v>12107.761676700537</c:v>
                </c:pt>
                <c:pt idx="4">
                  <c:v>14808.837908974965</c:v>
                </c:pt>
                <c:pt idx="5">
                  <c:v>17312.428335532044</c:v>
                </c:pt>
                <c:pt idx="6">
                  <c:v>19669.116872820407</c:v>
                </c:pt>
                <c:pt idx="7">
                  <c:v>21910.264159564609</c:v>
                </c:pt>
                <c:pt idx="8">
                  <c:v>24057.028157631961</c:v>
                </c:pt>
                <c:pt idx="9">
                  <c:v>26124.545419070415</c:v>
                </c:pt>
                <c:pt idx="10">
                  <c:v>28124.122804562983</c:v>
                </c:pt>
                <c:pt idx="11">
                  <c:v>30064.491672450658</c:v>
                </c:pt>
                <c:pt idx="12">
                  <c:v>31952.574628318467</c:v>
                </c:pt>
                <c:pt idx="13">
                  <c:v>33793.979184790936</c:v>
                </c:pt>
                <c:pt idx="14">
                  <c:v>35593.329136808985</c:v>
                </c:pt>
                <c:pt idx="15">
                  <c:v>37354.494781339148</c:v>
                </c:pt>
                <c:pt idx="16">
                  <c:v>39080.757540491992</c:v>
                </c:pt>
                <c:pt idx="17">
                  <c:v>40774.930605230875</c:v>
                </c:pt>
                <c:pt idx="18">
                  <c:v>42439.449240714515</c:v>
                </c:pt>
                <c:pt idx="19">
                  <c:v>44076.439640998062</c:v>
                </c:pt>
                <c:pt idx="20">
                  <c:v>45687.772286846674</c:v>
                </c:pt>
                <c:pt idx="21">
                  <c:v>47275.10389322089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FFF7-43DE-A86B-1A638C6F5E08}"/>
            </c:ext>
          </c:extLst>
        </c:ser>
        <c:ser>
          <c:idx val="3"/>
          <c:order val="3"/>
          <c:tx>
            <c:v>HCC Paid Search</c:v>
          </c:tx>
          <c:spPr>
            <a:ln w="1905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6"/>
              <c:tx>
                <c:rich>
                  <a:bodyPr/>
                  <a:lstStyle/>
                  <a:p>
                    <a:fld id="{2E0208B3-1175-4AC1-9BD5-D18DED4B7310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5-50E3-4595-80A1-08EC367228A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 xmlns:c15="http://schemas.microsoft.com/office/drawing/2012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GPDSRCH!$A$21:$A$41</c:f>
              <c:numCache>
                <c:formatCode>"$"#,##0</c:formatCode>
                <c:ptCount val="21"/>
                <c:pt idx="0">
                  <c:v>0</c:v>
                </c:pt>
                <c:pt idx="1">
                  <c:v>200000</c:v>
                </c:pt>
                <c:pt idx="2">
                  <c:v>400000</c:v>
                </c:pt>
                <c:pt idx="3">
                  <c:v>600000</c:v>
                </c:pt>
                <c:pt idx="4">
                  <c:v>800000</c:v>
                </c:pt>
                <c:pt idx="5">
                  <c:v>1000000</c:v>
                </c:pt>
                <c:pt idx="6">
                  <c:v>1200000</c:v>
                </c:pt>
                <c:pt idx="7">
                  <c:v>1400000</c:v>
                </c:pt>
                <c:pt idx="8">
                  <c:v>1600000</c:v>
                </c:pt>
                <c:pt idx="9">
                  <c:v>1800000</c:v>
                </c:pt>
                <c:pt idx="10">
                  <c:v>2000000</c:v>
                </c:pt>
                <c:pt idx="11">
                  <c:v>2200000</c:v>
                </c:pt>
                <c:pt idx="12">
                  <c:v>2400000</c:v>
                </c:pt>
                <c:pt idx="13">
                  <c:v>2600000</c:v>
                </c:pt>
                <c:pt idx="14">
                  <c:v>2800000</c:v>
                </c:pt>
                <c:pt idx="15">
                  <c:v>3000000</c:v>
                </c:pt>
                <c:pt idx="16">
                  <c:v>3200000</c:v>
                </c:pt>
                <c:pt idx="17">
                  <c:v>3400000</c:v>
                </c:pt>
                <c:pt idx="18">
                  <c:v>3600000</c:v>
                </c:pt>
                <c:pt idx="19">
                  <c:v>3800000</c:v>
                </c:pt>
                <c:pt idx="20">
                  <c:v>4000000</c:v>
                </c:pt>
              </c:numCache>
              <c:extLst xmlns:c15="http://schemas.microsoft.com/office/drawing/2012/chart"/>
            </c:numRef>
          </c:xVal>
          <c:yVal>
            <c:numRef>
              <c:f>GPDSRCH!$B$21:$B$41</c:f>
              <c:numCache>
                <c:formatCode>#,##0</c:formatCode>
                <c:ptCount val="21"/>
                <c:pt idx="0">
                  <c:v>0</c:v>
                </c:pt>
                <c:pt idx="1">
                  <c:v>79531.473375019181</c:v>
                </c:pt>
                <c:pt idx="2">
                  <c:v>129199.25966920293</c:v>
                </c:pt>
                <c:pt idx="3">
                  <c:v>171602.61689239615</c:v>
                </c:pt>
                <c:pt idx="4">
                  <c:v>209884.81654752325</c:v>
                </c:pt>
                <c:pt idx="5">
                  <c:v>245368.06112200834</c:v>
                </c:pt>
                <c:pt idx="6">
                  <c:v>278769.27358369966</c:v>
                </c:pt>
                <c:pt idx="7">
                  <c:v>310532.92647973198</c:v>
                </c:pt>
                <c:pt idx="8">
                  <c:v>340958.89039902925</c:v>
                </c:pt>
                <c:pt idx="9">
                  <c:v>370261.69483197236</c:v>
                </c:pt>
                <c:pt idx="10">
                  <c:v>398601.59127126914</c:v>
                </c:pt>
                <c:pt idx="11">
                  <c:v>426102.32876156975</c:v>
                </c:pt>
                <c:pt idx="12">
                  <c:v>452862.02099769411</c:v>
                </c:pt>
                <c:pt idx="13">
                  <c:v>478960.14293680771</c:v>
                </c:pt>
                <c:pt idx="14">
                  <c:v>504462.22736135405</c:v>
                </c:pt>
                <c:pt idx="15">
                  <c:v>529423.1277698857</c:v>
                </c:pt>
                <c:pt idx="16">
                  <c:v>553889.35157114896</c:v>
                </c:pt>
                <c:pt idx="17">
                  <c:v>577900.76996050018</c:v>
                </c:pt>
                <c:pt idx="18">
                  <c:v>601491.89781238139</c:v>
                </c:pt>
                <c:pt idx="19">
                  <c:v>624692.8695540831</c:v>
                </c:pt>
                <c:pt idx="20">
                  <c:v>647530.19540299417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FFF7-43DE-A86B-1A638C6F5E08}"/>
            </c:ext>
          </c:extLst>
        </c:ser>
        <c:ser>
          <c:idx val="4"/>
          <c:order val="4"/>
          <c:tx>
            <c:v>HCC Radio</c:v>
          </c:tx>
          <c:spPr>
            <a:ln w="19050" cap="rnd">
              <a:solidFill>
                <a:srgbClr val="FFC000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2.2439742270360528E-2"/>
                  <c:y val="-7.4945516647271393E-2"/>
                </c:manualLayout>
              </c:layout>
              <c:tx>
                <c:rich>
                  <a:bodyPr/>
                  <a:lstStyle/>
                  <a:p>
                    <a:fld id="{CF4A86DC-D7B7-4F1B-B689-942091BC637A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E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GAUDIO!$A$21:$A$41</c:f>
              <c:numCache>
                <c:formatCode>"$"#,##0</c:formatCode>
                <c:ptCount val="21"/>
                <c:pt idx="0">
                  <c:v>0</c:v>
                </c:pt>
                <c:pt idx="1">
                  <c:v>200000</c:v>
                </c:pt>
                <c:pt idx="2">
                  <c:v>400000</c:v>
                </c:pt>
                <c:pt idx="3">
                  <c:v>600000</c:v>
                </c:pt>
                <c:pt idx="4">
                  <c:v>800000</c:v>
                </c:pt>
                <c:pt idx="5">
                  <c:v>1000000</c:v>
                </c:pt>
                <c:pt idx="6">
                  <c:v>1200000</c:v>
                </c:pt>
                <c:pt idx="7">
                  <c:v>1400000</c:v>
                </c:pt>
                <c:pt idx="8">
                  <c:v>1600000</c:v>
                </c:pt>
                <c:pt idx="9">
                  <c:v>1800000</c:v>
                </c:pt>
                <c:pt idx="10">
                  <c:v>2000000</c:v>
                </c:pt>
                <c:pt idx="11">
                  <c:v>2200000</c:v>
                </c:pt>
                <c:pt idx="12">
                  <c:v>2400000</c:v>
                </c:pt>
                <c:pt idx="13">
                  <c:v>2600000</c:v>
                </c:pt>
                <c:pt idx="14">
                  <c:v>2800000</c:v>
                </c:pt>
                <c:pt idx="15">
                  <c:v>3000000</c:v>
                </c:pt>
                <c:pt idx="16">
                  <c:v>3200000</c:v>
                </c:pt>
                <c:pt idx="17">
                  <c:v>3400000</c:v>
                </c:pt>
                <c:pt idx="18">
                  <c:v>3600000</c:v>
                </c:pt>
                <c:pt idx="19">
                  <c:v>3800000</c:v>
                </c:pt>
                <c:pt idx="20">
                  <c:v>4000000</c:v>
                </c:pt>
              </c:numCache>
            </c:numRef>
          </c:xVal>
          <c:yVal>
            <c:numRef>
              <c:f>GAUDIO!$B$21:$B$41</c:f>
              <c:numCache>
                <c:formatCode>#,##0</c:formatCode>
                <c:ptCount val="21"/>
                <c:pt idx="0">
                  <c:v>0</c:v>
                </c:pt>
                <c:pt idx="1">
                  <c:v>14412.136371822071</c:v>
                </c:pt>
                <c:pt idx="2">
                  <c:v>19016.927953756978</c:v>
                </c:pt>
                <c:pt idx="3">
                  <c:v>22365.410039276649</c:v>
                </c:pt>
                <c:pt idx="4">
                  <c:v>25092.986873580521</c:v>
                </c:pt>
                <c:pt idx="5">
                  <c:v>27435.720169529453</c:v>
                </c:pt>
                <c:pt idx="6">
                  <c:v>29511.335474505049</c:v>
                </c:pt>
                <c:pt idx="7">
                  <c:v>31388.284394713228</c:v>
                </c:pt>
                <c:pt idx="8">
                  <c:v>33110.394684609899</c:v>
                </c:pt>
                <c:pt idx="9">
                  <c:v>34707.662578253614</c:v>
                </c:pt>
                <c:pt idx="10">
                  <c:v>36201.649801445565</c:v>
                </c:pt>
                <c:pt idx="11">
                  <c:v>37608.450193722703</c:v>
                </c:pt>
                <c:pt idx="12">
                  <c:v>38940.440616082153</c:v>
                </c:pt>
                <c:pt idx="13">
                  <c:v>40207.373459884198</c:v>
                </c:pt>
                <c:pt idx="14">
                  <c:v>41417.089564413494</c:v>
                </c:pt>
                <c:pt idx="15">
                  <c:v>42576.000912264644</c:v>
                </c:pt>
                <c:pt idx="16">
                  <c:v>43689.427715155543</c:v>
                </c:pt>
                <c:pt idx="17">
                  <c:v>44761.840094563893</c:v>
                </c:pt>
                <c:pt idx="18">
                  <c:v>45797.035336442001</c:v>
                </c:pt>
                <c:pt idx="19">
                  <c:v>46798.270489480747</c:v>
                </c:pt>
                <c:pt idx="20">
                  <c:v>47768.363296037402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FF7-43DE-A86B-1A638C6F5E08}"/>
            </c:ext>
          </c:extLst>
        </c:ser>
        <c:ser>
          <c:idx val="5"/>
          <c:order val="5"/>
          <c:tx>
            <c:v>HCC Social</c:v>
          </c:tx>
          <c:spPr>
            <a:ln w="19050" cap="rnd">
              <a:solidFill>
                <a:srgbClr val="00B0F0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1.8116094637361378E-2"/>
                  <c:y val="5.8685850449115189E-3"/>
                </c:manualLayout>
              </c:layout>
              <c:tx>
                <c:rich>
                  <a:bodyPr/>
                  <a:lstStyle/>
                  <a:p>
                    <a:fld id="{26C0CC0C-A75D-4BD0-8D73-B22B731B5F9B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0-6AB9-4CEC-969C-111DFC7AEA4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GSOCIAL!$A$21:$A$41</c:f>
              <c:numCache>
                <c:formatCode>"$"#,##0</c:formatCode>
                <c:ptCount val="21"/>
                <c:pt idx="0">
                  <c:v>0</c:v>
                </c:pt>
                <c:pt idx="1">
                  <c:v>200000</c:v>
                </c:pt>
                <c:pt idx="2">
                  <c:v>400000</c:v>
                </c:pt>
                <c:pt idx="3">
                  <c:v>600000</c:v>
                </c:pt>
                <c:pt idx="4">
                  <c:v>800000</c:v>
                </c:pt>
                <c:pt idx="5">
                  <c:v>1000000</c:v>
                </c:pt>
                <c:pt idx="6">
                  <c:v>1200000</c:v>
                </c:pt>
                <c:pt idx="7">
                  <c:v>1400000</c:v>
                </c:pt>
                <c:pt idx="8">
                  <c:v>1600000</c:v>
                </c:pt>
                <c:pt idx="9">
                  <c:v>1800000</c:v>
                </c:pt>
                <c:pt idx="10">
                  <c:v>2000000</c:v>
                </c:pt>
                <c:pt idx="11">
                  <c:v>2200000</c:v>
                </c:pt>
                <c:pt idx="12">
                  <c:v>2400000</c:v>
                </c:pt>
                <c:pt idx="13">
                  <c:v>2600000</c:v>
                </c:pt>
                <c:pt idx="14">
                  <c:v>2800000</c:v>
                </c:pt>
                <c:pt idx="15">
                  <c:v>3000000</c:v>
                </c:pt>
                <c:pt idx="16">
                  <c:v>3200000</c:v>
                </c:pt>
                <c:pt idx="17">
                  <c:v>3400000</c:v>
                </c:pt>
                <c:pt idx="18">
                  <c:v>3600000</c:v>
                </c:pt>
                <c:pt idx="19">
                  <c:v>3800000</c:v>
                </c:pt>
                <c:pt idx="20">
                  <c:v>4000000</c:v>
                </c:pt>
              </c:numCache>
            </c:numRef>
          </c:xVal>
          <c:yVal>
            <c:numRef>
              <c:f>GSOCIAL!$B$21:$B$41</c:f>
              <c:numCache>
                <c:formatCode>#,##0</c:formatCode>
                <c:ptCount val="21"/>
                <c:pt idx="0">
                  <c:v>0</c:v>
                </c:pt>
                <c:pt idx="1">
                  <c:v>6480.3046743965815</c:v>
                </c:pt>
                <c:pt idx="2">
                  <c:v>9822.305151017672</c:v>
                </c:pt>
                <c:pt idx="3">
                  <c:v>12527.608642230847</c:v>
                </c:pt>
                <c:pt idx="4">
                  <c:v>14887.830638717902</c:v>
                </c:pt>
                <c:pt idx="5">
                  <c:v>17020.700408310324</c:v>
                </c:pt>
                <c:pt idx="6">
                  <c:v>18988.303957788128</c:v>
                </c:pt>
                <c:pt idx="7">
                  <c:v>20828.320358873501</c:v>
                </c:pt>
                <c:pt idx="8">
                  <c:v>22565.731538505803</c:v>
                </c:pt>
                <c:pt idx="9">
                  <c:v>24218.148093092648</c:v>
                </c:pt>
                <c:pt idx="10">
                  <c:v>25798.557582486257</c:v>
                </c:pt>
                <c:pt idx="11">
                  <c:v>27316.876297482511</c:v>
                </c:pt>
                <c:pt idx="12">
                  <c:v>28780.886878754423</c:v>
                </c:pt>
                <c:pt idx="13">
                  <c:v>30196.835719449435</c:v>
                </c:pt>
                <c:pt idx="14">
                  <c:v>31569.830220530366</c:v>
                </c:pt>
                <c:pt idx="15">
                  <c:v>32904.112421508238</c:v>
                </c:pt>
                <c:pt idx="16">
                  <c:v>34203.25312833942</c:v>
                </c:pt>
                <c:pt idx="17">
                  <c:v>35470.293145185802</c:v>
                </c:pt>
                <c:pt idx="18">
                  <c:v>36707.848274902732</c:v>
                </c:pt>
                <c:pt idx="19">
                  <c:v>37918.188871268278</c:v>
                </c:pt>
                <c:pt idx="20">
                  <c:v>39103.301119846867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FF7-43DE-A86B-1A638C6F5E08}"/>
            </c:ext>
          </c:extLst>
        </c:ser>
        <c:ser>
          <c:idx val="6"/>
          <c:order val="6"/>
          <c:tx>
            <c:v>HCC Online Video</c:v>
          </c:tx>
          <c:spPr>
            <a:ln w="19050" cap="rnd">
              <a:solidFill>
                <a:schemeClr val="accent1">
                  <a:lumMod val="6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19"/>
              <c:layout>
                <c:manualLayout>
                  <c:x val="5.1600042584225729E-2"/>
                  <c:y val="-4.6934070861103974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1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114BDEBA-9B06-45A1-AB3C-42050E7978A3}" type="SERIESNAME">
                      <a:rPr lang="en-US"/>
                      <a:pPr>
                        <a:defRPr/>
                      </a:pPr>
                      <a:t>[SERIES NAME]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4207101505560213"/>
                      <c:h val="4.9118140462768446E-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2-ED10-4072-B641-26FD8F4D8D3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GOLV!$A$22:$A$42</c:f>
              <c:numCache>
                <c:formatCode>"$"#,##0</c:formatCode>
                <c:ptCount val="21"/>
                <c:pt idx="0">
                  <c:v>0</c:v>
                </c:pt>
                <c:pt idx="1">
                  <c:v>200000</c:v>
                </c:pt>
                <c:pt idx="2">
                  <c:v>400000</c:v>
                </c:pt>
                <c:pt idx="3">
                  <c:v>600000</c:v>
                </c:pt>
                <c:pt idx="4">
                  <c:v>800000</c:v>
                </c:pt>
                <c:pt idx="5">
                  <c:v>1000000</c:v>
                </c:pt>
                <c:pt idx="6">
                  <c:v>1200000</c:v>
                </c:pt>
                <c:pt idx="7">
                  <c:v>1400000</c:v>
                </c:pt>
                <c:pt idx="8">
                  <c:v>1600000</c:v>
                </c:pt>
                <c:pt idx="9">
                  <c:v>1800000</c:v>
                </c:pt>
                <c:pt idx="10">
                  <c:v>2000000</c:v>
                </c:pt>
                <c:pt idx="11">
                  <c:v>2200000</c:v>
                </c:pt>
                <c:pt idx="12">
                  <c:v>2400000</c:v>
                </c:pt>
                <c:pt idx="13">
                  <c:v>2600000</c:v>
                </c:pt>
                <c:pt idx="14">
                  <c:v>2800000</c:v>
                </c:pt>
                <c:pt idx="15">
                  <c:v>3000000</c:v>
                </c:pt>
                <c:pt idx="16">
                  <c:v>3200000</c:v>
                </c:pt>
                <c:pt idx="17">
                  <c:v>3400000</c:v>
                </c:pt>
                <c:pt idx="18">
                  <c:v>3600000</c:v>
                </c:pt>
                <c:pt idx="19">
                  <c:v>3800000</c:v>
                </c:pt>
                <c:pt idx="20">
                  <c:v>4000000</c:v>
                </c:pt>
              </c:numCache>
            </c:numRef>
          </c:xVal>
          <c:yVal>
            <c:numRef>
              <c:f>GOLV!$C$22:$C$42</c:f>
              <c:numCache>
                <c:formatCode>#,##0</c:formatCode>
                <c:ptCount val="21"/>
                <c:pt idx="0">
                  <c:v>0</c:v>
                </c:pt>
                <c:pt idx="1">
                  <c:v>5065.481471193023</c:v>
                </c:pt>
                <c:pt idx="2">
                  <c:v>9542.5948201725259</c:v>
                </c:pt>
                <c:pt idx="3">
                  <c:v>13498.725633110851</c:v>
                </c:pt>
                <c:pt idx="4">
                  <c:v>16993.753048531711</c:v>
                </c:pt>
                <c:pt idx="5">
                  <c:v>20080.838937839493</c:v>
                </c:pt>
                <c:pt idx="6">
                  <c:v>22807.144754493609</c:v>
                </c:pt>
                <c:pt idx="7">
                  <c:v>25214.480166974477</c:v>
                </c:pt>
                <c:pt idx="8">
                  <c:v>27339.888026596978</c:v>
                </c:pt>
                <c:pt idx="9">
                  <c:v>29216.170419393107</c:v>
                </c:pt>
                <c:pt idx="10">
                  <c:v>30872.360575452447</c:v>
                </c:pt>
                <c:pt idx="11">
                  <c:v>32334.145309553482</c:v>
                </c:pt>
                <c:pt idx="12">
                  <c:v>33624.242482229136</c:v>
                </c:pt>
                <c:pt idx="13">
                  <c:v>34762.737730371766</c:v>
                </c:pt>
                <c:pt idx="14">
                  <c:v>35767.38444339484</c:v>
                </c:pt>
                <c:pt idx="15">
                  <c:v>36653.870671447366</c:v>
                </c:pt>
                <c:pt idx="16">
                  <c:v>37436.056358373724</c:v>
                </c:pt>
                <c:pt idx="17">
                  <c:v>38126.18400260713</c:v>
                </c:pt>
                <c:pt idx="18">
                  <c:v>38735.06556990277</c:v>
                </c:pt>
                <c:pt idx="19">
                  <c:v>39272.248216656968</c:v>
                </c:pt>
                <c:pt idx="20">
                  <c:v>39746.161133962683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FFF7-43DE-A86B-1A638C6F5E08}"/>
            </c:ext>
          </c:extLst>
        </c:ser>
        <c:ser>
          <c:idx val="7"/>
          <c:order val="7"/>
          <c:tx>
            <c:v>HCC Display</c:v>
          </c:tx>
          <c:spPr>
            <a:ln w="19050" cap="rnd">
              <a:solidFill>
                <a:schemeClr val="accent2">
                  <a:lumMod val="6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15"/>
              <c:layout>
                <c:manualLayout>
                  <c:x val="2.3458027065746751E-2"/>
                  <c:y val="-7.6552561448053155E-2"/>
                </c:manualLayout>
              </c:layout>
              <c:tx>
                <c:rich>
                  <a:bodyPr/>
                  <a:lstStyle/>
                  <a:p>
                    <a:fld id="{7CC4D443-51A2-4020-9932-C4F44931BB75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7-ED10-4072-B641-26FD8F4D8D36}"/>
                </c:ext>
              </c:extLst>
            </c:dLbl>
            <c:dLbl>
              <c:idx val="22"/>
              <c:layout>
                <c:manualLayout>
                  <c:x val="1.4886758487880437E-2"/>
                  <c:y val="-9.888565470219577E-3"/>
                </c:manualLayout>
              </c:layout>
              <c:tx>
                <c:rich>
                  <a:bodyPr/>
                  <a:lstStyle/>
                  <a:p>
                    <a:fld id="{699C7380-DAE2-4DF1-A917-6B52F8ECC1E7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D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GDISP!$A$21:$A$41</c:f>
              <c:numCache>
                <c:formatCode>"$"#,##0</c:formatCode>
                <c:ptCount val="21"/>
                <c:pt idx="0">
                  <c:v>0</c:v>
                </c:pt>
                <c:pt idx="1">
                  <c:v>200000</c:v>
                </c:pt>
                <c:pt idx="2">
                  <c:v>400000</c:v>
                </c:pt>
                <c:pt idx="3">
                  <c:v>600000</c:v>
                </c:pt>
                <c:pt idx="4">
                  <c:v>800000</c:v>
                </c:pt>
                <c:pt idx="5">
                  <c:v>1000000</c:v>
                </c:pt>
                <c:pt idx="6">
                  <c:v>1200000</c:v>
                </c:pt>
                <c:pt idx="7">
                  <c:v>1400000</c:v>
                </c:pt>
                <c:pt idx="8">
                  <c:v>1600000</c:v>
                </c:pt>
                <c:pt idx="9">
                  <c:v>1800000</c:v>
                </c:pt>
                <c:pt idx="10">
                  <c:v>2000000</c:v>
                </c:pt>
                <c:pt idx="11">
                  <c:v>2200000</c:v>
                </c:pt>
                <c:pt idx="12">
                  <c:v>2400000</c:v>
                </c:pt>
                <c:pt idx="13">
                  <c:v>2600000</c:v>
                </c:pt>
                <c:pt idx="14">
                  <c:v>2800000</c:v>
                </c:pt>
                <c:pt idx="15">
                  <c:v>3000000</c:v>
                </c:pt>
                <c:pt idx="16">
                  <c:v>3200000</c:v>
                </c:pt>
                <c:pt idx="17">
                  <c:v>3400000</c:v>
                </c:pt>
                <c:pt idx="18">
                  <c:v>3600000</c:v>
                </c:pt>
                <c:pt idx="19">
                  <c:v>3800000</c:v>
                </c:pt>
                <c:pt idx="20">
                  <c:v>4000000</c:v>
                </c:pt>
              </c:numCache>
            </c:numRef>
          </c:xVal>
          <c:yVal>
            <c:numRef>
              <c:f>GDISP!$B$21:$B$41</c:f>
              <c:numCache>
                <c:formatCode>#,##0</c:formatCode>
                <c:ptCount val="21"/>
                <c:pt idx="0">
                  <c:v>0</c:v>
                </c:pt>
                <c:pt idx="1">
                  <c:v>15418.266428927403</c:v>
                </c:pt>
                <c:pt idx="2">
                  <c:v>23369.721853196384</c:v>
                </c:pt>
                <c:pt idx="3">
                  <c:v>29806.31582437663</c:v>
                </c:pt>
                <c:pt idx="4">
                  <c:v>35421.874567629835</c:v>
                </c:pt>
                <c:pt idx="5">
                  <c:v>40496.50547128301</c:v>
                </c:pt>
                <c:pt idx="6">
                  <c:v>45177.926681648685</c:v>
                </c:pt>
                <c:pt idx="7">
                  <c:v>49555.786139031705</c:v>
                </c:pt>
                <c:pt idx="8">
                  <c:v>53689.522099009882</c:v>
                </c:pt>
                <c:pt idx="9">
                  <c:v>57621.034577250372</c:v>
                </c:pt>
                <c:pt idx="10">
                  <c:v>61381.22422860263</c:v>
                </c:pt>
                <c:pt idx="11">
                  <c:v>64993.684390287664</c:v>
                </c:pt>
                <c:pt idx="12">
                  <c:v>68476.931911967054</c:v>
                </c:pt>
                <c:pt idx="13">
                  <c:v>71845.828526013895</c:v>
                </c:pt>
                <c:pt idx="14">
                  <c:v>75112.526017376702</c:v>
                </c:pt>
                <c:pt idx="15">
                  <c:v>78287.117259565202</c:v>
                </c:pt>
                <c:pt idx="16">
                  <c:v>81378.098093495413</c:v>
                </c:pt>
                <c:pt idx="17">
                  <c:v>84392.703353188583</c:v>
                </c:pt>
                <c:pt idx="18">
                  <c:v>87337.156688206844</c:v>
                </c:pt>
                <c:pt idx="19">
                  <c:v>90216.859838313525</c:v>
                </c:pt>
                <c:pt idx="20">
                  <c:v>93036.538435982438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FFF7-43DE-A86B-1A638C6F5E08}"/>
            </c:ext>
          </c:extLst>
        </c:ser>
        <c:ser>
          <c:idx val="8"/>
          <c:order val="8"/>
          <c:tx>
            <c:v>HCC Print</c:v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yVal>
            <c:numLit>
              <c:formatCode>General</c:formatCode>
              <c:ptCount val="1"/>
              <c:pt idx="0">
                <c:v>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8-FFF7-43DE-A86B-1A638C6F5E08}"/>
            </c:ext>
          </c:extLst>
        </c:ser>
        <c:ser>
          <c:idx val="9"/>
          <c:order val="9"/>
          <c:tx>
            <c:v>HCC InOffice C:</c:v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VAC_Optim_Scenario!$D$36</c:f>
              <c:numCache>
                <c:formatCode>_("$"* #,##0_);_("$"* \(#,##0\);_("$"* "-"??_);_(@_)</c:formatCode>
                <c:ptCount val="1"/>
                <c:pt idx="0">
                  <c:v>1134710</c:v>
                </c:pt>
              </c:numCache>
            </c:numRef>
          </c:xVal>
          <c:yVal>
            <c:numRef>
              <c:f>VAC_Optim_Scenario!$F$36</c:f>
              <c:numCache>
                <c:formatCode>#,##0</c:formatCode>
                <c:ptCount val="1"/>
                <c:pt idx="0">
                  <c:v>7367.8666140222922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FFF7-43DE-A86B-1A638C6F5E08}"/>
            </c:ext>
          </c:extLst>
        </c:ser>
        <c:ser>
          <c:idx val="10"/>
          <c:order val="10"/>
          <c:tx>
            <c:v>HCC InOffice O:</c:v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VAC_Optim_Scenario!$H$36</c:f>
              <c:numCache>
                <c:formatCode>_("$"* #,##0_);_("$"* \(#,##0\);_("$"* "-"??_);_(@_)</c:formatCode>
                <c:ptCount val="1"/>
                <c:pt idx="0">
                  <c:v>794297</c:v>
                </c:pt>
              </c:numCache>
            </c:numRef>
          </c:xVal>
          <c:yVal>
            <c:numRef>
              <c:f>VAC_Optim_Scenario!$I$36</c:f>
              <c:numCache>
                <c:formatCode>#,##0</c:formatCode>
                <c:ptCount val="1"/>
                <c:pt idx="0">
                  <c:v>5678.7947721770033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FFF7-43DE-A86B-1A638C6F5E08}"/>
            </c:ext>
          </c:extLst>
        </c:ser>
        <c:ser>
          <c:idx val="11"/>
          <c:order val="11"/>
          <c:tx>
            <c:v>HCP MCM C:</c:v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VAC_Optim_Scenario!$D$37</c:f>
              <c:numCache>
                <c:formatCode>_("$"* #,##0_);_("$"* \(#,##0\);_("$"* "-"??_);_(@_)</c:formatCode>
                <c:ptCount val="1"/>
                <c:pt idx="0">
                  <c:v>10503728.719999999</c:v>
                </c:pt>
              </c:numCache>
              <c:extLst xmlns:c15="http://schemas.microsoft.com/office/drawing/2012/chart"/>
            </c:numRef>
          </c:xVal>
          <c:yVal>
            <c:numRef>
              <c:f>VAC_Optim_Scenario!$F$37</c:f>
              <c:numCache>
                <c:formatCode>#,##0</c:formatCode>
                <c:ptCount val="1"/>
                <c:pt idx="0">
                  <c:v>288339.09761974216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2-FFF7-43DE-A86B-1A638C6F5E08}"/>
            </c:ext>
          </c:extLst>
        </c:ser>
        <c:ser>
          <c:idx val="12"/>
          <c:order val="12"/>
          <c:tx>
            <c:v>HCP MCM O:</c:v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VAC_Optim_Scenario!$H$37</c:f>
              <c:numCache>
                <c:formatCode>_("$"* #,##0_);_("$"* \(#,##0\);_("$"* "-"??_);_(@_)</c:formatCode>
                <c:ptCount val="1"/>
                <c:pt idx="0">
                  <c:v>13654847.335999999</c:v>
                </c:pt>
              </c:numCache>
              <c:extLst xmlns:c15="http://schemas.microsoft.com/office/drawing/2012/chart"/>
            </c:numRef>
          </c:xVal>
          <c:yVal>
            <c:numRef>
              <c:f>VAC_Optim_Scenario!$I$37</c:f>
              <c:numCache>
                <c:formatCode>#,##0</c:formatCode>
                <c:ptCount val="1"/>
                <c:pt idx="0">
                  <c:v>351876.44985588826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3-FFF7-43DE-A86B-1A638C6F5E08}"/>
            </c:ext>
          </c:extLst>
        </c:ser>
        <c:ser>
          <c:idx val="13"/>
          <c:order val="13"/>
          <c:tx>
            <c:v>HCC TV C:</c:v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VAC_Optim_Scenario!$D$44</c:f>
              <c:numCache>
                <c:formatCode>_("$"* #,##0_);_("$"* \(#,##0\);_("$"* "-"??_);_(@_)</c:formatCode>
                <c:ptCount val="1"/>
                <c:pt idx="0">
                  <c:v>25810928.600000001</c:v>
                </c:pt>
              </c:numCache>
              <c:extLst xmlns:c15="http://schemas.microsoft.com/office/drawing/2012/chart"/>
            </c:numRef>
          </c:xVal>
          <c:yVal>
            <c:numRef>
              <c:f>VAC_Optim_Scenario!$F$44</c:f>
              <c:numCache>
                <c:formatCode>#,##0</c:formatCode>
                <c:ptCount val="1"/>
                <c:pt idx="0">
                  <c:v>168508.00202805389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4-FFF7-43DE-A86B-1A638C6F5E08}"/>
            </c:ext>
          </c:extLst>
        </c:ser>
        <c:ser>
          <c:idx val="14"/>
          <c:order val="14"/>
          <c:tx>
            <c:v>HCC TV O: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Pt>
            <c:idx val="0"/>
            <c:marker>
              <c:symbol val="circle"/>
              <c:size val="6"/>
              <c:spPr>
                <a:solidFill>
                  <a:srgbClr val="00B050"/>
                </a:solidFill>
                <a:ln w="9525">
                  <a:noFill/>
                </a:ln>
                <a:effectLst/>
              </c:spPr>
            </c:marker>
            <c:bubble3D val="0"/>
            <c:extLst xmlns:c15="http://schemas.microsoft.com/office/drawing/2012/chart">
              <c:ext xmlns:c16="http://schemas.microsoft.com/office/drawing/2014/chart" uri="{C3380CC4-5D6E-409C-BE32-E72D297353CC}">
                <c16:uniqueId val="{00000008-ED10-4072-B641-26FD8F4D8D36}"/>
              </c:ext>
            </c:extLst>
          </c:dPt>
          <c:xVal>
            <c:numRef>
              <c:f>VAC_Optim_Scenario!$H$44</c:f>
              <c:numCache>
                <c:formatCode>_("$"* #,##0_);_("$"* \(#,##0\);_("$"* "-"??_);_(@_)</c:formatCode>
                <c:ptCount val="1"/>
                <c:pt idx="0">
                  <c:v>25810928.600000001</c:v>
                </c:pt>
              </c:numCache>
              <c:extLst xmlns:c15="http://schemas.microsoft.com/office/drawing/2012/chart"/>
            </c:numRef>
          </c:xVal>
          <c:yVal>
            <c:numRef>
              <c:f>VAC_Optim_Scenario!$I$44</c:f>
              <c:numCache>
                <c:formatCode>#,##0</c:formatCode>
                <c:ptCount val="1"/>
                <c:pt idx="0">
                  <c:v>168508.00202805389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5-FFF7-43DE-A86B-1A638C6F5E08}"/>
            </c:ext>
          </c:extLst>
        </c:ser>
        <c:ser>
          <c:idx val="15"/>
          <c:order val="15"/>
          <c:tx>
            <c:v>HCC Paid Search C:</c:v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VAC_Optim_Scenario!$D$42</c:f>
              <c:numCache>
                <c:formatCode>_("$"* #,##0_);_("$"* \(#,##0\);_("$"* "-"??_);_(@_)</c:formatCode>
                <c:ptCount val="1"/>
                <c:pt idx="0">
                  <c:v>50000</c:v>
                </c:pt>
              </c:numCache>
              <c:extLst xmlns:c15="http://schemas.microsoft.com/office/drawing/2012/chart"/>
            </c:numRef>
          </c:xVal>
          <c:yVal>
            <c:numRef>
              <c:f>VAC_Optim_Scenario!$F$42</c:f>
              <c:numCache>
                <c:formatCode>#,##0</c:formatCode>
                <c:ptCount val="1"/>
                <c:pt idx="0">
                  <c:v>30136.792938374307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6-FFF7-43DE-A86B-1A638C6F5E08}"/>
            </c:ext>
          </c:extLst>
        </c:ser>
        <c:ser>
          <c:idx val="16"/>
          <c:order val="16"/>
          <c:tx>
            <c:v>HCC Paid Search O:</c:v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VAC_Optim_Scenario!$H$42</c:f>
              <c:numCache>
                <c:formatCode>_("$"* #,##0_);_("$"* \(#,##0\);_("$"* "-"??_);_(@_)</c:formatCode>
                <c:ptCount val="1"/>
                <c:pt idx="0">
                  <c:v>65000</c:v>
                </c:pt>
              </c:numCache>
            </c:numRef>
          </c:xVal>
          <c:yVal>
            <c:numRef>
              <c:f>VAC_Optim_Scenario!$I$42</c:f>
              <c:numCache>
                <c:formatCode>#,##0</c:formatCode>
                <c:ptCount val="1"/>
                <c:pt idx="0">
                  <c:v>36212.405995131681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FFF7-43DE-A86B-1A638C6F5E08}"/>
            </c:ext>
          </c:extLst>
        </c:ser>
        <c:ser>
          <c:idx val="17"/>
          <c:order val="17"/>
          <c:tx>
            <c:v>HCC Radio C:</c:v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VAC_Optim_Scenario!$D$43</c:f>
              <c:numCache>
                <c:formatCode>_("$"* #,##0_);_("$"* \(#,##0\);_("$"* "-"??_);_(@_)</c:formatCode>
                <c:ptCount val="1"/>
                <c:pt idx="0">
                  <c:v>923975</c:v>
                </c:pt>
              </c:numCache>
            </c:numRef>
          </c:xVal>
          <c:yVal>
            <c:numRef>
              <c:f>VAC_Optim_Scenario!$F$43</c:f>
              <c:numCache>
                <c:formatCode>#,##0</c:formatCode>
                <c:ptCount val="1"/>
                <c:pt idx="0">
                  <c:v>26581.559263521289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FFF7-43DE-A86B-1A638C6F5E08}"/>
            </c:ext>
          </c:extLst>
        </c:ser>
        <c:ser>
          <c:idx val="18"/>
          <c:order val="18"/>
          <c:tx>
            <c:v>HCC Radio O:</c:v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VAC_Optim_Scenario!$H$43</c:f>
              <c:numCache>
                <c:formatCode>_("$"* #,##0_);_("$"* \(#,##0\);_("$"* "-"??_);_(@_)</c:formatCode>
                <c:ptCount val="1"/>
                <c:pt idx="0">
                  <c:v>1201167.5</c:v>
                </c:pt>
              </c:numCache>
            </c:numRef>
          </c:xVal>
          <c:yVal>
            <c:numRef>
              <c:f>VAC_Optim_Scenario!$I$43</c:f>
              <c:numCache>
                <c:formatCode>#,##0</c:formatCode>
                <c:ptCount val="1"/>
                <c:pt idx="0">
                  <c:v>29522.816952164638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FFF7-43DE-A86B-1A638C6F5E08}"/>
            </c:ext>
          </c:extLst>
        </c:ser>
        <c:ser>
          <c:idx val="19"/>
          <c:order val="19"/>
          <c:tx>
            <c:v>HCC Online Video C:</c:v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VAC_Optim_Scenario!$D$39</c:f>
              <c:numCache>
                <c:formatCode>_("$"* #,##0_);_("$"* \(#,##0\);_("$"* "-"??_);_(@_)</c:formatCode>
                <c:ptCount val="1"/>
                <c:pt idx="0">
                  <c:v>1111779.04</c:v>
                </c:pt>
              </c:numCache>
            </c:numRef>
          </c:xVal>
          <c:yVal>
            <c:numRef>
              <c:f>VAC_Optim_Scenario!$F$39</c:f>
              <c:numCache>
                <c:formatCode>#,##0</c:formatCode>
                <c:ptCount val="1"/>
                <c:pt idx="0">
                  <c:v>21646.235649615526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FFF7-43DE-A86B-1A638C6F5E08}"/>
            </c:ext>
          </c:extLst>
        </c:ser>
        <c:ser>
          <c:idx val="20"/>
          <c:order val="20"/>
          <c:tx>
            <c:v>HCC Online Video O:</c:v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VAC_Optim_Scenario!$H$39</c:f>
              <c:numCache>
                <c:formatCode>_("$"* #,##0_);_("$"* \(#,##0\);_("$"* "-"??_);_(@_)</c:formatCode>
                <c:ptCount val="1"/>
                <c:pt idx="0">
                  <c:v>1445312.7520000001</c:v>
                </c:pt>
              </c:numCache>
            </c:numRef>
          </c:xVal>
          <c:yVal>
            <c:numRef>
              <c:f>VAC_Optim_Scenario!$I$39</c:f>
              <c:numCache>
                <c:formatCode>#,##0</c:formatCode>
                <c:ptCount val="1"/>
                <c:pt idx="0">
                  <c:v>25719.483123207465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FFF7-43DE-A86B-1A638C6F5E08}"/>
            </c:ext>
          </c:extLst>
        </c:ser>
        <c:ser>
          <c:idx val="21"/>
          <c:order val="21"/>
          <c:tx>
            <c:v>HCC Display C:</c:v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VAC_Optim_Scenario!$D$41</c:f>
              <c:numCache>
                <c:formatCode>_("$"* #,##0_);_("$"* \(#,##0\);_("$"* "-"??_);_(@_)</c:formatCode>
                <c:ptCount val="1"/>
                <c:pt idx="0">
                  <c:v>2859426.82</c:v>
                </c:pt>
              </c:numCache>
            </c:numRef>
          </c:xVal>
          <c:yVal>
            <c:numRef>
              <c:f>VAC_Optim_Scenario!$F$41</c:f>
              <c:numCache>
                <c:formatCode>#,##0</c:formatCode>
                <c:ptCount val="1"/>
                <c:pt idx="0">
                  <c:v>76065.012406995462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FFF7-43DE-A86B-1A638C6F5E08}"/>
            </c:ext>
          </c:extLst>
        </c:ser>
        <c:ser>
          <c:idx val="22"/>
          <c:order val="22"/>
          <c:tx>
            <c:v>HCC Display O:</c:v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D10-4072-B641-26FD8F4D8D3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VAC_Optim_Scenario!$H$41</c:f>
              <c:numCache>
                <c:formatCode>_("$"* #,##0_);_("$"* \(#,##0\);_("$"* "-"??_);_(@_)</c:formatCode>
                <c:ptCount val="1"/>
                <c:pt idx="0">
                  <c:v>3717254.8659999999</c:v>
                </c:pt>
              </c:numCache>
            </c:numRef>
          </c:xVal>
          <c:yVal>
            <c:numRef>
              <c:f>VAC_Optim_Scenario!$I$41</c:f>
              <c:numCache>
                <c:formatCode>#,##0</c:formatCode>
                <c:ptCount val="1"/>
                <c:pt idx="0">
                  <c:v>89032.988619922922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FFF7-43DE-A86B-1A638C6F5E08}"/>
            </c:ext>
          </c:extLst>
        </c:ser>
        <c:ser>
          <c:idx val="24"/>
          <c:order val="24"/>
          <c:tx>
            <c:v>Social C:</c:v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VAC_Optim_Scenario!$E$19</c:f>
              <c:numCache>
                <c:formatCode>"$"#,##0</c:formatCode>
                <c:ptCount val="1"/>
                <c:pt idx="0">
                  <c:v>1751000</c:v>
                </c:pt>
              </c:numCache>
            </c:numRef>
          </c:xVal>
          <c:yVal>
            <c:numRef>
              <c:f>VAC_Optim_Scenario!$F$19</c:f>
              <c:numCache>
                <c:formatCode>#,##0</c:formatCode>
                <c:ptCount val="1"/>
                <c:pt idx="0">
                  <c:v>23820.403572058858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AB9-4CEC-969C-111DFC7AEA4C}"/>
            </c:ext>
          </c:extLst>
        </c:ser>
        <c:ser>
          <c:idx val="25"/>
          <c:order val="25"/>
          <c:tx>
            <c:v>Social O:</c:v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VAC_Optim_Scenario!$I$19</c:f>
              <c:numCache>
                <c:formatCode>"$"#,##0</c:formatCode>
                <c:ptCount val="1"/>
                <c:pt idx="0">
                  <c:v>2205903.3000226272</c:v>
                </c:pt>
              </c:numCache>
            </c:numRef>
          </c:xVal>
          <c:yVal>
            <c:numRef>
              <c:f>VAC_Optim_Scenario!$J$19</c:f>
              <c:numCache>
                <c:formatCode>#,##0</c:formatCode>
                <c:ptCount val="1"/>
                <c:pt idx="0">
                  <c:v>27360.83264723729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AB9-4CEC-969C-111DFC7AEA4C}"/>
            </c:ext>
          </c:extLst>
        </c:ser>
        <c:ser>
          <c:idx val="26"/>
          <c:order val="26"/>
          <c:tx>
            <c:v>Streaming C:</c:v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VAC_Optim_Scenario!$E$21</c:f>
              <c:numCache>
                <c:formatCode>"$"#,##0</c:formatCode>
                <c:ptCount val="1"/>
                <c:pt idx="0">
                  <c:v>13418576</c:v>
                </c:pt>
              </c:numCache>
            </c:numRef>
          </c:xVal>
          <c:yVal>
            <c:numRef>
              <c:f>VAC_Optim_Scenario!$F$21</c:f>
              <c:numCache>
                <c:formatCode>#,##0</c:formatCode>
                <c:ptCount val="1"/>
                <c:pt idx="0">
                  <c:v>100808.3256282994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AB9-4CEC-969C-111DFC7AEA4C}"/>
            </c:ext>
          </c:extLst>
        </c:ser>
        <c:ser>
          <c:idx val="27"/>
          <c:order val="27"/>
          <c:tx>
            <c:v>Streaming O:</c:v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VAC_Optim_Scenario!$I$21</c:f>
              <c:numCache>
                <c:formatCode>"$"#,##0</c:formatCode>
                <c:ptCount val="1"/>
                <c:pt idx="0">
                  <c:v>9393003.1999999993</c:v>
                </c:pt>
              </c:numCache>
            </c:numRef>
          </c:xVal>
          <c:yVal>
            <c:numRef>
              <c:f>VAC_Optim_Scenario!$J$21</c:f>
              <c:numCache>
                <c:formatCode>#,##0</c:formatCode>
                <c:ptCount val="1"/>
                <c:pt idx="0">
                  <c:v>78535.322127134612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6AB9-4CEC-969C-111DFC7AEA4C}"/>
            </c:ext>
          </c:extLst>
        </c:ser>
        <c:ser>
          <c:idx val="28"/>
          <c:order val="28"/>
          <c:tx>
            <c:v>HCC Streaming TV</c:v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18"/>
              <c:layout>
                <c:manualLayout>
                  <c:x val="6.2814070351758797E-3"/>
                  <c:y val="3.9024516554264796E-2"/>
                </c:manualLayout>
              </c:layout>
              <c:tx>
                <c:rich>
                  <a:bodyPr/>
                  <a:lstStyle/>
                  <a:p>
                    <a:fld id="{26B47073-4184-4455-9B05-4CD7BD825ADE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5-ED10-4072-B641-26FD8F4D8D3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GSTRTV!$A$22:$A$45</c:f>
              <c:numCache>
                <c:formatCode>"$"#,##0</c:formatCode>
                <c:ptCount val="24"/>
                <c:pt idx="0">
                  <c:v>200000</c:v>
                </c:pt>
                <c:pt idx="1">
                  <c:v>400000</c:v>
                </c:pt>
                <c:pt idx="2">
                  <c:v>600000</c:v>
                </c:pt>
                <c:pt idx="3">
                  <c:v>800000</c:v>
                </c:pt>
                <c:pt idx="4">
                  <c:v>1000000</c:v>
                </c:pt>
                <c:pt idx="5">
                  <c:v>1200000</c:v>
                </c:pt>
                <c:pt idx="6">
                  <c:v>1400000</c:v>
                </c:pt>
                <c:pt idx="7">
                  <c:v>1600000</c:v>
                </c:pt>
                <c:pt idx="8">
                  <c:v>1800000</c:v>
                </c:pt>
                <c:pt idx="9">
                  <c:v>2000000</c:v>
                </c:pt>
                <c:pt idx="10">
                  <c:v>2200000</c:v>
                </c:pt>
                <c:pt idx="11">
                  <c:v>2400000</c:v>
                </c:pt>
                <c:pt idx="12">
                  <c:v>2600000</c:v>
                </c:pt>
                <c:pt idx="13">
                  <c:v>2800000</c:v>
                </c:pt>
                <c:pt idx="14">
                  <c:v>3000000</c:v>
                </c:pt>
                <c:pt idx="15">
                  <c:v>3200000</c:v>
                </c:pt>
                <c:pt idx="16">
                  <c:v>3400000</c:v>
                </c:pt>
                <c:pt idx="17">
                  <c:v>3600000</c:v>
                </c:pt>
                <c:pt idx="18">
                  <c:v>3800000</c:v>
                </c:pt>
                <c:pt idx="19">
                  <c:v>4000000</c:v>
                </c:pt>
                <c:pt idx="20">
                  <c:v>4200000</c:v>
                </c:pt>
                <c:pt idx="21">
                  <c:v>4400000</c:v>
                </c:pt>
                <c:pt idx="22">
                  <c:v>4600000</c:v>
                </c:pt>
                <c:pt idx="23">
                  <c:v>4800000</c:v>
                </c:pt>
              </c:numCache>
            </c:numRef>
          </c:xVal>
          <c:yVal>
            <c:numRef>
              <c:f>GSTRTV!$B$22:$B$45</c:f>
              <c:numCache>
                <c:formatCode>#,##0</c:formatCode>
                <c:ptCount val="24"/>
                <c:pt idx="0">
                  <c:v>5306.6799670584487</c:v>
                </c:pt>
                <c:pt idx="1">
                  <c:v>8620.7270398777109</c:v>
                </c:pt>
                <c:pt idx="2">
                  <c:v>11450.060343578602</c:v>
                </c:pt>
                <c:pt idx="3">
                  <c:v>14004.412392947337</c:v>
                </c:pt>
                <c:pt idx="4">
                  <c:v>16372.006191464845</c:v>
                </c:pt>
                <c:pt idx="5">
                  <c:v>18600.677904990443</c:v>
                </c:pt>
                <c:pt idx="6">
                  <c:v>20720.08464236038</c:v>
                </c:pt>
                <c:pt idx="7">
                  <c:v>22750.235051464868</c:v>
                </c:pt>
                <c:pt idx="8">
                  <c:v>24705.443457194888</c:v>
                </c:pt>
                <c:pt idx="9">
                  <c:v>26596.402524352889</c:v>
                </c:pt>
                <c:pt idx="10">
                  <c:v>28431.369318328445</c:v>
                </c:pt>
                <c:pt idx="11">
                  <c:v>30216.890404357946</c:v>
                </c:pt>
                <c:pt idx="12">
                  <c:v>31958.26869140529</c:v>
                </c:pt>
                <c:pt idx="13">
                  <c:v>33659.876806922497</c:v>
                </c:pt>
                <c:pt idx="14">
                  <c:v>35325.374810877525</c:v>
                </c:pt>
                <c:pt idx="15">
                  <c:v>36957.865876439937</c:v>
                </c:pt>
                <c:pt idx="16">
                  <c:v>38560.010380246516</c:v>
                </c:pt>
                <c:pt idx="17">
                  <c:v>40134.111302300051</c:v>
                </c:pt>
                <c:pt idx="18">
                  <c:v>41682.17934043915</c:v>
                </c:pt>
                <c:pt idx="19">
                  <c:v>43205.983369721333</c:v>
                </c:pt>
                <c:pt idx="20">
                  <c:v>44707.090111294332</c:v>
                </c:pt>
                <c:pt idx="21">
                  <c:v>46186.895721002846</c:v>
                </c:pt>
                <c:pt idx="22">
                  <c:v>47646.651235195692</c:v>
                </c:pt>
                <c:pt idx="23">
                  <c:v>49087.483282746944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D10-4072-B641-26FD8F4D8D36}"/>
            </c:ext>
          </c:extLst>
        </c:ser>
        <c:ser>
          <c:idx val="29"/>
          <c:order val="29"/>
          <c:tx>
            <c:v>HCC Pharmacy</c:v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dPt>
            <c:idx val="16"/>
            <c:marker>
              <c:symbol val="circle"/>
              <c:size val="5"/>
              <c:spPr>
                <a:solidFill>
                  <a:srgbClr val="00B050"/>
                </a:solidFill>
                <a:ln w="9525">
                  <a:solidFill>
                    <a:srgbClr val="00B05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8-D779-4C58-9527-66A9946C93DB}"/>
              </c:ext>
            </c:extLst>
          </c:dPt>
          <c:dLbls>
            <c:dLbl>
              <c:idx val="20"/>
              <c:layout>
                <c:manualLayout>
                  <c:x val="0.10951177052541435"/>
                  <c:y val="9.3835554945867131E-17"/>
                </c:manualLayout>
              </c:layout>
              <c:tx>
                <c:rich>
                  <a:bodyPr/>
                  <a:lstStyle/>
                  <a:p>
                    <a:fld id="{23334CD9-ECF6-4541-91D1-DBD5DDFDEDBD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4-50E3-4595-80A1-08EC367228A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GPHRMCY!$A$22:$A$42</c:f>
              <c:numCache>
                <c:formatCode>"$"#,##0</c:formatCode>
                <c:ptCount val="21"/>
                <c:pt idx="0">
                  <c:v>0</c:v>
                </c:pt>
                <c:pt idx="1">
                  <c:v>200000</c:v>
                </c:pt>
                <c:pt idx="2">
                  <c:v>400000</c:v>
                </c:pt>
                <c:pt idx="3">
                  <c:v>600000</c:v>
                </c:pt>
                <c:pt idx="4">
                  <c:v>800000</c:v>
                </c:pt>
                <c:pt idx="5">
                  <c:v>1000000</c:v>
                </c:pt>
                <c:pt idx="6">
                  <c:v>1200000</c:v>
                </c:pt>
                <c:pt idx="7">
                  <c:v>1400000</c:v>
                </c:pt>
                <c:pt idx="8">
                  <c:v>1600000</c:v>
                </c:pt>
                <c:pt idx="9">
                  <c:v>1800000</c:v>
                </c:pt>
                <c:pt idx="10">
                  <c:v>2000000</c:v>
                </c:pt>
                <c:pt idx="11">
                  <c:v>2200000</c:v>
                </c:pt>
                <c:pt idx="12">
                  <c:v>2400000</c:v>
                </c:pt>
                <c:pt idx="13">
                  <c:v>2600000</c:v>
                </c:pt>
                <c:pt idx="14">
                  <c:v>2800000</c:v>
                </c:pt>
                <c:pt idx="15">
                  <c:v>3000000</c:v>
                </c:pt>
                <c:pt idx="16">
                  <c:v>3200000</c:v>
                </c:pt>
                <c:pt idx="17">
                  <c:v>3400000</c:v>
                </c:pt>
                <c:pt idx="18">
                  <c:v>3600000</c:v>
                </c:pt>
                <c:pt idx="19">
                  <c:v>3800000</c:v>
                </c:pt>
                <c:pt idx="20">
                  <c:v>4000000</c:v>
                </c:pt>
              </c:numCache>
            </c:numRef>
          </c:xVal>
          <c:yVal>
            <c:numRef>
              <c:f>GPHRMCY!$B$22:$B$42</c:f>
              <c:numCache>
                <c:formatCode>#,##0</c:formatCode>
                <c:ptCount val="21"/>
                <c:pt idx="0">
                  <c:v>0</c:v>
                </c:pt>
                <c:pt idx="1">
                  <c:v>1884.0989294061437</c:v>
                </c:pt>
                <c:pt idx="2">
                  <c:v>3690.9075000444427</c:v>
                </c:pt>
                <c:pt idx="3">
                  <c:v>5423.5391706861556</c:v>
                </c:pt>
                <c:pt idx="4">
                  <c:v>7084.9866262534633</c:v>
                </c:pt>
                <c:pt idx="5">
                  <c:v>8678.126083179377</c:v>
                </c:pt>
                <c:pt idx="6">
                  <c:v>10205.721472941339</c:v>
                </c:pt>
                <c:pt idx="7">
                  <c:v>11670.428504428826</c:v>
                </c:pt>
                <c:pt idx="8">
                  <c:v>13074.798606074415</c:v>
                </c:pt>
                <c:pt idx="9">
                  <c:v>14421.282748956233</c:v>
                </c:pt>
                <c:pt idx="10">
                  <c:v>15712.235152327456</c:v>
                </c:pt>
                <c:pt idx="11">
                  <c:v>16949.916873184033</c:v>
                </c:pt>
                <c:pt idx="12">
                  <c:v>18136.499281739816</c:v>
                </c:pt>
                <c:pt idx="13">
                  <c:v>19274.06742475275</c:v>
                </c:pt>
                <c:pt idx="14">
                  <c:v>20364.623278812505</c:v>
                </c:pt>
                <c:pt idx="15">
                  <c:v>21410.088895815425</c:v>
                </c:pt>
                <c:pt idx="16">
                  <c:v>22412.309442908503</c:v>
                </c:pt>
                <c:pt idx="17">
                  <c:v>23373.056139308028</c:v>
                </c:pt>
                <c:pt idx="18">
                  <c:v>24294.029092384502</c:v>
                </c:pt>
                <c:pt idx="19">
                  <c:v>25176.860035532154</c:v>
                </c:pt>
                <c:pt idx="20">
                  <c:v>26023.114970291033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ED10-4072-B641-26FD8F4D8D36}"/>
            </c:ext>
          </c:extLst>
        </c:ser>
        <c:ser>
          <c:idx val="30"/>
          <c:order val="30"/>
          <c:tx>
            <c:v>Pharmacy o</c:v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VAC_Optim_Scenario!$I$26</c:f>
              <c:numCache>
                <c:formatCode>"$"#,##0</c:formatCode>
                <c:ptCount val="1"/>
                <c:pt idx="0">
                  <c:v>1688377.6</c:v>
                </c:pt>
              </c:numCache>
            </c:numRef>
          </c:xVal>
          <c:yVal>
            <c:numRef>
              <c:f>VAC_Optim_Scenario!$J$26</c:f>
              <c:numCache>
                <c:formatCode>#,##0</c:formatCode>
                <c:ptCount val="1"/>
                <c:pt idx="0">
                  <c:v>13676.790074867196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D779-4C58-9527-66A9946C93DB}"/>
            </c:ext>
          </c:extLst>
        </c:ser>
        <c:ser>
          <c:idx val="31"/>
          <c:order val="31"/>
          <c:tx>
            <c:v>Pharmacy c</c:v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dPt>
            <c:idx val="0"/>
            <c:marker>
              <c:symbol val="diamond"/>
              <c:size val="7"/>
              <c:spPr>
                <a:solidFill>
                  <a:srgbClr val="FF0000"/>
                </a:solidFill>
                <a:ln w="66675">
                  <a:noFill/>
                </a:ln>
                <a:effectLst/>
              </c:spPr>
            </c:marker>
            <c:bubble3D val="0"/>
            <c:spPr>
              <a:ln w="34925" cap="rnd">
                <a:solidFill>
                  <a:srgbClr val="FF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D779-4C58-9527-66A9946C93DB}"/>
              </c:ext>
            </c:extLst>
          </c:dPt>
          <c:xVal>
            <c:numRef>
              <c:f>VAC_Optim_Scenario!$E$26</c:f>
              <c:numCache>
                <c:formatCode>"$"#,##0</c:formatCode>
                <c:ptCount val="1"/>
                <c:pt idx="0">
                  <c:v>2411968</c:v>
                </c:pt>
              </c:numCache>
            </c:numRef>
          </c:xVal>
          <c:yVal>
            <c:numRef>
              <c:f>VAC_Optim_Scenario!$F$26</c:f>
              <c:numCache>
                <c:formatCode>#,##0</c:formatCode>
                <c:ptCount val="1"/>
                <c:pt idx="0">
                  <c:v>18205.929821531288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D779-4C58-9527-66A9946C93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9898904"/>
        <c:axId val="969903496"/>
        <c:extLst>
          <c:ext xmlns:c15="http://schemas.microsoft.com/office/drawing/2012/chart" uri="{02D57815-91ED-43cb-92C2-25804820EDAC}">
            <c15:filteredScatterSeries>
              <c15:ser>
                <c:idx val="23"/>
                <c:order val="23"/>
                <c:tx>
                  <c:v>HCC Streaming Video</c:v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prstDash val="dash"/>
                    <a:round/>
                  </a:ln>
                  <a:effectLst/>
                </c:spPr>
                <c:marker>
                  <c:symbol val="none"/>
                </c:marker>
                <c:dLbls>
                  <c:dLbl>
                    <c:idx val="15"/>
                    <c:layout>
                      <c:manualLayout>
                        <c:x val="-3.4802148416091201E-2"/>
                        <c:y val="4.5410824939482133E-2"/>
                      </c:manualLayout>
                    </c:layout>
                    <c:showLegendKey val="0"/>
                    <c:showVal val="0"/>
                    <c:showCatName val="0"/>
                    <c:showSerName val="1"/>
                    <c:showPercent val="0"/>
                    <c:showBubbleSize val="0"/>
                    <c:extLst>
                      <c:ext uri="{CE6537A1-D6FC-4f65-9D91-7224C49458BB}"/>
                      <c:ext xmlns:c16="http://schemas.microsoft.com/office/drawing/2014/chart" uri="{C3380CC4-5D6E-409C-BE32-E72D297353CC}">
                        <c16:uniqueId val="{00000006-6AB9-4CEC-969C-111DFC7AEA4C}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anchor="ctr" anchorCtr="1"/>
                    <a:lstStyle/>
                    <a:p>
                      <a:pPr>
                        <a:defRPr sz="11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showLegendKey val="0"/>
                  <c:showVal val="0"/>
                  <c:showCatName val="0"/>
                  <c:showSerName val="0"/>
                  <c:showPercent val="0"/>
                  <c:showBubbleSize val="0"/>
                  <c:extLst>
                    <c:ext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xVal>
                  <c:num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1-6AB9-4CEC-969C-111DFC7AEA4C}"/>
                  </c:ext>
                </c:extLst>
              </c15:ser>
            </c15:filteredScatterSeries>
          </c:ext>
        </c:extLst>
      </c:scatterChart>
      <c:valAx>
        <c:axId val="969898904"/>
        <c:scaling>
          <c:orientation val="minMax"/>
          <c:max val="3000000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Pre-tax Spend (Millions)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9903496"/>
        <c:crosses val="autoZero"/>
        <c:crossBetween val="midCat"/>
        <c:dispUnits>
          <c:builtInUnit val="millions"/>
        </c:dispUnits>
      </c:valAx>
      <c:valAx>
        <c:axId val="969903496"/>
        <c:scaling>
          <c:orientation val="minMax"/>
          <c:max val="370000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Incr. Doses (Thousands)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9898904"/>
        <c:crosses val="autoZero"/>
        <c:crossBetween val="midCat"/>
        <c:dispUnits>
          <c:builtInUnit val="thousands"/>
        </c:dispUnits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Incr. Doses vs Pre-tax Spend</a:t>
            </a:r>
          </a:p>
          <a:p>
            <a:pPr>
              <a:defRPr/>
            </a:pPr>
            <a:r>
              <a:rPr lang="en-US" sz="1000">
                <a:solidFill>
                  <a:srgbClr val="FF0000"/>
                </a:solidFill>
              </a:rPr>
              <a:t>InScope budget :$60M, Optimal channel spend is allowed to vary within</a:t>
            </a:r>
            <a:r>
              <a:rPr lang="en-US" sz="1000" baseline="0">
                <a:solidFill>
                  <a:srgbClr val="FF0000"/>
                </a:solidFill>
              </a:rPr>
              <a:t> custom constraints</a:t>
            </a:r>
            <a:endParaRPr lang="en-US" sz="1000">
              <a:solidFill>
                <a:srgbClr val="FF0000"/>
              </a:solidFill>
            </a:endParaRPr>
          </a:p>
        </c:rich>
      </c:tx>
      <c:layout>
        <c:manualLayout>
          <c:xMode val="edge"/>
          <c:yMode val="edge"/>
          <c:x val="0.12304557941109451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282071011481869"/>
          <c:y val="0.1312875144000665"/>
          <c:w val="0.82595504145043763"/>
          <c:h val="0.71783484538410325"/>
        </c:manualLayout>
      </c:layout>
      <c:scatterChart>
        <c:scatterStyle val="smoothMarker"/>
        <c:varyColors val="0"/>
        <c:ser>
          <c:idx val="1"/>
          <c:order val="1"/>
          <c:tx>
            <c:v>HCP MCM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Lbl>
              <c:idx val="20"/>
              <c:tx>
                <c:rich>
                  <a:bodyPr/>
                  <a:lstStyle/>
                  <a:p>
                    <a:fld id="{B78FA865-F9C3-46F2-A19B-8B169087FA05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2-3897-4C44-8735-1C17283D2F5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GMCM!$A$22:$A$48</c:f>
              <c:numCache>
                <c:formatCode>"$"#,##0</c:formatCode>
                <c:ptCount val="27"/>
                <c:pt idx="0">
                  <c:v>0</c:v>
                </c:pt>
                <c:pt idx="1">
                  <c:v>200000</c:v>
                </c:pt>
                <c:pt idx="2">
                  <c:v>400000</c:v>
                </c:pt>
                <c:pt idx="3">
                  <c:v>600000</c:v>
                </c:pt>
                <c:pt idx="4">
                  <c:v>800000</c:v>
                </c:pt>
                <c:pt idx="5">
                  <c:v>1000000</c:v>
                </c:pt>
                <c:pt idx="6">
                  <c:v>1200000</c:v>
                </c:pt>
                <c:pt idx="7">
                  <c:v>1400000</c:v>
                </c:pt>
                <c:pt idx="8">
                  <c:v>1600000</c:v>
                </c:pt>
                <c:pt idx="9">
                  <c:v>1800000</c:v>
                </c:pt>
                <c:pt idx="10">
                  <c:v>2000000</c:v>
                </c:pt>
                <c:pt idx="11">
                  <c:v>2200000</c:v>
                </c:pt>
                <c:pt idx="12">
                  <c:v>2400000</c:v>
                </c:pt>
                <c:pt idx="13">
                  <c:v>2600000</c:v>
                </c:pt>
                <c:pt idx="14">
                  <c:v>2800000</c:v>
                </c:pt>
                <c:pt idx="15">
                  <c:v>3000000</c:v>
                </c:pt>
                <c:pt idx="16">
                  <c:v>3200000</c:v>
                </c:pt>
                <c:pt idx="17">
                  <c:v>3400000</c:v>
                </c:pt>
                <c:pt idx="18">
                  <c:v>3600000</c:v>
                </c:pt>
                <c:pt idx="19">
                  <c:v>3800000</c:v>
                </c:pt>
                <c:pt idx="20">
                  <c:v>4000000</c:v>
                </c:pt>
                <c:pt idx="21">
                  <c:v>4200000</c:v>
                </c:pt>
                <c:pt idx="22">
                  <c:v>4400000</c:v>
                </c:pt>
                <c:pt idx="23">
                  <c:v>4600000</c:v>
                </c:pt>
                <c:pt idx="24">
                  <c:v>4800000</c:v>
                </c:pt>
                <c:pt idx="25">
                  <c:v>5000000</c:v>
                </c:pt>
                <c:pt idx="26">
                  <c:v>5200000</c:v>
                </c:pt>
              </c:numCache>
            </c:numRef>
          </c:xVal>
          <c:yVal>
            <c:numRef>
              <c:f>GMCM!$B$22:$B$48</c:f>
              <c:numCache>
                <c:formatCode>#,##0</c:formatCode>
                <c:ptCount val="27"/>
                <c:pt idx="0">
                  <c:v>0</c:v>
                </c:pt>
                <c:pt idx="1">
                  <c:v>6744.3499683793634</c:v>
                </c:pt>
                <c:pt idx="2">
                  <c:v>13435.838188506663</c:v>
                </c:pt>
                <c:pt idx="3">
                  <c:v>20074.687554519624</c:v>
                </c:pt>
                <c:pt idx="4">
                  <c:v>26661.123724805191</c:v>
                </c:pt>
                <c:pt idx="5">
                  <c:v>33195.375038976781</c:v>
                </c:pt>
                <c:pt idx="6">
                  <c:v>39677.672435625456</c:v>
                </c:pt>
                <c:pt idx="7">
                  <c:v>46108.249370880425</c:v>
                </c:pt>
                <c:pt idx="8">
                  <c:v>52487.34173778072</c:v>
                </c:pt>
                <c:pt idx="9">
                  <c:v>58815.187786469236</c:v>
                </c:pt>
                <c:pt idx="10">
                  <c:v>65092.028045233339</c:v>
                </c:pt>
                <c:pt idx="11">
                  <c:v>71318.105242387392</c:v>
                </c:pt>
                <c:pt idx="12">
                  <c:v>77493.664229021408</c:v>
                </c:pt>
                <c:pt idx="13">
                  <c:v>83618.951902620494</c:v>
                </c:pt>
                <c:pt idx="14">
                  <c:v>89694.217131564394</c:v>
                </c:pt>
                <c:pt idx="15">
                  <c:v>95719.710680508986</c:v>
                </c:pt>
                <c:pt idx="16">
                  <c:v>101695.68513668422</c:v>
                </c:pt>
                <c:pt idx="17">
                  <c:v>107622.39483707212</c:v>
                </c:pt>
                <c:pt idx="18">
                  <c:v>113500.09579651337</c:v>
                </c:pt>
                <c:pt idx="19">
                  <c:v>119329.04563672934</c:v>
                </c:pt>
                <c:pt idx="20">
                  <c:v>125109.50351626147</c:v>
                </c:pt>
                <c:pt idx="21">
                  <c:v>130841.73006134667</c:v>
                </c:pt>
                <c:pt idx="22">
                  <c:v>136525.98729771748</c:v>
                </c:pt>
                <c:pt idx="23">
                  <c:v>142162.53858334757</c:v>
                </c:pt>
                <c:pt idx="24">
                  <c:v>147751.64854213502</c:v>
                </c:pt>
                <c:pt idx="25">
                  <c:v>153293.58299852163</c:v>
                </c:pt>
                <c:pt idx="26">
                  <c:v>158788.60891307052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897-4C44-8735-1C17283D2F5E}"/>
            </c:ext>
          </c:extLst>
        </c:ser>
        <c:ser>
          <c:idx val="2"/>
          <c:order val="2"/>
          <c:tx>
            <c:v>HCC TV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897-4C44-8735-1C17283D2F5E}"/>
                </c:ext>
              </c:extLst>
            </c:dLbl>
            <c:dLbl>
              <c:idx val="13"/>
              <c:layout>
                <c:manualLayout>
                  <c:x val="8.4322853434922768E-2"/>
                  <c:y val="-0.10581595588817357"/>
                </c:manualLayout>
              </c:layout>
              <c:tx>
                <c:rich>
                  <a:bodyPr/>
                  <a:lstStyle/>
                  <a:p>
                    <a:fld id="{7861E7B3-7907-4E58-B121-D41D0BD1ED2F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5-3897-4C44-8735-1C17283D2F5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GLINEARTV!$A$21:$A$42</c:f>
              <c:numCache>
                <c:formatCode>"$"#,##0</c:formatCode>
                <c:ptCount val="22"/>
                <c:pt idx="0">
                  <c:v>0</c:v>
                </c:pt>
                <c:pt idx="1">
                  <c:v>200000</c:v>
                </c:pt>
                <c:pt idx="2">
                  <c:v>400000</c:v>
                </c:pt>
                <c:pt idx="3">
                  <c:v>600000</c:v>
                </c:pt>
                <c:pt idx="4">
                  <c:v>800000</c:v>
                </c:pt>
                <c:pt idx="5">
                  <c:v>1000000</c:v>
                </c:pt>
                <c:pt idx="6">
                  <c:v>1200000</c:v>
                </c:pt>
                <c:pt idx="7">
                  <c:v>1400000</c:v>
                </c:pt>
                <c:pt idx="8">
                  <c:v>1600000</c:v>
                </c:pt>
                <c:pt idx="9">
                  <c:v>1800000</c:v>
                </c:pt>
                <c:pt idx="10">
                  <c:v>2000000</c:v>
                </c:pt>
                <c:pt idx="11">
                  <c:v>2200000</c:v>
                </c:pt>
                <c:pt idx="12">
                  <c:v>2400000</c:v>
                </c:pt>
                <c:pt idx="13">
                  <c:v>2600000</c:v>
                </c:pt>
                <c:pt idx="14">
                  <c:v>2800000</c:v>
                </c:pt>
                <c:pt idx="15">
                  <c:v>3000000</c:v>
                </c:pt>
                <c:pt idx="16">
                  <c:v>3200000</c:v>
                </c:pt>
                <c:pt idx="17">
                  <c:v>3400000</c:v>
                </c:pt>
                <c:pt idx="18">
                  <c:v>3600000</c:v>
                </c:pt>
                <c:pt idx="19">
                  <c:v>3800000</c:v>
                </c:pt>
                <c:pt idx="20">
                  <c:v>4000000</c:v>
                </c:pt>
                <c:pt idx="21">
                  <c:v>4200000</c:v>
                </c:pt>
              </c:numCache>
            </c:numRef>
          </c:xVal>
          <c:yVal>
            <c:numRef>
              <c:f>GLINEARTV!$B$21:$B$42</c:f>
              <c:numCache>
                <c:formatCode>#,##0</c:formatCode>
                <c:ptCount val="22"/>
                <c:pt idx="0">
                  <c:v>0</c:v>
                </c:pt>
                <c:pt idx="1">
                  <c:v>5611.5002373501393</c:v>
                </c:pt>
                <c:pt idx="2">
                  <c:v>9115.9090298824703</c:v>
                </c:pt>
                <c:pt idx="3">
                  <c:v>12107.761676700537</c:v>
                </c:pt>
                <c:pt idx="4">
                  <c:v>14808.837908974965</c:v>
                </c:pt>
                <c:pt idx="5">
                  <c:v>17312.428335532044</c:v>
                </c:pt>
                <c:pt idx="6">
                  <c:v>19669.116872820407</c:v>
                </c:pt>
                <c:pt idx="7">
                  <c:v>21910.264159564609</c:v>
                </c:pt>
                <c:pt idx="8">
                  <c:v>24057.028157631961</c:v>
                </c:pt>
                <c:pt idx="9">
                  <c:v>26124.545419070415</c:v>
                </c:pt>
                <c:pt idx="10">
                  <c:v>28124.122804562983</c:v>
                </c:pt>
                <c:pt idx="11">
                  <c:v>30064.491672450658</c:v>
                </c:pt>
                <c:pt idx="12">
                  <c:v>31952.574628318467</c:v>
                </c:pt>
                <c:pt idx="13">
                  <c:v>33793.979184790936</c:v>
                </c:pt>
                <c:pt idx="14">
                  <c:v>35593.329136808985</c:v>
                </c:pt>
                <c:pt idx="15">
                  <c:v>37354.494781339148</c:v>
                </c:pt>
                <c:pt idx="16">
                  <c:v>39080.757540491992</c:v>
                </c:pt>
                <c:pt idx="17">
                  <c:v>40774.930605230875</c:v>
                </c:pt>
                <c:pt idx="18">
                  <c:v>42439.449240714515</c:v>
                </c:pt>
                <c:pt idx="19">
                  <c:v>44076.439640998062</c:v>
                </c:pt>
                <c:pt idx="20">
                  <c:v>45687.772286846674</c:v>
                </c:pt>
                <c:pt idx="21">
                  <c:v>47275.10389322089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3897-4C44-8735-1C17283D2F5E}"/>
            </c:ext>
          </c:extLst>
        </c:ser>
        <c:ser>
          <c:idx val="3"/>
          <c:order val="3"/>
          <c:tx>
            <c:v>HCC Paid Search</c:v>
          </c:tx>
          <c:spPr>
            <a:ln w="1905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5.3611797623983451E-2"/>
                  <c:y val="0.20845085693939958"/>
                </c:manualLayout>
              </c:layout>
              <c:tx>
                <c:rich>
                  <a:bodyPr/>
                  <a:lstStyle/>
                  <a:p>
                    <a:fld id="{ABE91B6D-3E0C-43AB-8356-57E961286A6B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7-3897-4C44-8735-1C17283D2F5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GPDSRCH!$A$21:$A$41</c:f>
              <c:numCache>
                <c:formatCode>"$"#,##0</c:formatCode>
                <c:ptCount val="21"/>
                <c:pt idx="0">
                  <c:v>0</c:v>
                </c:pt>
                <c:pt idx="1">
                  <c:v>200000</c:v>
                </c:pt>
                <c:pt idx="2">
                  <c:v>400000</c:v>
                </c:pt>
                <c:pt idx="3">
                  <c:v>600000</c:v>
                </c:pt>
                <c:pt idx="4">
                  <c:v>800000</c:v>
                </c:pt>
                <c:pt idx="5">
                  <c:v>1000000</c:v>
                </c:pt>
                <c:pt idx="6">
                  <c:v>1200000</c:v>
                </c:pt>
                <c:pt idx="7">
                  <c:v>1400000</c:v>
                </c:pt>
                <c:pt idx="8">
                  <c:v>1600000</c:v>
                </c:pt>
                <c:pt idx="9">
                  <c:v>1800000</c:v>
                </c:pt>
                <c:pt idx="10">
                  <c:v>2000000</c:v>
                </c:pt>
                <c:pt idx="11">
                  <c:v>2200000</c:v>
                </c:pt>
                <c:pt idx="12">
                  <c:v>2400000</c:v>
                </c:pt>
                <c:pt idx="13">
                  <c:v>2600000</c:v>
                </c:pt>
                <c:pt idx="14">
                  <c:v>2800000</c:v>
                </c:pt>
                <c:pt idx="15">
                  <c:v>3000000</c:v>
                </c:pt>
                <c:pt idx="16">
                  <c:v>3200000</c:v>
                </c:pt>
                <c:pt idx="17">
                  <c:v>3400000</c:v>
                </c:pt>
                <c:pt idx="18">
                  <c:v>3600000</c:v>
                </c:pt>
                <c:pt idx="19">
                  <c:v>3800000</c:v>
                </c:pt>
                <c:pt idx="20">
                  <c:v>4000000</c:v>
                </c:pt>
              </c:numCache>
            </c:numRef>
          </c:xVal>
          <c:yVal>
            <c:numRef>
              <c:f>GPDSRCH!$B$21:$B$41</c:f>
              <c:numCache>
                <c:formatCode>#,##0</c:formatCode>
                <c:ptCount val="21"/>
                <c:pt idx="0">
                  <c:v>0</c:v>
                </c:pt>
                <c:pt idx="1">
                  <c:v>79531.473375019181</c:v>
                </c:pt>
                <c:pt idx="2">
                  <c:v>129199.25966920293</c:v>
                </c:pt>
                <c:pt idx="3">
                  <c:v>171602.61689239615</c:v>
                </c:pt>
                <c:pt idx="4">
                  <c:v>209884.81654752325</c:v>
                </c:pt>
                <c:pt idx="5">
                  <c:v>245368.06112200834</c:v>
                </c:pt>
                <c:pt idx="6">
                  <c:v>278769.27358369966</c:v>
                </c:pt>
                <c:pt idx="7">
                  <c:v>310532.92647973198</c:v>
                </c:pt>
                <c:pt idx="8">
                  <c:v>340958.89039902925</c:v>
                </c:pt>
                <c:pt idx="9">
                  <c:v>370261.69483197236</c:v>
                </c:pt>
                <c:pt idx="10">
                  <c:v>398601.59127126914</c:v>
                </c:pt>
                <c:pt idx="11">
                  <c:v>426102.32876156975</c:v>
                </c:pt>
                <c:pt idx="12">
                  <c:v>452862.02099769411</c:v>
                </c:pt>
                <c:pt idx="13">
                  <c:v>478960.14293680771</c:v>
                </c:pt>
                <c:pt idx="14">
                  <c:v>504462.22736135405</c:v>
                </c:pt>
                <c:pt idx="15">
                  <c:v>529423.1277698857</c:v>
                </c:pt>
                <c:pt idx="16">
                  <c:v>553889.35157114896</c:v>
                </c:pt>
                <c:pt idx="17">
                  <c:v>577900.76996050018</c:v>
                </c:pt>
                <c:pt idx="18">
                  <c:v>601491.89781238139</c:v>
                </c:pt>
                <c:pt idx="19">
                  <c:v>624692.8695540831</c:v>
                </c:pt>
                <c:pt idx="20">
                  <c:v>647530.19540299417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3897-4C44-8735-1C17283D2F5E}"/>
            </c:ext>
          </c:extLst>
        </c:ser>
        <c:ser>
          <c:idx val="11"/>
          <c:order val="11"/>
          <c:tx>
            <c:v>HCP MCM C:</c:v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VAC_Optim_Scenario!$D$37</c:f>
              <c:numCache>
                <c:formatCode>_("$"* #,##0_);_("$"* \(#,##0\);_("$"* "-"??_);_(@_)</c:formatCode>
                <c:ptCount val="1"/>
                <c:pt idx="0">
                  <c:v>10503728.719999999</c:v>
                </c:pt>
              </c:numCache>
            </c:numRef>
          </c:xVal>
          <c:yVal>
            <c:numRef>
              <c:f>VAC_Optim_Scenario!$F$37</c:f>
              <c:numCache>
                <c:formatCode>#,##0</c:formatCode>
                <c:ptCount val="1"/>
                <c:pt idx="0">
                  <c:v>288339.09761974216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3897-4C44-8735-1C17283D2F5E}"/>
            </c:ext>
          </c:extLst>
        </c:ser>
        <c:ser>
          <c:idx val="12"/>
          <c:order val="12"/>
          <c:tx>
            <c:v>HCP MCM O:</c:v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VAC_Optim_Scenario!$H$37</c:f>
              <c:numCache>
                <c:formatCode>_("$"* #,##0_);_("$"* \(#,##0\);_("$"* "-"??_);_(@_)</c:formatCode>
                <c:ptCount val="1"/>
                <c:pt idx="0">
                  <c:v>13654847.335999999</c:v>
                </c:pt>
              </c:numCache>
            </c:numRef>
          </c:xVal>
          <c:yVal>
            <c:numRef>
              <c:f>VAC_Optim_Scenario!$I$37</c:f>
              <c:numCache>
                <c:formatCode>#,##0</c:formatCode>
                <c:ptCount val="1"/>
                <c:pt idx="0">
                  <c:v>351876.44985588826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3897-4C44-8735-1C17283D2F5E}"/>
            </c:ext>
          </c:extLst>
        </c:ser>
        <c:ser>
          <c:idx val="13"/>
          <c:order val="13"/>
          <c:tx>
            <c:v>HCC TV C:</c:v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VAC_Optim_Scenario!$D$44</c:f>
              <c:numCache>
                <c:formatCode>_("$"* #,##0_);_("$"* \(#,##0\);_("$"* "-"??_);_(@_)</c:formatCode>
                <c:ptCount val="1"/>
                <c:pt idx="0">
                  <c:v>25810928.600000001</c:v>
                </c:pt>
              </c:numCache>
            </c:numRef>
          </c:xVal>
          <c:yVal>
            <c:numRef>
              <c:f>VAC_Optim_Scenario!$F$44</c:f>
              <c:numCache>
                <c:formatCode>#,##0</c:formatCode>
                <c:ptCount val="1"/>
                <c:pt idx="0">
                  <c:v>168508.00202805389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3897-4C44-8735-1C17283D2F5E}"/>
            </c:ext>
          </c:extLst>
        </c:ser>
        <c:ser>
          <c:idx val="14"/>
          <c:order val="14"/>
          <c:tx>
            <c:v>HCC TV O: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Pt>
            <c:idx val="0"/>
            <c:marker>
              <c:symbol val="circle"/>
              <c:size val="6"/>
              <c:spPr>
                <a:solidFill>
                  <a:srgbClr val="00B05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8-3897-4C44-8735-1C17283D2F5E}"/>
              </c:ext>
            </c:extLst>
          </c:dPt>
          <c:xVal>
            <c:numRef>
              <c:f>VAC_Optim_Scenario!$H$44</c:f>
              <c:numCache>
                <c:formatCode>_("$"* #,##0_);_("$"* \(#,##0\);_("$"* "-"??_);_(@_)</c:formatCode>
                <c:ptCount val="1"/>
                <c:pt idx="0">
                  <c:v>25810928.600000001</c:v>
                </c:pt>
              </c:numCache>
            </c:numRef>
          </c:xVal>
          <c:yVal>
            <c:numRef>
              <c:f>VAC_Optim_Scenario!$I$44</c:f>
              <c:numCache>
                <c:formatCode>#,##0</c:formatCode>
                <c:ptCount val="1"/>
                <c:pt idx="0">
                  <c:v>168508.00202805389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3897-4C44-8735-1C17283D2F5E}"/>
            </c:ext>
          </c:extLst>
        </c:ser>
        <c:ser>
          <c:idx val="15"/>
          <c:order val="15"/>
          <c:tx>
            <c:v>HCC Paid Search C:</c:v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VAC_Optim_Scenario!$D$42</c:f>
              <c:numCache>
                <c:formatCode>_("$"* #,##0_);_("$"* \(#,##0\);_("$"* "-"??_);_(@_)</c:formatCode>
                <c:ptCount val="1"/>
                <c:pt idx="0">
                  <c:v>50000</c:v>
                </c:pt>
              </c:numCache>
            </c:numRef>
          </c:xVal>
          <c:yVal>
            <c:numRef>
              <c:f>VAC_Optim_Scenario!$F$42</c:f>
              <c:numCache>
                <c:formatCode>#,##0</c:formatCode>
                <c:ptCount val="1"/>
                <c:pt idx="0">
                  <c:v>30136.792938374307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3897-4C44-8735-1C17283D2F5E}"/>
            </c:ext>
          </c:extLst>
        </c:ser>
        <c:ser>
          <c:idx val="16"/>
          <c:order val="16"/>
          <c:tx>
            <c:v>HCC Paid Search O:</c:v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VAC_Optim_Scenario!$H$42</c:f>
              <c:numCache>
                <c:formatCode>_("$"* #,##0_);_("$"* \(#,##0\);_("$"* "-"??_);_(@_)</c:formatCode>
                <c:ptCount val="1"/>
                <c:pt idx="0">
                  <c:v>65000</c:v>
                </c:pt>
              </c:numCache>
            </c:numRef>
          </c:xVal>
          <c:yVal>
            <c:numRef>
              <c:f>VAC_Optim_Scenario!$I$42</c:f>
              <c:numCache>
                <c:formatCode>#,##0</c:formatCode>
                <c:ptCount val="1"/>
                <c:pt idx="0">
                  <c:v>36212.405995131681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3897-4C44-8735-1C17283D2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9898904"/>
        <c:axId val="969903496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v>HCC InOffice</c:v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dLbls>
                  <c:dLbl>
                    <c:idx val="20"/>
                    <c:layout>
                      <c:manualLayout>
                        <c:x val="1.1402319998944855E-2"/>
                        <c:y val="2.0748090345209091E-2"/>
                      </c:manualLayout>
                    </c:layout>
                    <c:tx>
                      <c:rich>
                        <a:bodyPr/>
                        <a:lstStyle/>
                        <a:p>
                          <a:fld id="{F094F515-7299-4E1E-ADDB-95653710ADEE}" type="SERIESNAME">
                            <a:rPr lang="en-US"/>
                            <a:pPr/>
                            <a:t>[SERIES NAME]</a:t>
                          </a:fld>
                          <a:endParaRPr lang="en-US"/>
                        </a:p>
                      </c:rich>
                    </c:tx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>
                      <c:ext uri="{CE6537A1-D6FC-4f65-9D91-7224C49458BB}">
                        <c15:dlblFieldTable/>
                        <c15:showDataLabelsRange val="0"/>
                      </c:ext>
                      <c:ext xmlns:c16="http://schemas.microsoft.com/office/drawing/2014/chart" uri="{C3380CC4-5D6E-409C-BE32-E72D297353CC}">
                        <c16:uniqueId val="{00000000-3897-4C44-8735-1C17283D2F5E}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anchor="ctr" anchorCtr="1"/>
                    <a:lstStyle/>
                    <a:p>
                      <a:pPr>
                        <a:defRPr sz="11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showLegendKey val="0"/>
                  <c:showVal val="0"/>
                  <c:showCatName val="0"/>
                  <c:showSerName val="0"/>
                  <c:showPercent val="0"/>
                  <c:showBubbleSize val="0"/>
                  <c:extLst>
                    <c:ext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xVal>
                  <c:numRef>
                    <c:extLst>
                      <c:ext uri="{02D57815-91ED-43cb-92C2-25804820EDAC}">
                        <c15:formulaRef>
                          <c15:sqref>GINOFF!$A$22:$A$42</c15:sqref>
                        </c15:formulaRef>
                      </c:ext>
                    </c:extLst>
                    <c:numCache>
                      <c:formatCode>"$"#,##0</c:formatCode>
                      <c:ptCount val="21"/>
                      <c:pt idx="0">
                        <c:v>0</c:v>
                      </c:pt>
                      <c:pt idx="1">
                        <c:v>200000</c:v>
                      </c:pt>
                      <c:pt idx="2">
                        <c:v>400000</c:v>
                      </c:pt>
                      <c:pt idx="3">
                        <c:v>600000</c:v>
                      </c:pt>
                      <c:pt idx="4">
                        <c:v>800000</c:v>
                      </c:pt>
                      <c:pt idx="5">
                        <c:v>1000000</c:v>
                      </c:pt>
                      <c:pt idx="6">
                        <c:v>1200000</c:v>
                      </c:pt>
                      <c:pt idx="7">
                        <c:v>1400000</c:v>
                      </c:pt>
                      <c:pt idx="8">
                        <c:v>1600000</c:v>
                      </c:pt>
                      <c:pt idx="9">
                        <c:v>1800000</c:v>
                      </c:pt>
                      <c:pt idx="10">
                        <c:v>2000000</c:v>
                      </c:pt>
                      <c:pt idx="11">
                        <c:v>2200000</c:v>
                      </c:pt>
                      <c:pt idx="12">
                        <c:v>2400000</c:v>
                      </c:pt>
                      <c:pt idx="13">
                        <c:v>2600000</c:v>
                      </c:pt>
                      <c:pt idx="14">
                        <c:v>2800000</c:v>
                      </c:pt>
                      <c:pt idx="15">
                        <c:v>3000000</c:v>
                      </c:pt>
                      <c:pt idx="16">
                        <c:v>3200000</c:v>
                      </c:pt>
                      <c:pt idx="17">
                        <c:v>3400000</c:v>
                      </c:pt>
                      <c:pt idx="18">
                        <c:v>3600000</c:v>
                      </c:pt>
                      <c:pt idx="19">
                        <c:v>3800000</c:v>
                      </c:pt>
                      <c:pt idx="20">
                        <c:v>4000000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GINOFF!$B$22:$B$42</c15:sqref>
                        </c15:formulaRef>
                      </c:ext>
                    </c:extLst>
                    <c:numCache>
                      <c:formatCode>#,##0</c:formatCode>
                      <c:ptCount val="21"/>
                      <c:pt idx="0">
                        <c:v>0</c:v>
                      </c:pt>
                      <c:pt idx="1">
                        <c:v>1706.7793306829408</c:v>
                      </c:pt>
                      <c:pt idx="2">
                        <c:v>3212.0774911278859</c:v>
                      </c:pt>
                      <c:pt idx="3">
                        <c:v>4539.5701164426282</c:v>
                      </c:pt>
                      <c:pt idx="4">
                        <c:v>5710.1750087123364</c:v>
                      </c:pt>
                      <c:pt idx="5">
                        <c:v>6742.3679651152343</c:v>
                      </c:pt>
                      <c:pt idx="6">
                        <c:v>7652.4636531248689</c:v>
                      </c:pt>
                      <c:pt idx="7">
                        <c:v>8454.8651248225942</c:v>
                      </c:pt>
                      <c:pt idx="8">
                        <c:v>9162.2852577054873</c:v>
                      </c:pt>
                      <c:pt idx="9">
                        <c:v>9785.9431144567207</c:v>
                      </c:pt>
                      <c:pt idx="10">
                        <c:v>10335.737933591008</c:v>
                      </c:pt>
                      <c:pt idx="11">
                        <c:v>10820.403199190274</c:v>
                      </c:pt>
                      <c:pt idx="12">
                        <c:v>11247.64299300313</c:v>
                      </c:pt>
                      <c:pt idx="13">
                        <c:v>11624.252606132999</c:v>
                      </c:pt>
                      <c:pt idx="14">
                        <c:v>11956.225180637091</c:v>
                      </c:pt>
                      <c:pt idx="15">
                        <c:v>12248.845962864347</c:v>
                      </c:pt>
                      <c:pt idx="16">
                        <c:v>12506.775579451583</c:v>
                      </c:pt>
                      <c:pt idx="17">
                        <c:v>12734.123592615128</c:v>
                      </c:pt>
                      <c:pt idx="18">
                        <c:v>12934.513452414423</c:v>
                      </c:pt>
                      <c:pt idx="19">
                        <c:v>13111.139839037322</c:v>
                      </c:pt>
                      <c:pt idx="20">
                        <c:v>13266.819276439957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1-3897-4C44-8735-1C17283D2F5E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v>HCC Radio</c:v>
                </c:tx>
                <c:spPr>
                  <a:ln w="19050" cap="rnd">
                    <a:solidFill>
                      <a:srgbClr val="FFC000"/>
                    </a:solidFill>
                    <a:prstDash val="dash"/>
                    <a:round/>
                  </a:ln>
                  <a:effectLst/>
                </c:spPr>
                <c:marker>
                  <c:symbol val="none"/>
                </c:marker>
                <c:dLbls>
                  <c:dLbl>
                    <c:idx val="20"/>
                    <c:layout>
                      <c:manualLayout>
                        <c:x val="-4.3499650483388108E-2"/>
                        <c:y val="-4.9353718677541986E-2"/>
                      </c:manualLayout>
                    </c:layout>
                    <c:tx>
                      <c:rich>
                        <a:bodyPr/>
                        <a:lstStyle/>
                        <a:p>
                          <a:fld id="{CF4A86DC-D7B7-4F1B-B689-942091BC637A}" type="SERIESNAME">
                            <a:rPr lang="en-US"/>
                            <a:pPr/>
                            <a:t>[SERIES NAME]</a:t>
                          </a:fld>
                          <a:endParaRPr lang="en-US"/>
                        </a:p>
                      </c:rich>
                    </c:tx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 xmlns:c15="http://schemas.microsoft.com/office/drawing/2012/chart">
                      <c:ext xmlns:c15="http://schemas.microsoft.com/office/drawing/2012/chart" uri="{CE6537A1-D6FC-4f65-9D91-7224C49458BB}">
                        <c15:dlblFieldTable/>
                        <c15:showDataLabelsRange val="0"/>
                      </c:ext>
                      <c:ext xmlns:c16="http://schemas.microsoft.com/office/drawing/2014/chart" uri="{C3380CC4-5D6E-409C-BE32-E72D297353CC}">
                        <c16:uniqueId val="{00000009-3897-4C44-8735-1C17283D2F5E}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anchor="ctr" anchorCtr="1"/>
                    <a:lstStyle/>
                    <a:p>
                      <a:pPr>
                        <a:defRPr sz="11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showLegendKey val="0"/>
                  <c:showVal val="0"/>
                  <c:showCatName val="0"/>
                  <c:showSerName val="0"/>
                  <c:showPercent val="0"/>
                  <c:showBubbleSize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GAUDIO!$A$21:$A$41</c15:sqref>
                        </c15:formulaRef>
                      </c:ext>
                    </c:extLst>
                    <c:numCache>
                      <c:formatCode>"$"#,##0</c:formatCode>
                      <c:ptCount val="21"/>
                      <c:pt idx="0">
                        <c:v>0</c:v>
                      </c:pt>
                      <c:pt idx="1">
                        <c:v>200000</c:v>
                      </c:pt>
                      <c:pt idx="2">
                        <c:v>400000</c:v>
                      </c:pt>
                      <c:pt idx="3">
                        <c:v>600000</c:v>
                      </c:pt>
                      <c:pt idx="4">
                        <c:v>800000</c:v>
                      </c:pt>
                      <c:pt idx="5">
                        <c:v>1000000</c:v>
                      </c:pt>
                      <c:pt idx="6">
                        <c:v>1200000</c:v>
                      </c:pt>
                      <c:pt idx="7">
                        <c:v>1400000</c:v>
                      </c:pt>
                      <c:pt idx="8">
                        <c:v>1600000</c:v>
                      </c:pt>
                      <c:pt idx="9">
                        <c:v>1800000</c:v>
                      </c:pt>
                      <c:pt idx="10">
                        <c:v>2000000</c:v>
                      </c:pt>
                      <c:pt idx="11">
                        <c:v>2200000</c:v>
                      </c:pt>
                      <c:pt idx="12">
                        <c:v>2400000</c:v>
                      </c:pt>
                      <c:pt idx="13">
                        <c:v>2600000</c:v>
                      </c:pt>
                      <c:pt idx="14">
                        <c:v>2800000</c:v>
                      </c:pt>
                      <c:pt idx="15">
                        <c:v>3000000</c:v>
                      </c:pt>
                      <c:pt idx="16">
                        <c:v>3200000</c:v>
                      </c:pt>
                      <c:pt idx="17">
                        <c:v>3400000</c:v>
                      </c:pt>
                      <c:pt idx="18">
                        <c:v>3600000</c:v>
                      </c:pt>
                      <c:pt idx="19">
                        <c:v>3800000</c:v>
                      </c:pt>
                      <c:pt idx="20">
                        <c:v>4000000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GAUDIO!$B$21:$B$41</c15:sqref>
                        </c15:formulaRef>
                      </c:ext>
                    </c:extLst>
                    <c:numCache>
                      <c:formatCode>#,##0</c:formatCode>
                      <c:ptCount val="21"/>
                      <c:pt idx="0">
                        <c:v>0</c:v>
                      </c:pt>
                      <c:pt idx="1">
                        <c:v>14412.136371822071</c:v>
                      </c:pt>
                      <c:pt idx="2">
                        <c:v>19016.927953756978</c:v>
                      </c:pt>
                      <c:pt idx="3">
                        <c:v>22365.410039276649</c:v>
                      </c:pt>
                      <c:pt idx="4">
                        <c:v>25092.986873580521</c:v>
                      </c:pt>
                      <c:pt idx="5">
                        <c:v>27435.720169529453</c:v>
                      </c:pt>
                      <c:pt idx="6">
                        <c:v>29511.335474505049</c:v>
                      </c:pt>
                      <c:pt idx="7">
                        <c:v>31388.284394713228</c:v>
                      </c:pt>
                      <c:pt idx="8">
                        <c:v>33110.394684609899</c:v>
                      </c:pt>
                      <c:pt idx="9">
                        <c:v>34707.662578253614</c:v>
                      </c:pt>
                      <c:pt idx="10">
                        <c:v>36201.649801445565</c:v>
                      </c:pt>
                      <c:pt idx="11">
                        <c:v>37608.450193722703</c:v>
                      </c:pt>
                      <c:pt idx="12">
                        <c:v>38940.440616082153</c:v>
                      </c:pt>
                      <c:pt idx="13">
                        <c:v>40207.373459884198</c:v>
                      </c:pt>
                      <c:pt idx="14">
                        <c:v>41417.089564413494</c:v>
                      </c:pt>
                      <c:pt idx="15">
                        <c:v>42576.000912264644</c:v>
                      </c:pt>
                      <c:pt idx="16">
                        <c:v>43689.427715155543</c:v>
                      </c:pt>
                      <c:pt idx="17">
                        <c:v>44761.840094563893</c:v>
                      </c:pt>
                      <c:pt idx="18">
                        <c:v>45797.035336442001</c:v>
                      </c:pt>
                      <c:pt idx="19">
                        <c:v>46798.270489480747</c:v>
                      </c:pt>
                      <c:pt idx="20">
                        <c:v>47768.363296037402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3897-4C44-8735-1C17283D2F5E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v>HCC Social</c:v>
                </c:tx>
                <c:spPr>
                  <a:ln w="19050" cap="rnd">
                    <a:solidFill>
                      <a:srgbClr val="00B0F0"/>
                    </a:solidFill>
                    <a:prstDash val="dash"/>
                    <a:round/>
                  </a:ln>
                  <a:effectLst/>
                </c:spPr>
                <c:marker>
                  <c:symbol val="none"/>
                </c:marker>
                <c:dLbls>
                  <c:dLbl>
                    <c:idx val="20"/>
                    <c:layout>
                      <c:manualLayout>
                        <c:x val="3.356002453210933E-2"/>
                        <c:y val="1.354613184562692E-2"/>
                      </c:manualLayout>
                    </c:layout>
                    <c:tx>
                      <c:rich>
                        <a:bodyPr/>
                        <a:lstStyle/>
                        <a:p>
                          <a:fld id="{26C0CC0C-A75D-4BD0-8D73-B22B731B5F9B}" type="SERIESNAME">
                            <a:rPr lang="en-US"/>
                            <a:pPr/>
                            <a:t>[SERIES NAME]</a:t>
                          </a:fld>
                          <a:endParaRPr lang="en-US"/>
                        </a:p>
                      </c:rich>
                    </c:tx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 xmlns:c15="http://schemas.microsoft.com/office/drawing/2012/chart">
                      <c:ext xmlns:c15="http://schemas.microsoft.com/office/drawing/2012/chart" uri="{CE6537A1-D6FC-4f65-9D91-7224C49458BB}">
                        <c15:dlblFieldTable/>
                        <c15:showDataLabelsRange val="0"/>
                      </c:ext>
                      <c:ext xmlns:c16="http://schemas.microsoft.com/office/drawing/2014/chart" uri="{C3380CC4-5D6E-409C-BE32-E72D297353CC}">
                        <c16:uniqueId val="{0000000B-3897-4C44-8735-1C17283D2F5E}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anchor="ctr" anchorCtr="1"/>
                    <a:lstStyle/>
                    <a:p>
                      <a:pPr>
                        <a:defRPr sz="11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showLegendKey val="0"/>
                  <c:showVal val="0"/>
                  <c:showCatName val="0"/>
                  <c:showSerName val="0"/>
                  <c:showPercent val="0"/>
                  <c:showBubbleSize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GSOCIAL!$A$21:$A$41</c15:sqref>
                        </c15:formulaRef>
                      </c:ext>
                    </c:extLst>
                    <c:numCache>
                      <c:formatCode>"$"#,##0</c:formatCode>
                      <c:ptCount val="21"/>
                      <c:pt idx="0">
                        <c:v>0</c:v>
                      </c:pt>
                      <c:pt idx="1">
                        <c:v>200000</c:v>
                      </c:pt>
                      <c:pt idx="2">
                        <c:v>400000</c:v>
                      </c:pt>
                      <c:pt idx="3">
                        <c:v>600000</c:v>
                      </c:pt>
                      <c:pt idx="4">
                        <c:v>800000</c:v>
                      </c:pt>
                      <c:pt idx="5">
                        <c:v>1000000</c:v>
                      </c:pt>
                      <c:pt idx="6">
                        <c:v>1200000</c:v>
                      </c:pt>
                      <c:pt idx="7">
                        <c:v>1400000</c:v>
                      </c:pt>
                      <c:pt idx="8">
                        <c:v>1600000</c:v>
                      </c:pt>
                      <c:pt idx="9">
                        <c:v>1800000</c:v>
                      </c:pt>
                      <c:pt idx="10">
                        <c:v>2000000</c:v>
                      </c:pt>
                      <c:pt idx="11">
                        <c:v>2200000</c:v>
                      </c:pt>
                      <c:pt idx="12">
                        <c:v>2400000</c:v>
                      </c:pt>
                      <c:pt idx="13">
                        <c:v>2600000</c:v>
                      </c:pt>
                      <c:pt idx="14">
                        <c:v>2800000</c:v>
                      </c:pt>
                      <c:pt idx="15">
                        <c:v>3000000</c:v>
                      </c:pt>
                      <c:pt idx="16">
                        <c:v>3200000</c:v>
                      </c:pt>
                      <c:pt idx="17">
                        <c:v>3400000</c:v>
                      </c:pt>
                      <c:pt idx="18">
                        <c:v>3600000</c:v>
                      </c:pt>
                      <c:pt idx="19">
                        <c:v>3800000</c:v>
                      </c:pt>
                      <c:pt idx="20">
                        <c:v>4000000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GSOCIAL!$B$21:$B$41</c15:sqref>
                        </c15:formulaRef>
                      </c:ext>
                    </c:extLst>
                    <c:numCache>
                      <c:formatCode>#,##0</c:formatCode>
                      <c:ptCount val="21"/>
                      <c:pt idx="0">
                        <c:v>0</c:v>
                      </c:pt>
                      <c:pt idx="1">
                        <c:v>6480.3046743965815</c:v>
                      </c:pt>
                      <c:pt idx="2">
                        <c:v>9822.305151017672</c:v>
                      </c:pt>
                      <c:pt idx="3">
                        <c:v>12527.608642230847</c:v>
                      </c:pt>
                      <c:pt idx="4">
                        <c:v>14887.830638717902</c:v>
                      </c:pt>
                      <c:pt idx="5">
                        <c:v>17020.700408310324</c:v>
                      </c:pt>
                      <c:pt idx="6">
                        <c:v>18988.303957788128</c:v>
                      </c:pt>
                      <c:pt idx="7">
                        <c:v>20828.320358873501</c:v>
                      </c:pt>
                      <c:pt idx="8">
                        <c:v>22565.731538505803</c:v>
                      </c:pt>
                      <c:pt idx="9">
                        <c:v>24218.148093092648</c:v>
                      </c:pt>
                      <c:pt idx="10">
                        <c:v>25798.557582486257</c:v>
                      </c:pt>
                      <c:pt idx="11">
                        <c:v>27316.876297482511</c:v>
                      </c:pt>
                      <c:pt idx="12">
                        <c:v>28780.886878754423</c:v>
                      </c:pt>
                      <c:pt idx="13">
                        <c:v>30196.835719449435</c:v>
                      </c:pt>
                      <c:pt idx="14">
                        <c:v>31569.830220530366</c:v>
                      </c:pt>
                      <c:pt idx="15">
                        <c:v>32904.112421508238</c:v>
                      </c:pt>
                      <c:pt idx="16">
                        <c:v>34203.25312833942</c:v>
                      </c:pt>
                      <c:pt idx="17">
                        <c:v>35470.293145185802</c:v>
                      </c:pt>
                      <c:pt idx="18">
                        <c:v>36707.848274902732</c:v>
                      </c:pt>
                      <c:pt idx="19">
                        <c:v>37918.188871268278</c:v>
                      </c:pt>
                      <c:pt idx="20">
                        <c:v>39103.301119846867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3897-4C44-8735-1C17283D2F5E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v>HCC Online Video</c:v>
                </c:tx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prstDash val="dash"/>
                    <a:round/>
                  </a:ln>
                  <a:effectLst/>
                </c:spPr>
                <c:marker>
                  <c:symbol val="none"/>
                </c:marker>
                <c:dLbls>
                  <c:dLbl>
                    <c:idx val="19"/>
                    <c:layout>
                      <c:manualLayout>
                        <c:x val="1.0562161199699283E-3"/>
                        <c:y val="-0.12626861104245377"/>
                      </c:manualLayout>
                    </c:layout>
                    <c:tx>
                      <c:rich>
                        <a:bodyPr rot="0" spcFirstLastPara="1" vertOverflow="ellipsis" vert="horz" wrap="square" lIns="38100" tIns="19050" rIns="38100" bIns="19050" anchor="ctr" anchorCtr="1">
                          <a:noAutofit/>
                        </a:bodyPr>
                        <a:lstStyle/>
                        <a:p>
                          <a:pPr>
                            <a:defRPr sz="1100" b="0" i="0" u="none" strike="noStrike" kern="1200" baseline="0">
                              <a:solidFill>
                                <a:schemeClr val="tx1">
                                  <a:lumMod val="75000"/>
                                  <a:lumOff val="25000"/>
                                </a:schemeClr>
                              </a:solidFill>
                              <a:latin typeface="+mn-lt"/>
                              <a:ea typeface="+mn-ea"/>
                              <a:cs typeface="+mn-cs"/>
                            </a:defRPr>
                          </a:pPr>
                          <a:fld id="{114BDEBA-9B06-45A1-AB3C-42050E7978A3}" type="SERIESNAME">
                            <a:rPr lang="en-US"/>
                            <a:pPr>
                              <a:defRPr/>
                            </a:pPr>
                            <a:t>[SERIES NAME]</a:t>
                          </a:fld>
                          <a:endParaRPr lang="en-US"/>
                        </a:p>
                      </c:rich>
                    </c:tx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noAutofit/>
                      </a:bodyPr>
                      <a:lstStyle/>
                      <a:p>
                        <a:pPr>
                          <a:defRPr sz="1100" b="0" i="0" u="none" strike="noStrike" kern="1200" baseline="0">
                            <a:solidFill>
                              <a:schemeClr val="tx1">
                                <a:lumMod val="75000"/>
                                <a:lumOff val="25000"/>
                              </a:schemeClr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 xmlns:c15="http://schemas.microsoft.com/office/drawing/2012/chart">
                      <c:ext xmlns:c15="http://schemas.microsoft.com/office/drawing/2012/chart" uri="{CE6537A1-D6FC-4f65-9D91-7224C49458BB}">
                        <c15:layout>
                          <c:manualLayout>
                            <c:w val="0.22350284889011984"/>
                            <c:h val="4.9118086696562036E-2"/>
                          </c:manualLayout>
                        </c15:layout>
                        <c15:dlblFieldTable/>
                        <c15:showDataLabelsRange val="0"/>
                      </c:ext>
                      <c:ext xmlns:c16="http://schemas.microsoft.com/office/drawing/2014/chart" uri="{C3380CC4-5D6E-409C-BE32-E72D297353CC}">
                        <c16:uniqueId val="{0000000D-3897-4C44-8735-1C17283D2F5E}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1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showLegendKey val="0"/>
                  <c:showVal val="0"/>
                  <c:showCatName val="0"/>
                  <c:showSerName val="0"/>
                  <c:showPercent val="0"/>
                  <c:showBubbleSize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GOLV!$A$22:$A$42</c15:sqref>
                        </c15:formulaRef>
                      </c:ext>
                    </c:extLst>
                    <c:numCache>
                      <c:formatCode>"$"#,##0</c:formatCode>
                      <c:ptCount val="21"/>
                      <c:pt idx="0">
                        <c:v>0</c:v>
                      </c:pt>
                      <c:pt idx="1">
                        <c:v>200000</c:v>
                      </c:pt>
                      <c:pt idx="2">
                        <c:v>400000</c:v>
                      </c:pt>
                      <c:pt idx="3">
                        <c:v>600000</c:v>
                      </c:pt>
                      <c:pt idx="4">
                        <c:v>800000</c:v>
                      </c:pt>
                      <c:pt idx="5">
                        <c:v>1000000</c:v>
                      </c:pt>
                      <c:pt idx="6">
                        <c:v>1200000</c:v>
                      </c:pt>
                      <c:pt idx="7">
                        <c:v>1400000</c:v>
                      </c:pt>
                      <c:pt idx="8">
                        <c:v>1600000</c:v>
                      </c:pt>
                      <c:pt idx="9">
                        <c:v>1800000</c:v>
                      </c:pt>
                      <c:pt idx="10">
                        <c:v>2000000</c:v>
                      </c:pt>
                      <c:pt idx="11">
                        <c:v>2200000</c:v>
                      </c:pt>
                      <c:pt idx="12">
                        <c:v>2400000</c:v>
                      </c:pt>
                      <c:pt idx="13">
                        <c:v>2600000</c:v>
                      </c:pt>
                      <c:pt idx="14">
                        <c:v>2800000</c:v>
                      </c:pt>
                      <c:pt idx="15">
                        <c:v>3000000</c:v>
                      </c:pt>
                      <c:pt idx="16">
                        <c:v>3200000</c:v>
                      </c:pt>
                      <c:pt idx="17">
                        <c:v>3400000</c:v>
                      </c:pt>
                      <c:pt idx="18">
                        <c:v>3600000</c:v>
                      </c:pt>
                      <c:pt idx="19">
                        <c:v>3800000</c:v>
                      </c:pt>
                      <c:pt idx="20">
                        <c:v>4000000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GOLV!$C$22:$C$42</c15:sqref>
                        </c15:formulaRef>
                      </c:ext>
                    </c:extLst>
                    <c:numCache>
                      <c:formatCode>#,##0</c:formatCode>
                      <c:ptCount val="21"/>
                      <c:pt idx="0">
                        <c:v>0</c:v>
                      </c:pt>
                      <c:pt idx="1">
                        <c:v>5065.481471193023</c:v>
                      </c:pt>
                      <c:pt idx="2">
                        <c:v>9542.5948201725259</c:v>
                      </c:pt>
                      <c:pt idx="3">
                        <c:v>13498.725633110851</c:v>
                      </c:pt>
                      <c:pt idx="4">
                        <c:v>16993.753048531711</c:v>
                      </c:pt>
                      <c:pt idx="5">
                        <c:v>20080.838937839493</c:v>
                      </c:pt>
                      <c:pt idx="6">
                        <c:v>22807.144754493609</c:v>
                      </c:pt>
                      <c:pt idx="7">
                        <c:v>25214.480166974477</c:v>
                      </c:pt>
                      <c:pt idx="8">
                        <c:v>27339.888026596978</c:v>
                      </c:pt>
                      <c:pt idx="9">
                        <c:v>29216.170419393107</c:v>
                      </c:pt>
                      <c:pt idx="10">
                        <c:v>30872.360575452447</c:v>
                      </c:pt>
                      <c:pt idx="11">
                        <c:v>32334.145309553482</c:v>
                      </c:pt>
                      <c:pt idx="12">
                        <c:v>33624.242482229136</c:v>
                      </c:pt>
                      <c:pt idx="13">
                        <c:v>34762.737730371766</c:v>
                      </c:pt>
                      <c:pt idx="14">
                        <c:v>35767.38444339484</c:v>
                      </c:pt>
                      <c:pt idx="15">
                        <c:v>36653.870671447366</c:v>
                      </c:pt>
                      <c:pt idx="16">
                        <c:v>37436.056358373724</c:v>
                      </c:pt>
                      <c:pt idx="17">
                        <c:v>38126.18400260713</c:v>
                      </c:pt>
                      <c:pt idx="18">
                        <c:v>38735.06556990277</c:v>
                      </c:pt>
                      <c:pt idx="19">
                        <c:v>39272.248216656968</c:v>
                      </c:pt>
                      <c:pt idx="20">
                        <c:v>39746.161133962683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3897-4C44-8735-1C17283D2F5E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v>HCC Display</c:v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prstDash val="dash"/>
                    <a:round/>
                  </a:ln>
                  <a:effectLst/>
                </c:spPr>
                <c:marker>
                  <c:symbol val="none"/>
                </c:marker>
                <c:dLbls>
                  <c:dLbl>
                    <c:idx val="15"/>
                    <c:layout>
                      <c:manualLayout>
                        <c:x val="-8.3245754976059821E-2"/>
                        <c:y val="-0.11494027737895526"/>
                      </c:manualLayout>
                    </c:layout>
                    <c:tx>
                      <c:rich>
                        <a:bodyPr/>
                        <a:lstStyle/>
                        <a:p>
                          <a:fld id="{7CC4D443-51A2-4020-9932-C4F44931BB75}" type="SERIESNAME">
                            <a:rPr lang="en-US"/>
                            <a:pPr/>
                            <a:t>[SERIES NAME]</a:t>
                          </a:fld>
                          <a:endParaRPr lang="en-US"/>
                        </a:p>
                      </c:rich>
                    </c:tx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 xmlns:c15="http://schemas.microsoft.com/office/drawing/2012/chart">
                      <c:ext xmlns:c15="http://schemas.microsoft.com/office/drawing/2012/chart" uri="{CE6537A1-D6FC-4f65-9D91-7224C49458BB}">
                        <c15:dlblFieldTable/>
                        <c15:showDataLabelsRange val="0"/>
                      </c:ext>
                      <c:ext xmlns:c16="http://schemas.microsoft.com/office/drawing/2014/chart" uri="{C3380CC4-5D6E-409C-BE32-E72D297353CC}">
                        <c16:uniqueId val="{0000000F-3897-4C44-8735-1C17283D2F5E}"/>
                      </c:ext>
                    </c:extLst>
                  </c:dLbl>
                  <c:dLbl>
                    <c:idx val="22"/>
                    <c:layout>
                      <c:manualLayout>
                        <c:x val="1.4886758487880437E-2"/>
                        <c:y val="-9.888565470219577E-3"/>
                      </c:manualLayout>
                    </c:layout>
                    <c:tx>
                      <c:rich>
                        <a:bodyPr/>
                        <a:lstStyle/>
                        <a:p>
                          <a:fld id="{699C7380-DAE2-4DF1-A917-6B52F8ECC1E7}" type="SERIESNAME">
                            <a:rPr lang="en-US"/>
                            <a:pPr/>
                            <a:t>[SERIES NAME]</a:t>
                          </a:fld>
                          <a:endParaRPr lang="en-US"/>
                        </a:p>
                      </c:rich>
                    </c:tx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 xmlns:c15="http://schemas.microsoft.com/office/drawing/2012/chart">
                      <c:ext xmlns:c15="http://schemas.microsoft.com/office/drawing/2012/chart" uri="{CE6537A1-D6FC-4f65-9D91-7224C49458BB}">
                        <c15:dlblFieldTable/>
                        <c15:showDataLabelsRange val="0"/>
                      </c:ext>
                      <c:ext xmlns:c16="http://schemas.microsoft.com/office/drawing/2014/chart" uri="{C3380CC4-5D6E-409C-BE32-E72D297353CC}">
                        <c16:uniqueId val="{00000010-3897-4C44-8735-1C17283D2F5E}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anchor="ctr" anchorCtr="1"/>
                    <a:lstStyle/>
                    <a:p>
                      <a:pPr>
                        <a:defRPr sz="11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showLegendKey val="0"/>
                  <c:showVal val="0"/>
                  <c:showCatName val="0"/>
                  <c:showSerName val="0"/>
                  <c:showPercent val="0"/>
                  <c:showBubbleSize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GDISP!$A$21:$A$41</c15:sqref>
                        </c15:formulaRef>
                      </c:ext>
                    </c:extLst>
                    <c:numCache>
                      <c:formatCode>"$"#,##0</c:formatCode>
                      <c:ptCount val="21"/>
                      <c:pt idx="0">
                        <c:v>0</c:v>
                      </c:pt>
                      <c:pt idx="1">
                        <c:v>200000</c:v>
                      </c:pt>
                      <c:pt idx="2">
                        <c:v>400000</c:v>
                      </c:pt>
                      <c:pt idx="3">
                        <c:v>600000</c:v>
                      </c:pt>
                      <c:pt idx="4">
                        <c:v>800000</c:v>
                      </c:pt>
                      <c:pt idx="5">
                        <c:v>1000000</c:v>
                      </c:pt>
                      <c:pt idx="6">
                        <c:v>1200000</c:v>
                      </c:pt>
                      <c:pt idx="7">
                        <c:v>1400000</c:v>
                      </c:pt>
                      <c:pt idx="8">
                        <c:v>1600000</c:v>
                      </c:pt>
                      <c:pt idx="9">
                        <c:v>1800000</c:v>
                      </c:pt>
                      <c:pt idx="10">
                        <c:v>2000000</c:v>
                      </c:pt>
                      <c:pt idx="11">
                        <c:v>2200000</c:v>
                      </c:pt>
                      <c:pt idx="12">
                        <c:v>2400000</c:v>
                      </c:pt>
                      <c:pt idx="13">
                        <c:v>2600000</c:v>
                      </c:pt>
                      <c:pt idx="14">
                        <c:v>2800000</c:v>
                      </c:pt>
                      <c:pt idx="15">
                        <c:v>3000000</c:v>
                      </c:pt>
                      <c:pt idx="16">
                        <c:v>3200000</c:v>
                      </c:pt>
                      <c:pt idx="17">
                        <c:v>3400000</c:v>
                      </c:pt>
                      <c:pt idx="18">
                        <c:v>3600000</c:v>
                      </c:pt>
                      <c:pt idx="19">
                        <c:v>3800000</c:v>
                      </c:pt>
                      <c:pt idx="20">
                        <c:v>4000000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GDISP!$B$21:$B$41</c15:sqref>
                        </c15:formulaRef>
                      </c:ext>
                    </c:extLst>
                    <c:numCache>
                      <c:formatCode>#,##0</c:formatCode>
                      <c:ptCount val="21"/>
                      <c:pt idx="0">
                        <c:v>0</c:v>
                      </c:pt>
                      <c:pt idx="1">
                        <c:v>15418.266428927403</c:v>
                      </c:pt>
                      <c:pt idx="2">
                        <c:v>23369.721853196384</c:v>
                      </c:pt>
                      <c:pt idx="3">
                        <c:v>29806.31582437663</c:v>
                      </c:pt>
                      <c:pt idx="4">
                        <c:v>35421.874567629835</c:v>
                      </c:pt>
                      <c:pt idx="5">
                        <c:v>40496.50547128301</c:v>
                      </c:pt>
                      <c:pt idx="6">
                        <c:v>45177.926681648685</c:v>
                      </c:pt>
                      <c:pt idx="7">
                        <c:v>49555.786139031705</c:v>
                      </c:pt>
                      <c:pt idx="8">
                        <c:v>53689.522099009882</c:v>
                      </c:pt>
                      <c:pt idx="9">
                        <c:v>57621.034577250372</c:v>
                      </c:pt>
                      <c:pt idx="10">
                        <c:v>61381.22422860263</c:v>
                      </c:pt>
                      <c:pt idx="11">
                        <c:v>64993.684390287664</c:v>
                      </c:pt>
                      <c:pt idx="12">
                        <c:v>68476.931911967054</c:v>
                      </c:pt>
                      <c:pt idx="13">
                        <c:v>71845.828526013895</c:v>
                      </c:pt>
                      <c:pt idx="14">
                        <c:v>75112.526017376702</c:v>
                      </c:pt>
                      <c:pt idx="15">
                        <c:v>78287.117259565202</c:v>
                      </c:pt>
                      <c:pt idx="16">
                        <c:v>81378.098093495413</c:v>
                      </c:pt>
                      <c:pt idx="17">
                        <c:v>84392.703353188583</c:v>
                      </c:pt>
                      <c:pt idx="18">
                        <c:v>87337.156688206844</c:v>
                      </c:pt>
                      <c:pt idx="19">
                        <c:v>90216.859838313525</c:v>
                      </c:pt>
                      <c:pt idx="20">
                        <c:v>93036.538435982438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3897-4C44-8735-1C17283D2F5E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v>HCC Print</c:v>
                </c:tx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yVal>
                  <c:numLit>
                    <c:formatCode>General</c:formatCode>
                    <c:ptCount val="1"/>
                    <c:pt idx="0">
                      <c:v>1</c:v>
                    </c:pt>
                  </c:numLit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3897-4C44-8735-1C17283D2F5E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v>HCC InOffice C:</c:v>
                </c:tx>
                <c:spPr>
                  <a:ln w="19050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diamond"/>
                  <c:size val="7"/>
                  <c:spPr>
                    <a:solidFill>
                      <a:srgbClr val="FF0000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VAC_Optim_Scenario!$D$36</c15:sqref>
                        </c15:formulaRef>
                      </c:ext>
                    </c:extLst>
                    <c:numCache>
                      <c:formatCode>_("$"* #,##0_);_("$"* \(#,##0\);_("$"* "-"??_);_(@_)</c:formatCode>
                      <c:ptCount val="1"/>
                      <c:pt idx="0">
                        <c:v>1134710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VAC_Optim_Scenario!$F$36</c15:sqref>
                        </c15:formulaRef>
                      </c:ext>
                    </c:extLst>
                    <c:numCache>
                      <c:formatCode>#,##0</c:formatCode>
                      <c:ptCount val="1"/>
                      <c:pt idx="0">
                        <c:v>7367.8666140222922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3897-4C44-8735-1C17283D2F5E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v>HCC InOffice O:</c:v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7"/>
                  <c:spPr>
                    <a:solidFill>
                      <a:srgbClr val="00B050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VAC_Optim_Scenario!$H$36</c15:sqref>
                        </c15:formulaRef>
                      </c:ext>
                    </c:extLst>
                    <c:numCache>
                      <c:formatCode>_("$"* #,##0_);_("$"* \(#,##0\);_("$"* "-"??_);_(@_)</c:formatCode>
                      <c:ptCount val="1"/>
                      <c:pt idx="0">
                        <c:v>794297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VAC_Optim_Scenario!$I$36</c15:sqref>
                        </c15:formulaRef>
                      </c:ext>
                    </c:extLst>
                    <c:numCache>
                      <c:formatCode>#,##0</c:formatCode>
                      <c:ptCount val="1"/>
                      <c:pt idx="0">
                        <c:v>5678.7947721770033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3897-4C44-8735-1C17283D2F5E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v>HCC Radio C:</c:v>
                </c:tx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diamond"/>
                  <c:size val="7"/>
                  <c:spPr>
                    <a:solidFill>
                      <a:srgbClr val="FF0000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VAC_Optim_Scenario!$D$43</c15:sqref>
                        </c15:formulaRef>
                      </c:ext>
                    </c:extLst>
                    <c:numCache>
                      <c:formatCode>_("$"* #,##0_);_("$"* \(#,##0\);_("$"* "-"??_);_(@_)</c:formatCode>
                      <c:ptCount val="1"/>
                      <c:pt idx="0">
                        <c:v>923975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VAC_Optim_Scenario!$F$43</c15:sqref>
                        </c15:formulaRef>
                      </c:ext>
                    </c:extLst>
                    <c:numCache>
                      <c:formatCode>#,##0</c:formatCode>
                      <c:ptCount val="1"/>
                      <c:pt idx="0">
                        <c:v>26581.559263521289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3897-4C44-8735-1C17283D2F5E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v>HCC Radio O:</c:v>
                </c:tx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7"/>
                  <c:spPr>
                    <a:solidFill>
                      <a:srgbClr val="00B050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VAC_Optim_Scenario!$H$43</c15:sqref>
                        </c15:formulaRef>
                      </c:ext>
                    </c:extLst>
                    <c:numCache>
                      <c:formatCode>_("$"* #,##0_);_("$"* \(#,##0\);_("$"* "-"??_);_(@_)</c:formatCode>
                      <c:ptCount val="1"/>
                      <c:pt idx="0">
                        <c:v>1201167.5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VAC_Optim_Scenario!$I$43</c15:sqref>
                        </c15:formulaRef>
                      </c:ext>
                    </c:extLst>
                    <c:numCache>
                      <c:formatCode>#,##0</c:formatCode>
                      <c:ptCount val="1"/>
                      <c:pt idx="0">
                        <c:v>29522.816952164638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3897-4C44-8735-1C17283D2F5E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v>HCC Online Video C:</c:v>
                </c:tx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diamond"/>
                  <c:size val="7"/>
                  <c:spPr>
                    <a:solidFill>
                      <a:srgbClr val="FF0000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VAC_Optim_Scenario!$D$39</c15:sqref>
                        </c15:formulaRef>
                      </c:ext>
                    </c:extLst>
                    <c:numCache>
                      <c:formatCode>_("$"* #,##0_);_("$"* \(#,##0\);_("$"* "-"??_);_(@_)</c:formatCode>
                      <c:ptCount val="1"/>
                      <c:pt idx="0">
                        <c:v>1111779.04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VAC_Optim_Scenario!$F$39</c15:sqref>
                        </c15:formulaRef>
                      </c:ext>
                    </c:extLst>
                    <c:numCache>
                      <c:formatCode>#,##0</c:formatCode>
                      <c:ptCount val="1"/>
                      <c:pt idx="0">
                        <c:v>21646.235649615526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3897-4C44-8735-1C17283D2F5E}"/>
                  </c:ext>
                </c:extLst>
              </c15:ser>
            </c15:filteredScatterSeries>
            <c15:filteredScatterSeries>
              <c15:ser>
                <c:idx val="20"/>
                <c:order val="20"/>
                <c:tx>
                  <c:v>HCC Online Video O:</c:v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7"/>
                  <c:spPr>
                    <a:solidFill>
                      <a:srgbClr val="00B050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VAC_Optim_Scenario!$H$39</c15:sqref>
                        </c15:formulaRef>
                      </c:ext>
                    </c:extLst>
                    <c:numCache>
                      <c:formatCode>_("$"* #,##0_);_("$"* \(#,##0\);_("$"* "-"??_);_(@_)</c:formatCode>
                      <c:ptCount val="1"/>
                      <c:pt idx="0">
                        <c:v>1445312.7520000001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VAC_Optim_Scenario!$I$39</c15:sqref>
                        </c15:formulaRef>
                      </c:ext>
                    </c:extLst>
                    <c:numCache>
                      <c:formatCode>#,##0</c:formatCode>
                      <c:ptCount val="1"/>
                      <c:pt idx="0">
                        <c:v>25719.483123207465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3897-4C44-8735-1C17283D2F5E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v>HCC Display C:</c:v>
                </c:tx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diamond"/>
                  <c:size val="7"/>
                  <c:spPr>
                    <a:solidFill>
                      <a:srgbClr val="FF0000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VAC_Optim_Scenario!$D$41</c15:sqref>
                        </c15:formulaRef>
                      </c:ext>
                    </c:extLst>
                    <c:numCache>
                      <c:formatCode>_("$"* #,##0_);_("$"* \(#,##0\);_("$"* "-"??_);_(@_)</c:formatCode>
                      <c:ptCount val="1"/>
                      <c:pt idx="0">
                        <c:v>2859426.82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VAC_Optim_Scenario!$F$41</c15:sqref>
                        </c15:formulaRef>
                      </c:ext>
                    </c:extLst>
                    <c:numCache>
                      <c:formatCode>#,##0</c:formatCode>
                      <c:ptCount val="1"/>
                      <c:pt idx="0">
                        <c:v>76065.012406995462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3897-4C44-8735-1C17283D2F5E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v>HCC Display O:</c:v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7"/>
                  <c:spPr>
                    <a:solidFill>
                      <a:srgbClr val="00B050"/>
                    </a:solidFill>
                    <a:ln w="9525">
                      <a:noFill/>
                    </a:ln>
                    <a:effectLst/>
                  </c:spPr>
                </c:marker>
                <c:dLbls>
                  <c:dLbl>
                    <c:idx val="0"/>
                    <c:delete val="1"/>
                    <c:extLst xmlns:c15="http://schemas.microsoft.com/office/drawing/2012/chart">
                      <c:ext xmlns:c15="http://schemas.microsoft.com/office/drawing/2012/chart" uri="{CE6537A1-D6FC-4f65-9D91-7224C49458BB}"/>
                      <c:ext xmlns:c16="http://schemas.microsoft.com/office/drawing/2014/chart" uri="{C3380CC4-5D6E-409C-BE32-E72D297353CC}">
                        <c16:uniqueId val="{00000021-3897-4C44-8735-1C17283D2F5E}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1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VAC_Optim_Scenario!$H$41</c15:sqref>
                        </c15:formulaRef>
                      </c:ext>
                    </c:extLst>
                    <c:numCache>
                      <c:formatCode>_("$"* #,##0_);_("$"* \(#,##0\);_("$"* "-"??_);_(@_)</c:formatCode>
                      <c:ptCount val="1"/>
                      <c:pt idx="0">
                        <c:v>3717254.8659999999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VAC_Optim_Scenario!$I$41</c15:sqref>
                        </c15:formulaRef>
                      </c:ext>
                    </c:extLst>
                    <c:numCache>
                      <c:formatCode>#,##0</c:formatCode>
                      <c:ptCount val="1"/>
                      <c:pt idx="0">
                        <c:v>89032.988619922922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3897-4C44-8735-1C17283D2F5E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v>HCC Streaming Video</c:v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prstDash val="dash"/>
                    <a:round/>
                  </a:ln>
                  <a:effectLst/>
                </c:spPr>
                <c:marker>
                  <c:symbol val="none"/>
                </c:marker>
                <c:dLbls>
                  <c:dLbl>
                    <c:idx val="15"/>
                    <c:layout>
                      <c:manualLayout>
                        <c:x val="-3.4802148416091201E-2"/>
                        <c:y val="4.5410824939482133E-2"/>
                      </c:manualLayout>
                    </c:layout>
                    <c:showLegendKey val="0"/>
                    <c:showVal val="0"/>
                    <c:showCatName val="0"/>
                    <c:showSerName val="1"/>
                    <c:showPercent val="0"/>
                    <c:showBubbleSize val="0"/>
                    <c:extLst xmlns:c15="http://schemas.microsoft.com/office/drawing/2012/chart">
                      <c:ext xmlns:c15="http://schemas.microsoft.com/office/drawing/2012/chart" uri="{CE6537A1-D6FC-4f65-9D91-7224C49458BB}"/>
                      <c:ext xmlns:c16="http://schemas.microsoft.com/office/drawing/2014/chart" uri="{C3380CC4-5D6E-409C-BE32-E72D297353CC}">
                        <c16:uniqueId val="{00000023-3897-4C44-8735-1C17283D2F5E}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anchor="ctr" anchorCtr="1"/>
                    <a:lstStyle/>
                    <a:p>
                      <a:pPr>
                        <a:defRPr sz="11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showLegendKey val="0"/>
                  <c:showVal val="0"/>
                  <c:showCatName val="0"/>
                  <c:showSerName val="0"/>
                  <c:showPercent val="0"/>
                  <c:showBubbleSize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#REF!</c15:sqref>
                        </c15:formulaRef>
                      </c:ext>
                    </c:extLst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#REF!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3897-4C44-8735-1C17283D2F5E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v>Social C:</c:v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diamond"/>
                  <c:size val="7"/>
                  <c:spPr>
                    <a:solidFill>
                      <a:srgbClr val="FF0000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VAC_Optim_Scenario!$E$19</c15:sqref>
                        </c15:formulaRef>
                      </c:ext>
                    </c:extLst>
                    <c:numCache>
                      <c:formatCode>"$"#,##0</c:formatCode>
                      <c:ptCount val="1"/>
                      <c:pt idx="0">
                        <c:v>1751000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VAC_Optim_Scenario!$F$19</c15:sqref>
                        </c15:formulaRef>
                      </c:ext>
                    </c:extLst>
                    <c:numCache>
                      <c:formatCode>#,##0</c:formatCode>
                      <c:ptCount val="1"/>
                      <c:pt idx="0">
                        <c:v>23820.403572058858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3897-4C44-8735-1C17283D2F5E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v>Social O:</c:v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7"/>
                  <c:spPr>
                    <a:solidFill>
                      <a:srgbClr val="00B050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VAC_Optim_Scenario!$I$19</c15:sqref>
                        </c15:formulaRef>
                      </c:ext>
                    </c:extLst>
                    <c:numCache>
                      <c:formatCode>"$"#,##0</c:formatCode>
                      <c:ptCount val="1"/>
                      <c:pt idx="0">
                        <c:v>2205903.3000226272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VAC_Optim_Scenario!$J$19</c15:sqref>
                        </c15:formulaRef>
                      </c:ext>
                    </c:extLst>
                    <c:numCache>
                      <c:formatCode>#,##0</c:formatCode>
                      <c:ptCount val="1"/>
                      <c:pt idx="0">
                        <c:v>27360.83264723729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3897-4C44-8735-1C17283D2F5E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v>Streaming C:</c:v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diamond"/>
                  <c:size val="7"/>
                  <c:spPr>
                    <a:solidFill>
                      <a:srgbClr val="FF0000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VAC_Optim_Scenario!$E$21</c15:sqref>
                        </c15:formulaRef>
                      </c:ext>
                    </c:extLst>
                    <c:numCache>
                      <c:formatCode>"$"#,##0</c:formatCode>
                      <c:ptCount val="1"/>
                      <c:pt idx="0">
                        <c:v>13418576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VAC_Optim_Scenario!$F$21</c15:sqref>
                        </c15:formulaRef>
                      </c:ext>
                    </c:extLst>
                    <c:numCache>
                      <c:formatCode>#,##0</c:formatCode>
                      <c:ptCount val="1"/>
                      <c:pt idx="0">
                        <c:v>100808.3256282994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3897-4C44-8735-1C17283D2F5E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v>Streaming O:</c:v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7"/>
                  <c:spPr>
                    <a:solidFill>
                      <a:srgbClr val="00B050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VAC_Optim_Scenario!$I$21</c15:sqref>
                        </c15:formulaRef>
                      </c:ext>
                    </c:extLst>
                    <c:numCache>
                      <c:formatCode>"$"#,##0</c:formatCode>
                      <c:ptCount val="1"/>
                      <c:pt idx="0">
                        <c:v>9393003.1999999993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VAC_Optim_Scenario!$J$21</c15:sqref>
                        </c15:formulaRef>
                      </c:ext>
                    </c:extLst>
                    <c:numCache>
                      <c:formatCode>#,##0</c:formatCode>
                      <c:ptCount val="1"/>
                      <c:pt idx="0">
                        <c:v>78535.322127134612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3897-4C44-8735-1C17283D2F5E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v>HCC Streaming TV</c:v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prstDash val="dash"/>
                    <a:round/>
                  </a:ln>
                  <a:effectLst/>
                </c:spPr>
                <c:marker>
                  <c:symbol val="none"/>
                </c:marker>
                <c:dLbls>
                  <c:dLbl>
                    <c:idx val="18"/>
                    <c:layout>
                      <c:manualLayout>
                        <c:x val="6.2814070351758797E-3"/>
                        <c:y val="3.9024516554264796E-2"/>
                      </c:manualLayout>
                    </c:layout>
                    <c:tx>
                      <c:rich>
                        <a:bodyPr/>
                        <a:lstStyle/>
                        <a:p>
                          <a:fld id="{26B47073-4184-4455-9B05-4CD7BD825ADE}" type="SERIESNAME">
                            <a:rPr lang="en-US"/>
                            <a:pPr/>
                            <a:t>[SERIES NAME]</a:t>
                          </a:fld>
                          <a:endParaRPr lang="en-US"/>
                        </a:p>
                      </c:rich>
                    </c:tx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 xmlns:c15="http://schemas.microsoft.com/office/drawing/2012/chart">
                      <c:ext xmlns:c15="http://schemas.microsoft.com/office/drawing/2012/chart" uri="{CE6537A1-D6FC-4f65-9D91-7224C49458BB}">
                        <c15:dlblFieldTable/>
                        <c15:showDataLabelsRange val="0"/>
                      </c:ext>
                      <c:ext xmlns:c16="http://schemas.microsoft.com/office/drawing/2014/chart" uri="{C3380CC4-5D6E-409C-BE32-E72D297353CC}">
                        <c16:uniqueId val="{00000029-3897-4C44-8735-1C17283D2F5E}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1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showLegendKey val="0"/>
                  <c:showVal val="0"/>
                  <c:showCatName val="0"/>
                  <c:showSerName val="0"/>
                  <c:showPercent val="0"/>
                  <c:showBubbleSize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GSTRTV!$A$22:$A$45</c15:sqref>
                        </c15:formulaRef>
                      </c:ext>
                    </c:extLst>
                    <c:numCache>
                      <c:formatCode>"$"#,##0</c:formatCode>
                      <c:ptCount val="24"/>
                      <c:pt idx="0">
                        <c:v>200000</c:v>
                      </c:pt>
                      <c:pt idx="1">
                        <c:v>400000</c:v>
                      </c:pt>
                      <c:pt idx="2">
                        <c:v>600000</c:v>
                      </c:pt>
                      <c:pt idx="3">
                        <c:v>800000</c:v>
                      </c:pt>
                      <c:pt idx="4">
                        <c:v>1000000</c:v>
                      </c:pt>
                      <c:pt idx="5">
                        <c:v>1200000</c:v>
                      </c:pt>
                      <c:pt idx="6">
                        <c:v>1400000</c:v>
                      </c:pt>
                      <c:pt idx="7">
                        <c:v>1600000</c:v>
                      </c:pt>
                      <c:pt idx="8">
                        <c:v>1800000</c:v>
                      </c:pt>
                      <c:pt idx="9">
                        <c:v>2000000</c:v>
                      </c:pt>
                      <c:pt idx="10">
                        <c:v>2200000</c:v>
                      </c:pt>
                      <c:pt idx="11">
                        <c:v>2400000</c:v>
                      </c:pt>
                      <c:pt idx="12">
                        <c:v>2600000</c:v>
                      </c:pt>
                      <c:pt idx="13">
                        <c:v>2800000</c:v>
                      </c:pt>
                      <c:pt idx="14">
                        <c:v>3000000</c:v>
                      </c:pt>
                      <c:pt idx="15">
                        <c:v>3200000</c:v>
                      </c:pt>
                      <c:pt idx="16">
                        <c:v>3400000</c:v>
                      </c:pt>
                      <c:pt idx="17">
                        <c:v>3600000</c:v>
                      </c:pt>
                      <c:pt idx="18">
                        <c:v>3800000</c:v>
                      </c:pt>
                      <c:pt idx="19">
                        <c:v>4000000</c:v>
                      </c:pt>
                      <c:pt idx="20">
                        <c:v>4200000</c:v>
                      </c:pt>
                      <c:pt idx="21">
                        <c:v>4400000</c:v>
                      </c:pt>
                      <c:pt idx="22">
                        <c:v>4600000</c:v>
                      </c:pt>
                      <c:pt idx="23">
                        <c:v>4800000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GSTRTV!$B$22:$B$45</c15:sqref>
                        </c15:formulaRef>
                      </c:ext>
                    </c:extLst>
                    <c:numCache>
                      <c:formatCode>#,##0</c:formatCode>
                      <c:ptCount val="24"/>
                      <c:pt idx="0">
                        <c:v>5306.6799670584487</c:v>
                      </c:pt>
                      <c:pt idx="1">
                        <c:v>8620.7270398777109</c:v>
                      </c:pt>
                      <c:pt idx="2">
                        <c:v>11450.060343578602</c:v>
                      </c:pt>
                      <c:pt idx="3">
                        <c:v>14004.412392947337</c:v>
                      </c:pt>
                      <c:pt idx="4">
                        <c:v>16372.006191464845</c:v>
                      </c:pt>
                      <c:pt idx="5">
                        <c:v>18600.677904990443</c:v>
                      </c:pt>
                      <c:pt idx="6">
                        <c:v>20720.08464236038</c:v>
                      </c:pt>
                      <c:pt idx="7">
                        <c:v>22750.235051464868</c:v>
                      </c:pt>
                      <c:pt idx="8">
                        <c:v>24705.443457194888</c:v>
                      </c:pt>
                      <c:pt idx="9">
                        <c:v>26596.402524352889</c:v>
                      </c:pt>
                      <c:pt idx="10">
                        <c:v>28431.369318328445</c:v>
                      </c:pt>
                      <c:pt idx="11">
                        <c:v>30216.890404357946</c:v>
                      </c:pt>
                      <c:pt idx="12">
                        <c:v>31958.26869140529</c:v>
                      </c:pt>
                      <c:pt idx="13">
                        <c:v>33659.876806922497</c:v>
                      </c:pt>
                      <c:pt idx="14">
                        <c:v>35325.374810877525</c:v>
                      </c:pt>
                      <c:pt idx="15">
                        <c:v>36957.865876439937</c:v>
                      </c:pt>
                      <c:pt idx="16">
                        <c:v>38560.010380246516</c:v>
                      </c:pt>
                      <c:pt idx="17">
                        <c:v>40134.111302300051</c:v>
                      </c:pt>
                      <c:pt idx="18">
                        <c:v>41682.17934043915</c:v>
                      </c:pt>
                      <c:pt idx="19">
                        <c:v>43205.983369721333</c:v>
                      </c:pt>
                      <c:pt idx="20">
                        <c:v>44707.090111294332</c:v>
                      </c:pt>
                      <c:pt idx="21">
                        <c:v>46186.895721002846</c:v>
                      </c:pt>
                      <c:pt idx="22">
                        <c:v>47646.651235195692</c:v>
                      </c:pt>
                      <c:pt idx="23">
                        <c:v>49087.483282746944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3897-4C44-8735-1C17283D2F5E}"/>
                  </c:ext>
                </c:extLst>
              </c15:ser>
            </c15:filteredScatterSeries>
            <c15:filteredScatterSeries>
              <c15:ser>
                <c:idx val="29"/>
                <c:order val="29"/>
                <c:tx>
                  <c:v>HCC Pharmacy</c:v>
                </c:tx>
                <c:spPr>
                  <a:ln w="19050" cap="rnd">
                    <a:solidFill>
                      <a:schemeClr val="accent6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6"/>
                  <c:marker>
                    <c:symbol val="circle"/>
                    <c:size val="5"/>
                    <c:spPr>
                      <a:solidFill>
                        <a:srgbClr val="00B050"/>
                      </a:solidFill>
                      <a:ln w="9525">
                        <a:solidFill>
                          <a:srgbClr val="00B050"/>
                        </a:solidFill>
                      </a:ln>
                      <a:effectLst/>
                    </c:spPr>
                  </c:marker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B-3897-4C44-8735-1C17283D2F5E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GPHRMCY!$A$22:$A$41</c15:sqref>
                        </c15:formulaRef>
                      </c:ext>
                    </c:extLst>
                    <c:numCache>
                      <c:formatCode>"$"#,##0</c:formatCode>
                      <c:ptCount val="20"/>
                      <c:pt idx="0">
                        <c:v>0</c:v>
                      </c:pt>
                      <c:pt idx="1">
                        <c:v>200000</c:v>
                      </c:pt>
                      <c:pt idx="2">
                        <c:v>400000</c:v>
                      </c:pt>
                      <c:pt idx="3">
                        <c:v>600000</c:v>
                      </c:pt>
                      <c:pt idx="4">
                        <c:v>800000</c:v>
                      </c:pt>
                      <c:pt idx="5">
                        <c:v>1000000</c:v>
                      </c:pt>
                      <c:pt idx="6">
                        <c:v>1200000</c:v>
                      </c:pt>
                      <c:pt idx="7">
                        <c:v>1400000</c:v>
                      </c:pt>
                      <c:pt idx="8">
                        <c:v>1600000</c:v>
                      </c:pt>
                      <c:pt idx="9">
                        <c:v>1800000</c:v>
                      </c:pt>
                      <c:pt idx="10">
                        <c:v>2000000</c:v>
                      </c:pt>
                      <c:pt idx="11">
                        <c:v>2200000</c:v>
                      </c:pt>
                      <c:pt idx="12">
                        <c:v>2400000</c:v>
                      </c:pt>
                      <c:pt idx="13">
                        <c:v>2600000</c:v>
                      </c:pt>
                      <c:pt idx="14">
                        <c:v>2800000</c:v>
                      </c:pt>
                      <c:pt idx="15">
                        <c:v>3000000</c:v>
                      </c:pt>
                      <c:pt idx="16">
                        <c:v>3200000</c:v>
                      </c:pt>
                      <c:pt idx="17">
                        <c:v>3400000</c:v>
                      </c:pt>
                      <c:pt idx="18">
                        <c:v>3600000</c:v>
                      </c:pt>
                      <c:pt idx="19">
                        <c:v>3800000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GPHRMCY!$B$22:$B$41</c15:sqref>
                        </c15:formulaRef>
                      </c:ext>
                    </c:extLst>
                    <c:numCache>
                      <c:formatCode>#,##0</c:formatCode>
                      <c:ptCount val="20"/>
                      <c:pt idx="0">
                        <c:v>0</c:v>
                      </c:pt>
                      <c:pt idx="1">
                        <c:v>1884.0989294061437</c:v>
                      </c:pt>
                      <c:pt idx="2">
                        <c:v>3690.9075000444427</c:v>
                      </c:pt>
                      <c:pt idx="3">
                        <c:v>5423.5391706861556</c:v>
                      </c:pt>
                      <c:pt idx="4">
                        <c:v>7084.9866262534633</c:v>
                      </c:pt>
                      <c:pt idx="5">
                        <c:v>8678.126083179377</c:v>
                      </c:pt>
                      <c:pt idx="6">
                        <c:v>10205.721472941339</c:v>
                      </c:pt>
                      <c:pt idx="7">
                        <c:v>11670.428504428826</c:v>
                      </c:pt>
                      <c:pt idx="8">
                        <c:v>13074.798606074415</c:v>
                      </c:pt>
                      <c:pt idx="9">
                        <c:v>14421.282748956233</c:v>
                      </c:pt>
                      <c:pt idx="10">
                        <c:v>15712.235152327456</c:v>
                      </c:pt>
                      <c:pt idx="11">
                        <c:v>16949.916873184033</c:v>
                      </c:pt>
                      <c:pt idx="12">
                        <c:v>18136.499281739816</c:v>
                      </c:pt>
                      <c:pt idx="13">
                        <c:v>19274.06742475275</c:v>
                      </c:pt>
                      <c:pt idx="14">
                        <c:v>20364.623278812505</c:v>
                      </c:pt>
                      <c:pt idx="15">
                        <c:v>21410.088895815425</c:v>
                      </c:pt>
                      <c:pt idx="16">
                        <c:v>22412.309442908503</c:v>
                      </c:pt>
                      <c:pt idx="17">
                        <c:v>23373.056139308028</c:v>
                      </c:pt>
                      <c:pt idx="18">
                        <c:v>24294.029092384502</c:v>
                      </c:pt>
                      <c:pt idx="19">
                        <c:v>25176.860035532154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3897-4C44-8735-1C17283D2F5E}"/>
                  </c:ext>
                </c:extLst>
              </c15:ser>
            </c15:filteredScatterSeries>
            <c15:filteredScatterSeries>
              <c15:ser>
                <c:idx val="30"/>
                <c:order val="30"/>
                <c:tx>
                  <c:v>pharmacy o</c:v>
                </c:tx>
                <c:spPr>
                  <a:ln w="19050" cap="rnd">
                    <a:solidFill>
                      <a:schemeClr val="accent1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GPHRMCY!$D$9</c15:sqref>
                        </c15:formulaRef>
                      </c:ext>
                    </c:extLst>
                    <c:numCache>
                      <c:formatCode>_("$"* #,##0_);_("$"* \(#,##0\);_("$"* "-"??_);_(@_)</c:formatCode>
                      <c:ptCount val="1"/>
                      <c:pt idx="0">
                        <c:v>1688377.6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GPHRMCY!$E$9</c15:sqref>
                        </c15:formulaRef>
                      </c:ext>
                    </c:extLst>
                    <c:numCache>
                      <c:formatCode>#,##0</c:formatCode>
                      <c:ptCount val="1"/>
                      <c:pt idx="0">
                        <c:v>13676.790074867196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3897-4C44-8735-1C17283D2F5E}"/>
                  </c:ext>
                </c:extLst>
              </c15:ser>
            </c15:filteredScatterSeries>
            <c15:filteredScatterSeries>
              <c15:ser>
                <c:idx val="31"/>
                <c:order val="31"/>
                <c:tx>
                  <c:v>pharmacy c</c:v>
                </c:tx>
                <c:spPr>
                  <a:ln w="19050" cap="rnd">
                    <a:solidFill>
                      <a:schemeClr val="accent2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diamond"/>
                  <c:size val="7"/>
                  <c:spPr>
                    <a:solidFill>
                      <a:srgbClr val="FF0000"/>
                    </a:solidFill>
                    <a:ln w="9525">
                      <a:noFill/>
                    </a:ln>
                    <a:effectLst/>
                  </c:spPr>
                </c:marker>
                <c:dPt>
                  <c:idx val="0"/>
                  <c:marker>
                    <c:symbol val="diamond"/>
                    <c:size val="7"/>
                    <c:spPr>
                      <a:solidFill>
                        <a:srgbClr val="FF0000"/>
                      </a:solidFill>
                      <a:ln w="66675">
                        <a:noFill/>
                      </a:ln>
                      <a:effectLst/>
                    </c:spPr>
                  </c:marker>
                  <c:bubble3D val="0"/>
                  <c:spPr>
                    <a:ln w="34925" cap="rnd">
                      <a:solidFill>
                        <a:srgbClr val="FF0000"/>
                      </a:solidFill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F-3897-4C44-8735-1C17283D2F5E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VAC_Optim_Scenario!$E$26</c15:sqref>
                        </c15:formulaRef>
                      </c:ext>
                    </c:extLst>
                    <c:numCache>
                      <c:formatCode>"$"#,##0</c:formatCode>
                      <c:ptCount val="1"/>
                      <c:pt idx="0">
                        <c:v>2411968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VAC_Optim_Scenario!$F$26</c15:sqref>
                        </c15:formulaRef>
                      </c:ext>
                    </c:extLst>
                    <c:numCache>
                      <c:formatCode>#,##0</c:formatCode>
                      <c:ptCount val="1"/>
                      <c:pt idx="0">
                        <c:v>18205.929821531288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3897-4C44-8735-1C17283D2F5E}"/>
                  </c:ext>
                </c:extLst>
              </c15:ser>
            </c15:filteredScatterSeries>
          </c:ext>
        </c:extLst>
      </c:scatterChart>
      <c:valAx>
        <c:axId val="969898904"/>
        <c:scaling>
          <c:orientation val="minMax"/>
          <c:max val="3000000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Pre-tax Spend (Millions)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9903496"/>
        <c:crosses val="autoZero"/>
        <c:crossBetween val="midCat"/>
        <c:dispUnits>
          <c:builtInUnit val="millions"/>
        </c:dispUnits>
      </c:valAx>
      <c:valAx>
        <c:axId val="969903496"/>
        <c:scaling>
          <c:orientation val="minMax"/>
          <c:max val="800000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Incr. Doses (Thousands)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9898904"/>
        <c:crosses val="autoZero"/>
        <c:crossBetween val="midCat"/>
        <c:dispUnits>
          <c:builtInUnit val="thousands"/>
        </c:dispUnits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300"/>
              <a:t>Change in</a:t>
            </a:r>
            <a:r>
              <a:rPr lang="en-US" sz="1300" baseline="0"/>
              <a:t> optimal spend for a channel as its responsiveness changes</a:t>
            </a:r>
          </a:p>
          <a:p>
            <a:pPr>
              <a:defRPr/>
            </a:pPr>
            <a:r>
              <a:rPr lang="en-US" sz="1300" baseline="0">
                <a:solidFill>
                  <a:srgbClr val="FF0000"/>
                </a:solidFill>
              </a:rPr>
              <a:t>Current Optimal scenario (InScope budget : $12MM, -30% to +20% channel variation)</a:t>
            </a:r>
            <a:endParaRPr lang="en-US" sz="1300">
              <a:solidFill>
                <a:srgbClr val="FF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851005694895961"/>
          <c:y val="0.15359131739832232"/>
          <c:w val="0.8569693339756066"/>
          <c:h val="0.70247442658755632"/>
        </c:manualLayout>
      </c:layout>
      <c:lineChart>
        <c:grouping val="standard"/>
        <c:varyColors val="0"/>
        <c:ser>
          <c:idx val="1"/>
          <c:order val="0"/>
          <c:tx>
            <c:strRef>
              <c:f>Sensitivity!$K$30</c:f>
              <c:strCache>
                <c:ptCount val="1"/>
                <c:pt idx="0">
                  <c:v>HCC Streaming TV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19050">
                <a:solidFill>
                  <a:schemeClr val="accent2"/>
                </a:solidFill>
                <a:prstDash val="solid"/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6F8-4960-8115-2C1B880A41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Sensitivity!$J$31:$J$35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Sensitivity!$K$31:$K$35</c:f>
              <c:numCache>
                <c:formatCode>"$"#,##0.0</c:formatCode>
                <c:ptCount val="5"/>
                <c:pt idx="0">
                  <c:v>2.3045999176017213</c:v>
                </c:pt>
                <c:pt idx="1">
                  <c:v>0.79429700000000003</c:v>
                </c:pt>
                <c:pt idx="2">
                  <c:v>0.79429700000000003</c:v>
                </c:pt>
                <c:pt idx="3">
                  <c:v>0.79429700000000003</c:v>
                </c:pt>
                <c:pt idx="4">
                  <c:v>2.34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6F8-4960-8115-2C1B880A411C}"/>
            </c:ext>
          </c:extLst>
        </c:ser>
        <c:ser>
          <c:idx val="2"/>
          <c:order val="1"/>
          <c:tx>
            <c:strRef>
              <c:f>Sensitivity!$L$30</c:f>
              <c:strCache>
                <c:ptCount val="1"/>
                <c:pt idx="0">
                  <c:v>HCP MCM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19050">
                <a:solidFill>
                  <a:schemeClr val="accent3"/>
                </a:solidFill>
                <a:prstDash val="solid"/>
              </a:ln>
              <a:effectLst/>
            </c:spPr>
          </c:marker>
          <c:dLbls>
            <c:dLbl>
              <c:idx val="4"/>
              <c:layout>
                <c:manualLayout>
                  <c:x val="-1.5835492425835258E-3"/>
                  <c:y val="-2.3223563139176628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6F8-4960-8115-2C1B880A41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3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Sensitivity!$J$31:$J$35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Sensitivity!$L$31:$L$35</c:f>
              <c:numCache>
                <c:formatCode>"$"#,##0.0</c:formatCode>
                <c:ptCount val="5"/>
                <c:pt idx="0">
                  <c:v>5.9808212879999996</c:v>
                </c:pt>
                <c:pt idx="1">
                  <c:v>13.654847336</c:v>
                </c:pt>
                <c:pt idx="2">
                  <c:v>13.654847336</c:v>
                </c:pt>
                <c:pt idx="3">
                  <c:v>13.654847336</c:v>
                </c:pt>
                <c:pt idx="4">
                  <c:v>5.9808212879999996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6F8-4960-8115-2C1B880A411C}"/>
            </c:ext>
          </c:extLst>
        </c:ser>
        <c:ser>
          <c:idx val="3"/>
          <c:order val="2"/>
          <c:tx>
            <c:strRef>
              <c:f>Sensitivity!$M$30</c:f>
              <c:strCache>
                <c:ptCount val="1"/>
                <c:pt idx="0">
                  <c:v>HCC Social</c:v>
                </c:pt>
              </c:strCache>
            </c:strRef>
          </c:tx>
          <c:spPr>
            <a:ln w="1905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19050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dLbl>
              <c:idx val="4"/>
              <c:layout>
                <c:manualLayout>
                  <c:x val="-1.1006443862179908E-16"/>
                  <c:y val="2.7765223832448892E-4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6F8-4960-8115-2C1B880A41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7030A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Sensitivity!$J$31:$J$35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Sensitivity!$M$31:$M$35</c:f>
              <c:numCache>
                <c:formatCode>"$"#,##0.0</c:formatCode>
                <c:ptCount val="5"/>
                <c:pt idx="0">
                  <c:v>2.3684232000000001</c:v>
                </c:pt>
                <c:pt idx="1">
                  <c:v>2.2059033000226274</c:v>
                </c:pt>
                <c:pt idx="2">
                  <c:v>2.2059033000226274</c:v>
                </c:pt>
                <c:pt idx="3">
                  <c:v>2.2059033000226274</c:v>
                </c:pt>
                <c:pt idx="4">
                  <c:v>2.3684232000000001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6F8-4960-8115-2C1B880A411C}"/>
            </c:ext>
          </c:extLst>
        </c:ser>
        <c:ser>
          <c:idx val="4"/>
          <c:order val="3"/>
          <c:tx>
            <c:strRef>
              <c:f>Sensitivity!$N$30</c:f>
              <c:strCache>
                <c:ptCount val="1"/>
                <c:pt idx="0">
                  <c:v>HCC Online Video</c:v>
                </c:pt>
              </c:strCache>
            </c:strRef>
          </c:tx>
          <c:spPr>
            <a:ln w="19050" cap="rnd">
              <a:solidFill>
                <a:schemeClr val="accent5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19050">
                <a:solidFill>
                  <a:schemeClr val="accent5"/>
                </a:solidFill>
                <a:prstDash val="dash"/>
              </a:ln>
              <a:effectLst/>
            </c:spPr>
          </c:marker>
          <c:dLbls>
            <c:dLbl>
              <c:idx val="4"/>
              <c:layout>
                <c:manualLayout>
                  <c:x val="1.5008960467578836E-3"/>
                  <c:y val="-1.7370361707985359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6F8-4960-8115-2C1B880A41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5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Sensitivity!$J$31:$J$35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Sensitivity!$N$31:$N$35</c:f>
              <c:numCache>
                <c:formatCode>"$"#,##0.0</c:formatCode>
                <c:ptCount val="5"/>
                <c:pt idx="0">
                  <c:v>0.46872000002084274</c:v>
                </c:pt>
                <c:pt idx="1">
                  <c:v>1.4453127520000002</c:v>
                </c:pt>
                <c:pt idx="2">
                  <c:v>1.4453127520000002</c:v>
                </c:pt>
                <c:pt idx="3">
                  <c:v>1.4453127520000002</c:v>
                </c:pt>
                <c:pt idx="4">
                  <c:v>0.87048000000000003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36F8-4960-8115-2C1B880A411C}"/>
            </c:ext>
          </c:extLst>
        </c:ser>
        <c:ser>
          <c:idx val="5"/>
          <c:order val="4"/>
          <c:tx>
            <c:strRef>
              <c:f>Sensitivity!$O$30</c:f>
              <c:strCache>
                <c:ptCount val="1"/>
                <c:pt idx="0">
                  <c:v>HCC Streaming Video</c:v>
                </c:pt>
              </c:strCache>
            </c:strRef>
          </c:tx>
          <c:spPr>
            <a:ln w="19050" cap="rnd">
              <a:solidFill>
                <a:schemeClr val="accent6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19050">
                <a:solidFill>
                  <a:schemeClr val="accent6"/>
                </a:solidFill>
                <a:prstDash val="dash"/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6F8-4960-8115-2C1B880A41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6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Sensitivity!$J$31:$J$35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Sensitivity!$O$31:$O$35</c:f>
              <c:numCache>
                <c:formatCode>"$"#,##0.0</c:formatCode>
                <c:ptCount val="5"/>
                <c:pt idx="0">
                  <c:v>5.4997572028695698</c:v>
                </c:pt>
                <c:pt idx="1">
                  <c:v>9.393003199999999</c:v>
                </c:pt>
                <c:pt idx="2">
                  <c:v>9.393003199999999</c:v>
                </c:pt>
                <c:pt idx="3">
                  <c:v>9.393003199999999</c:v>
                </c:pt>
                <c:pt idx="4">
                  <c:v>10.213834800000001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36F8-4960-8115-2C1B880A411C}"/>
            </c:ext>
          </c:extLst>
        </c:ser>
        <c:ser>
          <c:idx val="6"/>
          <c:order val="5"/>
          <c:tx>
            <c:strRef>
              <c:f>Sensitivity!$P$30</c:f>
              <c:strCache>
                <c:ptCount val="1"/>
                <c:pt idx="0">
                  <c:v>HCC Display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rgbClr val="00B0F0"/>
                </a:solidFill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6F8-4960-8115-2C1B880A41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00B0F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Sensitivity!$J$31:$J$35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Sensitivity!$P$31:$P$35</c:f>
              <c:numCache>
                <c:formatCode>"$"#,##0.0</c:formatCode>
                <c:ptCount val="5"/>
                <c:pt idx="0">
                  <c:v>2.2477582947281389</c:v>
                </c:pt>
                <c:pt idx="1">
                  <c:v>3.7172548659999998</c:v>
                </c:pt>
                <c:pt idx="2">
                  <c:v>3.7172548659999998</c:v>
                </c:pt>
                <c:pt idx="3">
                  <c:v>3.7172548659999998</c:v>
                </c:pt>
                <c:pt idx="4">
                  <c:v>2.7142868999999998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36F8-4960-8115-2C1B880A411C}"/>
            </c:ext>
          </c:extLst>
        </c:ser>
        <c:ser>
          <c:idx val="7"/>
          <c:order val="6"/>
          <c:tx>
            <c:strRef>
              <c:f>Sensitivity!$Q$30</c:f>
              <c:strCache>
                <c:ptCount val="1"/>
                <c:pt idx="0">
                  <c:v>HCC Paid Search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dLbls>
            <c:dLbl>
              <c:idx val="4"/>
              <c:layout>
                <c:manualLayout>
                  <c:x val="4.5475112879135703E-3"/>
                  <c:y val="-1.1185305503060319E-2"/>
                </c:manualLayout>
              </c:layout>
              <c:tx>
                <c:rich>
                  <a:bodyPr/>
                  <a:lstStyle/>
                  <a:p>
                    <a:fld id="{8966E5C0-AB39-44E0-A37B-7D0475CE4AB1}" type="SERIESNAME">
                      <a:rPr lang="en-US">
                        <a:solidFill>
                          <a:schemeClr val="accent2">
                            <a:lumMod val="50000"/>
                          </a:schemeClr>
                        </a:solidFill>
                      </a:rPr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C-36F8-4960-8115-2C1B880A41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Sensitivity!$J$31:$J$35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Sensitivity!$Q$31:$Q$35</c:f>
              <c:numCache>
                <c:formatCode>"$"#,##0.0</c:formatCode>
                <c:ptCount val="5"/>
                <c:pt idx="0">
                  <c:v>1.5030225591430741</c:v>
                </c:pt>
                <c:pt idx="1">
                  <c:v>6.5000000000000002E-2</c:v>
                </c:pt>
                <c:pt idx="2">
                  <c:v>6.5000000000000002E-2</c:v>
                </c:pt>
                <c:pt idx="3">
                  <c:v>6.5000000000000002E-2</c:v>
                </c:pt>
                <c:pt idx="4">
                  <c:v>1.7915768000000001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36F8-4960-8115-2C1B880A411C}"/>
            </c:ext>
          </c:extLst>
        </c:ser>
        <c:ser>
          <c:idx val="8"/>
          <c:order val="7"/>
          <c:tx>
            <c:strRef>
              <c:f>Sensitivity!$R$30</c:f>
              <c:strCache>
                <c:ptCount val="1"/>
                <c:pt idx="0">
                  <c:v>HCC Radio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rgbClr val="00B050"/>
                </a:solidFill>
              </a:ln>
              <a:effectLst/>
            </c:spPr>
          </c:marker>
          <c:dLbls>
            <c:dLbl>
              <c:idx val="4"/>
              <c:layout>
                <c:manualLayout>
                  <c:x val="-1.1116010290689556E-16"/>
                  <c:y val="2.7963263757650438E-2"/>
                </c:manualLayout>
              </c:layout>
              <c:tx>
                <c:rich>
                  <a:bodyPr/>
                  <a:lstStyle/>
                  <a:p>
                    <a:fld id="{AF699563-CEB1-4BC4-914C-2AC9DE41D2E6}" type="SERIESNAME">
                      <a:rPr lang="en-US">
                        <a:solidFill>
                          <a:srgbClr val="00B050"/>
                        </a:solidFill>
                      </a:rPr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E-36F8-4960-8115-2C1B880A41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Sensitivity!$J$31:$J$35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Sensitivity!$R$31:$R$35</c:f>
              <c:numCache>
                <c:formatCode>"$"#,##0.0</c:formatCode>
                <c:ptCount val="5"/>
                <c:pt idx="0">
                  <c:v>0.85561189999999998</c:v>
                </c:pt>
                <c:pt idx="1">
                  <c:v>1.2011674999999999</c:v>
                </c:pt>
                <c:pt idx="2">
                  <c:v>1.2011674999999999</c:v>
                </c:pt>
                <c:pt idx="3">
                  <c:v>1.2011674999999999</c:v>
                </c:pt>
                <c:pt idx="4">
                  <c:v>0.85561189999999998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36F8-4960-8115-2C1B880A41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7161744"/>
        <c:axId val="797164696"/>
      </c:lineChart>
      <c:lineChart>
        <c:grouping val="standard"/>
        <c:varyColors val="0"/>
        <c:ser>
          <c:idx val="0"/>
          <c:order val="8"/>
          <c:tx>
            <c:strRef>
              <c:f>Sensitivity!$S$30</c:f>
              <c:strCache>
                <c:ptCount val="1"/>
                <c:pt idx="0">
                  <c:v>HCC TV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Sensitivity!$S$31:$S$35</c:f>
              <c:numCache>
                <c:formatCode>"$"#,##0.0</c:formatCode>
                <c:ptCount val="5"/>
                <c:pt idx="0">
                  <c:v>15.717664872</c:v>
                </c:pt>
                <c:pt idx="1">
                  <c:v>25.8109286</c:v>
                </c:pt>
                <c:pt idx="2">
                  <c:v>25.8109286</c:v>
                </c:pt>
                <c:pt idx="3">
                  <c:v>25.8109286</c:v>
                </c:pt>
                <c:pt idx="4">
                  <c:v>21.525379182791276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A85-4224-9A4F-154E505FCC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23390784"/>
        <c:axId val="923386192"/>
      </c:lineChart>
      <c:catAx>
        <c:axId val="7971617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Change in responsiveness</a:t>
                </a:r>
              </a:p>
            </c:rich>
          </c:tx>
          <c:layout>
            <c:manualLayout>
              <c:xMode val="edge"/>
              <c:yMode val="edge"/>
              <c:x val="0.44875965076629448"/>
              <c:y val="0.9529576556270166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164696"/>
        <c:crosses val="autoZero"/>
        <c:auto val="1"/>
        <c:lblAlgn val="ctr"/>
        <c:lblOffset val="100"/>
        <c:noMultiLvlLbl val="0"/>
      </c:catAx>
      <c:valAx>
        <c:axId val="797164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Optimal</a:t>
                </a:r>
                <a:r>
                  <a:rPr lang="en-US" sz="1400" baseline="0"/>
                  <a:t> Spend</a:t>
                </a:r>
                <a:endParaRPr lang="en-US" sz="1400"/>
              </a:p>
            </c:rich>
          </c:tx>
          <c:layout>
            <c:manualLayout>
              <c:xMode val="edge"/>
              <c:yMode val="edge"/>
              <c:x val="1.650985651433793E-2"/>
              <c:y val="0.392907421443076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161744"/>
        <c:crosses val="autoZero"/>
        <c:crossBetween val="between"/>
      </c:valAx>
      <c:valAx>
        <c:axId val="923386192"/>
        <c:scaling>
          <c:orientation val="minMax"/>
        </c:scaling>
        <c:delete val="0"/>
        <c:axPos val="r"/>
        <c:numFmt formatCode="&quot;$&quot;#,##0.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3390784"/>
        <c:crosses val="max"/>
        <c:crossBetween val="between"/>
      </c:valAx>
      <c:catAx>
        <c:axId val="923390784"/>
        <c:scaling>
          <c:orientation val="minMax"/>
        </c:scaling>
        <c:delete val="1"/>
        <c:axPos val="b"/>
        <c:majorTickMark val="out"/>
        <c:minorTickMark val="none"/>
        <c:tickLblPos val="nextTo"/>
        <c:crossAx val="92338619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2023 Projected </a:t>
            </a:r>
          </a:p>
          <a:p>
            <a:pPr>
              <a:defRPr sz="1100"/>
            </a:pPr>
            <a:r>
              <a:rPr lang="en-US" sz="1100"/>
              <a:t>Promotion Efficiency ($ Spend/Incr.</a:t>
            </a:r>
            <a:r>
              <a:rPr lang="en-US" sz="1100" baseline="0"/>
              <a:t> Dose)</a:t>
            </a:r>
            <a:endParaRPr lang="en-US" sz="1100"/>
          </a:p>
        </c:rich>
      </c:tx>
      <c:layout>
        <c:manualLayout>
          <c:xMode val="edge"/>
          <c:yMode val="edge"/>
          <c:x val="0.31281422737853559"/>
          <c:y val="2.420438410642305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'Contribution, promo eff, ROI'!$F$17</c:f>
              <c:strCache>
                <c:ptCount val="1"/>
                <c:pt idx="0">
                  <c:v>2023 Projected Promotion Efficiency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'Contribution, promo eff, ROI'!$E$18:$E$27</c:f>
              <c:strCache>
                <c:ptCount val="10"/>
                <c:pt idx="0">
                  <c:v>HCC Paid Search</c:v>
                </c:pt>
                <c:pt idx="1">
                  <c:v>HCC Radio</c:v>
                </c:pt>
                <c:pt idx="2">
                  <c:v>HCP MCM</c:v>
                </c:pt>
                <c:pt idx="3">
                  <c:v>HCC Display</c:v>
                </c:pt>
                <c:pt idx="4">
                  <c:v>HCC Online Video</c:v>
                </c:pt>
                <c:pt idx="5">
                  <c:v>HCC Social</c:v>
                </c:pt>
                <c:pt idx="6">
                  <c:v>HCC Pharmacy</c:v>
                </c:pt>
                <c:pt idx="7">
                  <c:v>HCC Streaming Video</c:v>
                </c:pt>
                <c:pt idx="8">
                  <c:v>HCC Linear TV</c:v>
                </c:pt>
                <c:pt idx="9">
                  <c:v>HCC InOffice</c:v>
                </c:pt>
              </c:strCache>
            </c:strRef>
          </c:cat>
          <c:val>
            <c:numRef>
              <c:f>'Contribution, promo eff, ROI'!$F$18:$F$27</c:f>
              <c:numCache>
                <c:formatCode>"$"#,##0</c:formatCode>
                <c:ptCount val="10"/>
                <c:pt idx="0">
                  <c:v>1659101.5541117226</c:v>
                </c:pt>
                <c:pt idx="1">
                  <c:v>31296979.603846826</c:v>
                </c:pt>
                <c:pt idx="2">
                  <c:v>36428388.680927962</c:v>
                </c:pt>
                <c:pt idx="3">
                  <c:v>37591880.018375278</c:v>
                </c:pt>
                <c:pt idx="4">
                  <c:v>51361310.945524476</c:v>
                </c:pt>
                <c:pt idx="5">
                  <c:v>73508410.329953805</c:v>
                </c:pt>
                <c:pt idx="6">
                  <c:v>132482549.56731075</c:v>
                </c:pt>
                <c:pt idx="7">
                  <c:v>133109799.37785092</c:v>
                </c:pt>
                <c:pt idx="8">
                  <c:v>153173310.99625105</c:v>
                </c:pt>
                <c:pt idx="9">
                  <c:v>154007945.50765288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2BE-4EAC-B345-2CBFD6D4B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93430600"/>
        <c:axId val="493430272"/>
      </c:barChart>
      <c:catAx>
        <c:axId val="493430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430272"/>
        <c:crosses val="autoZero"/>
        <c:auto val="1"/>
        <c:lblAlgn val="ctr"/>
        <c:lblOffset val="100"/>
        <c:noMultiLvlLbl val="0"/>
      </c:catAx>
      <c:valAx>
        <c:axId val="493430272"/>
        <c:scaling>
          <c:orientation val="minMax"/>
          <c:min val="0"/>
        </c:scaling>
        <c:delete val="1"/>
        <c:axPos val="l"/>
        <c:numFmt formatCode="&quot;$&quot;#,##0" sourceLinked="1"/>
        <c:majorTickMark val="none"/>
        <c:minorTickMark val="none"/>
        <c:tickLblPos val="nextTo"/>
        <c:crossAx val="493430600"/>
        <c:crosses val="autoZero"/>
        <c:crossBetween val="between"/>
        <c:majorUnit val="5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SCurve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FT_SCurveEst!$B$12</c:f>
              <c:numCache>
                <c:formatCode>General</c:formatCode>
                <c:ptCount val="1"/>
                <c:pt idx="0">
                  <c:v>20</c:v>
                </c:pt>
              </c:numCache>
            </c:numRef>
          </c:xVal>
          <c:yVal>
            <c:numRef>
              <c:f>FT_SCurveEst!$C$12</c:f>
              <c:numCache>
                <c:formatCode>General</c:formatCode>
                <c:ptCount val="1"/>
                <c:pt idx="0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EC-4745-8D10-954E467D5BAF}"/>
            </c:ext>
          </c:extLst>
        </c:ser>
        <c:ser>
          <c:idx val="1"/>
          <c:order val="1"/>
          <c:tx>
            <c:strRef>
              <c:f>FT_SCurveEst!$D$3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FT_SCurveEst!$A$22:$A$42</c:f>
              <c:numCache>
                <c:formatCode>General</c:formatCode>
                <c:ptCount val="2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</c:numCache>
            </c:numRef>
          </c:xVal>
          <c:yVal>
            <c:numRef>
              <c:f>FT_SCurveEst!$B$22:$B$42</c:f>
              <c:numCache>
                <c:formatCode>General</c:formatCode>
                <c:ptCount val="21"/>
                <c:pt idx="0">
                  <c:v>-1.4084507042253946E-2</c:v>
                </c:pt>
                <c:pt idx="1">
                  <c:v>1.6126444390094603</c:v>
                </c:pt>
                <c:pt idx="2">
                  <c:v>5.6642426174498821</c:v>
                </c:pt>
                <c:pt idx="3">
                  <c:v>14.549143800281053</c:v>
                </c:pt>
                <c:pt idx="4">
                  <c:v>29.563380281690133</c:v>
                </c:pt>
                <c:pt idx="5">
                  <c:v>46.443381393398674</c:v>
                </c:pt>
                <c:pt idx="6">
                  <c:v>58.565058904816425</c:v>
                </c:pt>
                <c:pt idx="7">
                  <c:v>64.755462936002587</c:v>
                </c:pt>
                <c:pt idx="8">
                  <c:v>67.373747640482065</c:v>
                </c:pt>
                <c:pt idx="9">
                  <c:v>68.391855033022836</c:v>
                </c:pt>
                <c:pt idx="10">
                  <c:v>68.774681657683672</c:v>
                </c:pt>
                <c:pt idx="11">
                  <c:v>68.91680823426843</c:v>
                </c:pt>
                <c:pt idx="12">
                  <c:v>68.969323452015516</c:v>
                </c:pt>
                <c:pt idx="13">
                  <c:v>68.988693537060527</c:v>
                </c:pt>
                <c:pt idx="14">
                  <c:v>68.995833502451546</c:v>
                </c:pt>
                <c:pt idx="15">
                  <c:v>68.998464720255058</c:v>
                </c:pt>
                <c:pt idx="16">
                  <c:v>68.999434290332985</c:v>
                </c:pt>
                <c:pt idx="17">
                  <c:v>68.999791552888652</c:v>
                </c:pt>
                <c:pt idx="18">
                  <c:v>68.999923193714523</c:v>
                </c:pt>
                <c:pt idx="19">
                  <c:v>68.999971699303273</c:v>
                </c:pt>
                <c:pt idx="20">
                  <c:v>68.999989572089319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BEC-4745-8D10-954E467D5BAF}"/>
            </c:ext>
          </c:extLst>
        </c:ser>
        <c:ser>
          <c:idx val="2"/>
          <c:order val="2"/>
          <c:tx>
            <c:v>Xmin</c:v>
          </c:tx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FT_SCurveEst!$B$9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4BEC-4745-8D10-954E467D5BAF}"/>
            </c:ext>
          </c:extLst>
        </c:ser>
        <c:ser>
          <c:idx val="3"/>
          <c:order val="3"/>
          <c:tx>
            <c:v>Xmax</c:v>
          </c:tx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FT_SCurveEst!$C$9</c:f>
              <c:numCache>
                <c:formatCode>General</c:formatCode>
                <c:ptCount val="1"/>
                <c:pt idx="0">
                  <c:v>100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4BEC-4745-8D10-954E467D5BAF}"/>
            </c:ext>
          </c:extLst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FT_SCurveEst!$D$9</c:f>
              <c:numCache>
                <c:formatCode>General</c:formatCode>
                <c:ptCount val="1"/>
                <c:pt idx="0">
                  <c:v>25</c:v>
                </c:pt>
              </c:numCache>
            </c:numRef>
          </c:xVal>
          <c:yVal>
            <c:numRef>
              <c:f>FT_SCurveEst!$E$9</c:f>
              <c:numCache>
                <c:formatCode>General</c:formatCode>
                <c:ptCount val="1"/>
                <c:pt idx="0">
                  <c:v>46.443381393398674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BEC-4745-8D10-954E467D5B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1975808"/>
        <c:axId val="472002560"/>
      </c:scatterChart>
      <c:valAx>
        <c:axId val="47197580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002560"/>
        <c:crosses val="autoZero"/>
        <c:crossBetween val="midCat"/>
      </c:valAx>
      <c:valAx>
        <c:axId val="472002560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1975808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Equation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Initial Values: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FT_Equation!$F$9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FT_Equation!$G$9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10-4772-9F38-E8E0F7CABC6B}"/>
            </c:ext>
          </c:extLst>
        </c:ser>
        <c:ser>
          <c:idx val="1"/>
          <c:order val="1"/>
          <c:tx>
            <c:strRef>
              <c:f>FT_Equation!$D$3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FT_Equation!$A$23:$A$43</c:f>
              <c:numCache>
                <c:formatCode>General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FT_Equation!$B$23:$B$43</c:f>
              <c:numCache>
                <c:formatCode>General</c:formatCode>
                <c:ptCount val="21"/>
                <c:pt idx="0">
                  <c:v>0</c:v>
                </c:pt>
                <c:pt idx="1">
                  <c:v>10000</c:v>
                </c:pt>
                <c:pt idx="2">
                  <c:v>20000</c:v>
                </c:pt>
                <c:pt idx="3">
                  <c:v>30000</c:v>
                </c:pt>
                <c:pt idx="4">
                  <c:v>40000</c:v>
                </c:pt>
                <c:pt idx="5">
                  <c:v>50000</c:v>
                </c:pt>
                <c:pt idx="6">
                  <c:v>60000</c:v>
                </c:pt>
                <c:pt idx="7">
                  <c:v>70000</c:v>
                </c:pt>
                <c:pt idx="8">
                  <c:v>80000</c:v>
                </c:pt>
                <c:pt idx="9">
                  <c:v>90000</c:v>
                </c:pt>
                <c:pt idx="10">
                  <c:v>100000</c:v>
                </c:pt>
                <c:pt idx="11">
                  <c:v>110000</c:v>
                </c:pt>
                <c:pt idx="12">
                  <c:v>120000</c:v>
                </c:pt>
                <c:pt idx="13">
                  <c:v>130000</c:v>
                </c:pt>
                <c:pt idx="14">
                  <c:v>140000</c:v>
                </c:pt>
                <c:pt idx="15">
                  <c:v>150000</c:v>
                </c:pt>
                <c:pt idx="16">
                  <c:v>160000</c:v>
                </c:pt>
                <c:pt idx="17">
                  <c:v>170000</c:v>
                </c:pt>
                <c:pt idx="18">
                  <c:v>180000</c:v>
                </c:pt>
                <c:pt idx="19">
                  <c:v>190000</c:v>
                </c:pt>
                <c:pt idx="20">
                  <c:v>200000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10-4772-9F38-E8E0F7CABC6B}"/>
            </c:ext>
          </c:extLst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FT_Equation!$B$9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AC10-4772-9F38-E8E0F7CABC6B}"/>
            </c:ext>
          </c:extLst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FT_Equation!$C$9</c:f>
              <c:numCache>
                <c:formatCode>General</c:formatCode>
                <c:ptCount val="1"/>
                <c:pt idx="0">
                  <c:v>10000000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AC10-4772-9F38-E8E0F7CABC6B}"/>
            </c:ext>
          </c:extLst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FT_Equation!$D$9</c:f>
              <c:numCache>
                <c:formatCode>General</c:formatCode>
                <c:ptCount val="1"/>
                <c:pt idx="0">
                  <c:v>1000000</c:v>
                </c:pt>
              </c:numCache>
            </c:numRef>
          </c:xVal>
          <c:yVal>
            <c:numRef>
              <c:f>FT_Equation!$E$9</c:f>
              <c:numCache>
                <c:formatCode>General</c:formatCode>
                <c:ptCount val="1"/>
                <c:pt idx="0">
                  <c:v>10000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C10-4772-9F38-E8E0F7CABC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094208"/>
        <c:axId val="472096128"/>
      </c:scatterChart>
      <c:valAx>
        <c:axId val="47209420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096128"/>
        <c:crosses val="autoZero"/>
        <c:crossBetween val="midCat"/>
      </c:valAx>
      <c:valAx>
        <c:axId val="472096128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094208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Cubic Spline Interpolation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FT_Interpolate!$F$9</c:f>
              <c:numCache>
                <c:formatCode>General</c:formatCode>
                <c:ptCount val="1"/>
                <c:pt idx="0">
                  <c:v>1.5</c:v>
                </c:pt>
              </c:numCache>
            </c:numRef>
          </c:xVal>
          <c:yVal>
            <c:numRef>
              <c:f>FT_Interpolate!$G$9</c:f>
              <c:numCache>
                <c:formatCode>General</c:formatCode>
                <c:ptCount val="1"/>
                <c:pt idx="0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D2-40DF-9B3F-07D7D0195280}"/>
            </c:ext>
          </c:extLst>
        </c:ser>
        <c:ser>
          <c:idx val="1"/>
          <c:order val="1"/>
          <c:tx>
            <c:strRef>
              <c:f>FT_Interpolate!$D$3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FT_Interpolate!$A$27:$A$47</c:f>
              <c:numCache>
                <c:formatCode>General</c:formatCode>
                <c:ptCount val="2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</c:numCache>
            </c:numRef>
          </c:xVal>
          <c:yVal>
            <c:numRef>
              <c:f>FT_Interpolate!$B$27:$B$47</c:f>
              <c:numCache>
                <c:formatCode>General</c:formatCode>
                <c:ptCount val="21"/>
                <c:pt idx="0">
                  <c:v>0</c:v>
                </c:pt>
                <c:pt idx="1">
                  <c:v>0.25057939593301437</c:v>
                </c:pt>
                <c:pt idx="2">
                  <c:v>0.475927033492823</c:v>
                </c:pt>
                <c:pt idx="3">
                  <c:v>0.65081115430622016</c:v>
                </c:pt>
                <c:pt idx="4">
                  <c:v>0.75</c:v>
                </c:pt>
                <c:pt idx="5">
                  <c:v>0.75005607057416268</c:v>
                </c:pt>
                <c:pt idx="6">
                  <c:v>0.63471889952153115</c:v>
                </c:pt>
                <c:pt idx="7">
                  <c:v>0.389522278708134</c:v>
                </c:pt>
                <c:pt idx="8">
                  <c:v>0</c:v>
                </c:pt>
                <c:pt idx="9">
                  <c:v>-0.51252242822966498</c:v>
                </c:pt>
                <c:pt idx="10">
                  <c:v>-0.98355263157894723</c:v>
                </c:pt>
                <c:pt idx="11">
                  <c:v>-1.2128065191387558</c:v>
                </c:pt>
                <c:pt idx="12">
                  <c:v>-1</c:v>
                </c:pt>
                <c:pt idx="13">
                  <c:v>-0.22731010765550241</c:v>
                </c:pt>
                <c:pt idx="14">
                  <c:v>0.89324162679425823</c:v>
                </c:pt>
                <c:pt idx="15">
                  <c:v>2.0671725478468899</c:v>
                </c:pt>
                <c:pt idx="16">
                  <c:v>3</c:v>
                </c:pt>
                <c:pt idx="17">
                  <c:v>3.4686378588516744</c:v>
                </c:pt>
                <c:pt idx="18">
                  <c:v>3.535586124401914</c:v>
                </c:pt>
                <c:pt idx="19">
                  <c:v>3.3347413277511961</c:v>
                </c:pt>
                <c:pt idx="20">
                  <c:v>2.9999999999999996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0D2-40DF-9B3F-07D7D0195280}"/>
            </c:ext>
          </c:extLst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FT_Interpolate!$B$9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D0D2-40DF-9B3F-07D7D0195280}"/>
            </c:ext>
          </c:extLst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FT_Interpolate!$C$9</c:f>
              <c:numCache>
                <c:formatCode>General</c:formatCode>
                <c:ptCount val="1"/>
                <c:pt idx="0">
                  <c:v>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D0D2-40DF-9B3F-07D7D0195280}"/>
            </c:ext>
          </c:extLst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FT_Interpolate!$D$9</c:f>
              <c:numCache>
                <c:formatCode>General</c:formatCode>
                <c:ptCount val="1"/>
                <c:pt idx="0">
                  <c:v>3.5</c:v>
                </c:pt>
              </c:numCache>
            </c:numRef>
          </c:xVal>
          <c:yVal>
            <c:numRef>
              <c:f>FT_Interpolate!$E$9</c:f>
              <c:numCache>
                <c:formatCode>General</c:formatCode>
                <c:ptCount val="1"/>
                <c:pt idx="0">
                  <c:v>0.89324162679425823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0D2-40DF-9B3F-07D7D01952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220416"/>
        <c:axId val="472222336"/>
      </c:scatterChart>
      <c:valAx>
        <c:axId val="47222041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222336"/>
        <c:crosses val="autoZero"/>
        <c:crossBetween val="midCat"/>
      </c:valAx>
      <c:valAx>
        <c:axId val="472222336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220416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SCurve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 Values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FT_SCurve3Est!$B$12</c:f>
              <c:numCache>
                <c:formatCode>_("$"* #,##0_);_("$"* \(#,##0\);_("$"* "-"??_);_(@_)</c:formatCode>
                <c:ptCount val="1"/>
                <c:pt idx="0">
                  <c:v>22434506</c:v>
                </c:pt>
              </c:numCache>
            </c:numRef>
          </c:xVal>
          <c:yVal>
            <c:numRef>
              <c:f>FT_SCurve3Est!$C$12</c:f>
              <c:numCache>
                <c:formatCode>#,##0</c:formatCode>
                <c:ptCount val="1"/>
                <c:pt idx="0">
                  <c:v>135699.3691208323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46-4C4C-A41F-AC41178611EB}"/>
            </c:ext>
          </c:extLst>
        </c:ser>
        <c:ser>
          <c:idx val="1"/>
          <c:order val="1"/>
          <c:tx>
            <c:strRef>
              <c:f>FT_SCurve3Est!$D$3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FT_SCurve3Est!$A$22:$A$42</c:f>
              <c:numCache>
                <c:formatCode>General</c:formatCode>
                <c:ptCount val="21"/>
                <c:pt idx="0">
                  <c:v>0</c:v>
                </c:pt>
                <c:pt idx="1">
                  <c:v>10000000</c:v>
                </c:pt>
                <c:pt idx="2">
                  <c:v>20000000</c:v>
                </c:pt>
                <c:pt idx="3">
                  <c:v>30000000</c:v>
                </c:pt>
                <c:pt idx="4">
                  <c:v>40000000</c:v>
                </c:pt>
                <c:pt idx="5">
                  <c:v>50000000</c:v>
                </c:pt>
                <c:pt idx="6">
                  <c:v>60000000</c:v>
                </c:pt>
                <c:pt idx="7">
                  <c:v>70000000</c:v>
                </c:pt>
                <c:pt idx="8">
                  <c:v>80000000</c:v>
                </c:pt>
                <c:pt idx="9">
                  <c:v>90000000</c:v>
                </c:pt>
                <c:pt idx="10">
                  <c:v>100000000</c:v>
                </c:pt>
                <c:pt idx="11">
                  <c:v>110000000</c:v>
                </c:pt>
                <c:pt idx="12">
                  <c:v>120000000</c:v>
                </c:pt>
                <c:pt idx="13">
                  <c:v>130000000</c:v>
                </c:pt>
                <c:pt idx="14">
                  <c:v>140000000</c:v>
                </c:pt>
                <c:pt idx="15">
                  <c:v>150000000</c:v>
                </c:pt>
                <c:pt idx="16">
                  <c:v>160000000</c:v>
                </c:pt>
                <c:pt idx="17">
                  <c:v>170000000</c:v>
                </c:pt>
                <c:pt idx="18">
                  <c:v>180000000</c:v>
                </c:pt>
                <c:pt idx="19">
                  <c:v>190000000</c:v>
                </c:pt>
                <c:pt idx="20">
                  <c:v>200000000</c:v>
                </c:pt>
              </c:numCache>
            </c:numRef>
          </c:xVal>
          <c:yVal>
            <c:numRef>
              <c:f>FT_SCurve3Est!$B$22:$B$42</c:f>
              <c:numCache>
                <c:formatCode>General</c:formatCode>
                <c:ptCount val="21"/>
                <c:pt idx="0">
                  <c:v>0</c:v>
                </c:pt>
                <c:pt idx="1">
                  <c:v>65160.884199584834</c:v>
                </c:pt>
                <c:pt idx="2">
                  <c:v>122744.77582018357</c:v>
                </c:pt>
                <c:pt idx="3">
                  <c:v>173476.53353370167</c:v>
                </c:pt>
                <c:pt idx="4">
                  <c:v>218050.60666741617</c:v>
                </c:pt>
                <c:pt idx="5">
                  <c:v>257121.2781913355</c:v>
                </c:pt>
                <c:pt idx="6">
                  <c:v>291296.63727436401</c:v>
                </c:pt>
                <c:pt idx="7">
                  <c:v>321135.50980218779</c:v>
                </c:pt>
                <c:pt idx="8">
                  <c:v>347146.64896780811</c:v>
                </c:pt>
                <c:pt idx="9">
                  <c:v>369789.58456045669</c:v>
                </c:pt>
                <c:pt idx="10">
                  <c:v>389476.63249957375</c:v>
                </c:pt>
                <c:pt idx="11">
                  <c:v>406575.66504135821</c:v>
                </c:pt>
                <c:pt idx="12">
                  <c:v>421413.33103184588</c:v>
                </c:pt>
                <c:pt idx="13">
                  <c:v>434278.49192497414</c:v>
                </c:pt>
                <c:pt idx="14">
                  <c:v>445425.7024764372</c:v>
                </c:pt>
                <c:pt idx="15">
                  <c:v>455078.61578376312</c:v>
                </c:pt>
                <c:pt idx="16">
                  <c:v>463433.23205492459</c:v>
                </c:pt>
                <c:pt idx="17">
                  <c:v>470660.94080024865</c:v>
                </c:pt>
                <c:pt idx="18">
                  <c:v>476911.32871761266</c:v>
                </c:pt>
                <c:pt idx="19">
                  <c:v>482314.74191566277</c:v>
                </c:pt>
                <c:pt idx="20">
                  <c:v>486984.60263799503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946-4C4C-A41F-AC41178611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9215488"/>
        <c:axId val="509217792"/>
      </c:scatterChart>
      <c:valAx>
        <c:axId val="50921548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 ($ MM)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509217792"/>
        <c:crosses val="autoZero"/>
        <c:crossBetween val="midCat"/>
        <c:dispUnits>
          <c:builtInUnit val="millions"/>
        </c:dispUnits>
      </c:valAx>
      <c:valAx>
        <c:axId val="509217792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509215488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682388</xdr:colOff>
      <xdr:row>44</xdr:row>
      <xdr:rowOff>15161</xdr:rowOff>
    </xdr:from>
    <xdr:to>
      <xdr:col>9</xdr:col>
      <xdr:colOff>598985</xdr:colOff>
      <xdr:row>70</xdr:row>
      <xdr:rowOff>83402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12DF50A-B5AB-43ED-81F3-18C1FBDE69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856776</xdr:colOff>
      <xdr:row>47</xdr:row>
      <xdr:rowOff>128896</xdr:rowOff>
    </xdr:from>
    <xdr:to>
      <xdr:col>5</xdr:col>
      <xdr:colOff>864358</xdr:colOff>
      <xdr:row>66</xdr:row>
      <xdr:rowOff>90985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15BBE189-7237-4C23-89B7-2896C2FACF97}"/>
            </a:ext>
          </a:extLst>
        </xdr:cNvPr>
        <xdr:cNvCxnSpPr/>
      </xdr:nvCxnSpPr>
      <xdr:spPr>
        <a:xfrm flipH="1" flipV="1">
          <a:off x="5512596" y="9813916"/>
          <a:ext cx="7582" cy="3436809"/>
        </a:xfrm>
        <a:prstGeom prst="line">
          <a:avLst/>
        </a:prstGeom>
        <a:ln>
          <a:solidFill>
            <a:schemeClr val="tx1">
              <a:lumMod val="65000"/>
              <a:lumOff val="3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1325034</xdr:colOff>
      <xdr:row>48</xdr:row>
      <xdr:rowOff>32504</xdr:rowOff>
    </xdr:from>
    <xdr:to>
      <xdr:col>24</xdr:col>
      <xdr:colOff>503767</xdr:colOff>
      <xdr:row>80</xdr:row>
      <xdr:rowOff>173567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38F244E-49E5-48D7-9EF2-F77C57AB217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0.8246</cdr:x>
      <cdr:y>0.21979</cdr:y>
    </cdr:from>
    <cdr:to>
      <cdr:x>0.90605</cdr:x>
      <cdr:y>0.25315</cdr:y>
    </cdr:to>
    <cdr:sp macro="" textlink="">
      <cdr:nvSpPr>
        <cdr:cNvPr id="3" name="TextBox 3">
          <a:extLst xmlns:a="http://schemas.openxmlformats.org/drawingml/2006/main">
            <a:ext uri="{FF2B5EF4-FFF2-40B4-BE49-F238E27FC236}">
              <a16:creationId xmlns:a16="http://schemas.microsoft.com/office/drawing/2014/main" id="{FCE4740C-4C0A-6EBF-B2FC-B223042F4193}"/>
            </a:ext>
          </a:extLst>
        </cdr:cNvPr>
        <cdr:cNvSpPr txBox="1"/>
      </cdr:nvSpPr>
      <cdr:spPr>
        <a:xfrm xmlns:a="http://schemas.openxmlformats.org/drawingml/2006/main">
          <a:off x="8768912" y="1347562"/>
          <a:ext cx="866154" cy="20456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1100" b="1"/>
            <a:t>Contextual</a:t>
          </a:r>
          <a:r>
            <a:rPr lang="en-US" sz="1100" b="1" baseline="0"/>
            <a:t> Search</a:t>
          </a:r>
          <a:endParaRPr lang="en-US" sz="1100" b="1"/>
        </a:p>
      </cdr:txBody>
    </cdr:sp>
  </cdr:relSizeAnchor>
  <cdr:relSizeAnchor xmlns:cdr="http://schemas.openxmlformats.org/drawingml/2006/chartDrawing">
    <cdr:from>
      <cdr:x>0.90324</cdr:x>
      <cdr:y>0.45805</cdr:y>
    </cdr:from>
    <cdr:to>
      <cdr:x>0.97471</cdr:x>
      <cdr:y>0.49159</cdr:y>
    </cdr:to>
    <cdr:sp macro="" textlink="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id="{8495D1F4-1B36-4DCF-59AF-DEC1A67634A3}"/>
            </a:ext>
          </a:extLst>
        </cdr:cNvPr>
        <cdr:cNvSpPr txBox="1"/>
      </cdr:nvSpPr>
      <cdr:spPr>
        <a:xfrm xmlns:a="http://schemas.openxmlformats.org/drawingml/2006/main">
          <a:off x="10581659" y="3151274"/>
          <a:ext cx="837202" cy="2307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1100" b="1"/>
            <a:t>Online</a:t>
          </a:r>
          <a:r>
            <a:rPr lang="en-US" sz="1100" b="1" baseline="0"/>
            <a:t> Video</a:t>
          </a:r>
          <a:endParaRPr lang="en-US" sz="1100" b="1"/>
        </a:p>
      </cdr:txBody>
    </cdr:sp>
  </cdr:relSizeAnchor>
  <cdr:relSizeAnchor xmlns:cdr="http://schemas.openxmlformats.org/drawingml/2006/chartDrawing">
    <cdr:from>
      <cdr:x>0.87704</cdr:x>
      <cdr:y>0.29652</cdr:y>
    </cdr:from>
    <cdr:to>
      <cdr:x>0.94851</cdr:x>
      <cdr:y>0.33007</cdr:y>
    </cdr:to>
    <cdr:sp macro="" textlink="">
      <cdr:nvSpPr>
        <cdr:cNvPr id="5" name="TextBox 3">
          <a:extLst xmlns:a="http://schemas.openxmlformats.org/drawingml/2006/main">
            <a:ext uri="{FF2B5EF4-FFF2-40B4-BE49-F238E27FC236}">
              <a16:creationId xmlns:a16="http://schemas.microsoft.com/office/drawing/2014/main" id="{C278B942-73A2-5D28-8B79-BFA9F175FFB2}"/>
            </a:ext>
          </a:extLst>
        </cdr:cNvPr>
        <cdr:cNvSpPr txBox="1"/>
      </cdr:nvSpPr>
      <cdr:spPr>
        <a:xfrm xmlns:a="http://schemas.openxmlformats.org/drawingml/2006/main">
          <a:off x="10274742" y="2040024"/>
          <a:ext cx="837202" cy="2307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1100" b="1"/>
            <a:t>Social</a:t>
          </a:r>
        </a:p>
      </cdr:txBody>
    </cdr:sp>
  </cdr:relSizeAnchor>
  <cdr:relSizeAnchor xmlns:cdr="http://schemas.openxmlformats.org/drawingml/2006/chartDrawing">
    <cdr:from>
      <cdr:x>0.90411</cdr:x>
      <cdr:y>0.70732</cdr:y>
    </cdr:from>
    <cdr:to>
      <cdr:x>0.97557</cdr:x>
      <cdr:y>0.74086</cdr:y>
    </cdr:to>
    <cdr:sp macro="" textlink="">
      <cdr:nvSpPr>
        <cdr:cNvPr id="6" name="TextBox 1">
          <a:extLst xmlns:a="http://schemas.openxmlformats.org/drawingml/2006/main">
            <a:ext uri="{FF2B5EF4-FFF2-40B4-BE49-F238E27FC236}">
              <a16:creationId xmlns:a16="http://schemas.microsoft.com/office/drawing/2014/main" id="{103AB1E8-05E4-EDF3-6580-3108841AB455}"/>
            </a:ext>
          </a:extLst>
        </cdr:cNvPr>
        <cdr:cNvSpPr txBox="1"/>
      </cdr:nvSpPr>
      <cdr:spPr>
        <a:xfrm xmlns:a="http://schemas.openxmlformats.org/drawingml/2006/main">
          <a:off x="10591801" y="4866216"/>
          <a:ext cx="837202" cy="2307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1100" b="1"/>
            <a:t>OTT</a:t>
          </a:r>
        </a:p>
      </cdr:txBody>
    </cdr:sp>
  </cdr:relSizeAnchor>
  <cdr:relSizeAnchor xmlns:cdr="http://schemas.openxmlformats.org/drawingml/2006/chartDrawing">
    <cdr:from>
      <cdr:x>0.91318</cdr:x>
      <cdr:y>0.5181</cdr:y>
    </cdr:from>
    <cdr:to>
      <cdr:x>0.98464</cdr:x>
      <cdr:y>0.55165</cdr:y>
    </cdr:to>
    <cdr:sp macro="" textlink="">
      <cdr:nvSpPr>
        <cdr:cNvPr id="7" name="TextBox 1">
          <a:extLst xmlns:a="http://schemas.openxmlformats.org/drawingml/2006/main">
            <a:ext uri="{FF2B5EF4-FFF2-40B4-BE49-F238E27FC236}">
              <a16:creationId xmlns:a16="http://schemas.microsoft.com/office/drawing/2014/main" id="{E3D5DD1A-4B3D-A9DC-817A-5DD33F989A14}"/>
            </a:ext>
          </a:extLst>
        </cdr:cNvPr>
        <cdr:cNvSpPr txBox="1"/>
      </cdr:nvSpPr>
      <cdr:spPr>
        <a:xfrm xmlns:a="http://schemas.openxmlformats.org/drawingml/2006/main">
          <a:off x="10698075" y="3564466"/>
          <a:ext cx="837202" cy="2307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1100" b="1"/>
            <a:t>Display</a:t>
          </a:r>
        </a:p>
      </cdr:txBody>
    </cdr:sp>
  </cdr:relSizeAnchor>
  <cdr:relSizeAnchor xmlns:cdr="http://schemas.openxmlformats.org/drawingml/2006/chartDrawing">
    <cdr:from>
      <cdr:x>0.91495</cdr:x>
      <cdr:y>0.59348</cdr:y>
    </cdr:from>
    <cdr:to>
      <cdr:x>0.98641</cdr:x>
      <cdr:y>0.62703</cdr:y>
    </cdr:to>
    <cdr:sp macro="" textlink="">
      <cdr:nvSpPr>
        <cdr:cNvPr id="8" name="TextBox 1">
          <a:extLst xmlns:a="http://schemas.openxmlformats.org/drawingml/2006/main">
            <a:ext uri="{FF2B5EF4-FFF2-40B4-BE49-F238E27FC236}">
              <a16:creationId xmlns:a16="http://schemas.microsoft.com/office/drawing/2014/main" id="{E3D5DD1A-4B3D-A9DC-817A-5DD33F989A14}"/>
            </a:ext>
          </a:extLst>
        </cdr:cNvPr>
        <cdr:cNvSpPr txBox="1"/>
      </cdr:nvSpPr>
      <cdr:spPr>
        <a:xfrm xmlns:a="http://schemas.openxmlformats.org/drawingml/2006/main">
          <a:off x="10718800" y="4083049"/>
          <a:ext cx="837202" cy="2307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1100" b="1"/>
            <a:t>Paid Search</a:t>
          </a:r>
        </a:p>
      </cdr:txBody>
    </cdr:sp>
  </cdr:relSizeAnchor>
  <cdr:relSizeAnchor xmlns:cdr="http://schemas.openxmlformats.org/drawingml/2006/chartDrawing">
    <cdr:from>
      <cdr:x>0.08237</cdr:x>
      <cdr:y>0.09783</cdr:y>
    </cdr:from>
    <cdr:to>
      <cdr:x>0.0926</cdr:x>
      <cdr:y>0.11378</cdr:y>
    </cdr:to>
    <cdr:sp macro="" textlink="">
      <cdr:nvSpPr>
        <cdr:cNvPr id="9" name="TextBox 8">
          <a:extLst xmlns:a="http://schemas.openxmlformats.org/drawingml/2006/main">
            <a:ext uri="{FF2B5EF4-FFF2-40B4-BE49-F238E27FC236}">
              <a16:creationId xmlns:a16="http://schemas.microsoft.com/office/drawing/2014/main" id="{A5677A40-760B-5A57-A4BA-B97DAE2118A5}"/>
            </a:ext>
          </a:extLst>
        </cdr:cNvPr>
        <cdr:cNvSpPr txBox="1"/>
      </cdr:nvSpPr>
      <cdr:spPr>
        <a:xfrm xmlns:a="http://schemas.openxmlformats.org/drawingml/2006/main">
          <a:off x="958925" y="681871"/>
          <a:ext cx="119063" cy="111125"/>
        </a:xfrm>
        <a:prstGeom xmlns:a="http://schemas.openxmlformats.org/drawingml/2006/main" prst="rect">
          <a:avLst/>
        </a:prstGeom>
        <a:solidFill xmlns:a="http://schemas.openxmlformats.org/drawingml/2006/main">
          <a:srgbClr val="FF0000"/>
        </a:solidFill>
        <a:ln xmlns:a="http://schemas.openxmlformats.org/drawingml/2006/main">
          <a:solidFill>
            <a:srgbClr val="FF0000"/>
          </a:solidFill>
        </a:ln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0.08374</cdr:x>
      <cdr:y>0.13769</cdr:y>
    </cdr:from>
    <cdr:to>
      <cdr:x>0.0926</cdr:x>
      <cdr:y>0.15364</cdr:y>
    </cdr:to>
    <cdr:sp macro="" textlink="">
      <cdr:nvSpPr>
        <cdr:cNvPr id="11" name="Flowchart: Connector 10">
          <a:extLst xmlns:a="http://schemas.openxmlformats.org/drawingml/2006/main">
            <a:ext uri="{FF2B5EF4-FFF2-40B4-BE49-F238E27FC236}">
              <a16:creationId xmlns:a16="http://schemas.microsoft.com/office/drawing/2014/main" id="{9F33864E-ADFA-B923-564A-CFA78F765C00}"/>
            </a:ext>
          </a:extLst>
        </cdr:cNvPr>
        <cdr:cNvSpPr/>
      </cdr:nvSpPr>
      <cdr:spPr>
        <a:xfrm xmlns:a="http://schemas.openxmlformats.org/drawingml/2006/main">
          <a:off x="974800" y="959683"/>
          <a:ext cx="103188" cy="111126"/>
        </a:xfrm>
        <a:prstGeom xmlns:a="http://schemas.openxmlformats.org/drawingml/2006/main" prst="flowChartConnector">
          <a:avLst/>
        </a:prstGeom>
        <a:solidFill xmlns:a="http://schemas.openxmlformats.org/drawingml/2006/main">
          <a:srgbClr val="00B050"/>
        </a:solidFill>
        <a:ln xmlns:a="http://schemas.openxmlformats.org/drawingml/2006/main">
          <a:solidFill>
            <a:srgbClr val="00B05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0.08851</cdr:x>
      <cdr:y>0.09442</cdr:y>
    </cdr:from>
    <cdr:to>
      <cdr:x>0.15465</cdr:x>
      <cdr:y>0.12175</cdr:y>
    </cdr:to>
    <cdr:sp macro="" textlink="">
      <cdr:nvSpPr>
        <cdr:cNvPr id="12" name="TextBox 11">
          <a:extLst xmlns:a="http://schemas.openxmlformats.org/drawingml/2006/main">
            <a:ext uri="{FF2B5EF4-FFF2-40B4-BE49-F238E27FC236}">
              <a16:creationId xmlns:a16="http://schemas.microsoft.com/office/drawing/2014/main" id="{A637EC31-1F19-25B2-B2A6-1451E85D161A}"/>
            </a:ext>
          </a:extLst>
        </cdr:cNvPr>
        <cdr:cNvSpPr txBox="1"/>
      </cdr:nvSpPr>
      <cdr:spPr>
        <a:xfrm xmlns:a="http://schemas.openxmlformats.org/drawingml/2006/main">
          <a:off x="1030363" y="658059"/>
          <a:ext cx="76993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r>
            <a:rPr lang="en-US" sz="1000"/>
            <a:t>Current</a:t>
          </a:r>
        </a:p>
      </cdr:txBody>
    </cdr:sp>
  </cdr:relSizeAnchor>
  <cdr:relSizeAnchor xmlns:cdr="http://schemas.openxmlformats.org/drawingml/2006/chartDrawing">
    <cdr:from>
      <cdr:x>0.0896</cdr:x>
      <cdr:y>0.13142</cdr:y>
    </cdr:from>
    <cdr:to>
      <cdr:x>0.16692</cdr:x>
      <cdr:y>0.15933</cdr:y>
    </cdr:to>
    <cdr:sp macro="" textlink="">
      <cdr:nvSpPr>
        <cdr:cNvPr id="13" name="TextBox 1">
          <a:extLst xmlns:a="http://schemas.openxmlformats.org/drawingml/2006/main">
            <a:ext uri="{FF2B5EF4-FFF2-40B4-BE49-F238E27FC236}">
              <a16:creationId xmlns:a16="http://schemas.microsoft.com/office/drawing/2014/main" id="{8C10AEC3-1CE5-22E0-D87E-EFFBC5A6EA12}"/>
            </a:ext>
          </a:extLst>
        </cdr:cNvPr>
        <cdr:cNvSpPr txBox="1"/>
      </cdr:nvSpPr>
      <cdr:spPr>
        <a:xfrm xmlns:a="http://schemas.openxmlformats.org/drawingml/2006/main">
          <a:off x="1042988" y="915987"/>
          <a:ext cx="900187" cy="19450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1000"/>
            <a:t>Optimised</a:t>
          </a: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260351</xdr:colOff>
      <xdr:row>19</xdr:row>
      <xdr:rowOff>149225</xdr:rowOff>
    </xdr:from>
    <xdr:to>
      <xdr:col>9</xdr:col>
      <xdr:colOff>406400</xdr:colOff>
      <xdr:row>40</xdr:row>
      <xdr:rowOff>34925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8471A4A-617D-430C-B46F-8150501F13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106680</xdr:colOff>
      <xdr:row>9</xdr:row>
      <xdr:rowOff>149224</xdr:rowOff>
    </xdr:from>
    <xdr:to>
      <xdr:col>16</xdr:col>
      <xdr:colOff>571500</xdr:colOff>
      <xdr:row>35</xdr:row>
      <xdr:rowOff>158749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B9170F8-54BD-4B2E-8ED7-63550BA7139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</xdr:colOff>
      <xdr:row>41</xdr:row>
      <xdr:rowOff>0</xdr:rowOff>
    </xdr:from>
    <xdr:to>
      <xdr:col>14</xdr:col>
      <xdr:colOff>165653</xdr:colOff>
      <xdr:row>58</xdr:row>
      <xdr:rowOff>173935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4A098A4-215C-4DF7-B597-C27582E4CF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0.00562</cdr:x>
      <cdr:y>0.01024</cdr:y>
    </cdr:from>
    <cdr:to>
      <cdr:x>0.17043</cdr:x>
      <cdr:y>0.03861</cdr:y>
    </cdr:to>
    <cdr:sp macro="" textlink="">
      <cdr:nvSpPr>
        <cdr:cNvPr id="2" name="TextBox 3">
          <a:extLst xmlns:a="http://schemas.openxmlformats.org/drawingml/2006/main">
            <a:ext uri="{FF2B5EF4-FFF2-40B4-BE49-F238E27FC236}">
              <a16:creationId xmlns:a16="http://schemas.microsoft.com/office/drawing/2014/main" id="{32BE6FCD-F02F-CF6B-D8EF-68313A8A496D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1490869" cy="140805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/>
            <a:t>HCC Pharmacy</a:t>
          </a:r>
        </a:p>
      </cdr:txBody>
    </cdr:sp>
  </cdr:relSizeAnchor>
  <cdr:relSizeAnchor xmlns:cdr="http://schemas.openxmlformats.org/drawingml/2006/chartDrawing">
    <cdr:from>
      <cdr:x>0.00562</cdr:x>
      <cdr:y>0.01024</cdr:y>
    </cdr:from>
    <cdr:to>
      <cdr:x>0.17043</cdr:x>
      <cdr:y>0.03861</cdr:y>
    </cdr:to>
    <cdr:sp macro="" textlink="">
      <cdr:nvSpPr>
        <cdr:cNvPr id="3" name="TextBox 3">
          <a:extLst xmlns:a="http://schemas.openxmlformats.org/drawingml/2006/main">
            <a:ext uri="{FF2B5EF4-FFF2-40B4-BE49-F238E27FC236}">
              <a16:creationId xmlns:a16="http://schemas.microsoft.com/office/drawing/2014/main" id="{32BE6FCD-F02F-CF6B-D8EF-68313A8A496D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1490869" cy="140805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/>
            <a:t>HCC Pharmacy</a:t>
          </a:r>
        </a:p>
      </cdr:txBody>
    </cdr:sp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682388</xdr:colOff>
      <xdr:row>44</xdr:row>
      <xdr:rowOff>15161</xdr:rowOff>
    </xdr:from>
    <xdr:to>
      <xdr:col>10</xdr:col>
      <xdr:colOff>28575</xdr:colOff>
      <xdr:row>73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2963373-7BEB-4BDF-AD47-33EA075D62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713901</xdr:colOff>
      <xdr:row>50</xdr:row>
      <xdr:rowOff>71746</xdr:rowOff>
    </xdr:from>
    <xdr:to>
      <xdr:col>5</xdr:col>
      <xdr:colOff>721483</xdr:colOff>
      <xdr:row>69</xdr:row>
      <xdr:rowOff>33835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EA7CC4FB-08EB-4C2D-845C-9CCE9D2F67FF}"/>
            </a:ext>
          </a:extLst>
        </xdr:cNvPr>
        <xdr:cNvCxnSpPr/>
      </xdr:nvCxnSpPr>
      <xdr:spPr>
        <a:xfrm flipH="1" flipV="1">
          <a:off x="5362101" y="10225396"/>
          <a:ext cx="7582" cy="3400614"/>
        </a:xfrm>
        <a:prstGeom prst="line">
          <a:avLst/>
        </a:prstGeom>
        <a:ln>
          <a:solidFill>
            <a:schemeClr val="tx1">
              <a:lumMod val="65000"/>
              <a:lumOff val="3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275165</xdr:colOff>
      <xdr:row>14</xdr:row>
      <xdr:rowOff>63500</xdr:rowOff>
    </xdr:from>
    <xdr:to>
      <xdr:col>17</xdr:col>
      <xdr:colOff>107033</xdr:colOff>
      <xdr:row>29</xdr:row>
      <xdr:rowOff>57856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976622D-3D7A-4CDC-ABE1-936A5D0DDE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198120</xdr:colOff>
      <xdr:row>19</xdr:row>
      <xdr:rowOff>87630</xdr:rowOff>
    </xdr:from>
    <xdr:to>
      <xdr:col>9</xdr:col>
      <xdr:colOff>457200</xdr:colOff>
      <xdr:row>40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220980</xdr:colOff>
      <xdr:row>20</xdr:row>
      <xdr:rowOff>19050</xdr:rowOff>
    </xdr:from>
    <xdr:to>
      <xdr:col>10</xdr:col>
      <xdr:colOff>525780</xdr:colOff>
      <xdr:row>43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220980</xdr:colOff>
      <xdr:row>23</xdr:row>
      <xdr:rowOff>171450</xdr:rowOff>
    </xdr:from>
    <xdr:to>
      <xdr:col>10</xdr:col>
      <xdr:colOff>289560</xdr:colOff>
      <xdr:row>45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220980</xdr:colOff>
      <xdr:row>19</xdr:row>
      <xdr:rowOff>19050</xdr:rowOff>
    </xdr:from>
    <xdr:to>
      <xdr:col>9</xdr:col>
      <xdr:colOff>114300</xdr:colOff>
      <xdr:row>34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In%20Office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MCM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HCC%20Social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HCC%20Online%20Video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Streaming%20Video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HCC%20Display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HCC%20Paid%20Search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HCC%20Radio.xlsm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TV.xlsm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PHARMACY.xlsx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microsoft.com/office/2006/relationships/xlExternalLinkPath/xlPathMissing" Target="Chart%20in%20Microsoft%20PowerPoint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Inoffice"/>
      <sheetName val="Data"/>
      <sheetName val="HCC Inoffice Curve"/>
      <sheetName val="2019"/>
      <sheetName val="2018"/>
      <sheetName val="2017"/>
    </sheetNames>
    <sheetDataSet>
      <sheetData sheetId="0"/>
      <sheetData sheetId="1"/>
      <sheetData sheetId="2">
        <row r="12">
          <cell r="B12">
            <v>1100000</v>
          </cell>
          <cell r="C12">
            <v>7211.735697901333</v>
          </cell>
          <cell r="D12">
            <v>0</v>
          </cell>
          <cell r="E12">
            <v>14423.471395802664</v>
          </cell>
          <cell r="F12">
            <v>4647854</v>
          </cell>
        </row>
      </sheetData>
      <sheetData sheetId="3"/>
      <sheetData sheetId="4"/>
      <sheetData sheetId="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P MCM"/>
      <sheetName val="Data"/>
      <sheetName val="HCP MCM SCurve"/>
    </sheetNames>
    <sheetDataSet>
      <sheetData sheetId="0"/>
      <sheetData sheetId="1"/>
      <sheetData sheetId="2">
        <row r="12">
          <cell r="B12">
            <v>10503728.719999999</v>
          </cell>
          <cell r="C12">
            <v>288339.09761974245</v>
          </cell>
          <cell r="D12">
            <v>0</v>
          </cell>
          <cell r="E12">
            <v>720847.7440493562</v>
          </cell>
          <cell r="F12">
            <v>4647854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Social"/>
      <sheetName val="Data"/>
      <sheetName val="HCC Social - Power"/>
      <sheetName val="TV - Scurve"/>
    </sheetNames>
    <sheetDataSet>
      <sheetData sheetId="0"/>
      <sheetData sheetId="1"/>
      <sheetData sheetId="2">
        <row r="12">
          <cell r="B12">
            <v>1751000</v>
          </cell>
          <cell r="C12">
            <v>23820.403572058858</v>
          </cell>
          <cell r="D12">
            <v>0.6</v>
          </cell>
        </row>
      </sheetData>
      <sheetData sheetId="3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nline Video"/>
      <sheetName val="Data"/>
      <sheetName val="HCC Online Video Curve"/>
    </sheetNames>
    <sheetDataSet>
      <sheetData sheetId="0"/>
      <sheetData sheetId="1"/>
      <sheetData sheetId="2">
        <row r="12">
          <cell r="B12">
            <v>1111779.04</v>
          </cell>
          <cell r="C12">
            <v>21646.235649615326</v>
          </cell>
          <cell r="D12">
            <v>0</v>
          </cell>
          <cell r="E12">
            <v>43292.471299230652</v>
          </cell>
          <cell r="F12">
            <v>4647854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reaming Video"/>
      <sheetName val="Data"/>
      <sheetName val="Streaming Video - Power"/>
      <sheetName val="TV - Scurve"/>
    </sheetNames>
    <sheetDataSet>
      <sheetData sheetId="0"/>
      <sheetData sheetId="1"/>
      <sheetData sheetId="2">
        <row r="12">
          <cell r="B12">
            <v>13418576</v>
          </cell>
          <cell r="C12">
            <v>100808.3256282994</v>
          </cell>
          <cell r="D12">
            <v>0.7</v>
          </cell>
        </row>
      </sheetData>
      <sheetData sheetId="3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Display"/>
      <sheetName val="Data"/>
      <sheetName val="HCC Display - Power"/>
      <sheetName val="TV - Scurve"/>
    </sheetNames>
    <sheetDataSet>
      <sheetData sheetId="0"/>
      <sheetData sheetId="1"/>
      <sheetData sheetId="2">
        <row r="12">
          <cell r="B12">
            <v>2859426.82</v>
          </cell>
          <cell r="C12">
            <v>76065.012406995462</v>
          </cell>
          <cell r="D12">
            <v>0.6</v>
          </cell>
        </row>
      </sheetData>
      <sheetData sheetId="3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Paid Search"/>
      <sheetName val="Data"/>
      <sheetName val="HCC Paid Search - Power"/>
      <sheetName val="TV - Scurve"/>
    </sheetNames>
    <sheetDataSet>
      <sheetData sheetId="0"/>
      <sheetData sheetId="1"/>
      <sheetData sheetId="2">
        <row r="12">
          <cell r="B12">
            <v>50000</v>
          </cell>
          <cell r="C12">
            <v>30136.792938374307</v>
          </cell>
          <cell r="D12">
            <v>0.7</v>
          </cell>
        </row>
      </sheetData>
      <sheetData sheetId="3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adio"/>
      <sheetName val="Data"/>
      <sheetName val="Radio - Power"/>
      <sheetName val="Radio - Scurve"/>
    </sheetNames>
    <sheetDataSet>
      <sheetData sheetId="0"/>
      <sheetData sheetId="1"/>
      <sheetData sheetId="2">
        <row r="12">
          <cell r="B12">
            <v>923975</v>
          </cell>
          <cell r="C12">
            <v>26581.559263521289</v>
          </cell>
          <cell r="D12">
            <v>0.4</v>
          </cell>
        </row>
      </sheetData>
      <sheetData sheetId="3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V"/>
      <sheetName val="Data"/>
      <sheetName val="TV - Power"/>
      <sheetName val="TV - Scurve"/>
    </sheetNames>
    <sheetDataSet>
      <sheetData sheetId="0"/>
      <sheetData sheetId="1"/>
      <sheetData sheetId="2">
        <row r="12">
          <cell r="B12">
            <v>25810928.600000001</v>
          </cell>
          <cell r="C12">
            <v>168508.00202805389</v>
          </cell>
          <cell r="D12">
            <v>0.7</v>
          </cell>
        </row>
      </sheetData>
      <sheetData sheetId="3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PHARMACY"/>
      <sheetName val="Data"/>
      <sheetName val="HCC PHARMACY SCurve"/>
    </sheetNames>
    <sheetDataSet>
      <sheetData sheetId="0"/>
      <sheetData sheetId="1"/>
      <sheetData sheetId="2">
        <row r="12">
          <cell r="B12">
            <v>2411882</v>
          </cell>
          <cell r="C12">
            <v>18205.431530494821</v>
          </cell>
          <cell r="D12">
            <v>0</v>
          </cell>
          <cell r="E12">
            <v>45513.578826237055</v>
          </cell>
          <cell r="F12">
            <v>4647854</v>
          </cell>
        </row>
      </sheetData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>
        <row r="11">
          <cell r="B11" t="str">
            <v>HCC InOffice</v>
          </cell>
          <cell r="E11">
            <v>794297</v>
          </cell>
          <cell r="F11">
            <v>5678.7947721770033</v>
          </cell>
          <cell r="H11">
            <v>1134710</v>
          </cell>
          <cell r="I11">
            <v>7367.8666140222922</v>
          </cell>
        </row>
        <row r="12">
          <cell r="B12" t="str">
            <v>HCP MCM</v>
          </cell>
          <cell r="E12">
            <v>13654847.335999999</v>
          </cell>
          <cell r="F12">
            <v>351876.44985588826</v>
          </cell>
          <cell r="H12">
            <v>10503728.719999999</v>
          </cell>
          <cell r="I12">
            <v>288339.09761974216</v>
          </cell>
        </row>
        <row r="13">
          <cell r="B13" t="str">
            <v>HCC Social</v>
          </cell>
          <cell r="E13">
            <v>2205903.3000226272</v>
          </cell>
          <cell r="F13">
            <v>27360.83264723729</v>
          </cell>
          <cell r="H13">
            <v>1751000</v>
          </cell>
          <cell r="I13">
            <v>23820.403572058858</v>
          </cell>
        </row>
        <row r="14">
          <cell r="B14" t="str">
            <v>HCC Online Video</v>
          </cell>
          <cell r="E14">
            <v>1445312.7520000001</v>
          </cell>
          <cell r="F14">
            <v>25719.483123207465</v>
          </cell>
          <cell r="H14">
            <v>1111779.04</v>
          </cell>
          <cell r="I14">
            <v>21646.235649615526</v>
          </cell>
        </row>
        <row r="15">
          <cell r="B15" t="str">
            <v>HCC Streaming Video</v>
          </cell>
          <cell r="E15">
            <v>9393003.1999999993</v>
          </cell>
          <cell r="F15">
            <v>78535.322127134612</v>
          </cell>
          <cell r="H15">
            <v>13418576</v>
          </cell>
          <cell r="I15">
            <v>100808.3256282994</v>
          </cell>
        </row>
        <row r="16">
          <cell r="B16" t="str">
            <v>HCC Display</v>
          </cell>
          <cell r="E16">
            <v>3717254.8659999999</v>
          </cell>
          <cell r="F16">
            <v>89032.988619922922</v>
          </cell>
          <cell r="H16">
            <v>2859426.82</v>
          </cell>
          <cell r="I16">
            <v>76065.012406995462</v>
          </cell>
        </row>
        <row r="17">
          <cell r="B17" t="str">
            <v>HCC Paid Search</v>
          </cell>
          <cell r="E17">
            <v>65000</v>
          </cell>
          <cell r="F17">
            <v>36212.405995131681</v>
          </cell>
          <cell r="H17">
            <v>50000</v>
          </cell>
          <cell r="I17">
            <v>30136.792938374307</v>
          </cell>
        </row>
        <row r="18">
          <cell r="B18" t="str">
            <v>HCC Radio</v>
          </cell>
          <cell r="E18">
            <v>1201167.5</v>
          </cell>
          <cell r="F18">
            <v>29522.816952164638</v>
          </cell>
          <cell r="H18">
            <v>923975</v>
          </cell>
          <cell r="I18">
            <v>26581.559263521289</v>
          </cell>
        </row>
        <row r="40">
          <cell r="B40" t="str">
            <v>HCC Linear TV</v>
          </cell>
          <cell r="D40" t="str">
            <v>HCC Display</v>
          </cell>
          <cell r="H40" t="str">
            <v>HCC Streaming Video</v>
          </cell>
          <cell r="J40" t="str">
            <v>HCC Paid Search</v>
          </cell>
          <cell r="L40" t="str">
            <v>HCC Radio</v>
          </cell>
          <cell r="N40" t="str">
            <v>HCC Social</v>
          </cell>
          <cell r="P40" t="str">
            <v>HCC MCM</v>
          </cell>
        </row>
        <row r="41">
          <cell r="B41" t="str">
            <v>Y (Incr. Doses)</v>
          </cell>
          <cell r="C41" t="str">
            <v>3-yr pre-tax Incr. Rev.</v>
          </cell>
          <cell r="D41" t="str">
            <v>Y (Incr. Doses)</v>
          </cell>
          <cell r="E41" t="str">
            <v>3-yr pre-tax Incr. Rev.</v>
          </cell>
          <cell r="G41" t="str">
            <v>3-yr pre-tax Incr. Rev.</v>
          </cell>
          <cell r="H41" t="str">
            <v>Y (Incr. Doses)</v>
          </cell>
          <cell r="I41" t="str">
            <v>3-yr pre-tax Incr. Rev.</v>
          </cell>
          <cell r="J41" t="str">
            <v>Y (Incr. Doses)</v>
          </cell>
          <cell r="K41" t="str">
            <v>3-yr pre-tax Incr. Rev.</v>
          </cell>
          <cell r="L41" t="str">
            <v>Y (Incr. Doses)</v>
          </cell>
          <cell r="M41" t="str">
            <v>3-yr pre-tax Incr. Rev.</v>
          </cell>
          <cell r="N41" t="str">
            <v>Y (Incr. Doses)</v>
          </cell>
          <cell r="O41" t="str">
            <v>3-yr pre-tax Incr. Rev.</v>
          </cell>
          <cell r="P41" t="str">
            <v>Y (Incr. Doses)</v>
          </cell>
          <cell r="Q41" t="str">
            <v>3-yr pre-tax Incr. Rev.</v>
          </cell>
        </row>
        <row r="42">
          <cell r="A42">
            <v>0</v>
          </cell>
          <cell r="B42">
            <v>0</v>
          </cell>
          <cell r="C42">
            <v>0</v>
          </cell>
          <cell r="D42">
            <v>0</v>
          </cell>
          <cell r="E42">
            <v>0</v>
          </cell>
          <cell r="G42">
            <v>0</v>
          </cell>
          <cell r="H42">
            <v>0</v>
          </cell>
          <cell r="I42">
            <v>0</v>
          </cell>
          <cell r="J42">
            <v>0</v>
          </cell>
          <cell r="K42">
            <v>0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  <cell r="P42">
            <v>0</v>
          </cell>
          <cell r="Q42">
            <v>0</v>
          </cell>
        </row>
        <row r="43">
          <cell r="A43">
            <v>200000</v>
          </cell>
          <cell r="B43">
            <v>5611.5002373501393</v>
          </cell>
          <cell r="C43">
            <v>1267862.3636268904</v>
          </cell>
          <cell r="D43">
            <v>15418.266428927403</v>
          </cell>
          <cell r="E43">
            <v>3483603.1169518577</v>
          </cell>
          <cell r="G43">
            <v>1144494.8836013516</v>
          </cell>
          <cell r="H43">
            <v>5306.6799670584487</v>
          </cell>
          <cell r="I43">
            <v>1198991.2717571859</v>
          </cell>
          <cell r="J43">
            <v>79531.473375019181</v>
          </cell>
          <cell r="K43">
            <v>17969341.094351832</v>
          </cell>
          <cell r="L43">
            <v>14412.136371822071</v>
          </cell>
          <cell r="M43">
            <v>3256278.0918494789</v>
          </cell>
          <cell r="N43">
            <v>6480.3046743965815</v>
          </cell>
          <cell r="O43">
            <v>1464160.0381331637</v>
          </cell>
          <cell r="P43">
            <v>6744.3499683793634</v>
          </cell>
          <cell r="Q43">
            <v>1523818.4318556334</v>
          </cell>
        </row>
        <row r="44">
          <cell r="A44">
            <v>400000</v>
          </cell>
          <cell r="B44">
            <v>9115.9090298824703</v>
          </cell>
          <cell r="C44">
            <v>2059648.4862116454</v>
          </cell>
          <cell r="D44">
            <v>23369.721853196384</v>
          </cell>
          <cell r="E44">
            <v>5280154.9555111909</v>
          </cell>
          <cell r="G44">
            <v>2156053.8736697803</v>
          </cell>
          <cell r="H44">
            <v>8620.7270398777109</v>
          </cell>
          <cell r="I44">
            <v>1947767.0673899699</v>
          </cell>
          <cell r="J44">
            <v>129199.25966920293</v>
          </cell>
          <cell r="K44">
            <v>29191280.72965971</v>
          </cell>
          <cell r="L44">
            <v>19016.927953756978</v>
          </cell>
          <cell r="M44">
            <v>4296684.7018718515</v>
          </cell>
          <cell r="N44">
            <v>9822.305151017672</v>
          </cell>
          <cell r="O44">
            <v>2219251.6258209329</v>
          </cell>
          <cell r="P44">
            <v>13435.838188506663</v>
          </cell>
          <cell r="Q44">
            <v>3035693.2803111952</v>
          </cell>
        </row>
        <row r="45">
          <cell r="A45">
            <v>600000</v>
          </cell>
          <cell r="B45">
            <v>12107.761676700537</v>
          </cell>
          <cell r="C45">
            <v>2735627.6732337191</v>
          </cell>
          <cell r="D45">
            <v>29806.31582437663</v>
          </cell>
          <cell r="E45">
            <v>6734438.9973596558</v>
          </cell>
          <cell r="G45">
            <v>3049902.0695450655</v>
          </cell>
          <cell r="H45">
            <v>11450.060343578602</v>
          </cell>
          <cell r="I45">
            <v>2587026.6340281493</v>
          </cell>
          <cell r="J45">
            <v>171602.61689239615</v>
          </cell>
          <cell r="K45">
            <v>38771895.260667987</v>
          </cell>
          <cell r="L45">
            <v>22365.410039276649</v>
          </cell>
          <cell r="M45">
            <v>5053240.7442741655</v>
          </cell>
          <cell r="N45">
            <v>12527.608642230847</v>
          </cell>
          <cell r="O45">
            <v>2830487.8966256375</v>
          </cell>
          <cell r="P45">
            <v>20074.687554519624</v>
          </cell>
          <cell r="Q45">
            <v>4535674.9060681639</v>
          </cell>
        </row>
        <row r="46">
          <cell r="A46">
            <v>800000</v>
          </cell>
          <cell r="B46">
            <v>14808.837908974965</v>
          </cell>
          <cell r="C46">
            <v>3345908.8371538036</v>
          </cell>
          <cell r="D46">
            <v>35421.874567629835</v>
          </cell>
          <cell r="E46">
            <v>8003218.3398102848</v>
          </cell>
          <cell r="G46">
            <v>3839568.563785255</v>
          </cell>
          <cell r="H46">
            <v>14004.412392947337</v>
          </cell>
          <cell r="I46">
            <v>3164156.9360625213</v>
          </cell>
          <cell r="J46">
            <v>209884.81654752325</v>
          </cell>
          <cell r="K46">
            <v>47421375.450747401</v>
          </cell>
          <cell r="L46">
            <v>25092.986873580521</v>
          </cell>
          <cell r="M46">
            <v>5669509.4542167829</v>
          </cell>
          <cell r="N46">
            <v>14887.830638717902</v>
          </cell>
          <cell r="O46">
            <v>3363756.4545119228</v>
          </cell>
          <cell r="P46">
            <v>26661.123724805191</v>
          </cell>
          <cell r="Q46">
            <v>6023814.2943824846</v>
          </cell>
        </row>
        <row r="47">
          <cell r="A47">
            <v>1000000</v>
          </cell>
          <cell r="B47">
            <v>17312.428335532044</v>
          </cell>
          <cell r="C47">
            <v>3911570.0581301101</v>
          </cell>
          <cell r="D47">
            <v>40496.50547128301</v>
          </cell>
          <cell r="E47">
            <v>9149780.4461816829</v>
          </cell>
          <cell r="G47">
            <v>4537064.749615455</v>
          </cell>
          <cell r="H47">
            <v>16372.006191464845</v>
          </cell>
          <cell r="I47">
            <v>3699091.078899567</v>
          </cell>
          <cell r="J47">
            <v>245368.06112200834</v>
          </cell>
          <cell r="K47">
            <v>55438459.729906566</v>
          </cell>
          <cell r="L47">
            <v>27435.720169529453</v>
          </cell>
          <cell r="M47">
            <v>6198826.6151034851</v>
          </cell>
          <cell r="N47">
            <v>17020.700408310324</v>
          </cell>
          <cell r="O47">
            <v>3845657.0502536343</v>
          </cell>
          <cell r="P47">
            <v>33195.375038976781</v>
          </cell>
          <cell r="Q47">
            <v>7500163.0363064138</v>
          </cell>
        </row>
        <row r="48">
          <cell r="A48">
            <v>1200000</v>
          </cell>
          <cell r="B48">
            <v>19669.116872820407</v>
          </cell>
          <cell r="C48">
            <v>4444040.2662450429</v>
          </cell>
          <cell r="D48">
            <v>45177.926681648685</v>
          </cell>
          <cell r="E48">
            <v>10207500.754451703</v>
          </cell>
          <cell r="G48">
            <v>5153046.2858302863</v>
          </cell>
          <cell r="H48">
            <v>18600.677904990443</v>
          </cell>
          <cell r="I48">
            <v>4202637.1658535404</v>
          </cell>
          <cell r="J48">
            <v>278769.27358369966</v>
          </cell>
          <cell r="K48">
            <v>62985129.673501097</v>
          </cell>
          <cell r="L48">
            <v>29511.335474505049</v>
          </cell>
          <cell r="M48">
            <v>6667791.1371096708</v>
          </cell>
          <cell r="N48">
            <v>18988.303957788128</v>
          </cell>
          <cell r="O48">
            <v>4290217.3962226501</v>
          </cell>
          <cell r="P48">
            <v>39677.672435625456</v>
          </cell>
          <cell r="Q48">
            <v>8964773.3101052158</v>
          </cell>
        </row>
        <row r="49">
          <cell r="A49">
            <v>1400000</v>
          </cell>
          <cell r="B49">
            <v>21910.264159564609</v>
          </cell>
          <cell r="C49">
            <v>4950405.0842120275</v>
          </cell>
          <cell r="D49">
            <v>49555.786139031705</v>
          </cell>
          <cell r="E49">
            <v>11196634.320252823</v>
          </cell>
          <cell r="G49">
            <v>5696959.6489262134</v>
          </cell>
          <cell r="H49">
            <v>20720.08464236038</v>
          </cell>
          <cell r="I49">
            <v>4681495.9240949042</v>
          </cell>
          <cell r="J49">
            <v>310532.92647973198</v>
          </cell>
          <cell r="K49">
            <v>70161809.408830643</v>
          </cell>
          <cell r="L49">
            <v>31388.284394713228</v>
          </cell>
          <cell r="M49">
            <v>7091868.9761415068</v>
          </cell>
          <cell r="N49">
            <v>20828.320358873501</v>
          </cell>
          <cell r="O49">
            <v>4705950.7018838786</v>
          </cell>
          <cell r="P49">
            <v>46108.249370880425</v>
          </cell>
          <cell r="Q49">
            <v>10417697.862856723</v>
          </cell>
        </row>
        <row r="50">
          <cell r="A50">
            <v>1600000</v>
          </cell>
          <cell r="B50">
            <v>24057.028157631961</v>
          </cell>
          <cell r="C50">
            <v>5435444.9419353651</v>
          </cell>
          <cell r="D50">
            <v>53689.522099009882</v>
          </cell>
          <cell r="E50">
            <v>12130610.623050293</v>
          </cell>
          <cell r="G50">
            <v>6177174.3007293213</v>
          </cell>
          <cell r="H50">
            <v>22750.235051464868</v>
          </cell>
          <cell r="I50">
            <v>5140188.1075279722</v>
          </cell>
          <cell r="J50">
            <v>340958.89039902925</v>
          </cell>
          <cell r="K50">
            <v>77036251.696756661</v>
          </cell>
          <cell r="L50">
            <v>33110.394684609899</v>
          </cell>
          <cell r="M50">
            <v>7480962.5750407605</v>
          </cell>
          <cell r="N50">
            <v>22565.731538505803</v>
          </cell>
          <cell r="O50">
            <v>5098501.3838100014</v>
          </cell>
          <cell r="P50">
            <v>52487.34173778072</v>
          </cell>
          <cell r="Q50">
            <v>11858989.992234176</v>
          </cell>
        </row>
        <row r="51">
          <cell r="A51">
            <v>1800000</v>
          </cell>
          <cell r="B51">
            <v>26124.545419070415</v>
          </cell>
          <cell r="C51">
            <v>5902579.7919847695</v>
          </cell>
          <cell r="D51">
            <v>57621.034577250372</v>
          </cell>
          <cell r="E51">
            <v>13018896.552383948</v>
          </cell>
          <cell r="G51">
            <v>6601101.5445576785</v>
          </cell>
          <cell r="H51">
            <v>24705.443457194888</v>
          </cell>
          <cell r="I51">
            <v>5581947.8947186125</v>
          </cell>
          <cell r="J51">
            <v>370261.69483197236</v>
          </cell>
          <cell r="K51">
            <v>83656927.330335841</v>
          </cell>
          <cell r="L51">
            <v>34707.662578253614</v>
          </cell>
          <cell r="M51">
            <v>7841849.2829306219</v>
          </cell>
          <cell r="N51">
            <v>24218.148093092648</v>
          </cell>
          <cell r="O51">
            <v>5471848.3801533533</v>
          </cell>
          <cell r="P51">
            <v>58815.187786469236</v>
          </cell>
          <cell r="Q51">
            <v>13288703.52847486</v>
          </cell>
        </row>
        <row r="52">
          <cell r="A52">
            <v>2000000</v>
          </cell>
          <cell r="B52">
            <v>28124.122804562983</v>
          </cell>
          <cell r="C52">
            <v>6354364.3064629603</v>
          </cell>
          <cell r="D52">
            <v>61381.22422860263</v>
          </cell>
          <cell r="E52">
            <v>13868473.802210478</v>
          </cell>
          <cell r="G52">
            <v>6975301.1484177262</v>
          </cell>
          <cell r="H52">
            <v>26596.402524352889</v>
          </cell>
          <cell r="I52">
            <v>6009191.1863522911</v>
          </cell>
          <cell r="J52">
            <v>398601.59127126914</v>
          </cell>
          <cell r="K52">
            <v>90060043.531830549</v>
          </cell>
          <cell r="L52">
            <v>36201.649801445565</v>
          </cell>
          <cell r="M52">
            <v>8179400.7561386107</v>
          </cell>
          <cell r="N52">
            <v>25798.557582486257</v>
          </cell>
          <cell r="O52">
            <v>5828926.1001869449</v>
          </cell>
          <cell r="P52">
            <v>65092.028045233339</v>
          </cell>
          <cell r="Q52">
            <v>14706892.81654002</v>
          </cell>
        </row>
        <row r="53">
          <cell r="A53">
            <v>2200000</v>
          </cell>
          <cell r="B53">
            <v>30064.491672450658</v>
          </cell>
          <cell r="C53">
            <v>6792771.2484735018</v>
          </cell>
          <cell r="D53">
            <v>64993.684390287664</v>
          </cell>
          <cell r="E53">
            <v>14684673.051141595</v>
          </cell>
          <cell r="G53">
            <v>7305576.7912405133</v>
          </cell>
          <cell r="H53">
            <v>28431.369318328445</v>
          </cell>
          <cell r="I53">
            <v>6423783.5837831292</v>
          </cell>
          <cell r="J53">
            <v>426102.32876156975</v>
          </cell>
          <cell r="K53">
            <v>96273560.160389066</v>
          </cell>
          <cell r="L53">
            <v>37608.450193722703</v>
          </cell>
          <cell r="M53">
            <v>8497253.2367697079</v>
          </cell>
          <cell r="N53">
            <v>27316.876297482511</v>
          </cell>
          <cell r="O53">
            <v>6171975.0306531982</v>
          </cell>
          <cell r="P53">
            <v>71318.105242387392</v>
          </cell>
          <cell r="Q53">
            <v>16113612.698465006</v>
          </cell>
        </row>
        <row r="54">
          <cell r="A54">
            <v>2400000</v>
          </cell>
          <cell r="B54">
            <v>31952.574628318467</v>
          </cell>
          <cell r="C54">
            <v>7219364.7115222747</v>
          </cell>
          <cell r="D54">
            <v>68476.931911967054</v>
          </cell>
          <cell r="E54">
            <v>15471677.996189836</v>
          </cell>
          <cell r="G54">
            <v>7597061.3464348512</v>
          </cell>
          <cell r="H54">
            <v>30216.890404357946</v>
          </cell>
          <cell r="I54">
            <v>6827204.2179606343</v>
          </cell>
          <cell r="J54">
            <v>452862.02099769411</v>
          </cell>
          <cell r="K54">
            <v>102319645.02421901</v>
          </cell>
          <cell r="L54">
            <v>38940.440616082153</v>
          </cell>
          <cell r="M54">
            <v>8798203.1527976021</v>
          </cell>
          <cell r="N54">
            <v>28780.886878754423</v>
          </cell>
          <cell r="O54">
            <v>6502753.5813857745</v>
          </cell>
          <cell r="P54">
            <v>77493.664229021408</v>
          </cell>
          <cell r="Q54">
            <v>17508918.495905098</v>
          </cell>
        </row>
        <row r="55">
          <cell r="A55">
            <v>2600000</v>
          </cell>
          <cell r="B55">
            <v>33793.979184790936</v>
          </cell>
          <cell r="C55">
            <v>7635411.6570116645</v>
          </cell>
          <cell r="D55">
            <v>71845.828526013895</v>
          </cell>
          <cell r="E55">
            <v>16232846.49716758</v>
          </cell>
          <cell r="G55">
            <v>7854292.9628001964</v>
          </cell>
          <cell r="H55">
            <v>31958.26869140529</v>
          </cell>
          <cell r="I55">
            <v>7220651.2281361111</v>
          </cell>
          <cell r="J55">
            <v>478960.14293680771</v>
          </cell>
          <cell r="K55">
            <v>108216254.69514233</v>
          </cell>
          <cell r="L55">
            <v>40207.373459884198</v>
          </cell>
          <cell r="M55">
            <v>9084453.9595262352</v>
          </cell>
          <cell r="N55">
            <v>30196.835719449435</v>
          </cell>
          <cell r="O55">
            <v>6822673.0624524048</v>
          </cell>
          <cell r="P55">
            <v>83618.951902620494</v>
          </cell>
          <cell r="Q55">
            <v>18892865.992878076</v>
          </cell>
        </row>
        <row r="56">
          <cell r="A56">
            <v>2800000</v>
          </cell>
          <cell r="B56">
            <v>35593.329136808985</v>
          </cell>
          <cell r="C56">
            <v>8041956.7851706222</v>
          </cell>
          <cell r="D56">
            <v>75112.526017376702</v>
          </cell>
          <cell r="E56">
            <v>16970924.12836609</v>
          </cell>
          <cell r="G56">
            <v>8081282.8411406297</v>
          </cell>
          <cell r="H56">
            <v>33659.876806922497</v>
          </cell>
          <cell r="I56">
            <v>7605112.5657560686</v>
          </cell>
          <cell r="J56">
            <v>504462.22736135405</v>
          </cell>
          <cell r="K56">
            <v>113978195.65002432</v>
          </cell>
          <cell r="L56">
            <v>41417.089564413494</v>
          </cell>
          <cell r="M56">
            <v>9357777.2161835842</v>
          </cell>
          <cell r="N56">
            <v>31569.830220530366</v>
          </cell>
          <cell r="O56">
            <v>7132887.4400266306</v>
          </cell>
          <cell r="P56">
            <v>89694.217131564394</v>
          </cell>
          <cell r="Q56">
            <v>20265511.418705657</v>
          </cell>
        </row>
        <row r="57">
          <cell r="A57">
            <v>3000000</v>
          </cell>
          <cell r="B57">
            <v>37354.494781339148</v>
          </cell>
          <cell r="C57">
            <v>8439874.5508957673</v>
          </cell>
          <cell r="D57">
            <v>78287.117259565202</v>
          </cell>
          <cell r="E57">
            <v>17688191.27362616</v>
          </cell>
          <cell r="G57">
            <v>8281575.5395068182</v>
          </cell>
          <cell r="H57">
            <v>35325.374810877525</v>
          </cell>
          <cell r="I57">
            <v>7981415.1847696677</v>
          </cell>
          <cell r="J57">
            <v>529423.1277698857</v>
          </cell>
          <cell r="K57">
            <v>119617861.48832798</v>
          </cell>
          <cell r="L57">
            <v>42576.000912264644</v>
          </cell>
          <cell r="M57">
            <v>9619621.6461170744</v>
          </cell>
          <cell r="N57">
            <v>32904.112421508238</v>
          </cell>
          <cell r="O57">
            <v>7434355.160515571</v>
          </cell>
          <cell r="P57">
            <v>95719.710680508986</v>
          </cell>
          <cell r="Q57">
            <v>21626911.431154199</v>
          </cell>
        </row>
        <row r="58">
          <cell r="A58">
            <v>3200000</v>
          </cell>
          <cell r="B58">
            <v>39080.757540491992</v>
          </cell>
          <cell r="C58">
            <v>8829906.3586987611</v>
          </cell>
          <cell r="D58">
            <v>81378.098093495413</v>
          </cell>
          <cell r="E58">
            <v>18386567.483244352</v>
          </cell>
          <cell r="G58">
            <v>8458302.5736109596</v>
          </cell>
          <cell r="H58">
            <v>36957.865876439937</v>
          </cell>
          <cell r="I58">
            <v>8350260.2161228396</v>
          </cell>
          <cell r="J58">
            <v>553889.35157114896</v>
          </cell>
          <cell r="K58">
            <v>125145760.09398539</v>
          </cell>
          <cell r="L58">
            <v>43689.427715155543</v>
          </cell>
          <cell r="M58">
            <v>9871189.2979622427</v>
          </cell>
          <cell r="N58">
            <v>34203.25312833942</v>
          </cell>
          <cell r="O58">
            <v>7727883.0118170083</v>
          </cell>
          <cell r="P58">
            <v>101695.68513668422</v>
          </cell>
          <cell r="Q58">
            <v>22977123.099782433</v>
          </cell>
        </row>
        <row r="59">
          <cell r="A59">
            <v>3400000</v>
          </cell>
          <cell r="B59">
            <v>40774.930605230875</v>
          </cell>
          <cell r="C59">
            <v>9212687.8209458645</v>
          </cell>
          <cell r="D59">
            <v>84392.703353188583</v>
          </cell>
          <cell r="E59">
            <v>19067687.39561943</v>
          </cell>
          <cell r="G59">
            <v>8614230.013549054</v>
          </cell>
          <cell r="H59">
            <v>38560.010380246516</v>
          </cell>
          <cell r="I59">
            <v>8712248.7453128975</v>
          </cell>
          <cell r="J59">
            <v>577900.76996050018</v>
          </cell>
          <cell r="K59">
            <v>130570899.96487541</v>
          </cell>
          <cell r="L59">
            <v>44761.840094563893</v>
          </cell>
          <cell r="M59">
            <v>10113490.150965765</v>
          </cell>
          <cell r="N59">
            <v>35470.293145185802</v>
          </cell>
          <cell r="O59">
            <v>8014158.0332232798</v>
          </cell>
          <cell r="P59">
            <v>107622.39483707212</v>
          </cell>
          <cell r="Q59">
            <v>24316203.889488075</v>
          </cell>
        </row>
        <row r="60">
          <cell r="A60">
            <v>3600000</v>
          </cell>
          <cell r="B60">
            <v>42439.449240714515</v>
          </cell>
          <cell r="C60">
            <v>9588769.161447037</v>
          </cell>
          <cell r="D60">
            <v>87337.156688206844</v>
          </cell>
          <cell r="E60">
            <v>19732957.182133455</v>
          </cell>
          <cell r="G60">
            <v>8751800.7148638312</v>
          </cell>
          <cell r="H60">
            <v>40134.111302300051</v>
          </cell>
          <cell r="I60">
            <v>9067901.1076416727</v>
          </cell>
          <cell r="J60">
            <v>601491.89781238139</v>
          </cell>
          <cell r="K60">
            <v>135901079.39172944</v>
          </cell>
          <cell r="L60">
            <v>45797.035336442001</v>
          </cell>
          <cell r="M60">
            <v>10347382.163915705</v>
          </cell>
          <cell r="N60">
            <v>36707.848274902732</v>
          </cell>
          <cell r="O60">
            <v>8293771.2392315231</v>
          </cell>
          <cell r="P60">
            <v>113500.09579651337</v>
          </cell>
          <cell r="Q60">
            <v>25644211.644264232</v>
          </cell>
        </row>
        <row r="61">
          <cell r="A61">
            <v>3800000</v>
          </cell>
          <cell r="B61">
            <v>44076.439640998062</v>
          </cell>
          <cell r="C61">
            <v>9958630.7724871021</v>
          </cell>
          <cell r="D61">
            <v>90216.859838313525</v>
          </cell>
          <cell r="E61">
            <v>20383597.311868556</v>
          </cell>
          <cell r="G61">
            <v>8873171.7620714754</v>
          </cell>
          <cell r="H61">
            <v>41682.17934043915</v>
          </cell>
          <cell r="I61">
            <v>9417671.600178821</v>
          </cell>
          <cell r="J61">
            <v>624692.8695540831</v>
          </cell>
          <cell r="K61">
            <v>141143106.94704953</v>
          </cell>
          <cell r="L61">
            <v>46798.270489480747</v>
          </cell>
          <cell r="M61">
            <v>10573601.23439328</v>
          </cell>
          <cell r="N61">
            <v>37918.188871268278</v>
          </cell>
          <cell r="O61">
            <v>8567235.5935743544</v>
          </cell>
          <cell r="P61">
            <v>119329.04563672934</v>
          </cell>
          <cell r="Q61">
            <v>26961204.571162626</v>
          </cell>
        </row>
        <row r="62">
          <cell r="A62">
            <v>4000000</v>
          </cell>
          <cell r="B62">
            <v>45687.772286846674</v>
          </cell>
          <cell r="C62">
            <v>10322695.270490138</v>
          </cell>
          <cell r="D62">
            <v>93036.538435982438</v>
          </cell>
          <cell r="E62">
            <v>21020675.494225871</v>
          </cell>
          <cell r="G62">
            <v>8980247.6466075294</v>
          </cell>
          <cell r="H62">
            <v>43205.983369721333</v>
          </cell>
          <cell r="I62">
            <v>9761959.8825548384</v>
          </cell>
          <cell r="J62">
            <v>647530.19540299417</v>
          </cell>
          <cell r="K62">
            <v>146302972.34935251</v>
          </cell>
          <cell r="L62">
            <v>47768.363296037402</v>
          </cell>
          <cell r="M62">
            <v>10792784.003106691</v>
          </cell>
          <cell r="N62">
            <v>39103.301119846867</v>
          </cell>
          <cell r="O62">
            <v>8834999.8550182004</v>
          </cell>
          <cell r="P62">
            <v>125109.50351626147</v>
          </cell>
          <cell r="Q62">
            <v>28267241.224464115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6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0C3E0255-855E-4EED-9519-AA0E88A9BAB2}">
  <we:reference id="f9d83b14-4e6f-42a7-9129-3d6070647a4c" version="2.8.0.0" store="EXCatalog" storeType="EXCatalog"/>
  <we:alternateReferences>
    <we:reference id="WA200000421" version="2.8.0.0" store="en-US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2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861EF8-6BD3-4D12-A44A-633561EF1296}">
  <sheetPr>
    <tabColor theme="7" tint="-0.249977111117893"/>
  </sheetPr>
  <dimension ref="B1:V48"/>
  <sheetViews>
    <sheetView zoomScale="80" zoomScaleNormal="80" workbookViewId="0">
      <selection activeCell="F5" sqref="F5"/>
    </sheetView>
  </sheetViews>
  <sheetFormatPr defaultColWidth="8.85546875" defaultRowHeight="15" x14ac:dyDescent="0.25"/>
  <cols>
    <col min="1" max="1" width="6.140625" style="97" customWidth="1"/>
    <col min="2" max="2" width="13.5703125" style="97" customWidth="1"/>
    <col min="3" max="3" width="18.140625" style="97" customWidth="1"/>
    <col min="4" max="4" width="14.42578125" style="97" customWidth="1"/>
    <col min="5" max="5" width="15.42578125" style="97" customWidth="1"/>
    <col min="6" max="6" width="13.5703125" style="97" customWidth="1"/>
    <col min="7" max="7" width="15.5703125" style="97" customWidth="1"/>
    <col min="8" max="8" width="15.140625" style="97" bestFit="1" customWidth="1"/>
    <col min="9" max="9" width="12.140625" style="97" bestFit="1" customWidth="1"/>
    <col min="10" max="10" width="8.85546875" style="97"/>
    <col min="11" max="11" width="15.140625" style="97" customWidth="1"/>
    <col min="12" max="12" width="14.42578125" style="97" bestFit="1" customWidth="1"/>
    <col min="13" max="13" width="11.140625" style="97" bestFit="1" customWidth="1"/>
    <col min="14" max="14" width="12.140625" style="97" bestFit="1" customWidth="1"/>
    <col min="15" max="15" width="11.140625" style="97" bestFit="1" customWidth="1"/>
    <col min="16" max="18" width="12.140625" style="97" bestFit="1" customWidth="1"/>
    <col min="19" max="19" width="8.85546875" style="97"/>
    <col min="20" max="20" width="12" style="97" bestFit="1" customWidth="1"/>
    <col min="21" max="16384" width="8.85546875" style="97"/>
  </cols>
  <sheetData>
    <row r="1" spans="2:20" x14ac:dyDescent="0.25">
      <c r="C1" s="229" t="s">
        <v>214</v>
      </c>
    </row>
    <row r="2" spans="2:20" ht="15.75" thickBot="1" x14ac:dyDescent="0.3"/>
    <row r="3" spans="2:20" ht="30.2" customHeight="1" x14ac:dyDescent="0.25">
      <c r="B3" s="399" t="s">
        <v>2</v>
      </c>
      <c r="C3" s="401" t="s">
        <v>3</v>
      </c>
      <c r="D3" s="402" t="s">
        <v>215</v>
      </c>
      <c r="E3" s="403"/>
      <c r="F3" s="402" t="s">
        <v>216</v>
      </c>
      <c r="G3" s="403"/>
      <c r="H3" s="402" t="s">
        <v>217</v>
      </c>
      <c r="I3" s="403"/>
      <c r="K3" s="399" t="s">
        <v>2</v>
      </c>
      <c r="L3" s="401" t="s">
        <v>3</v>
      </c>
      <c r="M3" s="402" t="s">
        <v>215</v>
      </c>
      <c r="N3" s="403"/>
      <c r="O3" s="402" t="s">
        <v>216</v>
      </c>
      <c r="P3" s="403"/>
      <c r="Q3" s="402" t="s">
        <v>217</v>
      </c>
      <c r="R3" s="403"/>
    </row>
    <row r="4" spans="2:20" ht="25.5" x14ac:dyDescent="0.25">
      <c r="B4" s="400"/>
      <c r="C4" s="400"/>
      <c r="D4" s="230" t="s">
        <v>218</v>
      </c>
      <c r="E4" s="231" t="s">
        <v>219</v>
      </c>
      <c r="F4" s="230" t="s">
        <v>218</v>
      </c>
      <c r="G4" s="231" t="s">
        <v>219</v>
      </c>
      <c r="H4" s="230" t="s">
        <v>218</v>
      </c>
      <c r="I4" s="231" t="s">
        <v>219</v>
      </c>
      <c r="K4" s="400"/>
      <c r="L4" s="400"/>
      <c r="M4" s="230" t="s">
        <v>218</v>
      </c>
      <c r="N4" s="231" t="s">
        <v>219</v>
      </c>
      <c r="O4" s="230" t="s">
        <v>218</v>
      </c>
      <c r="P4" s="231" t="s">
        <v>219</v>
      </c>
      <c r="Q4" s="230" t="s">
        <v>218</v>
      </c>
      <c r="R4" s="231" t="s">
        <v>219</v>
      </c>
    </row>
    <row r="5" spans="2:20" x14ac:dyDescent="0.25">
      <c r="B5" s="53" t="s">
        <v>154</v>
      </c>
      <c r="C5" s="232" t="str">
        <f>VAC_Optim_Scenario!B17</f>
        <v>HCC InOffice</v>
      </c>
      <c r="D5" s="233">
        <f>VAC_Optim_Scenario!$H36</f>
        <v>794297</v>
      </c>
      <c r="E5" s="234">
        <f>VAC_Optim_Scenario!$J36</f>
        <v>1283066.8908256721</v>
      </c>
      <c r="F5" s="233">
        <f>VAC_Optim_Scenario!$H36</f>
        <v>794297</v>
      </c>
      <c r="G5" s="234">
        <f>VAC_Optim_Scenario!$J36</f>
        <v>1283066.8908256721</v>
      </c>
      <c r="H5" s="233">
        <f>VAC_Optim_Scenario!$H36</f>
        <v>794297</v>
      </c>
      <c r="I5" s="234">
        <f>VAC_Optim_Scenario!$J36</f>
        <v>1283066.8908256721</v>
      </c>
      <c r="J5" s="235"/>
      <c r="K5" s="53" t="s">
        <v>154</v>
      </c>
      <c r="L5" s="53" t="str">
        <f>VAC_Optim_Scenario!B17</f>
        <v>HCC InOffice</v>
      </c>
      <c r="M5" s="236">
        <f>D5/1000000</f>
        <v>0.79429700000000003</v>
      </c>
      <c r="N5" s="237">
        <f t="shared" ref="N5:R13" si="0">E5/1000000</f>
        <v>1.2830668908256722</v>
      </c>
      <c r="O5" s="236">
        <f t="shared" si="0"/>
        <v>0.79429700000000003</v>
      </c>
      <c r="P5" s="237">
        <f t="shared" si="0"/>
        <v>1.2830668908256722</v>
      </c>
      <c r="Q5" s="236">
        <f t="shared" si="0"/>
        <v>0.79429700000000003</v>
      </c>
      <c r="R5" s="237">
        <f t="shared" si="0"/>
        <v>1.2830668908256722</v>
      </c>
    </row>
    <row r="6" spans="2:20" x14ac:dyDescent="0.25">
      <c r="B6" s="54" t="s">
        <v>154</v>
      </c>
      <c r="C6" s="238" t="str">
        <f>VAC_Optim_Scenario!B18</f>
        <v>HCP MCM</v>
      </c>
      <c r="D6" s="239">
        <f>VAC_Optim_Scenario!$H37</f>
        <v>13654847.335999999</v>
      </c>
      <c r="E6" s="240">
        <f>VAC_Optim_Scenario!$J37</f>
        <v>79502965.080439389</v>
      </c>
      <c r="F6" s="239">
        <f>VAC_Optim_Scenario!$H37</f>
        <v>13654847.335999999</v>
      </c>
      <c r="G6" s="240">
        <f>VAC_Optim_Scenario!$J37</f>
        <v>79502965.080439389</v>
      </c>
      <c r="H6" s="239">
        <f>VAC_Optim_Scenario!$H37</f>
        <v>13654847.335999999</v>
      </c>
      <c r="I6" s="240">
        <f>VAC_Optim_Scenario!$J37</f>
        <v>79502965.080439389</v>
      </c>
      <c r="J6" s="235"/>
      <c r="K6" s="54" t="s">
        <v>154</v>
      </c>
      <c r="L6" s="54" t="str">
        <f>VAC_Optim_Scenario!B18</f>
        <v>HCP MCM</v>
      </c>
      <c r="M6" s="241">
        <f t="shared" ref="M6:M13" si="1">D6/1000000</f>
        <v>13.654847336</v>
      </c>
      <c r="N6" s="242">
        <f t="shared" si="0"/>
        <v>79.502965080439395</v>
      </c>
      <c r="O6" s="241">
        <f t="shared" si="0"/>
        <v>13.654847336</v>
      </c>
      <c r="P6" s="242">
        <f t="shared" si="0"/>
        <v>79.502965080439395</v>
      </c>
      <c r="Q6" s="241">
        <f t="shared" si="0"/>
        <v>13.654847336</v>
      </c>
      <c r="R6" s="242">
        <f t="shared" si="0"/>
        <v>79.502965080439395</v>
      </c>
    </row>
    <row r="7" spans="2:20" x14ac:dyDescent="0.25">
      <c r="B7" s="54" t="s">
        <v>154</v>
      </c>
      <c r="C7" s="238" t="str">
        <f>VAC_Optim_Scenario!B19</f>
        <v>HCC Social</v>
      </c>
      <c r="D7" s="239">
        <f>VAC_Optim_Scenario!$H38</f>
        <v>2205903.3000226272</v>
      </c>
      <c r="E7" s="240">
        <f>VAC_Optim_Scenario!$J38</f>
        <v>6181906.528316793</v>
      </c>
      <c r="F7" s="239">
        <f>VAC_Optim_Scenario!$H38</f>
        <v>2205903.3000226272</v>
      </c>
      <c r="G7" s="240">
        <f>VAC_Optim_Scenario!$J38</f>
        <v>6181906.528316793</v>
      </c>
      <c r="H7" s="239">
        <f>VAC_Optim_Scenario!$H38</f>
        <v>2205903.3000226272</v>
      </c>
      <c r="I7" s="240">
        <f>VAC_Optim_Scenario!$J38</f>
        <v>6181906.528316793</v>
      </c>
      <c r="J7" s="243"/>
      <c r="K7" s="54" t="s">
        <v>154</v>
      </c>
      <c r="L7" s="54" t="str">
        <f>VAC_Optim_Scenario!B19</f>
        <v>HCC Social</v>
      </c>
      <c r="M7" s="241">
        <f t="shared" si="1"/>
        <v>2.2059033000226274</v>
      </c>
      <c r="N7" s="242">
        <f t="shared" si="0"/>
        <v>6.1819065283167927</v>
      </c>
      <c r="O7" s="241">
        <f t="shared" si="0"/>
        <v>2.2059033000226274</v>
      </c>
      <c r="P7" s="242">
        <f t="shared" si="0"/>
        <v>6.1819065283167927</v>
      </c>
      <c r="Q7" s="241">
        <f t="shared" si="0"/>
        <v>2.2059033000226274</v>
      </c>
      <c r="R7" s="242">
        <f t="shared" si="0"/>
        <v>6.1819065283167927</v>
      </c>
    </row>
    <row r="8" spans="2:20" x14ac:dyDescent="0.25">
      <c r="B8" s="54" t="s">
        <v>154</v>
      </c>
      <c r="C8" s="238" t="str">
        <f>VAC_Optim_Scenario!B20</f>
        <v>HCC Online Video</v>
      </c>
      <c r="D8" s="239">
        <f>VAC_Optim_Scenario!$H39</f>
        <v>1445312.7520000001</v>
      </c>
      <c r="E8" s="240">
        <f>VAC_Optim_Scenario!$J39</f>
        <v>5811060.0168574946</v>
      </c>
      <c r="F8" s="239">
        <f>VAC_Optim_Scenario!$H39</f>
        <v>1445312.7520000001</v>
      </c>
      <c r="G8" s="240">
        <f>VAC_Optim_Scenario!$J39</f>
        <v>5811060.0168574946</v>
      </c>
      <c r="H8" s="239">
        <f>VAC_Optim_Scenario!$H39</f>
        <v>1445312.7520000001</v>
      </c>
      <c r="I8" s="240">
        <f>VAC_Optim_Scenario!$J39</f>
        <v>5811060.0168574946</v>
      </c>
      <c r="J8" s="235"/>
      <c r="K8" s="54" t="s">
        <v>154</v>
      </c>
      <c r="L8" s="54" t="str">
        <f>VAC_Optim_Scenario!B20</f>
        <v>HCC Online Video</v>
      </c>
      <c r="M8" s="241">
        <f t="shared" si="1"/>
        <v>1.4453127520000002</v>
      </c>
      <c r="N8" s="242">
        <f t="shared" si="0"/>
        <v>5.8110600168574944</v>
      </c>
      <c r="O8" s="241">
        <f t="shared" si="0"/>
        <v>1.4453127520000002</v>
      </c>
      <c r="P8" s="242">
        <f t="shared" si="0"/>
        <v>5.8110600168574944</v>
      </c>
      <c r="Q8" s="241">
        <f t="shared" si="0"/>
        <v>1.4453127520000002</v>
      </c>
      <c r="R8" s="242">
        <f t="shared" si="0"/>
        <v>5.8110600168574944</v>
      </c>
    </row>
    <row r="9" spans="2:20" x14ac:dyDescent="0.25">
      <c r="B9" s="54" t="s">
        <v>154</v>
      </c>
      <c r="C9" s="238" t="str">
        <f>VAC_Optim_Scenario!B21</f>
        <v>HCC Streaming Video</v>
      </c>
      <c r="D9" s="239">
        <f>VAC_Optim_Scenario!$H40</f>
        <v>9393003.1999999993</v>
      </c>
      <c r="E9" s="240">
        <f>VAC_Optim_Scenario!$J40</f>
        <v>17744270.681404795</v>
      </c>
      <c r="F9" s="239">
        <f>VAC_Optim_Scenario!$H40</f>
        <v>9393003.1999999993</v>
      </c>
      <c r="G9" s="240">
        <f>VAC_Optim_Scenario!$J40</f>
        <v>17744270.681404795</v>
      </c>
      <c r="H9" s="239">
        <f>VAC_Optim_Scenario!$H40</f>
        <v>9393003.1999999993</v>
      </c>
      <c r="I9" s="240">
        <f>VAC_Optim_Scenario!$J40</f>
        <v>17744270.681404795</v>
      </c>
      <c r="J9" s="243"/>
      <c r="K9" s="54" t="s">
        <v>154</v>
      </c>
      <c r="L9" s="54" t="str">
        <f>VAC_Optim_Scenario!B21</f>
        <v>HCC Streaming Video</v>
      </c>
      <c r="M9" s="241">
        <f t="shared" si="1"/>
        <v>9.393003199999999</v>
      </c>
      <c r="N9" s="242">
        <f t="shared" si="0"/>
        <v>17.744270681404796</v>
      </c>
      <c r="O9" s="241">
        <f t="shared" si="0"/>
        <v>9.393003199999999</v>
      </c>
      <c r="P9" s="242">
        <f t="shared" si="0"/>
        <v>17.744270681404796</v>
      </c>
      <c r="Q9" s="241">
        <f t="shared" si="0"/>
        <v>9.393003199999999</v>
      </c>
      <c r="R9" s="242">
        <f t="shared" si="0"/>
        <v>17.744270681404796</v>
      </c>
    </row>
    <row r="10" spans="2:20" x14ac:dyDescent="0.25">
      <c r="B10" s="54" t="s">
        <v>154</v>
      </c>
      <c r="C10" s="238" t="str">
        <f>VAC_Optim_Scenario!B22</f>
        <v>HCC Display</v>
      </c>
      <c r="D10" s="239">
        <f>VAC_Optim_Scenario!$H41</f>
        <v>3717254.8659999999</v>
      </c>
      <c r="E10" s="240">
        <f>VAC_Optim_Scenario!$J41</f>
        <v>20116113.448785383</v>
      </c>
      <c r="F10" s="239">
        <f>VAC_Optim_Scenario!$H41</f>
        <v>3717254.8659999999</v>
      </c>
      <c r="G10" s="240">
        <f>VAC_Optim_Scenario!$J41</f>
        <v>20116113.448785383</v>
      </c>
      <c r="H10" s="239">
        <f>VAC_Optim_Scenario!$H41</f>
        <v>3717254.8659999999</v>
      </c>
      <c r="I10" s="240">
        <f>VAC_Optim_Scenario!$J41</f>
        <v>20116113.448785383</v>
      </c>
      <c r="J10" s="243"/>
      <c r="K10" s="54" t="s">
        <v>154</v>
      </c>
      <c r="L10" s="54" t="str">
        <f>VAC_Optim_Scenario!B22</f>
        <v>HCC Display</v>
      </c>
      <c r="M10" s="241">
        <f t="shared" si="1"/>
        <v>3.7172548659999998</v>
      </c>
      <c r="N10" s="242">
        <f t="shared" si="0"/>
        <v>20.116113448785384</v>
      </c>
      <c r="O10" s="241">
        <f t="shared" si="0"/>
        <v>3.7172548659999998</v>
      </c>
      <c r="P10" s="242">
        <f t="shared" si="0"/>
        <v>20.116113448785384</v>
      </c>
      <c r="Q10" s="241">
        <f t="shared" si="0"/>
        <v>3.7172548659999998</v>
      </c>
      <c r="R10" s="242">
        <f t="shared" si="0"/>
        <v>20.116113448785384</v>
      </c>
    </row>
    <row r="11" spans="2:20" x14ac:dyDescent="0.25">
      <c r="B11" s="54" t="s">
        <v>154</v>
      </c>
      <c r="C11" s="238" t="str">
        <f>VAC_Optim_Scenario!B23</f>
        <v>HCC Paid Search</v>
      </c>
      <c r="D11" s="239">
        <f>VAC_Optim_Scenario!$H42</f>
        <v>65000</v>
      </c>
      <c r="E11" s="240">
        <f>VAC_Optim_Scenario!$J42</f>
        <v>8181831.0105400523</v>
      </c>
      <c r="F11" s="239">
        <f>VAC_Optim_Scenario!$H42</f>
        <v>65000</v>
      </c>
      <c r="G11" s="240">
        <f>VAC_Optim_Scenario!$J42</f>
        <v>8181831.0105400523</v>
      </c>
      <c r="H11" s="239">
        <f>VAC_Optim_Scenario!$H42</f>
        <v>65000</v>
      </c>
      <c r="I11" s="240">
        <f>VAC_Optim_Scenario!$J42</f>
        <v>8181831.0105400523</v>
      </c>
      <c r="J11" s="235"/>
      <c r="K11" s="54" t="s">
        <v>154</v>
      </c>
      <c r="L11" s="54" t="str">
        <f>VAC_Optim_Scenario!B23</f>
        <v>HCC Paid Search</v>
      </c>
      <c r="M11" s="241">
        <f t="shared" si="1"/>
        <v>6.5000000000000002E-2</v>
      </c>
      <c r="N11" s="242">
        <f t="shared" si="0"/>
        <v>8.1818310105400531</v>
      </c>
      <c r="O11" s="241">
        <f t="shared" si="0"/>
        <v>6.5000000000000002E-2</v>
      </c>
      <c r="P11" s="242">
        <f t="shared" si="0"/>
        <v>8.1818310105400531</v>
      </c>
      <c r="Q11" s="241">
        <f t="shared" si="0"/>
        <v>6.5000000000000002E-2</v>
      </c>
      <c r="R11" s="242">
        <f t="shared" si="0"/>
        <v>8.1818310105400531</v>
      </c>
    </row>
    <row r="12" spans="2:20" x14ac:dyDescent="0.25">
      <c r="B12" s="54" t="s">
        <v>154</v>
      </c>
      <c r="C12" s="238" t="str">
        <f>VAC_Optim_Scenario!B24</f>
        <v>HCC Radio</v>
      </c>
      <c r="D12" s="239">
        <f>VAC_Optim_Scenario!$H43</f>
        <v>1201167.5</v>
      </c>
      <c r="E12" s="240">
        <f>VAC_Optim_Scenario!$J43</f>
        <v>6670385.2621720778</v>
      </c>
      <c r="F12" s="239">
        <f>VAC_Optim_Scenario!$H43</f>
        <v>1201167.5</v>
      </c>
      <c r="G12" s="240">
        <f>VAC_Optim_Scenario!$J43</f>
        <v>6670385.2621720778</v>
      </c>
      <c r="H12" s="239">
        <f>VAC_Optim_Scenario!$H43</f>
        <v>1201167.5</v>
      </c>
      <c r="I12" s="240">
        <f>VAC_Optim_Scenario!$J43</f>
        <v>6670385.2621720778</v>
      </c>
      <c r="J12" s="235"/>
      <c r="K12" s="54" t="s">
        <v>154</v>
      </c>
      <c r="L12" s="54" t="str">
        <f>VAC_Optim_Scenario!B24</f>
        <v>HCC Radio</v>
      </c>
      <c r="M12" s="241">
        <f t="shared" si="1"/>
        <v>1.2011674999999999</v>
      </c>
      <c r="N12" s="242">
        <f t="shared" si="0"/>
        <v>6.6703852621720774</v>
      </c>
      <c r="O12" s="241">
        <f t="shared" si="0"/>
        <v>1.2011674999999999</v>
      </c>
      <c r="P12" s="242">
        <f t="shared" si="0"/>
        <v>6.6703852621720774</v>
      </c>
      <c r="Q12" s="241">
        <f t="shared" si="0"/>
        <v>1.2011674999999999</v>
      </c>
      <c r="R12" s="242">
        <f t="shared" si="0"/>
        <v>6.6703852621720774</v>
      </c>
    </row>
    <row r="13" spans="2:20" x14ac:dyDescent="0.25">
      <c r="B13" s="252" t="s">
        <v>154</v>
      </c>
      <c r="C13" s="217" t="str">
        <f>VAC_Optim_Scenario!B25</f>
        <v>HCC Linear TV</v>
      </c>
      <c r="D13" s="253">
        <f>VAC_Optim_Scenario!$H44</f>
        <v>25810928.600000001</v>
      </c>
      <c r="E13" s="253">
        <f>VAC_Optim_Scenario!$J44</f>
        <v>38072697.978218496</v>
      </c>
      <c r="F13" s="253">
        <f>VAC_Optim_Scenario!$H44</f>
        <v>25810928.600000001</v>
      </c>
      <c r="G13" s="253">
        <f>VAC_Optim_Scenario!$J44</f>
        <v>38072697.978218496</v>
      </c>
      <c r="H13" s="253">
        <f>VAC_Optim_Scenario!$H44</f>
        <v>25810928.600000001</v>
      </c>
      <c r="I13" s="253">
        <f>VAC_Optim_Scenario!$J44</f>
        <v>38072697.978218496</v>
      </c>
      <c r="J13" s="235"/>
      <c r="K13" s="252" t="s">
        <v>154</v>
      </c>
      <c r="L13" s="252" t="str">
        <f>VAC_Optim_Scenario!B25</f>
        <v>HCC Linear TV</v>
      </c>
      <c r="M13" s="246">
        <f t="shared" si="1"/>
        <v>25.8109286</v>
      </c>
      <c r="N13" s="246">
        <f t="shared" si="0"/>
        <v>38.072697978218493</v>
      </c>
      <c r="O13" s="246">
        <f t="shared" si="0"/>
        <v>25.8109286</v>
      </c>
      <c r="P13" s="246">
        <f t="shared" si="0"/>
        <v>38.072697978218493</v>
      </c>
      <c r="Q13" s="246">
        <f t="shared" si="0"/>
        <v>25.8109286</v>
      </c>
      <c r="R13" s="246">
        <f t="shared" si="0"/>
        <v>38.072697978218493</v>
      </c>
    </row>
    <row r="14" spans="2:20" x14ac:dyDescent="0.25">
      <c r="T14" s="302"/>
    </row>
    <row r="15" spans="2:20" x14ac:dyDescent="0.25">
      <c r="C15" s="229" t="s">
        <v>220</v>
      </c>
    </row>
    <row r="17" spans="2:19" ht="38.1" customHeight="1" x14ac:dyDescent="0.25">
      <c r="C17" s="401" t="s">
        <v>3</v>
      </c>
      <c r="D17" s="402" t="s">
        <v>215</v>
      </c>
      <c r="E17" s="403"/>
      <c r="F17" s="402" t="s">
        <v>221</v>
      </c>
      <c r="G17" s="403"/>
      <c r="H17" s="402" t="s">
        <v>222</v>
      </c>
      <c r="I17" s="403"/>
      <c r="L17" s="401" t="s">
        <v>3</v>
      </c>
      <c r="M17" s="402" t="s">
        <v>215</v>
      </c>
      <c r="N17" s="403"/>
      <c r="O17" s="402" t="s">
        <v>221</v>
      </c>
      <c r="P17" s="403"/>
      <c r="Q17" s="402" t="s">
        <v>222</v>
      </c>
      <c r="R17" s="403"/>
    </row>
    <row r="18" spans="2:19" ht="25.5" x14ac:dyDescent="0.25">
      <c r="C18" s="400"/>
      <c r="D18" s="55" t="s">
        <v>218</v>
      </c>
      <c r="E18" s="55" t="s">
        <v>219</v>
      </c>
      <c r="F18" s="55" t="s">
        <v>218</v>
      </c>
      <c r="G18" s="55" t="s">
        <v>219</v>
      </c>
      <c r="H18" s="55" t="s">
        <v>218</v>
      </c>
      <c r="I18" s="55" t="s">
        <v>219</v>
      </c>
      <c r="L18" s="400"/>
      <c r="M18" s="55" t="s">
        <v>218</v>
      </c>
      <c r="N18" s="55" t="s">
        <v>219</v>
      </c>
      <c r="O18" s="55" t="s">
        <v>218</v>
      </c>
      <c r="P18" s="55" t="s">
        <v>219</v>
      </c>
      <c r="Q18" s="55" t="s">
        <v>218</v>
      </c>
      <c r="R18" s="55" t="s">
        <v>219</v>
      </c>
    </row>
    <row r="19" spans="2:19" x14ac:dyDescent="0.25">
      <c r="B19" s="53" t="s">
        <v>154</v>
      </c>
      <c r="C19" s="232" t="str">
        <f>VAC_Optim_Scenario!B17</f>
        <v>HCC InOffice</v>
      </c>
      <c r="D19" s="233">
        <f>VAC_Optim_Scenario!$H36</f>
        <v>794297</v>
      </c>
      <c r="E19" s="234">
        <f>VAC_Optim_Scenario!$J36</f>
        <v>1283066.8908256721</v>
      </c>
      <c r="F19" s="233">
        <f>VAC_Optim_Scenario!$H36</f>
        <v>794297</v>
      </c>
      <c r="G19" s="234">
        <f>VAC_Optim_Scenario!$J36</f>
        <v>1283066.8908256721</v>
      </c>
      <c r="H19" s="233">
        <f>VAC_Optim_Scenario!$H36</f>
        <v>794297</v>
      </c>
      <c r="I19" s="234">
        <f>VAC_Optim_Scenario!$J36</f>
        <v>1283066.8908256721</v>
      </c>
      <c r="J19" s="235"/>
      <c r="K19" s="53" t="s">
        <v>154</v>
      </c>
      <c r="L19" s="232" t="str">
        <f>VAC_Optim_Scenario!B17</f>
        <v>HCC InOffice</v>
      </c>
      <c r="M19" s="236">
        <f>D19/1000000</f>
        <v>0.79429700000000003</v>
      </c>
      <c r="N19" s="237">
        <f t="shared" ref="N19:R27" si="2">E19/1000000</f>
        <v>1.2830668908256722</v>
      </c>
      <c r="O19" s="236">
        <f t="shared" si="2"/>
        <v>0.79429700000000003</v>
      </c>
      <c r="P19" s="237">
        <f t="shared" si="2"/>
        <v>1.2830668908256722</v>
      </c>
      <c r="Q19" s="236">
        <f t="shared" si="2"/>
        <v>0.79429700000000003</v>
      </c>
      <c r="R19" s="237">
        <f t="shared" si="2"/>
        <v>1.2830668908256722</v>
      </c>
    </row>
    <row r="20" spans="2:19" x14ac:dyDescent="0.25">
      <c r="B20" s="54" t="s">
        <v>154</v>
      </c>
      <c r="C20" s="238" t="str">
        <f>VAC_Optim_Scenario!B18</f>
        <v>HCP MCM</v>
      </c>
      <c r="D20" s="239">
        <f>VAC_Optim_Scenario!$H37</f>
        <v>13654847.335999999</v>
      </c>
      <c r="E20" s="240">
        <f>VAC_Optim_Scenario!$J37</f>
        <v>79502965.080439389</v>
      </c>
      <c r="F20" s="239">
        <f>VAC_Optim_Scenario!$H37</f>
        <v>13654847.335999999</v>
      </c>
      <c r="G20" s="240">
        <f>VAC_Optim_Scenario!$J37</f>
        <v>79502965.080439389</v>
      </c>
      <c r="H20" s="239">
        <f>VAC_Optim_Scenario!$H37</f>
        <v>13654847.335999999</v>
      </c>
      <c r="I20" s="240">
        <f>VAC_Optim_Scenario!$J37</f>
        <v>79502965.080439389</v>
      </c>
      <c r="J20" s="235"/>
      <c r="K20" s="54" t="s">
        <v>154</v>
      </c>
      <c r="L20" s="238" t="str">
        <f>VAC_Optim_Scenario!B18</f>
        <v>HCP MCM</v>
      </c>
      <c r="M20" s="241">
        <f t="shared" ref="M20:M27" si="3">D20/1000000</f>
        <v>13.654847336</v>
      </c>
      <c r="N20" s="242">
        <f t="shared" si="2"/>
        <v>79.502965080439395</v>
      </c>
      <c r="O20" s="241">
        <f t="shared" si="2"/>
        <v>13.654847336</v>
      </c>
      <c r="P20" s="242">
        <f t="shared" si="2"/>
        <v>79.502965080439395</v>
      </c>
      <c r="Q20" s="241">
        <f t="shared" si="2"/>
        <v>13.654847336</v>
      </c>
      <c r="R20" s="242">
        <f t="shared" si="2"/>
        <v>79.502965080439395</v>
      </c>
    </row>
    <row r="21" spans="2:19" x14ac:dyDescent="0.25">
      <c r="B21" s="54" t="s">
        <v>154</v>
      </c>
      <c r="C21" s="238" t="str">
        <f>VAC_Optim_Scenario!B19</f>
        <v>HCC Social</v>
      </c>
      <c r="D21" s="239">
        <f>VAC_Optim_Scenario!$H38</f>
        <v>2205903.3000226272</v>
      </c>
      <c r="E21" s="240">
        <f>VAC_Optim_Scenario!$J38</f>
        <v>6181906.528316793</v>
      </c>
      <c r="F21" s="239">
        <f>VAC_Optim_Scenario!$H38</f>
        <v>2205903.3000226272</v>
      </c>
      <c r="G21" s="240">
        <f>VAC_Optim_Scenario!$J38</f>
        <v>6181906.528316793</v>
      </c>
      <c r="H21" s="239">
        <f>VAC_Optim_Scenario!$H38</f>
        <v>2205903.3000226272</v>
      </c>
      <c r="I21" s="240">
        <f>VAC_Optim_Scenario!$J38</f>
        <v>6181906.528316793</v>
      </c>
      <c r="J21" s="243"/>
      <c r="K21" s="54" t="s">
        <v>154</v>
      </c>
      <c r="L21" s="238" t="str">
        <f>VAC_Optim_Scenario!B19</f>
        <v>HCC Social</v>
      </c>
      <c r="M21" s="241">
        <f t="shared" si="3"/>
        <v>2.2059033000226274</v>
      </c>
      <c r="N21" s="242">
        <f t="shared" si="2"/>
        <v>6.1819065283167927</v>
      </c>
      <c r="O21" s="241">
        <f t="shared" si="2"/>
        <v>2.2059033000226274</v>
      </c>
      <c r="P21" s="242">
        <f t="shared" si="2"/>
        <v>6.1819065283167927</v>
      </c>
      <c r="Q21" s="241">
        <f t="shared" si="2"/>
        <v>2.2059033000226274</v>
      </c>
      <c r="R21" s="242">
        <f t="shared" si="2"/>
        <v>6.1819065283167927</v>
      </c>
    </row>
    <row r="22" spans="2:19" x14ac:dyDescent="0.25">
      <c r="B22" s="54" t="s">
        <v>154</v>
      </c>
      <c r="C22" s="238" t="str">
        <f>VAC_Optim_Scenario!B20</f>
        <v>HCC Online Video</v>
      </c>
      <c r="D22" s="239">
        <f>VAC_Optim_Scenario!$H39</f>
        <v>1445312.7520000001</v>
      </c>
      <c r="E22" s="240">
        <f>VAC_Optim_Scenario!$J39</f>
        <v>5811060.0168574946</v>
      </c>
      <c r="F22" s="239">
        <f>VAC_Optim_Scenario!$H39</f>
        <v>1445312.7520000001</v>
      </c>
      <c r="G22" s="240">
        <f>VAC_Optim_Scenario!$J39</f>
        <v>5811060.0168574946</v>
      </c>
      <c r="H22" s="239">
        <f>VAC_Optim_Scenario!$H39</f>
        <v>1445312.7520000001</v>
      </c>
      <c r="I22" s="240">
        <f>VAC_Optim_Scenario!$J39</f>
        <v>5811060.0168574946</v>
      </c>
      <c r="J22" s="235"/>
      <c r="K22" s="54" t="s">
        <v>154</v>
      </c>
      <c r="L22" s="238" t="str">
        <f>VAC_Optim_Scenario!B20</f>
        <v>HCC Online Video</v>
      </c>
      <c r="M22" s="241">
        <f t="shared" si="3"/>
        <v>1.4453127520000002</v>
      </c>
      <c r="N22" s="242">
        <f t="shared" si="2"/>
        <v>5.8110600168574944</v>
      </c>
      <c r="O22" s="241">
        <f t="shared" si="2"/>
        <v>1.4453127520000002</v>
      </c>
      <c r="P22" s="242">
        <f t="shared" si="2"/>
        <v>5.8110600168574944</v>
      </c>
      <c r="Q22" s="241">
        <f t="shared" si="2"/>
        <v>1.4453127520000002</v>
      </c>
      <c r="R22" s="242">
        <f t="shared" si="2"/>
        <v>5.8110600168574944</v>
      </c>
    </row>
    <row r="23" spans="2:19" x14ac:dyDescent="0.25">
      <c r="B23" s="54" t="s">
        <v>154</v>
      </c>
      <c r="C23" s="238" t="str">
        <f>VAC_Optim_Scenario!B21</f>
        <v>HCC Streaming Video</v>
      </c>
      <c r="D23" s="239">
        <f>VAC_Optim_Scenario!$H40</f>
        <v>9393003.1999999993</v>
      </c>
      <c r="E23" s="240">
        <f>VAC_Optim_Scenario!$J40</f>
        <v>17744270.681404795</v>
      </c>
      <c r="F23" s="239">
        <f>VAC_Optim_Scenario!$H40</f>
        <v>9393003.1999999993</v>
      </c>
      <c r="G23" s="240">
        <f>VAC_Optim_Scenario!$J40</f>
        <v>17744270.681404795</v>
      </c>
      <c r="H23" s="239">
        <f>VAC_Optim_Scenario!$H40</f>
        <v>9393003.1999999993</v>
      </c>
      <c r="I23" s="240">
        <f>VAC_Optim_Scenario!$J40</f>
        <v>17744270.681404795</v>
      </c>
      <c r="J23" s="243"/>
      <c r="K23" s="54" t="s">
        <v>154</v>
      </c>
      <c r="L23" s="238" t="str">
        <f>VAC_Optim_Scenario!B21</f>
        <v>HCC Streaming Video</v>
      </c>
      <c r="M23" s="241">
        <f t="shared" si="3"/>
        <v>9.393003199999999</v>
      </c>
      <c r="N23" s="242">
        <f t="shared" si="2"/>
        <v>17.744270681404796</v>
      </c>
      <c r="O23" s="241">
        <f t="shared" si="2"/>
        <v>9.393003199999999</v>
      </c>
      <c r="P23" s="242">
        <f t="shared" si="2"/>
        <v>17.744270681404796</v>
      </c>
      <c r="Q23" s="241">
        <f t="shared" si="2"/>
        <v>9.393003199999999</v>
      </c>
      <c r="R23" s="242">
        <f t="shared" si="2"/>
        <v>17.744270681404796</v>
      </c>
    </row>
    <row r="24" spans="2:19" x14ac:dyDescent="0.25">
      <c r="B24" s="54" t="s">
        <v>154</v>
      </c>
      <c r="C24" s="238" t="str">
        <f>VAC_Optim_Scenario!B22</f>
        <v>HCC Display</v>
      </c>
      <c r="D24" s="239">
        <f>VAC_Optim_Scenario!$H41</f>
        <v>3717254.8659999999</v>
      </c>
      <c r="E24" s="240">
        <f>VAC_Optim_Scenario!$J41</f>
        <v>20116113.448785383</v>
      </c>
      <c r="F24" s="239">
        <f>VAC_Optim_Scenario!$H41</f>
        <v>3717254.8659999999</v>
      </c>
      <c r="G24" s="240">
        <f>VAC_Optim_Scenario!$J41</f>
        <v>20116113.448785383</v>
      </c>
      <c r="H24" s="239">
        <f>VAC_Optim_Scenario!$H41</f>
        <v>3717254.8659999999</v>
      </c>
      <c r="I24" s="240">
        <f>VAC_Optim_Scenario!$J41</f>
        <v>20116113.448785383</v>
      </c>
      <c r="J24" s="243"/>
      <c r="K24" s="54" t="s">
        <v>154</v>
      </c>
      <c r="L24" s="238" t="str">
        <f>VAC_Optim_Scenario!B22</f>
        <v>HCC Display</v>
      </c>
      <c r="M24" s="241">
        <f t="shared" si="3"/>
        <v>3.7172548659999998</v>
      </c>
      <c r="N24" s="242">
        <f t="shared" si="2"/>
        <v>20.116113448785384</v>
      </c>
      <c r="O24" s="241">
        <f t="shared" si="2"/>
        <v>3.7172548659999998</v>
      </c>
      <c r="P24" s="242">
        <f t="shared" si="2"/>
        <v>20.116113448785384</v>
      </c>
      <c r="Q24" s="241">
        <f t="shared" si="2"/>
        <v>3.7172548659999998</v>
      </c>
      <c r="R24" s="242">
        <f t="shared" si="2"/>
        <v>20.116113448785384</v>
      </c>
    </row>
    <row r="25" spans="2:19" x14ac:dyDescent="0.25">
      <c r="B25" s="54" t="s">
        <v>154</v>
      </c>
      <c r="C25" s="238" t="str">
        <f>VAC_Optim_Scenario!B23</f>
        <v>HCC Paid Search</v>
      </c>
      <c r="D25" s="239">
        <f>VAC_Optim_Scenario!$H42</f>
        <v>65000</v>
      </c>
      <c r="E25" s="240">
        <f>VAC_Optim_Scenario!$J42</f>
        <v>8181831.0105400523</v>
      </c>
      <c r="F25" s="239">
        <f>VAC_Optim_Scenario!$H42</f>
        <v>65000</v>
      </c>
      <c r="G25" s="240">
        <f>VAC_Optim_Scenario!$J42</f>
        <v>8181831.0105400523</v>
      </c>
      <c r="H25" s="239">
        <f>VAC_Optim_Scenario!$H42</f>
        <v>65000</v>
      </c>
      <c r="I25" s="240">
        <f>VAC_Optim_Scenario!$J42</f>
        <v>8181831.0105400523</v>
      </c>
      <c r="J25" s="243"/>
      <c r="K25" s="54" t="s">
        <v>154</v>
      </c>
      <c r="L25" s="238" t="str">
        <f>VAC_Optim_Scenario!B23</f>
        <v>HCC Paid Search</v>
      </c>
      <c r="M25" s="241">
        <f t="shared" si="3"/>
        <v>6.5000000000000002E-2</v>
      </c>
      <c r="N25" s="242">
        <f t="shared" si="2"/>
        <v>8.1818310105400531</v>
      </c>
      <c r="O25" s="241">
        <f t="shared" si="2"/>
        <v>6.5000000000000002E-2</v>
      </c>
      <c r="P25" s="242">
        <f t="shared" si="2"/>
        <v>8.1818310105400531</v>
      </c>
      <c r="Q25" s="241">
        <f t="shared" si="2"/>
        <v>6.5000000000000002E-2</v>
      </c>
      <c r="R25" s="242">
        <f t="shared" si="2"/>
        <v>8.1818310105400531</v>
      </c>
    </row>
    <row r="26" spans="2:19" x14ac:dyDescent="0.25">
      <c r="B26" s="54" t="s">
        <v>154</v>
      </c>
      <c r="C26" s="238" t="str">
        <f>VAC_Optim_Scenario!B24</f>
        <v>HCC Radio</v>
      </c>
      <c r="D26" s="239">
        <f>VAC_Optim_Scenario!$H43</f>
        <v>1201167.5</v>
      </c>
      <c r="E26" s="240">
        <f>VAC_Optim_Scenario!$J43</f>
        <v>6670385.2621720778</v>
      </c>
      <c r="F26" s="239">
        <f>VAC_Optim_Scenario!$H43</f>
        <v>1201167.5</v>
      </c>
      <c r="G26" s="240">
        <f>VAC_Optim_Scenario!$J43</f>
        <v>6670385.2621720778</v>
      </c>
      <c r="H26" s="239">
        <f>VAC_Optim_Scenario!$H43</f>
        <v>1201167.5</v>
      </c>
      <c r="I26" s="240">
        <f>VAC_Optim_Scenario!$J43</f>
        <v>6670385.2621720778</v>
      </c>
      <c r="J26" s="243"/>
      <c r="K26" s="54" t="s">
        <v>154</v>
      </c>
      <c r="L26" s="238" t="str">
        <f>VAC_Optim_Scenario!B24</f>
        <v>HCC Radio</v>
      </c>
      <c r="M26" s="241">
        <f t="shared" si="3"/>
        <v>1.2011674999999999</v>
      </c>
      <c r="N26" s="242">
        <f t="shared" si="2"/>
        <v>6.6703852621720774</v>
      </c>
      <c r="O26" s="241">
        <f t="shared" si="2"/>
        <v>1.2011674999999999</v>
      </c>
      <c r="P26" s="242">
        <f t="shared" si="2"/>
        <v>6.6703852621720774</v>
      </c>
      <c r="Q26" s="241">
        <f t="shared" si="2"/>
        <v>1.2011674999999999</v>
      </c>
      <c r="R26" s="242">
        <f t="shared" si="2"/>
        <v>6.6703852621720774</v>
      </c>
    </row>
    <row r="27" spans="2:19" x14ac:dyDescent="0.25">
      <c r="B27" s="252" t="s">
        <v>154</v>
      </c>
      <c r="C27" s="217" t="str">
        <f>VAC_Optim_Scenario!B25</f>
        <v>HCC Linear TV</v>
      </c>
      <c r="D27" s="253">
        <f>VAC_Optim_Scenario!$H44</f>
        <v>25810928.600000001</v>
      </c>
      <c r="E27" s="253">
        <f>VAC_Optim_Scenario!$J44</f>
        <v>38072697.978218496</v>
      </c>
      <c r="F27" s="253">
        <f>VAC_Optim_Scenario!$H44</f>
        <v>25810928.600000001</v>
      </c>
      <c r="G27" s="253">
        <f>VAC_Optim_Scenario!$J44</f>
        <v>38072697.978218496</v>
      </c>
      <c r="H27" s="253">
        <f>VAC_Optim_Scenario!$H44</f>
        <v>25810928.600000001</v>
      </c>
      <c r="I27" s="253">
        <f>VAC_Optim_Scenario!$J44</f>
        <v>38072697.978218496</v>
      </c>
      <c r="J27" s="243"/>
      <c r="K27" s="252" t="s">
        <v>154</v>
      </c>
      <c r="L27" s="217" t="str">
        <f>VAC_Optim_Scenario!B25</f>
        <v>HCC Linear TV</v>
      </c>
      <c r="M27" s="246">
        <f t="shared" si="3"/>
        <v>25.8109286</v>
      </c>
      <c r="N27" s="246">
        <f t="shared" si="2"/>
        <v>38.072697978218493</v>
      </c>
      <c r="O27" s="246">
        <f t="shared" si="2"/>
        <v>25.8109286</v>
      </c>
      <c r="P27" s="246">
        <f t="shared" si="2"/>
        <v>38.072697978218493</v>
      </c>
      <c r="Q27" s="246">
        <f t="shared" si="2"/>
        <v>25.8109286</v>
      </c>
      <c r="R27" s="246">
        <f t="shared" si="2"/>
        <v>38.072697978218493</v>
      </c>
    </row>
    <row r="30" spans="2:19" ht="34.35" customHeight="1" x14ac:dyDescent="0.25">
      <c r="C30" s="273" t="s">
        <v>3</v>
      </c>
      <c r="D30" s="274" t="s">
        <v>223</v>
      </c>
      <c r="E30" s="244">
        <v>-0.5</v>
      </c>
      <c r="F30" s="244">
        <v>2</v>
      </c>
      <c r="G30" s="244">
        <v>-0.4</v>
      </c>
      <c r="H30" s="244">
        <v>0.4</v>
      </c>
      <c r="J30" s="97" t="s">
        <v>3</v>
      </c>
      <c r="K30" s="97" t="s">
        <v>208</v>
      </c>
      <c r="L30" s="97" t="s">
        <v>209</v>
      </c>
      <c r="M30" s="97" t="s">
        <v>210</v>
      </c>
      <c r="N30" s="97" t="s">
        <v>226</v>
      </c>
      <c r="O30" s="97" t="s">
        <v>228</v>
      </c>
      <c r="P30" s="97" t="s">
        <v>211</v>
      </c>
      <c r="Q30" s="97" t="s">
        <v>212</v>
      </c>
      <c r="R30" s="97" t="s">
        <v>177</v>
      </c>
      <c r="S30" s="97" t="s">
        <v>176</v>
      </c>
    </row>
    <row r="31" spans="2:19" x14ac:dyDescent="0.25">
      <c r="B31" s="53" t="s">
        <v>154</v>
      </c>
      <c r="C31" s="303" t="str">
        <f>VAC_Optim_Scenario!B17</f>
        <v>HCC InOffice</v>
      </c>
      <c r="D31" s="236">
        <f>M19</f>
        <v>0.79429700000000003</v>
      </c>
      <c r="E31" s="236">
        <f>O5</f>
        <v>0.79429700000000003</v>
      </c>
      <c r="F31" s="236">
        <f>Q5</f>
        <v>0.79429700000000003</v>
      </c>
      <c r="G31" s="236">
        <f>O19</f>
        <v>0.79429700000000003</v>
      </c>
      <c r="H31" s="236">
        <f>Q19</f>
        <v>0.79429700000000003</v>
      </c>
      <c r="J31" s="245">
        <v>-0.5</v>
      </c>
      <c r="K31" s="246">
        <f>E$31</f>
        <v>0.79429700000000003</v>
      </c>
      <c r="L31" s="246">
        <f>E$32</f>
        <v>13.654847336</v>
      </c>
      <c r="M31" s="246">
        <f>E$33</f>
        <v>2.2059033000226274</v>
      </c>
      <c r="N31" s="246">
        <f>E$34</f>
        <v>1.4453127520000002</v>
      </c>
      <c r="O31" s="246">
        <f>E$35</f>
        <v>9.393003199999999</v>
      </c>
      <c r="P31" s="246">
        <f>E$36</f>
        <v>3.7172548659999998</v>
      </c>
      <c r="Q31" s="246">
        <f>E$37</f>
        <v>6.5000000000000002E-2</v>
      </c>
      <c r="R31" s="246">
        <f>E$38</f>
        <v>1.2011674999999999</v>
      </c>
      <c r="S31" s="246">
        <f>E$39</f>
        <v>25.8109286</v>
      </c>
    </row>
    <row r="32" spans="2:19" x14ac:dyDescent="0.25">
      <c r="B32" s="54" t="s">
        <v>154</v>
      </c>
      <c r="C32" s="304" t="str">
        <f>VAC_Optim_Scenario!B18</f>
        <v>HCP MCM</v>
      </c>
      <c r="D32" s="241">
        <f t="shared" ref="D32:D39" si="4">M20</f>
        <v>13.654847336</v>
      </c>
      <c r="E32" s="241">
        <f t="shared" ref="E32:E39" si="5">O6</f>
        <v>13.654847336</v>
      </c>
      <c r="F32" s="241">
        <f t="shared" ref="F32:F39" si="6">Q6</f>
        <v>13.654847336</v>
      </c>
      <c r="G32" s="241">
        <f t="shared" ref="G32:G39" si="7">O20</f>
        <v>13.654847336</v>
      </c>
      <c r="H32" s="241">
        <f t="shared" ref="H32:H39" si="8">Q20</f>
        <v>13.654847336</v>
      </c>
      <c r="J32" s="245">
        <v>-0.4</v>
      </c>
      <c r="K32" s="246">
        <f>G$31</f>
        <v>0.79429700000000003</v>
      </c>
      <c r="L32" s="246">
        <f>G$32</f>
        <v>13.654847336</v>
      </c>
      <c r="M32" s="246">
        <f>G$33</f>
        <v>2.2059033000226274</v>
      </c>
      <c r="N32" s="246">
        <f>G$34</f>
        <v>1.4453127520000002</v>
      </c>
      <c r="O32" s="246">
        <f>G$35</f>
        <v>9.393003199999999</v>
      </c>
      <c r="P32" s="246">
        <f>G$36</f>
        <v>3.7172548659999998</v>
      </c>
      <c r="Q32" s="246">
        <f>G$37</f>
        <v>6.5000000000000002E-2</v>
      </c>
      <c r="R32" s="246">
        <f>G$38</f>
        <v>1.2011674999999999</v>
      </c>
      <c r="S32" s="246">
        <f>G$39</f>
        <v>25.8109286</v>
      </c>
    </row>
    <row r="33" spans="2:22" x14ac:dyDescent="0.25">
      <c r="B33" s="54" t="s">
        <v>154</v>
      </c>
      <c r="C33" s="304" t="str">
        <f>VAC_Optim_Scenario!B19</f>
        <v>HCC Social</v>
      </c>
      <c r="D33" s="241">
        <f t="shared" si="4"/>
        <v>2.2059033000226274</v>
      </c>
      <c r="E33" s="241">
        <f t="shared" si="5"/>
        <v>2.2059033000226274</v>
      </c>
      <c r="F33" s="241">
        <f t="shared" si="6"/>
        <v>2.2059033000226274</v>
      </c>
      <c r="G33" s="241">
        <f t="shared" si="7"/>
        <v>2.2059033000226274</v>
      </c>
      <c r="H33" s="241">
        <f t="shared" si="8"/>
        <v>2.2059033000226274</v>
      </c>
      <c r="J33" s="245" t="s">
        <v>223</v>
      </c>
      <c r="K33" s="246">
        <f>D$31</f>
        <v>0.79429700000000003</v>
      </c>
      <c r="L33" s="246">
        <f>D$32</f>
        <v>13.654847336</v>
      </c>
      <c r="M33" s="246">
        <f>D$33</f>
        <v>2.2059033000226274</v>
      </c>
      <c r="N33" s="246">
        <f>D$34</f>
        <v>1.4453127520000002</v>
      </c>
      <c r="O33" s="246">
        <f>D$35</f>
        <v>9.393003199999999</v>
      </c>
      <c r="P33" s="246">
        <f>D$36</f>
        <v>3.7172548659999998</v>
      </c>
      <c r="Q33" s="246">
        <f>D$37</f>
        <v>6.5000000000000002E-2</v>
      </c>
      <c r="R33" s="246">
        <f>D$38</f>
        <v>1.2011674999999999</v>
      </c>
      <c r="S33" s="246">
        <f>D$39</f>
        <v>25.8109286</v>
      </c>
    </row>
    <row r="34" spans="2:22" x14ac:dyDescent="0.25">
      <c r="B34" s="54" t="s">
        <v>154</v>
      </c>
      <c r="C34" s="304" t="str">
        <f>VAC_Optim_Scenario!B20</f>
        <v>HCC Online Video</v>
      </c>
      <c r="D34" s="241">
        <f t="shared" si="4"/>
        <v>1.4453127520000002</v>
      </c>
      <c r="E34" s="241">
        <f t="shared" si="5"/>
        <v>1.4453127520000002</v>
      </c>
      <c r="F34" s="241">
        <f t="shared" si="6"/>
        <v>1.4453127520000002</v>
      </c>
      <c r="G34" s="241">
        <f t="shared" si="7"/>
        <v>1.4453127520000002</v>
      </c>
      <c r="H34" s="241">
        <f t="shared" si="8"/>
        <v>1.4453127520000002</v>
      </c>
      <c r="J34" s="245">
        <v>0.4</v>
      </c>
      <c r="K34" s="246">
        <f>H$31</f>
        <v>0.79429700000000003</v>
      </c>
      <c r="L34" s="246">
        <f>H$32</f>
        <v>13.654847336</v>
      </c>
      <c r="M34" s="246">
        <f>H$33</f>
        <v>2.2059033000226274</v>
      </c>
      <c r="N34" s="246">
        <f>H$34</f>
        <v>1.4453127520000002</v>
      </c>
      <c r="O34" s="246">
        <f>H$35</f>
        <v>9.393003199999999</v>
      </c>
      <c r="P34" s="246">
        <f>H$36</f>
        <v>3.7172548659999998</v>
      </c>
      <c r="Q34" s="246">
        <f>H$37</f>
        <v>6.5000000000000002E-2</v>
      </c>
      <c r="R34" s="246">
        <f>H$38</f>
        <v>1.2011674999999999</v>
      </c>
      <c r="S34" s="246">
        <f>H$39</f>
        <v>25.8109286</v>
      </c>
    </row>
    <row r="35" spans="2:22" x14ac:dyDescent="0.25">
      <c r="B35" s="54" t="s">
        <v>154</v>
      </c>
      <c r="C35" s="304" t="str">
        <f>VAC_Optim_Scenario!B21</f>
        <v>HCC Streaming Video</v>
      </c>
      <c r="D35" s="241">
        <f t="shared" si="4"/>
        <v>9.393003199999999</v>
      </c>
      <c r="E35" s="241">
        <f t="shared" si="5"/>
        <v>9.393003199999999</v>
      </c>
      <c r="F35" s="241">
        <f t="shared" si="6"/>
        <v>9.393003199999999</v>
      </c>
      <c r="G35" s="241">
        <f t="shared" si="7"/>
        <v>9.393003199999999</v>
      </c>
      <c r="H35" s="241">
        <f t="shared" si="8"/>
        <v>9.393003199999999</v>
      </c>
      <c r="J35" s="244">
        <v>2</v>
      </c>
      <c r="K35" s="246">
        <f>F$31</f>
        <v>0.79429700000000003</v>
      </c>
      <c r="L35" s="246">
        <f>F$32</f>
        <v>13.654847336</v>
      </c>
      <c r="M35" s="246">
        <f>F$33</f>
        <v>2.2059033000226274</v>
      </c>
      <c r="N35" s="246">
        <f>F$34</f>
        <v>1.4453127520000002</v>
      </c>
      <c r="O35" s="246">
        <f>F$35</f>
        <v>9.393003199999999</v>
      </c>
      <c r="P35" s="246">
        <f>F$36</f>
        <v>3.7172548659999998</v>
      </c>
      <c r="Q35" s="246">
        <f>F$37</f>
        <v>6.5000000000000002E-2</v>
      </c>
      <c r="R35" s="246">
        <f>F$38</f>
        <v>1.2011674999999999</v>
      </c>
      <c r="S35" s="246">
        <f>F$39</f>
        <v>25.8109286</v>
      </c>
    </row>
    <row r="36" spans="2:22" x14ac:dyDescent="0.25">
      <c r="B36" s="54" t="s">
        <v>154</v>
      </c>
      <c r="C36" s="304" t="str">
        <f>VAC_Optim_Scenario!B22</f>
        <v>HCC Display</v>
      </c>
      <c r="D36" s="241">
        <f t="shared" si="4"/>
        <v>3.7172548659999998</v>
      </c>
      <c r="E36" s="241">
        <f t="shared" si="5"/>
        <v>3.7172548659999998</v>
      </c>
      <c r="F36" s="241">
        <f t="shared" si="6"/>
        <v>3.7172548659999998</v>
      </c>
      <c r="G36" s="241">
        <f t="shared" si="7"/>
        <v>3.7172548659999998</v>
      </c>
      <c r="H36" s="241">
        <f t="shared" si="8"/>
        <v>3.7172548659999998</v>
      </c>
    </row>
    <row r="37" spans="2:22" x14ac:dyDescent="0.25">
      <c r="B37" s="54" t="s">
        <v>154</v>
      </c>
      <c r="C37" s="304" t="str">
        <f>VAC_Optim_Scenario!B23</f>
        <v>HCC Paid Search</v>
      </c>
      <c r="D37" s="241">
        <f t="shared" si="4"/>
        <v>6.5000000000000002E-2</v>
      </c>
      <c r="E37" s="241">
        <f t="shared" si="5"/>
        <v>6.5000000000000002E-2</v>
      </c>
      <c r="F37" s="241">
        <f t="shared" si="6"/>
        <v>6.5000000000000002E-2</v>
      </c>
      <c r="G37" s="241">
        <f t="shared" si="7"/>
        <v>6.5000000000000002E-2</v>
      </c>
      <c r="H37" s="241">
        <f t="shared" si="8"/>
        <v>6.5000000000000002E-2</v>
      </c>
      <c r="J37" s="264"/>
      <c r="K37" s="247"/>
      <c r="L37" s="247"/>
      <c r="M37" s="247"/>
      <c r="N37" s="247"/>
      <c r="O37" s="247"/>
      <c r="P37" s="247"/>
      <c r="Q37" s="247"/>
      <c r="R37" s="247"/>
    </row>
    <row r="38" spans="2:22" x14ac:dyDescent="0.25">
      <c r="B38" s="54" t="s">
        <v>154</v>
      </c>
      <c r="C38" s="304" t="str">
        <f>VAC_Optim_Scenario!B24</f>
        <v>HCC Radio</v>
      </c>
      <c r="D38" s="241">
        <f t="shared" si="4"/>
        <v>1.2011674999999999</v>
      </c>
      <c r="E38" s="241">
        <f t="shared" si="5"/>
        <v>1.2011674999999999</v>
      </c>
      <c r="F38" s="241">
        <f t="shared" si="6"/>
        <v>1.2011674999999999</v>
      </c>
      <c r="G38" s="241">
        <f t="shared" si="7"/>
        <v>1.2011674999999999</v>
      </c>
      <c r="H38" s="241">
        <f t="shared" si="8"/>
        <v>1.2011674999999999</v>
      </c>
      <c r="J38" s="265"/>
      <c r="K38" s="248"/>
      <c r="L38" s="248"/>
      <c r="M38" s="248"/>
      <c r="N38" s="248"/>
      <c r="O38" s="248"/>
      <c r="P38" s="248"/>
      <c r="Q38" s="248"/>
      <c r="R38" s="248"/>
    </row>
    <row r="39" spans="2:22" x14ac:dyDescent="0.25">
      <c r="B39" s="97" t="s">
        <v>154</v>
      </c>
      <c r="C39" s="305" t="str">
        <f>VAC_Optim_Scenario!B25</f>
        <v>HCC Linear TV</v>
      </c>
      <c r="D39" s="241">
        <f t="shared" si="4"/>
        <v>25.8109286</v>
      </c>
      <c r="E39" s="241">
        <f t="shared" si="5"/>
        <v>25.8109286</v>
      </c>
      <c r="F39" s="241">
        <f t="shared" si="6"/>
        <v>25.8109286</v>
      </c>
      <c r="G39" s="241">
        <f t="shared" si="7"/>
        <v>25.8109286</v>
      </c>
      <c r="H39" s="241">
        <f t="shared" si="8"/>
        <v>25.8109286</v>
      </c>
      <c r="J39" s="264"/>
      <c r="K39" s="247"/>
      <c r="L39" s="247"/>
      <c r="M39" s="247"/>
      <c r="N39" s="247"/>
      <c r="O39" s="247"/>
      <c r="P39" s="247"/>
      <c r="Q39" s="247"/>
      <c r="R39" s="247"/>
    </row>
    <row r="40" spans="2:22" x14ac:dyDescent="0.25">
      <c r="L40" s="168"/>
      <c r="M40" s="168"/>
      <c r="O40" s="168"/>
      <c r="P40" s="168"/>
    </row>
    <row r="41" spans="2:22" x14ac:dyDescent="0.25">
      <c r="L41" s="246"/>
      <c r="M41" s="246"/>
      <c r="N41" s="246"/>
      <c r="O41" s="246"/>
      <c r="P41" s="246"/>
    </row>
    <row r="42" spans="2:22" x14ac:dyDescent="0.25">
      <c r="L42" s="246"/>
      <c r="M42" s="246"/>
      <c r="N42" s="246"/>
      <c r="O42" s="246"/>
      <c r="P42" s="246"/>
    </row>
    <row r="43" spans="2:22" x14ac:dyDescent="0.25">
      <c r="L43" s="246"/>
      <c r="M43" s="246"/>
      <c r="N43" s="246"/>
      <c r="O43" s="246"/>
      <c r="P43" s="246"/>
    </row>
    <row r="44" spans="2:22" x14ac:dyDescent="0.25">
      <c r="L44" s="246"/>
      <c r="M44" s="246"/>
      <c r="N44" s="246"/>
      <c r="O44" s="246"/>
      <c r="P44" s="246"/>
      <c r="S44" s="249"/>
      <c r="T44" s="249"/>
      <c r="V44" s="249"/>
    </row>
    <row r="45" spans="2:22" x14ac:dyDescent="0.25">
      <c r="L45" s="246"/>
      <c r="M45" s="246"/>
      <c r="N45" s="246"/>
      <c r="O45" s="246"/>
      <c r="P45" s="250"/>
      <c r="S45" s="251"/>
      <c r="T45" s="251"/>
      <c r="U45" s="251"/>
      <c r="V45" s="251"/>
    </row>
    <row r="46" spans="2:22" x14ac:dyDescent="0.25">
      <c r="L46" s="246"/>
      <c r="M46" s="246"/>
      <c r="N46" s="246"/>
      <c r="O46" s="246"/>
      <c r="P46" s="246"/>
      <c r="S46" s="251"/>
      <c r="T46" s="251"/>
      <c r="U46" s="251"/>
      <c r="V46" s="251"/>
    </row>
    <row r="47" spans="2:22" x14ac:dyDescent="0.25">
      <c r="L47" s="246"/>
      <c r="M47" s="246"/>
      <c r="N47" s="246"/>
      <c r="O47" s="246"/>
      <c r="P47" s="246"/>
    </row>
    <row r="48" spans="2:22" x14ac:dyDescent="0.25">
      <c r="L48" s="246"/>
      <c r="M48" s="246"/>
      <c r="N48" s="246"/>
      <c r="O48" s="246"/>
      <c r="P48" s="246"/>
    </row>
  </sheetData>
  <mergeCells count="18">
    <mergeCell ref="O17:P17"/>
    <mergeCell ref="Q17:R17"/>
    <mergeCell ref="L3:L4"/>
    <mergeCell ref="M3:N3"/>
    <mergeCell ref="O3:P3"/>
    <mergeCell ref="Q3:R3"/>
    <mergeCell ref="M17:N17"/>
    <mergeCell ref="C17:C18"/>
    <mergeCell ref="D17:E17"/>
    <mergeCell ref="F17:G17"/>
    <mergeCell ref="H17:I17"/>
    <mergeCell ref="L17:L18"/>
    <mergeCell ref="K3:K4"/>
    <mergeCell ref="B3:B4"/>
    <mergeCell ref="C3:C4"/>
    <mergeCell ref="D3:E3"/>
    <mergeCell ref="F3:G3"/>
    <mergeCell ref="H3:I3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95D6A7-D12C-41E1-BC43-76752311D7E0}">
  <dimension ref="A3:U192"/>
  <sheetViews>
    <sheetView showGridLines="0" tabSelected="1" zoomScale="75" zoomScaleNormal="75" workbookViewId="0">
      <selection activeCell="E12" sqref="E12"/>
    </sheetView>
  </sheetViews>
  <sheetFormatPr defaultColWidth="8.85546875" defaultRowHeight="15" x14ac:dyDescent="0.25"/>
  <cols>
    <col min="1" max="1" width="16.42578125" style="97" bestFit="1" customWidth="1"/>
    <col min="2" max="2" width="23.140625" style="97" customWidth="1"/>
    <col min="3" max="3" width="16.42578125" style="97" customWidth="1"/>
    <col min="4" max="4" width="19.42578125" style="97" customWidth="1"/>
    <col min="5" max="5" width="26" style="97" bestFit="1" customWidth="1"/>
    <col min="6" max="6" width="15.42578125" style="97" customWidth="1"/>
    <col min="7" max="7" width="15.85546875" style="97" customWidth="1"/>
    <col min="8" max="8" width="15" style="97" customWidth="1"/>
    <col min="9" max="9" width="17.140625" style="97" bestFit="1" customWidth="1"/>
    <col min="10" max="10" width="13" style="97" customWidth="1"/>
    <col min="11" max="11" width="14.5703125" style="97" customWidth="1"/>
    <col min="12" max="12" width="23" style="97" customWidth="1"/>
    <col min="13" max="13" width="23.85546875" style="97" bestFit="1" customWidth="1"/>
    <col min="14" max="14" width="24.85546875" style="97" bestFit="1" customWidth="1"/>
    <col min="15" max="16" width="17.5703125" style="97" customWidth="1"/>
    <col min="17" max="17" width="17.140625" style="97" customWidth="1"/>
    <col min="18" max="18" width="7.42578125" style="97" bestFit="1" customWidth="1"/>
    <col min="19" max="19" width="11.7109375" style="97" bestFit="1" customWidth="1"/>
    <col min="20" max="20" width="7.42578125" style="97" bestFit="1" customWidth="1"/>
    <col min="21" max="21" width="11.7109375" style="97" bestFit="1" customWidth="1"/>
    <col min="22" max="16384" width="8.85546875" style="97"/>
  </cols>
  <sheetData>
    <row r="3" spans="1:15" ht="15.75" thickBot="1" x14ac:dyDescent="0.3">
      <c r="A3" s="6" t="s">
        <v>0</v>
      </c>
      <c r="B3" s="98" t="s">
        <v>300</v>
      </c>
      <c r="C3" s="98"/>
      <c r="D3" s="98"/>
      <c r="E3" s="98"/>
      <c r="F3" s="98"/>
      <c r="G3" s="98"/>
      <c r="H3" s="98"/>
      <c r="I3" s="98"/>
      <c r="L3" s="370"/>
      <c r="M3" s="370"/>
      <c r="N3" s="370"/>
      <c r="O3" s="370"/>
    </row>
    <row r="4" spans="1:15" ht="15.75" thickBot="1" x14ac:dyDescent="0.3">
      <c r="A4" s="7" t="s">
        <v>2</v>
      </c>
      <c r="B4" s="8" t="s">
        <v>301</v>
      </c>
      <c r="C4" s="9" t="s">
        <v>4</v>
      </c>
      <c r="D4" s="10" t="s">
        <v>302</v>
      </c>
      <c r="E4" s="9" t="s">
        <v>116</v>
      </c>
      <c r="F4" s="14" t="s">
        <v>303</v>
      </c>
      <c r="G4" s="98"/>
      <c r="H4" s="98"/>
      <c r="I4" s="98"/>
      <c r="L4" s="370"/>
      <c r="M4" s="370"/>
      <c r="N4" s="370"/>
      <c r="O4" s="370"/>
    </row>
    <row r="5" spans="1:15" ht="15.75" thickBot="1" x14ac:dyDescent="0.3">
      <c r="A5" s="11" t="s">
        <v>3</v>
      </c>
      <c r="B5" s="12" t="s">
        <v>304</v>
      </c>
      <c r="C5" s="13" t="s">
        <v>5</v>
      </c>
      <c r="D5" s="14" t="s">
        <v>303</v>
      </c>
      <c r="E5" s="13" t="s">
        <v>104</v>
      </c>
      <c r="F5" s="14" t="s">
        <v>303</v>
      </c>
      <c r="G5" s="98"/>
      <c r="H5" s="98"/>
      <c r="I5" s="98"/>
      <c r="L5" s="490" t="s">
        <v>305</v>
      </c>
      <c r="M5" s="370" t="s">
        <v>306</v>
      </c>
      <c r="N5" s="491" t="s">
        <v>307</v>
      </c>
      <c r="O5" s="370">
        <v>4</v>
      </c>
    </row>
    <row r="6" spans="1:15" ht="15.75" thickBot="1" x14ac:dyDescent="0.3">
      <c r="A6" s="29" t="s">
        <v>38</v>
      </c>
      <c r="B6" s="463"/>
      <c r="C6" s="464"/>
      <c r="D6" s="464"/>
      <c r="E6" s="464"/>
      <c r="F6" s="465"/>
      <c r="G6" s="98"/>
      <c r="H6" s="98"/>
      <c r="I6" s="98"/>
      <c r="L6" s="490" t="s">
        <v>308</v>
      </c>
      <c r="M6" s="370" t="s">
        <v>309</v>
      </c>
      <c r="N6" s="491" t="s">
        <v>310</v>
      </c>
      <c r="O6" s="370">
        <v>20</v>
      </c>
    </row>
    <row r="7" spans="1:15" ht="15.75" thickBot="1" x14ac:dyDescent="0.3">
      <c r="A7" s="98"/>
      <c r="B7" s="98"/>
      <c r="C7" s="98"/>
      <c r="D7" s="98"/>
      <c r="E7" s="98"/>
      <c r="F7" s="98"/>
      <c r="G7" s="98"/>
      <c r="H7" s="98"/>
      <c r="I7" s="98"/>
      <c r="L7" s="490" t="s">
        <v>311</v>
      </c>
      <c r="M7" s="370" t="s">
        <v>312</v>
      </c>
      <c r="N7" s="491" t="s">
        <v>313</v>
      </c>
      <c r="O7" s="370">
        <v>37</v>
      </c>
    </row>
    <row r="8" spans="1:15" ht="15.75" thickBot="1" x14ac:dyDescent="0.3">
      <c r="A8" s="492"/>
      <c r="B8" s="493"/>
      <c r="C8" s="494">
        <v>0.7</v>
      </c>
      <c r="D8" s="494">
        <v>1.3</v>
      </c>
      <c r="E8" s="493"/>
      <c r="F8" s="493"/>
      <c r="G8" s="493"/>
      <c r="H8" s="493"/>
      <c r="I8" s="493"/>
      <c r="J8" s="495"/>
      <c r="L8" s="490" t="s">
        <v>314</v>
      </c>
      <c r="M8" s="370" t="s">
        <v>315</v>
      </c>
      <c r="N8" s="370"/>
      <c r="O8" s="370"/>
    </row>
    <row r="9" spans="1:15" ht="15" customHeight="1" x14ac:dyDescent="0.25">
      <c r="A9" s="496" t="s">
        <v>8</v>
      </c>
      <c r="B9" s="497" t="s">
        <v>77</v>
      </c>
      <c r="C9" s="479" t="s">
        <v>9</v>
      </c>
      <c r="D9" s="498"/>
      <c r="E9" s="457" t="s">
        <v>12</v>
      </c>
      <c r="F9" s="457"/>
      <c r="G9" s="457"/>
      <c r="H9" s="457" t="s">
        <v>124</v>
      </c>
      <c r="I9" s="457"/>
      <c r="J9" s="462"/>
      <c r="L9" s="490" t="s">
        <v>316</v>
      </c>
      <c r="M9" s="370" t="s">
        <v>317</v>
      </c>
      <c r="N9" s="370"/>
      <c r="O9" s="370"/>
    </row>
    <row r="10" spans="1:15" ht="25.5" x14ac:dyDescent="0.25">
      <c r="A10" s="499"/>
      <c r="B10" s="500"/>
      <c r="C10" s="373" t="s">
        <v>10</v>
      </c>
      <c r="D10" s="373" t="s">
        <v>11</v>
      </c>
      <c r="E10" s="373" t="s">
        <v>20</v>
      </c>
      <c r="F10" s="373" t="s">
        <v>21</v>
      </c>
      <c r="G10" s="373" t="s">
        <v>117</v>
      </c>
      <c r="H10" s="373" t="s">
        <v>22</v>
      </c>
      <c r="I10" s="373" t="s">
        <v>22</v>
      </c>
      <c r="J10" s="501" t="s">
        <v>123</v>
      </c>
      <c r="L10" s="370"/>
      <c r="M10" s="370"/>
      <c r="N10" s="370"/>
      <c r="O10" s="370"/>
    </row>
    <row r="11" spans="1:15" x14ac:dyDescent="0.25">
      <c r="A11" s="499"/>
      <c r="B11" s="375" t="s">
        <v>236</v>
      </c>
      <c r="C11" s="502">
        <v>794297</v>
      </c>
      <c r="D11" s="503">
        <v>1475123</v>
      </c>
      <c r="E11" s="504">
        <v>794297</v>
      </c>
      <c r="F11" s="505">
        <v>5678.7947721770033</v>
      </c>
      <c r="G11" s="505">
        <v>5678.7947721770033</v>
      </c>
      <c r="H11" s="506">
        <v>1134710</v>
      </c>
      <c r="I11" s="339">
        <v>7367.8666140222922</v>
      </c>
      <c r="J11" s="507">
        <v>7367.8666140222922</v>
      </c>
      <c r="L11" s="370"/>
      <c r="M11" s="370"/>
      <c r="N11" s="370"/>
      <c r="O11" s="370"/>
    </row>
    <row r="12" spans="1:15" x14ac:dyDescent="0.25">
      <c r="A12" s="499"/>
      <c r="B12" s="375" t="s">
        <v>209</v>
      </c>
      <c r="C12" s="502">
        <v>7352610.1039999984</v>
      </c>
      <c r="D12" s="503">
        <v>13654847.335999999</v>
      </c>
      <c r="E12" s="504">
        <v>13654847.335999999</v>
      </c>
      <c r="F12" s="505">
        <v>351876.44985588826</v>
      </c>
      <c r="G12" s="505">
        <v>351876.44985588826</v>
      </c>
      <c r="H12" s="506">
        <v>10503728.719999999</v>
      </c>
      <c r="I12" s="339">
        <v>288339.09761974216</v>
      </c>
      <c r="J12" s="507">
        <v>288339.09761974216</v>
      </c>
    </row>
    <row r="13" spans="1:15" x14ac:dyDescent="0.25">
      <c r="A13" s="499"/>
      <c r="B13" s="375" t="s">
        <v>210</v>
      </c>
      <c r="C13" s="502">
        <v>1225700</v>
      </c>
      <c r="D13" s="503">
        <v>2276300</v>
      </c>
      <c r="E13" s="504">
        <v>2205903.3000226272</v>
      </c>
      <c r="F13" s="505">
        <v>27360.83264723729</v>
      </c>
      <c r="G13" s="505">
        <v>27360.83264723729</v>
      </c>
      <c r="H13" s="506">
        <v>1751000</v>
      </c>
      <c r="I13" s="339">
        <v>23820.403572058858</v>
      </c>
      <c r="J13" s="507">
        <v>23820.403572058858</v>
      </c>
    </row>
    <row r="14" spans="1:15" x14ac:dyDescent="0.25">
      <c r="A14" s="499"/>
      <c r="B14" s="375" t="s">
        <v>226</v>
      </c>
      <c r="C14" s="502">
        <v>778245.32799999998</v>
      </c>
      <c r="D14" s="503">
        <v>1445312.7520000001</v>
      </c>
      <c r="E14" s="504">
        <v>1445312.7520000001</v>
      </c>
      <c r="F14" s="505">
        <v>25719.483123207465</v>
      </c>
      <c r="G14" s="505">
        <v>25719.483123207465</v>
      </c>
      <c r="H14" s="506">
        <v>1111779.04</v>
      </c>
      <c r="I14" s="339">
        <v>21646.235649615526</v>
      </c>
      <c r="J14" s="507">
        <v>21646.235649615526</v>
      </c>
    </row>
    <row r="15" spans="1:15" x14ac:dyDescent="0.25">
      <c r="A15" s="499"/>
      <c r="B15" s="375" t="s">
        <v>228</v>
      </c>
      <c r="C15" s="502">
        <v>9393003.1999999993</v>
      </c>
      <c r="D15" s="503">
        <v>17444148.800000001</v>
      </c>
      <c r="E15" s="504">
        <v>9393003.1999999993</v>
      </c>
      <c r="F15" s="505">
        <v>78535.322127134612</v>
      </c>
      <c r="G15" s="505">
        <v>78535.322127134612</v>
      </c>
      <c r="H15" s="506">
        <v>13418576</v>
      </c>
      <c r="I15" s="339">
        <v>100808.3256282994</v>
      </c>
      <c r="J15" s="507">
        <v>100808.3256282994</v>
      </c>
    </row>
    <row r="16" spans="1:15" x14ac:dyDescent="0.25">
      <c r="A16" s="499"/>
      <c r="B16" s="375" t="s">
        <v>211</v>
      </c>
      <c r="C16" s="502">
        <v>2001598.7739999997</v>
      </c>
      <c r="D16" s="503">
        <v>3717254.8659999999</v>
      </c>
      <c r="E16" s="504">
        <v>3717254.8659999999</v>
      </c>
      <c r="F16" s="505">
        <v>89032.988619922922</v>
      </c>
      <c r="G16" s="505">
        <v>89032.988619922922</v>
      </c>
      <c r="H16" s="506">
        <v>2859426.82</v>
      </c>
      <c r="I16" s="339">
        <v>76065.012406995462</v>
      </c>
      <c r="J16" s="507">
        <v>76065.012406995462</v>
      </c>
    </row>
    <row r="17" spans="1:10" x14ac:dyDescent="0.25">
      <c r="A17" s="499"/>
      <c r="B17" s="375" t="s">
        <v>212</v>
      </c>
      <c r="C17" s="502">
        <v>35000</v>
      </c>
      <c r="D17" s="503">
        <v>65000</v>
      </c>
      <c r="E17" s="504">
        <v>65000</v>
      </c>
      <c r="F17" s="505">
        <v>36212.405995131681</v>
      </c>
      <c r="G17" s="505">
        <v>36212.405995131681</v>
      </c>
      <c r="H17" s="506">
        <v>50000</v>
      </c>
      <c r="I17" s="339">
        <v>30136.792938374307</v>
      </c>
      <c r="J17" s="507">
        <v>30136.792938374307</v>
      </c>
    </row>
    <row r="18" spans="1:10" x14ac:dyDescent="0.25">
      <c r="A18" s="499"/>
      <c r="B18" s="375" t="s">
        <v>177</v>
      </c>
      <c r="C18" s="503">
        <v>646782.5</v>
      </c>
      <c r="D18" s="503">
        <v>1201167.5</v>
      </c>
      <c r="E18" s="504">
        <v>1201167.5</v>
      </c>
      <c r="F18" s="505">
        <v>29522.816952164638</v>
      </c>
      <c r="G18" s="505">
        <v>29522.816952164638</v>
      </c>
      <c r="H18" s="506">
        <v>923975</v>
      </c>
      <c r="I18" s="339">
        <v>26581.559263521289</v>
      </c>
      <c r="J18" s="339">
        <v>26581.559263521289</v>
      </c>
    </row>
    <row r="19" spans="1:10" x14ac:dyDescent="0.25">
      <c r="A19" s="499"/>
      <c r="B19" s="375" t="s">
        <v>237</v>
      </c>
      <c r="C19" s="503">
        <v>25810928.600000001</v>
      </c>
      <c r="D19" s="503">
        <v>25810928.600000001</v>
      </c>
      <c r="E19" s="504">
        <v>25810928.600000001</v>
      </c>
      <c r="F19" s="505">
        <v>168508.00202805389</v>
      </c>
      <c r="G19" s="505">
        <v>168508.00202805389</v>
      </c>
      <c r="H19" s="506">
        <v>25810928.600000001</v>
      </c>
      <c r="I19" s="339">
        <v>168508.00202805389</v>
      </c>
      <c r="J19" s="339">
        <v>168508.00202805389</v>
      </c>
    </row>
    <row r="20" spans="1:10" x14ac:dyDescent="0.25">
      <c r="A20" s="499"/>
      <c r="B20" s="375" t="s">
        <v>238</v>
      </c>
      <c r="C20" s="503">
        <v>1688377.5999999999</v>
      </c>
      <c r="D20" s="503">
        <v>3135558.4</v>
      </c>
      <c r="E20" s="504">
        <v>1688377.6</v>
      </c>
      <c r="F20" s="505">
        <v>13676.790074867196</v>
      </c>
      <c r="G20" s="505">
        <v>13676.790074867196</v>
      </c>
      <c r="H20" s="506">
        <v>2411968</v>
      </c>
      <c r="I20" s="339">
        <v>18205.929821531288</v>
      </c>
      <c r="J20" s="339">
        <v>18205.929821531288</v>
      </c>
    </row>
    <row r="21" spans="1:10" ht="15.75" thickBot="1" x14ac:dyDescent="0.3"/>
    <row r="22" spans="1:10" ht="38.25" x14ac:dyDescent="0.25">
      <c r="A22" s="508" t="s">
        <v>15</v>
      </c>
      <c r="B22" s="375" t="s">
        <v>77</v>
      </c>
      <c r="C22" s="375" t="s">
        <v>16</v>
      </c>
      <c r="D22" s="375" t="s">
        <v>17</v>
      </c>
      <c r="E22" s="375" t="s">
        <v>248</v>
      </c>
      <c r="F22" s="374" t="s">
        <v>126</v>
      </c>
      <c r="G22" s="509">
        <v>1</v>
      </c>
      <c r="H22" s="285"/>
      <c r="I22" s="376" t="s">
        <v>250</v>
      </c>
      <c r="J22" s="378" t="s">
        <v>251</v>
      </c>
    </row>
    <row r="23" spans="1:10" ht="64.5" thickBot="1" x14ac:dyDescent="0.3">
      <c r="A23" s="510"/>
      <c r="B23" s="375" t="s">
        <v>236</v>
      </c>
      <c r="C23" s="342">
        <v>1100000</v>
      </c>
      <c r="D23" s="511">
        <v>7211.735697901333</v>
      </c>
      <c r="E23" s="512" t="s">
        <v>129</v>
      </c>
      <c r="F23" s="375" t="s">
        <v>122</v>
      </c>
      <c r="G23" s="513">
        <v>1</v>
      </c>
      <c r="H23" s="514"/>
      <c r="I23" s="515">
        <v>225.94</v>
      </c>
      <c r="J23" s="516">
        <v>225.94</v>
      </c>
    </row>
    <row r="24" spans="1:10" x14ac:dyDescent="0.25">
      <c r="A24" s="510"/>
      <c r="B24" s="375" t="s">
        <v>209</v>
      </c>
      <c r="C24" s="342">
        <v>10503728.719999999</v>
      </c>
      <c r="D24" s="511">
        <v>288339.09761974245</v>
      </c>
      <c r="E24" s="512" t="s">
        <v>129</v>
      </c>
      <c r="F24" s="517"/>
      <c r="G24" s="518"/>
      <c r="H24" s="519"/>
      <c r="I24" s="520"/>
      <c r="J24" s="520"/>
    </row>
    <row r="25" spans="1:10" x14ac:dyDescent="0.25">
      <c r="A25" s="510"/>
      <c r="B25" s="375" t="s">
        <v>210</v>
      </c>
      <c r="C25" s="342">
        <v>1751000</v>
      </c>
      <c r="D25" s="511">
        <v>23820.403572058858</v>
      </c>
      <c r="E25" s="512">
        <v>0.6</v>
      </c>
      <c r="F25" s="517"/>
      <c r="G25" s="518"/>
      <c r="H25" s="519"/>
      <c r="I25" s="520"/>
      <c r="J25" s="520"/>
    </row>
    <row r="26" spans="1:10" x14ac:dyDescent="0.25">
      <c r="A26" s="510"/>
      <c r="B26" s="375" t="s">
        <v>226</v>
      </c>
      <c r="C26" s="342">
        <v>1111779.04</v>
      </c>
      <c r="D26" s="511">
        <v>21646.235649615326</v>
      </c>
      <c r="E26" s="512" t="s">
        <v>129</v>
      </c>
      <c r="F26" s="517"/>
      <c r="G26" s="518"/>
      <c r="H26" s="519"/>
      <c r="I26" s="520"/>
      <c r="J26" s="520"/>
    </row>
    <row r="27" spans="1:10" x14ac:dyDescent="0.25">
      <c r="A27" s="510"/>
      <c r="B27" s="375" t="s">
        <v>228</v>
      </c>
      <c r="C27" s="342">
        <v>13418576</v>
      </c>
      <c r="D27" s="511">
        <v>100808.3256282994</v>
      </c>
      <c r="E27" s="512">
        <v>0.7</v>
      </c>
      <c r="F27" s="517"/>
      <c r="G27" s="518"/>
      <c r="H27" s="519"/>
      <c r="I27" s="520"/>
      <c r="J27" s="520"/>
    </row>
    <row r="28" spans="1:10" ht="25.5" customHeight="1" x14ac:dyDescent="0.25">
      <c r="A28" s="510"/>
      <c r="B28" s="375" t="s">
        <v>211</v>
      </c>
      <c r="C28" s="342">
        <v>2859426.82</v>
      </c>
      <c r="D28" s="511">
        <v>76065.012406995462</v>
      </c>
      <c r="E28" s="512">
        <v>0.6</v>
      </c>
      <c r="F28" s="517"/>
      <c r="G28" s="518"/>
      <c r="H28" s="519"/>
      <c r="I28" s="520"/>
      <c r="J28" s="520"/>
    </row>
    <row r="29" spans="1:10" x14ac:dyDescent="0.25">
      <c r="A29" s="510"/>
      <c r="B29" s="375" t="s">
        <v>212</v>
      </c>
      <c r="C29" s="342">
        <v>50000</v>
      </c>
      <c r="D29" s="511">
        <v>30136.792938374307</v>
      </c>
      <c r="E29" s="512">
        <v>0.7</v>
      </c>
      <c r="F29" s="517"/>
      <c r="G29" s="518"/>
      <c r="H29" s="519"/>
      <c r="I29" s="520"/>
      <c r="J29" s="520"/>
    </row>
    <row r="30" spans="1:10" x14ac:dyDescent="0.25">
      <c r="A30" s="510"/>
      <c r="B30" s="375" t="s">
        <v>177</v>
      </c>
      <c r="C30" s="342">
        <v>923975</v>
      </c>
      <c r="D30" s="511">
        <v>26581.559263521289</v>
      </c>
      <c r="E30" s="512">
        <v>0.4</v>
      </c>
      <c r="F30" s="517"/>
      <c r="G30" s="518"/>
      <c r="H30" s="519"/>
      <c r="I30" s="520"/>
      <c r="J30" s="520"/>
    </row>
    <row r="31" spans="1:10" x14ac:dyDescent="0.25">
      <c r="A31" s="510"/>
      <c r="B31" s="375" t="s">
        <v>237</v>
      </c>
      <c r="C31" s="342">
        <v>25810928.600000001</v>
      </c>
      <c r="D31" s="511">
        <v>168508.00202805389</v>
      </c>
      <c r="E31" s="512">
        <v>0.7</v>
      </c>
      <c r="F31" s="517"/>
      <c r="G31" s="518"/>
      <c r="H31" s="519"/>
      <c r="I31" s="520"/>
      <c r="J31" s="520"/>
    </row>
    <row r="32" spans="1:10" x14ac:dyDescent="0.25">
      <c r="A32" s="510"/>
      <c r="B32" s="375" t="s">
        <v>238</v>
      </c>
      <c r="C32" s="342">
        <v>2411882</v>
      </c>
      <c r="D32" s="511">
        <v>18205.431530494821</v>
      </c>
      <c r="E32" s="512" t="s">
        <v>129</v>
      </c>
      <c r="F32" s="517"/>
      <c r="G32" s="518"/>
      <c r="H32" s="519"/>
      <c r="I32" s="520"/>
      <c r="J32" s="520"/>
    </row>
    <row r="33" spans="1:21" ht="18.75" customHeight="1" x14ac:dyDescent="0.25">
      <c r="A33" s="521" t="s">
        <v>249</v>
      </c>
      <c r="B33" s="522"/>
      <c r="C33" s="522"/>
      <c r="D33" s="522"/>
    </row>
    <row r="34" spans="1:21" x14ac:dyDescent="0.25">
      <c r="A34" s="449"/>
      <c r="B34" s="450"/>
      <c r="C34" s="450"/>
      <c r="D34" s="450"/>
      <c r="I34" s="167"/>
    </row>
    <row r="35" spans="1:21" ht="15.75" thickBot="1" x14ac:dyDescent="0.3"/>
    <row r="36" spans="1:21" x14ac:dyDescent="0.25">
      <c r="A36" s="444" t="s">
        <v>34</v>
      </c>
      <c r="B36" s="377" t="s">
        <v>32</v>
      </c>
      <c r="C36" s="377" t="s">
        <v>31</v>
      </c>
      <c r="D36" s="378" t="s">
        <v>33</v>
      </c>
    </row>
    <row r="37" spans="1:21" ht="15.75" thickBot="1" x14ac:dyDescent="0.3">
      <c r="A37" s="445"/>
      <c r="B37" s="76">
        <v>0</v>
      </c>
      <c r="C37" s="76">
        <f>MAX(D11:D20)+1000000</f>
        <v>26810928.600000001</v>
      </c>
      <c r="D37" s="26">
        <v>20</v>
      </c>
      <c r="H37" s="238"/>
    </row>
    <row r="38" spans="1:21" x14ac:dyDescent="0.25">
      <c r="A38" s="98"/>
      <c r="B38" s="98"/>
      <c r="C38" s="98"/>
      <c r="D38" s="98"/>
    </row>
    <row r="39" spans="1:21" x14ac:dyDescent="0.25">
      <c r="A39" s="523" t="s">
        <v>37</v>
      </c>
      <c r="B39" s="499"/>
      <c r="C39" s="499"/>
      <c r="D39" s="499"/>
      <c r="E39" s="499"/>
      <c r="F39" s="499"/>
      <c r="G39" s="499"/>
      <c r="H39" s="499"/>
      <c r="I39" s="499"/>
      <c r="J39" s="499"/>
      <c r="K39" s="499"/>
      <c r="L39" s="499"/>
      <c r="M39" s="499"/>
      <c r="N39" s="499"/>
      <c r="O39" s="499"/>
      <c r="P39" s="499"/>
      <c r="Q39" s="499"/>
      <c r="R39" s="499"/>
      <c r="S39" s="499"/>
      <c r="T39" s="499"/>
      <c r="U39" s="499"/>
    </row>
    <row r="40" spans="1:21" ht="27.6" customHeight="1" x14ac:dyDescent="0.25">
      <c r="A40" s="481"/>
      <c r="B40" s="436" t="s">
        <v>237</v>
      </c>
      <c r="C40" s="438"/>
      <c r="D40" s="436" t="s">
        <v>211</v>
      </c>
      <c r="E40" s="438"/>
      <c r="F40" s="436" t="s">
        <v>226</v>
      </c>
      <c r="G40" s="438"/>
      <c r="H40" s="436" t="s">
        <v>228</v>
      </c>
      <c r="I40" s="438"/>
      <c r="J40" s="436" t="s">
        <v>212</v>
      </c>
      <c r="K40" s="524"/>
      <c r="L40" s="436" t="s">
        <v>177</v>
      </c>
      <c r="M40" s="524"/>
      <c r="N40" s="436" t="s">
        <v>210</v>
      </c>
      <c r="O40" s="524"/>
      <c r="P40" s="436" t="s">
        <v>318</v>
      </c>
      <c r="Q40" s="524"/>
      <c r="R40" s="436" t="s">
        <v>236</v>
      </c>
      <c r="S40" s="524"/>
      <c r="T40" s="436" t="s">
        <v>238</v>
      </c>
      <c r="U40" s="524"/>
    </row>
    <row r="41" spans="1:21" ht="27.6" customHeight="1" x14ac:dyDescent="0.25">
      <c r="A41" s="525"/>
      <c r="B41" s="375" t="s">
        <v>164</v>
      </c>
      <c r="C41" s="375" t="s">
        <v>252</v>
      </c>
      <c r="D41" s="375" t="s">
        <v>164</v>
      </c>
      <c r="E41" s="375" t="s">
        <v>252</v>
      </c>
      <c r="F41" s="375" t="s">
        <v>164</v>
      </c>
      <c r="G41" s="375" t="s">
        <v>252</v>
      </c>
      <c r="H41" s="375" t="s">
        <v>164</v>
      </c>
      <c r="I41" s="375" t="s">
        <v>252</v>
      </c>
      <c r="J41" s="375" t="s">
        <v>164</v>
      </c>
      <c r="K41" s="4" t="s">
        <v>252</v>
      </c>
      <c r="L41" s="375" t="s">
        <v>164</v>
      </c>
      <c r="M41" s="4" t="s">
        <v>252</v>
      </c>
      <c r="N41" s="375" t="s">
        <v>164</v>
      </c>
      <c r="O41" s="4" t="s">
        <v>252</v>
      </c>
      <c r="P41" s="375" t="s">
        <v>164</v>
      </c>
      <c r="Q41" s="4" t="s">
        <v>252</v>
      </c>
      <c r="R41" s="375" t="s">
        <v>164</v>
      </c>
      <c r="S41" s="4" t="s">
        <v>252</v>
      </c>
      <c r="T41" s="375" t="s">
        <v>164</v>
      </c>
      <c r="U41" s="4" t="s">
        <v>252</v>
      </c>
    </row>
    <row r="42" spans="1:21" x14ac:dyDescent="0.25">
      <c r="A42" s="526">
        <v>0</v>
      </c>
      <c r="B42" s="339">
        <v>0</v>
      </c>
      <c r="C42" s="346">
        <v>0</v>
      </c>
      <c r="D42" s="339">
        <v>0</v>
      </c>
      <c r="E42" s="346">
        <v>0</v>
      </c>
      <c r="F42" s="339">
        <v>0</v>
      </c>
      <c r="G42" s="346">
        <v>0</v>
      </c>
      <c r="H42" s="339">
        <v>0</v>
      </c>
      <c r="I42" s="346">
        <v>0</v>
      </c>
      <c r="J42" s="339">
        <v>0</v>
      </c>
      <c r="K42" s="527">
        <v>0</v>
      </c>
      <c r="L42" s="339">
        <v>0</v>
      </c>
      <c r="M42" s="527">
        <v>0</v>
      </c>
      <c r="N42" s="339">
        <v>0</v>
      </c>
      <c r="O42" s="527">
        <v>0</v>
      </c>
      <c r="P42" s="339">
        <v>0</v>
      </c>
      <c r="Q42" s="527">
        <v>0</v>
      </c>
      <c r="R42" s="339">
        <v>0</v>
      </c>
      <c r="S42" s="527">
        <v>0</v>
      </c>
      <c r="T42" s="339">
        <v>0</v>
      </c>
      <c r="U42" s="527">
        <v>0</v>
      </c>
    </row>
    <row r="43" spans="1:21" x14ac:dyDescent="0.25">
      <c r="A43" s="526">
        <v>200000</v>
      </c>
      <c r="B43" s="339">
        <v>5611.5002373501393</v>
      </c>
      <c r="C43" s="346">
        <v>1267862.3636268904</v>
      </c>
      <c r="D43" s="339">
        <v>15418.266428927403</v>
      </c>
      <c r="E43" s="346">
        <v>3483603.1169518577</v>
      </c>
      <c r="F43" s="339">
        <v>5065.481471193023</v>
      </c>
      <c r="G43" s="346">
        <v>1144494.8836013516</v>
      </c>
      <c r="H43" s="339">
        <v>5306.6799670584487</v>
      </c>
      <c r="I43" s="346">
        <v>1198991.2717571859</v>
      </c>
      <c r="J43" s="339">
        <v>79531.473375019181</v>
      </c>
      <c r="K43" s="527">
        <v>17969341.094351832</v>
      </c>
      <c r="L43" s="339">
        <v>14412.136371822071</v>
      </c>
      <c r="M43" s="527">
        <v>3256278.0918494789</v>
      </c>
      <c r="N43" s="339">
        <v>6480.3046743965815</v>
      </c>
      <c r="O43" s="527">
        <v>1464160.0381331637</v>
      </c>
      <c r="P43" s="339">
        <v>6744.3499683793634</v>
      </c>
      <c r="Q43" s="527">
        <v>1523818.4318556334</v>
      </c>
      <c r="R43" s="339">
        <v>1706.7793306829408</v>
      </c>
      <c r="S43" s="527">
        <v>385629.72197450366</v>
      </c>
      <c r="T43" s="339">
        <v>1884.0989294061437</v>
      </c>
      <c r="U43" s="527">
        <v>425693.3121100241</v>
      </c>
    </row>
    <row r="44" spans="1:21" x14ac:dyDescent="0.25">
      <c r="A44" s="526">
        <v>400000</v>
      </c>
      <c r="B44" s="339">
        <v>9115.9090298824703</v>
      </c>
      <c r="C44" s="346">
        <v>2059648.4862116454</v>
      </c>
      <c r="D44" s="339">
        <v>23369.721853196384</v>
      </c>
      <c r="E44" s="346">
        <v>5280154.9555111909</v>
      </c>
      <c r="F44" s="339">
        <v>9542.5948201725259</v>
      </c>
      <c r="G44" s="346">
        <v>2156053.8736697803</v>
      </c>
      <c r="H44" s="339">
        <v>8620.7270398777109</v>
      </c>
      <c r="I44" s="346">
        <v>1947767.0673899699</v>
      </c>
      <c r="J44" s="339">
        <v>129199.25966920293</v>
      </c>
      <c r="K44" s="527">
        <v>29191280.72965971</v>
      </c>
      <c r="L44" s="339">
        <v>19016.927953756978</v>
      </c>
      <c r="M44" s="527">
        <v>4296684.7018718515</v>
      </c>
      <c r="N44" s="339">
        <v>9822.305151017672</v>
      </c>
      <c r="O44" s="527">
        <v>2219251.6258209329</v>
      </c>
      <c r="P44" s="339">
        <v>13435.838188506663</v>
      </c>
      <c r="Q44" s="527">
        <v>3035693.2803111952</v>
      </c>
      <c r="R44" s="339">
        <v>3212.0774911278859</v>
      </c>
      <c r="S44" s="527">
        <v>725736.78834543447</v>
      </c>
      <c r="T44" s="339">
        <v>3690.9075000444427</v>
      </c>
      <c r="U44" s="527">
        <v>833923.64056004141</v>
      </c>
    </row>
    <row r="45" spans="1:21" x14ac:dyDescent="0.25">
      <c r="A45" s="526">
        <v>600000</v>
      </c>
      <c r="B45" s="339">
        <v>12107.761676700537</v>
      </c>
      <c r="C45" s="346">
        <v>2735627.6732337191</v>
      </c>
      <c r="D45" s="339">
        <v>29806.31582437663</v>
      </c>
      <c r="E45" s="346">
        <v>6734438.9973596558</v>
      </c>
      <c r="F45" s="339">
        <v>13498.725633110851</v>
      </c>
      <c r="G45" s="346">
        <v>3049902.0695450655</v>
      </c>
      <c r="H45" s="339">
        <v>11450.060343578602</v>
      </c>
      <c r="I45" s="346">
        <v>2587026.6340281493</v>
      </c>
      <c r="J45" s="339">
        <v>171602.61689239615</v>
      </c>
      <c r="K45" s="527">
        <v>38771895.260667987</v>
      </c>
      <c r="L45" s="339">
        <v>22365.410039276649</v>
      </c>
      <c r="M45" s="527">
        <v>5053240.7442741655</v>
      </c>
      <c r="N45" s="339">
        <v>12527.608642230847</v>
      </c>
      <c r="O45" s="527">
        <v>2830487.8966256375</v>
      </c>
      <c r="P45" s="339">
        <v>20074.687554519624</v>
      </c>
      <c r="Q45" s="527">
        <v>4535674.9060681639</v>
      </c>
      <c r="R45" s="339">
        <v>4539.5701164426282</v>
      </c>
      <c r="S45" s="527">
        <v>1025670.4721090475</v>
      </c>
      <c r="T45" s="339">
        <v>5423.5391706861556</v>
      </c>
      <c r="U45" s="527">
        <v>1225394.4402248301</v>
      </c>
    </row>
    <row r="46" spans="1:21" x14ac:dyDescent="0.25">
      <c r="A46" s="526">
        <v>800000</v>
      </c>
      <c r="B46" s="339">
        <v>14808.837908974965</v>
      </c>
      <c r="C46" s="346">
        <v>3345908.8371538036</v>
      </c>
      <c r="D46" s="339">
        <v>35421.874567629835</v>
      </c>
      <c r="E46" s="346">
        <v>8003218.3398102848</v>
      </c>
      <c r="F46" s="339">
        <v>16993.753048531711</v>
      </c>
      <c r="G46" s="346">
        <v>3839568.563785255</v>
      </c>
      <c r="H46" s="339">
        <v>14004.412392947337</v>
      </c>
      <c r="I46" s="346">
        <v>3164156.9360625213</v>
      </c>
      <c r="J46" s="339">
        <v>209884.81654752325</v>
      </c>
      <c r="K46" s="527">
        <v>47421375.450747401</v>
      </c>
      <c r="L46" s="339">
        <v>25092.986873580521</v>
      </c>
      <c r="M46" s="527">
        <v>5669509.4542167829</v>
      </c>
      <c r="N46" s="339">
        <v>14887.830638717902</v>
      </c>
      <c r="O46" s="527">
        <v>3363756.4545119228</v>
      </c>
      <c r="P46" s="339">
        <v>26661.123724805191</v>
      </c>
      <c r="Q46" s="527">
        <v>6023814.2943824846</v>
      </c>
      <c r="R46" s="339">
        <v>5710.1750087123364</v>
      </c>
      <c r="S46" s="527">
        <v>1290156.9414684654</v>
      </c>
      <c r="T46" s="339">
        <v>7084.9866262534633</v>
      </c>
      <c r="U46" s="527">
        <v>1600781.8783357076</v>
      </c>
    </row>
    <row r="47" spans="1:21" x14ac:dyDescent="0.25">
      <c r="A47" s="526">
        <v>1000000</v>
      </c>
      <c r="B47" s="339">
        <v>17312.428335532044</v>
      </c>
      <c r="C47" s="346">
        <v>3911570.0581301101</v>
      </c>
      <c r="D47" s="339">
        <v>40496.50547128301</v>
      </c>
      <c r="E47" s="346">
        <v>9149780.4461816829</v>
      </c>
      <c r="F47" s="339">
        <v>20080.838937839493</v>
      </c>
      <c r="G47" s="346">
        <v>4537064.749615455</v>
      </c>
      <c r="H47" s="339">
        <v>16372.006191464845</v>
      </c>
      <c r="I47" s="346">
        <v>3699091.078899567</v>
      </c>
      <c r="J47" s="339">
        <v>245368.06112200834</v>
      </c>
      <c r="K47" s="527">
        <v>55438459.729906566</v>
      </c>
      <c r="L47" s="339">
        <v>27435.720169529453</v>
      </c>
      <c r="M47" s="527">
        <v>6198826.6151034851</v>
      </c>
      <c r="N47" s="339">
        <v>17020.700408310324</v>
      </c>
      <c r="O47" s="527">
        <v>3845657.0502536343</v>
      </c>
      <c r="P47" s="339">
        <v>33195.375038976781</v>
      </c>
      <c r="Q47" s="527">
        <v>7500163.0363064138</v>
      </c>
      <c r="R47" s="339">
        <v>6742.3679651152343</v>
      </c>
      <c r="S47" s="527">
        <v>1523370.618038136</v>
      </c>
      <c r="T47" s="339">
        <v>8678.126083179377</v>
      </c>
      <c r="U47" s="527">
        <v>1960735.8072335485</v>
      </c>
    </row>
    <row r="48" spans="1:21" x14ac:dyDescent="0.25">
      <c r="A48" s="526">
        <v>1200000</v>
      </c>
      <c r="B48" s="339">
        <v>19669.116872820407</v>
      </c>
      <c r="C48" s="346">
        <v>4444040.2662450429</v>
      </c>
      <c r="D48" s="339">
        <v>45177.926681648685</v>
      </c>
      <c r="E48" s="346">
        <v>10207500.754451703</v>
      </c>
      <c r="F48" s="339">
        <v>22807.144754493609</v>
      </c>
      <c r="G48" s="346">
        <v>5153046.2858302863</v>
      </c>
      <c r="H48" s="339">
        <v>18600.677904990443</v>
      </c>
      <c r="I48" s="346">
        <v>4202637.1658535404</v>
      </c>
      <c r="J48" s="339">
        <v>278769.27358369966</v>
      </c>
      <c r="K48" s="527">
        <v>62985129.673501097</v>
      </c>
      <c r="L48" s="339">
        <v>29511.335474505049</v>
      </c>
      <c r="M48" s="527">
        <v>6667791.1371096708</v>
      </c>
      <c r="N48" s="339">
        <v>18988.303957788128</v>
      </c>
      <c r="O48" s="527">
        <v>4290217.3962226501</v>
      </c>
      <c r="P48" s="339">
        <v>39677.672435625456</v>
      </c>
      <c r="Q48" s="527">
        <v>8964773.3101052158</v>
      </c>
      <c r="R48" s="339">
        <v>7652.4636531248689</v>
      </c>
      <c r="S48" s="527">
        <v>1728997.6377870329</v>
      </c>
      <c r="T48" s="339">
        <v>10205.721472941339</v>
      </c>
      <c r="U48" s="527">
        <v>2305880.7095963662</v>
      </c>
    </row>
    <row r="49" spans="1:21" x14ac:dyDescent="0.25">
      <c r="A49" s="526">
        <v>1400000</v>
      </c>
      <c r="B49" s="339">
        <v>21910.264159564609</v>
      </c>
      <c r="C49" s="346">
        <v>4950405.0842120275</v>
      </c>
      <c r="D49" s="339">
        <v>49555.786139031705</v>
      </c>
      <c r="E49" s="346">
        <v>11196634.320252823</v>
      </c>
      <c r="F49" s="339">
        <v>25214.480166974477</v>
      </c>
      <c r="G49" s="346">
        <v>5696959.6489262134</v>
      </c>
      <c r="H49" s="339">
        <v>20720.08464236038</v>
      </c>
      <c r="I49" s="346">
        <v>4681495.9240949042</v>
      </c>
      <c r="J49" s="339">
        <v>310532.92647973198</v>
      </c>
      <c r="K49" s="527">
        <v>70161809.408830643</v>
      </c>
      <c r="L49" s="339">
        <v>31388.284394713228</v>
      </c>
      <c r="M49" s="527">
        <v>7091868.9761415068</v>
      </c>
      <c r="N49" s="339">
        <v>20828.320358873501</v>
      </c>
      <c r="O49" s="527">
        <v>4705950.7018838786</v>
      </c>
      <c r="P49" s="339">
        <v>46108.249370880425</v>
      </c>
      <c r="Q49" s="527">
        <v>10417697.862856723</v>
      </c>
      <c r="R49" s="339">
        <v>8454.8651248225942</v>
      </c>
      <c r="S49" s="527">
        <v>1910292.226302417</v>
      </c>
      <c r="T49" s="339">
        <v>11670.428504428826</v>
      </c>
      <c r="U49" s="527">
        <v>2636816.6162906489</v>
      </c>
    </row>
    <row r="50" spans="1:21" x14ac:dyDescent="0.25">
      <c r="A50" s="526">
        <v>1600000</v>
      </c>
      <c r="B50" s="339">
        <v>24057.028157631961</v>
      </c>
      <c r="C50" s="346">
        <v>5435444.9419353651</v>
      </c>
      <c r="D50" s="339">
        <v>53689.522099009882</v>
      </c>
      <c r="E50" s="346">
        <v>12130610.623050293</v>
      </c>
      <c r="F50" s="339">
        <v>27339.888026596978</v>
      </c>
      <c r="G50" s="346">
        <v>6177174.3007293213</v>
      </c>
      <c r="H50" s="339">
        <v>22750.235051464868</v>
      </c>
      <c r="I50" s="346">
        <v>5140188.1075279722</v>
      </c>
      <c r="J50" s="339">
        <v>340958.89039902925</v>
      </c>
      <c r="K50" s="527">
        <v>77036251.696756661</v>
      </c>
      <c r="L50" s="339">
        <v>33110.394684609899</v>
      </c>
      <c r="M50" s="527">
        <v>7480962.5750407605</v>
      </c>
      <c r="N50" s="339">
        <v>22565.731538505803</v>
      </c>
      <c r="O50" s="527">
        <v>5098501.3838100014</v>
      </c>
      <c r="P50" s="339">
        <v>52487.34173778072</v>
      </c>
      <c r="Q50" s="527">
        <v>11858989.992234176</v>
      </c>
      <c r="R50" s="339">
        <v>9162.2852577054873</v>
      </c>
      <c r="S50" s="527">
        <v>2070126.7311259778</v>
      </c>
      <c r="T50" s="339">
        <v>13074.798606074415</v>
      </c>
      <c r="U50" s="527">
        <v>2954119.9970564535</v>
      </c>
    </row>
    <row r="51" spans="1:21" x14ac:dyDescent="0.25">
      <c r="A51" s="526">
        <v>1800000</v>
      </c>
      <c r="B51" s="339">
        <v>26124.545419070415</v>
      </c>
      <c r="C51" s="346">
        <v>5902579.7919847695</v>
      </c>
      <c r="D51" s="339">
        <v>57621.034577250372</v>
      </c>
      <c r="E51" s="346">
        <v>13018896.552383948</v>
      </c>
      <c r="F51" s="339">
        <v>29216.170419393107</v>
      </c>
      <c r="G51" s="346">
        <v>6601101.5445576785</v>
      </c>
      <c r="H51" s="339">
        <v>24705.443457194888</v>
      </c>
      <c r="I51" s="346">
        <v>5581947.8947186125</v>
      </c>
      <c r="J51" s="339">
        <v>370261.69483197236</v>
      </c>
      <c r="K51" s="527">
        <v>83656927.330335841</v>
      </c>
      <c r="L51" s="339">
        <v>34707.662578253614</v>
      </c>
      <c r="M51" s="527">
        <v>7841849.2829306219</v>
      </c>
      <c r="N51" s="339">
        <v>24218.148093092648</v>
      </c>
      <c r="O51" s="527">
        <v>5471848.3801533533</v>
      </c>
      <c r="P51" s="339">
        <v>58815.187786469236</v>
      </c>
      <c r="Q51" s="527">
        <v>13288703.52847486</v>
      </c>
      <c r="R51" s="339">
        <v>9785.9431144567207</v>
      </c>
      <c r="S51" s="527">
        <v>2211035.9872803516</v>
      </c>
      <c r="T51" s="339">
        <v>14421.282748956233</v>
      </c>
      <c r="U51" s="527">
        <v>3258344.6242991714</v>
      </c>
    </row>
    <row r="52" spans="1:21" x14ac:dyDescent="0.25">
      <c r="A52" s="526">
        <v>2000000</v>
      </c>
      <c r="B52" s="339">
        <v>28124.122804562983</v>
      </c>
      <c r="C52" s="346">
        <v>6354364.3064629603</v>
      </c>
      <c r="D52" s="339">
        <v>61381.22422860263</v>
      </c>
      <c r="E52" s="346">
        <v>13868473.802210478</v>
      </c>
      <c r="F52" s="339">
        <v>30872.360575452447</v>
      </c>
      <c r="G52" s="346">
        <v>6975301.1484177262</v>
      </c>
      <c r="H52" s="339">
        <v>26596.402524352889</v>
      </c>
      <c r="I52" s="346">
        <v>6009191.1863522911</v>
      </c>
      <c r="J52" s="339">
        <v>398601.59127126914</v>
      </c>
      <c r="K52" s="527">
        <v>90060043.531830549</v>
      </c>
      <c r="L52" s="339">
        <v>36201.649801445565</v>
      </c>
      <c r="M52" s="527">
        <v>8179400.7561386107</v>
      </c>
      <c r="N52" s="339">
        <v>25798.557582486257</v>
      </c>
      <c r="O52" s="527">
        <v>5828926.1001869449</v>
      </c>
      <c r="P52" s="339">
        <v>65092.028045233339</v>
      </c>
      <c r="Q52" s="527">
        <v>14706892.81654002</v>
      </c>
      <c r="R52" s="339">
        <v>10335.737933591008</v>
      </c>
      <c r="S52" s="527">
        <v>2335256.6287155524</v>
      </c>
      <c r="T52" s="339">
        <v>15712.235152327456</v>
      </c>
      <c r="U52" s="527">
        <v>3550022.4103168654</v>
      </c>
    </row>
    <row r="53" spans="1:21" x14ac:dyDescent="0.25">
      <c r="A53" s="526">
        <v>2200000</v>
      </c>
      <c r="B53" s="339">
        <v>30064.491672450658</v>
      </c>
      <c r="C53" s="346">
        <v>6792771.2484735018</v>
      </c>
      <c r="D53" s="339">
        <v>64993.684390287664</v>
      </c>
      <c r="E53" s="346">
        <v>14684673.051141595</v>
      </c>
      <c r="F53" s="339">
        <v>32334.145309553482</v>
      </c>
      <c r="G53" s="346">
        <v>7305576.7912405133</v>
      </c>
      <c r="H53" s="339">
        <v>28431.369318328445</v>
      </c>
      <c r="I53" s="346">
        <v>6423783.5837831292</v>
      </c>
      <c r="J53" s="339">
        <v>426102.32876156975</v>
      </c>
      <c r="K53" s="527">
        <v>96273560.160389066</v>
      </c>
      <c r="L53" s="339">
        <v>37608.450193722703</v>
      </c>
      <c r="M53" s="527">
        <v>8497253.2367697079</v>
      </c>
      <c r="N53" s="339">
        <v>27316.876297482511</v>
      </c>
      <c r="O53" s="527">
        <v>6171975.0306531982</v>
      </c>
      <c r="P53" s="339">
        <v>71318.105242387392</v>
      </c>
      <c r="Q53" s="527">
        <v>16113612.698465006</v>
      </c>
      <c r="R53" s="339">
        <v>10820.403199190274</v>
      </c>
      <c r="S53" s="527">
        <v>2444761.8988250503</v>
      </c>
      <c r="T53" s="339">
        <v>16949.916873184033</v>
      </c>
      <c r="U53" s="527">
        <v>3829664.2183272005</v>
      </c>
    </row>
    <row r="54" spans="1:21" x14ac:dyDescent="0.25">
      <c r="A54" s="526">
        <v>2400000</v>
      </c>
      <c r="B54" s="339">
        <v>31952.574628318467</v>
      </c>
      <c r="C54" s="346">
        <v>7219364.7115222747</v>
      </c>
      <c r="D54" s="339">
        <v>68476.931911967054</v>
      </c>
      <c r="E54" s="346">
        <v>15471677.996189836</v>
      </c>
      <c r="F54" s="339">
        <v>33624.242482229136</v>
      </c>
      <c r="G54" s="346">
        <v>7597061.3464348512</v>
      </c>
      <c r="H54" s="339">
        <v>30216.890404357946</v>
      </c>
      <c r="I54" s="346">
        <v>6827204.2179606343</v>
      </c>
      <c r="J54" s="339">
        <v>452862.02099769411</v>
      </c>
      <c r="K54" s="527">
        <v>102319645.02421901</v>
      </c>
      <c r="L54" s="339">
        <v>38940.440616082153</v>
      </c>
      <c r="M54" s="527">
        <v>8798203.1527976021</v>
      </c>
      <c r="N54" s="339">
        <v>28780.886878754423</v>
      </c>
      <c r="O54" s="527">
        <v>6502753.5813857745</v>
      </c>
      <c r="P54" s="339">
        <v>77493.664229021408</v>
      </c>
      <c r="Q54" s="527">
        <v>17508918.495905098</v>
      </c>
      <c r="R54" s="339">
        <v>11247.64299300313</v>
      </c>
      <c r="S54" s="527">
        <v>2541292.4578391272</v>
      </c>
      <c r="T54" s="339">
        <v>18136.499281739816</v>
      </c>
      <c r="U54" s="527">
        <v>4097760.647716294</v>
      </c>
    </row>
    <row r="55" spans="1:21" x14ac:dyDescent="0.25">
      <c r="A55" s="526">
        <v>2600000</v>
      </c>
      <c r="B55" s="339">
        <v>33793.979184790936</v>
      </c>
      <c r="C55" s="346">
        <v>7635411.6570116645</v>
      </c>
      <c r="D55" s="339">
        <v>71845.828526013895</v>
      </c>
      <c r="E55" s="346">
        <v>16232846.49716758</v>
      </c>
      <c r="F55" s="339">
        <v>34762.737730371766</v>
      </c>
      <c r="G55" s="346">
        <v>7854292.9628001964</v>
      </c>
      <c r="H55" s="339">
        <v>31958.26869140529</v>
      </c>
      <c r="I55" s="346">
        <v>7220651.2281361111</v>
      </c>
      <c r="J55" s="339">
        <v>478960.14293680771</v>
      </c>
      <c r="K55" s="527">
        <v>108216254.69514233</v>
      </c>
      <c r="L55" s="339">
        <v>40207.373459884198</v>
      </c>
      <c r="M55" s="527">
        <v>9084453.9595262352</v>
      </c>
      <c r="N55" s="339">
        <v>30196.835719449435</v>
      </c>
      <c r="O55" s="527">
        <v>6822673.0624524048</v>
      </c>
      <c r="P55" s="339">
        <v>83618.951902620494</v>
      </c>
      <c r="Q55" s="527">
        <v>18892865.992878076</v>
      </c>
      <c r="R55" s="339">
        <v>11624.252606132999</v>
      </c>
      <c r="S55" s="527">
        <v>2626383.6338296896</v>
      </c>
      <c r="T55" s="339">
        <v>19274.06742475275</v>
      </c>
      <c r="U55" s="527">
        <v>4354782.7939486364</v>
      </c>
    </row>
    <row r="56" spans="1:21" x14ac:dyDescent="0.25">
      <c r="A56" s="526">
        <v>2800000</v>
      </c>
      <c r="B56" s="339">
        <v>35593.329136808985</v>
      </c>
      <c r="C56" s="346">
        <v>8041956.7851706222</v>
      </c>
      <c r="D56" s="339">
        <v>75112.526017376702</v>
      </c>
      <c r="E56" s="346">
        <v>16970924.12836609</v>
      </c>
      <c r="F56" s="339">
        <v>35767.38444339484</v>
      </c>
      <c r="G56" s="346">
        <v>8081282.8411406297</v>
      </c>
      <c r="H56" s="339">
        <v>33659.876806922497</v>
      </c>
      <c r="I56" s="346">
        <v>7605112.5657560686</v>
      </c>
      <c r="J56" s="339">
        <v>504462.22736135405</v>
      </c>
      <c r="K56" s="527">
        <v>113978195.65002432</v>
      </c>
      <c r="L56" s="339">
        <v>41417.089564413494</v>
      </c>
      <c r="M56" s="527">
        <v>9357777.2161835842</v>
      </c>
      <c r="N56" s="339">
        <v>31569.830220530366</v>
      </c>
      <c r="O56" s="527">
        <v>7132887.4400266306</v>
      </c>
      <c r="P56" s="339">
        <v>89694.217131564394</v>
      </c>
      <c r="Q56" s="527">
        <v>20265511.418705657</v>
      </c>
      <c r="R56" s="339">
        <v>11956.225180637091</v>
      </c>
      <c r="S56" s="527">
        <v>2701389.5173131446</v>
      </c>
      <c r="T56" s="339">
        <v>20364.623278812505</v>
      </c>
      <c r="U56" s="527">
        <v>4601182.9836148974</v>
      </c>
    </row>
    <row r="57" spans="1:21" x14ac:dyDescent="0.25">
      <c r="A57" s="526">
        <v>3000000</v>
      </c>
      <c r="B57" s="339">
        <v>37354.494781339148</v>
      </c>
      <c r="C57" s="346">
        <v>8439874.5508957673</v>
      </c>
      <c r="D57" s="339">
        <v>78287.117259565202</v>
      </c>
      <c r="E57" s="346">
        <v>17688191.27362616</v>
      </c>
      <c r="F57" s="339">
        <v>36653.870671447366</v>
      </c>
      <c r="G57" s="346">
        <v>8281575.5395068182</v>
      </c>
      <c r="H57" s="339">
        <v>35325.374810877525</v>
      </c>
      <c r="I57" s="346">
        <v>7981415.1847696677</v>
      </c>
      <c r="J57" s="339">
        <v>529423.1277698857</v>
      </c>
      <c r="K57" s="527">
        <v>119617861.48832798</v>
      </c>
      <c r="L57" s="339">
        <v>42576.000912264644</v>
      </c>
      <c r="M57" s="527">
        <v>9619621.6461170744</v>
      </c>
      <c r="N57" s="339">
        <v>32904.112421508238</v>
      </c>
      <c r="O57" s="527">
        <v>7434355.160515571</v>
      </c>
      <c r="P57" s="339">
        <v>95719.710680508986</v>
      </c>
      <c r="Q57" s="527">
        <v>21626911.431154199</v>
      </c>
      <c r="R57" s="339">
        <v>12248.845962864347</v>
      </c>
      <c r="S57" s="527">
        <v>2767504.2568495707</v>
      </c>
      <c r="T57" s="339">
        <v>21410.088895815425</v>
      </c>
      <c r="U57" s="527">
        <v>4837395.4851205368</v>
      </c>
    </row>
    <row r="58" spans="1:21" x14ac:dyDescent="0.25">
      <c r="A58" s="526">
        <v>3200000</v>
      </c>
      <c r="B58" s="339">
        <v>39080.757540491992</v>
      </c>
      <c r="C58" s="346">
        <v>8829906.3586987611</v>
      </c>
      <c r="D58" s="339">
        <v>81378.098093495413</v>
      </c>
      <c r="E58" s="346">
        <v>18386567.483244352</v>
      </c>
      <c r="F58" s="339">
        <v>37436.056358373724</v>
      </c>
      <c r="G58" s="346">
        <v>8458302.5736109596</v>
      </c>
      <c r="H58" s="339">
        <v>36957.865876439937</v>
      </c>
      <c r="I58" s="346">
        <v>8350260.2161228396</v>
      </c>
      <c r="J58" s="339">
        <v>553889.35157114896</v>
      </c>
      <c r="K58" s="527">
        <v>125145760.09398539</v>
      </c>
      <c r="L58" s="339">
        <v>43689.427715155543</v>
      </c>
      <c r="M58" s="527">
        <v>9871189.2979622427</v>
      </c>
      <c r="N58" s="339">
        <v>34203.25312833942</v>
      </c>
      <c r="O58" s="527">
        <v>7727883.0118170083</v>
      </c>
      <c r="P58" s="339">
        <v>101695.68513668422</v>
      </c>
      <c r="Q58" s="527">
        <v>22977123.099782433</v>
      </c>
      <c r="R58" s="339">
        <v>12506.775579451583</v>
      </c>
      <c r="S58" s="527">
        <v>2825780.8744212906</v>
      </c>
      <c r="T58" s="339">
        <v>22412.309442908503</v>
      </c>
      <c r="U58" s="527">
        <v>5063837.1955307471</v>
      </c>
    </row>
    <row r="59" spans="1:21" x14ac:dyDescent="0.25">
      <c r="A59" s="526">
        <v>3400000</v>
      </c>
      <c r="B59" s="339">
        <v>40774.930605230875</v>
      </c>
      <c r="C59" s="346">
        <v>9212687.8209458645</v>
      </c>
      <c r="D59" s="339">
        <v>84392.703353188583</v>
      </c>
      <c r="E59" s="346">
        <v>19067687.39561943</v>
      </c>
      <c r="F59" s="339">
        <v>38126.18400260713</v>
      </c>
      <c r="G59" s="346">
        <v>8614230.013549054</v>
      </c>
      <c r="H59" s="339">
        <v>38560.010380246516</v>
      </c>
      <c r="I59" s="346">
        <v>8712248.7453128975</v>
      </c>
      <c r="J59" s="339">
        <v>577900.76996050018</v>
      </c>
      <c r="K59" s="527">
        <v>130570899.96487541</v>
      </c>
      <c r="L59" s="339">
        <v>44761.840094563893</v>
      </c>
      <c r="M59" s="527">
        <v>10113490.150965765</v>
      </c>
      <c r="N59" s="339">
        <v>35470.293145185802</v>
      </c>
      <c r="O59" s="527">
        <v>8014158.0332232798</v>
      </c>
      <c r="P59" s="339">
        <v>107622.39483707212</v>
      </c>
      <c r="Q59" s="527">
        <v>24316203.889488075</v>
      </c>
      <c r="R59" s="339">
        <v>12734.123592615128</v>
      </c>
      <c r="S59" s="527">
        <v>2877147.884515462</v>
      </c>
      <c r="T59" s="339">
        <v>23373.056139308028</v>
      </c>
      <c r="U59" s="527">
        <v>5280908.3041152554</v>
      </c>
    </row>
    <row r="60" spans="1:21" x14ac:dyDescent="0.25">
      <c r="A60" s="526">
        <v>3600000</v>
      </c>
      <c r="B60" s="339">
        <v>42439.449240714515</v>
      </c>
      <c r="C60" s="346">
        <v>9588769.161447037</v>
      </c>
      <c r="D60" s="339">
        <v>87337.156688206844</v>
      </c>
      <c r="E60" s="346">
        <v>19732957.182133455</v>
      </c>
      <c r="F60" s="339">
        <v>38735.06556990277</v>
      </c>
      <c r="G60" s="346">
        <v>8751800.7148638312</v>
      </c>
      <c r="H60" s="339">
        <v>40134.111302300051</v>
      </c>
      <c r="I60" s="346">
        <v>9067901.1076416727</v>
      </c>
      <c r="J60" s="339">
        <v>601491.89781238139</v>
      </c>
      <c r="K60" s="527">
        <v>135901079.39172944</v>
      </c>
      <c r="L60" s="339">
        <v>45797.035336442001</v>
      </c>
      <c r="M60" s="527">
        <v>10347382.163915705</v>
      </c>
      <c r="N60" s="339">
        <v>36707.848274902732</v>
      </c>
      <c r="O60" s="527">
        <v>8293771.2392315231</v>
      </c>
      <c r="P60" s="339">
        <v>113500.09579651337</v>
      </c>
      <c r="Q60" s="527">
        <v>25644211.644264232</v>
      </c>
      <c r="R60" s="339">
        <v>12934.513452414423</v>
      </c>
      <c r="S60" s="527">
        <v>2922423.9694385147</v>
      </c>
      <c r="T60" s="339">
        <v>24294.029092384502</v>
      </c>
      <c r="U60" s="527">
        <v>5488992.9331333544</v>
      </c>
    </row>
    <row r="61" spans="1:21" x14ac:dyDescent="0.25">
      <c r="A61" s="526">
        <v>3800000</v>
      </c>
      <c r="B61" s="339">
        <v>44076.439640998062</v>
      </c>
      <c r="C61" s="346">
        <v>9958630.7724871021</v>
      </c>
      <c r="D61" s="339">
        <v>90216.859838313525</v>
      </c>
      <c r="E61" s="346">
        <v>20383597.311868556</v>
      </c>
      <c r="F61" s="339">
        <v>39272.248216656968</v>
      </c>
      <c r="G61" s="346">
        <v>8873171.7620714754</v>
      </c>
      <c r="H61" s="339">
        <v>41682.17934043915</v>
      </c>
      <c r="I61" s="346">
        <v>9417671.600178821</v>
      </c>
      <c r="J61" s="339">
        <v>624692.8695540831</v>
      </c>
      <c r="K61" s="527">
        <v>141143106.94704953</v>
      </c>
      <c r="L61" s="339">
        <v>46798.270489480747</v>
      </c>
      <c r="M61" s="527">
        <v>10573601.23439328</v>
      </c>
      <c r="N61" s="339">
        <v>37918.188871268278</v>
      </c>
      <c r="O61" s="527">
        <v>8567235.5935743544</v>
      </c>
      <c r="P61" s="339">
        <v>119329.04563672934</v>
      </c>
      <c r="Q61" s="527">
        <v>26961204.571162626</v>
      </c>
      <c r="R61" s="339">
        <v>13111.139839037322</v>
      </c>
      <c r="S61" s="527">
        <v>2962330.9352320922</v>
      </c>
      <c r="T61" s="339">
        <v>25176.860035532154</v>
      </c>
      <c r="U61" s="527">
        <v>5688459.7564281346</v>
      </c>
    </row>
    <row r="62" spans="1:21" ht="15.75" thickBot="1" x14ac:dyDescent="0.3">
      <c r="A62" s="528">
        <v>4000000</v>
      </c>
      <c r="B62" s="339">
        <v>45687.772286846674</v>
      </c>
      <c r="C62" s="529">
        <v>10322695.270490138</v>
      </c>
      <c r="D62" s="339">
        <v>93036.538435982438</v>
      </c>
      <c r="E62" s="529">
        <v>21020675.494225871</v>
      </c>
      <c r="F62" s="339">
        <v>39746.161133962683</v>
      </c>
      <c r="G62" s="529">
        <v>8980247.6466075294</v>
      </c>
      <c r="H62" s="339">
        <v>43205.983369721333</v>
      </c>
      <c r="I62" s="529">
        <v>9761959.8825548384</v>
      </c>
      <c r="J62" s="339">
        <v>647530.19540299417</v>
      </c>
      <c r="K62" s="530">
        <v>146302972.34935251</v>
      </c>
      <c r="L62" s="339">
        <v>47768.363296037402</v>
      </c>
      <c r="M62" s="530">
        <v>10792784.003106691</v>
      </c>
      <c r="N62" s="339">
        <v>39103.301119846867</v>
      </c>
      <c r="O62" s="530">
        <v>8834999.8550182004</v>
      </c>
      <c r="P62" s="339">
        <v>125109.50351626147</v>
      </c>
      <c r="Q62" s="530">
        <v>28267241.224464115</v>
      </c>
      <c r="R62" s="339">
        <v>13266.819276439957</v>
      </c>
      <c r="S62" s="530">
        <v>2997505.1473188438</v>
      </c>
      <c r="T62" s="339">
        <v>26023.114970291033</v>
      </c>
      <c r="U62" s="530">
        <v>5879662.5963875558</v>
      </c>
    </row>
    <row r="63" spans="1:21" x14ac:dyDescent="0.25">
      <c r="A63" s="97">
        <v>4200000</v>
      </c>
      <c r="B63" s="97">
        <v>47275.10389322089</v>
      </c>
      <c r="C63" s="97">
        <v>10681336.973634329</v>
      </c>
      <c r="D63" s="97">
        <v>95800.355986454393</v>
      </c>
      <c r="E63" s="97">
        <v>21645132.431579504</v>
      </c>
      <c r="H63" s="97">
        <v>44707.090111294332</v>
      </c>
      <c r="I63" s="97">
        <v>10101119.939745842</v>
      </c>
      <c r="J63" s="97">
        <v>670027.3558859264</v>
      </c>
      <c r="K63" s="97">
        <v>151385980.78886622</v>
      </c>
      <c r="L63" s="97">
        <v>48709.770210732277</v>
      </c>
      <c r="M63" s="97">
        <v>11005485.48141285</v>
      </c>
      <c r="N63" s="97">
        <v>40264.934943860942</v>
      </c>
      <c r="O63" s="97">
        <v>9097459.4012159407</v>
      </c>
      <c r="P63" s="97">
        <v>130841.73006134667</v>
      </c>
      <c r="Q63" s="97">
        <v>29562380.490060665</v>
      </c>
    </row>
    <row r="64" spans="1:21" x14ac:dyDescent="0.25">
      <c r="A64" s="97">
        <v>4400000</v>
      </c>
      <c r="B64" s="97">
        <v>48839.910812360271</v>
      </c>
      <c r="C64" s="97">
        <v>11034889.44894468</v>
      </c>
      <c r="D64" s="97">
        <v>98512.004148907276</v>
      </c>
      <c r="E64" s="97">
        <v>22257802.217404108</v>
      </c>
      <c r="H64" s="97">
        <v>46186.895721002846</v>
      </c>
      <c r="I64" s="97">
        <v>10435467.219203383</v>
      </c>
      <c r="J64" s="97">
        <v>692205.27525911503</v>
      </c>
      <c r="K64" s="97">
        <v>156396859.89204445</v>
      </c>
      <c r="L64" s="97">
        <v>49624.64754252549</v>
      </c>
      <c r="M64" s="97">
        <v>11212192.865758209</v>
      </c>
      <c r="N64" s="97">
        <v>41404.641949409466</v>
      </c>
      <c r="O64" s="97">
        <v>9354964.8020495754</v>
      </c>
      <c r="P64" s="97">
        <v>136525.98729771748</v>
      </c>
      <c r="Q64" s="97">
        <v>30846681.570046287</v>
      </c>
    </row>
    <row r="65" spans="1:17" x14ac:dyDescent="0.25">
      <c r="A65" s="97">
        <v>4600000</v>
      </c>
      <c r="B65" s="97">
        <v>50383.515941219572</v>
      </c>
      <c r="C65" s="97">
        <v>11383651.591759149</v>
      </c>
      <c r="D65" s="97">
        <v>101174.77509481952</v>
      </c>
      <c r="E65" s="97">
        <v>22859428.684923522</v>
      </c>
      <c r="H65" s="97">
        <v>47646.651235195692</v>
      </c>
      <c r="I65" s="97">
        <v>10765284.380080115</v>
      </c>
      <c r="J65" s="97">
        <v>714082.70286578103</v>
      </c>
      <c r="K65" s="97">
        <v>161339845.88549456</v>
      </c>
      <c r="L65" s="97">
        <v>50514.899965908713</v>
      </c>
      <c r="M65" s="97">
        <v>11413336.498297414</v>
      </c>
      <c r="N65" s="97">
        <v>42523.805837722357</v>
      </c>
      <c r="O65" s="97">
        <v>9607828.6909749899</v>
      </c>
      <c r="P65" s="97">
        <v>142162.53858334757</v>
      </c>
      <c r="Q65" s="97">
        <v>32120203.967521552</v>
      </c>
    </row>
    <row r="66" spans="1:17" x14ac:dyDescent="0.25">
      <c r="A66" s="97">
        <v>4800000</v>
      </c>
      <c r="B66" s="97">
        <v>51907.110623206274</v>
      </c>
      <c r="C66" s="97">
        <v>11727892.574207226</v>
      </c>
      <c r="D66" s="97">
        <v>103791.62012277301</v>
      </c>
      <c r="E66" s="97">
        <v>23450678.650539331</v>
      </c>
      <c r="H66" s="97">
        <v>49087.483282746944</v>
      </c>
      <c r="I66" s="97">
        <v>11090825.972903844</v>
      </c>
      <c r="J66" s="97">
        <v>735676.52354820957</v>
      </c>
      <c r="K66" s="97">
        <v>166218753.73048246</v>
      </c>
      <c r="L66" s="97">
        <v>51382.219441902518</v>
      </c>
      <c r="M66" s="97">
        <v>11609298.660703454</v>
      </c>
      <c r="N66" s="97">
        <v>43623.667040989829</v>
      </c>
      <c r="O66" s="97">
        <v>9856331.3312412426</v>
      </c>
      <c r="P66" s="97">
        <v>147751.64854213502</v>
      </c>
      <c r="Q66" s="97">
        <v>33383007.471609987</v>
      </c>
    </row>
    <row r="67" spans="1:17" x14ac:dyDescent="0.25">
      <c r="A67" s="97">
        <v>5000000</v>
      </c>
      <c r="B67" s="97">
        <v>53411.772644683391</v>
      </c>
      <c r="C67" s="97">
        <v>12067855.911339765</v>
      </c>
      <c r="D67" s="97">
        <v>106365.19760151411</v>
      </c>
      <c r="E67" s="97">
        <v>24032152.746086098</v>
      </c>
      <c r="H67" s="97">
        <v>50510.411103977327</v>
      </c>
      <c r="I67" s="97">
        <v>11412322.284832638</v>
      </c>
      <c r="J67" s="97">
        <v>757002.0127111614</v>
      </c>
      <c r="K67" s="97">
        <v>171037034.7519598</v>
      </c>
      <c r="L67" s="97">
        <v>52228.116762231417</v>
      </c>
      <c r="M67" s="97">
        <v>11800420.701258566</v>
      </c>
      <c r="N67" s="97">
        <v>44705.342872853616</v>
      </c>
      <c r="O67" s="97">
        <v>10100725.168692546</v>
      </c>
      <c r="P67" s="97">
        <v>153293.58299852163</v>
      </c>
      <c r="Q67" s="97">
        <v>34635152.142685972</v>
      </c>
    </row>
    <row r="68" spans="1:17" x14ac:dyDescent="0.25">
      <c r="A68" s="97">
        <v>5200000</v>
      </c>
      <c r="B68" s="97">
        <v>54898.481150518368</v>
      </c>
      <c r="C68" s="97">
        <v>12403762.83114812</v>
      </c>
      <c r="H68" s="97">
        <v>51916.36065598081</v>
      </c>
      <c r="I68" s="97">
        <v>11729982.526612304</v>
      </c>
      <c r="N68" s="97" t="s">
        <v>319</v>
      </c>
      <c r="P68" s="97">
        <v>158788.60891307052</v>
      </c>
      <c r="Q68" s="97">
        <v>35876698.297819152</v>
      </c>
    </row>
    <row r="69" spans="1:17" x14ac:dyDescent="0.25">
      <c r="A69" s="97">
        <v>5400000</v>
      </c>
      <c r="B69" s="97">
        <v>56368.129104029213</v>
      </c>
      <c r="C69" s="97">
        <v>12735815.08976436</v>
      </c>
      <c r="H69" s="97">
        <v>53306.176395738708</v>
      </c>
      <c r="I69" s="97">
        <v>12043997.494853204</v>
      </c>
      <c r="N69" s="97" t="s">
        <v>320</v>
      </c>
      <c r="P69" s="97">
        <v>164236.99431898072</v>
      </c>
      <c r="Q69" s="97">
        <v>37107706.496430501</v>
      </c>
    </row>
    <row r="70" spans="1:17" x14ac:dyDescent="0.25">
      <c r="A70" s="97">
        <v>5600000</v>
      </c>
      <c r="B70" s="97">
        <v>57821.533771338625</v>
      </c>
      <c r="C70" s="97">
        <v>13064197.340296248</v>
      </c>
      <c r="H70" s="97">
        <v>54680.631194956943</v>
      </c>
      <c r="I70" s="97">
        <v>12354541.812188571</v>
      </c>
      <c r="P70" s="97">
        <v>169639.00825955253</v>
      </c>
      <c r="Q70" s="97">
        <v>38328237.526163295</v>
      </c>
    </row>
    <row r="71" spans="1:17" x14ac:dyDescent="0.25">
      <c r="A71" s="97">
        <v>5800000</v>
      </c>
      <c r="B71" s="97">
        <v>59259.445602559899</v>
      </c>
      <c r="C71" s="97">
        <v>13389079.139442384</v>
      </c>
      <c r="H71" s="97">
        <v>56040.4347388202</v>
      </c>
      <c r="I71" s="97">
        <v>12661775.824889036</v>
      </c>
      <c r="P71" s="97">
        <v>174994.92072660942</v>
      </c>
      <c r="Q71" s="97">
        <v>39538352.388970129</v>
      </c>
    </row>
    <row r="72" spans="1:17" x14ac:dyDescent="0.25">
      <c r="A72" s="97">
        <v>6000000</v>
      </c>
      <c r="B72" s="97">
        <v>60682.555801638446</v>
      </c>
      <c r="C72" s="97">
        <v>13710616.65782219</v>
      </c>
      <c r="H72" s="97">
        <v>57386.24068463494</v>
      </c>
      <c r="I72" s="97">
        <v>12965847.220286418</v>
      </c>
      <c r="P72" s="97">
        <v>180305.00259986054</v>
      </c>
      <c r="Q72" s="97">
        <v>40738112.287412487</v>
      </c>
    </row>
    <row r="73" spans="1:17" x14ac:dyDescent="0.25">
      <c r="A73" s="97">
        <v>6200000</v>
      </c>
      <c r="B73" s="97">
        <v>62091.502815616863</v>
      </c>
      <c r="C73" s="97">
        <v>14028954.146160474</v>
      </c>
      <c r="H73" s="97">
        <v>58718.652798593408</v>
      </c>
      <c r="I73" s="97">
        <v>13266892.413314195</v>
      </c>
      <c r="P73" s="97">
        <v>185569.52558721509</v>
      </c>
      <c r="Q73" s="97">
        <v>41927578.611175373</v>
      </c>
    </row>
    <row r="74" spans="1:17" x14ac:dyDescent="0.25">
      <c r="A74" s="97">
        <v>6400000</v>
      </c>
      <c r="B74" s="97">
        <v>63486.877927363275</v>
      </c>
      <c r="C74" s="97">
        <v>14344225.198908458</v>
      </c>
      <c r="H74" s="97">
        <v>60038.23024470135</v>
      </c>
      <c r="I74" s="97">
        <v>13565037.741487823</v>
      </c>
      <c r="P74" s="97">
        <v>190788.76216605306</v>
      </c>
      <c r="Q74" s="97">
        <v>43106812.923798025</v>
      </c>
    </row>
    <row r="75" spans="1:17" x14ac:dyDescent="0.25">
      <c r="A75" s="97">
        <v>6600000</v>
      </c>
      <c r="B75" s="97">
        <v>64869.230099698769</v>
      </c>
      <c r="C75" s="97">
        <v>14656553.848725939</v>
      </c>
      <c r="H75" s="97">
        <v>61345.492165769465</v>
      </c>
      <c r="I75" s="97">
        <v>13860400.499933952</v>
      </c>
      <c r="P75" s="97">
        <v>195962.9855254367</v>
      </c>
      <c r="Q75" s="97">
        <v>44275876.94961717</v>
      </c>
    </row>
    <row r="76" spans="1:17" x14ac:dyDescent="0.25">
      <c r="A76" s="97">
        <v>6800000</v>
      </c>
      <c r="B76" s="97">
        <v>66239.070190715982</v>
      </c>
      <c r="C76" s="97">
        <v>14966055.51889037</v>
      </c>
      <c r="H76" s="97">
        <v>62640.921669753101</v>
      </c>
      <c r="I76" s="97">
        <v>14153089.842064016</v>
      </c>
      <c r="P76" s="97">
        <v>201092.4695092719</v>
      </c>
      <c r="Q76" s="97">
        <v>45434832.560924895</v>
      </c>
    </row>
    <row r="77" spans="1:17" x14ac:dyDescent="0.25">
      <c r="A77" s="97">
        <v>7000000</v>
      </c>
      <c r="B77" s="97">
        <v>67596.874637959671</v>
      </c>
      <c r="C77" s="97">
        <v>15272837.855700608</v>
      </c>
      <c r="H77" s="97">
        <v>63924.969313805857</v>
      </c>
      <c r="I77" s="97">
        <v>14443207.566761294</v>
      </c>
      <c r="P77" s="97">
        <v>206177.48856041208</v>
      </c>
      <c r="Q77" s="97">
        <v>46583741.765339501</v>
      </c>
    </row>
    <row r="78" spans="1:17" x14ac:dyDescent="0.25">
      <c r="A78" s="97">
        <v>7200000</v>
      </c>
      <c r="B78" s="97">
        <v>68943.088691618366</v>
      </c>
      <c r="C78" s="97">
        <v>15577001.458984254</v>
      </c>
      <c r="H78" s="97">
        <v>65198.056161842178</v>
      </c>
      <c r="I78" s="97">
        <v>14730848.809206622</v>
      </c>
      <c r="P78" s="97">
        <v>211218.3176657157</v>
      </c>
      <c r="Q78" s="97">
        <v>47722666.693391807</v>
      </c>
    </row>
    <row r="79" spans="1:17" x14ac:dyDescent="0.25">
      <c r="A79" s="97">
        <v>7400000</v>
      </c>
      <c r="B79" s="97">
        <v>70278.129262896182</v>
      </c>
      <c r="C79" s="97">
        <v>15878640.525658764</v>
      </c>
      <c r="H79" s="97">
        <v>66460.576478183808</v>
      </c>
      <c r="I79" s="97">
        <v>15016102.64948085</v>
      </c>
      <c r="P79" s="97">
        <v>216215.23230202962</v>
      </c>
      <c r="Q79" s="97">
        <v>48851669.586320572</v>
      </c>
    </row>
    <row r="80" spans="1:17" x14ac:dyDescent="0.25">
      <c r="A80" s="97">
        <v>7600000</v>
      </c>
      <c r="B80" s="97">
        <v>71602.387442503299</v>
      </c>
      <c r="C80" s="97">
        <v>16177843.418759195</v>
      </c>
      <c r="H80" s="97">
        <v>67712.900109244132</v>
      </c>
      <c r="I80" s="97">
        <v>15299052.650682619</v>
      </c>
      <c r="P80" s="97">
        <v>221168.50838311855</v>
      </c>
      <c r="Q80" s="97">
        <v>49970812.784081802</v>
      </c>
    </row>
    <row r="81" spans="1:17" x14ac:dyDescent="0.25">
      <c r="A81" s="97">
        <v>7800000</v>
      </c>
      <c r="B81" s="97">
        <v>72916.230735124249</v>
      </c>
      <c r="C81" s="97">
        <v>16474693.172293972</v>
      </c>
      <c r="H81" s="97">
        <v>68955.374596619047</v>
      </c>
      <c r="I81" s="97">
        <v>15579777.336360108</v>
      </c>
      <c r="P81" s="97">
        <v>226078.42220753618</v>
      </c>
      <c r="Q81" s="97">
        <v>51080158.713570721</v>
      </c>
    </row>
    <row r="82" spans="1:17" x14ac:dyDescent="0.25">
      <c r="A82" s="97">
        <v>8000000</v>
      </c>
      <c r="B82" s="97">
        <v>74220.005048338426</v>
      </c>
      <c r="C82" s="97">
        <v>16769267.940621585</v>
      </c>
      <c r="H82" s="97">
        <v>70188.327057967617</v>
      </c>
      <c r="I82" s="97">
        <v>15858350.615477202</v>
      </c>
      <c r="P82" s="97">
        <v>230945.2504074052</v>
      </c>
      <c r="Q82" s="97">
        <v>52179769.877049133</v>
      </c>
    </row>
    <row r="83" spans="1:17" x14ac:dyDescent="0.25">
      <c r="A83" s="97">
        <v>8200000</v>
      </c>
      <c r="B83" s="97">
        <v>75514.036468425038</v>
      </c>
      <c r="C83" s="97">
        <v>17061641.399675954</v>
      </c>
      <c r="H83" s="97">
        <v>71412.065866354562</v>
      </c>
      <c r="I83" s="97">
        <v>16134842.161844149</v>
      </c>
      <c r="P83" s="97">
        <v>235769.2698981557</v>
      </c>
      <c r="Q83" s="97">
        <v>53269708.840789296</v>
      </c>
    </row>
    <row r="84" spans="1:17" x14ac:dyDescent="0.25">
      <c r="A84" s="97">
        <v>8400000</v>
      </c>
      <c r="B84" s="97">
        <v>76798.63285051733</v>
      </c>
      <c r="C84" s="97">
        <v>17351883.106245887</v>
      </c>
      <c r="H84" s="97">
        <v>72626.882154025967</v>
      </c>
      <c r="I84" s="97">
        <v>16409317.753880627</v>
      </c>
      <c r="P84" s="97">
        <v>240550.75782915577</v>
      </c>
      <c r="Q84" s="97">
        <v>54350038.223919451</v>
      </c>
    </row>
    <row r="85" spans="1:17" x14ac:dyDescent="0.25">
      <c r="A85" s="97">
        <v>8600000</v>
      </c>
      <c r="B85" s="97">
        <v>78074.085246462055</v>
      </c>
      <c r="C85" s="97">
        <v>17640058.820585638</v>
      </c>
      <c r="H85" s="97">
        <v>73833.051162706732</v>
      </c>
      <c r="I85" s="97">
        <v>16681839.579701958</v>
      </c>
      <c r="P85" s="97">
        <v>245289.99153528456</v>
      </c>
      <c r="Q85" s="97">
        <v>55420820.687482193</v>
      </c>
    </row>
    <row r="86" spans="1:17" x14ac:dyDescent="0.25">
      <c r="A86" s="97">
        <v>8800000</v>
      </c>
      <c r="B86" s="97">
        <v>79340.669190328888</v>
      </c>
      <c r="C86" s="97">
        <v>17926230.796862908</v>
      </c>
      <c r="H86" s="97">
        <v>75030.833459280257</v>
      </c>
      <c r="I86" s="97">
        <v>16952466.51178978</v>
      </c>
      <c r="P86" s="97">
        <v>249987.2484894041</v>
      </c>
      <c r="Q86" s="97">
        <v>56482118.923695959</v>
      </c>
    </row>
    <row r="87" spans="1:17" x14ac:dyDescent="0.25">
      <c r="A87" s="97">
        <v>9000000</v>
      </c>
      <c r="B87" s="97">
        <v>80598.645858666729</v>
      </c>
      <c r="C87" s="97">
        <v>18210458.045307159</v>
      </c>
      <c r="H87" s="97">
        <v>76220.476033018742</v>
      </c>
      <c r="I87" s="97">
        <v>17221254.354900256</v>
      </c>
      <c r="P87" s="97">
        <v>254642.80625574663</v>
      </c>
      <c r="Q87" s="97">
        <v>57533995.64542339</v>
      </c>
    </row>
    <row r="88" spans="1:17" x14ac:dyDescent="0.25">
      <c r="A88" s="97">
        <v>9200000</v>
      </c>
      <c r="B88" s="97">
        <v>81848.26312021639</v>
      </c>
      <c r="C88" s="97">
        <v>18492796.569381692</v>
      </c>
      <c r="H88" s="97">
        <v>77402.213288274987</v>
      </c>
      <c r="I88" s="97">
        <v>17488256.070352849</v>
      </c>
      <c r="P88" s="97">
        <v>259256.94244420156</v>
      </c>
      <c r="Q88" s="97">
        <v>58576513.575842902</v>
      </c>
    </row>
    <row r="89" spans="1:17" x14ac:dyDescent="0.25">
      <c r="A89" s="97">
        <v>9400000</v>
      </c>
      <c r="B89" s="97">
        <v>83089.756487780658</v>
      </c>
      <c r="C89" s="97">
        <v>18773299.580849163</v>
      </c>
      <c r="H89" s="97">
        <v>78576.267944646228</v>
      </c>
      <c r="I89" s="97">
        <v>17753521.979413368</v>
      </c>
      <c r="P89" s="97">
        <v>263829.93466551043</v>
      </c>
      <c r="Q89" s="97">
        <v>59609735.438325427</v>
      </c>
    </row>
    <row r="90" spans="1:17" x14ac:dyDescent="0.25">
      <c r="A90" s="97">
        <v>9600000</v>
      </c>
      <c r="B90" s="97">
        <v>84323.349983255001</v>
      </c>
      <c r="C90" s="97">
        <v>19052017.695216633</v>
      </c>
      <c r="H90" s="97">
        <v>79742.851855015717</v>
      </c>
      <c r="I90" s="97">
        <v>18017099.948122252</v>
      </c>
      <c r="P90" s="97">
        <v>268362.06048733462</v>
      </c>
      <c r="Q90" s="97">
        <v>60633723.946508385</v>
      </c>
    </row>
    <row r="91" spans="1:17" x14ac:dyDescent="0.25">
      <c r="A91" s="97">
        <v>9800000</v>
      </c>
      <c r="B91" s="97">
        <v>85549.256925380585</v>
      </c>
      <c r="C91" s="97">
        <v>19328999.109720491</v>
      </c>
      <c r="H91" s="97">
        <v>80902.166750514647</v>
      </c>
      <c r="I91" s="97">
        <v>18279035.555611279</v>
      </c>
      <c r="P91" s="97">
        <v>272853.59739122726</v>
      </c>
      <c r="Q91" s="97">
        <v>61648541.794573888</v>
      </c>
    </row>
    <row r="92" spans="1:17" x14ac:dyDescent="0.25">
      <c r="A92" s="97">
        <v>10000000</v>
      </c>
      <c r="B92" s="97">
        <v>86767.680648557027</v>
      </c>
      <c r="C92" s="97">
        <v>19604289.765734974</v>
      </c>
      <c r="H92" s="97">
        <v>82054.404920288376</v>
      </c>
      <c r="I92" s="97">
        <v>18539372.247689955</v>
      </c>
      <c r="P92" s="97">
        <v>277304.82273047324</v>
      </c>
      <c r="Q92" s="97">
        <v>62654251.647723123</v>
      </c>
    </row>
    <row r="93" spans="1:17" x14ac:dyDescent="0.25">
      <c r="A93" s="97">
        <v>10200000</v>
      </c>
      <c r="B93" s="97">
        <v>87978.815160002501</v>
      </c>
      <c r="C93" s="97">
        <v>19877933.497250967</v>
      </c>
      <c r="H93" s="97">
        <v>83199.749832959336</v>
      </c>
      <c r="I93" s="97">
        <v>18798151.477258831</v>
      </c>
      <c r="P93" s="97">
        <v>281716.01368881389</v>
      </c>
      <c r="Q93" s="97">
        <v>63650916.13285061</v>
      </c>
    </row>
    <row r="94" spans="1:17" x14ac:dyDescent="0.25">
      <c r="A94" s="97">
        <v>10400000</v>
      </c>
      <c r="B94" s="97">
        <v>89182.845741652345</v>
      </c>
      <c r="C94" s="97">
        <v>20149972.166868929</v>
      </c>
      <c r="H94" s="97">
        <v>84338.376705829985</v>
      </c>
      <c r="I94" s="97">
        <v>19055412.832915228</v>
      </c>
      <c r="P94" s="97">
        <v>286087.44724001735</v>
      </c>
      <c r="Q94" s="97">
        <v>64638597.829409517</v>
      </c>
    </row>
    <row r="95" spans="1:17" x14ac:dyDescent="0.25">
      <c r="A95" s="97">
        <v>10600000</v>
      </c>
      <c r="B95" s="97">
        <v>90379.949502414049</v>
      </c>
      <c r="C95" s="97">
        <v>20420445.79057543</v>
      </c>
      <c r="H95" s="97">
        <v>85470.453027139083</v>
      </c>
      <c r="I95" s="97">
        <v>19311194.156951804</v>
      </c>
      <c r="P95" s="97">
        <v>290419.40010833368</v>
      </c>
      <c r="Q95" s="97">
        <v>65617359.26047691</v>
      </c>
    </row>
    <row r="96" spans="1:17" x14ac:dyDescent="0.25">
      <c r="A96" s="97">
        <v>10800000</v>
      </c>
      <c r="B96" s="97">
        <v>91570.295885730782</v>
      </c>
      <c r="C96" s="97">
        <v>20689392.652422011</v>
      </c>
      <c r="H96" s="97">
        <v>86596.139036053923</v>
      </c>
      <c r="I96" s="97">
        <v>19565531.653806023</v>
      </c>
      <c r="P96" s="97">
        <v>294712.14872978255</v>
      </c>
      <c r="Q96" s="97">
        <v>66587262.884007066</v>
      </c>
    </row>
    <row r="97" spans="1:17" x14ac:dyDescent="0.25">
      <c r="A97" s="97">
        <v>11000000</v>
      </c>
      <c r="B97" s="97">
        <v>92754.047136828973</v>
      </c>
      <c r="C97" s="97">
        <v>20956849.410095137</v>
      </c>
      <c r="H97" s="97">
        <v>87715.588164536821</v>
      </c>
      <c r="I97" s="97">
        <v>19818459.989895448</v>
      </c>
      <c r="P97" s="97">
        <v>298965.96921429597</v>
      </c>
      <c r="Q97" s="97">
        <v>67548371.084278032</v>
      </c>
    </row>
    <row r="98" spans="1:17" x14ac:dyDescent="0.25">
      <c r="A98" s="97">
        <v>11200000</v>
      </c>
      <c r="B98" s="97">
        <v>93931.358733525602</v>
      </c>
      <c r="C98" s="97">
        <v>21222851.192252774</v>
      </c>
      <c r="H98" s="97">
        <v>88828.947444750607</v>
      </c>
      <c r="I98" s="97">
        <v>20070012.385666952</v>
      </c>
      <c r="P98" s="97">
        <v>303181.13730868977</v>
      </c>
      <c r="Q98" s="97">
        <v>68500746.163525358</v>
      </c>
    </row>
    <row r="99" spans="1:17" x14ac:dyDescent="0.25">
      <c r="A99" s="97">
        <v>11400000</v>
      </c>
      <c r="B99" s="97">
        <v>95102.379784035904</v>
      </c>
      <c r="C99" s="97">
        <v>21487431.68840507</v>
      </c>
      <c r="H99" s="97">
        <v>89936.357885257181</v>
      </c>
      <c r="I99" s="97">
        <v>20320220.700595006</v>
      </c>
      <c r="P99" s="97">
        <v>307357.92836048175</v>
      </c>
      <c r="Q99" s="97">
        <v>69444450.33376725</v>
      </c>
    </row>
    <row r="100" spans="1:17" x14ac:dyDescent="0.25">
      <c r="A100" s="97">
        <v>11600000</v>
      </c>
      <c r="B100" s="97">
        <v>96267.253394842512</v>
      </c>
      <c r="C100" s="97">
        <v>21750623.232030716</v>
      </c>
      <c r="H100" s="97">
        <v>91037.954818903876</v>
      </c>
      <c r="I100" s="97">
        <v>20569115.511783142</v>
      </c>
      <c r="P100" s="97">
        <v>311496.61728250608</v>
      </c>
      <c r="Q100" s="97">
        <v>70379545.70880942</v>
      </c>
    </row>
    <row r="101" spans="1:17" x14ac:dyDescent="0.25">
      <c r="A101" s="97">
        <v>11800000</v>
      </c>
      <c r="B101" s="97">
        <v>97426.117011355804</v>
      </c>
      <c r="C101" s="97">
        <v>22012456.877545729</v>
      </c>
      <c r="H101" s="97">
        <v>92133.868224978651</v>
      </c>
      <c r="I101" s="97">
        <v>20816726.186751675</v>
      </c>
      <c r="P101" s="97">
        <v>315597.47851836588</v>
      </c>
      <c r="Q101" s="97">
        <v>71306094.296439588</v>
      </c>
    </row>
    <row r="102" spans="1:17" x14ac:dyDescent="0.25">
      <c r="A102" s="97">
        <v>12000000</v>
      </c>
      <c r="B102" s="97">
        <v>98579.102733803622</v>
      </c>
      <c r="C102" s="97">
        <v>22272962.47167559</v>
      </c>
      <c r="H102" s="97">
        <v>93224.223027940854</v>
      </c>
      <c r="I102" s="97">
        <v>21063080.950932957</v>
      </c>
      <c r="P102" s="97">
        <v>319660.78600868117</v>
      </c>
      <c r="Q102" s="97">
        <v>72224157.990801424</v>
      </c>
    </row>
    <row r="103" spans="1:17" x14ac:dyDescent="0.25">
      <c r="A103" s="97">
        <v>12200000</v>
      </c>
      <c r="B103" s="97">
        <v>99726.33761053413</v>
      </c>
      <c r="C103" s="97">
        <v>22532168.719724081</v>
      </c>
      <c r="H103" s="97">
        <v>94309.139374791368</v>
      </c>
      <c r="I103" s="97">
        <v>21308206.95034036</v>
      </c>
      <c r="P103" s="97">
        <v>323686.81315812934</v>
      </c>
      <c r="Q103" s="97">
        <v>73133798.564947739</v>
      </c>
    </row>
    <row r="104" spans="1:17" x14ac:dyDescent="0.25">
      <c r="A104" s="97">
        <v>12400000</v>
      </c>
      <c r="B104" s="97">
        <v>100867.9439106895</v>
      </c>
      <c r="C104" s="97">
        <v>22790103.247181185</v>
      </c>
      <c r="H104" s="97">
        <v>95388.732892934539</v>
      </c>
      <c r="I104" s="97">
        <v>21552130.30982963</v>
      </c>
      <c r="P104" s="97">
        <v>327675.83280328754</v>
      </c>
      <c r="Q104" s="97">
        <v>74035077.663574785</v>
      </c>
    </row>
    <row r="105" spans="1:17" x14ac:dyDescent="0.25">
      <c r="A105" s="97">
        <v>12600000</v>
      </c>
      <c r="B105" s="97">
        <v>102004.03937801001</v>
      </c>
      <c r="C105" s="97">
        <v>23046792.657067582</v>
      </c>
      <c r="H105" s="97">
        <v>96463.114930195705</v>
      </c>
      <c r="I105" s="97">
        <v>21794876.187328417</v>
      </c>
      <c r="P105" s="97">
        <v>331628.11718124803</v>
      </c>
      <c r="Q105" s="97">
        <v>74928056.795931175</v>
      </c>
    </row>
    <row r="106" spans="1:17" x14ac:dyDescent="0.25">
      <c r="A106" s="97">
        <v>12800000</v>
      </c>
      <c r="B106" s="97">
        <v>103134.73746735322</v>
      </c>
      <c r="C106" s="97">
        <v>23302262.583373785</v>
      </c>
      <c r="H106" s="97">
        <v>97532.392778492183</v>
      </c>
      <c r="I106" s="97">
        <v>22036468.824372523</v>
      </c>
      <c r="P106" s="97">
        <v>335543.93789900467</v>
      </c>
      <c r="Q106" s="97">
        <v>75812797.328901112</v>
      </c>
    </row>
    <row r="107" spans="1:17" x14ac:dyDescent="0.25">
      <c r="A107" s="97">
        <v>13000000</v>
      </c>
      <c r="B107" s="97">
        <v>104260.1475653558</v>
      </c>
      <c r="C107" s="97">
        <v>23556537.740916491</v>
      </c>
      <c r="H107" s="97">
        <v>98596.669882508781</v>
      </c>
      <c r="I107" s="97">
        <v>22276931.593254033</v>
      </c>
      <c r="P107" s="97">
        <v>339423.56590361241</v>
      </c>
      <c r="Q107" s="97">
        <v>76689360.48026219</v>
      </c>
    </row>
    <row r="108" spans="1:17" x14ac:dyDescent="0.25">
      <c r="A108" s="97">
        <v>13200000</v>
      </c>
      <c r="B108" s="97">
        <v>105380.37519652872</v>
      </c>
      <c r="C108" s="97">
        <v>23809641.9719037</v>
      </c>
      <c r="H108" s="97">
        <v>99656.046034597835</v>
      </c>
      <c r="I108" s="97">
        <v>22516287.041057035</v>
      </c>
      <c r="P108" s="97">
        <v>343267.27145309001</v>
      </c>
      <c r="Q108" s="97">
        <v>77557807.312111154</v>
      </c>
    </row>
    <row r="109" spans="1:17" x14ac:dyDescent="0.25">
      <c r="A109" s="97">
        <v>13400000</v>
      </c>
      <c r="B109" s="97">
        <v>106495.52221595342</v>
      </c>
      <c r="C109" s="97">
        <v>24061598.289472517</v>
      </c>
      <c r="H109" s="97">
        <v>100710.61755700773</v>
      </c>
      <c r="I109" s="97">
        <v>22754556.930830326</v>
      </c>
      <c r="P109" s="97">
        <v>347075.32408808265</v>
      </c>
      <c r="Q109" s="97">
        <v>78418198.724461392</v>
      </c>
    </row>
    <row r="110" spans="1:17" x14ac:dyDescent="0.25">
      <c r="A110" s="97">
        <v>13600000</v>
      </c>
      <c r="B110" s="97">
        <v>107605.68698963587</v>
      </c>
      <c r="C110" s="97">
        <v>24312428.918438327</v>
      </c>
      <c r="H110" s="97">
        <v>101760.4774724404</v>
      </c>
      <c r="I110" s="97">
        <v>22991762.280123182</v>
      </c>
      <c r="P110" s="97">
        <v>350847.99260424729</v>
      </c>
      <c r="Q110" s="97">
        <v>79270595.449003637</v>
      </c>
    </row>
    <row r="111" spans="1:17" x14ac:dyDescent="0.25">
      <c r="A111" s="97">
        <v>13800000</v>
      </c>
      <c r="B111" s="97">
        <v>108710.96456347968</v>
      </c>
      <c r="C111" s="97">
        <v>24562155.333472598</v>
      </c>
      <c r="H111" s="97">
        <v>102805.71566384524</v>
      </c>
      <c r="I111" s="97">
        <v>23227923.397089195</v>
      </c>
      <c r="P111" s="97">
        <v>354585.54502538219</v>
      </c>
      <c r="Q111" s="97">
        <v>80115058.043034852</v>
      </c>
    </row>
    <row r="112" spans="1:17" x14ac:dyDescent="0.25">
      <c r="A112" s="97">
        <v>14000000</v>
      </c>
      <c r="B112" s="97">
        <v>109811.44682174956</v>
      </c>
      <c r="C112" s="97">
        <v>24810798.294906095</v>
      </c>
      <c r="H112" s="97">
        <v>103846.41902427527</v>
      </c>
      <c r="I112" s="97">
        <v>23463059.914344754</v>
      </c>
      <c r="P112" s="97">
        <v>358288.24857726227</v>
      </c>
      <c r="Q112" s="97">
        <v>80951646.883546636</v>
      </c>
    </row>
    <row r="113" spans="1:17" x14ac:dyDescent="0.25">
      <c r="A113" s="97">
        <v>14200000</v>
      </c>
      <c r="B113" s="97">
        <v>110907.22263582044</v>
      </c>
      <c r="C113" s="97">
        <v>25058377.882337268</v>
      </c>
      <c r="H113" s="97">
        <v>104882.67159755557</v>
      </c>
      <c r="I113" s="97">
        <v>23697190.820751704</v>
      </c>
      <c r="P113" s="97">
        <v>361956.36966219638</v>
      </c>
      <c r="Q113" s="97">
        <v>81780422.161476642</v>
      </c>
    </row>
    <row r="114" spans="1:17" x14ac:dyDescent="0.25">
      <c r="A114" s="97">
        <v>14400000</v>
      </c>
      <c r="B114" s="97">
        <v>111998.37800393499</v>
      </c>
      <c r="C114" s="97">
        <v>25304913.526209071</v>
      </c>
      <c r="H114" s="97">
        <v>105914.55471044948</v>
      </c>
      <c r="I114" s="97">
        <v>23930334.491278954</v>
      </c>
      <c r="P114" s="97">
        <v>365590.17383428197</v>
      </c>
      <c r="Q114" s="97">
        <v>82601443.876117662</v>
      </c>
    </row>
    <row r="115" spans="1:17" x14ac:dyDescent="0.25">
      <c r="A115" s="97">
        <v>14600000</v>
      </c>
      <c r="B115" s="97">
        <v>113084.99618263097</v>
      </c>
      <c r="C115" s="97">
        <v>25550424.037503641</v>
      </c>
      <c r="H115" s="97">
        <v>106942.14709694653</v>
      </c>
      <c r="I115" s="97">
        <v>24162508.715084098</v>
      </c>
      <c r="P115" s="97">
        <v>369189.92577534728</v>
      </c>
      <c r="Q115" s="97">
        <v>83414771.829681963</v>
      </c>
    </row>
    <row r="116" spans="1:17" x14ac:dyDescent="0.25">
      <c r="A116" s="97">
        <v>14800000</v>
      </c>
      <c r="B116" s="97">
        <v>114167.15781044142</v>
      </c>
      <c r="C116" s="97">
        <v>25794927.635691136</v>
      </c>
      <c r="H116" s="97">
        <v>107965.5250152433</v>
      </c>
      <c r="I116" s="97">
        <v>24393730.721944071</v>
      </c>
      <c r="P116" s="97">
        <v>372755.88927158527</v>
      </c>
      <c r="Q116" s="97">
        <v>84220465.622021973</v>
      </c>
    </row>
    <row r="117" spans="1:17" x14ac:dyDescent="0.25">
      <c r="A117" s="97">
        <v>15000000</v>
      </c>
      <c r="B117" s="97">
        <v>115244.9410244207</v>
      </c>
      <c r="C117" s="97">
        <v>26038441.975057613</v>
      </c>
      <c r="H117" s="97">
        <v>108984.76235793946</v>
      </c>
      <c r="I117" s="97">
        <v>24624017.20715284</v>
      </c>
      <c r="P117" s="97">
        <v>376288.32719086111</v>
      </c>
      <c r="Q117" s="97">
        <v>85018584.645503163</v>
      </c>
    </row>
    <row r="118" spans="1:17" x14ac:dyDescent="0.25">
      <c r="A118" s="97">
        <v>15200000</v>
      </c>
      <c r="B118" s="97">
        <v>116318.42157000185</v>
      </c>
      <c r="C118" s="97">
        <v>26280984.169526219</v>
      </c>
    </row>
    <row r="119" spans="1:17" x14ac:dyDescent="0.25">
      <c r="A119" s="97">
        <v>15400000</v>
      </c>
      <c r="B119" s="97">
        <v>117387.67290465004</v>
      </c>
      <c r="C119" s="97">
        <v>26522570.816076629</v>
      </c>
    </row>
    <row r="120" spans="1:17" x14ac:dyDescent="0.25">
      <c r="A120" s="97">
        <v>15600000</v>
      </c>
      <c r="B120" s="97">
        <v>118452.76629573775</v>
      </c>
      <c r="C120" s="97">
        <v>26763218.016858988</v>
      </c>
    </row>
    <row r="121" spans="1:17" x14ac:dyDescent="0.25">
      <c r="A121" s="97">
        <v>15800000</v>
      </c>
      <c r="B121" s="97">
        <v>119513.77091303423</v>
      </c>
      <c r="C121" s="97">
        <v>27002941.400090951</v>
      </c>
    </row>
    <row r="122" spans="1:17" x14ac:dyDescent="0.25">
      <c r="A122" s="97">
        <v>16000000</v>
      </c>
      <c r="B122" s="97">
        <v>120570.75391616956</v>
      </c>
      <c r="C122" s="97">
        <v>27241756.13981935</v>
      </c>
    </row>
    <row r="123" spans="1:17" x14ac:dyDescent="0.25">
      <c r="A123" s="97">
        <v>16200000</v>
      </c>
      <c r="B123" s="97">
        <v>121623.78053740562</v>
      </c>
      <c r="C123" s="97">
        <v>27479676.974621426</v>
      </c>
    </row>
    <row r="124" spans="1:17" x14ac:dyDescent="0.25">
      <c r="A124" s="97">
        <v>16400000</v>
      </c>
      <c r="B124" s="97">
        <v>122672.91416002079</v>
      </c>
      <c r="C124" s="97">
        <v>27716718.225315098</v>
      </c>
    </row>
    <row r="125" spans="1:17" x14ac:dyDescent="0.25">
      <c r="A125" s="97">
        <v>16600000</v>
      </c>
      <c r="B125" s="97">
        <v>123718.21639259135</v>
      </c>
      <c r="C125" s="97">
        <v>27952893.81174209</v>
      </c>
    </row>
    <row r="126" spans="1:17" x14ac:dyDescent="0.25">
      <c r="A126" s="97">
        <v>16800000</v>
      </c>
      <c r="B126" s="97">
        <v>124759.74713943084</v>
      </c>
      <c r="C126" s="97">
        <v>28188217.268683001</v>
      </c>
    </row>
    <row r="127" spans="1:17" x14ac:dyDescent="0.25">
      <c r="A127" s="97">
        <v>17000000</v>
      </c>
      <c r="B127" s="97">
        <v>125797.56466742975</v>
      </c>
      <c r="C127" s="97">
        <v>28422701.760959078</v>
      </c>
    </row>
    <row r="128" spans="1:17" x14ac:dyDescent="0.25">
      <c r="A128" s="97">
        <v>17200000</v>
      </c>
      <c r="B128" s="97">
        <v>126831.72566951961</v>
      </c>
      <c r="C128" s="97">
        <v>28656360.097771261</v>
      </c>
    </row>
    <row r="129" spans="1:3" x14ac:dyDescent="0.25">
      <c r="A129" s="97">
        <v>17400000</v>
      </c>
      <c r="B129" s="97">
        <v>127862.28532496898</v>
      </c>
      <c r="C129" s="97">
        <v>28889204.746323492</v>
      </c>
    </row>
    <row r="130" spans="1:3" x14ac:dyDescent="0.25">
      <c r="A130" s="97">
        <v>17600000</v>
      </c>
      <c r="B130" s="97">
        <v>128889.29735670397</v>
      </c>
      <c r="C130" s="97">
        <v>29121247.844773695</v>
      </c>
    </row>
    <row r="131" spans="1:3" x14ac:dyDescent="0.25">
      <c r="A131" s="97">
        <v>17800000</v>
      </c>
      <c r="B131" s="97">
        <v>129912.81408583271</v>
      </c>
      <c r="C131" s="97">
        <v>29352501.214553043</v>
      </c>
    </row>
    <row r="132" spans="1:3" x14ac:dyDescent="0.25">
      <c r="A132" s="97">
        <v>18000000</v>
      </c>
      <c r="B132" s="97">
        <v>130932.88648353927</v>
      </c>
      <c r="C132" s="97">
        <v>29582976.372090865</v>
      </c>
    </row>
    <row r="133" spans="1:3" x14ac:dyDescent="0.25">
      <c r="A133" s="97">
        <v>18200000</v>
      </c>
      <c r="B133" s="97">
        <v>131949.56422050251</v>
      </c>
      <c r="C133" s="97">
        <v>29812684.539980337</v>
      </c>
    </row>
    <row r="134" spans="1:3" x14ac:dyDescent="0.25">
      <c r="A134" s="97">
        <v>18400000</v>
      </c>
      <c r="B134" s="97">
        <v>132962.8957139829</v>
      </c>
      <c r="C134" s="97">
        <v>30041636.657617297</v>
      </c>
    </row>
    <row r="135" spans="1:3" x14ac:dyDescent="0.25">
      <c r="A135" s="97">
        <v>18600000</v>
      </c>
      <c r="B135" s="97">
        <v>133972.92817271245</v>
      </c>
      <c r="C135" s="97">
        <v>30269843.391342651</v>
      </c>
    </row>
    <row r="136" spans="1:3" x14ac:dyDescent="0.25">
      <c r="A136" s="97">
        <v>18800000</v>
      </c>
      <c r="B136" s="97">
        <v>134979.70763971182</v>
      </c>
      <c r="C136" s="97">
        <v>30497315.144116487</v>
      </c>
    </row>
    <row r="137" spans="1:3" x14ac:dyDescent="0.25">
      <c r="A137" s="97">
        <v>19000000</v>
      </c>
      <c r="B137" s="97">
        <v>135983.27903315192</v>
      </c>
      <c r="C137" s="97">
        <v>30724062.064750344</v>
      </c>
    </row>
    <row r="138" spans="1:3" x14ac:dyDescent="0.25">
      <c r="A138" s="97">
        <v>19200000</v>
      </c>
      <c r="B138" s="97">
        <v>136983.6861853688</v>
      </c>
      <c r="C138" s="97">
        <v>30950094.056722227</v>
      </c>
    </row>
    <row r="139" spans="1:3" x14ac:dyDescent="0.25">
      <c r="A139" s="97">
        <v>19400000</v>
      </c>
      <c r="B139" s="97">
        <v>137980.97188013329</v>
      </c>
      <c r="C139" s="97">
        <v>31175420.786597315</v>
      </c>
    </row>
    <row r="140" spans="1:3" x14ac:dyDescent="0.25">
      <c r="A140" s="97">
        <v>19600000</v>
      </c>
      <c r="B140" s="97">
        <v>138975.17788827131</v>
      </c>
      <c r="C140" s="97">
        <v>31400051.69207602</v>
      </c>
    </row>
    <row r="141" spans="1:3" x14ac:dyDescent="0.25">
      <c r="A141" s="97">
        <v>19800000</v>
      </c>
      <c r="B141" s="97">
        <v>139966.34500172324</v>
      </c>
      <c r="C141" s="97">
        <v>31623995.98968935</v>
      </c>
    </row>
    <row r="142" spans="1:3" x14ac:dyDescent="0.25">
      <c r="A142" s="97">
        <v>20000000</v>
      </c>
      <c r="B142" s="97">
        <v>140954.51306612603</v>
      </c>
      <c r="C142" s="97">
        <v>31847262.682160515</v>
      </c>
    </row>
    <row r="143" spans="1:3" x14ac:dyDescent="0.25">
      <c r="A143" s="97">
        <v>20200000</v>
      </c>
      <c r="B143" s="97">
        <v>141939.7210119965</v>
      </c>
      <c r="C143" s="97">
        <v>32069860.56545049</v>
      </c>
    </row>
    <row r="144" spans="1:3" x14ac:dyDescent="0.25">
      <c r="A144" s="97">
        <v>20400000</v>
      </c>
      <c r="B144" s="97">
        <v>142922.00688458869</v>
      </c>
      <c r="C144" s="97">
        <v>32291798.235503968</v>
      </c>
    </row>
    <row r="145" spans="1:3" x14ac:dyDescent="0.25">
      <c r="A145" s="97">
        <v>20600000</v>
      </c>
      <c r="B145" s="97">
        <v>143901.40787249437</v>
      </c>
      <c r="C145" s="97">
        <v>32513084.094711378</v>
      </c>
    </row>
    <row r="146" spans="1:3" x14ac:dyDescent="0.25">
      <c r="A146" s="97">
        <v>20800000</v>
      </c>
      <c r="B146" s="97">
        <v>144877.9603350512</v>
      </c>
      <c r="C146" s="97">
        <v>32733726.358101469</v>
      </c>
    </row>
    <row r="147" spans="1:3" x14ac:dyDescent="0.25">
      <c r="A147" s="97">
        <v>21000000</v>
      </c>
      <c r="B147" s="97">
        <v>145851.69982861925</v>
      </c>
      <c r="C147" s="97">
        <v>32953733.059278235</v>
      </c>
    </row>
    <row r="148" spans="1:3" x14ac:dyDescent="0.25">
      <c r="A148" s="97">
        <v>21200000</v>
      </c>
      <c r="B148" s="97">
        <v>146822.66113178272</v>
      </c>
      <c r="C148" s="97">
        <v>33173112.056114987</v>
      </c>
    </row>
    <row r="149" spans="1:3" x14ac:dyDescent="0.25">
      <c r="A149" s="97">
        <v>21400000</v>
      </c>
      <c r="B149" s="97">
        <v>147790.87826953092</v>
      </c>
      <c r="C149" s="97">
        <v>33391871.036217816</v>
      </c>
    </row>
    <row r="150" spans="1:3" x14ac:dyDescent="0.25">
      <c r="A150" s="97">
        <v>21600000</v>
      </c>
      <c r="B150" s="97">
        <v>148756.38453646871</v>
      </c>
      <c r="C150" s="97">
        <v>33610017.522169739</v>
      </c>
    </row>
    <row r="151" spans="1:3" x14ac:dyDescent="0.25">
      <c r="A151" s="97">
        <v>21800000</v>
      </c>
      <c r="B151" s="97">
        <v>149719.21251910398</v>
      </c>
      <c r="C151" s="97">
        <v>33827558.87656635</v>
      </c>
    </row>
    <row r="152" spans="1:3" x14ac:dyDescent="0.25">
      <c r="A152" s="97">
        <v>22000000</v>
      </c>
      <c r="B152" s="97">
        <v>150679.39411725712</v>
      </c>
      <c r="C152" s="97">
        <v>34044502.306853071</v>
      </c>
    </row>
    <row r="153" spans="1:3" x14ac:dyDescent="0.25">
      <c r="A153" s="97">
        <v>22200000</v>
      </c>
      <c r="B153" s="97">
        <v>151636.96056463459</v>
      </c>
      <c r="C153" s="97">
        <v>34260854.86997354</v>
      </c>
    </row>
    <row r="154" spans="1:3" x14ac:dyDescent="0.25">
      <c r="A154" s="97">
        <v>22400000</v>
      </c>
      <c r="B154" s="97">
        <v>152591.94244860677</v>
      </c>
      <c r="C154" s="97">
        <v>34476623.476838216</v>
      </c>
    </row>
    <row r="155" spans="1:3" x14ac:dyDescent="0.25">
      <c r="A155" s="97">
        <v>22600000</v>
      </c>
      <c r="B155" s="97">
        <v>153544.36972922692</v>
      </c>
      <c r="C155" s="97">
        <v>34691814.896621533</v>
      </c>
    </row>
    <row r="156" spans="1:3" x14ac:dyDescent="0.25">
      <c r="A156" s="97">
        <v>22800000</v>
      </c>
      <c r="B156" s="97">
        <v>154494.27175752792</v>
      </c>
      <c r="C156" s="97">
        <v>34906435.760895856</v>
      </c>
    </row>
    <row r="157" spans="1:3" x14ac:dyDescent="0.25">
      <c r="A157" s="97">
        <v>23000000</v>
      </c>
      <c r="B157" s="97">
        <v>155441.67729312947</v>
      </c>
      <c r="C157" s="97">
        <v>35120492.567609675</v>
      </c>
    </row>
    <row r="158" spans="1:3" x14ac:dyDescent="0.25">
      <c r="A158" s="97">
        <v>23200000</v>
      </c>
      <c r="B158" s="97">
        <v>156386.61452118756</v>
      </c>
      <c r="C158" s="97">
        <v>35333991.684917115</v>
      </c>
    </row>
    <row r="159" spans="1:3" x14ac:dyDescent="0.25">
      <c r="A159" s="97">
        <v>23400000</v>
      </c>
      <c r="B159" s="97">
        <v>157329.11106871683</v>
      </c>
      <c r="C159" s="97">
        <v>35546939.354865879</v>
      </c>
    </row>
    <row r="160" spans="1:3" x14ac:dyDescent="0.25">
      <c r="A160" s="97">
        <v>23600000</v>
      </c>
      <c r="B160" s="97">
        <v>158269.19402031347</v>
      </c>
      <c r="C160" s="97">
        <v>35759341.696949624</v>
      </c>
    </row>
    <row r="161" spans="1:3" x14ac:dyDescent="0.25">
      <c r="A161" s="97">
        <v>23800000</v>
      </c>
      <c r="B161" s="97">
        <v>159206.88993330597</v>
      </c>
      <c r="C161" s="97">
        <v>35971204.711531147</v>
      </c>
    </row>
    <row r="162" spans="1:3" x14ac:dyDescent="0.25">
      <c r="A162" s="97">
        <v>24000000</v>
      </c>
      <c r="B162" s="97">
        <v>160142.22485235901</v>
      </c>
      <c r="C162" s="97">
        <v>36182534.283141993</v>
      </c>
    </row>
    <row r="163" spans="1:3" x14ac:dyDescent="0.25">
      <c r="A163" s="97">
        <v>24200000</v>
      </c>
      <c r="B163" s="97">
        <v>161075.22432355487</v>
      </c>
      <c r="C163" s="97">
        <v>36393336.183663987</v>
      </c>
    </row>
    <row r="164" spans="1:3" x14ac:dyDescent="0.25">
      <c r="A164" s="97">
        <v>24400000</v>
      </c>
      <c r="B164" s="97">
        <v>162005.91340797467</v>
      </c>
      <c r="C164" s="97">
        <v>36603616.075397797</v>
      </c>
    </row>
    <row r="165" spans="1:3" x14ac:dyDescent="0.25">
      <c r="A165" s="97">
        <v>24600000</v>
      </c>
      <c r="B165" s="97">
        <v>162934.31669480179</v>
      </c>
      <c r="C165" s="97">
        <v>36813379.514023513</v>
      </c>
    </row>
    <row r="166" spans="1:3" x14ac:dyDescent="0.25">
      <c r="A166" s="97">
        <v>24800000</v>
      </c>
      <c r="B166" s="97">
        <v>163860.45831396777</v>
      </c>
      <c r="C166" s="97">
        <v>37022631.95145788</v>
      </c>
    </row>
    <row r="167" spans="1:3" x14ac:dyDescent="0.25">
      <c r="A167" s="97">
        <v>25000000</v>
      </c>
      <c r="B167" s="97">
        <v>164784.3619483597</v>
      </c>
      <c r="C167" s="97">
        <v>37231378.738612391</v>
      </c>
    </row>
    <row r="168" spans="1:3" x14ac:dyDescent="0.25">
      <c r="A168" s="97">
        <v>25200000</v>
      </c>
      <c r="B168" s="97">
        <v>165706.05084560887</v>
      </c>
      <c r="C168" s="97">
        <v>37439625.128056869</v>
      </c>
    </row>
    <row r="169" spans="1:3" x14ac:dyDescent="0.25">
      <c r="A169" s="97">
        <v>25400000</v>
      </c>
      <c r="B169" s="97">
        <v>166625.547829477</v>
      </c>
      <c r="C169" s="97">
        <v>37647376.276592031</v>
      </c>
    </row>
    <row r="170" spans="1:3" x14ac:dyDescent="0.25">
      <c r="A170" s="97">
        <v>25600000</v>
      </c>
      <c r="B170" s="97">
        <v>167542.87531085775</v>
      </c>
      <c r="C170" s="97">
        <v>37854637.247735202</v>
      </c>
    </row>
    <row r="171" spans="1:3" x14ac:dyDescent="0.25">
      <c r="A171" s="97">
        <v>25800000</v>
      </c>
      <c r="B171" s="97">
        <v>168458.05529840876</v>
      </c>
      <c r="C171" s="97">
        <v>38061413.014122471</v>
      </c>
    </row>
    <row r="172" spans="1:3" x14ac:dyDescent="0.25">
      <c r="A172" s="97">
        <v>26000000</v>
      </c>
      <c r="B172" s="97">
        <v>169371.10940882994</v>
      </c>
      <c r="C172" s="97">
        <v>38267708.459831037</v>
      </c>
    </row>
    <row r="173" spans="1:3" x14ac:dyDescent="0.25">
      <c r="A173" s="97">
        <v>26200000</v>
      </c>
      <c r="B173" s="97">
        <v>170282.05887680201</v>
      </c>
      <c r="C173" s="97">
        <v>38473528.382624649</v>
      </c>
    </row>
    <row r="174" spans="1:3" x14ac:dyDescent="0.25">
      <c r="A174" s="97">
        <v>26400000</v>
      </c>
      <c r="B174" s="97">
        <v>171190.92456459932</v>
      </c>
      <c r="C174" s="97">
        <v>38678877.496125571</v>
      </c>
    </row>
    <row r="175" spans="1:3" x14ac:dyDescent="0.25">
      <c r="A175" s="97">
        <v>26600000</v>
      </c>
      <c r="B175" s="97">
        <v>172097.72697138964</v>
      </c>
      <c r="C175" s="97">
        <v>38883760.431915775</v>
      </c>
    </row>
    <row r="176" spans="1:3" x14ac:dyDescent="0.25">
      <c r="A176" s="97">
        <v>26800000</v>
      </c>
      <c r="B176" s="97">
        <v>173002.48624223375</v>
      </c>
      <c r="C176" s="97">
        <v>39088181.741570294</v>
      </c>
    </row>
    <row r="177" spans="1:3" x14ac:dyDescent="0.25">
      <c r="A177" s="97">
        <v>27000000</v>
      </c>
      <c r="B177" s="97">
        <v>173905.2221767967</v>
      </c>
      <c r="C177" s="97">
        <v>39292145.898625448</v>
      </c>
    </row>
    <row r="178" spans="1:3" x14ac:dyDescent="0.25">
      <c r="A178" s="97">
        <v>27200000</v>
      </c>
      <c r="B178" s="97">
        <v>174805.95423778144</v>
      </c>
      <c r="C178" s="97">
        <v>39495657.300484337</v>
      </c>
    </row>
    <row r="179" spans="1:3" x14ac:dyDescent="0.25">
      <c r="A179" s="97">
        <v>27400000</v>
      </c>
      <c r="B179" s="97">
        <v>175704.70155909678</v>
      </c>
      <c r="C179" s="97">
        <v>39698720.270262323</v>
      </c>
    </row>
    <row r="180" spans="1:3" x14ac:dyDescent="0.25">
      <c r="A180" s="97">
        <v>27600000</v>
      </c>
      <c r="B180" s="97">
        <v>176601.48295376831</v>
      </c>
      <c r="C180" s="97">
        <v>39901339.058574408</v>
      </c>
    </row>
    <row r="181" spans="1:3" x14ac:dyDescent="0.25">
      <c r="A181" s="97">
        <v>27800000</v>
      </c>
      <c r="B181" s="97">
        <v>177496.3169216041</v>
      </c>
      <c r="C181" s="97">
        <v>40103517.845267229</v>
      </c>
    </row>
    <row r="182" spans="1:3" x14ac:dyDescent="0.25">
      <c r="A182" s="97">
        <v>28000000</v>
      </c>
      <c r="B182" s="97">
        <v>178389.22165662277</v>
      </c>
      <c r="C182" s="97">
        <v>40305260.741097346</v>
      </c>
    </row>
    <row r="183" spans="1:3" x14ac:dyDescent="0.25">
      <c r="A183" s="97">
        <v>28200000</v>
      </c>
      <c r="B183" s="97">
        <v>179280.21505425396</v>
      </c>
      <c r="C183" s="97">
        <v>40506571.789358139</v>
      </c>
    </row>
    <row r="184" spans="1:3" x14ac:dyDescent="0.25">
      <c r="A184" s="97">
        <v>28400000</v>
      </c>
      <c r="B184" s="97">
        <v>180169.31471831937</v>
      </c>
      <c r="C184" s="97">
        <v>40707454.967457078</v>
      </c>
    </row>
    <row r="185" spans="1:3" x14ac:dyDescent="0.25">
      <c r="A185" s="97">
        <v>28600000</v>
      </c>
      <c r="B185" s="97">
        <v>181056.53796780252</v>
      </c>
      <c r="C185" s="97">
        <v>40907914.1884453</v>
      </c>
    </row>
    <row r="186" spans="1:3" x14ac:dyDescent="0.25">
      <c r="A186" s="97">
        <v>28800000</v>
      </c>
      <c r="B186" s="97">
        <v>181941.9018434154</v>
      </c>
      <c r="C186" s="97">
        <v>41107953.302501276</v>
      </c>
    </row>
    <row r="187" spans="1:3" x14ac:dyDescent="0.25">
      <c r="A187" s="97">
        <v>29000000</v>
      </c>
      <c r="B187" s="97">
        <v>182825.42311396913</v>
      </c>
      <c r="C187" s="97">
        <v>41307576.098370187</v>
      </c>
    </row>
    <row r="188" spans="1:3" x14ac:dyDescent="0.25">
      <c r="A188" s="97">
        <v>29200000</v>
      </c>
      <c r="B188" s="97">
        <v>183707.11828255549</v>
      </c>
      <c r="C188" s="97">
        <v>41506786.304760583</v>
      </c>
    </row>
    <row r="189" spans="1:3" x14ac:dyDescent="0.25">
      <c r="A189" s="97">
        <v>29400000</v>
      </c>
      <c r="B189" s="97">
        <v>184587.00359254741</v>
      </c>
      <c r="C189" s="97">
        <v>41705587.591700159</v>
      </c>
    </row>
    <row r="190" spans="1:3" x14ac:dyDescent="0.25">
      <c r="A190" s="97">
        <v>29600000</v>
      </c>
      <c r="B190" s="97">
        <v>185465.0950334231</v>
      </c>
      <c r="C190" s="97">
        <v>41903983.571851619</v>
      </c>
    </row>
    <row r="191" spans="1:3" x14ac:dyDescent="0.25">
      <c r="A191" s="97">
        <v>29800000</v>
      </c>
      <c r="B191" s="97">
        <v>186341.4083464221</v>
      </c>
      <c r="C191" s="97">
        <v>42101977.80179061</v>
      </c>
    </row>
    <row r="192" spans="1:3" x14ac:dyDescent="0.25">
      <c r="A192" s="97">
        <v>30000000</v>
      </c>
      <c r="B192" s="97">
        <v>187215.95903003748</v>
      </c>
      <c r="C192" s="97">
        <v>42299573.783246666</v>
      </c>
    </row>
  </sheetData>
  <mergeCells count="21">
    <mergeCell ref="L40:M40"/>
    <mergeCell ref="N40:O40"/>
    <mergeCell ref="P40:Q40"/>
    <mergeCell ref="R40:S40"/>
    <mergeCell ref="T40:U40"/>
    <mergeCell ref="A22:A32"/>
    <mergeCell ref="A33:D34"/>
    <mergeCell ref="A36:A37"/>
    <mergeCell ref="A39:U39"/>
    <mergeCell ref="A40:A41"/>
    <mergeCell ref="B40:C40"/>
    <mergeCell ref="D40:E40"/>
    <mergeCell ref="F40:G40"/>
    <mergeCell ref="H40:I40"/>
    <mergeCell ref="J40:K40"/>
    <mergeCell ref="B6:F6"/>
    <mergeCell ref="A9:A20"/>
    <mergeCell ref="B9:B10"/>
    <mergeCell ref="C9:D9"/>
    <mergeCell ref="E9:G9"/>
    <mergeCell ref="H9:J9"/>
  </mergeCells>
  <pageMargins left="0.7" right="0.7" top="0.75" bottom="0.75" header="0.3" footer="0.3"/>
  <pageSetup paperSize="9" orientation="portrait" r:id="rId1"/>
  <headerFooter>
    <oddHeader>&amp;L&amp;"Calibri"&amp;12&amp;K8E6A00Confidential&amp;1#</oddHead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3A5A39-FE5A-49A6-A36B-97C5AF470238}">
  <sheetPr>
    <tabColor theme="3" tint="0.79998168889431442"/>
    <pageSetUpPr autoPageBreaks="0"/>
  </sheetPr>
  <dimension ref="B3:V62"/>
  <sheetViews>
    <sheetView topLeftCell="A19" workbookViewId="0">
      <selection activeCell="L29" sqref="L29"/>
    </sheetView>
  </sheetViews>
  <sheetFormatPr defaultColWidth="8.85546875" defaultRowHeight="15" x14ac:dyDescent="0.25"/>
  <cols>
    <col min="1" max="1" width="4.5703125" style="97" customWidth="1"/>
    <col min="2" max="2" width="12.140625" style="97" customWidth="1"/>
    <col min="3" max="3" width="12.5703125" style="97" bestFit="1" customWidth="1"/>
    <col min="4" max="4" width="12.140625" style="97" customWidth="1"/>
    <col min="5" max="5" width="16.5703125" style="97" bestFit="1" customWidth="1"/>
    <col min="6" max="6" width="13.7109375" style="97" bestFit="1" customWidth="1"/>
    <col min="7" max="7" width="18.85546875" style="97" customWidth="1"/>
    <col min="8" max="8" width="21.85546875" style="97" customWidth="1"/>
    <col min="9" max="9" width="13.85546875" style="97" customWidth="1"/>
    <col min="10" max="10" width="14.42578125" style="97" customWidth="1"/>
    <col min="11" max="11" width="17.42578125" style="97" customWidth="1"/>
    <col min="12" max="15" width="12.140625" style="97" customWidth="1"/>
    <col min="16" max="16" width="11.85546875" style="97" bestFit="1" customWidth="1"/>
    <col min="17" max="17" width="0.5703125" style="97" customWidth="1"/>
    <col min="18" max="18" width="11.140625" style="97" bestFit="1" customWidth="1"/>
    <col min="19" max="19" width="8.85546875" style="97"/>
    <col min="20" max="20" width="11.85546875" style="97" bestFit="1" customWidth="1"/>
    <col min="21" max="16384" width="8.85546875" style="97"/>
  </cols>
  <sheetData>
    <row r="3" spans="2:13" x14ac:dyDescent="0.25">
      <c r="G3" s="160"/>
    </row>
    <row r="4" spans="2:13" ht="34.35" customHeight="1" x14ac:dyDescent="0.25">
      <c r="G4" s="404" t="s">
        <v>185</v>
      </c>
      <c r="H4" s="404"/>
      <c r="I4" s="405" t="s">
        <v>186</v>
      </c>
      <c r="J4" s="405"/>
      <c r="K4" s="406" t="s">
        <v>187</v>
      </c>
      <c r="L4" s="406"/>
    </row>
    <row r="5" spans="2:13" ht="38.85" customHeight="1" x14ac:dyDescent="0.25">
      <c r="B5" s="174"/>
      <c r="C5" s="260" t="s">
        <v>188</v>
      </c>
      <c r="D5" s="260" t="s">
        <v>189</v>
      </c>
      <c r="E5" s="158" t="s">
        <v>190</v>
      </c>
      <c r="F5" s="260" t="s">
        <v>276</v>
      </c>
      <c r="G5" s="284" t="s">
        <v>229</v>
      </c>
      <c r="H5" s="284"/>
      <c r="I5" s="284" t="s">
        <v>229</v>
      </c>
      <c r="J5" s="284"/>
      <c r="K5" s="284" t="s">
        <v>229</v>
      </c>
      <c r="L5" s="284"/>
      <c r="M5" s="285"/>
    </row>
    <row r="6" spans="2:13" x14ac:dyDescent="0.25">
      <c r="C6" s="160">
        <f>$C$8+E6</f>
        <v>71971310.615999997</v>
      </c>
      <c r="D6" s="161">
        <v>0.2</v>
      </c>
      <c r="E6" s="162">
        <f t="shared" ref="E6:E10" si="0">D6*$C$8</f>
        <v>11995218.436000001</v>
      </c>
      <c r="F6" s="160"/>
      <c r="G6" s="160">
        <f>'Scenario deep dive'!X17</f>
        <v>195224995.4539333</v>
      </c>
      <c r="H6" s="160"/>
      <c r="I6" s="160">
        <f t="shared" ref="I6:J10" si="1">G6-$F$8</f>
        <v>23176379.234925359</v>
      </c>
      <c r="J6" s="160">
        <f t="shared" si="1"/>
        <v>-172048616.21900794</v>
      </c>
      <c r="K6" s="163">
        <f t="shared" ref="K6:L10" si="2">G6/$C6</f>
        <v>2.7125391184766432</v>
      </c>
      <c r="L6" s="163">
        <f t="shared" si="2"/>
        <v>0</v>
      </c>
    </row>
    <row r="7" spans="2:13" x14ac:dyDescent="0.25">
      <c r="C7" s="160">
        <f>$C$8+E7</f>
        <v>65973701.398000002</v>
      </c>
      <c r="D7" s="161">
        <v>0.1</v>
      </c>
      <c r="E7" s="162">
        <f t="shared" si="0"/>
        <v>5997609.2180000003</v>
      </c>
      <c r="F7" s="160"/>
      <c r="G7" s="160">
        <f>'Scenario deep dive'!T17</f>
        <v>191144144.51306635</v>
      </c>
      <c r="H7" s="164"/>
      <c r="I7" s="160">
        <f t="shared" si="1"/>
        <v>19095528.294058412</v>
      </c>
      <c r="J7" s="160">
        <f t="shared" si="1"/>
        <v>-172048616.21900794</v>
      </c>
      <c r="K7" s="163">
        <f t="shared" si="2"/>
        <v>2.8972778616732411</v>
      </c>
      <c r="L7" s="163">
        <f t="shared" si="2"/>
        <v>0</v>
      </c>
    </row>
    <row r="8" spans="2:13" x14ac:dyDescent="0.25">
      <c r="B8" s="165"/>
      <c r="C8" s="160">
        <f>'Scenario deep dive'!C17</f>
        <v>59976092.18</v>
      </c>
      <c r="D8" s="161">
        <v>0</v>
      </c>
      <c r="E8" s="162">
        <f t="shared" si="0"/>
        <v>0</v>
      </c>
      <c r="F8" s="160">
        <f>'Scenario deep dive'!D17</f>
        <v>172048616.21900794</v>
      </c>
      <c r="G8" s="160">
        <f>'Scenario deep dive'!H17</f>
        <v>186654430.97801217</v>
      </c>
      <c r="H8" s="160"/>
      <c r="I8" s="160">
        <f t="shared" si="1"/>
        <v>14605814.759004235</v>
      </c>
      <c r="J8" s="160">
        <f t="shared" si="1"/>
        <v>-172048616.21900794</v>
      </c>
      <c r="K8" s="163">
        <f t="shared" si="2"/>
        <v>3.1121472605755249</v>
      </c>
      <c r="L8" s="163">
        <f t="shared" si="2"/>
        <v>0</v>
      </c>
    </row>
    <row r="9" spans="2:13" x14ac:dyDescent="0.25">
      <c r="C9" s="160">
        <f>$C$8+E9</f>
        <v>53978482.961999997</v>
      </c>
      <c r="D9" s="161">
        <v>-0.1</v>
      </c>
      <c r="E9" s="162">
        <f t="shared" si="0"/>
        <v>-5997609.2180000003</v>
      </c>
      <c r="F9" s="160"/>
      <c r="G9" s="160">
        <f>'Scenario deep dive'!L17</f>
        <v>177050142.29008847</v>
      </c>
      <c r="H9" s="160"/>
      <c r="I9" s="160">
        <f t="shared" si="1"/>
        <v>5001526.0710805357</v>
      </c>
      <c r="J9" s="160">
        <f t="shared" si="1"/>
        <v>-172048616.21900794</v>
      </c>
      <c r="K9" s="163">
        <f t="shared" si="2"/>
        <v>3.2800133048335018</v>
      </c>
      <c r="L9" s="163">
        <f t="shared" si="2"/>
        <v>0</v>
      </c>
    </row>
    <row r="10" spans="2:13" x14ac:dyDescent="0.25">
      <c r="C10" s="160">
        <f>$C$8+E10</f>
        <v>47980873.744000003</v>
      </c>
      <c r="D10" s="161">
        <v>-0.2</v>
      </c>
      <c r="E10" s="162">
        <f t="shared" si="0"/>
        <v>-11995218.436000001</v>
      </c>
      <c r="F10" s="160"/>
      <c r="G10" s="160">
        <f>'Scenario deep dive'!P17</f>
        <v>161850874.37877491</v>
      </c>
      <c r="H10" s="160"/>
      <c r="I10" s="160">
        <f t="shared" si="1"/>
        <v>-10197741.840233028</v>
      </c>
      <c r="J10" s="160">
        <f t="shared" si="1"/>
        <v>-172048616.21900794</v>
      </c>
      <c r="K10" s="163">
        <f t="shared" si="2"/>
        <v>3.3732373287390232</v>
      </c>
      <c r="L10" s="163">
        <f t="shared" si="2"/>
        <v>0</v>
      </c>
    </row>
    <row r="11" spans="2:13" x14ac:dyDescent="0.25">
      <c r="D11" s="166"/>
      <c r="E11" s="166"/>
    </row>
    <row r="12" spans="2:13" x14ac:dyDescent="0.25">
      <c r="F12" s="407" t="s">
        <v>191</v>
      </c>
      <c r="G12" s="407"/>
      <c r="H12" s="407" t="s">
        <v>192</v>
      </c>
      <c r="I12" s="407"/>
    </row>
    <row r="13" spans="2:13" x14ac:dyDescent="0.25">
      <c r="C13" s="157" t="s">
        <v>188</v>
      </c>
      <c r="D13" s="157" t="s">
        <v>189</v>
      </c>
      <c r="E13" s="97" t="s">
        <v>193</v>
      </c>
      <c r="F13" s="284" t="s">
        <v>229</v>
      </c>
      <c r="G13" s="159"/>
      <c r="H13" s="284" t="s">
        <v>229</v>
      </c>
      <c r="I13" s="159"/>
    </row>
    <row r="14" spans="2:13" x14ac:dyDescent="0.25">
      <c r="C14" s="167">
        <f t="shared" ref="C14:D18" si="3">C6</f>
        <v>71971310.615999997</v>
      </c>
      <c r="D14" s="168">
        <f t="shared" si="3"/>
        <v>0.2</v>
      </c>
      <c r="E14" s="167">
        <f>C14-C15</f>
        <v>5997609.2179999948</v>
      </c>
      <c r="F14" s="169">
        <f t="shared" ref="F14:G17" si="4">G6-G7</f>
        <v>4080850.9408669472</v>
      </c>
      <c r="G14" s="169">
        <f t="shared" si="4"/>
        <v>0</v>
      </c>
      <c r="H14" s="163">
        <f t="shared" ref="H14:I17" si="5">F14/$E14</f>
        <v>0.68041294331406554</v>
      </c>
      <c r="I14" s="163">
        <f t="shared" si="5"/>
        <v>0</v>
      </c>
    </row>
    <row r="15" spans="2:13" x14ac:dyDescent="0.25">
      <c r="C15" s="167">
        <f t="shared" si="3"/>
        <v>65973701.398000002</v>
      </c>
      <c r="D15" s="168">
        <f t="shared" si="3"/>
        <v>0.1</v>
      </c>
      <c r="E15" s="167">
        <f>C15-C16</f>
        <v>5997609.2180000022</v>
      </c>
      <c r="F15" s="169">
        <f t="shared" si="4"/>
        <v>4489713.535054177</v>
      </c>
      <c r="G15" s="169">
        <f t="shared" si="4"/>
        <v>0</v>
      </c>
      <c r="H15" s="163">
        <f t="shared" si="5"/>
        <v>0.74858387265039972</v>
      </c>
      <c r="I15" s="163">
        <f t="shared" si="5"/>
        <v>0</v>
      </c>
    </row>
    <row r="16" spans="2:13" x14ac:dyDescent="0.25">
      <c r="C16" s="167">
        <f t="shared" si="3"/>
        <v>59976092.18</v>
      </c>
      <c r="D16" s="168">
        <f t="shared" si="3"/>
        <v>0</v>
      </c>
      <c r="E16" s="167">
        <f>C16-C17</f>
        <v>5997609.2180000022</v>
      </c>
      <c r="F16" s="169">
        <f t="shared" si="4"/>
        <v>9604288.6879236996</v>
      </c>
      <c r="G16" s="169">
        <f t="shared" si="4"/>
        <v>0</v>
      </c>
      <c r="H16" s="163">
        <f t="shared" si="5"/>
        <v>1.6013528622537367</v>
      </c>
      <c r="I16" s="163">
        <f t="shared" si="5"/>
        <v>0</v>
      </c>
    </row>
    <row r="17" spans="3:9" x14ac:dyDescent="0.25">
      <c r="C17" s="167">
        <f t="shared" si="3"/>
        <v>53978482.961999997</v>
      </c>
      <c r="D17" s="168">
        <f t="shared" si="3"/>
        <v>-0.1</v>
      </c>
      <c r="E17" s="167">
        <f>C17-C18</f>
        <v>5997609.2179999948</v>
      </c>
      <c r="F17" s="169">
        <f t="shared" si="4"/>
        <v>15199267.911313564</v>
      </c>
      <c r="G17" s="169">
        <f t="shared" si="4"/>
        <v>0</v>
      </c>
      <c r="H17" s="163">
        <f t="shared" si="5"/>
        <v>2.5342211135893278</v>
      </c>
      <c r="I17" s="163">
        <f t="shared" si="5"/>
        <v>0</v>
      </c>
    </row>
    <row r="18" spans="3:9" x14ac:dyDescent="0.25">
      <c r="C18" s="167">
        <f t="shared" si="3"/>
        <v>47980873.744000003</v>
      </c>
      <c r="D18" s="168">
        <f t="shared" si="3"/>
        <v>-0.2</v>
      </c>
      <c r="E18" s="167"/>
      <c r="F18" s="169"/>
      <c r="G18" s="169"/>
      <c r="H18" s="163"/>
    </row>
    <row r="19" spans="3:9" x14ac:dyDescent="0.25">
      <c r="H19" s="163"/>
    </row>
    <row r="55" spans="21:22" x14ac:dyDescent="0.25">
      <c r="U55" s="170"/>
      <c r="V55" s="170"/>
    </row>
    <row r="56" spans="21:22" x14ac:dyDescent="0.25">
      <c r="U56" s="170"/>
      <c r="V56" s="170"/>
    </row>
    <row r="57" spans="21:22" x14ac:dyDescent="0.25">
      <c r="U57" s="170"/>
      <c r="V57" s="170"/>
    </row>
    <row r="58" spans="21:22" x14ac:dyDescent="0.25">
      <c r="U58" s="170"/>
      <c r="V58" s="170"/>
    </row>
    <row r="59" spans="21:22" x14ac:dyDescent="0.25">
      <c r="U59" s="170"/>
      <c r="V59" s="170"/>
    </row>
    <row r="60" spans="21:22" x14ac:dyDescent="0.25">
      <c r="U60" s="170"/>
      <c r="V60" s="170"/>
    </row>
    <row r="61" spans="21:22" x14ac:dyDescent="0.25">
      <c r="U61" s="170"/>
      <c r="V61" s="170"/>
    </row>
    <row r="62" spans="21:22" x14ac:dyDescent="0.25">
      <c r="U62" s="170"/>
      <c r="V62" s="170"/>
    </row>
  </sheetData>
  <mergeCells count="5">
    <mergeCell ref="G4:H4"/>
    <mergeCell ref="I4:J4"/>
    <mergeCell ref="K4:L4"/>
    <mergeCell ref="F12:G12"/>
    <mergeCell ref="H12:I12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>
    <tabColor theme="3" tint="0.79998168889431442"/>
  </sheetPr>
  <dimension ref="A1"/>
  <sheetViews>
    <sheetView showGridLines="0" showRowColHeaders="0" topLeftCell="A10" zoomScale="115" zoomScaleNormal="115" workbookViewId="0">
      <selection activeCell="B31" sqref="B31"/>
    </sheetView>
  </sheetViews>
  <sheetFormatPr defaultColWidth="9.140625" defaultRowHeight="15" x14ac:dyDescent="0.25"/>
  <cols>
    <col min="1" max="16384" width="9.140625" style="97"/>
  </cols>
  <sheetData/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C6BE83-A784-447A-8BA0-AA83322D52B1}">
  <sheetPr>
    <tabColor theme="7" tint="-0.249977111117893"/>
  </sheetPr>
  <dimension ref="B1:V48"/>
  <sheetViews>
    <sheetView topLeftCell="A9" zoomScale="80" zoomScaleNormal="80" workbookViewId="0">
      <selection activeCell="F18" sqref="F18"/>
    </sheetView>
  </sheetViews>
  <sheetFormatPr defaultColWidth="8.85546875" defaultRowHeight="15" x14ac:dyDescent="0.25"/>
  <cols>
    <col min="1" max="1" width="6.140625" style="97" customWidth="1"/>
    <col min="2" max="2" width="13.5703125" style="97" customWidth="1"/>
    <col min="3" max="3" width="18.140625" style="97" customWidth="1"/>
    <col min="4" max="4" width="14.42578125" style="97" customWidth="1"/>
    <col min="5" max="5" width="15.42578125" style="97" customWidth="1"/>
    <col min="6" max="6" width="13.5703125" style="97" customWidth="1"/>
    <col min="7" max="7" width="15.5703125" style="97" customWidth="1"/>
    <col min="8" max="8" width="15.140625" style="97" bestFit="1" customWidth="1"/>
    <col min="9" max="9" width="13.42578125" style="97" bestFit="1" customWidth="1"/>
    <col min="10" max="10" width="8.85546875" style="97"/>
    <col min="11" max="11" width="15.140625" style="97" customWidth="1"/>
    <col min="12" max="12" width="14.42578125" style="97" bestFit="1" customWidth="1"/>
    <col min="13" max="13" width="11.140625" style="97" bestFit="1" customWidth="1"/>
    <col min="14" max="14" width="12.140625" style="97" bestFit="1" customWidth="1"/>
    <col min="15" max="15" width="11.140625" style="97" bestFit="1" customWidth="1"/>
    <col min="16" max="18" width="12.140625" style="97" bestFit="1" customWidth="1"/>
    <col min="19" max="19" width="8.85546875" style="97"/>
    <col min="20" max="20" width="12" style="97" bestFit="1" customWidth="1"/>
    <col min="21" max="16384" width="8.85546875" style="97"/>
  </cols>
  <sheetData>
    <row r="1" spans="2:20" x14ac:dyDescent="0.25">
      <c r="C1" s="229" t="s">
        <v>214</v>
      </c>
    </row>
    <row r="2" spans="2:20" ht="15.75" thickBot="1" x14ac:dyDescent="0.3"/>
    <row r="3" spans="2:20" ht="30.2" customHeight="1" x14ac:dyDescent="0.25">
      <c r="B3" s="399" t="s">
        <v>2</v>
      </c>
      <c r="C3" s="401" t="s">
        <v>3</v>
      </c>
      <c r="D3" s="402" t="s">
        <v>215</v>
      </c>
      <c r="E3" s="403"/>
      <c r="F3" s="402" t="s">
        <v>216</v>
      </c>
      <c r="G3" s="403"/>
      <c r="H3" s="402" t="s">
        <v>217</v>
      </c>
      <c r="I3" s="403"/>
      <c r="K3" s="399" t="s">
        <v>2</v>
      </c>
      <c r="L3" s="401" t="s">
        <v>3</v>
      </c>
      <c r="M3" s="402" t="s">
        <v>215</v>
      </c>
      <c r="N3" s="403"/>
      <c r="O3" s="402" t="s">
        <v>216</v>
      </c>
      <c r="P3" s="403"/>
      <c r="Q3" s="402" t="s">
        <v>217</v>
      </c>
      <c r="R3" s="403"/>
    </row>
    <row r="4" spans="2:20" ht="25.5" x14ac:dyDescent="0.25">
      <c r="B4" s="400"/>
      <c r="C4" s="400"/>
      <c r="D4" s="230" t="s">
        <v>218</v>
      </c>
      <c r="E4" s="231" t="s">
        <v>219</v>
      </c>
      <c r="F4" s="230" t="s">
        <v>218</v>
      </c>
      <c r="G4" s="231" t="s">
        <v>219</v>
      </c>
      <c r="H4" s="230" t="s">
        <v>218</v>
      </c>
      <c r="I4" s="231" t="s">
        <v>219</v>
      </c>
      <c r="K4" s="400"/>
      <c r="L4" s="400"/>
      <c r="M4" s="230" t="s">
        <v>218</v>
      </c>
      <c r="N4" s="231" t="s">
        <v>219</v>
      </c>
      <c r="O4" s="230" t="s">
        <v>218</v>
      </c>
      <c r="P4" s="231" t="s">
        <v>219</v>
      </c>
      <c r="Q4" s="230" t="s">
        <v>218</v>
      </c>
      <c r="R4" s="231" t="s">
        <v>219</v>
      </c>
    </row>
    <row r="5" spans="2:20" x14ac:dyDescent="0.25">
      <c r="B5" s="53" t="s">
        <v>154</v>
      </c>
      <c r="C5" s="232" t="str">
        <f>VAC_Optim_Scenario!B17</f>
        <v>HCC InOffice</v>
      </c>
      <c r="D5" s="233">
        <f>VAC_Optim_Scenario!$H36</f>
        <v>794297</v>
      </c>
      <c r="E5" s="234">
        <f>VAC_Optim_Scenario!$J36</f>
        <v>1283066.8908256721</v>
      </c>
      <c r="F5" s="233">
        <v>2304599.9176017214</v>
      </c>
      <c r="G5" s="234">
        <v>5246917.9893056815</v>
      </c>
      <c r="H5" s="233">
        <v>2340000</v>
      </c>
      <c r="I5" s="234">
        <v>21257821.983019568</v>
      </c>
      <c r="J5" s="235"/>
      <c r="K5" s="53" t="s">
        <v>154</v>
      </c>
      <c r="L5" s="53" t="str">
        <f>VAC_Optim_Scenario!B17</f>
        <v>HCC InOffice</v>
      </c>
      <c r="M5" s="236">
        <f>D5/1000000</f>
        <v>0.79429700000000003</v>
      </c>
      <c r="N5" s="237">
        <f t="shared" ref="N5:R5" si="0">E5/1000000</f>
        <v>1.2830668908256722</v>
      </c>
      <c r="O5" s="236">
        <f t="shared" si="0"/>
        <v>2.3045999176017213</v>
      </c>
      <c r="P5" s="237">
        <f t="shared" si="0"/>
        <v>5.2469179893056817</v>
      </c>
      <c r="Q5" s="236">
        <f t="shared" si="0"/>
        <v>2.34</v>
      </c>
      <c r="R5" s="237">
        <f t="shared" si="0"/>
        <v>21.257821983019568</v>
      </c>
    </row>
    <row r="6" spans="2:20" x14ac:dyDescent="0.25">
      <c r="B6" s="54" t="s">
        <v>154</v>
      </c>
      <c r="C6" s="238" t="str">
        <f>VAC_Optim_Scenario!B18</f>
        <v>HCP MCM</v>
      </c>
      <c r="D6" s="239">
        <f>VAC_Optim_Scenario!$H37</f>
        <v>13654847.335999999</v>
      </c>
      <c r="E6" s="240">
        <f>VAC_Optim_Scenario!$J37</f>
        <v>79502965.080439389</v>
      </c>
      <c r="F6" s="239">
        <v>5980821.2879999997</v>
      </c>
      <c r="G6" s="240">
        <v>43271084.653430037</v>
      </c>
      <c r="H6" s="239">
        <v>5980821.2879999997</v>
      </c>
      <c r="I6" s="240">
        <v>173084338.61372015</v>
      </c>
      <c r="J6" s="235"/>
      <c r="K6" s="54" t="s">
        <v>154</v>
      </c>
      <c r="L6" s="54" t="str">
        <f>VAC_Optim_Scenario!B18</f>
        <v>HCP MCM</v>
      </c>
      <c r="M6" s="241">
        <f t="shared" ref="M6:M13" si="1">D6/1000000</f>
        <v>13.654847336</v>
      </c>
      <c r="N6" s="242">
        <f t="shared" ref="N6:N13" si="2">E6/1000000</f>
        <v>79.502965080439395</v>
      </c>
      <c r="O6" s="241">
        <f t="shared" ref="O6:O13" si="3">F6/1000000</f>
        <v>5.9808212879999996</v>
      </c>
      <c r="P6" s="242">
        <f t="shared" ref="P6:P13" si="4">G6/1000000</f>
        <v>43.271084653430037</v>
      </c>
      <c r="Q6" s="241">
        <f t="shared" ref="Q6:Q13" si="5">H6/1000000</f>
        <v>5.9808212879999996</v>
      </c>
      <c r="R6" s="242">
        <f t="shared" ref="R6:R13" si="6">I6/1000000</f>
        <v>173.08433861372015</v>
      </c>
    </row>
    <row r="7" spans="2:20" x14ac:dyDescent="0.25">
      <c r="B7" s="54" t="s">
        <v>154</v>
      </c>
      <c r="C7" s="238" t="str">
        <f>VAC_Optim_Scenario!B19</f>
        <v>HCC Social</v>
      </c>
      <c r="D7" s="239">
        <f>VAC_Optim_Scenario!$H38</f>
        <v>2205903.3000226272</v>
      </c>
      <c r="E7" s="240">
        <f>VAC_Optim_Scenario!$J38</f>
        <v>6181906.528316793</v>
      </c>
      <c r="F7" s="239">
        <v>2368423.2000000002</v>
      </c>
      <c r="G7" s="240">
        <v>10014038.796038335</v>
      </c>
      <c r="H7" s="239">
        <v>2368423.2000000002</v>
      </c>
      <c r="I7" s="240">
        <v>40056155.184153341</v>
      </c>
      <c r="J7" s="243"/>
      <c r="K7" s="54" t="s">
        <v>154</v>
      </c>
      <c r="L7" s="54" t="str">
        <f>VAC_Optim_Scenario!B19</f>
        <v>HCC Social</v>
      </c>
      <c r="M7" s="241">
        <f t="shared" si="1"/>
        <v>2.2059033000226274</v>
      </c>
      <c r="N7" s="242">
        <f t="shared" si="2"/>
        <v>6.1819065283167927</v>
      </c>
      <c r="O7" s="241">
        <f t="shared" si="3"/>
        <v>2.3684232000000001</v>
      </c>
      <c r="P7" s="242">
        <f t="shared" si="4"/>
        <v>10.014038796038335</v>
      </c>
      <c r="Q7" s="241">
        <f t="shared" si="5"/>
        <v>2.3684232000000001</v>
      </c>
      <c r="R7" s="242">
        <f t="shared" si="6"/>
        <v>40.05615518415334</v>
      </c>
    </row>
    <row r="8" spans="2:20" x14ac:dyDescent="0.25">
      <c r="B8" s="54" t="s">
        <v>154</v>
      </c>
      <c r="C8" s="238" t="str">
        <f>VAC_Optim_Scenario!B20</f>
        <v>HCC Online Video</v>
      </c>
      <c r="D8" s="239">
        <f>VAC_Optim_Scenario!$H39</f>
        <v>1445312.7520000001</v>
      </c>
      <c r="E8" s="240">
        <f>VAC_Optim_Scenario!$J39</f>
        <v>5811060.0168574946</v>
      </c>
      <c r="F8" s="239">
        <v>468720.00002084277</v>
      </c>
      <c r="G8" s="240">
        <v>434197.29403638421</v>
      </c>
      <c r="H8" s="239">
        <v>870480</v>
      </c>
      <c r="I8" s="240">
        <v>3181635.2333120089</v>
      </c>
      <c r="J8" s="235"/>
      <c r="K8" s="54" t="s">
        <v>154</v>
      </c>
      <c r="L8" s="54" t="str">
        <f>VAC_Optim_Scenario!B20</f>
        <v>HCC Online Video</v>
      </c>
      <c r="M8" s="241">
        <f t="shared" si="1"/>
        <v>1.4453127520000002</v>
      </c>
      <c r="N8" s="242">
        <f t="shared" si="2"/>
        <v>5.8110600168574944</v>
      </c>
      <c r="O8" s="241">
        <f t="shared" si="3"/>
        <v>0.46872000002084274</v>
      </c>
      <c r="P8" s="242">
        <f t="shared" si="4"/>
        <v>0.43419729403638418</v>
      </c>
      <c r="Q8" s="241">
        <f t="shared" si="5"/>
        <v>0.87048000000000003</v>
      </c>
      <c r="R8" s="242">
        <f t="shared" si="6"/>
        <v>3.1816352333120088</v>
      </c>
    </row>
    <row r="9" spans="2:20" x14ac:dyDescent="0.25">
      <c r="B9" s="54" t="s">
        <v>154</v>
      </c>
      <c r="C9" s="238" t="str">
        <f>VAC_Optim_Scenario!B21</f>
        <v>HCC Streaming Video</v>
      </c>
      <c r="D9" s="239">
        <f>VAC_Optim_Scenario!$H40</f>
        <v>9393003.1999999993</v>
      </c>
      <c r="E9" s="240">
        <f>VAC_Optim_Scenario!$J40</f>
        <v>17744270.681404795</v>
      </c>
      <c r="F9" s="239">
        <v>5499757.2028695699</v>
      </c>
      <c r="G9" s="240">
        <v>7382876.6944708871</v>
      </c>
      <c r="H9" s="239">
        <v>10213834.800000001</v>
      </c>
      <c r="I9" s="240">
        <v>42814688.994375341</v>
      </c>
      <c r="J9" s="243"/>
      <c r="K9" s="54" t="s">
        <v>154</v>
      </c>
      <c r="L9" s="54" t="str">
        <f>VAC_Optim_Scenario!B21</f>
        <v>HCC Streaming Video</v>
      </c>
      <c r="M9" s="241">
        <f t="shared" si="1"/>
        <v>9.393003199999999</v>
      </c>
      <c r="N9" s="242">
        <f t="shared" si="2"/>
        <v>17.744270681404796</v>
      </c>
      <c r="O9" s="241">
        <f t="shared" si="3"/>
        <v>5.4997572028695698</v>
      </c>
      <c r="P9" s="242">
        <f t="shared" si="4"/>
        <v>7.3828766944708875</v>
      </c>
      <c r="Q9" s="241">
        <f t="shared" si="5"/>
        <v>10.213834800000001</v>
      </c>
      <c r="R9" s="242">
        <f t="shared" si="6"/>
        <v>42.814688994375338</v>
      </c>
    </row>
    <row r="10" spans="2:20" x14ac:dyDescent="0.25">
      <c r="B10" s="54" t="s">
        <v>154</v>
      </c>
      <c r="C10" s="238" t="str">
        <f>VAC_Optim_Scenario!B22</f>
        <v>HCC Display</v>
      </c>
      <c r="D10" s="239">
        <f>VAC_Optim_Scenario!$H41</f>
        <v>3717254.8659999999</v>
      </c>
      <c r="E10" s="240">
        <f>VAC_Optim_Scenario!$J41</f>
        <v>20116113.448785383</v>
      </c>
      <c r="F10" s="239">
        <v>2247758.2947281389</v>
      </c>
      <c r="G10" s="240">
        <v>8494262.302786056</v>
      </c>
      <c r="H10" s="239">
        <v>2714286.9</v>
      </c>
      <c r="I10" s="240">
        <v>37336940.701959558</v>
      </c>
      <c r="J10" s="243"/>
      <c r="K10" s="54" t="s">
        <v>154</v>
      </c>
      <c r="L10" s="54" t="str">
        <f>VAC_Optim_Scenario!B22</f>
        <v>HCC Display</v>
      </c>
      <c r="M10" s="241">
        <f t="shared" si="1"/>
        <v>3.7172548659999998</v>
      </c>
      <c r="N10" s="242">
        <f t="shared" si="2"/>
        <v>20.116113448785384</v>
      </c>
      <c r="O10" s="241">
        <f t="shared" si="3"/>
        <v>2.2477582947281389</v>
      </c>
      <c r="P10" s="242">
        <f t="shared" si="4"/>
        <v>8.4942623027860567</v>
      </c>
      <c r="Q10" s="241">
        <f t="shared" si="5"/>
        <v>2.7142868999999998</v>
      </c>
      <c r="R10" s="242">
        <f t="shared" si="6"/>
        <v>37.336940701959556</v>
      </c>
    </row>
    <row r="11" spans="2:20" x14ac:dyDescent="0.25">
      <c r="B11" s="54" t="s">
        <v>154</v>
      </c>
      <c r="C11" s="238" t="str">
        <f>VAC_Optim_Scenario!B23</f>
        <v>HCC Paid Search</v>
      </c>
      <c r="D11" s="239">
        <f>VAC_Optim_Scenario!$H42</f>
        <v>65000</v>
      </c>
      <c r="E11" s="240">
        <f>VAC_Optim_Scenario!$J42</f>
        <v>8181831.0105400523</v>
      </c>
      <c r="F11" s="239">
        <v>1503022.5591430741</v>
      </c>
      <c r="G11" s="240">
        <v>5708578.4926482635</v>
      </c>
      <c r="H11" s="239">
        <v>1791576.8</v>
      </c>
      <c r="I11" s="240">
        <v>24930037.611909606</v>
      </c>
      <c r="J11" s="235"/>
      <c r="K11" s="54" t="s">
        <v>154</v>
      </c>
      <c r="L11" s="54" t="str">
        <f>VAC_Optim_Scenario!B23</f>
        <v>HCC Paid Search</v>
      </c>
      <c r="M11" s="241">
        <f t="shared" si="1"/>
        <v>6.5000000000000002E-2</v>
      </c>
      <c r="N11" s="242">
        <f t="shared" si="2"/>
        <v>8.1818310105400531</v>
      </c>
      <c r="O11" s="241">
        <f t="shared" si="3"/>
        <v>1.5030225591430741</v>
      </c>
      <c r="P11" s="242">
        <f t="shared" si="4"/>
        <v>5.7085784926482637</v>
      </c>
      <c r="Q11" s="241">
        <f t="shared" si="5"/>
        <v>1.7915768000000001</v>
      </c>
      <c r="R11" s="242">
        <f t="shared" si="6"/>
        <v>24.930037611909604</v>
      </c>
    </row>
    <row r="12" spans="2:20" x14ac:dyDescent="0.25">
      <c r="B12" s="54" t="s">
        <v>154</v>
      </c>
      <c r="C12" s="238" t="str">
        <f>VAC_Optim_Scenario!B24</f>
        <v>HCC Radio</v>
      </c>
      <c r="D12" s="239">
        <f>VAC_Optim_Scenario!$H43</f>
        <v>1201167.5</v>
      </c>
      <c r="E12" s="240">
        <f>VAC_Optim_Scenario!$J43</f>
        <v>6670385.2621720778</v>
      </c>
      <c r="F12" s="239">
        <v>855611.9</v>
      </c>
      <c r="G12" s="240">
        <v>4509891.717737359</v>
      </c>
      <c r="H12" s="239">
        <v>855611.9</v>
      </c>
      <c r="I12" s="240">
        <v>18039566.870949436</v>
      </c>
      <c r="J12" s="235"/>
      <c r="K12" s="54" t="s">
        <v>154</v>
      </c>
      <c r="L12" s="54" t="str">
        <f>VAC_Optim_Scenario!B24</f>
        <v>HCC Radio</v>
      </c>
      <c r="M12" s="241">
        <f t="shared" si="1"/>
        <v>1.2011674999999999</v>
      </c>
      <c r="N12" s="242">
        <f t="shared" si="2"/>
        <v>6.6703852621720774</v>
      </c>
      <c r="O12" s="241">
        <f t="shared" si="3"/>
        <v>0.85561189999999998</v>
      </c>
      <c r="P12" s="242">
        <f t="shared" si="4"/>
        <v>4.509891717737359</v>
      </c>
      <c r="Q12" s="241">
        <f t="shared" si="5"/>
        <v>0.85561189999999998</v>
      </c>
      <c r="R12" s="242">
        <f t="shared" si="6"/>
        <v>18.039566870949436</v>
      </c>
    </row>
    <row r="13" spans="2:20" x14ac:dyDescent="0.25">
      <c r="B13" s="252" t="s">
        <v>154</v>
      </c>
      <c r="C13" s="217" t="str">
        <f>VAC_Optim_Scenario!B25</f>
        <v>HCC Linear TV</v>
      </c>
      <c r="D13" s="253">
        <f>VAC_Optim_Scenario!$H44</f>
        <v>25810928.600000001</v>
      </c>
      <c r="E13" s="253">
        <f>VAC_Optim_Scenario!$J44</f>
        <v>38072697.978218496</v>
      </c>
      <c r="F13" s="253">
        <v>15717664.872</v>
      </c>
      <c r="G13" s="253">
        <v>44549150.696473777</v>
      </c>
      <c r="H13" s="253">
        <v>21525379.182791278</v>
      </c>
      <c r="I13" s="253">
        <v>202080559.00711048</v>
      </c>
      <c r="J13" s="235"/>
      <c r="K13" s="252" t="s">
        <v>154</v>
      </c>
      <c r="L13" s="252" t="str">
        <f>VAC_Optim_Scenario!B25</f>
        <v>HCC Linear TV</v>
      </c>
      <c r="M13" s="246">
        <f t="shared" si="1"/>
        <v>25.8109286</v>
      </c>
      <c r="N13" s="246">
        <f t="shared" si="2"/>
        <v>38.072697978218493</v>
      </c>
      <c r="O13" s="246">
        <f t="shared" si="3"/>
        <v>15.717664872</v>
      </c>
      <c r="P13" s="246">
        <f t="shared" si="4"/>
        <v>44.549150696473774</v>
      </c>
      <c r="Q13" s="246">
        <f t="shared" si="5"/>
        <v>21.525379182791276</v>
      </c>
      <c r="R13" s="246">
        <f t="shared" si="6"/>
        <v>202.08055900711048</v>
      </c>
    </row>
    <row r="14" spans="2:20" x14ac:dyDescent="0.25">
      <c r="T14" s="302"/>
    </row>
    <row r="15" spans="2:20" x14ac:dyDescent="0.25">
      <c r="C15" s="229" t="s">
        <v>220</v>
      </c>
    </row>
    <row r="17" spans="2:19" ht="38.1" customHeight="1" x14ac:dyDescent="0.25">
      <c r="C17" s="401" t="s">
        <v>3</v>
      </c>
      <c r="D17" s="402" t="s">
        <v>215</v>
      </c>
      <c r="E17" s="403"/>
      <c r="F17" s="402" t="s">
        <v>221</v>
      </c>
      <c r="G17" s="403"/>
      <c r="H17" s="402" t="s">
        <v>222</v>
      </c>
      <c r="I17" s="403"/>
      <c r="L17" s="401" t="s">
        <v>3</v>
      </c>
      <c r="M17" s="402" t="s">
        <v>215</v>
      </c>
      <c r="N17" s="403"/>
      <c r="O17" s="402" t="s">
        <v>221</v>
      </c>
      <c r="P17" s="403"/>
      <c r="Q17" s="402" t="s">
        <v>222</v>
      </c>
      <c r="R17" s="403"/>
    </row>
    <row r="18" spans="2:19" ht="25.5" x14ac:dyDescent="0.25">
      <c r="C18" s="400"/>
      <c r="D18" s="55" t="s">
        <v>218</v>
      </c>
      <c r="E18" s="55" t="s">
        <v>219</v>
      </c>
      <c r="F18" s="55" t="s">
        <v>218</v>
      </c>
      <c r="G18" s="55" t="s">
        <v>219</v>
      </c>
      <c r="H18" s="55" t="s">
        <v>218</v>
      </c>
      <c r="I18" s="55" t="s">
        <v>219</v>
      </c>
      <c r="L18" s="400"/>
      <c r="M18" s="55" t="s">
        <v>218</v>
      </c>
      <c r="N18" s="55" t="s">
        <v>219</v>
      </c>
      <c r="O18" s="55" t="s">
        <v>218</v>
      </c>
      <c r="P18" s="55" t="s">
        <v>219</v>
      </c>
      <c r="Q18" s="55" t="s">
        <v>218</v>
      </c>
      <c r="R18" s="55" t="s">
        <v>219</v>
      </c>
    </row>
    <row r="19" spans="2:19" x14ac:dyDescent="0.25">
      <c r="B19" s="53" t="s">
        <v>154</v>
      </c>
      <c r="C19" s="232" t="str">
        <f>VAC_Optim_Scenario!B17</f>
        <v>HCC InOffice</v>
      </c>
      <c r="D19" s="233">
        <f>VAC_Optim_Scenario!$H36</f>
        <v>794297</v>
      </c>
      <c r="E19" s="234">
        <f>VAC_Optim_Scenario!$J36</f>
        <v>1283066.8908256721</v>
      </c>
      <c r="F19" s="233">
        <f>VAC_Optim_Scenario!$H36</f>
        <v>794297</v>
      </c>
      <c r="G19" s="234">
        <f>VAC_Optim_Scenario!$J36</f>
        <v>1283066.8908256721</v>
      </c>
      <c r="H19" s="233">
        <f>VAC_Optim_Scenario!$H36</f>
        <v>794297</v>
      </c>
      <c r="I19" s="234">
        <f>VAC_Optim_Scenario!$J36</f>
        <v>1283066.8908256721</v>
      </c>
      <c r="J19" s="235"/>
      <c r="K19" s="53" t="s">
        <v>154</v>
      </c>
      <c r="L19" s="232" t="str">
        <f>VAC_Optim_Scenario!B17</f>
        <v>HCC InOffice</v>
      </c>
      <c r="M19" s="236">
        <f>D19/1000000</f>
        <v>0.79429700000000003</v>
      </c>
      <c r="N19" s="237">
        <f t="shared" ref="N19:R19" si="7">E19/1000000</f>
        <v>1.2830668908256722</v>
      </c>
      <c r="O19" s="236">
        <f t="shared" si="7"/>
        <v>0.79429700000000003</v>
      </c>
      <c r="P19" s="237">
        <f t="shared" si="7"/>
        <v>1.2830668908256722</v>
      </c>
      <c r="Q19" s="236">
        <f t="shared" si="7"/>
        <v>0.79429700000000003</v>
      </c>
      <c r="R19" s="237">
        <f t="shared" si="7"/>
        <v>1.2830668908256722</v>
      </c>
    </row>
    <row r="20" spans="2:19" x14ac:dyDescent="0.25">
      <c r="B20" s="54" t="s">
        <v>154</v>
      </c>
      <c r="C20" s="238" t="str">
        <f>VAC_Optim_Scenario!B18</f>
        <v>HCP MCM</v>
      </c>
      <c r="D20" s="239">
        <f>VAC_Optim_Scenario!$H37</f>
        <v>13654847.335999999</v>
      </c>
      <c r="E20" s="240">
        <f>VAC_Optim_Scenario!$J37</f>
        <v>79502965.080439389</v>
      </c>
      <c r="F20" s="239">
        <f>VAC_Optim_Scenario!$H37</f>
        <v>13654847.335999999</v>
      </c>
      <c r="G20" s="240">
        <f>VAC_Optim_Scenario!$J37</f>
        <v>79502965.080439389</v>
      </c>
      <c r="H20" s="239">
        <f>VAC_Optim_Scenario!$H37</f>
        <v>13654847.335999999</v>
      </c>
      <c r="I20" s="240">
        <f>VAC_Optim_Scenario!$J37</f>
        <v>79502965.080439389</v>
      </c>
      <c r="J20" s="235"/>
      <c r="K20" s="54" t="s">
        <v>154</v>
      </c>
      <c r="L20" s="238" t="str">
        <f>VAC_Optim_Scenario!B18</f>
        <v>HCP MCM</v>
      </c>
      <c r="M20" s="241">
        <f t="shared" ref="M20:M27" si="8">D20/1000000</f>
        <v>13.654847336</v>
      </c>
      <c r="N20" s="242">
        <f t="shared" ref="N20:N27" si="9">E20/1000000</f>
        <v>79.502965080439395</v>
      </c>
      <c r="O20" s="241">
        <f t="shared" ref="O20:O27" si="10">F20/1000000</f>
        <v>13.654847336</v>
      </c>
      <c r="P20" s="242">
        <f t="shared" ref="P20:P27" si="11">G20/1000000</f>
        <v>79.502965080439395</v>
      </c>
      <c r="Q20" s="241">
        <f t="shared" ref="Q20:Q27" si="12">H20/1000000</f>
        <v>13.654847336</v>
      </c>
      <c r="R20" s="242">
        <f t="shared" ref="R20:R27" si="13">I20/1000000</f>
        <v>79.502965080439395</v>
      </c>
    </row>
    <row r="21" spans="2:19" x14ac:dyDescent="0.25">
      <c r="B21" s="54" t="s">
        <v>154</v>
      </c>
      <c r="C21" s="238" t="str">
        <f>VAC_Optim_Scenario!B19</f>
        <v>HCC Social</v>
      </c>
      <c r="D21" s="239">
        <f>VAC_Optim_Scenario!$H38</f>
        <v>2205903.3000226272</v>
      </c>
      <c r="E21" s="240">
        <f>VAC_Optim_Scenario!$J38</f>
        <v>6181906.528316793</v>
      </c>
      <c r="F21" s="239">
        <f>VAC_Optim_Scenario!$H38</f>
        <v>2205903.3000226272</v>
      </c>
      <c r="G21" s="240">
        <f>VAC_Optim_Scenario!$J38</f>
        <v>6181906.528316793</v>
      </c>
      <c r="H21" s="239">
        <f>VAC_Optim_Scenario!$H38</f>
        <v>2205903.3000226272</v>
      </c>
      <c r="I21" s="240">
        <f>VAC_Optim_Scenario!$J38</f>
        <v>6181906.528316793</v>
      </c>
      <c r="J21" s="243"/>
      <c r="K21" s="54" t="s">
        <v>154</v>
      </c>
      <c r="L21" s="238" t="str">
        <f>VAC_Optim_Scenario!B19</f>
        <v>HCC Social</v>
      </c>
      <c r="M21" s="241">
        <f t="shared" si="8"/>
        <v>2.2059033000226274</v>
      </c>
      <c r="N21" s="242">
        <f t="shared" si="9"/>
        <v>6.1819065283167927</v>
      </c>
      <c r="O21" s="241">
        <f t="shared" si="10"/>
        <v>2.2059033000226274</v>
      </c>
      <c r="P21" s="242">
        <f t="shared" si="11"/>
        <v>6.1819065283167927</v>
      </c>
      <c r="Q21" s="241">
        <f t="shared" si="12"/>
        <v>2.2059033000226274</v>
      </c>
      <c r="R21" s="242">
        <f t="shared" si="13"/>
        <v>6.1819065283167927</v>
      </c>
    </row>
    <row r="22" spans="2:19" x14ac:dyDescent="0.25">
      <c r="B22" s="54" t="s">
        <v>154</v>
      </c>
      <c r="C22" s="238" t="str">
        <f>VAC_Optim_Scenario!B20</f>
        <v>HCC Online Video</v>
      </c>
      <c r="D22" s="239">
        <f>VAC_Optim_Scenario!$H39</f>
        <v>1445312.7520000001</v>
      </c>
      <c r="E22" s="240">
        <f>VAC_Optim_Scenario!$J39</f>
        <v>5811060.0168574946</v>
      </c>
      <c r="F22" s="239">
        <f>VAC_Optim_Scenario!$H39</f>
        <v>1445312.7520000001</v>
      </c>
      <c r="G22" s="240">
        <f>VAC_Optim_Scenario!$J39</f>
        <v>5811060.0168574946</v>
      </c>
      <c r="H22" s="239">
        <f>VAC_Optim_Scenario!$H39</f>
        <v>1445312.7520000001</v>
      </c>
      <c r="I22" s="240">
        <f>VAC_Optim_Scenario!$J39</f>
        <v>5811060.0168574946</v>
      </c>
      <c r="J22" s="235"/>
      <c r="K22" s="54" t="s">
        <v>154</v>
      </c>
      <c r="L22" s="238" t="str">
        <f>VAC_Optim_Scenario!B20</f>
        <v>HCC Online Video</v>
      </c>
      <c r="M22" s="241">
        <f t="shared" si="8"/>
        <v>1.4453127520000002</v>
      </c>
      <c r="N22" s="242">
        <f t="shared" si="9"/>
        <v>5.8110600168574944</v>
      </c>
      <c r="O22" s="241">
        <f t="shared" si="10"/>
        <v>1.4453127520000002</v>
      </c>
      <c r="P22" s="242">
        <f t="shared" si="11"/>
        <v>5.8110600168574944</v>
      </c>
      <c r="Q22" s="241">
        <f t="shared" si="12"/>
        <v>1.4453127520000002</v>
      </c>
      <c r="R22" s="242">
        <f t="shared" si="13"/>
        <v>5.8110600168574944</v>
      </c>
    </row>
    <row r="23" spans="2:19" x14ac:dyDescent="0.25">
      <c r="B23" s="54" t="s">
        <v>154</v>
      </c>
      <c r="C23" s="238" t="str">
        <f>VAC_Optim_Scenario!B21</f>
        <v>HCC Streaming Video</v>
      </c>
      <c r="D23" s="239">
        <f>VAC_Optim_Scenario!$H40</f>
        <v>9393003.1999999993</v>
      </c>
      <c r="E23" s="240">
        <f>VAC_Optim_Scenario!$J40</f>
        <v>17744270.681404795</v>
      </c>
      <c r="F23" s="239">
        <f>VAC_Optim_Scenario!$H40</f>
        <v>9393003.1999999993</v>
      </c>
      <c r="G23" s="240">
        <f>VAC_Optim_Scenario!$J40</f>
        <v>17744270.681404795</v>
      </c>
      <c r="H23" s="239">
        <f>VAC_Optim_Scenario!$H40</f>
        <v>9393003.1999999993</v>
      </c>
      <c r="I23" s="240">
        <f>VAC_Optim_Scenario!$J40</f>
        <v>17744270.681404795</v>
      </c>
      <c r="J23" s="243"/>
      <c r="K23" s="54" t="s">
        <v>154</v>
      </c>
      <c r="L23" s="238" t="str">
        <f>VAC_Optim_Scenario!B21</f>
        <v>HCC Streaming Video</v>
      </c>
      <c r="M23" s="241">
        <f t="shared" si="8"/>
        <v>9.393003199999999</v>
      </c>
      <c r="N23" s="242">
        <f t="shared" si="9"/>
        <v>17.744270681404796</v>
      </c>
      <c r="O23" s="241">
        <f t="shared" si="10"/>
        <v>9.393003199999999</v>
      </c>
      <c r="P23" s="242">
        <f t="shared" si="11"/>
        <v>17.744270681404796</v>
      </c>
      <c r="Q23" s="241">
        <f t="shared" si="12"/>
        <v>9.393003199999999</v>
      </c>
      <c r="R23" s="242">
        <f t="shared" si="13"/>
        <v>17.744270681404796</v>
      </c>
    </row>
    <row r="24" spans="2:19" x14ac:dyDescent="0.25">
      <c r="B24" s="54" t="s">
        <v>154</v>
      </c>
      <c r="C24" s="238" t="str">
        <f>VAC_Optim_Scenario!B22</f>
        <v>HCC Display</v>
      </c>
      <c r="D24" s="239">
        <f>VAC_Optim_Scenario!$H41</f>
        <v>3717254.8659999999</v>
      </c>
      <c r="E24" s="240">
        <f>VAC_Optim_Scenario!$J41</f>
        <v>20116113.448785383</v>
      </c>
      <c r="F24" s="239">
        <f>VAC_Optim_Scenario!$H41</f>
        <v>3717254.8659999999</v>
      </c>
      <c r="G24" s="240">
        <f>VAC_Optim_Scenario!$J41</f>
        <v>20116113.448785383</v>
      </c>
      <c r="H24" s="239">
        <f>VAC_Optim_Scenario!$H41</f>
        <v>3717254.8659999999</v>
      </c>
      <c r="I24" s="240">
        <f>VAC_Optim_Scenario!$J41</f>
        <v>20116113.448785383</v>
      </c>
      <c r="J24" s="243"/>
      <c r="K24" s="54" t="s">
        <v>154</v>
      </c>
      <c r="L24" s="238" t="str">
        <f>VAC_Optim_Scenario!B22</f>
        <v>HCC Display</v>
      </c>
      <c r="M24" s="241">
        <f t="shared" si="8"/>
        <v>3.7172548659999998</v>
      </c>
      <c r="N24" s="242">
        <f t="shared" si="9"/>
        <v>20.116113448785384</v>
      </c>
      <c r="O24" s="241">
        <f t="shared" si="10"/>
        <v>3.7172548659999998</v>
      </c>
      <c r="P24" s="242">
        <f t="shared" si="11"/>
        <v>20.116113448785384</v>
      </c>
      <c r="Q24" s="241">
        <f t="shared" si="12"/>
        <v>3.7172548659999998</v>
      </c>
      <c r="R24" s="242">
        <f t="shared" si="13"/>
        <v>20.116113448785384</v>
      </c>
    </row>
    <row r="25" spans="2:19" x14ac:dyDescent="0.25">
      <c r="B25" s="54" t="s">
        <v>154</v>
      </c>
      <c r="C25" s="238" t="str">
        <f>VAC_Optim_Scenario!B23</f>
        <v>HCC Paid Search</v>
      </c>
      <c r="D25" s="239">
        <f>VAC_Optim_Scenario!$H42</f>
        <v>65000</v>
      </c>
      <c r="E25" s="240">
        <f>VAC_Optim_Scenario!$J42</f>
        <v>8181831.0105400523</v>
      </c>
      <c r="F25" s="239">
        <f>VAC_Optim_Scenario!$H42</f>
        <v>65000</v>
      </c>
      <c r="G25" s="240">
        <f>VAC_Optim_Scenario!$J42</f>
        <v>8181831.0105400523</v>
      </c>
      <c r="H25" s="239">
        <f>VAC_Optim_Scenario!$H42</f>
        <v>65000</v>
      </c>
      <c r="I25" s="240">
        <f>VAC_Optim_Scenario!$J42</f>
        <v>8181831.0105400523</v>
      </c>
      <c r="J25" s="243"/>
      <c r="K25" s="54" t="s">
        <v>154</v>
      </c>
      <c r="L25" s="238" t="str">
        <f>VAC_Optim_Scenario!B23</f>
        <v>HCC Paid Search</v>
      </c>
      <c r="M25" s="241">
        <f t="shared" si="8"/>
        <v>6.5000000000000002E-2</v>
      </c>
      <c r="N25" s="242">
        <f t="shared" si="9"/>
        <v>8.1818310105400531</v>
      </c>
      <c r="O25" s="241">
        <f t="shared" si="10"/>
        <v>6.5000000000000002E-2</v>
      </c>
      <c r="P25" s="242">
        <f t="shared" si="11"/>
        <v>8.1818310105400531</v>
      </c>
      <c r="Q25" s="241">
        <f t="shared" si="12"/>
        <v>6.5000000000000002E-2</v>
      </c>
      <c r="R25" s="242">
        <f t="shared" si="13"/>
        <v>8.1818310105400531</v>
      </c>
    </row>
    <row r="26" spans="2:19" x14ac:dyDescent="0.25">
      <c r="B26" s="54" t="s">
        <v>154</v>
      </c>
      <c r="C26" s="238" t="str">
        <f>VAC_Optim_Scenario!B24</f>
        <v>HCC Radio</v>
      </c>
      <c r="D26" s="239">
        <f>VAC_Optim_Scenario!$H43</f>
        <v>1201167.5</v>
      </c>
      <c r="E26" s="240">
        <f>VAC_Optim_Scenario!$J43</f>
        <v>6670385.2621720778</v>
      </c>
      <c r="F26" s="239">
        <f>VAC_Optim_Scenario!$H43</f>
        <v>1201167.5</v>
      </c>
      <c r="G26" s="240">
        <f>VAC_Optim_Scenario!$J43</f>
        <v>6670385.2621720778</v>
      </c>
      <c r="H26" s="239">
        <f>VAC_Optim_Scenario!$H43</f>
        <v>1201167.5</v>
      </c>
      <c r="I26" s="240">
        <f>VAC_Optim_Scenario!$J43</f>
        <v>6670385.2621720778</v>
      </c>
      <c r="J26" s="243"/>
      <c r="K26" s="54" t="s">
        <v>154</v>
      </c>
      <c r="L26" s="238" t="str">
        <f>VAC_Optim_Scenario!B24</f>
        <v>HCC Radio</v>
      </c>
      <c r="M26" s="241">
        <f t="shared" si="8"/>
        <v>1.2011674999999999</v>
      </c>
      <c r="N26" s="242">
        <f t="shared" si="9"/>
        <v>6.6703852621720774</v>
      </c>
      <c r="O26" s="241">
        <f t="shared" si="10"/>
        <v>1.2011674999999999</v>
      </c>
      <c r="P26" s="242">
        <f t="shared" si="11"/>
        <v>6.6703852621720774</v>
      </c>
      <c r="Q26" s="241">
        <f t="shared" si="12"/>
        <v>1.2011674999999999</v>
      </c>
      <c r="R26" s="242">
        <f t="shared" si="13"/>
        <v>6.6703852621720774</v>
      </c>
    </row>
    <row r="27" spans="2:19" x14ac:dyDescent="0.25">
      <c r="B27" s="252" t="s">
        <v>154</v>
      </c>
      <c r="C27" s="217" t="str">
        <f>VAC_Optim_Scenario!B25</f>
        <v>HCC Linear TV</v>
      </c>
      <c r="D27" s="253">
        <f>VAC_Optim_Scenario!$H44</f>
        <v>25810928.600000001</v>
      </c>
      <c r="E27" s="253">
        <f>VAC_Optim_Scenario!$J44</f>
        <v>38072697.978218496</v>
      </c>
      <c r="F27" s="253">
        <f>VAC_Optim_Scenario!$H44</f>
        <v>25810928.600000001</v>
      </c>
      <c r="G27" s="253">
        <f>VAC_Optim_Scenario!$J44</f>
        <v>38072697.978218496</v>
      </c>
      <c r="H27" s="253">
        <f>VAC_Optim_Scenario!$H44</f>
        <v>25810928.600000001</v>
      </c>
      <c r="I27" s="253">
        <f>VAC_Optim_Scenario!$J44</f>
        <v>38072697.978218496</v>
      </c>
      <c r="J27" s="243"/>
      <c r="K27" s="252" t="s">
        <v>154</v>
      </c>
      <c r="L27" s="217" t="str">
        <f>VAC_Optim_Scenario!B25</f>
        <v>HCC Linear TV</v>
      </c>
      <c r="M27" s="246">
        <f t="shared" si="8"/>
        <v>25.8109286</v>
      </c>
      <c r="N27" s="246">
        <f t="shared" si="9"/>
        <v>38.072697978218493</v>
      </c>
      <c r="O27" s="246">
        <f t="shared" si="10"/>
        <v>25.8109286</v>
      </c>
      <c r="P27" s="246">
        <f t="shared" si="11"/>
        <v>38.072697978218493</v>
      </c>
      <c r="Q27" s="246">
        <f t="shared" si="12"/>
        <v>25.8109286</v>
      </c>
      <c r="R27" s="246">
        <f t="shared" si="13"/>
        <v>38.072697978218493</v>
      </c>
    </row>
    <row r="30" spans="2:19" ht="34.35" customHeight="1" x14ac:dyDescent="0.25">
      <c r="C30" s="141" t="s">
        <v>3</v>
      </c>
      <c r="D30" s="142" t="s">
        <v>223</v>
      </c>
      <c r="E30" s="244">
        <v>-0.5</v>
      </c>
      <c r="F30" s="244">
        <v>2</v>
      </c>
      <c r="G30" s="244">
        <v>-0.4</v>
      </c>
      <c r="H30" s="244">
        <v>0.4</v>
      </c>
      <c r="J30" s="97" t="s">
        <v>3</v>
      </c>
      <c r="K30" s="97" t="s">
        <v>232</v>
      </c>
      <c r="L30" s="97" t="s">
        <v>209</v>
      </c>
      <c r="M30" s="97" t="s">
        <v>210</v>
      </c>
      <c r="N30" s="97" t="s">
        <v>226</v>
      </c>
      <c r="O30" s="97" t="s">
        <v>228</v>
      </c>
      <c r="P30" s="97" t="s">
        <v>211</v>
      </c>
      <c r="Q30" s="97" t="s">
        <v>212</v>
      </c>
      <c r="R30" s="97" t="s">
        <v>177</v>
      </c>
      <c r="S30" s="97" t="s">
        <v>176</v>
      </c>
    </row>
    <row r="31" spans="2:19" x14ac:dyDescent="0.25">
      <c r="B31" s="53" t="s">
        <v>154</v>
      </c>
      <c r="C31" s="303" t="str">
        <f>VAC_Optim_Scenario!B17</f>
        <v>HCC InOffice</v>
      </c>
      <c r="D31" s="236">
        <f>M19</f>
        <v>0.79429700000000003</v>
      </c>
      <c r="E31" s="236">
        <f>O5</f>
        <v>2.3045999176017213</v>
      </c>
      <c r="F31" s="236">
        <f>Q5</f>
        <v>2.34</v>
      </c>
      <c r="G31" s="236">
        <f>O19</f>
        <v>0.79429700000000003</v>
      </c>
      <c r="H31" s="236">
        <f>Q19</f>
        <v>0.79429700000000003</v>
      </c>
      <c r="J31" s="245">
        <v>-0.5</v>
      </c>
      <c r="K31" s="246">
        <f>E$31</f>
        <v>2.3045999176017213</v>
      </c>
      <c r="L31" s="246">
        <f>E$32</f>
        <v>5.9808212879999996</v>
      </c>
      <c r="M31" s="246">
        <f>E$33</f>
        <v>2.3684232000000001</v>
      </c>
      <c r="N31" s="246">
        <f>E$34</f>
        <v>0.46872000002084274</v>
      </c>
      <c r="O31" s="246">
        <f>E$35</f>
        <v>5.4997572028695698</v>
      </c>
      <c r="P31" s="246">
        <f>E$36</f>
        <v>2.2477582947281389</v>
      </c>
      <c r="Q31" s="246">
        <f>E$37</f>
        <v>1.5030225591430741</v>
      </c>
      <c r="R31" s="246">
        <f>E$38</f>
        <v>0.85561189999999998</v>
      </c>
      <c r="S31" s="246">
        <f>E$39</f>
        <v>15.717664872</v>
      </c>
    </row>
    <row r="32" spans="2:19" x14ac:dyDescent="0.25">
      <c r="B32" s="54" t="s">
        <v>154</v>
      </c>
      <c r="C32" s="304" t="str">
        <f>VAC_Optim_Scenario!B18</f>
        <v>HCP MCM</v>
      </c>
      <c r="D32" s="241">
        <f t="shared" ref="D32:D39" si="14">M20</f>
        <v>13.654847336</v>
      </c>
      <c r="E32" s="241">
        <f t="shared" ref="E32:E39" si="15">O6</f>
        <v>5.9808212879999996</v>
      </c>
      <c r="F32" s="241">
        <f t="shared" ref="F32:F39" si="16">Q6</f>
        <v>5.9808212879999996</v>
      </c>
      <c r="G32" s="241">
        <f t="shared" ref="G32:G39" si="17">O20</f>
        <v>13.654847336</v>
      </c>
      <c r="H32" s="241">
        <f t="shared" ref="H32:H39" si="18">Q20</f>
        <v>13.654847336</v>
      </c>
      <c r="J32" s="245">
        <v>-0.4</v>
      </c>
      <c r="K32" s="246">
        <f>G$31</f>
        <v>0.79429700000000003</v>
      </c>
      <c r="L32" s="246">
        <f>G$32</f>
        <v>13.654847336</v>
      </c>
      <c r="M32" s="246">
        <f>G$33</f>
        <v>2.2059033000226274</v>
      </c>
      <c r="N32" s="246">
        <f>G$34</f>
        <v>1.4453127520000002</v>
      </c>
      <c r="O32" s="246">
        <f>G$35</f>
        <v>9.393003199999999</v>
      </c>
      <c r="P32" s="246">
        <f>G$36</f>
        <v>3.7172548659999998</v>
      </c>
      <c r="Q32" s="246">
        <f>G$37</f>
        <v>6.5000000000000002E-2</v>
      </c>
      <c r="R32" s="246">
        <f>G$38</f>
        <v>1.2011674999999999</v>
      </c>
      <c r="S32" s="246">
        <f>G$39</f>
        <v>25.8109286</v>
      </c>
    </row>
    <row r="33" spans="2:22" x14ac:dyDescent="0.25">
      <c r="B33" s="54" t="s">
        <v>154</v>
      </c>
      <c r="C33" s="304" t="str">
        <f>VAC_Optim_Scenario!B19</f>
        <v>HCC Social</v>
      </c>
      <c r="D33" s="241">
        <f t="shared" si="14"/>
        <v>2.2059033000226274</v>
      </c>
      <c r="E33" s="241">
        <f t="shared" si="15"/>
        <v>2.3684232000000001</v>
      </c>
      <c r="F33" s="241">
        <f t="shared" si="16"/>
        <v>2.3684232000000001</v>
      </c>
      <c r="G33" s="241">
        <f t="shared" si="17"/>
        <v>2.2059033000226274</v>
      </c>
      <c r="H33" s="241">
        <f t="shared" si="18"/>
        <v>2.2059033000226274</v>
      </c>
      <c r="J33" s="245" t="s">
        <v>223</v>
      </c>
      <c r="K33" s="246">
        <f>D$31</f>
        <v>0.79429700000000003</v>
      </c>
      <c r="L33" s="246">
        <f>D$32</f>
        <v>13.654847336</v>
      </c>
      <c r="M33" s="246">
        <f>D$33</f>
        <v>2.2059033000226274</v>
      </c>
      <c r="N33" s="246">
        <f>D$34</f>
        <v>1.4453127520000002</v>
      </c>
      <c r="O33" s="246">
        <f>D$35</f>
        <v>9.393003199999999</v>
      </c>
      <c r="P33" s="246">
        <f>D$36</f>
        <v>3.7172548659999998</v>
      </c>
      <c r="Q33" s="246">
        <f>D$37</f>
        <v>6.5000000000000002E-2</v>
      </c>
      <c r="R33" s="246">
        <f>D$38</f>
        <v>1.2011674999999999</v>
      </c>
      <c r="S33" s="246">
        <f>D$39</f>
        <v>25.8109286</v>
      </c>
    </row>
    <row r="34" spans="2:22" x14ac:dyDescent="0.25">
      <c r="B34" s="54" t="s">
        <v>154</v>
      </c>
      <c r="C34" s="304" t="str">
        <f>VAC_Optim_Scenario!B20</f>
        <v>HCC Online Video</v>
      </c>
      <c r="D34" s="241">
        <f t="shared" si="14"/>
        <v>1.4453127520000002</v>
      </c>
      <c r="E34" s="241">
        <f t="shared" si="15"/>
        <v>0.46872000002084274</v>
      </c>
      <c r="F34" s="241">
        <f t="shared" si="16"/>
        <v>0.87048000000000003</v>
      </c>
      <c r="G34" s="241">
        <f t="shared" si="17"/>
        <v>1.4453127520000002</v>
      </c>
      <c r="H34" s="241">
        <f t="shared" si="18"/>
        <v>1.4453127520000002</v>
      </c>
      <c r="J34" s="245">
        <v>0.4</v>
      </c>
      <c r="K34" s="246">
        <f>H$31</f>
        <v>0.79429700000000003</v>
      </c>
      <c r="L34" s="246">
        <f>H$32</f>
        <v>13.654847336</v>
      </c>
      <c r="M34" s="246">
        <f>H$33</f>
        <v>2.2059033000226274</v>
      </c>
      <c r="N34" s="246">
        <f>H$34</f>
        <v>1.4453127520000002</v>
      </c>
      <c r="O34" s="246">
        <f>H$35</f>
        <v>9.393003199999999</v>
      </c>
      <c r="P34" s="246">
        <f>H$36</f>
        <v>3.7172548659999998</v>
      </c>
      <c r="Q34" s="246">
        <f>H$37</f>
        <v>6.5000000000000002E-2</v>
      </c>
      <c r="R34" s="246">
        <f>H$38</f>
        <v>1.2011674999999999</v>
      </c>
      <c r="S34" s="246">
        <f>H$39</f>
        <v>25.8109286</v>
      </c>
    </row>
    <row r="35" spans="2:22" x14ac:dyDescent="0.25">
      <c r="B35" s="54" t="s">
        <v>154</v>
      </c>
      <c r="C35" s="304" t="str">
        <f>VAC_Optim_Scenario!B21</f>
        <v>HCC Streaming Video</v>
      </c>
      <c r="D35" s="241">
        <f t="shared" si="14"/>
        <v>9.393003199999999</v>
      </c>
      <c r="E35" s="241">
        <f t="shared" si="15"/>
        <v>5.4997572028695698</v>
      </c>
      <c r="F35" s="241">
        <f t="shared" si="16"/>
        <v>10.213834800000001</v>
      </c>
      <c r="G35" s="241">
        <f t="shared" si="17"/>
        <v>9.393003199999999</v>
      </c>
      <c r="H35" s="241">
        <f t="shared" si="18"/>
        <v>9.393003199999999</v>
      </c>
      <c r="J35" s="244">
        <v>2</v>
      </c>
      <c r="K35" s="246">
        <f>F$31</f>
        <v>2.34</v>
      </c>
      <c r="L35" s="246">
        <f>F$32</f>
        <v>5.9808212879999996</v>
      </c>
      <c r="M35" s="246">
        <f>F$33</f>
        <v>2.3684232000000001</v>
      </c>
      <c r="N35" s="246">
        <f>F$34</f>
        <v>0.87048000000000003</v>
      </c>
      <c r="O35" s="246">
        <f>F$35</f>
        <v>10.213834800000001</v>
      </c>
      <c r="P35" s="246">
        <f>F$36</f>
        <v>2.7142868999999998</v>
      </c>
      <c r="Q35" s="246">
        <f>F$37</f>
        <v>1.7915768000000001</v>
      </c>
      <c r="R35" s="246">
        <f>F$38</f>
        <v>0.85561189999999998</v>
      </c>
      <c r="S35" s="246">
        <f>F$39</f>
        <v>21.525379182791276</v>
      </c>
    </row>
    <row r="36" spans="2:22" x14ac:dyDescent="0.25">
      <c r="B36" s="54" t="s">
        <v>154</v>
      </c>
      <c r="C36" s="304" t="str">
        <f>VAC_Optim_Scenario!B22</f>
        <v>HCC Display</v>
      </c>
      <c r="D36" s="241">
        <f t="shared" si="14"/>
        <v>3.7172548659999998</v>
      </c>
      <c r="E36" s="241">
        <f t="shared" si="15"/>
        <v>2.2477582947281389</v>
      </c>
      <c r="F36" s="241">
        <f t="shared" si="16"/>
        <v>2.7142868999999998</v>
      </c>
      <c r="G36" s="241">
        <f t="shared" si="17"/>
        <v>3.7172548659999998</v>
      </c>
      <c r="H36" s="241">
        <f t="shared" si="18"/>
        <v>3.7172548659999998</v>
      </c>
    </row>
    <row r="37" spans="2:22" x14ac:dyDescent="0.25">
      <c r="B37" s="54" t="s">
        <v>154</v>
      </c>
      <c r="C37" s="304" t="str">
        <f>VAC_Optim_Scenario!B23</f>
        <v>HCC Paid Search</v>
      </c>
      <c r="D37" s="241">
        <f t="shared" si="14"/>
        <v>6.5000000000000002E-2</v>
      </c>
      <c r="E37" s="241">
        <f t="shared" si="15"/>
        <v>1.5030225591430741</v>
      </c>
      <c r="F37" s="241">
        <f t="shared" si="16"/>
        <v>1.7915768000000001</v>
      </c>
      <c r="G37" s="241">
        <f t="shared" si="17"/>
        <v>6.5000000000000002E-2</v>
      </c>
      <c r="H37" s="241">
        <f t="shared" si="18"/>
        <v>6.5000000000000002E-2</v>
      </c>
      <c r="J37" s="264"/>
      <c r="K37" s="247"/>
      <c r="L37" s="247"/>
      <c r="M37" s="247"/>
      <c r="N37" s="247"/>
      <c r="O37" s="247"/>
      <c r="P37" s="247"/>
      <c r="Q37" s="247"/>
      <c r="R37" s="247"/>
    </row>
    <row r="38" spans="2:22" x14ac:dyDescent="0.25">
      <c r="B38" s="54" t="s">
        <v>154</v>
      </c>
      <c r="C38" s="304" t="str">
        <f>VAC_Optim_Scenario!B24</f>
        <v>HCC Radio</v>
      </c>
      <c r="D38" s="241">
        <f t="shared" si="14"/>
        <v>1.2011674999999999</v>
      </c>
      <c r="E38" s="241">
        <f t="shared" si="15"/>
        <v>0.85561189999999998</v>
      </c>
      <c r="F38" s="241">
        <f t="shared" si="16"/>
        <v>0.85561189999999998</v>
      </c>
      <c r="G38" s="241">
        <f t="shared" si="17"/>
        <v>1.2011674999999999</v>
      </c>
      <c r="H38" s="241">
        <f t="shared" si="18"/>
        <v>1.2011674999999999</v>
      </c>
      <c r="J38" s="265"/>
      <c r="K38" s="248"/>
      <c r="L38" s="248"/>
      <c r="M38" s="248"/>
      <c r="N38" s="248"/>
      <c r="O38" s="248"/>
      <c r="P38" s="248"/>
      <c r="Q38" s="248"/>
      <c r="R38" s="248"/>
    </row>
    <row r="39" spans="2:22" x14ac:dyDescent="0.25">
      <c r="B39" s="97" t="s">
        <v>154</v>
      </c>
      <c r="C39" s="305" t="str">
        <f>VAC_Optim_Scenario!B25</f>
        <v>HCC Linear TV</v>
      </c>
      <c r="D39" s="241">
        <f t="shared" si="14"/>
        <v>25.8109286</v>
      </c>
      <c r="E39" s="241">
        <f t="shared" si="15"/>
        <v>15.717664872</v>
      </c>
      <c r="F39" s="241">
        <f t="shared" si="16"/>
        <v>21.525379182791276</v>
      </c>
      <c r="G39" s="241">
        <f t="shared" si="17"/>
        <v>25.8109286</v>
      </c>
      <c r="H39" s="241">
        <f t="shared" si="18"/>
        <v>25.8109286</v>
      </c>
      <c r="J39" s="264"/>
      <c r="K39" s="247"/>
      <c r="L39" s="247"/>
      <c r="M39" s="247"/>
      <c r="N39" s="247"/>
      <c r="O39" s="247"/>
      <c r="P39" s="247"/>
      <c r="Q39" s="247"/>
      <c r="R39" s="247"/>
    </row>
    <row r="40" spans="2:22" x14ac:dyDescent="0.25">
      <c r="L40" s="168"/>
      <c r="M40" s="168"/>
      <c r="O40" s="168"/>
      <c r="P40" s="168"/>
    </row>
    <row r="41" spans="2:22" x14ac:dyDescent="0.25">
      <c r="L41" s="246"/>
      <c r="M41" s="246"/>
      <c r="N41" s="246"/>
      <c r="O41" s="246"/>
      <c r="P41" s="246"/>
    </row>
    <row r="42" spans="2:22" x14ac:dyDescent="0.25">
      <c r="L42" s="246"/>
      <c r="M42" s="246"/>
      <c r="N42" s="246"/>
      <c r="O42" s="246"/>
      <c r="P42" s="246"/>
    </row>
    <row r="43" spans="2:22" x14ac:dyDescent="0.25">
      <c r="L43" s="246"/>
      <c r="M43" s="246"/>
      <c r="N43" s="246"/>
      <c r="O43" s="246"/>
      <c r="P43" s="246"/>
    </row>
    <row r="44" spans="2:22" x14ac:dyDescent="0.25">
      <c r="L44" s="246"/>
      <c r="M44" s="246"/>
      <c r="N44" s="246"/>
      <c r="O44" s="246"/>
      <c r="P44" s="246"/>
      <c r="S44" s="249"/>
      <c r="T44" s="249"/>
      <c r="V44" s="249"/>
    </row>
    <row r="45" spans="2:22" x14ac:dyDescent="0.25">
      <c r="L45" s="246"/>
      <c r="M45" s="246"/>
      <c r="N45" s="246"/>
      <c r="O45" s="246"/>
      <c r="P45" s="250"/>
      <c r="S45" s="251"/>
      <c r="T45" s="251"/>
      <c r="U45" s="251"/>
      <c r="V45" s="251"/>
    </row>
    <row r="46" spans="2:22" x14ac:dyDescent="0.25">
      <c r="L46" s="246"/>
      <c r="M46" s="246"/>
      <c r="N46" s="246"/>
      <c r="O46" s="246"/>
      <c r="P46" s="246"/>
      <c r="S46" s="251"/>
      <c r="T46" s="251"/>
      <c r="U46" s="251"/>
      <c r="V46" s="251"/>
    </row>
    <row r="47" spans="2:22" x14ac:dyDescent="0.25">
      <c r="L47" s="246"/>
      <c r="M47" s="246"/>
      <c r="N47" s="246"/>
      <c r="O47" s="246"/>
      <c r="P47" s="246"/>
    </row>
    <row r="48" spans="2:22" x14ac:dyDescent="0.25">
      <c r="L48" s="246"/>
      <c r="M48" s="246"/>
      <c r="N48" s="246"/>
      <c r="O48" s="246"/>
      <c r="P48" s="246"/>
    </row>
  </sheetData>
  <mergeCells count="18">
    <mergeCell ref="K3:K4"/>
    <mergeCell ref="B3:B4"/>
    <mergeCell ref="C3:C4"/>
    <mergeCell ref="D3:E3"/>
    <mergeCell ref="F3:G3"/>
    <mergeCell ref="H3:I3"/>
    <mergeCell ref="C17:C18"/>
    <mergeCell ref="D17:E17"/>
    <mergeCell ref="F17:G17"/>
    <mergeCell ref="H17:I17"/>
    <mergeCell ref="L17:L18"/>
    <mergeCell ref="O17:P17"/>
    <mergeCell ref="Q17:R17"/>
    <mergeCell ref="L3:L4"/>
    <mergeCell ref="M3:N3"/>
    <mergeCell ref="O3:P3"/>
    <mergeCell ref="Q3:R3"/>
    <mergeCell ref="M17:N1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DA747-D407-4282-8381-F585CCEDDB35}">
  <sheetPr>
    <tabColor theme="3" tint="0.79998168889431442"/>
    <pageSetUpPr autoPageBreaks="0"/>
  </sheetPr>
  <dimension ref="A2:R27"/>
  <sheetViews>
    <sheetView zoomScale="90" zoomScaleNormal="90" workbookViewId="0">
      <selection activeCell="C23" sqref="C23"/>
    </sheetView>
  </sheetViews>
  <sheetFormatPr defaultColWidth="8.85546875" defaultRowHeight="15" x14ac:dyDescent="0.25"/>
  <cols>
    <col min="1" max="1" width="8.85546875" style="97"/>
    <col min="2" max="2" width="18.5703125" style="97" bestFit="1" customWidth="1"/>
    <col min="3" max="3" width="18.42578125" style="97" bestFit="1" customWidth="1"/>
    <col min="4" max="4" width="13.5703125" style="97" bestFit="1" customWidth="1"/>
    <col min="5" max="5" width="22.42578125" style="97" bestFit="1" customWidth="1"/>
    <col min="6" max="6" width="13.42578125" style="97" bestFit="1" customWidth="1"/>
    <col min="7" max="7" width="9.5703125" style="97" bestFit="1" customWidth="1"/>
    <col min="8" max="8" width="10.85546875" style="97" hidden="1" customWidth="1"/>
    <col min="9" max="9" width="16.140625" style="97" bestFit="1" customWidth="1"/>
    <col min="10" max="11" width="16.140625" style="97" customWidth="1"/>
    <col min="12" max="12" width="10.140625" style="97" customWidth="1"/>
    <col min="13" max="13" width="8.85546875" style="97"/>
    <col min="14" max="14" width="14.28515625" style="97" bestFit="1" customWidth="1"/>
    <col min="15" max="15" width="9.85546875" style="97" bestFit="1" customWidth="1"/>
    <col min="16" max="16" width="8.85546875" style="97"/>
    <col min="17" max="18" width="10" style="97" bestFit="1" customWidth="1"/>
    <col min="19" max="16384" width="8.85546875" style="97"/>
  </cols>
  <sheetData>
    <row r="2" spans="1:18" x14ac:dyDescent="0.25">
      <c r="D2" s="408">
        <v>2023</v>
      </c>
      <c r="E2" s="408"/>
      <c r="F2" s="408"/>
      <c r="G2" s="408"/>
      <c r="H2" s="408"/>
      <c r="I2" s="408"/>
      <c r="J2" s="349"/>
      <c r="K2" s="349"/>
      <c r="N2" s="97" t="s">
        <v>275</v>
      </c>
    </row>
    <row r="3" spans="1:18" ht="51" x14ac:dyDescent="0.25">
      <c r="B3" s="208" t="s">
        <v>2</v>
      </c>
      <c r="C3" s="209" t="s">
        <v>3</v>
      </c>
      <c r="D3" s="209" t="s">
        <v>270</v>
      </c>
      <c r="E3" s="209" t="s">
        <v>271</v>
      </c>
      <c r="F3" s="209" t="s">
        <v>272</v>
      </c>
      <c r="G3" s="209" t="s">
        <v>273</v>
      </c>
      <c r="H3" s="209" t="s">
        <v>206</v>
      </c>
      <c r="I3" s="209" t="s">
        <v>207</v>
      </c>
      <c r="J3" s="209" t="s">
        <v>264</v>
      </c>
      <c r="K3" s="209" t="s">
        <v>265</v>
      </c>
      <c r="L3" s="297" t="s">
        <v>192</v>
      </c>
      <c r="N3" s="360">
        <v>4647854</v>
      </c>
      <c r="O3"/>
    </row>
    <row r="4" spans="1:18" x14ac:dyDescent="0.25">
      <c r="A4" s="97" t="s">
        <v>277</v>
      </c>
      <c r="B4" s="211" t="s">
        <v>231</v>
      </c>
      <c r="C4" s="212" t="str">
        <f>VAC_Optim_Scenario!B17</f>
        <v>HCC InOffice</v>
      </c>
      <c r="D4" s="300">
        <f>VAC_Optim_Scenario!E17</f>
        <v>1134710</v>
      </c>
      <c r="E4" s="213">
        <f>VAC_Optim_Scenario!F17</f>
        <v>7367.8666140222922</v>
      </c>
      <c r="F4" s="261">
        <f>VAC_Optim_Scenario!G36/1000000</f>
        <v>1.6646957827721967</v>
      </c>
      <c r="G4" s="214">
        <f t="shared" ref="G4:G12" si="0">F4/D4</f>
        <v>1.467067164978009E-6</v>
      </c>
      <c r="H4" s="215" t="e">
        <f>E4/#REF!</f>
        <v>#REF!</v>
      </c>
      <c r="I4" s="261">
        <f>(D4*1000000)/E4</f>
        <v>154007945.50765288</v>
      </c>
      <c r="J4" s="351">
        <f>E4/N$3</f>
        <v>1.5852190309812427E-3</v>
      </c>
      <c r="K4" s="351">
        <f>J4*0.54</f>
        <v>8.5601827672987106E-4</v>
      </c>
      <c r="L4" s="367">
        <f ca="1">(VLOOKUP($Q4,INDIRECT("'"&amp;A4&amp;"'!"&amp;"A20:E42"),5,0)-VLOOKUP($R4,INDIRECT("'"&amp;A4&amp;"'!"&amp;"A20:E42"),5,0))/(Q4-R4)</f>
        <v>1.0281350987444842</v>
      </c>
      <c r="M4"/>
      <c r="Q4" s="370" cm="1">
        <f t="array" aca="1" ref="Q4" ca="1">MAX(_xlfn._xlws.FILTER(INDIRECT("'"&amp;A4&amp;"'!"&amp;"A20:A42"),INDIRECT("'"&amp;A4&amp;"'!"&amp;"A20:A42")&lt;$D4))</f>
        <v>1000000</v>
      </c>
      <c r="R4" s="370" cm="1">
        <f t="array" aca="1" ref="R4" ca="1">MIN(_xlfn._xlws.FILTER(INDIRECT("'"&amp;A4&amp;"'!"&amp;"A20:A42"),INDIRECT("'"&amp;A4&amp;"'!"&amp;"A20:A42")&gt;=$D4))</f>
        <v>1200000</v>
      </c>
    </row>
    <row r="5" spans="1:18" x14ac:dyDescent="0.25">
      <c r="A5" s="97" t="s">
        <v>278</v>
      </c>
      <c r="B5" s="216" t="s">
        <v>231</v>
      </c>
      <c r="C5" s="217" t="str">
        <f>VAC_Optim_Scenario!B18</f>
        <v>HCP MCM</v>
      </c>
      <c r="D5" s="301">
        <f>VAC_Optim_Scenario!E18</f>
        <v>10503728.719999999</v>
      </c>
      <c r="E5" s="218">
        <f>VAC_Optim_Scenario!F18</f>
        <v>288339.09761974216</v>
      </c>
      <c r="F5" s="262">
        <f>VAC_Optim_Scenario!G37/1000000</f>
        <v>65.147335716204537</v>
      </c>
      <c r="G5" s="219">
        <f t="shared" si="0"/>
        <v>6.2023056243025805E-6</v>
      </c>
      <c r="H5" s="220" t="e">
        <f>E5/#REF!</f>
        <v>#REF!</v>
      </c>
      <c r="I5" s="262">
        <f t="shared" ref="I5:I12" si="1">(D5*1000000)/E5</f>
        <v>36428388.680927962</v>
      </c>
      <c r="J5" s="351">
        <f t="shared" ref="J5:J13" si="2">E5/N$3</f>
        <v>6.2037038517075226E-2</v>
      </c>
      <c r="K5" s="351">
        <f t="shared" ref="K5:K13" si="3">J5*0.54</f>
        <v>3.3500000799220622E-2</v>
      </c>
      <c r="L5" s="368">
        <f ca="1">(VLOOKUP($Q5,INDIRECT("'"&amp;A5&amp;"'!"&amp;"A20:E42"),5,0)-VLOOKUP($R5,INDIRECT("'"&amp;A5&amp;"'!"&amp;"A20:E42"),5,0))/(Q5-R5)</f>
        <v>7.0668103061160288</v>
      </c>
      <c r="M5"/>
      <c r="N5" s="361"/>
      <c r="Q5" s="370" cm="1">
        <f t="array" aca="1" ref="Q5" ca="1">MAX(_xlfn._xlws.FILTER(INDIRECT("'"&amp;A5&amp;"'!"&amp;"A20:A42"),INDIRECT("'"&amp;A5&amp;"'!"&amp;"A20:A42")&lt;$D5))</f>
        <v>4000000</v>
      </c>
      <c r="R5" s="370" cm="1">
        <f t="array" aca="1" ref="R5" ca="1">MIN(_xlfn._xlws.FILTER(INDIRECT("'"&amp;A5&amp;"'!"&amp;"A20:A42"),INDIRECT("'"&amp;A5&amp;"'!"&amp;"A20:A42")&gt;=$D5))</f>
        <v>0</v>
      </c>
    </row>
    <row r="6" spans="1:18" x14ac:dyDescent="0.25">
      <c r="A6" s="97" t="s">
        <v>279</v>
      </c>
      <c r="B6" s="216" t="s">
        <v>231</v>
      </c>
      <c r="C6" s="217" t="str">
        <f>VAC_Optim_Scenario!B19</f>
        <v>HCC Social</v>
      </c>
      <c r="D6" s="301">
        <f>VAC_Optim_Scenario!E19</f>
        <v>1751000</v>
      </c>
      <c r="E6" s="218">
        <f>VAC_Optim_Scenario!F19</f>
        <v>23820.403572058858</v>
      </c>
      <c r="F6" s="262">
        <f>VAC_Optim_Scenario!G38/1000000</f>
        <v>5.3819819830709781</v>
      </c>
      <c r="G6" s="219">
        <f t="shared" si="0"/>
        <v>3.0736618978132372E-6</v>
      </c>
      <c r="H6" s="220" t="e">
        <f>E6/#REF!</f>
        <v>#REF!</v>
      </c>
      <c r="I6" s="262">
        <f t="shared" si="1"/>
        <v>73508410.329953805</v>
      </c>
      <c r="J6" s="351">
        <f t="shared" si="2"/>
        <v>5.1250326649801949E-3</v>
      </c>
      <c r="K6" s="351">
        <f t="shared" si="3"/>
        <v>2.7675176390893055E-3</v>
      </c>
      <c r="L6" s="368">
        <f t="shared" ref="L6:L12" ca="1" si="4">(VLOOKUP($Q6,INDIRECT("'"&amp;A6&amp;"'!"&amp;"A20:E42"),3,0)-VLOOKUP($R6,INDIRECT("'"&amp;A6&amp;"'!"&amp;"A20:E42"),3,0))/(Q6-R6)</f>
        <v>1.8667349817167596</v>
      </c>
      <c r="M6"/>
      <c r="Q6" s="370" cm="1">
        <f t="array" aca="1" ref="Q6" ca="1">MAX(_xlfn._xlws.FILTER(INDIRECT("'"&amp;A6&amp;"'!"&amp;"A20:A42"),INDIRECT("'"&amp;A6&amp;"'!"&amp;"A20:A42")&lt;$D6))</f>
        <v>1600000</v>
      </c>
      <c r="R6" s="370" cm="1">
        <f t="array" aca="1" ref="R6" ca="1">MIN(_xlfn._xlws.FILTER(INDIRECT("'"&amp;A6&amp;"'!"&amp;"A20:A42"),INDIRECT("'"&amp;A6&amp;"'!"&amp;"A20:A42")&gt;=$D6))</f>
        <v>1800000</v>
      </c>
    </row>
    <row r="7" spans="1:18" x14ac:dyDescent="0.25">
      <c r="A7" s="264" t="s">
        <v>280</v>
      </c>
      <c r="B7" s="216" t="s">
        <v>231</v>
      </c>
      <c r="C7" s="217" t="str">
        <f>VAC_Optim_Scenario!B20</f>
        <v>HCC Online Video</v>
      </c>
      <c r="D7" s="301">
        <f>VAC_Optim_Scenario!E20</f>
        <v>1111779.04</v>
      </c>
      <c r="E7" s="218">
        <f>VAC_Optim_Scenario!F20</f>
        <v>21646.235649615526</v>
      </c>
      <c r="F7" s="262">
        <f>VAC_Optim_Scenario!G39/1000000</f>
        <v>4.8907504826741324</v>
      </c>
      <c r="G7" s="219">
        <f t="shared" si="0"/>
        <v>4.3990310184963844E-6</v>
      </c>
      <c r="H7" s="220" t="e">
        <f>E7/#REF!</f>
        <v>#REF!</v>
      </c>
      <c r="I7" s="262">
        <f t="shared" si="1"/>
        <v>51361310.945524476</v>
      </c>
      <c r="J7" s="351">
        <f t="shared" si="2"/>
        <v>4.6572537884398968E-3</v>
      </c>
      <c r="K7" s="351">
        <f t="shared" si="3"/>
        <v>2.5149170457575446E-3</v>
      </c>
      <c r="L7" s="368">
        <f t="shared" ca="1" si="4"/>
        <v>1.363152908327058E-2</v>
      </c>
      <c r="M7"/>
      <c r="Q7" s="370" cm="1">
        <f t="array" aca="1" ref="Q7" ca="1">MAX(_xlfn._xlws.FILTER(INDIRECT("'"&amp;A7&amp;"'!"&amp;"A20:A42"),INDIRECT("'"&amp;A7&amp;"'!"&amp;"A20:A42")&lt;$D7))</f>
        <v>1000000</v>
      </c>
      <c r="R7" s="370" cm="1">
        <f t="array" aca="1" ref="R7" ca="1">MIN(_xlfn._xlws.FILTER(INDIRECT("'"&amp;A7&amp;"'!"&amp;"A20:A42"),INDIRECT("'"&amp;A7&amp;"'!"&amp;"A20:A42")&gt;=$D7))</f>
        <v>1200000</v>
      </c>
    </row>
    <row r="8" spans="1:18" x14ac:dyDescent="0.25">
      <c r="A8" s="264" t="s">
        <v>281</v>
      </c>
      <c r="B8" s="216" t="s">
        <v>231</v>
      </c>
      <c r="C8" s="217" t="str">
        <f>VAC_Optim_Scenario!B21</f>
        <v>HCC Streaming Video</v>
      </c>
      <c r="D8" s="301">
        <f>VAC_Optim_Scenario!E21</f>
        <v>13418576</v>
      </c>
      <c r="E8" s="218">
        <f>VAC_Optim_Scenario!F21</f>
        <v>100808.3256282994</v>
      </c>
      <c r="F8" s="262">
        <f>VAC_Optim_Scenario!G40/1000000</f>
        <v>22.776633092457963</v>
      </c>
      <c r="G8" s="219">
        <f t="shared" si="0"/>
        <v>1.6973956917975471E-6</v>
      </c>
      <c r="H8" s="220" t="e">
        <f>E8/#REF!</f>
        <v>#REF!</v>
      </c>
      <c r="I8" s="262">
        <f t="shared" si="1"/>
        <v>133109799.37785092</v>
      </c>
      <c r="J8" s="351">
        <f t="shared" si="2"/>
        <v>2.1689219503947282E-2</v>
      </c>
      <c r="K8" s="351">
        <f t="shared" si="3"/>
        <v>1.1712178532131533E-2</v>
      </c>
      <c r="L8" s="368">
        <f t="shared" ca="1" si="4"/>
        <v>2.4050285570823431</v>
      </c>
      <c r="M8"/>
      <c r="Q8" s="370" cm="1">
        <f t="array" aca="1" ref="Q8" ca="1">MAX(_xlfn._xlws.FILTER(INDIRECT("'"&amp;A8&amp;"'!"&amp;"A20:A42"),INDIRECT("'"&amp;A8&amp;"'!"&amp;"A20:A42")&lt;$D8))</f>
        <v>4200000</v>
      </c>
      <c r="R8" s="370" cm="1">
        <f t="array" aca="1" ref="R8" ca="1">MIN(_xlfn._xlws.FILTER(INDIRECT("'"&amp;A8&amp;"'!"&amp;"A20:A42"),INDIRECT("'"&amp;A8&amp;"'!"&amp;"A20:A42")&gt;=$D8))</f>
        <v>0</v>
      </c>
    </row>
    <row r="9" spans="1:18" x14ac:dyDescent="0.25">
      <c r="A9" s="264" t="s">
        <v>282</v>
      </c>
      <c r="B9" s="216" t="s">
        <v>231</v>
      </c>
      <c r="C9" s="217" t="str">
        <f>VAC_Optim_Scenario!B22</f>
        <v>HCC Display</v>
      </c>
      <c r="D9" s="301">
        <f>VAC_Optim_Scenario!E22</f>
        <v>2859426.82</v>
      </c>
      <c r="E9" s="218">
        <f>VAC_Optim_Scenario!F22</f>
        <v>76065.012406995462</v>
      </c>
      <c r="F9" s="262">
        <f>VAC_Optim_Scenario!G41/1000000</f>
        <v>17.186128903236554</v>
      </c>
      <c r="G9" s="219">
        <f t="shared" si="0"/>
        <v>6.0103405280490986E-6</v>
      </c>
      <c r="H9" s="220" t="e">
        <f>E9/#REF!</f>
        <v>#REF!</v>
      </c>
      <c r="I9" s="262">
        <f t="shared" si="1"/>
        <v>37591880.018375278</v>
      </c>
      <c r="J9" s="351">
        <f t="shared" si="2"/>
        <v>1.6365620005920036E-2</v>
      </c>
      <c r="K9" s="351">
        <f t="shared" si="3"/>
        <v>8.8374348031968197E-3</v>
      </c>
      <c r="L9" s="368">
        <f t="shared" ca="1" si="4"/>
        <v>3.5863357263003475</v>
      </c>
      <c r="M9"/>
      <c r="Q9" s="370" cm="1">
        <f t="array" aca="1" ref="Q9" ca="1">MAX(_xlfn._xlws.FILTER(INDIRECT("'"&amp;A9&amp;"'!"&amp;"A20:A42"),INDIRECT("'"&amp;A9&amp;"'!"&amp;"A20:A42")&lt;$D9))</f>
        <v>2800000</v>
      </c>
      <c r="R9" s="370" cm="1">
        <f t="array" aca="1" ref="R9" ca="1">MIN(_xlfn._xlws.FILTER(INDIRECT("'"&amp;A9&amp;"'!"&amp;"A20:A42"),INDIRECT("'"&amp;A9&amp;"'!"&amp;"A20:A42")&gt;=$D9))</f>
        <v>3000000</v>
      </c>
    </row>
    <row r="10" spans="1:18" x14ac:dyDescent="0.25">
      <c r="A10" s="97" t="s">
        <v>283</v>
      </c>
      <c r="B10" s="216" t="s">
        <v>231</v>
      </c>
      <c r="C10" s="217" t="str">
        <f>VAC_Optim_Scenario!B23</f>
        <v>HCC Paid Search</v>
      </c>
      <c r="D10" s="301">
        <f>VAC_Optim_Scenario!E23</f>
        <v>50000</v>
      </c>
      <c r="E10" s="218">
        <f>VAC_Optim_Scenario!F23</f>
        <v>30136.792938374307</v>
      </c>
      <c r="F10" s="262">
        <f>VAC_Optim_Scenario!G42/1000000</f>
        <v>6.8091069964962907</v>
      </c>
      <c r="G10" s="219">
        <f t="shared" si="0"/>
        <v>1.3618213992992582E-4</v>
      </c>
      <c r="H10" s="220" t="e">
        <f>E10/#REF!</f>
        <v>#REF!</v>
      </c>
      <c r="I10" s="262">
        <f t="shared" si="1"/>
        <v>1659101.5541117226</v>
      </c>
      <c r="J10" s="351">
        <f t="shared" si="2"/>
        <v>6.4840231509798512E-3</v>
      </c>
      <c r="K10" s="351">
        <f t="shared" si="3"/>
        <v>3.5013725015291199E-3</v>
      </c>
      <c r="L10" s="368">
        <f t="shared" ca="1" si="4"/>
        <v>89.846705471759165</v>
      </c>
      <c r="M10"/>
      <c r="Q10" s="370" cm="1">
        <f t="array" aca="1" ref="Q10" ca="1">MAX(_xlfn._xlws.FILTER(INDIRECT("'"&amp;A10&amp;"'!"&amp;"A20:A42"),INDIRECT("'"&amp;A10&amp;"'!"&amp;"A20:A42")&lt;$D10))</f>
        <v>0</v>
      </c>
      <c r="R10" s="370" cm="1">
        <f t="array" aca="1" ref="R10" ca="1">MIN(_xlfn._xlws.FILTER(INDIRECT("'"&amp;A10&amp;"'!"&amp;"A20:A42"),INDIRECT("'"&amp;A10&amp;"'!"&amp;"A20:A42")&gt;=$D10))</f>
        <v>200000</v>
      </c>
    </row>
    <row r="11" spans="1:18" x14ac:dyDescent="0.25">
      <c r="A11" s="97" t="s">
        <v>284</v>
      </c>
      <c r="B11" s="216" t="s">
        <v>231</v>
      </c>
      <c r="C11" s="217" t="str">
        <f>VAC_Optim_Scenario!B24</f>
        <v>HCC Radio</v>
      </c>
      <c r="D11" s="301">
        <f>VAC_Optim_Scenario!E24</f>
        <v>923975</v>
      </c>
      <c r="E11" s="218">
        <f>VAC_Optim_Scenario!J24</f>
        <v>29522.816952164638</v>
      </c>
      <c r="F11" s="262">
        <f>VAC_Optim_Scenario!J43/1000000</f>
        <v>6.6703852621720774</v>
      </c>
      <c r="G11" s="219">
        <f t="shared" si="0"/>
        <v>7.2192269944230927E-6</v>
      </c>
      <c r="H11" s="220" t="e">
        <f>E11/#REF!</f>
        <v>#REF!</v>
      </c>
      <c r="I11" s="262">
        <f t="shared" si="1"/>
        <v>31296979.603846826</v>
      </c>
      <c r="J11" s="351">
        <f t="shared" si="2"/>
        <v>6.351924340171752E-3</v>
      </c>
      <c r="K11" s="351">
        <f t="shared" si="3"/>
        <v>3.4300391436927462E-3</v>
      </c>
      <c r="L11" s="368">
        <f t="shared" ca="1" si="4"/>
        <v>2.6465858044335104</v>
      </c>
      <c r="M11"/>
      <c r="Q11" s="370" cm="1">
        <f t="array" aca="1" ref="Q11" ca="1">MAX(_xlfn._xlws.FILTER(INDIRECT("'"&amp;A11&amp;"'!"&amp;"A20:A42"),INDIRECT("'"&amp;A11&amp;"'!"&amp;"A20:A42")&lt;$D11))</f>
        <v>800000</v>
      </c>
      <c r="R11" s="370" cm="1">
        <f t="array" aca="1" ref="R11" ca="1">MIN(_xlfn._xlws.FILTER(INDIRECT("'"&amp;A11&amp;"'!"&amp;"A20:A42"),INDIRECT("'"&amp;A11&amp;"'!"&amp;"A20:A42")&gt;=$D11))</f>
        <v>1000000</v>
      </c>
    </row>
    <row r="12" spans="1:18" x14ac:dyDescent="0.25">
      <c r="A12" s="97" t="s">
        <v>285</v>
      </c>
      <c r="B12" s="216" t="s">
        <v>231</v>
      </c>
      <c r="C12" s="217" t="str">
        <f>VAC_Optim_Scenario!B25</f>
        <v>HCC Linear TV</v>
      </c>
      <c r="D12" s="301">
        <f>VAC_Optim_Scenario!E25</f>
        <v>25810928.600000001</v>
      </c>
      <c r="E12" s="218">
        <f>VAC_Optim_Scenario!F25</f>
        <v>168508.00202805389</v>
      </c>
      <c r="F12" s="262">
        <f>VAC_Optim_Scenario!G44/1000000</f>
        <v>38.072697978218493</v>
      </c>
      <c r="G12" s="219">
        <f t="shared" si="0"/>
        <v>1.4750611482540186E-6</v>
      </c>
      <c r="H12" s="220" t="e">
        <f>E12/#REF!</f>
        <v>#REF!</v>
      </c>
      <c r="I12" s="262">
        <f t="shared" si="1"/>
        <v>153173310.99625105</v>
      </c>
      <c r="J12" s="351">
        <f t="shared" si="2"/>
        <v>3.6255011888939259E-2</v>
      </c>
      <c r="K12" s="351">
        <f t="shared" si="3"/>
        <v>1.9577706420027201E-2</v>
      </c>
      <c r="L12" s="368">
        <f t="shared" ca="1" si="4"/>
        <v>2.5431754699129354</v>
      </c>
      <c r="M12"/>
      <c r="Q12" s="370" cm="1">
        <f t="array" aca="1" ref="Q12" ca="1">MAX(_xlfn._xlws.FILTER(INDIRECT("'"&amp;A12&amp;"'!"&amp;"A20:A42"),INDIRECT("'"&amp;A12&amp;"'!"&amp;"A20:A42")&lt;$D12))</f>
        <v>4200000</v>
      </c>
      <c r="R12" s="370" cm="1">
        <f t="array" aca="1" ref="R12" ca="1">MIN(_xlfn._xlws.FILTER(INDIRECT("'"&amp;A12&amp;"'!"&amp;"A20:A42"),INDIRECT("'"&amp;A12&amp;"'!"&amp;"A20:A42")&gt;=$D12))</f>
        <v>0</v>
      </c>
    </row>
    <row r="13" spans="1:18" x14ac:dyDescent="0.25">
      <c r="A13" s="97" t="s">
        <v>286</v>
      </c>
      <c r="B13" s="221" t="s">
        <v>231</v>
      </c>
      <c r="C13" s="217" t="str">
        <f>VAC_Optim_Scenario!B26</f>
        <v>HCC Pharmacy</v>
      </c>
      <c r="D13" s="301">
        <f>VAC_Optim_Scenario!E26</f>
        <v>2411968</v>
      </c>
      <c r="E13" s="218">
        <f>VAC_Optim_Scenario!F26</f>
        <v>18205.929821531288</v>
      </c>
      <c r="F13" s="262">
        <f>VAC_Optim_Scenario!G45/1000000</f>
        <v>4.1134477838767793</v>
      </c>
      <c r="G13" s="219">
        <f t="shared" ref="G13" si="5">F13/D13</f>
        <v>1.7054321549360436E-6</v>
      </c>
      <c r="H13" s="220" t="e">
        <f>E13/#REF!</f>
        <v>#REF!</v>
      </c>
      <c r="I13" s="262">
        <f t="shared" ref="I13" si="6">(D13*1000000)/E13</f>
        <v>132482549.56731075</v>
      </c>
      <c r="J13" s="351">
        <f t="shared" si="2"/>
        <v>3.9170614699883619E-3</v>
      </c>
      <c r="K13" s="351">
        <f t="shared" si="3"/>
        <v>2.1152131937937158E-3</v>
      </c>
      <c r="L13" s="369">
        <f ca="1">(VLOOKUP($Q13,INDIRECT("'"&amp;A13&amp;"'!"&amp;"A20:E42"),5,0)-VLOOKUP($R13,INDIRECT("'"&amp;A13&amp;"'!"&amp;"A20:E42"),5,0))/(Q13-R13)</f>
        <v>1.2851107311617118</v>
      </c>
      <c r="M13"/>
      <c r="Q13" s="370" cm="1">
        <f t="array" aca="1" ref="Q13" ca="1">MAX(_xlfn._xlws.FILTER(INDIRECT("'"&amp;A13&amp;"'!"&amp;"A20:A42"),INDIRECT("'"&amp;A13&amp;"'!"&amp;"A20:A42")&lt;$D13))</f>
        <v>2400000</v>
      </c>
      <c r="R13" s="370" cm="1">
        <f t="array" aca="1" ref="R13" ca="1">MIN(_xlfn._xlws.FILTER(INDIRECT("'"&amp;A13&amp;"'!"&amp;"A20:A42"),INDIRECT("'"&amp;A13&amp;"'!"&amp;"A20:A42")&gt;=$D13))</f>
        <v>2600000</v>
      </c>
    </row>
    <row r="14" spans="1:18" x14ac:dyDescent="0.25">
      <c r="B14" s="222" t="s">
        <v>154</v>
      </c>
      <c r="C14" s="223" t="s">
        <v>213</v>
      </c>
      <c r="D14" s="224">
        <f>SUM(D4:D13)</f>
        <v>59976092.18</v>
      </c>
      <c r="E14" s="225">
        <f>SUM(E4:E13)</f>
        <v>764420.48323085776</v>
      </c>
      <c r="F14" s="224">
        <f>SUM(F4:F13)</f>
        <v>172.71316398118</v>
      </c>
      <c r="G14" s="299">
        <f>F14/D14</f>
        <v>2.8797001889158429E-6</v>
      </c>
      <c r="H14" s="226" t="e">
        <f>SUM(H4:H12)</f>
        <v>#REF!</v>
      </c>
      <c r="I14" s="298">
        <f>(D14*1000000)/E14</f>
        <v>78459556.612753674</v>
      </c>
      <c r="J14" s="350">
        <f>SUM(J4:J13)</f>
        <v>0.16446740436142307</v>
      </c>
      <c r="K14" s="350">
        <f>SUM(K4:K13)</f>
        <v>8.8812398355168479E-2</v>
      </c>
      <c r="L14" s="366"/>
    </row>
    <row r="15" spans="1:18" x14ac:dyDescent="0.25">
      <c r="G15" s="227"/>
      <c r="H15" s="228"/>
    </row>
    <row r="17" spans="5:6" ht="38.25" x14ac:dyDescent="0.25">
      <c r="E17" s="209" t="s">
        <v>3</v>
      </c>
      <c r="F17" s="210" t="s">
        <v>274</v>
      </c>
    </row>
    <row r="18" spans="5:6" x14ac:dyDescent="0.25">
      <c r="E18" s="362" t="s">
        <v>212</v>
      </c>
      <c r="F18" s="263">
        <f t="shared" ref="F18:F23" si="7">VLOOKUP(E18,$C$4:$I$12,7,0)</f>
        <v>1659101.5541117226</v>
      </c>
    </row>
    <row r="19" spans="5:6" x14ac:dyDescent="0.25">
      <c r="E19" s="363" t="s">
        <v>177</v>
      </c>
      <c r="F19" s="263">
        <f t="shared" si="7"/>
        <v>31296979.603846826</v>
      </c>
    </row>
    <row r="20" spans="5:6" x14ac:dyDescent="0.25">
      <c r="E20" s="363" t="s">
        <v>209</v>
      </c>
      <c r="F20" s="263">
        <f t="shared" si="7"/>
        <v>36428388.680927962</v>
      </c>
    </row>
    <row r="21" spans="5:6" x14ac:dyDescent="0.25">
      <c r="E21" s="363" t="s">
        <v>211</v>
      </c>
      <c r="F21" s="263">
        <f t="shared" si="7"/>
        <v>37591880.018375278</v>
      </c>
    </row>
    <row r="22" spans="5:6" x14ac:dyDescent="0.25">
      <c r="E22" s="363" t="s">
        <v>226</v>
      </c>
      <c r="F22" s="263">
        <f t="shared" si="7"/>
        <v>51361310.945524476</v>
      </c>
    </row>
    <row r="23" spans="5:6" x14ac:dyDescent="0.25">
      <c r="E23" s="363" t="s">
        <v>210</v>
      </c>
      <c r="F23" s="263">
        <f t="shared" si="7"/>
        <v>73508410.329953805</v>
      </c>
    </row>
    <row r="24" spans="5:6" x14ac:dyDescent="0.25">
      <c r="E24" s="359" t="s">
        <v>238</v>
      </c>
      <c r="F24" s="263">
        <f>VLOOKUP(E24,$C$4:$I$13,7,0)</f>
        <v>132482549.56731075</v>
      </c>
    </row>
    <row r="25" spans="5:6" x14ac:dyDescent="0.25">
      <c r="E25" s="363" t="s">
        <v>228</v>
      </c>
      <c r="F25" s="263">
        <f>VLOOKUP(E25,$C$4:$I$13,7,0)</f>
        <v>133109799.37785092</v>
      </c>
    </row>
    <row r="26" spans="5:6" x14ac:dyDescent="0.25">
      <c r="E26" s="363" t="s">
        <v>237</v>
      </c>
      <c r="F26" s="263">
        <f>VLOOKUP(E26,$C$4:$I$12,7,0)</f>
        <v>153173310.99625105</v>
      </c>
    </row>
    <row r="27" spans="5:6" x14ac:dyDescent="0.25">
      <c r="E27" s="363" t="s">
        <v>236</v>
      </c>
      <c r="F27" s="263">
        <f>VLOOKUP(E27,$C$4:$I$12,7,0)</f>
        <v>154007945.50765288</v>
      </c>
    </row>
  </sheetData>
  <autoFilter ref="E17:F25" xr:uid="{380EE44D-258D-4367-AB3A-04116EB0896D}">
    <sortState xmlns:xlrd2="http://schemas.microsoft.com/office/spreadsheetml/2017/richdata2" ref="E18:F27">
      <sortCondition ref="F17:F25"/>
    </sortState>
  </autoFilter>
  <mergeCells count="1">
    <mergeCell ref="D2:I2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AB7504-2173-4FB8-8086-11449C11E064}">
  <sheetPr>
    <tabColor theme="3" tint="0.79998168889431442"/>
    <pageSetUpPr autoPageBreaks="0"/>
  </sheetPr>
  <dimension ref="A3:AG91"/>
  <sheetViews>
    <sheetView showGridLines="0" topLeftCell="A19" zoomScale="70" zoomScaleNormal="70" workbookViewId="0">
      <selection activeCell="B21" sqref="B21:X34"/>
    </sheetView>
  </sheetViews>
  <sheetFormatPr defaultColWidth="8.85546875" defaultRowHeight="15" x14ac:dyDescent="0.25"/>
  <cols>
    <col min="1" max="1" width="7.28515625" style="97" bestFit="1" customWidth="1"/>
    <col min="2" max="2" width="22.42578125" style="97" customWidth="1"/>
    <col min="3" max="3" width="12.140625" style="97" customWidth="1"/>
    <col min="4" max="4" width="13.7109375" style="97" customWidth="1"/>
    <col min="5" max="5" width="0.42578125" style="97" customWidth="1"/>
    <col min="6" max="6" width="12.7109375" style="97" customWidth="1"/>
    <col min="7" max="8" width="10.85546875" style="97" customWidth="1"/>
    <col min="9" max="9" width="0.42578125" style="97" customWidth="1"/>
    <col min="10" max="10" width="12.7109375" style="97" customWidth="1"/>
    <col min="11" max="12" width="10.85546875" style="97" customWidth="1"/>
    <col min="13" max="13" width="0.5703125" style="97" customWidth="1"/>
    <col min="14" max="14" width="12.7109375" style="97" customWidth="1"/>
    <col min="15" max="16" width="10.85546875" style="97" customWidth="1"/>
    <col min="17" max="17" width="0.28515625" style="97" customWidth="1"/>
    <col min="18" max="18" width="12.7109375" style="97" customWidth="1"/>
    <col min="19" max="20" width="10.85546875" style="97" customWidth="1"/>
    <col min="21" max="21" width="0.28515625" style="97" customWidth="1"/>
    <col min="22" max="22" width="12.7109375" style="97" customWidth="1"/>
    <col min="23" max="24" width="10.85546875" style="97" customWidth="1"/>
    <col min="25" max="25" width="6.7109375" style="97" bestFit="1" customWidth="1"/>
    <col min="26" max="26" width="18.28515625" style="97" bestFit="1" customWidth="1"/>
    <col min="27" max="27" width="12.5703125" style="97" bestFit="1" customWidth="1"/>
    <col min="28" max="28" width="14.42578125" style="97" bestFit="1" customWidth="1"/>
    <col min="29" max="29" width="8.85546875" style="97"/>
    <col min="30" max="30" width="14.85546875" style="97" bestFit="1" customWidth="1"/>
    <col min="31" max="31" width="8.85546875" style="97"/>
    <col min="32" max="32" width="14.85546875" style="97" bestFit="1" customWidth="1"/>
    <col min="33" max="33" width="12.5703125" style="97" bestFit="1" customWidth="1"/>
    <col min="34" max="16384" width="8.85546875" style="97"/>
  </cols>
  <sheetData>
    <row r="3" spans="2:33" x14ac:dyDescent="0.25">
      <c r="B3" s="171">
        <f>SUM(C9:C13)</f>
        <v>19190781.859999999</v>
      </c>
      <c r="C3" s="171">
        <f>SUM(D9:D13)</f>
        <v>57044601.457935914</v>
      </c>
    </row>
    <row r="4" spans="2:33" x14ac:dyDescent="0.25">
      <c r="F4" s="416" t="s">
        <v>287</v>
      </c>
      <c r="G4" s="416"/>
      <c r="H4" s="416"/>
      <c r="I4" s="416"/>
      <c r="J4" s="416"/>
      <c r="K4" s="416"/>
      <c r="L4" s="416"/>
      <c r="M4" s="416"/>
      <c r="N4" s="416"/>
      <c r="O4" s="416"/>
      <c r="P4" s="416"/>
    </row>
    <row r="5" spans="2:33" x14ac:dyDescent="0.25">
      <c r="F5" s="411" t="s">
        <v>268</v>
      </c>
      <c r="G5" s="412"/>
      <c r="H5" s="413"/>
      <c r="I5" s="172"/>
      <c r="J5" s="411" t="s">
        <v>288</v>
      </c>
      <c r="K5" s="412"/>
      <c r="L5" s="413"/>
      <c r="M5" s="172"/>
      <c r="N5" s="411" t="s">
        <v>289</v>
      </c>
      <c r="O5" s="412"/>
      <c r="P5" s="413"/>
      <c r="R5" s="411" t="s">
        <v>290</v>
      </c>
      <c r="S5" s="412"/>
      <c r="T5" s="413"/>
      <c r="V5" s="411" t="s">
        <v>291</v>
      </c>
      <c r="W5" s="412"/>
      <c r="X5" s="413"/>
      <c r="Z5" s="97" t="s">
        <v>230</v>
      </c>
    </row>
    <row r="6" spans="2:33" ht="38.1" customHeight="1" x14ac:dyDescent="0.25">
      <c r="B6" s="173" t="s">
        <v>196</v>
      </c>
      <c r="C6" s="170" t="s">
        <v>197</v>
      </c>
      <c r="D6" s="184" t="s">
        <v>198</v>
      </c>
      <c r="E6" s="174"/>
      <c r="F6" s="184" t="s">
        <v>205</v>
      </c>
      <c r="G6" s="184" t="s">
        <v>199</v>
      </c>
      <c r="H6" s="184" t="s">
        <v>200</v>
      </c>
      <c r="I6" s="184"/>
      <c r="J6" s="184" t="s">
        <v>205</v>
      </c>
      <c r="K6" s="184" t="s">
        <v>199</v>
      </c>
      <c r="L6" s="184" t="s">
        <v>200</v>
      </c>
      <c r="M6" s="170"/>
      <c r="N6" s="184" t="s">
        <v>205</v>
      </c>
      <c r="O6" s="184" t="s">
        <v>199</v>
      </c>
      <c r="P6" s="184" t="s">
        <v>200</v>
      </c>
      <c r="Q6" s="170"/>
      <c r="R6" s="184" t="s">
        <v>205</v>
      </c>
      <c r="S6" s="184" t="s">
        <v>199</v>
      </c>
      <c r="T6" s="184" t="s">
        <v>200</v>
      </c>
      <c r="U6" s="170"/>
      <c r="V6" s="184" t="s">
        <v>205</v>
      </c>
      <c r="W6" s="184" t="s">
        <v>199</v>
      </c>
      <c r="X6" s="184" t="s">
        <v>200</v>
      </c>
      <c r="Z6" s="174" t="s">
        <v>205</v>
      </c>
      <c r="AA6" s="174" t="s">
        <v>199</v>
      </c>
      <c r="AB6" s="174" t="s">
        <v>200</v>
      </c>
    </row>
    <row r="7" spans="2:33" x14ac:dyDescent="0.25">
      <c r="B7" s="175" t="str">
        <f>VAC_Optim_Scenario!B17</f>
        <v>HCC InOffice</v>
      </c>
      <c r="C7" s="176">
        <f>VAC_Optim_Scenario!E17</f>
        <v>1134710</v>
      </c>
      <c r="D7" s="176">
        <f>VAC_Optim_Scenario!G36</f>
        <v>1664695.7827721967</v>
      </c>
      <c r="E7" s="176"/>
      <c r="F7" s="176">
        <v>794297</v>
      </c>
      <c r="G7" s="168">
        <v>-0.3</v>
      </c>
      <c r="H7" s="176">
        <v>1283066.8908256721</v>
      </c>
      <c r="I7" s="176"/>
      <c r="J7" s="176">
        <v>794297</v>
      </c>
      <c r="K7" s="168">
        <v>-0.3</v>
      </c>
      <c r="L7" s="176">
        <v>1283066.8908256721</v>
      </c>
      <c r="N7" s="176">
        <v>794297</v>
      </c>
      <c r="O7" s="168">
        <v>-0.3</v>
      </c>
      <c r="P7" s="176">
        <v>1283066.8908256721</v>
      </c>
      <c r="R7" s="176">
        <v>805222.23578664067</v>
      </c>
      <c r="S7" s="168">
        <v>-0.29037178152423027</v>
      </c>
      <c r="T7" s="176">
        <v>1296627.0228780885</v>
      </c>
      <c r="V7" s="176">
        <v>913303.76894871308</v>
      </c>
      <c r="W7" s="168">
        <v>-0.19512142402136837</v>
      </c>
      <c r="X7" s="176">
        <v>1425869.9316610473</v>
      </c>
      <c r="Z7" s="176">
        <f>VAC_Optim_Scenario!$H36</f>
        <v>794297</v>
      </c>
      <c r="AA7" s="168">
        <f>IFERROR((Z7-$C7)/$C7,"")</f>
        <v>-0.3</v>
      </c>
      <c r="AB7" s="176">
        <f>VAC_Optim_Scenario!$J36</f>
        <v>1283066.8908256721</v>
      </c>
      <c r="AD7" s="176"/>
      <c r="AE7" s="168"/>
      <c r="AF7" s="176"/>
      <c r="AG7" s="171"/>
    </row>
    <row r="8" spans="2:33" x14ac:dyDescent="0.25">
      <c r="B8" s="175" t="str">
        <f>VAC_Optim_Scenario!B18</f>
        <v>HCP MCM</v>
      </c>
      <c r="C8" s="176">
        <f>VAC_Optim_Scenario!E18</f>
        <v>10503728.719999999</v>
      </c>
      <c r="D8" s="176">
        <f>VAC_Optim_Scenario!G37</f>
        <v>65147335.716204539</v>
      </c>
      <c r="E8" s="176"/>
      <c r="F8" s="176">
        <v>13654847.335999999</v>
      </c>
      <c r="G8" s="168">
        <v>0.30000000000000004</v>
      </c>
      <c r="H8" s="176">
        <v>79502965.080439389</v>
      </c>
      <c r="I8" s="176"/>
      <c r="J8" s="176">
        <v>13654847.335999999</v>
      </c>
      <c r="K8" s="168">
        <v>0.30000000000000004</v>
      </c>
      <c r="L8" s="176">
        <v>79502965.080439389</v>
      </c>
      <c r="N8" s="176">
        <v>10739126.461372875</v>
      </c>
      <c r="O8" s="168">
        <v>2.2410874047485482E-2</v>
      </c>
      <c r="P8" s="176">
        <v>66292989.544169672</v>
      </c>
      <c r="R8" s="176">
        <v>13654847.335999999</v>
      </c>
      <c r="S8" s="168">
        <v>0.30000000000000004</v>
      </c>
      <c r="T8" s="176">
        <v>79502965.080439389</v>
      </c>
      <c r="V8" s="176">
        <v>13654847.335999999</v>
      </c>
      <c r="W8" s="168">
        <v>0.30000000000000004</v>
      </c>
      <c r="X8" s="176">
        <v>79502965.080439389</v>
      </c>
      <c r="Z8" s="176">
        <f>VAC_Optim_Scenario!$H37</f>
        <v>13654847.335999999</v>
      </c>
      <c r="AA8" s="168">
        <f t="shared" ref="AA8:AA16" si="0">IFERROR((Z8-$C8)/$C8,"")</f>
        <v>0.30000000000000004</v>
      </c>
      <c r="AB8" s="176">
        <f>VAC_Optim_Scenario!$J37</f>
        <v>79502965.080439389</v>
      </c>
      <c r="AD8" s="176"/>
      <c r="AE8" s="168"/>
      <c r="AF8" s="176"/>
      <c r="AG8" s="171"/>
    </row>
    <row r="9" spans="2:33" x14ac:dyDescent="0.25">
      <c r="B9" s="175" t="str">
        <f>VAC_Optim_Scenario!B19</f>
        <v>HCC Social</v>
      </c>
      <c r="C9" s="176">
        <f>VAC_Optim_Scenario!E19</f>
        <v>1751000</v>
      </c>
      <c r="D9" s="176">
        <f>VAC_Optim_Scenario!G38</f>
        <v>5381981.983070978</v>
      </c>
      <c r="E9" s="176"/>
      <c r="F9" s="176">
        <v>2205903.3778932546</v>
      </c>
      <c r="G9" s="168">
        <v>0.25979633232053378</v>
      </c>
      <c r="H9" s="176">
        <v>6181906.6592533411</v>
      </c>
      <c r="I9" s="176"/>
      <c r="J9" s="176">
        <v>1225700.0000000002</v>
      </c>
      <c r="K9" s="168">
        <v>-0.29999999999999988</v>
      </c>
      <c r="L9" s="176">
        <v>4345112.8827910451</v>
      </c>
      <c r="N9" s="176">
        <v>1225700.0000000002</v>
      </c>
      <c r="O9" s="168">
        <v>-0.29999999999999988</v>
      </c>
      <c r="P9" s="176">
        <v>4345112.8827910451</v>
      </c>
      <c r="R9" s="176">
        <v>2276300</v>
      </c>
      <c r="S9" s="168">
        <v>0.3</v>
      </c>
      <c r="T9" s="176">
        <v>6299531.4861385655</v>
      </c>
      <c r="V9" s="176">
        <v>2276300</v>
      </c>
      <c r="W9" s="168">
        <v>0.3</v>
      </c>
      <c r="X9" s="176">
        <v>6299531.4861385655</v>
      </c>
      <c r="Z9" s="176">
        <f>VAC_Optim_Scenario!$H38</f>
        <v>2205903.3000226272</v>
      </c>
      <c r="AA9" s="168">
        <f t="shared" si="0"/>
        <v>0.259796287848445</v>
      </c>
      <c r="AB9" s="176">
        <f>VAC_Optim_Scenario!$J38</f>
        <v>6181906.528316793</v>
      </c>
      <c r="AD9" s="176"/>
      <c r="AE9" s="168"/>
      <c r="AF9" s="176"/>
      <c r="AG9" s="171"/>
    </row>
    <row r="10" spans="2:33" x14ac:dyDescent="0.25">
      <c r="B10" s="175" t="str">
        <f>VAC_Optim_Scenario!B20</f>
        <v>HCC Online Video</v>
      </c>
      <c r="C10" s="176">
        <f>VAC_Optim_Scenario!E20</f>
        <v>1111779.04</v>
      </c>
      <c r="D10" s="176">
        <f>VAC_Optim_Scenario!G39</f>
        <v>4890750.4826741321</v>
      </c>
      <c r="E10" s="176"/>
      <c r="F10" s="176">
        <v>1445312.7520000001</v>
      </c>
      <c r="G10" s="168">
        <v>0.30000000000000004</v>
      </c>
      <c r="H10" s="176">
        <v>5811060.0168574946</v>
      </c>
      <c r="I10" s="176"/>
      <c r="J10" s="176">
        <v>778245.32799999998</v>
      </c>
      <c r="K10" s="168">
        <v>-0.30000000000000004</v>
      </c>
      <c r="L10" s="176">
        <v>3758344.6023231097</v>
      </c>
      <c r="N10" s="176">
        <v>778245.32799999998</v>
      </c>
      <c r="O10" s="168">
        <v>-0.30000000000000004</v>
      </c>
      <c r="P10" s="176">
        <v>3758344.6023231097</v>
      </c>
      <c r="R10" s="176">
        <v>1445312.7520000001</v>
      </c>
      <c r="S10" s="168">
        <v>0.30000000000000004</v>
      </c>
      <c r="T10" s="176">
        <v>5811060.0168574946</v>
      </c>
      <c r="V10" s="176">
        <v>1445312.7520000001</v>
      </c>
      <c r="W10" s="168">
        <v>0.30000000000000004</v>
      </c>
      <c r="X10" s="176">
        <v>5811060.0168574946</v>
      </c>
      <c r="Z10" s="176">
        <f>VAC_Optim_Scenario!$H39</f>
        <v>1445312.7520000001</v>
      </c>
      <c r="AA10" s="168">
        <f t="shared" si="0"/>
        <v>0.30000000000000004</v>
      </c>
      <c r="AB10" s="176">
        <f>VAC_Optim_Scenario!$J39</f>
        <v>5811060.0168574946</v>
      </c>
      <c r="AD10" s="176"/>
      <c r="AE10" s="168"/>
      <c r="AF10" s="176"/>
      <c r="AG10" s="171"/>
    </row>
    <row r="11" spans="2:33" x14ac:dyDescent="0.25">
      <c r="B11" s="175" t="str">
        <f>VAC_Optim_Scenario!B21</f>
        <v>HCC Streaming Video</v>
      </c>
      <c r="C11" s="176">
        <f>VAC_Optim_Scenario!E21</f>
        <v>13418576</v>
      </c>
      <c r="D11" s="176">
        <f>VAC_Optim_Scenario!G40</f>
        <v>22776633.092457965</v>
      </c>
      <c r="E11" s="176"/>
      <c r="F11" s="176">
        <v>9393003.1999999993</v>
      </c>
      <c r="G11" s="168">
        <v>-0.30000000000000004</v>
      </c>
      <c r="H11" s="176">
        <v>17744270.681404795</v>
      </c>
      <c r="I11" s="176"/>
      <c r="J11" s="176">
        <v>9393003.1999999993</v>
      </c>
      <c r="K11" s="168">
        <v>-0.30000000000000004</v>
      </c>
      <c r="L11" s="176">
        <v>17744270.681404795</v>
      </c>
      <c r="N11" s="176">
        <v>9393003.1999999993</v>
      </c>
      <c r="O11" s="168">
        <v>-0.30000000000000004</v>
      </c>
      <c r="P11" s="176">
        <v>17744270.681404795</v>
      </c>
      <c r="R11" s="176">
        <v>11735778.877359888</v>
      </c>
      <c r="S11" s="168">
        <v>-0.12540802560868697</v>
      </c>
      <c r="T11" s="176">
        <v>20737355.233888462</v>
      </c>
      <c r="V11" s="176">
        <v>14722103.721574096</v>
      </c>
      <c r="W11" s="168">
        <v>9.7143521158586127E-2</v>
      </c>
      <c r="X11" s="176">
        <v>24303786.187405732</v>
      </c>
      <c r="Z11" s="176">
        <f>VAC_Optim_Scenario!$H40</f>
        <v>9393003.1999999993</v>
      </c>
      <c r="AA11" s="168">
        <f t="shared" si="0"/>
        <v>-0.30000000000000004</v>
      </c>
      <c r="AB11" s="176">
        <f>VAC_Optim_Scenario!$J40</f>
        <v>17744270.681404795</v>
      </c>
      <c r="AD11" s="176"/>
      <c r="AE11" s="168"/>
      <c r="AF11" s="176"/>
      <c r="AG11" s="171"/>
    </row>
    <row r="12" spans="2:33" x14ac:dyDescent="0.25">
      <c r="B12" s="175" t="str">
        <f>VAC_Optim_Scenario!B22</f>
        <v>HCC Display</v>
      </c>
      <c r="C12" s="176">
        <f>VAC_Optim_Scenario!E22</f>
        <v>2859426.82</v>
      </c>
      <c r="D12" s="176">
        <f>VAC_Optim_Scenario!G41</f>
        <v>17186128.903236553</v>
      </c>
      <c r="E12" s="176"/>
      <c r="F12" s="176">
        <v>3717254.8659999999</v>
      </c>
      <c r="G12" s="168">
        <v>0.30000000000000004</v>
      </c>
      <c r="H12" s="176">
        <v>20116113.448785383</v>
      </c>
      <c r="I12" s="176"/>
      <c r="J12" s="176">
        <v>2502394.2545784563</v>
      </c>
      <c r="K12" s="168">
        <v>-0.12486158516955631</v>
      </c>
      <c r="L12" s="176">
        <v>15864416.880784098</v>
      </c>
      <c r="N12" s="176">
        <v>2001598.774</v>
      </c>
      <c r="O12" s="168">
        <v>-0.3</v>
      </c>
      <c r="P12" s="176">
        <v>13875124.505740259</v>
      </c>
      <c r="R12" s="176">
        <v>3717254.8659999999</v>
      </c>
      <c r="S12" s="168">
        <v>0.30000000000000004</v>
      </c>
      <c r="T12" s="176">
        <v>20116113.448785383</v>
      </c>
      <c r="V12" s="176">
        <v>3717254.8659999999</v>
      </c>
      <c r="W12" s="168">
        <v>0.30000000000000004</v>
      </c>
      <c r="X12" s="176">
        <v>20116113.448785383</v>
      </c>
      <c r="Z12" s="176">
        <f>VAC_Optim_Scenario!$H41</f>
        <v>3717254.8659999999</v>
      </c>
      <c r="AA12" s="168">
        <f t="shared" si="0"/>
        <v>0.30000000000000004</v>
      </c>
      <c r="AB12" s="176">
        <f>VAC_Optim_Scenario!$J41</f>
        <v>20116113.448785383</v>
      </c>
      <c r="AD12" s="176"/>
      <c r="AE12" s="168"/>
      <c r="AF12" s="176"/>
      <c r="AG12" s="171"/>
    </row>
    <row r="13" spans="2:33" x14ac:dyDescent="0.25">
      <c r="B13" s="175" t="str">
        <f>VAC_Optim_Scenario!B23</f>
        <v>HCC Paid Search</v>
      </c>
      <c r="C13" s="176">
        <f>VAC_Optim_Scenario!E23</f>
        <v>50000</v>
      </c>
      <c r="D13" s="176">
        <f>VAC_Optim_Scenario!G42</f>
        <v>6809106.9964962909</v>
      </c>
      <c r="E13" s="176"/>
      <c r="F13" s="176">
        <v>65000</v>
      </c>
      <c r="G13" s="168">
        <v>0.3</v>
      </c>
      <c r="H13" s="176">
        <v>8181831.0105400523</v>
      </c>
      <c r="I13" s="176"/>
      <c r="J13" s="176">
        <v>65000</v>
      </c>
      <c r="K13" s="168">
        <v>0.3</v>
      </c>
      <c r="L13" s="176">
        <v>8181831.0105400523</v>
      </c>
      <c r="N13" s="176">
        <v>65000</v>
      </c>
      <c r="O13" s="168">
        <v>0.3</v>
      </c>
      <c r="P13" s="176">
        <v>8181831.0105400523</v>
      </c>
      <c r="R13" s="176">
        <v>65000</v>
      </c>
      <c r="S13" s="168">
        <v>0.3</v>
      </c>
      <c r="T13" s="176">
        <v>8181831.0105400523</v>
      </c>
      <c r="V13" s="176">
        <v>65000</v>
      </c>
      <c r="W13" s="168">
        <v>0.3</v>
      </c>
      <c r="X13" s="176">
        <v>8181831.0105400523</v>
      </c>
      <c r="Z13" s="176">
        <f>VAC_Optim_Scenario!$H42</f>
        <v>65000</v>
      </c>
      <c r="AA13" s="168">
        <f t="shared" si="0"/>
        <v>0.3</v>
      </c>
      <c r="AB13" s="176">
        <f>VAC_Optim_Scenario!$J42</f>
        <v>8181831.0105400523</v>
      </c>
      <c r="AD13" s="176"/>
      <c r="AE13" s="168"/>
      <c r="AF13" s="176"/>
      <c r="AG13" s="171"/>
    </row>
    <row r="14" spans="2:33" x14ac:dyDescent="0.25">
      <c r="B14" s="175" t="str">
        <f>VAC_Optim_Scenario!B24</f>
        <v>HCC Radio</v>
      </c>
      <c r="C14" s="176">
        <f>VAC_Optim_Scenario!E24</f>
        <v>923975</v>
      </c>
      <c r="D14" s="176">
        <f>VAC_Optim_Scenario!G43</f>
        <v>6005837.5</v>
      </c>
      <c r="E14" s="176"/>
      <c r="F14" s="176">
        <v>1201167.5</v>
      </c>
      <c r="G14" s="168">
        <v>0.3</v>
      </c>
      <c r="H14" s="176">
        <v>6670385.2621720778</v>
      </c>
      <c r="I14" s="176"/>
      <c r="J14" s="176">
        <v>646782.5</v>
      </c>
      <c r="K14" s="168">
        <v>-0.3</v>
      </c>
      <c r="L14" s="176">
        <v>5207302.3332463158</v>
      </c>
      <c r="N14" s="176">
        <v>646782.5</v>
      </c>
      <c r="O14" s="168">
        <v>-0.3</v>
      </c>
      <c r="P14" s="176">
        <v>5207302.3332463158</v>
      </c>
      <c r="R14" s="176">
        <v>1201167.5</v>
      </c>
      <c r="S14" s="168">
        <v>0.3</v>
      </c>
      <c r="T14" s="176">
        <v>6670385.2621720778</v>
      </c>
      <c r="V14" s="176">
        <v>1201167.5</v>
      </c>
      <c r="W14" s="168">
        <v>0.3</v>
      </c>
      <c r="X14" s="176">
        <v>6670385.2621720778</v>
      </c>
      <c r="Z14" s="176">
        <f>VAC_Optim_Scenario!$H43</f>
        <v>1201167.5</v>
      </c>
      <c r="AA14" s="168">
        <f t="shared" si="0"/>
        <v>0.3</v>
      </c>
      <c r="AB14" s="176">
        <f>VAC_Optim_Scenario!$J43</f>
        <v>6670385.2621720778</v>
      </c>
      <c r="AD14" s="176"/>
      <c r="AE14" s="168"/>
      <c r="AF14" s="176"/>
      <c r="AG14" s="171"/>
    </row>
    <row r="15" spans="2:33" x14ac:dyDescent="0.25">
      <c r="B15" s="175" t="str">
        <f>VAC_Optim_Scenario!B25</f>
        <v>HCC Linear TV</v>
      </c>
      <c r="C15" s="176">
        <f>VAC_Optim_Scenario!E25</f>
        <v>25810928.600000001</v>
      </c>
      <c r="D15" s="176">
        <f>VAC_Optim_Scenario!G44</f>
        <v>38072697.978218496</v>
      </c>
      <c r="E15" s="176"/>
      <c r="F15" s="176">
        <v>25810928.600000001</v>
      </c>
      <c r="G15" s="168">
        <v>0</v>
      </c>
      <c r="H15" s="176">
        <v>38072697.978218496</v>
      </c>
      <c r="I15" s="176"/>
      <c r="J15" s="176">
        <v>25810928.600000001</v>
      </c>
      <c r="K15" s="168">
        <v>0</v>
      </c>
      <c r="L15" s="176">
        <v>38072697.978218496</v>
      </c>
      <c r="N15" s="176">
        <v>25810928.600000001</v>
      </c>
      <c r="O15" s="168">
        <v>0</v>
      </c>
      <c r="P15" s="176">
        <v>38072697.978218496</v>
      </c>
      <c r="R15" s="176">
        <v>25810928.600000001</v>
      </c>
      <c r="S15" s="168">
        <v>0</v>
      </c>
      <c r="T15" s="176">
        <v>38072697.978218496</v>
      </c>
      <c r="V15" s="176">
        <v>25810928.600000001</v>
      </c>
      <c r="W15" s="168">
        <v>0</v>
      </c>
      <c r="X15" s="176">
        <v>38072697.978218496</v>
      </c>
      <c r="Z15" s="176">
        <f>VAC_Optim_Scenario!$H44</f>
        <v>25810928.600000001</v>
      </c>
      <c r="AA15" s="168">
        <f t="shared" si="0"/>
        <v>0</v>
      </c>
      <c r="AB15" s="176">
        <f>VAC_Optim_Scenario!$J44</f>
        <v>38072697.978218496</v>
      </c>
      <c r="AD15" s="176"/>
      <c r="AE15" s="168"/>
      <c r="AF15" s="176"/>
      <c r="AG15" s="171"/>
    </row>
    <row r="16" spans="2:33" x14ac:dyDescent="0.25">
      <c r="B16" s="175" t="str">
        <f>VAC_Optim_Scenario!B26</f>
        <v>HCC Pharmacy</v>
      </c>
      <c r="C16" s="176">
        <f>VAC_Optim_Scenario!E26</f>
        <v>2411968</v>
      </c>
      <c r="D16" s="176">
        <f>VAC_Optim_Scenario!G45</f>
        <v>4113447.783876779</v>
      </c>
      <c r="E16" s="176"/>
      <c r="F16" s="176">
        <v>1688377.5999999999</v>
      </c>
      <c r="G16" s="168">
        <v>-0.30000000000000004</v>
      </c>
      <c r="H16" s="176">
        <v>3090133.9495154945</v>
      </c>
      <c r="I16" s="176"/>
      <c r="J16" s="176">
        <v>1688377.5999999999</v>
      </c>
      <c r="K16" s="168">
        <v>-0.30000000000000004</v>
      </c>
      <c r="L16" s="176">
        <v>3090133.9495154945</v>
      </c>
      <c r="N16" s="176">
        <v>1688377.5999999999</v>
      </c>
      <c r="O16" s="168">
        <v>-0.30000000000000004</v>
      </c>
      <c r="P16" s="176">
        <v>3090133.9495154945</v>
      </c>
      <c r="R16" s="176">
        <v>2680796.4189854735</v>
      </c>
      <c r="S16" s="168">
        <v>0.11145604708912948</v>
      </c>
      <c r="T16" s="176">
        <v>4455577.9731483422</v>
      </c>
      <c r="V16" s="176">
        <v>3002906.3494661432</v>
      </c>
      <c r="W16" s="168">
        <v>0.2450025661477031</v>
      </c>
      <c r="X16" s="176">
        <v>4840755.0517150639</v>
      </c>
      <c r="Z16" s="176">
        <f>VAC_Optim_Scenario!$H45</f>
        <v>1688377.6</v>
      </c>
      <c r="AA16" s="168">
        <f t="shared" si="0"/>
        <v>-0.3</v>
      </c>
      <c r="AB16" s="176">
        <f>VAC_Optim_Scenario!$J45</f>
        <v>3090133.9495154945</v>
      </c>
      <c r="AD16" s="176"/>
      <c r="AE16" s="168"/>
      <c r="AF16" s="176"/>
      <c r="AG16" s="171"/>
    </row>
    <row r="17" spans="1:28" ht="34.35" customHeight="1" x14ac:dyDescent="0.25">
      <c r="B17" s="177" t="s">
        <v>201</v>
      </c>
      <c r="C17" s="178">
        <f>SUM(C7:C16)</f>
        <v>59976092.18</v>
      </c>
      <c r="D17" s="178">
        <f>SUM(D7:D16)</f>
        <v>172048616.21900794</v>
      </c>
      <c r="E17" s="170"/>
      <c r="F17" s="178">
        <f>SUM(F7:F16)</f>
        <v>59976092.231893256</v>
      </c>
      <c r="G17" s="179">
        <f>(F17-$C$17)/$C$17</f>
        <v>8.6523237374201788E-10</v>
      </c>
      <c r="H17" s="178">
        <f>SUM(H7:H16)</f>
        <v>186654430.97801217</v>
      </c>
      <c r="I17" s="170"/>
      <c r="J17" s="178">
        <f>SUM(J7:J16)</f>
        <v>56559575.818578459</v>
      </c>
      <c r="K17" s="179">
        <f>(J17-$C$17)/$C$17</f>
        <v>-5.6964637695432134E-2</v>
      </c>
      <c r="L17" s="178">
        <f>SUM(L7:L16)</f>
        <v>177050142.29008847</v>
      </c>
      <c r="M17" s="170"/>
      <c r="N17" s="178">
        <f>SUM(N7:N16)</f>
        <v>53143059.463372879</v>
      </c>
      <c r="O17" s="179">
        <f>(N17-$C$17)/$C$17</f>
        <v>-0.11392927528722364</v>
      </c>
      <c r="P17" s="178">
        <f>SUM(P7:P16)</f>
        <v>161850874.37877491</v>
      </c>
      <c r="Q17" s="170"/>
      <c r="R17" s="178">
        <f>SUM(R7:R16)</f>
        <v>63392608.586131997</v>
      </c>
      <c r="S17" s="179">
        <f>(R17-$C$17)/$C$17</f>
        <v>5.6964638440903465E-2</v>
      </c>
      <c r="T17" s="178">
        <f>SUM(T7:T16)</f>
        <v>191144144.51306635</v>
      </c>
      <c r="V17" s="178">
        <f>SUM(V7:V16)</f>
        <v>66809124.893988952</v>
      </c>
      <c r="W17" s="179">
        <f>(V17-$C$17)/$C$17</f>
        <v>0.11392927524323664</v>
      </c>
      <c r="X17" s="178">
        <f>SUM(X7:X16)</f>
        <v>195224995.4539333</v>
      </c>
      <c r="Z17" s="178">
        <f>SUM(Z7:Z16)</f>
        <v>59976092.154022627</v>
      </c>
      <c r="AA17" s="179">
        <f>(Z17-$C$17)/$C$17</f>
        <v>-4.3312880481118644E-10</v>
      </c>
      <c r="AB17" s="178">
        <f>SUM(AB7:AB16)</f>
        <v>186654430.84707564</v>
      </c>
    </row>
    <row r="18" spans="1:28" x14ac:dyDescent="0.25">
      <c r="D18" s="97">
        <f>D17/C17</f>
        <v>2.8686199778181005</v>
      </c>
      <c r="V18" s="171"/>
      <c r="X18" s="171"/>
    </row>
    <row r="19" spans="1:28" x14ac:dyDescent="0.25">
      <c r="X19" s="171"/>
    </row>
    <row r="20" spans="1:28" ht="26.85" customHeight="1" x14ac:dyDescent="0.25">
      <c r="F20" s="418" t="str">
        <f>F4</f>
        <v>Optimal channel spend allowed to vary between +/- 30% of the 2023 channel spend except Linear TV</v>
      </c>
      <c r="G20" s="418"/>
      <c r="H20" s="418"/>
      <c r="I20" s="418"/>
      <c r="J20" s="418"/>
      <c r="K20" s="418"/>
      <c r="L20" s="418"/>
      <c r="M20" s="418"/>
      <c r="N20" s="418"/>
      <c r="O20" s="418"/>
      <c r="P20" s="418"/>
      <c r="Q20" s="418"/>
      <c r="R20" s="418"/>
      <c r="S20" s="418"/>
      <c r="T20" s="418"/>
      <c r="U20" s="418"/>
      <c r="V20" s="418"/>
      <c r="W20" s="418"/>
      <c r="X20" s="418"/>
    </row>
    <row r="21" spans="1:28" ht="30.2" customHeight="1" x14ac:dyDescent="0.25">
      <c r="C21" s="409" t="s">
        <v>269</v>
      </c>
      <c r="D21" s="410"/>
      <c r="E21" s="180"/>
      <c r="F21" s="411" t="str">
        <f>F5</f>
        <v>Current Optimal ($60.0MM)</v>
      </c>
      <c r="G21" s="412"/>
      <c r="H21" s="413"/>
      <c r="I21" s="181"/>
      <c r="J21" s="411" t="str">
        <f>J5</f>
        <v>10% reduction optimal ($57M)</v>
      </c>
      <c r="K21" s="412"/>
      <c r="L21" s="413"/>
      <c r="M21" s="181"/>
      <c r="N21" s="411" t="str">
        <f>N5</f>
        <v>20% reduction optimal ($53M)</v>
      </c>
      <c r="O21" s="412"/>
      <c r="P21" s="413"/>
      <c r="R21" s="411" t="str">
        <f>R5</f>
        <v>10% increase optimal ($63M)</v>
      </c>
      <c r="S21" s="412"/>
      <c r="T21" s="413"/>
      <c r="V21" s="411" t="str">
        <f>V5</f>
        <v>20% increase optimal ($67M)</v>
      </c>
      <c r="W21" s="412"/>
      <c r="X21" s="413"/>
    </row>
    <row r="22" spans="1:28" ht="45" x14ac:dyDescent="0.25">
      <c r="B22" s="173" t="s">
        <v>196</v>
      </c>
      <c r="C22" s="182" t="s">
        <v>202</v>
      </c>
      <c r="D22" s="183" t="s">
        <v>203</v>
      </c>
      <c r="E22" s="184"/>
      <c r="F22" s="206" t="s">
        <v>205</v>
      </c>
      <c r="G22" s="183" t="s">
        <v>199</v>
      </c>
      <c r="H22" s="185" t="s">
        <v>200</v>
      </c>
      <c r="I22" s="184"/>
      <c r="J22" s="206" t="s">
        <v>205</v>
      </c>
      <c r="K22" s="183" t="s">
        <v>199</v>
      </c>
      <c r="L22" s="185" t="s">
        <v>200</v>
      </c>
      <c r="M22" s="170"/>
      <c r="N22" s="206" t="s">
        <v>205</v>
      </c>
      <c r="O22" s="183" t="s">
        <v>199</v>
      </c>
      <c r="P22" s="185" t="s">
        <v>200</v>
      </c>
      <c r="R22" s="206" t="s">
        <v>205</v>
      </c>
      <c r="S22" s="183" t="s">
        <v>199</v>
      </c>
      <c r="T22" s="185" t="s">
        <v>200</v>
      </c>
      <c r="V22" s="206" t="s">
        <v>205</v>
      </c>
      <c r="W22" s="183" t="s">
        <v>199</v>
      </c>
      <c r="X22" s="185" t="s">
        <v>200</v>
      </c>
    </row>
    <row r="23" spans="1:28" x14ac:dyDescent="0.25">
      <c r="A23" s="364">
        <f>D23/C23</f>
        <v>1.4670671649780089</v>
      </c>
      <c r="B23" s="175" t="str">
        <f t="shared" ref="B23:B32" si="1">B7</f>
        <v>HCC InOffice</v>
      </c>
      <c r="C23" s="186">
        <f>C7/1000000</f>
        <v>1.1347100000000001</v>
      </c>
      <c r="D23" s="291">
        <f>D7/1000000</f>
        <v>1.6646957827721967</v>
      </c>
      <c r="E23" s="188"/>
      <c r="F23" s="189">
        <f t="shared" ref="F23:F32" si="2">F7/1000000</f>
        <v>0.79429700000000003</v>
      </c>
      <c r="G23" s="190">
        <f>IFERROR(G7,"")</f>
        <v>-0.3</v>
      </c>
      <c r="H23" s="286">
        <f t="shared" ref="H23:H32" si="3">H7/1000000</f>
        <v>1.2830668908256722</v>
      </c>
      <c r="I23" s="188"/>
      <c r="J23" s="189">
        <f t="shared" ref="J23:J32" si="4">J7/1000000</f>
        <v>0.79429700000000003</v>
      </c>
      <c r="K23" s="190">
        <f t="shared" ref="K23:K32" si="5">K7</f>
        <v>-0.3</v>
      </c>
      <c r="L23" s="286">
        <f t="shared" ref="L23:L32" si="6">L7/1000000</f>
        <v>1.2830668908256722</v>
      </c>
      <c r="M23" s="170"/>
      <c r="N23" s="189">
        <f t="shared" ref="N23:N32" si="7">N7/1000000</f>
        <v>0.79429700000000003</v>
      </c>
      <c r="O23" s="190">
        <f t="shared" ref="O23:O32" si="8">O7</f>
        <v>-0.3</v>
      </c>
      <c r="P23" s="286">
        <f t="shared" ref="P23:P32" si="9">P7/1000000</f>
        <v>1.2830668908256722</v>
      </c>
      <c r="Q23" s="170"/>
      <c r="R23" s="189">
        <f t="shared" ref="R23:R32" si="10">R7/1000000</f>
        <v>0.80522223578664065</v>
      </c>
      <c r="S23" s="190">
        <f t="shared" ref="S23:S32" si="11">S7</f>
        <v>-0.29037178152423027</v>
      </c>
      <c r="T23" s="286">
        <f t="shared" ref="T23:T32" si="12">T7/1000000</f>
        <v>1.2966270228780885</v>
      </c>
      <c r="V23" s="189">
        <f t="shared" ref="V23:V32" si="13">V7/1000000</f>
        <v>0.91330376894871312</v>
      </c>
      <c r="W23" s="190">
        <f t="shared" ref="W23:W32" si="14">W7</f>
        <v>-0.19512142402136837</v>
      </c>
      <c r="X23" s="191">
        <f t="shared" ref="X23:X32" si="15">X7/1000000</f>
        <v>1.4258699316610473</v>
      </c>
    </row>
    <row r="24" spans="1:28" x14ac:dyDescent="0.25">
      <c r="A24" s="364">
        <f t="shared" ref="A24:A32" si="16">D24/C24</f>
        <v>6.2023056243025811</v>
      </c>
      <c r="B24" s="175" t="str">
        <f t="shared" si="1"/>
        <v>HCP MCM</v>
      </c>
      <c r="C24" s="192">
        <f t="shared" ref="C24:D24" si="17">C8/1000000</f>
        <v>10.503728719999998</v>
      </c>
      <c r="D24" s="292">
        <f t="shared" si="17"/>
        <v>65.147335716204537</v>
      </c>
      <c r="E24" s="188"/>
      <c r="F24" s="193">
        <f t="shared" si="2"/>
        <v>13.654847336</v>
      </c>
      <c r="G24" s="194">
        <f t="shared" ref="G24:G32" si="18">IFERROR(G8,"")</f>
        <v>0.30000000000000004</v>
      </c>
      <c r="H24" s="287">
        <f t="shared" si="3"/>
        <v>79.502965080439395</v>
      </c>
      <c r="I24" s="188"/>
      <c r="J24" s="193">
        <f t="shared" si="4"/>
        <v>13.654847336</v>
      </c>
      <c r="K24" s="194">
        <f t="shared" si="5"/>
        <v>0.30000000000000004</v>
      </c>
      <c r="L24" s="287">
        <f t="shared" si="6"/>
        <v>79.502965080439395</v>
      </c>
      <c r="M24" s="170"/>
      <c r="N24" s="193">
        <f t="shared" si="7"/>
        <v>10.739126461372875</v>
      </c>
      <c r="O24" s="194">
        <f t="shared" si="8"/>
        <v>2.2410874047485482E-2</v>
      </c>
      <c r="P24" s="287">
        <f t="shared" si="9"/>
        <v>66.292989544169671</v>
      </c>
      <c r="Q24" s="170"/>
      <c r="R24" s="193">
        <f t="shared" si="10"/>
        <v>13.654847336</v>
      </c>
      <c r="S24" s="190">
        <f t="shared" si="11"/>
        <v>0.30000000000000004</v>
      </c>
      <c r="T24" s="287">
        <f t="shared" si="12"/>
        <v>79.502965080439395</v>
      </c>
      <c r="V24" s="193">
        <f t="shared" si="13"/>
        <v>13.654847336</v>
      </c>
      <c r="W24" s="190">
        <f t="shared" si="14"/>
        <v>0.30000000000000004</v>
      </c>
      <c r="X24" s="195">
        <f t="shared" si="15"/>
        <v>79.502965080439395</v>
      </c>
    </row>
    <row r="25" spans="1:28" x14ac:dyDescent="0.25">
      <c r="A25" s="364">
        <f t="shared" si="16"/>
        <v>3.0736618978132371</v>
      </c>
      <c r="B25" s="175" t="str">
        <f t="shared" si="1"/>
        <v>HCC Social</v>
      </c>
      <c r="C25" s="192">
        <f t="shared" ref="C25:D25" si="19">C9/1000000</f>
        <v>1.7509999999999999</v>
      </c>
      <c r="D25" s="292">
        <f t="shared" si="19"/>
        <v>5.3819819830709781</v>
      </c>
      <c r="E25" s="188"/>
      <c r="F25" s="193">
        <f t="shared" si="2"/>
        <v>2.2059033778932546</v>
      </c>
      <c r="G25" s="194">
        <f t="shared" si="18"/>
        <v>0.25979633232053378</v>
      </c>
      <c r="H25" s="287">
        <f t="shared" si="3"/>
        <v>6.1819066592533414</v>
      </c>
      <c r="I25" s="188"/>
      <c r="J25" s="193">
        <f t="shared" si="4"/>
        <v>1.2257000000000002</v>
      </c>
      <c r="K25" s="194">
        <f t="shared" si="5"/>
        <v>-0.29999999999999988</v>
      </c>
      <c r="L25" s="287">
        <f t="shared" si="6"/>
        <v>4.345112882791045</v>
      </c>
      <c r="M25" s="170"/>
      <c r="N25" s="193">
        <f t="shared" si="7"/>
        <v>1.2257000000000002</v>
      </c>
      <c r="O25" s="194">
        <f t="shared" si="8"/>
        <v>-0.29999999999999988</v>
      </c>
      <c r="P25" s="287">
        <f t="shared" si="9"/>
        <v>4.345112882791045</v>
      </c>
      <c r="Q25" s="170"/>
      <c r="R25" s="193">
        <f t="shared" si="10"/>
        <v>2.2763</v>
      </c>
      <c r="S25" s="190">
        <f t="shared" si="11"/>
        <v>0.3</v>
      </c>
      <c r="T25" s="287">
        <f t="shared" si="12"/>
        <v>6.2995314861385658</v>
      </c>
      <c r="V25" s="193">
        <f t="shared" si="13"/>
        <v>2.2763</v>
      </c>
      <c r="W25" s="190">
        <f t="shared" si="14"/>
        <v>0.3</v>
      </c>
      <c r="X25" s="195">
        <f t="shared" si="15"/>
        <v>6.2995314861385658</v>
      </c>
    </row>
    <row r="26" spans="1:28" x14ac:dyDescent="0.25">
      <c r="A26" s="364">
        <f t="shared" si="16"/>
        <v>4.3990310184963839</v>
      </c>
      <c r="B26" s="175" t="str">
        <f t="shared" si="1"/>
        <v>HCC Online Video</v>
      </c>
      <c r="C26" s="192">
        <f t="shared" ref="C26:D26" si="20">C10/1000000</f>
        <v>1.1117790400000001</v>
      </c>
      <c r="D26" s="292">
        <f t="shared" si="20"/>
        <v>4.8907504826741324</v>
      </c>
      <c r="E26" s="188"/>
      <c r="F26" s="193">
        <f t="shared" si="2"/>
        <v>1.4453127520000002</v>
      </c>
      <c r="G26" s="194">
        <f t="shared" si="18"/>
        <v>0.30000000000000004</v>
      </c>
      <c r="H26" s="287">
        <f t="shared" si="3"/>
        <v>5.8110600168574944</v>
      </c>
      <c r="I26" s="188"/>
      <c r="J26" s="193">
        <f t="shared" si="4"/>
        <v>0.77824532800000001</v>
      </c>
      <c r="K26" s="194">
        <f t="shared" si="5"/>
        <v>-0.30000000000000004</v>
      </c>
      <c r="L26" s="287">
        <f t="shared" si="6"/>
        <v>3.7583446023231097</v>
      </c>
      <c r="M26" s="170"/>
      <c r="N26" s="193">
        <f t="shared" si="7"/>
        <v>0.77824532800000001</v>
      </c>
      <c r="O26" s="194">
        <f t="shared" si="8"/>
        <v>-0.30000000000000004</v>
      </c>
      <c r="P26" s="287">
        <f t="shared" si="9"/>
        <v>3.7583446023231097</v>
      </c>
      <c r="Q26" s="170"/>
      <c r="R26" s="193">
        <f t="shared" si="10"/>
        <v>1.4453127520000002</v>
      </c>
      <c r="S26" s="190">
        <f t="shared" si="11"/>
        <v>0.30000000000000004</v>
      </c>
      <c r="T26" s="287">
        <f t="shared" si="12"/>
        <v>5.8110600168574944</v>
      </c>
      <c r="V26" s="193">
        <f t="shared" si="13"/>
        <v>1.4453127520000002</v>
      </c>
      <c r="W26" s="190">
        <f t="shared" si="14"/>
        <v>0.30000000000000004</v>
      </c>
      <c r="X26" s="195">
        <f t="shared" si="15"/>
        <v>5.8110600168574944</v>
      </c>
    </row>
    <row r="27" spans="1:28" x14ac:dyDescent="0.25">
      <c r="A27" s="364">
        <f t="shared" si="16"/>
        <v>1.6973956917975472</v>
      </c>
      <c r="B27" s="175" t="str">
        <f t="shared" si="1"/>
        <v>HCC Streaming Video</v>
      </c>
      <c r="C27" s="192">
        <f t="shared" ref="C27:D27" si="21">C11/1000000</f>
        <v>13.418576</v>
      </c>
      <c r="D27" s="292">
        <f t="shared" si="21"/>
        <v>22.776633092457963</v>
      </c>
      <c r="E27" s="188"/>
      <c r="F27" s="193">
        <f t="shared" si="2"/>
        <v>9.393003199999999</v>
      </c>
      <c r="G27" s="353">
        <f t="shared" si="18"/>
        <v>-0.30000000000000004</v>
      </c>
      <c r="H27" s="287">
        <f t="shared" si="3"/>
        <v>17.744270681404796</v>
      </c>
      <c r="I27" s="188"/>
      <c r="J27" s="193">
        <f t="shared" si="4"/>
        <v>9.393003199999999</v>
      </c>
      <c r="K27" s="194">
        <f t="shared" si="5"/>
        <v>-0.30000000000000004</v>
      </c>
      <c r="L27" s="287">
        <f t="shared" si="6"/>
        <v>17.744270681404796</v>
      </c>
      <c r="M27" s="170"/>
      <c r="N27" s="193">
        <f t="shared" si="7"/>
        <v>9.393003199999999</v>
      </c>
      <c r="O27" s="194">
        <f t="shared" si="8"/>
        <v>-0.30000000000000004</v>
      </c>
      <c r="P27" s="287">
        <f t="shared" si="9"/>
        <v>17.744270681404796</v>
      </c>
      <c r="Q27" s="170"/>
      <c r="R27" s="193">
        <f t="shared" si="10"/>
        <v>11.735778877359888</v>
      </c>
      <c r="S27" s="190">
        <f t="shared" si="11"/>
        <v>-0.12540802560868697</v>
      </c>
      <c r="T27" s="287">
        <f t="shared" si="12"/>
        <v>20.737355233888461</v>
      </c>
      <c r="V27" s="193">
        <f t="shared" si="13"/>
        <v>14.722103721574095</v>
      </c>
      <c r="W27" s="190">
        <f t="shared" si="14"/>
        <v>9.7143521158586127E-2</v>
      </c>
      <c r="X27" s="195">
        <f t="shared" si="15"/>
        <v>24.303786187405731</v>
      </c>
    </row>
    <row r="28" spans="1:28" x14ac:dyDescent="0.25">
      <c r="A28" s="364">
        <f t="shared" si="16"/>
        <v>6.0103405280490989</v>
      </c>
      <c r="B28" s="175" t="str">
        <f t="shared" si="1"/>
        <v>HCC Display</v>
      </c>
      <c r="C28" s="192">
        <f t="shared" ref="C28:D28" si="22">C12/1000000</f>
        <v>2.8594268199999999</v>
      </c>
      <c r="D28" s="292">
        <f t="shared" si="22"/>
        <v>17.186128903236554</v>
      </c>
      <c r="E28" s="188"/>
      <c r="F28" s="193">
        <f t="shared" si="2"/>
        <v>3.7172548659999998</v>
      </c>
      <c r="G28" s="353">
        <f t="shared" si="18"/>
        <v>0.30000000000000004</v>
      </c>
      <c r="H28" s="287">
        <f t="shared" si="3"/>
        <v>20.116113448785384</v>
      </c>
      <c r="I28" s="188"/>
      <c r="J28" s="193">
        <f t="shared" si="4"/>
        <v>2.5023942545784563</v>
      </c>
      <c r="K28" s="194">
        <f t="shared" si="5"/>
        <v>-0.12486158516955631</v>
      </c>
      <c r="L28" s="287">
        <f t="shared" si="6"/>
        <v>15.864416880784098</v>
      </c>
      <c r="M28" s="170"/>
      <c r="N28" s="193">
        <f t="shared" si="7"/>
        <v>2.0015987740000001</v>
      </c>
      <c r="O28" s="194">
        <f t="shared" si="8"/>
        <v>-0.3</v>
      </c>
      <c r="P28" s="287">
        <f t="shared" si="9"/>
        <v>13.875124505740258</v>
      </c>
      <c r="Q28" s="170"/>
      <c r="R28" s="193">
        <f t="shared" si="10"/>
        <v>3.7172548659999998</v>
      </c>
      <c r="S28" s="190">
        <f t="shared" si="11"/>
        <v>0.30000000000000004</v>
      </c>
      <c r="T28" s="287">
        <f t="shared" si="12"/>
        <v>20.116113448785384</v>
      </c>
      <c r="V28" s="193">
        <f t="shared" si="13"/>
        <v>3.7172548659999998</v>
      </c>
      <c r="W28" s="190">
        <f t="shared" si="14"/>
        <v>0.30000000000000004</v>
      </c>
      <c r="X28" s="195">
        <f t="shared" si="15"/>
        <v>20.116113448785384</v>
      </c>
    </row>
    <row r="29" spans="1:28" x14ac:dyDescent="0.25">
      <c r="A29" s="364">
        <f t="shared" si="16"/>
        <v>136.1821399299258</v>
      </c>
      <c r="B29" s="175" t="str">
        <f t="shared" si="1"/>
        <v>HCC Paid Search</v>
      </c>
      <c r="C29" s="192">
        <f t="shared" ref="C29:D29" si="23">C13/1000000</f>
        <v>0.05</v>
      </c>
      <c r="D29" s="292">
        <f t="shared" si="23"/>
        <v>6.8091069964962907</v>
      </c>
      <c r="E29" s="188"/>
      <c r="F29" s="193">
        <f t="shared" si="2"/>
        <v>6.5000000000000002E-2</v>
      </c>
      <c r="G29" s="194">
        <f t="shared" si="18"/>
        <v>0.3</v>
      </c>
      <c r="H29" s="287">
        <f t="shared" si="3"/>
        <v>8.1818310105400531</v>
      </c>
      <c r="I29" s="188"/>
      <c r="J29" s="193">
        <f t="shared" si="4"/>
        <v>6.5000000000000002E-2</v>
      </c>
      <c r="K29" s="194">
        <f t="shared" si="5"/>
        <v>0.3</v>
      </c>
      <c r="L29" s="287">
        <f t="shared" si="6"/>
        <v>8.1818310105400531</v>
      </c>
      <c r="M29" s="170"/>
      <c r="N29" s="193">
        <f t="shared" si="7"/>
        <v>6.5000000000000002E-2</v>
      </c>
      <c r="O29" s="194">
        <f t="shared" si="8"/>
        <v>0.3</v>
      </c>
      <c r="P29" s="287">
        <f t="shared" si="9"/>
        <v>8.1818310105400531</v>
      </c>
      <c r="Q29" s="170"/>
      <c r="R29" s="193">
        <f t="shared" si="10"/>
        <v>6.5000000000000002E-2</v>
      </c>
      <c r="S29" s="190">
        <f t="shared" si="11"/>
        <v>0.3</v>
      </c>
      <c r="T29" s="287">
        <f t="shared" si="12"/>
        <v>8.1818310105400531</v>
      </c>
      <c r="V29" s="193">
        <f t="shared" si="13"/>
        <v>6.5000000000000002E-2</v>
      </c>
      <c r="W29" s="190">
        <f t="shared" si="14"/>
        <v>0.3</v>
      </c>
      <c r="X29" s="195">
        <f t="shared" si="15"/>
        <v>8.1818310105400531</v>
      </c>
    </row>
    <row r="30" spans="1:28" x14ac:dyDescent="0.25">
      <c r="A30" s="364">
        <f t="shared" si="16"/>
        <v>6.5</v>
      </c>
      <c r="B30" s="175" t="str">
        <f t="shared" si="1"/>
        <v>HCC Radio</v>
      </c>
      <c r="C30" s="192">
        <f t="shared" ref="C30:D30" si="24">C14/1000000</f>
        <v>0.92397499999999999</v>
      </c>
      <c r="D30" s="292">
        <f t="shared" si="24"/>
        <v>6.0058375000000002</v>
      </c>
      <c r="E30" s="188"/>
      <c r="F30" s="193">
        <f t="shared" si="2"/>
        <v>1.2011674999999999</v>
      </c>
      <c r="G30" s="194">
        <f t="shared" si="18"/>
        <v>0.3</v>
      </c>
      <c r="H30" s="287">
        <f t="shared" si="3"/>
        <v>6.6703852621720774</v>
      </c>
      <c r="I30" s="188"/>
      <c r="J30" s="193">
        <f t="shared" si="4"/>
        <v>0.64678250000000004</v>
      </c>
      <c r="K30" s="194">
        <f t="shared" si="5"/>
        <v>-0.3</v>
      </c>
      <c r="L30" s="287">
        <f t="shared" si="6"/>
        <v>5.2073023332463162</v>
      </c>
      <c r="M30" s="170"/>
      <c r="N30" s="193">
        <f t="shared" si="7"/>
        <v>0.64678250000000004</v>
      </c>
      <c r="O30" s="194">
        <f t="shared" si="8"/>
        <v>-0.3</v>
      </c>
      <c r="P30" s="287">
        <f t="shared" si="9"/>
        <v>5.2073023332463162</v>
      </c>
      <c r="Q30" s="170"/>
      <c r="R30" s="193">
        <f t="shared" si="10"/>
        <v>1.2011674999999999</v>
      </c>
      <c r="S30" s="194">
        <f t="shared" ref="S30" si="25">IFERROR(S14,"")</f>
        <v>0.3</v>
      </c>
      <c r="T30" s="287">
        <f t="shared" si="12"/>
        <v>6.6703852621720774</v>
      </c>
      <c r="V30" s="193">
        <f t="shared" si="13"/>
        <v>1.2011674999999999</v>
      </c>
      <c r="W30" s="194">
        <f t="shared" ref="W30" si="26">IFERROR(W14,"")</f>
        <v>0.3</v>
      </c>
      <c r="X30" s="195">
        <f t="shared" si="15"/>
        <v>6.6703852621720774</v>
      </c>
    </row>
    <row r="31" spans="1:28" x14ac:dyDescent="0.25">
      <c r="A31" s="364">
        <f t="shared" si="16"/>
        <v>1.4750611482540188</v>
      </c>
      <c r="B31" s="175" t="str">
        <f t="shared" si="1"/>
        <v>HCC Linear TV</v>
      </c>
      <c r="C31" s="192">
        <f t="shared" ref="C31:D32" si="27">C15/1000000</f>
        <v>25.8109286</v>
      </c>
      <c r="D31" s="292">
        <f t="shared" si="27"/>
        <v>38.072697978218493</v>
      </c>
      <c r="E31" s="188"/>
      <c r="F31" s="193">
        <f t="shared" si="2"/>
        <v>25.8109286</v>
      </c>
      <c r="G31" s="194">
        <f t="shared" si="18"/>
        <v>0</v>
      </c>
      <c r="H31" s="287">
        <f t="shared" si="3"/>
        <v>38.072697978218493</v>
      </c>
      <c r="I31" s="188"/>
      <c r="J31" s="193">
        <f t="shared" si="4"/>
        <v>25.8109286</v>
      </c>
      <c r="K31" s="194">
        <f t="shared" si="5"/>
        <v>0</v>
      </c>
      <c r="L31" s="287">
        <f t="shared" si="6"/>
        <v>38.072697978218493</v>
      </c>
      <c r="M31" s="170"/>
      <c r="N31" s="193">
        <f t="shared" si="7"/>
        <v>25.8109286</v>
      </c>
      <c r="O31" s="194">
        <f t="shared" si="8"/>
        <v>0</v>
      </c>
      <c r="P31" s="287">
        <f t="shared" si="9"/>
        <v>38.072697978218493</v>
      </c>
      <c r="Q31" s="170"/>
      <c r="R31" s="193">
        <f t="shared" si="10"/>
        <v>25.8109286</v>
      </c>
      <c r="S31" s="190">
        <f t="shared" si="11"/>
        <v>0</v>
      </c>
      <c r="T31" s="287">
        <f t="shared" si="12"/>
        <v>38.072697978218493</v>
      </c>
      <c r="V31" s="193">
        <f t="shared" si="13"/>
        <v>25.8109286</v>
      </c>
      <c r="W31" s="190">
        <f t="shared" si="14"/>
        <v>0</v>
      </c>
      <c r="X31" s="195">
        <f t="shared" si="15"/>
        <v>38.072697978218493</v>
      </c>
    </row>
    <row r="32" spans="1:28" x14ac:dyDescent="0.25">
      <c r="A32" s="364">
        <f t="shared" si="16"/>
        <v>1.7054321549360438</v>
      </c>
      <c r="B32" s="175" t="str">
        <f t="shared" si="1"/>
        <v>HCC Pharmacy</v>
      </c>
      <c r="C32" s="192">
        <f t="shared" si="27"/>
        <v>2.4119679999999999</v>
      </c>
      <c r="D32" s="292">
        <f t="shared" si="27"/>
        <v>4.1134477838767793</v>
      </c>
      <c r="E32" s="188"/>
      <c r="F32" s="193">
        <f t="shared" si="2"/>
        <v>1.6883775999999999</v>
      </c>
      <c r="G32" s="194">
        <f t="shared" si="18"/>
        <v>-0.30000000000000004</v>
      </c>
      <c r="H32" s="287">
        <f t="shared" si="3"/>
        <v>3.0901339495154945</v>
      </c>
      <c r="I32" s="188"/>
      <c r="J32" s="193">
        <f t="shared" si="4"/>
        <v>1.6883775999999999</v>
      </c>
      <c r="K32" s="194">
        <f t="shared" si="5"/>
        <v>-0.30000000000000004</v>
      </c>
      <c r="L32" s="287">
        <f t="shared" si="6"/>
        <v>3.0901339495154945</v>
      </c>
      <c r="M32" s="170"/>
      <c r="N32" s="193">
        <f t="shared" si="7"/>
        <v>1.6883775999999999</v>
      </c>
      <c r="O32" s="194">
        <f t="shared" si="8"/>
        <v>-0.30000000000000004</v>
      </c>
      <c r="P32" s="287">
        <f t="shared" si="9"/>
        <v>3.0901339495154945</v>
      </c>
      <c r="Q32" s="170"/>
      <c r="R32" s="193">
        <f t="shared" si="10"/>
        <v>2.6807964189854734</v>
      </c>
      <c r="S32" s="190">
        <f t="shared" si="11"/>
        <v>0.11145604708912948</v>
      </c>
      <c r="T32" s="287">
        <f t="shared" si="12"/>
        <v>4.4555779731483423</v>
      </c>
      <c r="V32" s="193">
        <f t="shared" si="13"/>
        <v>3.002906349466143</v>
      </c>
      <c r="W32" s="190">
        <f t="shared" si="14"/>
        <v>0.2450025661477031</v>
      </c>
      <c r="X32" s="195">
        <f t="shared" si="15"/>
        <v>4.8407550517150639</v>
      </c>
    </row>
    <row r="33" spans="2:26" ht="29.45" customHeight="1" x14ac:dyDescent="0.25">
      <c r="B33" s="397" t="s">
        <v>201</v>
      </c>
      <c r="C33" s="197">
        <f>C17/1000000</f>
        <v>59.976092180000002</v>
      </c>
      <c r="D33" s="293">
        <f>D17/1000000</f>
        <v>172.04861621900793</v>
      </c>
      <c r="E33" s="199"/>
      <c r="F33" s="200">
        <f>F17/1000000</f>
        <v>59.976092231893254</v>
      </c>
      <c r="G33" s="201">
        <f>G17</f>
        <v>8.6523237374201788E-10</v>
      </c>
      <c r="H33" s="205">
        <f>H17/1000000</f>
        <v>186.65443097801219</v>
      </c>
      <c r="I33" s="199"/>
      <c r="J33" s="200">
        <f>J17/1000000</f>
        <v>56.559575818578459</v>
      </c>
      <c r="K33" s="201">
        <f>K17</f>
        <v>-5.6964637695432134E-2</v>
      </c>
      <c r="L33" s="205">
        <f>L17/1000000</f>
        <v>177.05014229008847</v>
      </c>
      <c r="M33" s="199"/>
      <c r="N33" s="200">
        <f>N17/1000000</f>
        <v>53.143059463372879</v>
      </c>
      <c r="O33" s="201">
        <f>O17</f>
        <v>-0.11392927528722364</v>
      </c>
      <c r="P33" s="205">
        <f>P17/1000000</f>
        <v>161.8508743787749</v>
      </c>
      <c r="Q33" s="285"/>
      <c r="R33" s="200">
        <f>R17/1000000</f>
        <v>63.392608586131999</v>
      </c>
      <c r="S33" s="201">
        <f>S17</f>
        <v>5.6964638440903465E-2</v>
      </c>
      <c r="T33" s="205">
        <f>T17/1000000</f>
        <v>191.14414451306635</v>
      </c>
      <c r="U33" s="285"/>
      <c r="V33" s="200">
        <f>V17/1000000</f>
        <v>66.809124893988951</v>
      </c>
      <c r="W33" s="201">
        <f>W17</f>
        <v>0.11392927524323664</v>
      </c>
      <c r="X33" s="205">
        <f>X17/1000000</f>
        <v>195.2249954539333</v>
      </c>
      <c r="Y33" s="285"/>
    </row>
    <row r="34" spans="2:26" ht="30" x14ac:dyDescent="0.25">
      <c r="B34" s="398" t="s">
        <v>266</v>
      </c>
      <c r="C34" s="197"/>
      <c r="D34" s="198"/>
      <c r="E34" s="199"/>
      <c r="F34" s="200"/>
      <c r="G34" s="201"/>
      <c r="H34" s="290" t="s">
        <v>292</v>
      </c>
      <c r="I34" s="199"/>
      <c r="J34" s="200"/>
      <c r="K34" s="201"/>
      <c r="L34" s="290" t="s">
        <v>293</v>
      </c>
      <c r="M34" s="199"/>
      <c r="N34" s="200"/>
      <c r="O34" s="201"/>
      <c r="P34" s="204" t="s">
        <v>294</v>
      </c>
      <c r="Q34" s="285"/>
      <c r="R34" s="200"/>
      <c r="S34" s="201"/>
      <c r="T34" s="290" t="s">
        <v>295</v>
      </c>
      <c r="U34" s="285"/>
      <c r="V34" s="200"/>
      <c r="W34" s="201"/>
      <c r="X34" s="290" t="s">
        <v>296</v>
      </c>
      <c r="Y34" s="285"/>
    </row>
    <row r="35" spans="2:26" x14ac:dyDescent="0.25">
      <c r="H35" s="205">
        <f>(H33-$D$33)</f>
        <v>14.605814759004261</v>
      </c>
      <c r="L35" s="205">
        <f>(L33-$D$33)</f>
        <v>5.0015260710805478</v>
      </c>
      <c r="P35" s="205">
        <f>(P33-$D$33)</f>
        <v>-10.197741840233022</v>
      </c>
      <c r="T35" s="205">
        <f>(T33-$D$33)</f>
        <v>19.095528294058425</v>
      </c>
      <c r="X35" s="205">
        <f>(X33-$D$33)</f>
        <v>23.176379234925378</v>
      </c>
    </row>
    <row r="36" spans="2:26" x14ac:dyDescent="0.25">
      <c r="H36" s="289">
        <f>H35/$D$33</f>
        <v>8.4893532304914934E-2</v>
      </c>
      <c r="L36" s="289">
        <f>L35/$D$33</f>
        <v>2.9070423122228978E-2</v>
      </c>
      <c r="P36" s="289">
        <f>P35/$D$33</f>
        <v>-5.9272443245064449E-2</v>
      </c>
      <c r="T36" s="289">
        <f>T35/$D$33</f>
        <v>0.11098914198618676</v>
      </c>
      <c r="X36" s="289">
        <f>X35/$D$33</f>
        <v>0.13470831526725671</v>
      </c>
    </row>
    <row r="38" spans="2:26" hidden="1" x14ac:dyDescent="0.25">
      <c r="B38" s="417" t="s">
        <v>243</v>
      </c>
      <c r="C38" s="417"/>
      <c r="D38" s="417"/>
      <c r="E38" s="417"/>
      <c r="F38" s="417"/>
      <c r="G38" s="417"/>
      <c r="H38" s="417"/>
      <c r="I38" s="417"/>
      <c r="J38" s="417"/>
      <c r="K38" s="417"/>
      <c r="L38" s="417"/>
      <c r="M38" s="417"/>
      <c r="N38" s="417"/>
      <c r="O38" s="417"/>
      <c r="P38" s="417"/>
      <c r="Q38" s="417"/>
      <c r="R38" s="417"/>
      <c r="S38" s="417"/>
      <c r="T38" s="417"/>
    </row>
    <row r="39" spans="2:26" hidden="1" x14ac:dyDescent="0.25">
      <c r="B39" s="417"/>
      <c r="C39" s="417"/>
      <c r="D39" s="417"/>
      <c r="E39" s="417"/>
      <c r="F39" s="417"/>
      <c r="G39" s="417"/>
      <c r="H39" s="417"/>
      <c r="I39" s="417"/>
      <c r="J39" s="417"/>
      <c r="K39" s="417"/>
      <c r="L39" s="417"/>
      <c r="M39" s="417"/>
      <c r="N39" s="417"/>
      <c r="O39" s="417"/>
      <c r="P39" s="417"/>
      <c r="Q39" s="417"/>
      <c r="R39" s="417"/>
      <c r="S39" s="417"/>
      <c r="T39" s="417"/>
    </row>
    <row r="40" spans="2:26" hidden="1" x14ac:dyDescent="0.25"/>
    <row r="41" spans="2:26" hidden="1" x14ac:dyDescent="0.25">
      <c r="F41" s="411" t="s">
        <v>224</v>
      </c>
      <c r="G41" s="412"/>
      <c r="H41" s="413"/>
      <c r="I41" s="172"/>
      <c r="J41" s="411" t="s">
        <v>194</v>
      </c>
      <c r="K41" s="412"/>
      <c r="L41" s="413"/>
      <c r="M41" s="172"/>
      <c r="N41" s="411" t="s">
        <v>195</v>
      </c>
      <c r="O41" s="412"/>
      <c r="P41" s="413"/>
      <c r="R41" s="411" t="s">
        <v>244</v>
      </c>
      <c r="S41" s="412"/>
      <c r="T41" s="413"/>
    </row>
    <row r="42" spans="2:26" ht="45" hidden="1" x14ac:dyDescent="0.25">
      <c r="B42" s="173" t="s">
        <v>196</v>
      </c>
      <c r="C42" s="97" t="s">
        <v>197</v>
      </c>
      <c r="D42" s="174" t="s">
        <v>198</v>
      </c>
      <c r="E42" s="174"/>
      <c r="F42" s="97" t="s">
        <v>197</v>
      </c>
      <c r="G42" s="174" t="s">
        <v>199</v>
      </c>
      <c r="H42" s="174" t="s">
        <v>200</v>
      </c>
      <c r="I42" s="174"/>
      <c r="J42" s="97" t="s">
        <v>197</v>
      </c>
      <c r="K42" s="174" t="s">
        <v>199</v>
      </c>
      <c r="L42" s="174" t="s">
        <v>200</v>
      </c>
      <c r="N42" s="97" t="s">
        <v>197</v>
      </c>
      <c r="O42" s="174" t="s">
        <v>199</v>
      </c>
      <c r="P42" s="174" t="s">
        <v>200</v>
      </c>
      <c r="R42" s="97" t="s">
        <v>197</v>
      </c>
      <c r="S42" s="174" t="s">
        <v>199</v>
      </c>
      <c r="T42" s="174" t="s">
        <v>200</v>
      </c>
    </row>
    <row r="43" spans="2:26" hidden="1" x14ac:dyDescent="0.25">
      <c r="B43" s="175" t="str">
        <f t="shared" ref="B43:D52" si="28">B7</f>
        <v>HCC InOffice</v>
      </c>
      <c r="C43" s="176">
        <f t="shared" si="28"/>
        <v>1134710</v>
      </c>
      <c r="D43" s="176">
        <f t="shared" si="28"/>
        <v>1664695.7827721967</v>
      </c>
      <c r="E43" s="176"/>
      <c r="F43" s="176"/>
      <c r="G43" s="168"/>
      <c r="H43" s="176"/>
      <c r="I43" s="176"/>
      <c r="J43" s="176"/>
      <c r="K43" s="168"/>
      <c r="L43" s="176"/>
      <c r="N43" s="176"/>
      <c r="O43" s="168"/>
      <c r="P43" s="176"/>
      <c r="R43" s="176">
        <v>1726886.6554235087</v>
      </c>
      <c r="S43" s="168">
        <v>0.15125777028233914</v>
      </c>
      <c r="T43" s="176">
        <v>3789941.2960206438</v>
      </c>
      <c r="X43" s="176">
        <f>VAC_Optim_Scenario!$H36</f>
        <v>794297</v>
      </c>
      <c r="Y43" s="168">
        <f>(X43-$C43)/$C43</f>
        <v>-0.3</v>
      </c>
      <c r="Z43" s="176">
        <f>VAC_Optim_Scenario!$J36</f>
        <v>1283066.8908256721</v>
      </c>
    </row>
    <row r="44" spans="2:26" hidden="1" x14ac:dyDescent="0.25">
      <c r="B44" s="175" t="str">
        <f t="shared" si="28"/>
        <v>HCP MCM</v>
      </c>
      <c r="C44" s="176">
        <f t="shared" si="28"/>
        <v>10503728.719999999</v>
      </c>
      <c r="D44" s="176">
        <f t="shared" si="28"/>
        <v>65147335.716204539</v>
      </c>
      <c r="E44" s="176"/>
      <c r="F44" s="176"/>
      <c r="G44" s="168"/>
      <c r="H44" s="176"/>
      <c r="I44" s="176"/>
      <c r="J44" s="176"/>
      <c r="K44" s="168"/>
      <c r="L44" s="176"/>
      <c r="N44" s="176"/>
      <c r="O44" s="168"/>
      <c r="P44" s="176"/>
      <c r="R44" s="176">
        <v>10277647.167225027</v>
      </c>
      <c r="S44" s="168">
        <v>0.1999999961732519</v>
      </c>
      <c r="T44" s="176">
        <v>63621602.136797041</v>
      </c>
      <c r="X44" s="176">
        <f>VAC_Optim_Scenario!$H37</f>
        <v>13654847.335999999</v>
      </c>
      <c r="Y44" s="168">
        <f t="shared" ref="Y44:Y52" si="29">(X44-$C44)/$C44</f>
        <v>0.30000000000000004</v>
      </c>
      <c r="Z44" s="176">
        <f>VAC_Optim_Scenario!$J37</f>
        <v>79502965.080439389</v>
      </c>
    </row>
    <row r="45" spans="2:26" hidden="1" x14ac:dyDescent="0.25">
      <c r="B45" s="175" t="str">
        <f t="shared" si="28"/>
        <v>HCC Social</v>
      </c>
      <c r="C45" s="176">
        <f t="shared" si="28"/>
        <v>1751000</v>
      </c>
      <c r="D45" s="176">
        <f t="shared" si="28"/>
        <v>5381981.983070978</v>
      </c>
      <c r="E45" s="176"/>
      <c r="F45" s="176"/>
      <c r="G45" s="168"/>
      <c r="H45" s="176"/>
      <c r="I45" s="176"/>
      <c r="J45" s="176"/>
      <c r="K45" s="168"/>
      <c r="L45" s="176"/>
      <c r="N45" s="176"/>
      <c r="O45" s="168"/>
      <c r="P45" s="176"/>
      <c r="R45" s="176">
        <v>2368380.1898589036</v>
      </c>
      <c r="S45" s="168">
        <v>0.29112634317672054</v>
      </c>
      <c r="T45" s="176">
        <v>5730365.3346687928</v>
      </c>
      <c r="X45" s="176">
        <f>VAC_Optim_Scenario!$H38</f>
        <v>2205903.3000226272</v>
      </c>
      <c r="Y45" s="168">
        <f t="shared" si="29"/>
        <v>0.259796287848445</v>
      </c>
      <c r="Z45" s="176">
        <f>VAC_Optim_Scenario!$J38</f>
        <v>6181906.528316793</v>
      </c>
    </row>
    <row r="46" spans="2:26" hidden="1" x14ac:dyDescent="0.25">
      <c r="B46" s="175" t="str">
        <f t="shared" si="28"/>
        <v>HCC Online Video</v>
      </c>
      <c r="C46" s="176">
        <f t="shared" si="28"/>
        <v>1111779.04</v>
      </c>
      <c r="D46" s="176">
        <f t="shared" si="28"/>
        <v>4890750.4826741321</v>
      </c>
      <c r="E46" s="176"/>
      <c r="F46" s="176"/>
      <c r="G46" s="168"/>
      <c r="H46" s="176"/>
      <c r="I46" s="176"/>
      <c r="J46" s="176"/>
      <c r="K46" s="168"/>
      <c r="L46" s="176"/>
      <c r="N46" s="176"/>
      <c r="O46" s="168"/>
      <c r="P46" s="176"/>
      <c r="R46" s="176">
        <v>1200000</v>
      </c>
      <c r="S46" s="168">
        <v>-0.65337954939341425</v>
      </c>
      <c r="T46" s="176">
        <v>1551024.0419922816</v>
      </c>
      <c r="X46" s="176">
        <f>VAC_Optim_Scenario!$H39</f>
        <v>1445312.7520000001</v>
      </c>
      <c r="Y46" s="168">
        <f t="shared" si="29"/>
        <v>0.30000000000000004</v>
      </c>
      <c r="Z46" s="176">
        <f>VAC_Optim_Scenario!$J39</f>
        <v>5811060.0168574946</v>
      </c>
    </row>
    <row r="47" spans="2:26" hidden="1" x14ac:dyDescent="0.25">
      <c r="B47" s="175" t="str">
        <f t="shared" si="28"/>
        <v>HCC Streaming Video</v>
      </c>
      <c r="C47" s="176">
        <f t="shared" si="28"/>
        <v>13418576</v>
      </c>
      <c r="D47" s="176">
        <f t="shared" si="28"/>
        <v>22776633.092457965</v>
      </c>
      <c r="E47" s="176"/>
      <c r="F47" s="176"/>
      <c r="G47" s="168"/>
      <c r="H47" s="176"/>
      <c r="I47" s="176"/>
      <c r="J47" s="176"/>
      <c r="K47" s="168"/>
      <c r="L47" s="176"/>
      <c r="N47" s="176"/>
      <c r="O47" s="168"/>
      <c r="P47" s="176"/>
      <c r="R47" s="176">
        <v>7932686.9382044151</v>
      </c>
      <c r="S47" s="168">
        <v>-0.49321739045244606</v>
      </c>
      <c r="T47" s="176">
        <v>4575561.4853431694</v>
      </c>
      <c r="X47" s="176">
        <f>VAC_Optim_Scenario!$H40</f>
        <v>9393003.1999999993</v>
      </c>
      <c r="Y47" s="168">
        <f t="shared" si="29"/>
        <v>-0.30000000000000004</v>
      </c>
      <c r="Z47" s="176">
        <f>VAC_Optim_Scenario!$J40</f>
        <v>17744270.681404795</v>
      </c>
    </row>
    <row r="48" spans="2:26" hidden="1" x14ac:dyDescent="0.25">
      <c r="B48" s="175" t="str">
        <f t="shared" si="28"/>
        <v>HCC Display</v>
      </c>
      <c r="C48" s="176">
        <f t="shared" si="28"/>
        <v>2859426.82</v>
      </c>
      <c r="D48" s="176">
        <f t="shared" si="28"/>
        <v>17186128.903236553</v>
      </c>
      <c r="E48" s="176"/>
      <c r="F48" s="176"/>
      <c r="G48" s="168"/>
      <c r="H48" s="176"/>
      <c r="I48" s="176"/>
      <c r="J48" s="176"/>
      <c r="K48" s="168"/>
      <c r="L48" s="176"/>
      <c r="N48" s="176"/>
      <c r="O48" s="168"/>
      <c r="P48" s="176"/>
      <c r="R48" s="176">
        <v>3440655.137442824</v>
      </c>
      <c r="S48" s="168">
        <v>0.45170911999417063</v>
      </c>
      <c r="T48" s="176">
        <v>13611226.904425433</v>
      </c>
      <c r="X48" s="176">
        <f>VAC_Optim_Scenario!$H41</f>
        <v>3717254.8659999999</v>
      </c>
      <c r="Y48" s="168">
        <f t="shared" si="29"/>
        <v>0.30000000000000004</v>
      </c>
      <c r="Z48" s="176">
        <f>VAC_Optim_Scenario!$J41</f>
        <v>20116113.448785383</v>
      </c>
    </row>
    <row r="49" spans="2:26" hidden="1" x14ac:dyDescent="0.25">
      <c r="B49" s="175" t="str">
        <f t="shared" si="28"/>
        <v>HCC Paid Search</v>
      </c>
      <c r="C49" s="176">
        <f t="shared" si="28"/>
        <v>50000</v>
      </c>
      <c r="D49" s="176">
        <f t="shared" si="28"/>
        <v>6809106.9964962909</v>
      </c>
      <c r="E49" s="176"/>
      <c r="F49" s="176"/>
      <c r="G49" s="168"/>
      <c r="H49" s="176"/>
      <c r="I49" s="176"/>
      <c r="J49" s="176"/>
      <c r="K49" s="168"/>
      <c r="L49" s="176"/>
      <c r="N49" s="176"/>
      <c r="O49" s="168"/>
      <c r="P49" s="176"/>
      <c r="R49" s="176">
        <v>600000.00004973984</v>
      </c>
      <c r="S49" s="168">
        <v>-0.49999999995855016</v>
      </c>
      <c r="T49" s="176">
        <v>434151.34268040024</v>
      </c>
      <c r="X49" s="176">
        <f>VAC_Optim_Scenario!$H42</f>
        <v>65000</v>
      </c>
      <c r="Y49" s="168">
        <f t="shared" si="29"/>
        <v>0.3</v>
      </c>
      <c r="Z49" s="176">
        <f>VAC_Optim_Scenario!$J42</f>
        <v>8181831.0105400523</v>
      </c>
    </row>
    <row r="50" spans="2:26" hidden="1" x14ac:dyDescent="0.25">
      <c r="B50" s="175" t="str">
        <f t="shared" si="28"/>
        <v>HCC Radio</v>
      </c>
      <c r="C50" s="176">
        <f t="shared" si="28"/>
        <v>923975</v>
      </c>
      <c r="D50" s="176">
        <f t="shared" si="28"/>
        <v>6005837.5</v>
      </c>
      <c r="E50" s="176"/>
      <c r="F50" s="176"/>
      <c r="G50" s="168"/>
      <c r="H50" s="176"/>
      <c r="I50" s="176"/>
      <c r="J50" s="176"/>
      <c r="K50" s="168"/>
      <c r="L50" s="176"/>
      <c r="N50" s="176"/>
      <c r="O50" s="168"/>
      <c r="P50" s="176"/>
      <c r="R50" s="176">
        <v>900000</v>
      </c>
      <c r="S50" s="168" t="s">
        <v>245</v>
      </c>
      <c r="T50" s="176">
        <v>6550890.6021728441</v>
      </c>
      <c r="X50" s="176">
        <f>VAC_Optim_Scenario!$H43</f>
        <v>1201167.5</v>
      </c>
      <c r="Y50" s="168">
        <f>IFERROR((X50-$C50)/$C50,"")</f>
        <v>0.3</v>
      </c>
      <c r="Z50" s="176">
        <f>VAC_Optim_Scenario!$J43</f>
        <v>6670385.2621720778</v>
      </c>
    </row>
    <row r="51" spans="2:26" hidden="1" x14ac:dyDescent="0.25">
      <c r="B51" s="175" t="str">
        <f t="shared" si="28"/>
        <v>HCC Linear TV</v>
      </c>
      <c r="C51" s="176">
        <f t="shared" si="28"/>
        <v>25810928.600000001</v>
      </c>
      <c r="D51" s="176">
        <f t="shared" si="28"/>
        <v>38072697.978218496</v>
      </c>
      <c r="E51" s="176"/>
      <c r="F51" s="176"/>
      <c r="G51" s="168"/>
      <c r="H51" s="176"/>
      <c r="I51" s="176"/>
      <c r="J51" s="176"/>
      <c r="K51" s="168"/>
      <c r="L51" s="176"/>
      <c r="N51" s="176"/>
      <c r="O51" s="168"/>
      <c r="P51" s="176"/>
      <c r="R51" s="176">
        <v>18647619.061795581</v>
      </c>
      <c r="S51" s="168">
        <v>-0.33479099668610202</v>
      </c>
      <c r="T51" s="176">
        <v>19945328.658740945</v>
      </c>
      <c r="X51" s="176">
        <f>VAC_Optim_Scenario!$H44</f>
        <v>25810928.600000001</v>
      </c>
      <c r="Y51" s="168">
        <f t="shared" si="29"/>
        <v>0</v>
      </c>
      <c r="Z51" s="176">
        <f>VAC_Optim_Scenario!$J44</f>
        <v>38072697.978218496</v>
      </c>
    </row>
    <row r="52" spans="2:26" hidden="1" x14ac:dyDescent="0.25">
      <c r="B52" s="175" t="str">
        <f t="shared" si="28"/>
        <v>HCC Pharmacy</v>
      </c>
      <c r="C52" s="176">
        <f t="shared" si="28"/>
        <v>2411968</v>
      </c>
      <c r="D52" s="176">
        <f t="shared" si="28"/>
        <v>4113447.783876779</v>
      </c>
      <c r="E52" s="176"/>
      <c r="F52" s="176"/>
      <c r="G52" s="168"/>
      <c r="H52" s="176"/>
      <c r="I52" s="176"/>
      <c r="J52" s="176"/>
      <c r="K52" s="168"/>
      <c r="L52" s="176"/>
      <c r="N52" s="176"/>
      <c r="O52" s="168"/>
      <c r="P52" s="176"/>
      <c r="R52" s="176">
        <v>1836917.5999999999</v>
      </c>
      <c r="S52" s="168">
        <v>-0.30000000000000004</v>
      </c>
      <c r="T52" s="176">
        <v>3685062.7427258734</v>
      </c>
      <c r="X52" s="176">
        <f>VAC_Optim_Scenario!$H45</f>
        <v>1688377.6</v>
      </c>
      <c r="Y52" s="168">
        <f t="shared" si="29"/>
        <v>-0.3</v>
      </c>
      <c r="Z52" s="176">
        <f>VAC_Optim_Scenario!$J45</f>
        <v>3090133.9495154945</v>
      </c>
    </row>
    <row r="53" spans="2:26" s="180" customFormat="1" hidden="1" x14ac:dyDescent="0.25">
      <c r="B53" s="328" t="s">
        <v>201</v>
      </c>
      <c r="C53" s="329">
        <f>SUM(C43:C52)</f>
        <v>59976092.18</v>
      </c>
      <c r="D53" s="329">
        <f>SUM(D43:D52)</f>
        <v>172048616.21900794</v>
      </c>
      <c r="E53" s="199"/>
      <c r="F53" s="329">
        <f>SUM(F43:F52)</f>
        <v>0</v>
      </c>
      <c r="G53" s="330">
        <f>(F53-$C$17)/$C$17</f>
        <v>-1</v>
      </c>
      <c r="H53" s="329">
        <f>SUM(H43:H52)</f>
        <v>0</v>
      </c>
      <c r="I53" s="199"/>
      <c r="J53" s="329">
        <f>SUM(J43:J52)</f>
        <v>0</v>
      </c>
      <c r="K53" s="330">
        <f>(J53-$C$17)/$C$17</f>
        <v>-1</v>
      </c>
      <c r="L53" s="329">
        <f>SUM(L43:L52)</f>
        <v>0</v>
      </c>
      <c r="M53" s="329">
        <f>SUM(M43:M52)</f>
        <v>0</v>
      </c>
      <c r="N53" s="329">
        <f>SUM(N43:N52)</f>
        <v>0</v>
      </c>
      <c r="O53" s="330">
        <f>(N53-$C$17)/$C$17</f>
        <v>-1</v>
      </c>
      <c r="P53" s="329">
        <f>SUM(P43:P52)</f>
        <v>0</v>
      </c>
      <c r="Q53" s="199"/>
      <c r="R53" s="329">
        <f>SUM(R43:R52)</f>
        <v>48930792.75</v>
      </c>
      <c r="S53" s="330">
        <f>(R53-$C$53)/$C$53</f>
        <v>-0.18416170558179903</v>
      </c>
      <c r="T53" s="329">
        <f>SUM(T43:T52)</f>
        <v>123495154.54556742</v>
      </c>
    </row>
    <row r="54" spans="2:26" hidden="1" x14ac:dyDescent="0.25">
      <c r="D54" s="97">
        <f>D53/C53</f>
        <v>2.8686199778181005</v>
      </c>
    </row>
    <row r="55" spans="2:26" hidden="1" x14ac:dyDescent="0.25"/>
    <row r="56" spans="2:26" ht="27.6" hidden="1" customHeight="1" x14ac:dyDescent="0.25">
      <c r="F56" s="416" t="str">
        <f>B38</f>
        <v>Optimal channel spend allowed to vary between constraints defined by marketing team &amp; INI of the 2021 channel spend - LINEAR TV and Streaming TV constraints modified</v>
      </c>
      <c r="G56" s="416"/>
      <c r="H56" s="416"/>
      <c r="I56" s="416"/>
      <c r="J56" s="416"/>
      <c r="K56" s="416"/>
      <c r="L56" s="416"/>
      <c r="M56" s="416"/>
      <c r="N56" s="416"/>
      <c r="O56" s="416"/>
      <c r="P56" s="416"/>
    </row>
    <row r="57" spans="2:26" hidden="1" x14ac:dyDescent="0.25">
      <c r="C57" s="414" t="s">
        <v>225</v>
      </c>
      <c r="D57" s="415"/>
      <c r="E57" s="180"/>
      <c r="F57" s="411" t="str">
        <f>F41</f>
        <v>Current Optimal ($MM)</v>
      </c>
      <c r="G57" s="412"/>
      <c r="H57" s="413"/>
      <c r="I57" s="181"/>
      <c r="J57" s="411" t="str">
        <f>J41</f>
        <v>10% reduction optimal ($)</v>
      </c>
      <c r="K57" s="412"/>
      <c r="L57" s="413"/>
      <c r="M57" s="181"/>
      <c r="N57" s="411" t="str">
        <f>N41</f>
        <v>20% reduction optimal ()</v>
      </c>
      <c r="O57" s="412"/>
      <c r="P57" s="413"/>
      <c r="R57" s="411" t="str">
        <f>R41</f>
        <v>25% reduction optimal ()</v>
      </c>
      <c r="S57" s="412"/>
      <c r="T57" s="413"/>
    </row>
    <row r="58" spans="2:26" ht="45" hidden="1" x14ac:dyDescent="0.25">
      <c r="B58" s="173" t="s">
        <v>196</v>
      </c>
      <c r="C58" s="183" t="s">
        <v>205</v>
      </c>
      <c r="D58" s="183" t="s">
        <v>203</v>
      </c>
      <c r="E58" s="184"/>
      <c r="F58" s="206" t="s">
        <v>205</v>
      </c>
      <c r="G58" s="183" t="s">
        <v>199</v>
      </c>
      <c r="H58" s="185" t="s">
        <v>200</v>
      </c>
      <c r="I58" s="184"/>
      <c r="J58" s="206" t="s">
        <v>205</v>
      </c>
      <c r="K58" s="183" t="s">
        <v>199</v>
      </c>
      <c r="L58" s="185" t="s">
        <v>200</v>
      </c>
      <c r="M58" s="170"/>
      <c r="N58" s="206" t="s">
        <v>205</v>
      </c>
      <c r="O58" s="183" t="s">
        <v>199</v>
      </c>
      <c r="P58" s="185" t="s">
        <v>200</v>
      </c>
      <c r="R58" s="206" t="s">
        <v>205</v>
      </c>
      <c r="S58" s="183" t="s">
        <v>199</v>
      </c>
      <c r="T58" s="185" t="s">
        <v>200</v>
      </c>
    </row>
    <row r="59" spans="2:26" hidden="1" x14ac:dyDescent="0.25">
      <c r="B59" s="175" t="str">
        <f>B43</f>
        <v>HCC InOffice</v>
      </c>
      <c r="C59" s="186">
        <f t="shared" ref="C59:D59" si="30">C43/1000000</f>
        <v>1.1347100000000001</v>
      </c>
      <c r="D59" s="187">
        <f t="shared" si="30"/>
        <v>1.6646957827721967</v>
      </c>
      <c r="E59" s="188"/>
      <c r="F59" s="189">
        <f t="shared" ref="F59:F68" si="31">F43/1000000</f>
        <v>0</v>
      </c>
      <c r="G59" s="190">
        <f t="shared" ref="G59:G68" si="32">G43</f>
        <v>0</v>
      </c>
      <c r="H59" s="191">
        <f t="shared" ref="H59:H68" si="33">H43/1000000</f>
        <v>0</v>
      </c>
      <c r="I59" s="188"/>
      <c r="J59" s="189">
        <f t="shared" ref="J59:J68" si="34">J43/1000000</f>
        <v>0</v>
      </c>
      <c r="K59" s="190">
        <f t="shared" ref="K59:K68" si="35">K43</f>
        <v>0</v>
      </c>
      <c r="L59" s="191">
        <f t="shared" ref="L59:L68" si="36">L43/1000000</f>
        <v>0</v>
      </c>
      <c r="M59" s="170"/>
      <c r="N59" s="189">
        <f t="shared" ref="N59:N68" si="37">N43/1000000</f>
        <v>0</v>
      </c>
      <c r="O59" s="190">
        <f t="shared" ref="O59:O68" si="38">O43</f>
        <v>0</v>
      </c>
      <c r="P59" s="191">
        <f t="shared" ref="P59:P68" si="39">P43/1000000</f>
        <v>0</v>
      </c>
      <c r="Q59" s="170"/>
      <c r="R59" s="189">
        <f t="shared" ref="R59:R68" si="40">R43/1000000</f>
        <v>1.7268866554235087</v>
      </c>
      <c r="S59" s="190">
        <f t="shared" ref="S59:S68" si="41">S43</f>
        <v>0.15125777028233914</v>
      </c>
      <c r="T59" s="191">
        <f t="shared" ref="T59:T68" si="42">T43/1000000</f>
        <v>3.7899412960206438</v>
      </c>
    </row>
    <row r="60" spans="2:26" hidden="1" x14ac:dyDescent="0.25">
      <c r="B60" s="175" t="str">
        <f t="shared" ref="B60:B68" si="43">B44</f>
        <v>HCP MCM</v>
      </c>
      <c r="C60" s="186">
        <f t="shared" ref="C60:D60" si="44">C44/1000000</f>
        <v>10.503728719999998</v>
      </c>
      <c r="D60" s="187">
        <f t="shared" si="44"/>
        <v>65.147335716204537</v>
      </c>
      <c r="E60" s="188"/>
      <c r="F60" s="193">
        <f t="shared" si="31"/>
        <v>0</v>
      </c>
      <c r="G60" s="194">
        <f t="shared" si="32"/>
        <v>0</v>
      </c>
      <c r="H60" s="195">
        <f t="shared" si="33"/>
        <v>0</v>
      </c>
      <c r="I60" s="188"/>
      <c r="J60" s="193">
        <f t="shared" si="34"/>
        <v>0</v>
      </c>
      <c r="K60" s="194">
        <f t="shared" si="35"/>
        <v>0</v>
      </c>
      <c r="L60" s="195">
        <f t="shared" si="36"/>
        <v>0</v>
      </c>
      <c r="M60" s="170"/>
      <c r="N60" s="193">
        <f t="shared" si="37"/>
        <v>0</v>
      </c>
      <c r="O60" s="194">
        <f t="shared" si="38"/>
        <v>0</v>
      </c>
      <c r="P60" s="195">
        <f t="shared" si="39"/>
        <v>0</v>
      </c>
      <c r="Q60" s="170"/>
      <c r="R60" s="193">
        <f t="shared" si="40"/>
        <v>10.277647167225027</v>
      </c>
      <c r="S60" s="194">
        <f t="shared" si="41"/>
        <v>0.1999999961732519</v>
      </c>
      <c r="T60" s="195">
        <f t="shared" si="42"/>
        <v>63.621602136797044</v>
      </c>
    </row>
    <row r="61" spans="2:26" hidden="1" x14ac:dyDescent="0.25">
      <c r="B61" s="175" t="str">
        <f t="shared" si="43"/>
        <v>HCC Social</v>
      </c>
      <c r="C61" s="186">
        <f t="shared" ref="C61:D61" si="45">C45/1000000</f>
        <v>1.7509999999999999</v>
      </c>
      <c r="D61" s="187">
        <f t="shared" si="45"/>
        <v>5.3819819830709781</v>
      </c>
      <c r="E61" s="188"/>
      <c r="F61" s="193">
        <f t="shared" si="31"/>
        <v>0</v>
      </c>
      <c r="G61" s="194">
        <f t="shared" si="32"/>
        <v>0</v>
      </c>
      <c r="H61" s="195">
        <f t="shared" si="33"/>
        <v>0</v>
      </c>
      <c r="I61" s="188"/>
      <c r="J61" s="193">
        <f t="shared" si="34"/>
        <v>0</v>
      </c>
      <c r="K61" s="194">
        <f t="shared" si="35"/>
        <v>0</v>
      </c>
      <c r="L61" s="195">
        <f t="shared" si="36"/>
        <v>0</v>
      </c>
      <c r="M61" s="170"/>
      <c r="N61" s="193">
        <f t="shared" si="37"/>
        <v>0</v>
      </c>
      <c r="O61" s="194">
        <f t="shared" si="38"/>
        <v>0</v>
      </c>
      <c r="P61" s="195">
        <f t="shared" si="39"/>
        <v>0</v>
      </c>
      <c r="Q61" s="170"/>
      <c r="R61" s="193">
        <f t="shared" si="40"/>
        <v>2.3683801898589039</v>
      </c>
      <c r="S61" s="194">
        <f t="shared" si="41"/>
        <v>0.29112634317672054</v>
      </c>
      <c r="T61" s="195">
        <f t="shared" si="42"/>
        <v>5.7303653346687931</v>
      </c>
    </row>
    <row r="62" spans="2:26" hidden="1" x14ac:dyDescent="0.25">
      <c r="B62" s="175" t="str">
        <f t="shared" si="43"/>
        <v>HCC Online Video</v>
      </c>
      <c r="C62" s="186">
        <f t="shared" ref="C62:D62" si="46">C46/1000000</f>
        <v>1.1117790400000001</v>
      </c>
      <c r="D62" s="187">
        <f t="shared" si="46"/>
        <v>4.8907504826741324</v>
      </c>
      <c r="E62" s="188"/>
      <c r="F62" s="193">
        <f t="shared" si="31"/>
        <v>0</v>
      </c>
      <c r="G62" s="194">
        <f t="shared" si="32"/>
        <v>0</v>
      </c>
      <c r="H62" s="195">
        <f t="shared" si="33"/>
        <v>0</v>
      </c>
      <c r="I62" s="188"/>
      <c r="J62" s="193">
        <f t="shared" si="34"/>
        <v>0</v>
      </c>
      <c r="K62" s="194">
        <f t="shared" si="35"/>
        <v>0</v>
      </c>
      <c r="L62" s="195">
        <f t="shared" si="36"/>
        <v>0</v>
      </c>
      <c r="M62" s="170"/>
      <c r="N62" s="193">
        <f t="shared" si="37"/>
        <v>0</v>
      </c>
      <c r="O62" s="194">
        <f t="shared" si="38"/>
        <v>0</v>
      </c>
      <c r="P62" s="195">
        <f t="shared" si="39"/>
        <v>0</v>
      </c>
      <c r="Q62" s="170"/>
      <c r="R62" s="193">
        <f t="shared" si="40"/>
        <v>1.2</v>
      </c>
      <c r="S62" s="194">
        <f t="shared" si="41"/>
        <v>-0.65337954939341425</v>
      </c>
      <c r="T62" s="195">
        <f t="shared" si="42"/>
        <v>1.5510240419922816</v>
      </c>
    </row>
    <row r="63" spans="2:26" hidden="1" x14ac:dyDescent="0.25">
      <c r="B63" s="175" t="str">
        <f t="shared" si="43"/>
        <v>HCC Streaming Video</v>
      </c>
      <c r="C63" s="186">
        <f t="shared" ref="C63:D63" si="47">C47/1000000</f>
        <v>13.418576</v>
      </c>
      <c r="D63" s="187">
        <f t="shared" si="47"/>
        <v>22.776633092457963</v>
      </c>
      <c r="E63" s="188"/>
      <c r="F63" s="193">
        <f t="shared" si="31"/>
        <v>0</v>
      </c>
      <c r="G63" s="194">
        <f t="shared" si="32"/>
        <v>0</v>
      </c>
      <c r="H63" s="195">
        <f t="shared" si="33"/>
        <v>0</v>
      </c>
      <c r="I63" s="188"/>
      <c r="J63" s="193">
        <f t="shared" si="34"/>
        <v>0</v>
      </c>
      <c r="K63" s="194">
        <f t="shared" si="35"/>
        <v>0</v>
      </c>
      <c r="L63" s="195">
        <f t="shared" si="36"/>
        <v>0</v>
      </c>
      <c r="M63" s="170"/>
      <c r="N63" s="193">
        <f t="shared" si="37"/>
        <v>0</v>
      </c>
      <c r="O63" s="194">
        <f t="shared" si="38"/>
        <v>0</v>
      </c>
      <c r="P63" s="195">
        <f t="shared" si="39"/>
        <v>0</v>
      </c>
      <c r="Q63" s="170"/>
      <c r="R63" s="193">
        <f t="shared" si="40"/>
        <v>7.932686938204415</v>
      </c>
      <c r="S63" s="194">
        <f t="shared" si="41"/>
        <v>-0.49321739045244606</v>
      </c>
      <c r="T63" s="195">
        <f t="shared" si="42"/>
        <v>4.5755614853431696</v>
      </c>
    </row>
    <row r="64" spans="2:26" hidden="1" x14ac:dyDescent="0.25">
      <c r="B64" s="175" t="str">
        <f t="shared" si="43"/>
        <v>HCC Display</v>
      </c>
      <c r="C64" s="186">
        <f t="shared" ref="C64:D64" si="48">C48/1000000</f>
        <v>2.8594268199999999</v>
      </c>
      <c r="D64" s="187">
        <f t="shared" si="48"/>
        <v>17.186128903236554</v>
      </c>
      <c r="E64" s="188"/>
      <c r="F64" s="193">
        <f t="shared" si="31"/>
        <v>0</v>
      </c>
      <c r="G64" s="194">
        <f t="shared" si="32"/>
        <v>0</v>
      </c>
      <c r="H64" s="195">
        <f t="shared" si="33"/>
        <v>0</v>
      </c>
      <c r="I64" s="188"/>
      <c r="J64" s="193">
        <f t="shared" si="34"/>
        <v>0</v>
      </c>
      <c r="K64" s="194">
        <f t="shared" si="35"/>
        <v>0</v>
      </c>
      <c r="L64" s="195">
        <f t="shared" si="36"/>
        <v>0</v>
      </c>
      <c r="M64" s="170"/>
      <c r="N64" s="193">
        <f t="shared" si="37"/>
        <v>0</v>
      </c>
      <c r="O64" s="194">
        <f t="shared" si="38"/>
        <v>0</v>
      </c>
      <c r="P64" s="195">
        <f t="shared" si="39"/>
        <v>0</v>
      </c>
      <c r="Q64" s="170"/>
      <c r="R64" s="193">
        <f t="shared" si="40"/>
        <v>3.4406551374428238</v>
      </c>
      <c r="S64" s="194">
        <f t="shared" si="41"/>
        <v>0.45170911999417063</v>
      </c>
      <c r="T64" s="195">
        <f t="shared" si="42"/>
        <v>13.611226904425433</v>
      </c>
    </row>
    <row r="65" spans="2:20" hidden="1" x14ac:dyDescent="0.25">
      <c r="B65" s="175" t="str">
        <f t="shared" si="43"/>
        <v>HCC Paid Search</v>
      </c>
      <c r="C65" s="186">
        <f t="shared" ref="C65:D65" si="49">C49/1000000</f>
        <v>0.05</v>
      </c>
      <c r="D65" s="187">
        <f t="shared" si="49"/>
        <v>6.8091069964962907</v>
      </c>
      <c r="E65" s="188"/>
      <c r="F65" s="193">
        <f t="shared" si="31"/>
        <v>0</v>
      </c>
      <c r="G65" s="194">
        <f t="shared" si="32"/>
        <v>0</v>
      </c>
      <c r="H65" s="195">
        <f t="shared" si="33"/>
        <v>0</v>
      </c>
      <c r="I65" s="188"/>
      <c r="J65" s="193">
        <f t="shared" si="34"/>
        <v>0</v>
      </c>
      <c r="K65" s="194">
        <f t="shared" si="35"/>
        <v>0</v>
      </c>
      <c r="L65" s="195">
        <f t="shared" si="36"/>
        <v>0</v>
      </c>
      <c r="M65" s="170"/>
      <c r="N65" s="193">
        <f t="shared" si="37"/>
        <v>0</v>
      </c>
      <c r="O65" s="194">
        <f t="shared" si="38"/>
        <v>0</v>
      </c>
      <c r="P65" s="195">
        <f t="shared" si="39"/>
        <v>0</v>
      </c>
      <c r="Q65" s="170"/>
      <c r="R65" s="193">
        <f t="shared" si="40"/>
        <v>0.60000000004973986</v>
      </c>
      <c r="S65" s="194">
        <f t="shared" si="41"/>
        <v>-0.49999999995855016</v>
      </c>
      <c r="T65" s="195">
        <f t="shared" si="42"/>
        <v>0.43415134268040023</v>
      </c>
    </row>
    <row r="66" spans="2:20" hidden="1" x14ac:dyDescent="0.25">
      <c r="B66" s="175" t="str">
        <f t="shared" si="43"/>
        <v>HCC Radio</v>
      </c>
      <c r="C66" s="186">
        <f t="shared" ref="C66:D66" si="50">C50/1000000</f>
        <v>0.92397499999999999</v>
      </c>
      <c r="D66" s="187">
        <f t="shared" si="50"/>
        <v>6.0058375000000002</v>
      </c>
      <c r="E66" s="188"/>
      <c r="F66" s="193">
        <f t="shared" si="31"/>
        <v>0</v>
      </c>
      <c r="G66" s="194">
        <f t="shared" si="32"/>
        <v>0</v>
      </c>
      <c r="H66" s="195">
        <f t="shared" si="33"/>
        <v>0</v>
      </c>
      <c r="I66" s="188"/>
      <c r="J66" s="193">
        <f t="shared" si="34"/>
        <v>0</v>
      </c>
      <c r="K66" s="194">
        <f t="shared" si="35"/>
        <v>0</v>
      </c>
      <c r="L66" s="195">
        <f t="shared" si="36"/>
        <v>0</v>
      </c>
      <c r="M66" s="170"/>
      <c r="N66" s="193">
        <f t="shared" si="37"/>
        <v>0</v>
      </c>
      <c r="O66" s="194"/>
      <c r="P66" s="195">
        <f t="shared" si="39"/>
        <v>0</v>
      </c>
      <c r="Q66" s="170"/>
      <c r="R66" s="193">
        <f t="shared" si="40"/>
        <v>0.9</v>
      </c>
      <c r="S66" s="194"/>
      <c r="T66" s="195">
        <f t="shared" si="42"/>
        <v>6.5508906021728439</v>
      </c>
    </row>
    <row r="67" spans="2:20" hidden="1" x14ac:dyDescent="0.25">
      <c r="B67" s="175" t="str">
        <f t="shared" si="43"/>
        <v>HCC Linear TV</v>
      </c>
      <c r="C67" s="186">
        <f t="shared" ref="C67:D67" si="51">C51/1000000</f>
        <v>25.8109286</v>
      </c>
      <c r="D67" s="187">
        <f t="shared" si="51"/>
        <v>38.072697978218493</v>
      </c>
      <c r="E67" s="188"/>
      <c r="F67" s="331">
        <f t="shared" si="31"/>
        <v>0</v>
      </c>
      <c r="G67" s="332">
        <f t="shared" si="32"/>
        <v>0</v>
      </c>
      <c r="H67" s="333">
        <f t="shared" si="33"/>
        <v>0</v>
      </c>
      <c r="I67" s="188"/>
      <c r="J67" s="331">
        <f t="shared" si="34"/>
        <v>0</v>
      </c>
      <c r="K67" s="332">
        <f t="shared" si="35"/>
        <v>0</v>
      </c>
      <c r="L67" s="333">
        <f t="shared" si="36"/>
        <v>0</v>
      </c>
      <c r="M67" s="170"/>
      <c r="N67" s="331">
        <f t="shared" si="37"/>
        <v>0</v>
      </c>
      <c r="O67" s="332">
        <f t="shared" si="38"/>
        <v>0</v>
      </c>
      <c r="P67" s="333">
        <f t="shared" si="39"/>
        <v>0</v>
      </c>
      <c r="Q67" s="170"/>
      <c r="R67" s="331">
        <f t="shared" si="40"/>
        <v>18.647619061795581</v>
      </c>
      <c r="S67" s="332">
        <f t="shared" si="41"/>
        <v>-0.33479099668610202</v>
      </c>
      <c r="T67" s="333">
        <f t="shared" si="42"/>
        <v>19.945328658740944</v>
      </c>
    </row>
    <row r="68" spans="2:20" hidden="1" x14ac:dyDescent="0.25">
      <c r="B68" s="175" t="str">
        <f t="shared" si="43"/>
        <v>HCC Pharmacy</v>
      </c>
      <c r="C68" s="186">
        <f t="shared" ref="C68:D68" si="52">C52/1000000</f>
        <v>2.4119679999999999</v>
      </c>
      <c r="D68" s="187">
        <f t="shared" si="52"/>
        <v>4.1134477838767793</v>
      </c>
      <c r="E68" s="188"/>
      <c r="F68" s="331">
        <f t="shared" si="31"/>
        <v>0</v>
      </c>
      <c r="G68" s="332">
        <f t="shared" si="32"/>
        <v>0</v>
      </c>
      <c r="H68" s="333">
        <f t="shared" si="33"/>
        <v>0</v>
      </c>
      <c r="I68" s="188"/>
      <c r="J68" s="331">
        <f t="shared" si="34"/>
        <v>0</v>
      </c>
      <c r="K68" s="332">
        <f t="shared" si="35"/>
        <v>0</v>
      </c>
      <c r="L68" s="333">
        <f t="shared" si="36"/>
        <v>0</v>
      </c>
      <c r="M68" s="170"/>
      <c r="N68" s="331">
        <f t="shared" si="37"/>
        <v>0</v>
      </c>
      <c r="O68" s="332">
        <f t="shared" si="38"/>
        <v>0</v>
      </c>
      <c r="P68" s="333">
        <f t="shared" si="39"/>
        <v>0</v>
      </c>
      <c r="Q68" s="170"/>
      <c r="R68" s="331">
        <f t="shared" si="40"/>
        <v>1.8369175999999998</v>
      </c>
      <c r="S68" s="332">
        <f t="shared" si="41"/>
        <v>-0.30000000000000004</v>
      </c>
      <c r="T68" s="333">
        <f t="shared" si="42"/>
        <v>3.6850627427258735</v>
      </c>
    </row>
    <row r="69" spans="2:20" hidden="1" x14ac:dyDescent="0.25">
      <c r="B69" s="196" t="s">
        <v>201</v>
      </c>
      <c r="C69" s="197">
        <f>C53/1000000</f>
        <v>59.976092180000002</v>
      </c>
      <c r="D69" s="198">
        <f t="shared" ref="D69" si="53">D53/1000000</f>
        <v>172.04861621900793</v>
      </c>
      <c r="E69" s="199"/>
      <c r="F69" s="200">
        <f t="shared" ref="F69" si="54">F53/1000000</f>
        <v>0</v>
      </c>
      <c r="G69" s="201">
        <f>G53</f>
        <v>-1</v>
      </c>
      <c r="H69" s="202">
        <f t="shared" ref="H69" si="55">H53/1000000</f>
        <v>0</v>
      </c>
      <c r="I69" s="199"/>
      <c r="J69" s="200">
        <f t="shared" ref="J69" si="56">J53/1000000</f>
        <v>0</v>
      </c>
      <c r="K69" s="201">
        <f>K53</f>
        <v>-1</v>
      </c>
      <c r="L69" s="202">
        <f t="shared" ref="L69" si="57">L53/1000000</f>
        <v>0</v>
      </c>
      <c r="M69" s="199"/>
      <c r="N69" s="200">
        <f t="shared" ref="N69" si="58">N53/1000000</f>
        <v>0</v>
      </c>
      <c r="O69" s="201">
        <f>O53</f>
        <v>-1</v>
      </c>
      <c r="P69" s="202">
        <f>P53/1000000</f>
        <v>0</v>
      </c>
      <c r="R69" s="200">
        <f t="shared" ref="R69" si="59">R53/1000000</f>
        <v>48.930792750000002</v>
      </c>
      <c r="S69" s="201">
        <f>S53</f>
        <v>-0.18416170558179903</v>
      </c>
      <c r="T69" s="202">
        <f t="shared" ref="T69" si="60">T53/1000000</f>
        <v>123.49515454556742</v>
      </c>
    </row>
    <row r="70" spans="2:20" hidden="1" x14ac:dyDescent="0.25">
      <c r="B70" s="196" t="s">
        <v>204</v>
      </c>
      <c r="C70" s="197"/>
      <c r="D70" s="198"/>
      <c r="E70" s="199"/>
      <c r="F70" s="200"/>
      <c r="G70" s="201"/>
      <c r="H70" s="203"/>
      <c r="I70" s="199"/>
      <c r="J70" s="200"/>
      <c r="K70" s="201"/>
      <c r="L70" s="203"/>
      <c r="M70" s="199"/>
      <c r="N70" s="200"/>
      <c r="O70" s="201"/>
      <c r="P70" s="290" t="s">
        <v>246</v>
      </c>
      <c r="R70" s="200"/>
      <c r="S70" s="201"/>
      <c r="T70" s="290" t="s">
        <v>247</v>
      </c>
    </row>
    <row r="71" spans="2:20" hidden="1" x14ac:dyDescent="0.25">
      <c r="H71" s="207">
        <f>H69-$D$69</f>
        <v>-172.04861621900793</v>
      </c>
      <c r="L71" s="207">
        <f>L69-$D$69</f>
        <v>-172.04861621900793</v>
      </c>
      <c r="P71" s="207">
        <f>P69-$D$69</f>
        <v>-172.04861621900793</v>
      </c>
      <c r="T71" s="207">
        <f>T69-$D$69</f>
        <v>-48.553461673440509</v>
      </c>
    </row>
    <row r="72" spans="2:20" hidden="1" x14ac:dyDescent="0.25">
      <c r="H72" s="168">
        <f>H71/$D$69</f>
        <v>-1</v>
      </c>
      <c r="I72" s="166"/>
      <c r="J72" s="166"/>
      <c r="K72" s="166"/>
      <c r="L72" s="168">
        <f>L71/$D$69</f>
        <v>-1</v>
      </c>
      <c r="M72" s="166"/>
      <c r="N72" s="166"/>
      <c r="O72" s="166"/>
      <c r="P72" s="168">
        <f>P71/$D$69</f>
        <v>-1</v>
      </c>
      <c r="Q72" s="166"/>
      <c r="R72" s="166"/>
      <c r="S72" s="166"/>
      <c r="T72" s="97">
        <f>T71/D69</f>
        <v>-0.28220780114636179</v>
      </c>
    </row>
    <row r="78" spans="2:20" ht="15" customHeight="1" x14ac:dyDescent="0.25">
      <c r="C78" s="409" t="s">
        <v>269</v>
      </c>
      <c r="D78" s="410"/>
      <c r="E78" s="180"/>
      <c r="F78" s="411">
        <f>F62</f>
        <v>0</v>
      </c>
      <c r="G78" s="412"/>
      <c r="H78" s="413"/>
    </row>
    <row r="79" spans="2:20" ht="45" x14ac:dyDescent="0.25">
      <c r="B79" s="173" t="s">
        <v>196</v>
      </c>
      <c r="C79" s="182" t="s">
        <v>202</v>
      </c>
      <c r="D79" s="183" t="s">
        <v>203</v>
      </c>
      <c r="E79" s="184"/>
      <c r="F79" s="206" t="s">
        <v>205</v>
      </c>
      <c r="G79" s="183" t="s">
        <v>199</v>
      </c>
      <c r="H79" s="185" t="s">
        <v>200</v>
      </c>
    </row>
    <row r="80" spans="2:20" x14ac:dyDescent="0.25">
      <c r="B80" s="175" t="str">
        <f t="shared" ref="B80:B89" si="61">B64</f>
        <v>HCC Display</v>
      </c>
      <c r="C80" s="186">
        <f>C64/1000000</f>
        <v>2.85942682E-6</v>
      </c>
      <c r="D80" s="291">
        <f>D64/1000000</f>
        <v>1.7186128903236553E-5</v>
      </c>
      <c r="E80" s="188"/>
      <c r="F80" s="189">
        <f t="shared" ref="F80:F90" si="62">F64/1000000</f>
        <v>0</v>
      </c>
      <c r="G80" s="190">
        <f>IFERROR(G64,"")</f>
        <v>0</v>
      </c>
      <c r="H80" s="286">
        <f t="shared" ref="H80:H89" si="63">H64/1000000</f>
        <v>0</v>
      </c>
    </row>
    <row r="81" spans="2:8" x14ac:dyDescent="0.25">
      <c r="B81" s="175" t="str">
        <f t="shared" si="61"/>
        <v>HCC Paid Search</v>
      </c>
      <c r="C81" s="192">
        <f t="shared" ref="C81:D81" si="64">C65/1000000</f>
        <v>5.0000000000000004E-8</v>
      </c>
      <c r="D81" s="292">
        <f t="shared" si="64"/>
        <v>6.8091069964962903E-6</v>
      </c>
      <c r="E81" s="188"/>
      <c r="F81" s="193">
        <f t="shared" si="62"/>
        <v>0</v>
      </c>
      <c r="G81" s="194">
        <f t="shared" ref="G81:G89" si="65">IFERROR(G65,"")</f>
        <v>0</v>
      </c>
      <c r="H81" s="287">
        <f t="shared" si="63"/>
        <v>0</v>
      </c>
    </row>
    <row r="82" spans="2:8" x14ac:dyDescent="0.25">
      <c r="B82" s="175" t="str">
        <f t="shared" si="61"/>
        <v>HCC Radio</v>
      </c>
      <c r="C82" s="192">
        <f t="shared" ref="C82:D82" si="66">C66/1000000</f>
        <v>9.2397500000000001E-7</v>
      </c>
      <c r="D82" s="292">
        <f t="shared" si="66"/>
        <v>6.0058375000000002E-6</v>
      </c>
      <c r="E82" s="188"/>
      <c r="F82" s="193">
        <f t="shared" si="62"/>
        <v>0</v>
      </c>
      <c r="G82" s="194">
        <f t="shared" si="65"/>
        <v>0</v>
      </c>
      <c r="H82" s="287">
        <f t="shared" si="63"/>
        <v>0</v>
      </c>
    </row>
    <row r="83" spans="2:8" x14ac:dyDescent="0.25">
      <c r="B83" s="175" t="str">
        <f t="shared" si="61"/>
        <v>HCC Linear TV</v>
      </c>
      <c r="C83" s="192">
        <f t="shared" ref="C83:D83" si="67">C67/1000000</f>
        <v>2.58109286E-5</v>
      </c>
      <c r="D83" s="292">
        <f t="shared" si="67"/>
        <v>3.8072697978218494E-5</v>
      </c>
      <c r="E83" s="188"/>
      <c r="F83" s="193">
        <f t="shared" si="62"/>
        <v>0</v>
      </c>
      <c r="G83" s="194">
        <f t="shared" si="65"/>
        <v>0</v>
      </c>
      <c r="H83" s="287">
        <f t="shared" si="63"/>
        <v>0</v>
      </c>
    </row>
    <row r="84" spans="2:8" x14ac:dyDescent="0.25">
      <c r="B84" s="175" t="str">
        <f t="shared" si="61"/>
        <v>HCC Pharmacy</v>
      </c>
      <c r="C84" s="192">
        <f t="shared" ref="C84:D84" si="68">C68/1000000</f>
        <v>2.4119679999999999E-6</v>
      </c>
      <c r="D84" s="292">
        <f t="shared" si="68"/>
        <v>4.1134477838767796E-6</v>
      </c>
      <c r="E84" s="188"/>
      <c r="F84" s="193">
        <f t="shared" si="62"/>
        <v>0</v>
      </c>
      <c r="G84" s="353">
        <f t="shared" si="65"/>
        <v>0</v>
      </c>
      <c r="H84" s="287">
        <f t="shared" si="63"/>
        <v>0</v>
      </c>
    </row>
    <row r="85" spans="2:8" x14ac:dyDescent="0.25">
      <c r="B85" s="175" t="str">
        <f t="shared" si="61"/>
        <v>Total InScope Budget</v>
      </c>
      <c r="C85" s="192">
        <f t="shared" ref="C85:D85" si="69">C69/1000000</f>
        <v>5.9976092180000005E-5</v>
      </c>
      <c r="D85" s="292">
        <f t="shared" si="69"/>
        <v>1.7204861621900793E-4</v>
      </c>
      <c r="E85" s="188"/>
      <c r="F85" s="193">
        <f t="shared" si="62"/>
        <v>0</v>
      </c>
      <c r="G85" s="353">
        <f t="shared" si="65"/>
        <v>-1</v>
      </c>
      <c r="H85" s="287">
        <f t="shared" si="63"/>
        <v>0</v>
      </c>
    </row>
    <row r="86" spans="2:8" x14ac:dyDescent="0.25">
      <c r="B86" s="175" t="str">
        <f t="shared" si="61"/>
        <v>Δ Pre-tax Revenue</v>
      </c>
      <c r="C86" s="192">
        <f t="shared" ref="C86:D86" si="70">C70/1000000</f>
        <v>0</v>
      </c>
      <c r="D86" s="292">
        <f t="shared" si="70"/>
        <v>0</v>
      </c>
      <c r="E86" s="188"/>
      <c r="F86" s="193">
        <f t="shared" si="62"/>
        <v>0</v>
      </c>
      <c r="G86" s="194">
        <f t="shared" si="65"/>
        <v>0</v>
      </c>
      <c r="H86" s="287">
        <f t="shared" si="63"/>
        <v>0</v>
      </c>
    </row>
    <row r="87" spans="2:8" x14ac:dyDescent="0.25">
      <c r="B87" s="175">
        <f t="shared" si="61"/>
        <v>0</v>
      </c>
      <c r="C87" s="192">
        <f t="shared" ref="C87:D87" si="71">C71/1000000</f>
        <v>0</v>
      </c>
      <c r="D87" s="292">
        <f t="shared" si="71"/>
        <v>0</v>
      </c>
      <c r="E87" s="188"/>
      <c r="F87" s="193">
        <f t="shared" si="62"/>
        <v>0</v>
      </c>
      <c r="G87" s="194">
        <f t="shared" si="65"/>
        <v>0</v>
      </c>
      <c r="H87" s="287">
        <f t="shared" si="63"/>
        <v>-1.7204861621900793E-4</v>
      </c>
    </row>
    <row r="88" spans="2:8" x14ac:dyDescent="0.25">
      <c r="B88" s="175">
        <f t="shared" si="61"/>
        <v>0</v>
      </c>
      <c r="C88" s="192">
        <f t="shared" ref="C88:D88" si="72">C72/1000000</f>
        <v>0</v>
      </c>
      <c r="D88" s="292">
        <f t="shared" si="72"/>
        <v>0</v>
      </c>
      <c r="E88" s="188"/>
      <c r="F88" s="193">
        <f t="shared" si="62"/>
        <v>0</v>
      </c>
      <c r="G88" s="194">
        <f t="shared" si="65"/>
        <v>0</v>
      </c>
      <c r="H88" s="287">
        <f t="shared" si="63"/>
        <v>-9.9999999999999995E-7</v>
      </c>
    </row>
    <row r="89" spans="2:8" x14ac:dyDescent="0.25">
      <c r="B89" s="175">
        <f t="shared" si="61"/>
        <v>0</v>
      </c>
      <c r="C89" s="192">
        <f t="shared" ref="C89:D89" si="73">C73/1000000</f>
        <v>0</v>
      </c>
      <c r="D89" s="292">
        <f t="shared" si="73"/>
        <v>0</v>
      </c>
      <c r="E89" s="188"/>
      <c r="F89" s="193">
        <f t="shared" si="62"/>
        <v>0</v>
      </c>
      <c r="G89" s="194">
        <f t="shared" si="65"/>
        <v>0</v>
      </c>
      <c r="H89" s="287">
        <f t="shared" si="63"/>
        <v>0</v>
      </c>
    </row>
    <row r="90" spans="2:8" x14ac:dyDescent="0.25">
      <c r="B90" s="196" t="s">
        <v>201</v>
      </c>
      <c r="C90" s="197">
        <f>C74/1000000</f>
        <v>0</v>
      </c>
      <c r="D90" s="293">
        <f>D74/1000000</f>
        <v>0</v>
      </c>
      <c r="E90" s="199"/>
      <c r="F90" s="200">
        <f t="shared" si="62"/>
        <v>0</v>
      </c>
      <c r="G90" s="201">
        <f>G74</f>
        <v>0</v>
      </c>
      <c r="H90" s="205">
        <f>H74/1000000</f>
        <v>0</v>
      </c>
    </row>
    <row r="91" spans="2:8" ht="45" x14ac:dyDescent="0.25">
      <c r="B91" s="288" t="s">
        <v>266</v>
      </c>
      <c r="C91" s="197"/>
      <c r="D91" s="198"/>
      <c r="E91" s="199"/>
      <c r="F91" s="200"/>
      <c r="G91" s="201"/>
      <c r="H91" s="290" t="s">
        <v>292</v>
      </c>
    </row>
  </sheetData>
  <mergeCells count="26">
    <mergeCell ref="V5:X5"/>
    <mergeCell ref="V21:X21"/>
    <mergeCell ref="F56:P56"/>
    <mergeCell ref="F5:H5"/>
    <mergeCell ref="J5:L5"/>
    <mergeCell ref="N5:P5"/>
    <mergeCell ref="R5:T5"/>
    <mergeCell ref="F21:H21"/>
    <mergeCell ref="J21:L21"/>
    <mergeCell ref="N21:P21"/>
    <mergeCell ref="R21:T21"/>
    <mergeCell ref="F20:X20"/>
    <mergeCell ref="N57:P57"/>
    <mergeCell ref="R57:T57"/>
    <mergeCell ref="F4:P4"/>
    <mergeCell ref="B38:T39"/>
    <mergeCell ref="F41:H41"/>
    <mergeCell ref="J41:L41"/>
    <mergeCell ref="N41:P41"/>
    <mergeCell ref="R41:T41"/>
    <mergeCell ref="C21:D21"/>
    <mergeCell ref="C78:D78"/>
    <mergeCell ref="F78:H78"/>
    <mergeCell ref="C57:D57"/>
    <mergeCell ref="F57:H57"/>
    <mergeCell ref="J57:L57"/>
  </mergeCells>
  <conditionalFormatting sqref="G23:G31">
    <cfRule type="cellIs" dxfId="38" priority="45" operator="lessThan">
      <formula>0</formula>
    </cfRule>
    <cfRule type="cellIs" dxfId="37" priority="46" operator="greaterThan">
      <formula>0</formula>
    </cfRule>
  </conditionalFormatting>
  <conditionalFormatting sqref="K23:K31">
    <cfRule type="cellIs" dxfId="36" priority="43" operator="lessThan">
      <formula>0</formula>
    </cfRule>
    <cfRule type="cellIs" dxfId="35" priority="44" operator="greaterThan">
      <formula>0</formula>
    </cfRule>
  </conditionalFormatting>
  <conditionalFormatting sqref="O23:O31">
    <cfRule type="cellIs" dxfId="34" priority="41" operator="lessThan">
      <formula>0</formula>
    </cfRule>
    <cfRule type="cellIs" dxfId="33" priority="42" operator="greaterThan">
      <formula>0</formula>
    </cfRule>
  </conditionalFormatting>
  <conditionalFormatting sqref="S23:S29 S31">
    <cfRule type="cellIs" dxfId="32" priority="39" operator="lessThan">
      <formula>0</formula>
    </cfRule>
    <cfRule type="cellIs" dxfId="31" priority="40" operator="greaterThan">
      <formula>0</formula>
    </cfRule>
  </conditionalFormatting>
  <conditionalFormatting sqref="G59:G68">
    <cfRule type="cellIs" dxfId="30" priority="37" operator="lessThan">
      <formula>0</formula>
    </cfRule>
    <cfRule type="cellIs" dxfId="29" priority="38" operator="greaterThan">
      <formula>0</formula>
    </cfRule>
  </conditionalFormatting>
  <conditionalFormatting sqref="W23:W29 W31">
    <cfRule type="cellIs" dxfId="28" priority="29" operator="lessThan">
      <formula>0</formula>
    </cfRule>
    <cfRule type="cellIs" dxfId="27" priority="30" operator="greaterThan">
      <formula>0</formula>
    </cfRule>
  </conditionalFormatting>
  <conditionalFormatting sqref="K59:K68">
    <cfRule type="cellIs" dxfId="26" priority="27" operator="lessThan">
      <formula>0</formula>
    </cfRule>
    <cfRule type="cellIs" dxfId="25" priority="28" operator="greaterThan">
      <formula>0</formula>
    </cfRule>
  </conditionalFormatting>
  <conditionalFormatting sqref="O59:O68">
    <cfRule type="cellIs" dxfId="24" priority="25" operator="lessThan">
      <formula>0</formula>
    </cfRule>
    <cfRule type="cellIs" dxfId="23" priority="26" operator="greaterThan">
      <formula>0</formula>
    </cfRule>
  </conditionalFormatting>
  <conditionalFormatting sqref="S59:S68">
    <cfRule type="cellIs" dxfId="22" priority="23" operator="lessThan">
      <formula>0</formula>
    </cfRule>
    <cfRule type="cellIs" dxfId="21" priority="24" operator="greaterThan">
      <formula>0</formula>
    </cfRule>
  </conditionalFormatting>
  <conditionalFormatting sqref="G32">
    <cfRule type="cellIs" dxfId="20" priority="21" operator="lessThan">
      <formula>0</formula>
    </cfRule>
    <cfRule type="cellIs" dxfId="19" priority="22" operator="greaterThan">
      <formula>0</formula>
    </cfRule>
  </conditionalFormatting>
  <conditionalFormatting sqref="K32">
    <cfRule type="cellIs" dxfId="18" priority="19" operator="lessThan">
      <formula>0</formula>
    </cfRule>
    <cfRule type="cellIs" dxfId="17" priority="20" operator="greaterThan">
      <formula>0</formula>
    </cfRule>
  </conditionalFormatting>
  <conditionalFormatting sqref="O32">
    <cfRule type="cellIs" dxfId="16" priority="17" operator="lessThan">
      <formula>0</formula>
    </cfRule>
    <cfRule type="cellIs" dxfId="15" priority="18" operator="greaterThan">
      <formula>0</formula>
    </cfRule>
  </conditionalFormatting>
  <conditionalFormatting sqref="S32">
    <cfRule type="cellIs" dxfId="14" priority="15" operator="lessThan">
      <formula>0</formula>
    </cfRule>
    <cfRule type="cellIs" dxfId="13" priority="16" operator="greaterThan">
      <formula>0</formula>
    </cfRule>
  </conditionalFormatting>
  <conditionalFormatting sqref="S30">
    <cfRule type="cellIs" dxfId="12" priority="13" operator="lessThan">
      <formula>0</formula>
    </cfRule>
    <cfRule type="cellIs" dxfId="11" priority="14" operator="greaterThan">
      <formula>0</formula>
    </cfRule>
  </conditionalFormatting>
  <conditionalFormatting sqref="W30">
    <cfRule type="cellIs" dxfId="10" priority="11" operator="lessThan">
      <formula>0</formula>
    </cfRule>
    <cfRule type="cellIs" dxfId="9" priority="12" operator="greaterThan">
      <formula>0</formula>
    </cfRule>
  </conditionalFormatting>
  <conditionalFormatting sqref="W32">
    <cfRule type="cellIs" dxfId="8" priority="9" operator="lessThan">
      <formula>0</formula>
    </cfRule>
    <cfRule type="cellIs" dxfId="7" priority="10" operator="greaterThan">
      <formula>0</formula>
    </cfRule>
  </conditionalFormatting>
  <conditionalFormatting sqref="G80:G88">
    <cfRule type="cellIs" dxfId="6" priority="3" operator="lessThan">
      <formula>0</formula>
    </cfRule>
    <cfRule type="cellIs" dxfId="5" priority="4" operator="greaterThan">
      <formula>0</formula>
    </cfRule>
  </conditionalFormatting>
  <conditionalFormatting sqref="G89">
    <cfRule type="cellIs" dxfId="4" priority="1" operator="lessThan">
      <formula>0</formula>
    </cfRule>
    <cfRule type="cellIs" dxfId="3" priority="2" operator="greaterThan">
      <formula>0</formula>
    </cfRule>
  </conditionalFormatting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32B3ED-8806-4F86-990C-40F653DB2553}">
  <dimension ref="C2:I16"/>
  <sheetViews>
    <sheetView showGridLines="0" workbookViewId="0">
      <selection activeCell="H18" sqref="H18"/>
    </sheetView>
  </sheetViews>
  <sheetFormatPr defaultRowHeight="15" x14ac:dyDescent="0.25"/>
  <cols>
    <col min="3" max="3" width="21" customWidth="1"/>
    <col min="4" max="4" width="11.7109375" bestFit="1" customWidth="1"/>
    <col min="5" max="5" width="9.7109375" customWidth="1"/>
    <col min="6" max="6" width="10.85546875" customWidth="1"/>
    <col min="7" max="7" width="0.7109375" style="97" customWidth="1"/>
    <col min="8" max="8" width="12" customWidth="1"/>
    <col min="9" max="9" width="12.5703125" customWidth="1"/>
  </cols>
  <sheetData>
    <row r="2" spans="3:9" ht="15" customHeight="1" x14ac:dyDescent="0.25">
      <c r="C2" s="379"/>
      <c r="D2" s="421" t="s">
        <v>269</v>
      </c>
      <c r="E2" s="422"/>
      <c r="F2" s="423"/>
      <c r="G2" s="380"/>
      <c r="H2" s="419" t="s">
        <v>299</v>
      </c>
      <c r="I2" s="420"/>
    </row>
    <row r="3" spans="3:9" ht="25.5" x14ac:dyDescent="0.25">
      <c r="C3" s="381" t="s">
        <v>196</v>
      </c>
      <c r="D3" s="381" t="s">
        <v>202</v>
      </c>
      <c r="E3" s="382" t="s">
        <v>298</v>
      </c>
      <c r="F3" s="383" t="s">
        <v>297</v>
      </c>
      <c r="G3" s="383"/>
      <c r="H3" s="384" t="s">
        <v>205</v>
      </c>
      <c r="I3" s="382" t="s">
        <v>199</v>
      </c>
    </row>
    <row r="4" spans="3:9" x14ac:dyDescent="0.25">
      <c r="C4" s="385" t="str">
        <f>VAC_Optim_Scenario!B17</f>
        <v>HCC InOffice</v>
      </c>
      <c r="D4" s="386">
        <f>'Scenario deep dive'!C23</f>
        <v>1.1347100000000001</v>
      </c>
      <c r="E4" s="386">
        <f>VAC_Optim_Scenario!G17/1000000</f>
        <v>0.79429700000000003</v>
      </c>
      <c r="F4" s="386">
        <f>VAC_Optim_Scenario!H17/1000000</f>
        <v>1.475123</v>
      </c>
      <c r="G4" s="387"/>
      <c r="H4" s="388">
        <f>'Scenario deep dive'!F23</f>
        <v>0.79429700000000003</v>
      </c>
      <c r="I4" s="389">
        <f>(H4-D4)/D4</f>
        <v>-0.30000000000000004</v>
      </c>
    </row>
    <row r="5" spans="3:9" x14ac:dyDescent="0.25">
      <c r="C5" s="390" t="str">
        <f>VAC_Optim_Scenario!B18</f>
        <v>HCP MCM</v>
      </c>
      <c r="D5" s="386">
        <f>'Scenario deep dive'!C24</f>
        <v>10.503728719999998</v>
      </c>
      <c r="E5" s="386">
        <f>VAC_Optim_Scenario!G18/1000000</f>
        <v>7.3526101039999983</v>
      </c>
      <c r="F5" s="386">
        <f>VAC_Optim_Scenario!H18/1000000</f>
        <v>13.654847336</v>
      </c>
      <c r="G5" s="391"/>
      <c r="H5" s="388">
        <f>'Scenario deep dive'!F24</f>
        <v>13.654847336</v>
      </c>
      <c r="I5" s="389">
        <f t="shared" ref="I5:I13" si="0">(H5-D5)/D5</f>
        <v>0.30000000000000021</v>
      </c>
    </row>
    <row r="6" spans="3:9" x14ac:dyDescent="0.25">
      <c r="C6" s="390" t="str">
        <f>VAC_Optim_Scenario!B19</f>
        <v>HCC Social</v>
      </c>
      <c r="D6" s="386">
        <f>'Scenario deep dive'!C25</f>
        <v>1.7509999999999999</v>
      </c>
      <c r="E6" s="386">
        <f>VAC_Optim_Scenario!G19/1000000</f>
        <v>1.2257</v>
      </c>
      <c r="F6" s="386">
        <f>VAC_Optim_Scenario!H19/1000000</f>
        <v>2.2763</v>
      </c>
      <c r="G6" s="391"/>
      <c r="H6" s="388">
        <f>'Scenario deep dive'!F25</f>
        <v>2.2059033778932546</v>
      </c>
      <c r="I6" s="389">
        <f t="shared" si="0"/>
        <v>0.25979633232053384</v>
      </c>
    </row>
    <row r="7" spans="3:9" x14ac:dyDescent="0.25">
      <c r="C7" s="390" t="str">
        <f>VAC_Optim_Scenario!B20</f>
        <v>HCC Online Video</v>
      </c>
      <c r="D7" s="386">
        <f>'Scenario deep dive'!C26</f>
        <v>1.1117790400000001</v>
      </c>
      <c r="E7" s="386">
        <f>VAC_Optim_Scenario!G20/1000000</f>
        <v>0.77824532800000001</v>
      </c>
      <c r="F7" s="386">
        <f>VAC_Optim_Scenario!H20/1000000</f>
        <v>1.4453127520000002</v>
      </c>
      <c r="G7" s="391"/>
      <c r="H7" s="388">
        <f>'Scenario deep dive'!F26</f>
        <v>1.4453127520000002</v>
      </c>
      <c r="I7" s="389">
        <f t="shared" si="0"/>
        <v>0.3000000000000001</v>
      </c>
    </row>
    <row r="8" spans="3:9" x14ac:dyDescent="0.25">
      <c r="C8" s="390" t="str">
        <f>VAC_Optim_Scenario!B21</f>
        <v>HCC Streaming Video</v>
      </c>
      <c r="D8" s="386">
        <f>'Scenario deep dive'!C27</f>
        <v>13.418576</v>
      </c>
      <c r="E8" s="386">
        <f>VAC_Optim_Scenario!G21/1000000</f>
        <v>9.393003199999999</v>
      </c>
      <c r="F8" s="386">
        <f>VAC_Optim_Scenario!H21/1000000</f>
        <v>17.444148800000001</v>
      </c>
      <c r="G8" s="391"/>
      <c r="H8" s="388">
        <f>'Scenario deep dive'!F27</f>
        <v>9.393003199999999</v>
      </c>
      <c r="I8" s="389">
        <f t="shared" si="0"/>
        <v>-0.30000000000000004</v>
      </c>
    </row>
    <row r="9" spans="3:9" x14ac:dyDescent="0.25">
      <c r="C9" s="390" t="str">
        <f>VAC_Optim_Scenario!B22</f>
        <v>HCC Display</v>
      </c>
      <c r="D9" s="386">
        <f>'Scenario deep dive'!C28</f>
        <v>2.8594268199999999</v>
      </c>
      <c r="E9" s="386">
        <f>VAC_Optim_Scenario!G22/1000000</f>
        <v>2.0015987739999996</v>
      </c>
      <c r="F9" s="386">
        <f>VAC_Optim_Scenario!H22/1000000</f>
        <v>3.7172548659999998</v>
      </c>
      <c r="G9" s="391"/>
      <c r="H9" s="388">
        <f>'Scenario deep dive'!F28</f>
        <v>3.7172548659999998</v>
      </c>
      <c r="I9" s="389">
        <f t="shared" si="0"/>
        <v>0.29999999999999993</v>
      </c>
    </row>
    <row r="10" spans="3:9" x14ac:dyDescent="0.25">
      <c r="C10" s="390" t="str">
        <f>VAC_Optim_Scenario!B23</f>
        <v>HCC Paid Search</v>
      </c>
      <c r="D10" s="386">
        <f>'Scenario deep dive'!C29</f>
        <v>0.05</v>
      </c>
      <c r="E10" s="386">
        <f>VAC_Optim_Scenario!G23/1000000</f>
        <v>3.5000000000000003E-2</v>
      </c>
      <c r="F10" s="386">
        <f>VAC_Optim_Scenario!H23/1000000</f>
        <v>6.5000000000000002E-2</v>
      </c>
      <c r="G10" s="391"/>
      <c r="H10" s="388">
        <f>'Scenario deep dive'!F29</f>
        <v>6.5000000000000002E-2</v>
      </c>
      <c r="I10" s="389">
        <f t="shared" si="0"/>
        <v>0.3</v>
      </c>
    </row>
    <row r="11" spans="3:9" x14ac:dyDescent="0.25">
      <c r="C11" s="390" t="str">
        <f>VAC_Optim_Scenario!B24</f>
        <v>HCC Radio</v>
      </c>
      <c r="D11" s="386">
        <f>'Scenario deep dive'!C30</f>
        <v>0.92397499999999999</v>
      </c>
      <c r="E11" s="386">
        <f>VAC_Optim_Scenario!G24/1000000</f>
        <v>0.64678250000000004</v>
      </c>
      <c r="F11" s="386">
        <f>VAC_Optim_Scenario!H24/1000000</f>
        <v>1.2011674999999999</v>
      </c>
      <c r="G11" s="391"/>
      <c r="H11" s="388">
        <f>'Scenario deep dive'!F30</f>
        <v>1.2011674999999999</v>
      </c>
      <c r="I11" s="389">
        <f t="shared" si="0"/>
        <v>0.29999999999999993</v>
      </c>
    </row>
    <row r="12" spans="3:9" x14ac:dyDescent="0.25">
      <c r="C12" s="390" t="str">
        <f>VAC_Optim_Scenario!B25</f>
        <v>HCC Linear TV</v>
      </c>
      <c r="D12" s="386">
        <f>'Scenario deep dive'!C31</f>
        <v>25.8109286</v>
      </c>
      <c r="E12" s="386">
        <f>VAC_Optim_Scenario!G25/1000000</f>
        <v>25.8109286</v>
      </c>
      <c r="F12" s="386">
        <f>VAC_Optim_Scenario!H25/1000000</f>
        <v>25.8109286</v>
      </c>
      <c r="G12" s="391"/>
      <c r="H12" s="388">
        <f>'Scenario deep dive'!F31</f>
        <v>25.8109286</v>
      </c>
      <c r="I12" s="389">
        <f t="shared" si="0"/>
        <v>0</v>
      </c>
    </row>
    <row r="13" spans="3:9" x14ac:dyDescent="0.25">
      <c r="C13" s="390" t="str">
        <f>VAC_Optim_Scenario!B26</f>
        <v>HCC Pharmacy</v>
      </c>
      <c r="D13" s="386">
        <f>'Scenario deep dive'!C32</f>
        <v>2.4119679999999999</v>
      </c>
      <c r="E13" s="386">
        <f>VAC_Optim_Scenario!G26/1000000</f>
        <v>1.6883775999999999</v>
      </c>
      <c r="F13" s="386">
        <f>VAC_Optim_Scenario!H26/1000000</f>
        <v>3.1355583999999999</v>
      </c>
      <c r="G13" s="391"/>
      <c r="H13" s="388">
        <f>'Scenario deep dive'!F32</f>
        <v>1.6883775999999999</v>
      </c>
      <c r="I13" s="389">
        <f t="shared" si="0"/>
        <v>-0.3</v>
      </c>
    </row>
    <row r="14" spans="3:9" ht="25.5" x14ac:dyDescent="0.25">
      <c r="C14" s="392" t="s">
        <v>201</v>
      </c>
      <c r="D14" s="393">
        <f>'Scenario deep dive'!C33</f>
        <v>59.976092180000002</v>
      </c>
      <c r="E14" s="394">
        <f>VAC_Optim_Scenario!G27/1000000</f>
        <v>49.726543106000001</v>
      </c>
      <c r="F14" s="394">
        <f>VAC_Optim_Scenario!H27/1000000</f>
        <v>70.225641253999996</v>
      </c>
      <c r="G14" s="391"/>
      <c r="H14" s="395">
        <f>SUM(H4:H13)</f>
        <v>59.976092231893254</v>
      </c>
      <c r="I14" s="396">
        <f>(H14-D14)/D14</f>
        <v>8.6523230300061693E-10</v>
      </c>
    </row>
    <row r="15" spans="3:9" x14ac:dyDescent="0.25">
      <c r="G15"/>
    </row>
    <row r="16" spans="3:9" x14ac:dyDescent="0.25">
      <c r="G16"/>
    </row>
  </sheetData>
  <mergeCells count="2">
    <mergeCell ref="H2:I2"/>
    <mergeCell ref="D2:F2"/>
  </mergeCells>
  <conditionalFormatting sqref="I4:I13">
    <cfRule type="cellIs" dxfId="2" priority="3" operator="lessThan">
      <formula>0</formula>
    </cfRule>
    <cfRule type="cellIs" dxfId="1" priority="4" operator="greaterThan">
      <formula>0</formula>
    </cfRule>
  </conditionalFormatting>
  <pageMargins left="0.7" right="0.7" top="0.75" bottom="0.75" header="0.3" footer="0.3"/>
  <pageSetup paperSize="9" orientation="portrait" r:id="rId1"/>
  <headerFooter>
    <oddHeader>&amp;L&amp;"Calibri"&amp;12&amp;K00B294Proprietary&amp;1#</oddHead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>
    <tabColor theme="5" tint="-0.249977111117893"/>
  </sheetPr>
  <dimension ref="A1:X57"/>
  <sheetViews>
    <sheetView topLeftCell="A10" zoomScale="90" zoomScaleNormal="90" workbookViewId="0">
      <selection activeCell="B21" sqref="B21"/>
    </sheetView>
  </sheetViews>
  <sheetFormatPr defaultColWidth="8.85546875" defaultRowHeight="12.75" x14ac:dyDescent="0.2"/>
  <cols>
    <col min="1" max="1" width="18.42578125" style="1" bestFit="1" customWidth="1"/>
    <col min="2" max="2" width="18.42578125" style="1" customWidth="1"/>
    <col min="3" max="3" width="24.5703125" style="1" bestFit="1" customWidth="1"/>
    <col min="4" max="4" width="12.42578125" style="1" customWidth="1"/>
    <col min="5" max="5" width="13.85546875" style="1" customWidth="1"/>
    <col min="6" max="6" width="12.42578125" style="1" customWidth="1"/>
    <col min="7" max="7" width="13.5703125" style="1" customWidth="1"/>
    <col min="8" max="8" width="14" style="1" customWidth="1"/>
    <col min="9" max="10" width="14.5703125" style="1" customWidth="1"/>
    <col min="11" max="11" width="13.85546875" style="1" customWidth="1"/>
    <col min="12" max="12" width="13.42578125" style="1" customWidth="1"/>
    <col min="13" max="13" width="13.140625" style="1" bestFit="1" customWidth="1"/>
    <col min="14" max="14" width="10.42578125" style="1" customWidth="1"/>
    <col min="15" max="15" width="12" style="1" bestFit="1" customWidth="1"/>
    <col min="16" max="16" width="9.42578125" style="1" bestFit="1" customWidth="1"/>
    <col min="17" max="17" width="8.85546875" style="1"/>
    <col min="18" max="18" width="10.85546875" style="1" bestFit="1" customWidth="1"/>
    <col min="19" max="16384" width="8.85546875" style="1"/>
  </cols>
  <sheetData>
    <row r="1" spans="1:15" x14ac:dyDescent="0.2">
      <c r="A1" s="48" t="s">
        <v>0</v>
      </c>
      <c r="B1" s="1" t="s">
        <v>179</v>
      </c>
    </row>
    <row r="2" spans="1:15" x14ac:dyDescent="0.2">
      <c r="A2" s="48" t="s">
        <v>76</v>
      </c>
      <c r="B2" s="1" t="s">
        <v>242</v>
      </c>
    </row>
    <row r="3" spans="1:15" x14ac:dyDescent="0.2">
      <c r="A3" s="48" t="s">
        <v>77</v>
      </c>
      <c r="B3" s="1" t="s">
        <v>241</v>
      </c>
    </row>
    <row r="4" spans="1:15" ht="29.1" customHeight="1" x14ac:dyDescent="0.2">
      <c r="A4" s="49" t="s">
        <v>78</v>
      </c>
      <c r="B4" s="428" t="s">
        <v>267</v>
      </c>
      <c r="C4" s="429"/>
      <c r="D4" s="429"/>
      <c r="E4" s="429"/>
      <c r="F4" s="429"/>
      <c r="G4" s="429"/>
      <c r="H4" s="429"/>
      <c r="I4" s="429"/>
    </row>
    <row r="5" spans="1:15" x14ac:dyDescent="0.2">
      <c r="A5" s="48" t="s">
        <v>79</v>
      </c>
      <c r="B5" s="1" t="s">
        <v>127</v>
      </c>
      <c r="E5" s="430" t="s">
        <v>50</v>
      </c>
      <c r="F5" s="431"/>
      <c r="G5" s="431"/>
      <c r="H5" s="431"/>
      <c r="I5" s="432"/>
    </row>
    <row r="6" spans="1:15" x14ac:dyDescent="0.2">
      <c r="A6" s="48" t="s">
        <v>80</v>
      </c>
      <c r="B6" s="1" t="s">
        <v>180</v>
      </c>
      <c r="E6" s="433" t="s">
        <v>51</v>
      </c>
      <c r="F6" s="434"/>
      <c r="G6" s="434"/>
      <c r="H6" s="434"/>
      <c r="I6" s="435"/>
    </row>
    <row r="7" spans="1:15" ht="13.5" thickBot="1" x14ac:dyDescent="0.25"/>
    <row r="8" spans="1:15" ht="13.5" thickBot="1" x14ac:dyDescent="0.25">
      <c r="A8" s="51" t="s">
        <v>81</v>
      </c>
    </row>
    <row r="9" spans="1:15" ht="13.5" thickBot="1" x14ac:dyDescent="0.25">
      <c r="A9" s="29" t="s">
        <v>83</v>
      </c>
      <c r="B9" s="57">
        <f>J27</f>
        <v>826123.8861957849</v>
      </c>
      <c r="K9" s="117"/>
      <c r="O9" s="321"/>
    </row>
    <row r="10" spans="1:15" ht="13.5" thickBot="1" x14ac:dyDescent="0.25">
      <c r="A10" s="50"/>
      <c r="B10" s="1">
        <v>1</v>
      </c>
      <c r="E10" s="1" t="s">
        <v>94</v>
      </c>
    </row>
    <row r="11" spans="1:15" ht="26.25" thickBot="1" x14ac:dyDescent="0.25">
      <c r="A11" s="270" t="s">
        <v>82</v>
      </c>
      <c r="B11" s="267" t="s">
        <v>84</v>
      </c>
      <c r="C11" s="266" t="s">
        <v>97</v>
      </c>
      <c r="D11" s="143" t="s">
        <v>98</v>
      </c>
      <c r="E11" s="266" t="s">
        <v>158</v>
      </c>
      <c r="F11" s="143" t="s">
        <v>159</v>
      </c>
      <c r="M11" s="140"/>
    </row>
    <row r="12" spans="1:15" s="252" customFormat="1" ht="13.5" thickBot="1" x14ac:dyDescent="0.25">
      <c r="A12" s="144" t="s">
        <v>157</v>
      </c>
      <c r="B12" s="145">
        <f>SUM(E17:E24,E26)*B10</f>
        <v>34165163.579999998</v>
      </c>
      <c r="C12" s="146">
        <f>B12*E12</f>
        <v>0</v>
      </c>
      <c r="D12" s="146">
        <f>B12*F12</f>
        <v>34165163.579999998</v>
      </c>
      <c r="E12" s="147">
        <v>0</v>
      </c>
      <c r="F12" s="148">
        <v>1</v>
      </c>
      <c r="I12" s="268"/>
      <c r="K12" s="269"/>
      <c r="L12" s="269"/>
    </row>
    <row r="13" spans="1:15" ht="13.5" thickBot="1" x14ac:dyDescent="0.25">
      <c r="L13" s="140">
        <f>G46</f>
        <v>172048616.21900794</v>
      </c>
      <c r="M13" s="113">
        <f>J46</f>
        <v>186654430.84707564</v>
      </c>
    </row>
    <row r="14" spans="1:15" ht="60.6" customHeight="1" thickBot="1" x14ac:dyDescent="0.25">
      <c r="A14" s="52" t="s">
        <v>85</v>
      </c>
      <c r="D14" s="96" t="s">
        <v>95</v>
      </c>
      <c r="E14" s="96" t="s">
        <v>95</v>
      </c>
      <c r="F14" s="96" t="s">
        <v>96</v>
      </c>
      <c r="G14" s="275">
        <v>0.7</v>
      </c>
      <c r="H14" s="275">
        <v>1.3</v>
      </c>
      <c r="I14" s="56" t="s">
        <v>95</v>
      </c>
      <c r="J14" s="56" t="s">
        <v>96</v>
      </c>
    </row>
    <row r="15" spans="1:15" ht="27.75" customHeight="1" x14ac:dyDescent="0.2">
      <c r="A15" s="399" t="s">
        <v>2</v>
      </c>
      <c r="B15" s="401" t="s">
        <v>3</v>
      </c>
      <c r="C15" s="401" t="s">
        <v>38</v>
      </c>
      <c r="D15" s="401" t="s">
        <v>128</v>
      </c>
      <c r="E15" s="436" t="s">
        <v>86</v>
      </c>
      <c r="F15" s="438"/>
      <c r="G15" s="402" t="s">
        <v>131</v>
      </c>
      <c r="H15" s="403"/>
      <c r="I15" s="402" t="s">
        <v>89</v>
      </c>
      <c r="J15" s="403"/>
      <c r="K15" s="436" t="s">
        <v>90</v>
      </c>
      <c r="L15" s="437"/>
      <c r="M15" s="437"/>
      <c r="N15" s="438"/>
    </row>
    <row r="16" spans="1:15" ht="25.5" x14ac:dyDescent="0.2">
      <c r="A16" s="400"/>
      <c r="B16" s="400"/>
      <c r="C16" s="400"/>
      <c r="D16" s="400"/>
      <c r="E16" s="78" t="s">
        <v>149</v>
      </c>
      <c r="F16" s="78" t="s">
        <v>178</v>
      </c>
      <c r="G16" s="78" t="s">
        <v>87</v>
      </c>
      <c r="H16" s="354" t="s">
        <v>88</v>
      </c>
      <c r="I16" s="55" t="s">
        <v>148</v>
      </c>
      <c r="J16" s="55" t="s">
        <v>181</v>
      </c>
      <c r="K16" s="78" t="s">
        <v>130</v>
      </c>
      <c r="L16" s="78" t="s">
        <v>182</v>
      </c>
      <c r="M16" s="78" t="s">
        <v>91</v>
      </c>
      <c r="N16" s="78" t="s">
        <v>92</v>
      </c>
    </row>
    <row r="17" spans="1:24" x14ac:dyDescent="0.2">
      <c r="A17" s="271" t="s">
        <v>231</v>
      </c>
      <c r="B17" s="294" t="s">
        <v>236</v>
      </c>
      <c r="C17" s="54" t="s">
        <v>129</v>
      </c>
      <c r="D17" s="323">
        <v>1</v>
      </c>
      <c r="E17" s="310">
        <v>1134710</v>
      </c>
      <c r="F17" s="306">
        <f>GINOFF!I9</f>
        <v>7367.8666140222922</v>
      </c>
      <c r="G17" s="355">
        <f>E17*$G$14</f>
        <v>794297</v>
      </c>
      <c r="H17" s="310">
        <f>E17*$H$14</f>
        <v>1475123</v>
      </c>
      <c r="I17" s="356">
        <v>794297</v>
      </c>
      <c r="J17" s="308">
        <f>GINOFF!F9</f>
        <v>5678.7947721770033</v>
      </c>
      <c r="K17" s="317">
        <f>I17-E17</f>
        <v>-340413</v>
      </c>
      <c r="L17" s="313">
        <f>J17-F17</f>
        <v>-1689.0718418452889</v>
      </c>
      <c r="M17" s="314">
        <f>K17/E17</f>
        <v>-0.3</v>
      </c>
      <c r="N17" s="314">
        <f>L17/F17</f>
        <v>-0.22924842838912154</v>
      </c>
      <c r="O17" s="325"/>
      <c r="R17" s="98"/>
      <c r="S17" s="98"/>
      <c r="T17" s="98"/>
      <c r="U17" s="296"/>
      <c r="V17" s="296"/>
    </row>
    <row r="18" spans="1:24" x14ac:dyDescent="0.2">
      <c r="A18" s="272" t="s">
        <v>231</v>
      </c>
      <c r="B18" s="295" t="s">
        <v>209</v>
      </c>
      <c r="C18" s="54" t="s">
        <v>129</v>
      </c>
      <c r="D18" s="323">
        <v>1</v>
      </c>
      <c r="E18" s="311">
        <v>10503728.719999999</v>
      </c>
      <c r="F18" s="307">
        <f>GMCM!I9</f>
        <v>288339.09761974216</v>
      </c>
      <c r="G18" s="355">
        <f t="shared" ref="G18:G26" si="0">E18*$G$14</f>
        <v>7352610.1039999984</v>
      </c>
      <c r="H18" s="311">
        <f t="shared" ref="H18:H26" si="1">E18*$H$14</f>
        <v>13654847.335999999</v>
      </c>
      <c r="I18" s="356">
        <v>13654847.335999999</v>
      </c>
      <c r="J18" s="309">
        <f>GMCM!F9</f>
        <v>351876.44985588826</v>
      </c>
      <c r="K18" s="318">
        <f t="shared" ref="K18:K26" si="2">I18-E18</f>
        <v>3151118.6160000004</v>
      </c>
      <c r="L18" s="315">
        <f t="shared" ref="L18:L26" si="3">J18-F18</f>
        <v>63537.352236146107</v>
      </c>
      <c r="M18" s="316">
        <f t="shared" ref="M18:M26" si="4">K18/E18</f>
        <v>0.30000000000000004</v>
      </c>
      <c r="N18" s="316">
        <f t="shared" ref="N18:N26" si="5">L18/F18</f>
        <v>0.22035635389252115</v>
      </c>
      <c r="O18" s="325"/>
      <c r="R18" s="98"/>
      <c r="S18" s="98"/>
      <c r="T18" s="98"/>
      <c r="U18" s="296"/>
      <c r="V18" s="296"/>
      <c r="X18" s="87"/>
    </row>
    <row r="19" spans="1:24" s="98" customFormat="1" x14ac:dyDescent="0.2">
      <c r="A19" s="272" t="s">
        <v>231</v>
      </c>
      <c r="B19" s="295" t="s">
        <v>210</v>
      </c>
      <c r="C19" s="54" t="s">
        <v>248</v>
      </c>
      <c r="D19" s="323">
        <v>1</v>
      </c>
      <c r="E19" s="311">
        <v>1751000</v>
      </c>
      <c r="F19" s="307">
        <f>GSOCIAL!I9</f>
        <v>23820.403572058858</v>
      </c>
      <c r="G19" s="355">
        <f t="shared" si="0"/>
        <v>1225700</v>
      </c>
      <c r="H19" s="311">
        <f t="shared" si="1"/>
        <v>2276300</v>
      </c>
      <c r="I19" s="356">
        <v>2205903.3000226272</v>
      </c>
      <c r="J19" s="309">
        <f>GSOCIAL!F9</f>
        <v>27360.83264723729</v>
      </c>
      <c r="K19" s="318">
        <f t="shared" si="2"/>
        <v>454903.30002262723</v>
      </c>
      <c r="L19" s="315">
        <f t="shared" si="3"/>
        <v>3540.429075178432</v>
      </c>
      <c r="M19" s="316">
        <f t="shared" si="4"/>
        <v>0.259796287848445</v>
      </c>
      <c r="N19" s="316">
        <f>L19/F19</f>
        <v>0.14863010462725018</v>
      </c>
      <c r="O19" s="325"/>
      <c r="U19" s="296"/>
      <c r="V19" s="296"/>
    </row>
    <row r="20" spans="1:24" s="98" customFormat="1" x14ac:dyDescent="0.2">
      <c r="A20" s="272" t="s">
        <v>231</v>
      </c>
      <c r="B20" s="295" t="s">
        <v>226</v>
      </c>
      <c r="C20" s="54" t="s">
        <v>129</v>
      </c>
      <c r="D20" s="323">
        <v>1</v>
      </c>
      <c r="E20" s="311">
        <v>1111779.04</v>
      </c>
      <c r="F20" s="307">
        <f>GOLV!I9</f>
        <v>21646.235649615526</v>
      </c>
      <c r="G20" s="355">
        <f t="shared" si="0"/>
        <v>778245.32799999998</v>
      </c>
      <c r="H20" s="311">
        <f t="shared" si="1"/>
        <v>1445312.7520000001</v>
      </c>
      <c r="I20" s="356">
        <v>1445312.7520000001</v>
      </c>
      <c r="J20" s="309">
        <f>GOLV!F9</f>
        <v>25719.483123207465</v>
      </c>
      <c r="K20" s="318">
        <f t="shared" si="2"/>
        <v>333533.71200000006</v>
      </c>
      <c r="L20" s="315">
        <f t="shared" si="3"/>
        <v>4073.2474735919386</v>
      </c>
      <c r="M20" s="316">
        <f t="shared" si="4"/>
        <v>0.30000000000000004</v>
      </c>
      <c r="N20" s="316">
        <f t="shared" si="5"/>
        <v>0.1881734791917174</v>
      </c>
      <c r="O20" s="325"/>
      <c r="U20" s="296"/>
      <c r="V20" s="296"/>
    </row>
    <row r="21" spans="1:24" s="98" customFormat="1" x14ac:dyDescent="0.2">
      <c r="A21" s="272" t="s">
        <v>231</v>
      </c>
      <c r="B21" s="295" t="s">
        <v>228</v>
      </c>
      <c r="C21" s="54" t="s">
        <v>248</v>
      </c>
      <c r="D21" s="323">
        <v>1</v>
      </c>
      <c r="E21" s="311">
        <v>13418576</v>
      </c>
      <c r="F21" s="307">
        <f>GSTRTV!I9</f>
        <v>100808.3256282994</v>
      </c>
      <c r="G21" s="355">
        <f t="shared" si="0"/>
        <v>9393003.1999999993</v>
      </c>
      <c r="H21" s="311">
        <f t="shared" si="1"/>
        <v>17444148.800000001</v>
      </c>
      <c r="I21" s="356">
        <v>9393003.1999999993</v>
      </c>
      <c r="J21" s="309">
        <f>GSTRTV!F9</f>
        <v>78535.322127134612</v>
      </c>
      <c r="K21" s="318">
        <f t="shared" si="2"/>
        <v>-4025572.8000000007</v>
      </c>
      <c r="L21" s="315">
        <f t="shared" si="3"/>
        <v>-22273.003501164785</v>
      </c>
      <c r="M21" s="316">
        <f>K21/E21</f>
        <v>-0.30000000000000004</v>
      </c>
      <c r="N21" s="316">
        <f t="shared" si="5"/>
        <v>-0.2209440873295509</v>
      </c>
      <c r="O21" s="325"/>
      <c r="U21" s="296"/>
      <c r="V21" s="296"/>
    </row>
    <row r="22" spans="1:24" s="98" customFormat="1" x14ac:dyDescent="0.2">
      <c r="A22" s="272" t="s">
        <v>231</v>
      </c>
      <c r="B22" s="295" t="s">
        <v>211</v>
      </c>
      <c r="C22" s="54" t="s">
        <v>248</v>
      </c>
      <c r="D22" s="323">
        <v>1</v>
      </c>
      <c r="E22" s="311">
        <v>2859426.82</v>
      </c>
      <c r="F22" s="307">
        <f>GDISP!I9</f>
        <v>76065.012406995462</v>
      </c>
      <c r="G22" s="355">
        <f t="shared" si="0"/>
        <v>2001598.7739999997</v>
      </c>
      <c r="H22" s="311">
        <f t="shared" si="1"/>
        <v>3717254.8659999999</v>
      </c>
      <c r="I22" s="356">
        <v>3717254.8659999999</v>
      </c>
      <c r="J22" s="309">
        <f>GDISP!F9</f>
        <v>89032.988619922922</v>
      </c>
      <c r="K22" s="318">
        <f t="shared" si="2"/>
        <v>857828.04600000009</v>
      </c>
      <c r="L22" s="315">
        <f t="shared" si="3"/>
        <v>12967.97621292746</v>
      </c>
      <c r="M22" s="316">
        <f t="shared" si="4"/>
        <v>0.30000000000000004</v>
      </c>
      <c r="N22" s="316">
        <f t="shared" si="5"/>
        <v>0.17048542822211959</v>
      </c>
      <c r="O22" s="325"/>
      <c r="U22" s="296"/>
      <c r="V22" s="296"/>
    </row>
    <row r="23" spans="1:24" s="98" customFormat="1" x14ac:dyDescent="0.2">
      <c r="A23" s="272" t="s">
        <v>231</v>
      </c>
      <c r="B23" s="295" t="s">
        <v>212</v>
      </c>
      <c r="C23" s="54" t="s">
        <v>248</v>
      </c>
      <c r="D23" s="323">
        <v>1</v>
      </c>
      <c r="E23" s="311">
        <v>50000</v>
      </c>
      <c r="F23" s="307">
        <f>GPDSRCH!I9</f>
        <v>30136.792938374307</v>
      </c>
      <c r="G23" s="355">
        <f t="shared" si="0"/>
        <v>35000</v>
      </c>
      <c r="H23" s="311">
        <f t="shared" si="1"/>
        <v>65000</v>
      </c>
      <c r="I23" s="356">
        <v>65000</v>
      </c>
      <c r="J23" s="309">
        <f>GPDSRCH!F9</f>
        <v>36212.405995131681</v>
      </c>
      <c r="K23" s="318">
        <f t="shared" si="2"/>
        <v>15000</v>
      </c>
      <c r="L23" s="315">
        <f t="shared" si="3"/>
        <v>6075.6130567573746</v>
      </c>
      <c r="M23" s="316">
        <f t="shared" si="4"/>
        <v>0.3</v>
      </c>
      <c r="N23" s="316">
        <f t="shared" si="5"/>
        <v>0.20160118129295268</v>
      </c>
      <c r="O23" s="325"/>
      <c r="U23" s="296"/>
      <c r="V23" s="296"/>
    </row>
    <row r="24" spans="1:24" x14ac:dyDescent="0.2">
      <c r="A24" s="272" t="s">
        <v>231</v>
      </c>
      <c r="B24" s="295" t="s">
        <v>177</v>
      </c>
      <c r="C24" s="54" t="s">
        <v>248</v>
      </c>
      <c r="D24" s="323">
        <v>1</v>
      </c>
      <c r="E24" s="311">
        <v>923975</v>
      </c>
      <c r="F24" s="307">
        <f>GAUDIO!I9</f>
        <v>26581.559263521289</v>
      </c>
      <c r="G24" s="355">
        <f t="shared" si="0"/>
        <v>646782.5</v>
      </c>
      <c r="H24" s="311">
        <f t="shared" si="1"/>
        <v>1201167.5</v>
      </c>
      <c r="I24" s="356">
        <v>1201167.5</v>
      </c>
      <c r="J24" s="309">
        <f>GAUDIO!F9</f>
        <v>29522.816952164638</v>
      </c>
      <c r="K24" s="318">
        <f t="shared" si="2"/>
        <v>277192.5</v>
      </c>
      <c r="L24" s="315">
        <f t="shared" si="3"/>
        <v>2941.257688643349</v>
      </c>
      <c r="M24" s="316">
        <f t="shared" si="4"/>
        <v>0.3</v>
      </c>
      <c r="N24" s="316">
        <f t="shared" si="5"/>
        <v>0.11065030683432216</v>
      </c>
      <c r="O24" s="325"/>
      <c r="R24" s="98"/>
      <c r="S24" s="98"/>
      <c r="T24" s="98"/>
      <c r="U24" s="296"/>
      <c r="V24" s="296"/>
    </row>
    <row r="25" spans="1:24" s="98" customFormat="1" x14ac:dyDescent="0.2">
      <c r="A25" s="272" t="s">
        <v>231</v>
      </c>
      <c r="B25" s="295" t="s">
        <v>237</v>
      </c>
      <c r="C25" s="54" t="s">
        <v>248</v>
      </c>
      <c r="D25" s="323">
        <v>1</v>
      </c>
      <c r="E25" s="311">
        <v>25810928.600000001</v>
      </c>
      <c r="F25" s="307">
        <f>GLINEARTV!I9</f>
        <v>168508.00202805389</v>
      </c>
      <c r="G25" s="371">
        <f>E25</f>
        <v>25810928.600000001</v>
      </c>
      <c r="H25" s="372">
        <f>E25</f>
        <v>25810928.600000001</v>
      </c>
      <c r="I25" s="356">
        <v>25810928.600000001</v>
      </c>
      <c r="J25" s="309">
        <f>GLINEARTV!F9</f>
        <v>168508.00202805389</v>
      </c>
      <c r="K25" s="318">
        <f t="shared" si="2"/>
        <v>0</v>
      </c>
      <c r="L25" s="315">
        <f t="shared" si="3"/>
        <v>0</v>
      </c>
      <c r="M25" s="316">
        <f t="shared" si="4"/>
        <v>0</v>
      </c>
      <c r="N25" s="316">
        <f t="shared" si="5"/>
        <v>0</v>
      </c>
      <c r="O25" s="325"/>
      <c r="U25" s="296"/>
      <c r="V25" s="296"/>
    </row>
    <row r="26" spans="1:24" s="98" customFormat="1" x14ac:dyDescent="0.2">
      <c r="A26" s="272" t="s">
        <v>231</v>
      </c>
      <c r="B26" s="295" t="s">
        <v>238</v>
      </c>
      <c r="C26" s="54" t="s">
        <v>129</v>
      </c>
      <c r="D26" s="323">
        <v>1</v>
      </c>
      <c r="E26" s="311">
        <v>2411968</v>
      </c>
      <c r="F26" s="307">
        <f>GPHRMCY!I9</f>
        <v>18205.929821531288</v>
      </c>
      <c r="G26" s="355">
        <f t="shared" si="0"/>
        <v>1688377.5999999999</v>
      </c>
      <c r="H26" s="357">
        <f t="shared" si="1"/>
        <v>3135558.4</v>
      </c>
      <c r="I26" s="356">
        <v>1688377.6</v>
      </c>
      <c r="J26" s="309">
        <f>GPHRMCY!F9</f>
        <v>13676.790074867196</v>
      </c>
      <c r="K26" s="318">
        <f t="shared" si="2"/>
        <v>-723590.39999999991</v>
      </c>
      <c r="L26" s="315">
        <f t="shared" si="3"/>
        <v>-4529.1397466640919</v>
      </c>
      <c r="M26" s="316">
        <f t="shared" si="4"/>
        <v>-0.3</v>
      </c>
      <c r="N26" s="316">
        <f t="shared" si="5"/>
        <v>-0.24877277848823154</v>
      </c>
      <c r="O26" s="325"/>
      <c r="P26" s="296"/>
      <c r="U26" s="296"/>
      <c r="V26" s="296"/>
    </row>
    <row r="27" spans="1:24" s="98" customFormat="1" x14ac:dyDescent="0.2">
      <c r="A27" s="127" t="s">
        <v>154</v>
      </c>
      <c r="B27" s="127" t="s">
        <v>99</v>
      </c>
      <c r="C27" s="127"/>
      <c r="D27" s="127"/>
      <c r="E27" s="312">
        <f>SUM(E17:E26)</f>
        <v>59976092.18</v>
      </c>
      <c r="F27" s="322">
        <f>SUM(F17:F26)</f>
        <v>761479.22554221447</v>
      </c>
      <c r="G27" s="312">
        <f>SUM(G17:G26)</f>
        <v>49726543.105999999</v>
      </c>
      <c r="H27" s="312">
        <f>SUM(H17:H26)</f>
        <v>70225641.253999993</v>
      </c>
      <c r="I27" s="312">
        <f t="shared" ref="I27:J27" si="6">SUM(I17:I26)</f>
        <v>59976092.154022627</v>
      </c>
      <c r="J27" s="322">
        <f t="shared" si="6"/>
        <v>826123.8861957849</v>
      </c>
      <c r="K27" s="312">
        <f t="shared" ref="K27" si="7">SUM(K17:K26)</f>
        <v>-2.5977372657507658E-2</v>
      </c>
      <c r="L27" s="152">
        <f>SUM(L17:L26)</f>
        <v>64644.660653570492</v>
      </c>
      <c r="M27" s="153">
        <f>K27/E27</f>
        <v>-4.3312879704707126E-10</v>
      </c>
      <c r="N27" s="153">
        <f>L27/F27</f>
        <v>8.4893531543871067E-2</v>
      </c>
      <c r="O27" s="326"/>
    </row>
    <row r="28" spans="1:24" x14ac:dyDescent="0.2">
      <c r="E28" s="321">
        <f>SUM(E17:E24,E26)</f>
        <v>34165163.579999998</v>
      </c>
      <c r="F28" s="321">
        <f t="shared" ref="F28:L28" si="8">SUM(F17:F24,F26)</f>
        <v>592971.22351416061</v>
      </c>
      <c r="G28" s="321">
        <f t="shared" si="8"/>
        <v>23915614.506000001</v>
      </c>
      <c r="H28" s="321">
        <f t="shared" si="8"/>
        <v>44414712.653999992</v>
      </c>
      <c r="I28" s="321">
        <f t="shared" si="8"/>
        <v>34165163.554022625</v>
      </c>
      <c r="J28" s="321">
        <f t="shared" si="8"/>
        <v>657615.88416773104</v>
      </c>
      <c r="K28" s="321">
        <f t="shared" si="8"/>
        <v>-2.5977372657507658E-2</v>
      </c>
      <c r="L28" s="321">
        <f t="shared" si="8"/>
        <v>64644.660653570492</v>
      </c>
      <c r="M28" s="325">
        <f>K28/E28</f>
        <v>-7.6034679584307908E-10</v>
      </c>
      <c r="N28" s="325">
        <f>L28/F28</f>
        <v>0.10901820879344364</v>
      </c>
    </row>
    <row r="29" spans="1:24" x14ac:dyDescent="0.2">
      <c r="E29" s="321"/>
      <c r="F29" s="321"/>
      <c r="G29" s="140"/>
      <c r="H29" s="140"/>
      <c r="I29" s="324"/>
      <c r="J29" s="321"/>
      <c r="K29" s="140"/>
    </row>
    <row r="30" spans="1:24" x14ac:dyDescent="0.2">
      <c r="C30" s="140"/>
      <c r="K30" s="140"/>
    </row>
    <row r="31" spans="1:24" s="98" customFormat="1" x14ac:dyDescent="0.2">
      <c r="D31" s="443" t="s">
        <v>154</v>
      </c>
      <c r="E31" s="443"/>
      <c r="F31" s="443"/>
      <c r="G31" s="443"/>
      <c r="H31" s="443"/>
      <c r="I31" s="443"/>
      <c r="J31" s="442"/>
      <c r="K31" s="442"/>
      <c r="L31" s="442"/>
      <c r="M31" s="442"/>
      <c r="N31" s="442"/>
      <c r="O31" s="442"/>
      <c r="P31" s="134"/>
    </row>
    <row r="32" spans="1:24" ht="51" x14ac:dyDescent="0.2">
      <c r="A32" s="425" t="s">
        <v>132</v>
      </c>
      <c r="D32" s="138" t="s">
        <v>126</v>
      </c>
      <c r="E32" s="138" t="s">
        <v>141</v>
      </c>
      <c r="F32" s="138" t="s">
        <v>145</v>
      </c>
      <c r="G32" s="138" t="s">
        <v>142</v>
      </c>
      <c r="H32" s="138" t="s">
        <v>143</v>
      </c>
      <c r="I32" s="138" t="s">
        <v>144</v>
      </c>
      <c r="J32" s="82"/>
      <c r="K32" s="82"/>
      <c r="L32" s="82"/>
      <c r="M32" s="82"/>
      <c r="N32" s="82"/>
      <c r="O32" s="82"/>
      <c r="P32" s="134"/>
    </row>
    <row r="33" spans="1:22" x14ac:dyDescent="0.2">
      <c r="A33" s="425"/>
      <c r="D33" s="155">
        <v>1</v>
      </c>
      <c r="E33" s="126">
        <v>225.94</v>
      </c>
      <c r="F33" s="348">
        <f>E33</f>
        <v>225.94</v>
      </c>
      <c r="G33" s="126">
        <f>E33</f>
        <v>225.94</v>
      </c>
      <c r="H33" s="139"/>
      <c r="I33" s="126">
        <f>E33</f>
        <v>225.94</v>
      </c>
      <c r="J33" s="133"/>
      <c r="K33" s="135"/>
      <c r="L33" s="136"/>
      <c r="M33" s="135"/>
      <c r="N33" s="137"/>
      <c r="O33" s="135"/>
      <c r="P33" s="134"/>
    </row>
    <row r="34" spans="1:22" ht="13.7" customHeight="1" x14ac:dyDescent="0.2">
      <c r="A34" s="424" t="s">
        <v>2</v>
      </c>
      <c r="B34" s="401" t="s">
        <v>3</v>
      </c>
      <c r="C34" s="401" t="str">
        <f t="shared" ref="C34:C45" si="9">D15</f>
        <v>Response Scaling Factor for Sensitivity Analysis</v>
      </c>
      <c r="D34" s="439" t="s">
        <v>86</v>
      </c>
      <c r="E34" s="440"/>
      <c r="F34" s="440"/>
      <c r="G34" s="441"/>
      <c r="H34" s="426" t="s">
        <v>89</v>
      </c>
      <c r="I34" s="427"/>
      <c r="J34" s="427"/>
      <c r="K34" s="439" t="s">
        <v>136</v>
      </c>
      <c r="L34" s="440"/>
      <c r="M34" s="440"/>
      <c r="N34" s="441"/>
      <c r="P34" s="134"/>
      <c r="Q34" s="134"/>
      <c r="R34" s="134"/>
      <c r="S34" s="134"/>
      <c r="T34" s="134"/>
      <c r="U34" s="134"/>
      <c r="V34" s="134"/>
    </row>
    <row r="35" spans="1:22" ht="74.45" customHeight="1" x14ac:dyDescent="0.2">
      <c r="A35" s="400"/>
      <c r="B35" s="400"/>
      <c r="C35" s="400">
        <f t="shared" si="9"/>
        <v>0</v>
      </c>
      <c r="D35" s="93" t="s">
        <v>234</v>
      </c>
      <c r="E35" s="93" t="s">
        <v>133</v>
      </c>
      <c r="F35" s="93" t="s">
        <v>134</v>
      </c>
      <c r="G35" s="93" t="s">
        <v>146</v>
      </c>
      <c r="H35" s="55" t="s">
        <v>235</v>
      </c>
      <c r="I35" s="55" t="s">
        <v>135</v>
      </c>
      <c r="J35" s="55" t="s">
        <v>147</v>
      </c>
      <c r="K35" s="93" t="s">
        <v>137</v>
      </c>
      <c r="L35" s="93" t="s">
        <v>138</v>
      </c>
      <c r="M35" s="93" t="s">
        <v>139</v>
      </c>
      <c r="N35" s="93" t="s">
        <v>140</v>
      </c>
    </row>
    <row r="36" spans="1:22" x14ac:dyDescent="0.2">
      <c r="A36" s="232" t="str">
        <f t="shared" ref="A36:B39" si="10">A17</f>
        <v>Gardasil Adults</v>
      </c>
      <c r="B36" s="232" t="str">
        <f t="shared" si="10"/>
        <v>HCC InOffice</v>
      </c>
      <c r="C36" s="358">
        <f t="shared" si="9"/>
        <v>1</v>
      </c>
      <c r="D36" s="99">
        <f t="shared" ref="D36:D45" si="11">E17</f>
        <v>1134710</v>
      </c>
      <c r="E36" s="254" t="s">
        <v>161</v>
      </c>
      <c r="F36" s="101">
        <f t="shared" ref="F36:F45" si="12">F17/$D$33</f>
        <v>7367.8666140222922</v>
      </c>
      <c r="G36" s="103">
        <f>F36*$F$33</f>
        <v>1664695.7827721967</v>
      </c>
      <c r="H36" s="105">
        <f t="shared" ref="H36:H45" si="13">I17</f>
        <v>794297</v>
      </c>
      <c r="I36" s="101">
        <f t="shared" ref="I36:I45" si="14">J17/$D$33</f>
        <v>5678.7947721770033</v>
      </c>
      <c r="J36" s="107">
        <f>I36*$F$33</f>
        <v>1283066.8908256721</v>
      </c>
      <c r="K36" s="99">
        <f>H36-D36</f>
        <v>-340413</v>
      </c>
      <c r="L36" s="99">
        <f>J36-G36</f>
        <v>-381628.89194652461</v>
      </c>
      <c r="M36" s="109">
        <f>K36/D36</f>
        <v>-0.3</v>
      </c>
      <c r="N36" s="110">
        <f>L36/G36</f>
        <v>-0.22924842838912157</v>
      </c>
      <c r="O36" s="327">
        <f>(J36-G36)/1000000</f>
        <v>-0.38162889194652461</v>
      </c>
    </row>
    <row r="37" spans="1:22" x14ac:dyDescent="0.2">
      <c r="A37" s="238" t="str">
        <f t="shared" si="10"/>
        <v>Gardasil Adults</v>
      </c>
      <c r="B37" s="238" t="str">
        <f t="shared" si="10"/>
        <v>HCP MCM</v>
      </c>
      <c r="C37" s="323">
        <f t="shared" si="9"/>
        <v>1</v>
      </c>
      <c r="D37" s="100">
        <f t="shared" si="11"/>
        <v>10503728.719999999</v>
      </c>
      <c r="E37" s="255" t="s">
        <v>161</v>
      </c>
      <c r="F37" s="102">
        <f t="shared" si="12"/>
        <v>288339.09761974216</v>
      </c>
      <c r="G37" s="104">
        <f t="shared" ref="G37:G44" si="15">F37*$F$33</f>
        <v>65147335.716204539</v>
      </c>
      <c r="H37" s="106">
        <f t="shared" si="13"/>
        <v>13654847.335999999</v>
      </c>
      <c r="I37" s="102">
        <f t="shared" si="14"/>
        <v>351876.44985588826</v>
      </c>
      <c r="J37" s="108">
        <f t="shared" ref="J37" si="16">I37*$F$33</f>
        <v>79502965.080439389</v>
      </c>
      <c r="K37" s="100">
        <f t="shared" ref="K37" si="17">H37-D37</f>
        <v>3151118.6160000004</v>
      </c>
      <c r="L37" s="100">
        <f t="shared" ref="L37" si="18">J37-G37</f>
        <v>14355629.36423485</v>
      </c>
      <c r="M37" s="111">
        <f t="shared" ref="M37" si="19">K37/D37</f>
        <v>0.30000000000000004</v>
      </c>
      <c r="N37" s="112">
        <f t="shared" ref="N37" si="20">L37/G37</f>
        <v>0.22035635389252115</v>
      </c>
      <c r="O37" s="327">
        <f t="shared" ref="O37:O45" si="21">(J37-G37)/1000000</f>
        <v>14.355629364234851</v>
      </c>
    </row>
    <row r="38" spans="1:22" s="98" customFormat="1" x14ac:dyDescent="0.2">
      <c r="A38" s="238" t="str">
        <f t="shared" si="10"/>
        <v>Gardasil Adults</v>
      </c>
      <c r="B38" s="238" t="str">
        <f t="shared" si="10"/>
        <v>HCC Social</v>
      </c>
      <c r="C38" s="323">
        <f t="shared" si="9"/>
        <v>1</v>
      </c>
      <c r="D38" s="100">
        <f t="shared" si="11"/>
        <v>1751000</v>
      </c>
      <c r="E38" s="255" t="s">
        <v>161</v>
      </c>
      <c r="F38" s="102">
        <f t="shared" si="12"/>
        <v>23820.403572058858</v>
      </c>
      <c r="G38" s="104">
        <f t="shared" si="15"/>
        <v>5381981.983070978</v>
      </c>
      <c r="H38" s="106">
        <f t="shared" si="13"/>
        <v>2205903.3000226272</v>
      </c>
      <c r="I38" s="102">
        <f t="shared" si="14"/>
        <v>27360.83264723729</v>
      </c>
      <c r="J38" s="108">
        <f t="shared" ref="J38:J44" si="22">I38*$F$33</f>
        <v>6181906.528316793</v>
      </c>
      <c r="K38" s="100">
        <f t="shared" ref="K38:K44" si="23">H38-D38</f>
        <v>454903.30002262723</v>
      </c>
      <c r="L38" s="100">
        <f t="shared" ref="L38:L44" si="24">J38-G38</f>
        <v>799924.54524581507</v>
      </c>
      <c r="M38" s="111">
        <f t="shared" ref="M38:M44" si="25">K38/D38</f>
        <v>0.259796287848445</v>
      </c>
      <c r="N38" s="112">
        <f t="shared" ref="N38:N44" si="26">L38/G38</f>
        <v>0.14863010462725021</v>
      </c>
      <c r="O38" s="327">
        <f t="shared" si="21"/>
        <v>0.79992454524581502</v>
      </c>
      <c r="P38" s="113"/>
    </row>
    <row r="39" spans="1:22" s="98" customFormat="1" x14ac:dyDescent="0.2">
      <c r="A39" s="238" t="str">
        <f t="shared" si="10"/>
        <v>Gardasil Adults</v>
      </c>
      <c r="B39" s="238" t="str">
        <f t="shared" si="10"/>
        <v>HCC Online Video</v>
      </c>
      <c r="C39" s="323">
        <f t="shared" si="9"/>
        <v>1</v>
      </c>
      <c r="D39" s="100">
        <f t="shared" si="11"/>
        <v>1111779.04</v>
      </c>
      <c r="E39" s="255" t="s">
        <v>161</v>
      </c>
      <c r="F39" s="102">
        <f t="shared" si="12"/>
        <v>21646.235649615526</v>
      </c>
      <c r="G39" s="104">
        <f t="shared" si="15"/>
        <v>4890750.4826741321</v>
      </c>
      <c r="H39" s="106">
        <f t="shared" si="13"/>
        <v>1445312.7520000001</v>
      </c>
      <c r="I39" s="102">
        <f t="shared" si="14"/>
        <v>25719.483123207465</v>
      </c>
      <c r="J39" s="108">
        <f t="shared" si="22"/>
        <v>5811060.0168574946</v>
      </c>
      <c r="K39" s="100">
        <f t="shared" si="23"/>
        <v>333533.71200000006</v>
      </c>
      <c r="L39" s="100">
        <f t="shared" si="24"/>
        <v>920309.5341833625</v>
      </c>
      <c r="M39" s="111">
        <f t="shared" si="25"/>
        <v>0.30000000000000004</v>
      </c>
      <c r="N39" s="112">
        <f t="shared" si="26"/>
        <v>0.18817347919171737</v>
      </c>
      <c r="O39" s="327">
        <f t="shared" si="21"/>
        <v>0.92030953418336248</v>
      </c>
    </row>
    <row r="40" spans="1:22" s="98" customFormat="1" x14ac:dyDescent="0.2">
      <c r="A40" s="238" t="str">
        <f t="shared" ref="A40:A45" si="27">A21</f>
        <v>Gardasil Adults</v>
      </c>
      <c r="B40" s="238" t="str">
        <f t="shared" ref="B40:B45" si="28">B21</f>
        <v>HCC Streaming Video</v>
      </c>
      <c r="C40" s="323">
        <f t="shared" si="9"/>
        <v>1</v>
      </c>
      <c r="D40" s="100">
        <f t="shared" si="11"/>
        <v>13418576</v>
      </c>
      <c r="E40" s="255" t="s">
        <v>161</v>
      </c>
      <c r="F40" s="102">
        <f t="shared" si="12"/>
        <v>100808.3256282994</v>
      </c>
      <c r="G40" s="104">
        <f t="shared" si="15"/>
        <v>22776633.092457965</v>
      </c>
      <c r="H40" s="106">
        <f t="shared" si="13"/>
        <v>9393003.1999999993</v>
      </c>
      <c r="I40" s="102">
        <f t="shared" si="14"/>
        <v>78535.322127134612</v>
      </c>
      <c r="J40" s="108">
        <f t="shared" si="22"/>
        <v>17744270.681404795</v>
      </c>
      <c r="K40" s="100">
        <f t="shared" si="23"/>
        <v>-4025572.8000000007</v>
      </c>
      <c r="L40" s="100">
        <f t="shared" si="24"/>
        <v>-5032362.4110531695</v>
      </c>
      <c r="M40" s="111">
        <f t="shared" si="25"/>
        <v>-0.30000000000000004</v>
      </c>
      <c r="N40" s="112">
        <f t="shared" si="26"/>
        <v>-0.22094408732955081</v>
      </c>
      <c r="O40" s="327">
        <f t="shared" si="21"/>
        <v>-5.0323624110531693</v>
      </c>
    </row>
    <row r="41" spans="1:22" s="98" customFormat="1" x14ac:dyDescent="0.2">
      <c r="A41" s="238" t="str">
        <f t="shared" si="27"/>
        <v>Gardasil Adults</v>
      </c>
      <c r="B41" s="238" t="str">
        <f t="shared" si="28"/>
        <v>HCC Display</v>
      </c>
      <c r="C41" s="323">
        <f t="shared" si="9"/>
        <v>1</v>
      </c>
      <c r="D41" s="100">
        <f t="shared" si="11"/>
        <v>2859426.82</v>
      </c>
      <c r="E41" s="255" t="s">
        <v>161</v>
      </c>
      <c r="F41" s="102">
        <f t="shared" si="12"/>
        <v>76065.012406995462</v>
      </c>
      <c r="G41" s="104">
        <f t="shared" si="15"/>
        <v>17186128.903236553</v>
      </c>
      <c r="H41" s="106">
        <f t="shared" si="13"/>
        <v>3717254.8659999999</v>
      </c>
      <c r="I41" s="102">
        <f t="shared" si="14"/>
        <v>89032.988619922922</v>
      </c>
      <c r="J41" s="108">
        <f t="shared" si="22"/>
        <v>20116113.448785383</v>
      </c>
      <c r="K41" s="100">
        <f t="shared" si="23"/>
        <v>857828.04600000009</v>
      </c>
      <c r="L41" s="100">
        <f t="shared" si="24"/>
        <v>2929984.5455488302</v>
      </c>
      <c r="M41" s="111">
        <f t="shared" si="25"/>
        <v>0.30000000000000004</v>
      </c>
      <c r="N41" s="112">
        <f t="shared" si="26"/>
        <v>0.17048542822211959</v>
      </c>
      <c r="O41" s="327">
        <f t="shared" si="21"/>
        <v>2.9299845455488303</v>
      </c>
    </row>
    <row r="42" spans="1:22" x14ac:dyDescent="0.2">
      <c r="A42" s="238" t="str">
        <f t="shared" si="27"/>
        <v>Gardasil Adults</v>
      </c>
      <c r="B42" s="238" t="str">
        <f t="shared" si="28"/>
        <v>HCC Paid Search</v>
      </c>
      <c r="C42" s="323">
        <f t="shared" si="9"/>
        <v>1</v>
      </c>
      <c r="D42" s="100">
        <f t="shared" si="11"/>
        <v>50000</v>
      </c>
      <c r="E42" s="255" t="s">
        <v>161</v>
      </c>
      <c r="F42" s="102">
        <f t="shared" si="12"/>
        <v>30136.792938374307</v>
      </c>
      <c r="G42" s="104">
        <f t="shared" si="15"/>
        <v>6809106.9964962909</v>
      </c>
      <c r="H42" s="106">
        <f t="shared" si="13"/>
        <v>65000</v>
      </c>
      <c r="I42" s="102">
        <f t="shared" si="14"/>
        <v>36212.405995131681</v>
      </c>
      <c r="J42" s="108">
        <f t="shared" si="22"/>
        <v>8181831.0105400523</v>
      </c>
      <c r="K42" s="100">
        <f t="shared" si="23"/>
        <v>15000</v>
      </c>
      <c r="L42" s="100">
        <f t="shared" si="24"/>
        <v>1372724.0140437614</v>
      </c>
      <c r="M42" s="111">
        <f t="shared" si="25"/>
        <v>0.3</v>
      </c>
      <c r="N42" s="112">
        <f t="shared" si="26"/>
        <v>0.20160118129295271</v>
      </c>
      <c r="O42" s="327">
        <f t="shared" si="21"/>
        <v>1.3727240140437613</v>
      </c>
    </row>
    <row r="43" spans="1:22" s="98" customFormat="1" x14ac:dyDescent="0.2">
      <c r="A43" s="238" t="str">
        <f t="shared" si="27"/>
        <v>Gardasil Adults</v>
      </c>
      <c r="B43" s="238" t="str">
        <f t="shared" si="28"/>
        <v>HCC Radio</v>
      </c>
      <c r="C43" s="323">
        <f t="shared" si="9"/>
        <v>1</v>
      </c>
      <c r="D43" s="100">
        <f t="shared" si="11"/>
        <v>923975</v>
      </c>
      <c r="E43" s="255" t="s">
        <v>161</v>
      </c>
      <c r="F43" s="102">
        <f t="shared" si="12"/>
        <v>26581.559263521289</v>
      </c>
      <c r="G43" s="104">
        <f t="shared" si="15"/>
        <v>6005837.5</v>
      </c>
      <c r="H43" s="106">
        <f t="shared" si="13"/>
        <v>1201167.5</v>
      </c>
      <c r="I43" s="102">
        <f t="shared" si="14"/>
        <v>29522.816952164638</v>
      </c>
      <c r="J43" s="108">
        <f t="shared" si="22"/>
        <v>6670385.2621720778</v>
      </c>
      <c r="K43" s="100">
        <f t="shared" si="23"/>
        <v>277192.5</v>
      </c>
      <c r="L43" s="100">
        <f t="shared" si="24"/>
        <v>664547.76217207778</v>
      </c>
      <c r="M43" s="111">
        <f t="shared" si="25"/>
        <v>0.3</v>
      </c>
      <c r="N43" s="112">
        <f t="shared" si="26"/>
        <v>0.11065030683432207</v>
      </c>
      <c r="O43" s="327">
        <f t="shared" si="21"/>
        <v>0.66454776217207778</v>
      </c>
    </row>
    <row r="44" spans="1:22" s="98" customFormat="1" x14ac:dyDescent="0.2">
      <c r="A44" s="238" t="str">
        <f t="shared" si="27"/>
        <v>Gardasil Adults</v>
      </c>
      <c r="B44" s="238" t="str">
        <f t="shared" si="28"/>
        <v>HCC Linear TV</v>
      </c>
      <c r="C44" s="323">
        <f t="shared" si="9"/>
        <v>1</v>
      </c>
      <c r="D44" s="100">
        <f t="shared" si="11"/>
        <v>25810928.600000001</v>
      </c>
      <c r="E44" s="255" t="s">
        <v>161</v>
      </c>
      <c r="F44" s="102">
        <f t="shared" si="12"/>
        <v>168508.00202805389</v>
      </c>
      <c r="G44" s="104">
        <f t="shared" si="15"/>
        <v>38072697.978218496</v>
      </c>
      <c r="H44" s="106">
        <f t="shared" si="13"/>
        <v>25810928.600000001</v>
      </c>
      <c r="I44" s="102">
        <f t="shared" si="14"/>
        <v>168508.00202805389</v>
      </c>
      <c r="J44" s="108">
        <f t="shared" si="22"/>
        <v>38072697.978218496</v>
      </c>
      <c r="K44" s="100">
        <f t="shared" si="23"/>
        <v>0</v>
      </c>
      <c r="L44" s="100">
        <f t="shared" si="24"/>
        <v>0</v>
      </c>
      <c r="M44" s="111">
        <f t="shared" si="25"/>
        <v>0</v>
      </c>
      <c r="N44" s="112">
        <f t="shared" si="26"/>
        <v>0</v>
      </c>
      <c r="O44" s="327">
        <f t="shared" si="21"/>
        <v>0</v>
      </c>
    </row>
    <row r="45" spans="1:22" s="98" customFormat="1" x14ac:dyDescent="0.2">
      <c r="A45" s="238" t="str">
        <f t="shared" si="27"/>
        <v>Gardasil Adults</v>
      </c>
      <c r="B45" s="238" t="str">
        <f t="shared" si="28"/>
        <v>HCC Pharmacy</v>
      </c>
      <c r="C45" s="323">
        <f t="shared" si="9"/>
        <v>1</v>
      </c>
      <c r="D45" s="100">
        <f t="shared" si="11"/>
        <v>2411968</v>
      </c>
      <c r="E45" s="255" t="s">
        <v>161</v>
      </c>
      <c r="F45" s="102">
        <f t="shared" si="12"/>
        <v>18205.929821531288</v>
      </c>
      <c r="G45" s="104">
        <f t="shared" ref="G45" si="29">F45*$F$33</f>
        <v>4113447.783876779</v>
      </c>
      <c r="H45" s="106">
        <f t="shared" si="13"/>
        <v>1688377.6</v>
      </c>
      <c r="I45" s="102">
        <f t="shared" si="14"/>
        <v>13676.790074867196</v>
      </c>
      <c r="J45" s="108">
        <f t="shared" ref="J45" si="30">I45*$F$33</f>
        <v>3090133.9495154945</v>
      </c>
      <c r="K45" s="100">
        <f t="shared" ref="K45" si="31">H45-D45</f>
        <v>-723590.39999999991</v>
      </c>
      <c r="L45" s="100">
        <f t="shared" ref="L45" si="32">J45-G45</f>
        <v>-1023313.8343612845</v>
      </c>
      <c r="M45" s="111">
        <f t="shared" ref="M45" si="33">K45/D45</f>
        <v>-0.3</v>
      </c>
      <c r="N45" s="112">
        <f t="shared" ref="N45" si="34">L45/G45</f>
        <v>-0.24877277848823146</v>
      </c>
      <c r="O45" s="327">
        <f t="shared" si="21"/>
        <v>-1.0233138343612844</v>
      </c>
    </row>
    <row r="46" spans="1:22" s="98" customFormat="1" x14ac:dyDescent="0.2">
      <c r="A46" s="128" t="s">
        <v>154</v>
      </c>
      <c r="B46" s="128" t="s">
        <v>99</v>
      </c>
      <c r="C46" s="128"/>
      <c r="D46" s="131">
        <f>SUM(D36:D45)</f>
        <v>59976092.18</v>
      </c>
      <c r="E46" s="256"/>
      <c r="F46" s="130">
        <f t="shared" ref="F46:I46" si="35">SUM(F36:F45)</f>
        <v>761479.22554221447</v>
      </c>
      <c r="G46" s="131">
        <f t="shared" si="35"/>
        <v>172048616.21900794</v>
      </c>
      <c r="H46" s="131">
        <f t="shared" si="35"/>
        <v>59976092.154022627</v>
      </c>
      <c r="I46" s="130">
        <f t="shared" si="35"/>
        <v>826123.8861957849</v>
      </c>
      <c r="J46" s="131">
        <f>SUM(J36:J45)</f>
        <v>186654430.84707564</v>
      </c>
      <c r="K46" s="131">
        <f>SUM(K36:K45)</f>
        <v>-2.5977372657507658E-2</v>
      </c>
      <c r="L46" s="131">
        <f>SUM(L36:L45)</f>
        <v>14605814.628067717</v>
      </c>
      <c r="M46" s="129">
        <f>K46/D46</f>
        <v>-4.3312879704707126E-10</v>
      </c>
      <c r="N46" s="132">
        <f>L46/G46</f>
        <v>8.4893531543871067E-2</v>
      </c>
    </row>
    <row r="47" spans="1:22" x14ac:dyDescent="0.2">
      <c r="D47" s="149"/>
      <c r="E47" s="257"/>
      <c r="F47" s="150"/>
      <c r="G47" s="113"/>
      <c r="H47" s="98"/>
      <c r="I47" s="94"/>
      <c r="J47" s="113"/>
      <c r="K47" s="98"/>
      <c r="L47" s="113"/>
      <c r="M47" s="117"/>
      <c r="N47" s="114"/>
    </row>
    <row r="48" spans="1:22" x14ac:dyDescent="0.2">
      <c r="D48" s="149"/>
      <c r="E48" s="257"/>
      <c r="F48" s="150"/>
      <c r="G48" s="327"/>
      <c r="H48" s="98"/>
      <c r="I48" s="94"/>
      <c r="J48" s="113"/>
      <c r="K48" s="98"/>
      <c r="L48" s="113"/>
      <c r="M48" s="117"/>
      <c r="N48" s="114"/>
    </row>
    <row r="49" spans="4:14" x14ac:dyDescent="0.2">
      <c r="D49" s="149"/>
      <c r="E49" s="257"/>
      <c r="F49" s="150"/>
      <c r="G49" s="352">
        <f>G46/D46</f>
        <v>2.8686199778181005</v>
      </c>
      <c r="H49" s="98"/>
      <c r="I49" s="94"/>
      <c r="J49" s="352">
        <f>J46/D46</f>
        <v>3.1121472583923797</v>
      </c>
      <c r="K49" s="98"/>
      <c r="L49" s="113"/>
      <c r="M49" s="117"/>
      <c r="N49" s="114"/>
    </row>
    <row r="50" spans="4:14" x14ac:dyDescent="0.2">
      <c r="D50" s="134">
        <f>G43/D43</f>
        <v>6.5</v>
      </c>
      <c r="E50" s="258"/>
      <c r="F50" s="134"/>
      <c r="G50" s="98"/>
      <c r="H50" s="98"/>
      <c r="I50" s="98"/>
      <c r="J50" s="98"/>
      <c r="K50" s="98"/>
      <c r="L50" s="98"/>
      <c r="M50" s="98"/>
      <c r="N50" s="98"/>
    </row>
    <row r="51" spans="4:14" x14ac:dyDescent="0.2">
      <c r="D51" s="151"/>
      <c r="E51" s="258"/>
      <c r="F51" s="134"/>
      <c r="G51" s="98"/>
      <c r="H51" s="98"/>
      <c r="I51" s="98"/>
      <c r="J51" s="98"/>
      <c r="K51" s="98"/>
      <c r="L51" s="98"/>
      <c r="M51" s="98"/>
      <c r="N51" s="98"/>
    </row>
    <row r="52" spans="4:14" x14ac:dyDescent="0.2">
      <c r="D52" s="134"/>
      <c r="E52" s="258"/>
      <c r="F52" s="134"/>
    </row>
    <row r="53" spans="4:14" x14ac:dyDescent="0.2">
      <c r="E53" s="259"/>
    </row>
    <row r="54" spans="4:14" x14ac:dyDescent="0.2">
      <c r="E54" s="259"/>
    </row>
    <row r="55" spans="4:14" x14ac:dyDescent="0.2">
      <c r="E55" s="259"/>
    </row>
    <row r="56" spans="4:14" x14ac:dyDescent="0.2">
      <c r="E56" s="259"/>
    </row>
    <row r="57" spans="4:14" x14ac:dyDescent="0.2">
      <c r="E57" s="259"/>
    </row>
  </sheetData>
  <mergeCells count="20">
    <mergeCell ref="H34:J34"/>
    <mergeCell ref="B4:I4"/>
    <mergeCell ref="E5:I5"/>
    <mergeCell ref="E6:I6"/>
    <mergeCell ref="K15:N15"/>
    <mergeCell ref="K34:N34"/>
    <mergeCell ref="J31:O31"/>
    <mergeCell ref="C15:C16"/>
    <mergeCell ref="D15:D16"/>
    <mergeCell ref="E15:F15"/>
    <mergeCell ref="G15:H15"/>
    <mergeCell ref="I15:J15"/>
    <mergeCell ref="D31:I31"/>
    <mergeCell ref="C34:C35"/>
    <mergeCell ref="D34:G34"/>
    <mergeCell ref="A34:A35"/>
    <mergeCell ref="B34:B35"/>
    <mergeCell ref="A32:A33"/>
    <mergeCell ref="A15:A16"/>
    <mergeCell ref="B15:B16"/>
  </mergeCells>
  <conditionalFormatting sqref="M17:M26">
    <cfRule type="cellIs" dxfId="0" priority="1" operator="lessThan">
      <formula>0</formula>
    </cfRule>
  </conditionalFormatting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ignoredErrors>
    <ignoredError sqref="G25:H25" formula="1"/>
  </ignoredError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>
    <tabColor theme="3" tint="0.79998168889431442"/>
  </sheetPr>
  <dimension ref="A1:R42"/>
  <sheetViews>
    <sheetView topLeftCell="A21" workbookViewId="0">
      <selection activeCell="E22" activeCellId="1" sqref="C22:C42 E22:E42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5703125" style="98" customWidth="1"/>
    <col min="5" max="5" width="14.5703125" style="98" customWidth="1"/>
    <col min="6" max="6" width="12.42578125" style="98" customWidth="1"/>
    <col min="7" max="7" width="12" style="98" customWidth="1"/>
    <col min="8" max="10" width="10.42578125" style="98" customWidth="1"/>
    <col min="11" max="11" width="14.42578125" style="98" bestFit="1" customWidth="1"/>
    <col min="12" max="13" width="12" style="98" bestFit="1" customWidth="1"/>
    <col min="14" max="14" width="12.5703125" style="98" customWidth="1"/>
    <col min="15" max="15" width="9.5703125" style="98" bestFit="1" customWidth="1"/>
    <col min="16" max="16" width="8.85546875" style="98"/>
    <col min="17" max="18" width="10.425781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153</v>
      </c>
    </row>
    <row r="2" spans="1:18" x14ac:dyDescent="0.2">
      <c r="A2" s="7" t="s">
        <v>2</v>
      </c>
      <c r="B2" s="8" t="s">
        <v>231</v>
      </c>
      <c r="C2" s="9" t="s">
        <v>4</v>
      </c>
      <c r="D2" s="8" t="s">
        <v>6</v>
      </c>
      <c r="E2" s="9" t="s">
        <v>116</v>
      </c>
      <c r="F2" s="10" t="s">
        <v>163</v>
      </c>
      <c r="H2" s="120" t="s">
        <v>102</v>
      </c>
      <c r="I2" s="121"/>
      <c r="J2" s="121"/>
      <c r="K2" s="121"/>
      <c r="L2" s="122"/>
    </row>
    <row r="3" spans="1:18" ht="13.5" thickBot="1" x14ac:dyDescent="0.25">
      <c r="A3" s="11" t="s">
        <v>3</v>
      </c>
      <c r="B3" s="12" t="s">
        <v>155</v>
      </c>
      <c r="C3" s="13" t="s">
        <v>5</v>
      </c>
      <c r="D3" s="12" t="s">
        <v>163</v>
      </c>
      <c r="E3" s="13" t="s">
        <v>104</v>
      </c>
      <c r="F3" s="14" t="s">
        <v>165</v>
      </c>
    </row>
    <row r="4" spans="1:18" ht="15" customHeight="1" thickBot="1" x14ac:dyDescent="0.25">
      <c r="A4" s="80" t="s">
        <v>38</v>
      </c>
      <c r="B4" s="454" t="s">
        <v>106</v>
      </c>
      <c r="C4" s="454"/>
      <c r="D4" s="454"/>
      <c r="E4" s="454"/>
      <c r="F4" s="455"/>
      <c r="H4" s="98" t="s">
        <v>107</v>
      </c>
    </row>
    <row r="5" spans="1:18" x14ac:dyDescent="0.2">
      <c r="H5" s="98" t="s">
        <v>166</v>
      </c>
    </row>
    <row r="6" spans="1:18" ht="13.5" thickBot="1" x14ac:dyDescent="0.25">
      <c r="B6" s="94">
        <f>VAC_Optim_Scenario!$G$14</f>
        <v>0.7</v>
      </c>
      <c r="C6" s="94">
        <f>VAC_Optim_Scenario!$H$14</f>
        <v>1.3</v>
      </c>
    </row>
    <row r="7" spans="1:18" ht="27.75" customHeight="1" x14ac:dyDescent="0.2">
      <c r="A7" s="452" t="s">
        <v>8</v>
      </c>
      <c r="B7" s="457" t="s">
        <v>9</v>
      </c>
      <c r="C7" s="458"/>
      <c r="D7" s="459" t="s">
        <v>12</v>
      </c>
      <c r="E7" s="460"/>
      <c r="F7" s="461"/>
      <c r="G7" s="457" t="s">
        <v>124</v>
      </c>
      <c r="H7" s="457"/>
      <c r="I7" s="462"/>
      <c r="J7" s="98" t="s">
        <v>125</v>
      </c>
    </row>
    <row r="8" spans="1:18" ht="28.35" customHeight="1" x14ac:dyDescent="0.2">
      <c r="A8" s="456"/>
      <c r="B8" s="119" t="s">
        <v>10</v>
      </c>
      <c r="C8" s="17" t="s">
        <v>11</v>
      </c>
      <c r="D8" s="19" t="s">
        <v>20</v>
      </c>
      <c r="E8" s="119" t="s">
        <v>21</v>
      </c>
      <c r="F8" s="81" t="s">
        <v>117</v>
      </c>
      <c r="G8" s="118" t="s">
        <v>22</v>
      </c>
      <c r="H8" s="119" t="s">
        <v>23</v>
      </c>
      <c r="I8" s="88" t="s">
        <v>123</v>
      </c>
    </row>
    <row r="9" spans="1:18" ht="14.45" customHeight="1" thickBot="1" x14ac:dyDescent="0.25">
      <c r="A9" s="453"/>
      <c r="B9" s="95">
        <f>VAC_Optim_Scenario!G17</f>
        <v>794297</v>
      </c>
      <c r="C9" s="95">
        <f>VAC_Optim_Scenario!H17</f>
        <v>1475123</v>
      </c>
      <c r="D9" s="68">
        <f>VAC_Optim_Scenario!I17</f>
        <v>794297</v>
      </c>
      <c r="E9" s="84">
        <f>((($R$12/(1+EXP($P$12+$Q$12*D9)))-1) - ($F$12-$C$12))*$I$12</f>
        <v>5678.7947721770033</v>
      </c>
      <c r="F9" s="89">
        <f>E9*$G$12</f>
        <v>5678.7947721770033</v>
      </c>
      <c r="G9" s="95">
        <f>VAC_Optim_Scenario!E17</f>
        <v>1134710</v>
      </c>
      <c r="H9" s="85">
        <f>((($R$12/(1+EXP($P$12+$Q$12*G9)))-1) - ($F$12-$C$12))*$I$12</f>
        <v>7367.8666140222922</v>
      </c>
      <c r="I9" s="90">
        <f>H9*$G$12</f>
        <v>7367.8666140222922</v>
      </c>
      <c r="J9" s="87">
        <f>G9/I9</f>
        <v>154.00794550765286</v>
      </c>
      <c r="K9" s="98" t="s">
        <v>167</v>
      </c>
    </row>
    <row r="10" spans="1:18" ht="13.5" thickBot="1" x14ac:dyDescent="0.25"/>
    <row r="11" spans="1:18" ht="51.6" customHeight="1" x14ac:dyDescent="0.2">
      <c r="A11" s="452" t="s">
        <v>15</v>
      </c>
      <c r="B11" s="282" t="s">
        <v>16</v>
      </c>
      <c r="C11" s="282" t="s">
        <v>17</v>
      </c>
      <c r="D11" s="282" t="s">
        <v>18</v>
      </c>
      <c r="E11" s="282" t="s">
        <v>19</v>
      </c>
      <c r="F11" s="283" t="s">
        <v>109</v>
      </c>
      <c r="G11" s="281" t="s">
        <v>168</v>
      </c>
      <c r="H11" s="282" t="s">
        <v>119</v>
      </c>
      <c r="I11" s="92" t="s">
        <v>122</v>
      </c>
      <c r="K11" s="444" t="s">
        <v>25</v>
      </c>
      <c r="L11" s="123" t="s">
        <v>110</v>
      </c>
      <c r="M11" s="123" t="s">
        <v>111</v>
      </c>
      <c r="N11" s="123" t="s">
        <v>112</v>
      </c>
      <c r="O11" s="123" t="s">
        <v>113</v>
      </c>
      <c r="P11" s="123" t="s">
        <v>26</v>
      </c>
      <c r="Q11" s="123" t="s">
        <v>27</v>
      </c>
      <c r="R11" s="124" t="s">
        <v>28</v>
      </c>
    </row>
    <row r="12" spans="1:18" ht="15" customHeight="1" thickBot="1" x14ac:dyDescent="0.25">
      <c r="A12" s="453"/>
      <c r="B12" s="319">
        <f>'[1]HCC Inoffice Curve'!$B$12</f>
        <v>1100000</v>
      </c>
      <c r="C12" s="319">
        <f>'[1]HCC Inoffice Curve'!$C$12</f>
        <v>7211.735697901333</v>
      </c>
      <c r="D12" s="319">
        <f>'[1]HCC Inoffice Curve'!$D$12</f>
        <v>0</v>
      </c>
      <c r="E12" s="319">
        <f>'[1]HCC Inoffice Curve'!$E$12</f>
        <v>14423.471395802664</v>
      </c>
      <c r="F12" s="319">
        <f>'[1]HCC Inoffice Curve'!$F$12</f>
        <v>4647854</v>
      </c>
      <c r="G12" s="156">
        <f>VAC_Optim_Scenario!$D$33</f>
        <v>1</v>
      </c>
      <c r="H12" s="71">
        <f>C12*G12</f>
        <v>7211.735697901333</v>
      </c>
      <c r="I12" s="320">
        <f>VAC_Optim_Scenario!D17</f>
        <v>1</v>
      </c>
      <c r="K12" s="445"/>
      <c r="L12" s="71">
        <f>F12-C12</f>
        <v>4640642.2643020991</v>
      </c>
      <c r="M12" s="71">
        <f>L12+E12</f>
        <v>4655065.7356979018</v>
      </c>
      <c r="N12" s="72">
        <f>B12</f>
        <v>1100000</v>
      </c>
      <c r="O12" s="71">
        <f>F12</f>
        <v>4647854</v>
      </c>
      <c r="P12" s="24">
        <f>LN((($M$12+1)/($L$12+1))-1)</f>
        <v>-5.7737514324753851</v>
      </c>
      <c r="Q12" s="73">
        <f>(LN((($M$12+1)/($O$12+1))-1)-$P$12)/$N$12</f>
        <v>-6.3154546566573907E-7</v>
      </c>
      <c r="R12" s="74">
        <f>M12+1</f>
        <v>4655066.7356979018</v>
      </c>
    </row>
    <row r="13" spans="1:18" ht="34.35" customHeight="1" x14ac:dyDescent="0.2">
      <c r="A13" s="446" t="s">
        <v>169</v>
      </c>
      <c r="B13" s="447"/>
      <c r="C13" s="447"/>
      <c r="D13" s="447"/>
      <c r="E13" s="447"/>
      <c r="F13" s="448"/>
      <c r="G13" s="119" t="s">
        <v>150</v>
      </c>
      <c r="H13" s="119" t="s">
        <v>151</v>
      </c>
      <c r="K13" s="446" t="s">
        <v>115</v>
      </c>
      <c r="L13" s="447"/>
      <c r="M13" s="447"/>
      <c r="N13" s="447"/>
      <c r="O13" s="447"/>
      <c r="P13" s="447"/>
      <c r="Q13" s="447"/>
      <c r="R13" s="448"/>
    </row>
    <row r="14" spans="1:18" ht="33.6" customHeight="1" thickBot="1" x14ac:dyDescent="0.25">
      <c r="A14" s="449"/>
      <c r="B14" s="450"/>
      <c r="C14" s="450"/>
      <c r="D14" s="450"/>
      <c r="E14" s="450"/>
      <c r="F14" s="451"/>
      <c r="G14" s="95">
        <f>VAC_Optim_Scenario!$I$33</f>
        <v>225.94</v>
      </c>
      <c r="H14" s="95">
        <f>VAC_Optim_Scenario!$F$33</f>
        <v>225.94</v>
      </c>
      <c r="K14" s="449"/>
      <c r="L14" s="450"/>
      <c r="M14" s="450"/>
      <c r="N14" s="450"/>
      <c r="O14" s="450"/>
      <c r="P14" s="450"/>
      <c r="Q14" s="450"/>
      <c r="R14" s="451"/>
    </row>
    <row r="16" spans="1:18" ht="13.5" thickBot="1" x14ac:dyDescent="0.25"/>
    <row r="17" spans="1:8" ht="42.6" customHeight="1" x14ac:dyDescent="0.2">
      <c r="A17" s="444" t="s">
        <v>34</v>
      </c>
      <c r="B17" s="123" t="s">
        <v>32</v>
      </c>
      <c r="C17" s="123" t="s">
        <v>31</v>
      </c>
      <c r="D17" s="124" t="s">
        <v>33</v>
      </c>
      <c r="F17" s="82"/>
      <c r="G17" s="82"/>
      <c r="H17" s="83"/>
    </row>
    <row r="18" spans="1:8" ht="23.45" customHeight="1" thickBot="1" x14ac:dyDescent="0.25">
      <c r="A18" s="445"/>
      <c r="B18" s="75">
        <v>0</v>
      </c>
      <c r="C18" s="76">
        <v>4000000</v>
      </c>
      <c r="D18" s="26">
        <v>20</v>
      </c>
    </row>
    <row r="20" spans="1:8" x14ac:dyDescent="0.2">
      <c r="A20" s="425" t="s">
        <v>37</v>
      </c>
      <c r="B20" s="425"/>
      <c r="C20" s="425"/>
    </row>
    <row r="21" spans="1:8" ht="25.5" x14ac:dyDescent="0.2">
      <c r="A21" s="119" t="s">
        <v>35</v>
      </c>
      <c r="B21" s="119" t="s">
        <v>170</v>
      </c>
      <c r="C21" s="119" t="s">
        <v>171</v>
      </c>
      <c r="D21" s="98" t="s">
        <v>172</v>
      </c>
      <c r="E21" s="119" t="s">
        <v>152</v>
      </c>
    </row>
    <row r="22" spans="1:8" x14ac:dyDescent="0.2">
      <c r="A22" s="86">
        <f>B18</f>
        <v>0</v>
      </c>
      <c r="B22" s="79">
        <f t="shared" ref="B22:B42" si="0">((($R$12/(1+EXP($P$12+$Q$12*A22)))-1) - ($F$12-$C$12))*$I$12</f>
        <v>0</v>
      </c>
      <c r="C22" s="79">
        <f>B22*$G$12</f>
        <v>0</v>
      </c>
      <c r="E22" s="116">
        <f>B22*$H$14</f>
        <v>0</v>
      </c>
    </row>
    <row r="23" spans="1:8" x14ac:dyDescent="0.2">
      <c r="A23" s="86">
        <f>A22+(($C$18-$B$18)/$D$18)</f>
        <v>200000</v>
      </c>
      <c r="B23" s="79">
        <f t="shared" si="0"/>
        <v>1706.7793306829408</v>
      </c>
      <c r="C23" s="79">
        <f t="shared" ref="C23:C42" si="1">B23*$G$12</f>
        <v>1706.7793306829408</v>
      </c>
      <c r="D23" s="98">
        <f>(B23-B22)/A23</f>
        <v>8.5338966534147034E-3</v>
      </c>
      <c r="E23" s="116">
        <f t="shared" ref="E23:E42" si="2">B23*$H$14</f>
        <v>385629.72197450366</v>
      </c>
    </row>
    <row r="24" spans="1:8" x14ac:dyDescent="0.2">
      <c r="A24" s="86">
        <f t="shared" ref="A24:A42" si="3">A23+(($C$18-$B$18)/$D$18)</f>
        <v>400000</v>
      </c>
      <c r="B24" s="79">
        <f t="shared" si="0"/>
        <v>3212.0774911278859</v>
      </c>
      <c r="C24" s="79">
        <f t="shared" si="1"/>
        <v>3212.0774911278859</v>
      </c>
      <c r="D24" s="98">
        <f t="shared" ref="D24:D42" si="4">(B24-B23)/A24</f>
        <v>3.7632454011123626E-3</v>
      </c>
      <c r="E24" s="116">
        <f t="shared" si="2"/>
        <v>725736.78834543447</v>
      </c>
    </row>
    <row r="25" spans="1:8" x14ac:dyDescent="0.2">
      <c r="A25" s="86">
        <f t="shared" si="3"/>
        <v>600000</v>
      </c>
      <c r="B25" s="79">
        <f t="shared" si="0"/>
        <v>4539.5701164426282</v>
      </c>
      <c r="C25" s="79">
        <f t="shared" si="1"/>
        <v>4539.5701164426282</v>
      </c>
      <c r="D25" s="98">
        <f t="shared" si="4"/>
        <v>2.2124877088579038E-3</v>
      </c>
      <c r="E25" s="116">
        <f t="shared" si="2"/>
        <v>1025670.4721090475</v>
      </c>
    </row>
    <row r="26" spans="1:8" x14ac:dyDescent="0.2">
      <c r="A26" s="86">
        <f t="shared" si="3"/>
        <v>800000</v>
      </c>
      <c r="B26" s="79">
        <f t="shared" si="0"/>
        <v>5710.1750087123364</v>
      </c>
      <c r="C26" s="79">
        <f t="shared" si="1"/>
        <v>5710.1750087123364</v>
      </c>
      <c r="D26" s="98">
        <f t="shared" si="4"/>
        <v>1.4632561153371353E-3</v>
      </c>
      <c r="E26" s="116">
        <f t="shared" si="2"/>
        <v>1290156.9414684654</v>
      </c>
    </row>
    <row r="27" spans="1:8" x14ac:dyDescent="0.2">
      <c r="A27" s="86">
        <f t="shared" si="3"/>
        <v>1000000</v>
      </c>
      <c r="B27" s="79">
        <f t="shared" si="0"/>
        <v>6742.3679651152343</v>
      </c>
      <c r="C27" s="79">
        <f t="shared" si="1"/>
        <v>6742.3679651152343</v>
      </c>
      <c r="D27" s="98">
        <f t="shared" si="4"/>
        <v>1.0321929564028978E-3</v>
      </c>
      <c r="E27" s="116">
        <f t="shared" si="2"/>
        <v>1523370.618038136</v>
      </c>
    </row>
    <row r="28" spans="1:8" x14ac:dyDescent="0.2">
      <c r="A28" s="86">
        <f t="shared" si="3"/>
        <v>1200000</v>
      </c>
      <c r="B28" s="79">
        <f t="shared" si="0"/>
        <v>7652.4636531248689</v>
      </c>
      <c r="C28" s="79">
        <f t="shared" si="1"/>
        <v>7652.4636531248689</v>
      </c>
      <c r="D28" s="98">
        <f t="shared" si="4"/>
        <v>7.5841307334136216E-4</v>
      </c>
      <c r="E28" s="116">
        <f t="shared" si="2"/>
        <v>1728997.6377870329</v>
      </c>
      <c r="G28" s="365">
        <f>E28-E27</f>
        <v>205627.01974889683</v>
      </c>
    </row>
    <row r="29" spans="1:8" x14ac:dyDescent="0.2">
      <c r="A29" s="86">
        <f t="shared" si="3"/>
        <v>1400000</v>
      </c>
      <c r="B29" s="79">
        <f t="shared" si="0"/>
        <v>8454.8651248225942</v>
      </c>
      <c r="C29" s="79">
        <f t="shared" si="1"/>
        <v>8454.8651248225942</v>
      </c>
      <c r="D29" s="98">
        <f t="shared" si="4"/>
        <v>5.7314390835551811E-4</v>
      </c>
      <c r="E29" s="116">
        <f t="shared" si="2"/>
        <v>1910292.226302417</v>
      </c>
      <c r="G29" s="140">
        <f>A28-A27</f>
        <v>200000</v>
      </c>
    </row>
    <row r="30" spans="1:8" x14ac:dyDescent="0.2">
      <c r="A30" s="86">
        <f t="shared" si="3"/>
        <v>1600000</v>
      </c>
      <c r="B30" s="79">
        <f t="shared" si="0"/>
        <v>9162.2852577054873</v>
      </c>
      <c r="C30" s="79">
        <f t="shared" si="1"/>
        <v>9162.2852577054873</v>
      </c>
      <c r="D30" s="98">
        <f t="shared" si="4"/>
        <v>4.4213758305180817E-4</v>
      </c>
      <c r="E30" s="116">
        <f t="shared" si="2"/>
        <v>2070126.7311259778</v>
      </c>
      <c r="G30" s="87">
        <f>G28/G29</f>
        <v>1.0281350987444842</v>
      </c>
    </row>
    <row r="31" spans="1:8" x14ac:dyDescent="0.2">
      <c r="A31" s="86">
        <f t="shared" si="3"/>
        <v>1800000</v>
      </c>
      <c r="B31" s="79">
        <f t="shared" si="0"/>
        <v>9785.9431144567207</v>
      </c>
      <c r="C31" s="79">
        <f t="shared" si="1"/>
        <v>9785.9431144567207</v>
      </c>
      <c r="D31" s="98">
        <f t="shared" si="4"/>
        <v>3.4647658708401852E-4</v>
      </c>
      <c r="E31" s="116">
        <f t="shared" si="2"/>
        <v>2211035.9872803516</v>
      </c>
    </row>
    <row r="32" spans="1:8" x14ac:dyDescent="0.2">
      <c r="A32" s="86">
        <f t="shared" si="3"/>
        <v>2000000</v>
      </c>
      <c r="B32" s="79">
        <f t="shared" si="0"/>
        <v>10335.737933591008</v>
      </c>
      <c r="C32" s="79">
        <f t="shared" si="1"/>
        <v>10335.737933591008</v>
      </c>
      <c r="D32" s="98">
        <f t="shared" si="4"/>
        <v>2.7489740956714378E-4</v>
      </c>
      <c r="E32" s="116">
        <f t="shared" si="2"/>
        <v>2335256.6287155524</v>
      </c>
    </row>
    <row r="33" spans="1:5" x14ac:dyDescent="0.2">
      <c r="A33" s="86">
        <f t="shared" si="3"/>
        <v>2200000</v>
      </c>
      <c r="B33" s="79">
        <f t="shared" si="0"/>
        <v>10820.403199190274</v>
      </c>
      <c r="C33" s="79">
        <f t="shared" si="1"/>
        <v>10820.403199190274</v>
      </c>
      <c r="D33" s="98">
        <f t="shared" si="4"/>
        <v>2.2030239345421167E-4</v>
      </c>
      <c r="E33" s="116">
        <f t="shared" si="2"/>
        <v>2444761.8988250503</v>
      </c>
    </row>
    <row r="34" spans="1:5" x14ac:dyDescent="0.2">
      <c r="A34" s="86">
        <f>A33+(($C$18-$B$18)/$D$18)</f>
        <v>2400000</v>
      </c>
      <c r="B34" s="79">
        <f t="shared" si="0"/>
        <v>11247.64299300313</v>
      </c>
      <c r="C34" s="79">
        <f t="shared" si="1"/>
        <v>11247.64299300313</v>
      </c>
      <c r="D34" s="98">
        <f t="shared" si="4"/>
        <v>1.780165807553567E-4</v>
      </c>
      <c r="E34" s="116">
        <f t="shared" si="2"/>
        <v>2541292.4578391272</v>
      </c>
    </row>
    <row r="35" spans="1:5" x14ac:dyDescent="0.2">
      <c r="A35" s="86">
        <f t="shared" si="3"/>
        <v>2600000</v>
      </c>
      <c r="B35" s="79">
        <f t="shared" si="0"/>
        <v>11624.252606132999</v>
      </c>
      <c r="C35" s="79">
        <f t="shared" si="1"/>
        <v>11624.252606132999</v>
      </c>
      <c r="D35" s="98">
        <f t="shared" si="4"/>
        <v>1.448498512037958E-4</v>
      </c>
      <c r="E35" s="116">
        <f t="shared" si="2"/>
        <v>2626383.6338296896</v>
      </c>
    </row>
    <row r="36" spans="1:5" x14ac:dyDescent="0.2">
      <c r="A36" s="86">
        <f t="shared" si="3"/>
        <v>2800000</v>
      </c>
      <c r="B36" s="79">
        <f t="shared" si="0"/>
        <v>11956.225180637091</v>
      </c>
      <c r="C36" s="79">
        <f t="shared" si="1"/>
        <v>11956.225180637091</v>
      </c>
      <c r="D36" s="98">
        <f t="shared" si="4"/>
        <v>1.1856163375146155E-4</v>
      </c>
      <c r="E36" s="116">
        <f t="shared" si="2"/>
        <v>2701389.5173131446</v>
      </c>
    </row>
    <row r="37" spans="1:5" x14ac:dyDescent="0.2">
      <c r="A37" s="86">
        <f t="shared" si="3"/>
        <v>3000000</v>
      </c>
      <c r="B37" s="79">
        <f t="shared" si="0"/>
        <v>12248.845962864347</v>
      </c>
      <c r="C37" s="79">
        <f t="shared" si="1"/>
        <v>12248.845962864347</v>
      </c>
      <c r="D37" s="98">
        <f t="shared" si="4"/>
        <v>9.7540260742418465E-5</v>
      </c>
      <c r="E37" s="116">
        <f t="shared" si="2"/>
        <v>2767504.2568495707</v>
      </c>
    </row>
    <row r="38" spans="1:5" x14ac:dyDescent="0.2">
      <c r="A38" s="86">
        <f t="shared" si="3"/>
        <v>3200000</v>
      </c>
      <c r="B38" s="79">
        <f t="shared" si="0"/>
        <v>12506.775579451583</v>
      </c>
      <c r="C38" s="79">
        <f t="shared" si="1"/>
        <v>12506.775579451583</v>
      </c>
      <c r="D38" s="98">
        <f t="shared" si="4"/>
        <v>8.0603005183511417E-5</v>
      </c>
      <c r="E38" s="116">
        <f t="shared" si="2"/>
        <v>2825780.8744212906</v>
      </c>
    </row>
    <row r="39" spans="1:5" x14ac:dyDescent="0.2">
      <c r="A39" s="86">
        <f t="shared" si="3"/>
        <v>3400000</v>
      </c>
      <c r="B39" s="79">
        <f t="shared" si="0"/>
        <v>12734.123592615128</v>
      </c>
      <c r="C39" s="79">
        <f t="shared" si="1"/>
        <v>12734.123592615128</v>
      </c>
      <c r="D39" s="98">
        <f t="shared" si="4"/>
        <v>6.6867062695160067E-5</v>
      </c>
      <c r="E39" s="116">
        <f t="shared" si="2"/>
        <v>2877147.884515462</v>
      </c>
    </row>
    <row r="40" spans="1:5" x14ac:dyDescent="0.2">
      <c r="A40" s="86">
        <f t="shared" si="3"/>
        <v>3600000</v>
      </c>
      <c r="B40" s="79">
        <f t="shared" si="0"/>
        <v>12934.513452414423</v>
      </c>
      <c r="C40" s="79">
        <f t="shared" si="1"/>
        <v>12934.513452414423</v>
      </c>
      <c r="D40" s="98">
        <f t="shared" si="4"/>
        <v>5.5663849944248797E-5</v>
      </c>
      <c r="E40" s="116">
        <f t="shared" si="2"/>
        <v>2922423.9694385147</v>
      </c>
    </row>
    <row r="41" spans="1:5" x14ac:dyDescent="0.2">
      <c r="A41" s="86">
        <f>A40+(($C$18-$B$18)/$D$18)</f>
        <v>3800000</v>
      </c>
      <c r="B41" s="79">
        <f t="shared" si="0"/>
        <v>13111.139839037322</v>
      </c>
      <c r="C41" s="79">
        <f t="shared" si="1"/>
        <v>13111.139839037322</v>
      </c>
      <c r="D41" s="98">
        <f t="shared" si="4"/>
        <v>4.6480628058657445E-5</v>
      </c>
      <c r="E41" s="116">
        <f t="shared" si="2"/>
        <v>2962330.9352320922</v>
      </c>
    </row>
    <row r="42" spans="1:5" x14ac:dyDescent="0.2">
      <c r="A42" s="86">
        <f t="shared" si="3"/>
        <v>4000000</v>
      </c>
      <c r="B42" s="79">
        <f t="shared" si="0"/>
        <v>13266.819276439957</v>
      </c>
      <c r="C42" s="79">
        <f t="shared" si="1"/>
        <v>13266.819276439957</v>
      </c>
      <c r="D42" s="98">
        <f t="shared" si="4"/>
        <v>3.8919859350658956E-5</v>
      </c>
      <c r="E42" s="116">
        <f t="shared" si="2"/>
        <v>2997505.1473188438</v>
      </c>
    </row>
  </sheetData>
  <mergeCells count="11">
    <mergeCell ref="B4:F4"/>
    <mergeCell ref="A7:A9"/>
    <mergeCell ref="B7:C7"/>
    <mergeCell ref="D7:F7"/>
    <mergeCell ref="G7:I7"/>
    <mergeCell ref="K11:K12"/>
    <mergeCell ref="A13:F14"/>
    <mergeCell ref="K13:R14"/>
    <mergeCell ref="A17:A18"/>
    <mergeCell ref="A20:C20"/>
    <mergeCell ref="A11:A12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>
    <tabColor theme="3" tint="0.79998168889431442"/>
  </sheetPr>
  <dimension ref="A1:R110"/>
  <sheetViews>
    <sheetView topLeftCell="A75" workbookViewId="0">
      <selection activeCell="E22" activeCellId="1" sqref="B22:B97 E22:E97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5703125" style="98" customWidth="1"/>
    <col min="5" max="5" width="14.5703125" style="98" customWidth="1"/>
    <col min="6" max="6" width="12.42578125" style="98" customWidth="1"/>
    <col min="7" max="7" width="12" style="98" customWidth="1"/>
    <col min="8" max="10" width="10.42578125" style="98" customWidth="1"/>
    <col min="11" max="11" width="14.42578125" style="98" bestFit="1" customWidth="1"/>
    <col min="12" max="13" width="12" style="98" bestFit="1" customWidth="1"/>
    <col min="14" max="14" width="12.5703125" style="98" customWidth="1"/>
    <col min="15" max="15" width="10.85546875" style="98" bestFit="1" customWidth="1"/>
    <col min="16" max="16" width="8.85546875" style="98"/>
    <col min="17" max="18" width="10.425781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156</v>
      </c>
    </row>
    <row r="2" spans="1:18" x14ac:dyDescent="0.2">
      <c r="A2" s="7" t="s">
        <v>2</v>
      </c>
      <c r="B2" s="8" t="s">
        <v>231</v>
      </c>
      <c r="C2" s="9" t="s">
        <v>4</v>
      </c>
      <c r="D2" s="8" t="s">
        <v>6</v>
      </c>
      <c r="E2" s="9" t="s">
        <v>116</v>
      </c>
      <c r="F2" s="10" t="s">
        <v>163</v>
      </c>
      <c r="H2" s="120" t="s">
        <v>102</v>
      </c>
      <c r="I2" s="121"/>
      <c r="J2" s="121"/>
      <c r="K2" s="121"/>
      <c r="L2" s="122"/>
    </row>
    <row r="3" spans="1:18" ht="13.5" thickBot="1" x14ac:dyDescent="0.25">
      <c r="A3" s="11" t="s">
        <v>3</v>
      </c>
      <c r="B3" s="12" t="s">
        <v>93</v>
      </c>
      <c r="C3" s="13" t="s">
        <v>5</v>
      </c>
      <c r="D3" s="12" t="s">
        <v>163</v>
      </c>
      <c r="E3" s="13" t="s">
        <v>104</v>
      </c>
      <c r="F3" s="14" t="s">
        <v>165</v>
      </c>
    </row>
    <row r="4" spans="1:18" ht="15" customHeight="1" thickBot="1" x14ac:dyDescent="0.25">
      <c r="A4" s="80" t="s">
        <v>38</v>
      </c>
      <c r="B4" s="454" t="s">
        <v>106</v>
      </c>
      <c r="C4" s="454"/>
      <c r="D4" s="454"/>
      <c r="E4" s="454"/>
      <c r="F4" s="455"/>
      <c r="H4" s="98" t="s">
        <v>107</v>
      </c>
    </row>
    <row r="5" spans="1:18" x14ac:dyDescent="0.2">
      <c r="H5" s="98" t="s">
        <v>173</v>
      </c>
    </row>
    <row r="6" spans="1:18" ht="13.5" thickBot="1" x14ac:dyDescent="0.25">
      <c r="B6" s="94">
        <f>VAC_Optim_Scenario!$G$14</f>
        <v>0.7</v>
      </c>
      <c r="C6" s="94">
        <f>VAC_Optim_Scenario!$H$14</f>
        <v>1.3</v>
      </c>
    </row>
    <row r="7" spans="1:18" ht="27.75" customHeight="1" x14ac:dyDescent="0.2">
      <c r="A7" s="452" t="s">
        <v>8</v>
      </c>
      <c r="B7" s="457" t="s">
        <v>9</v>
      </c>
      <c r="C7" s="458"/>
      <c r="D7" s="459" t="s">
        <v>12</v>
      </c>
      <c r="E7" s="460"/>
      <c r="F7" s="461"/>
      <c r="G7" s="457" t="s">
        <v>124</v>
      </c>
      <c r="H7" s="457"/>
      <c r="I7" s="462"/>
      <c r="J7" s="98" t="s">
        <v>125</v>
      </c>
    </row>
    <row r="8" spans="1:18" ht="28.35" customHeight="1" x14ac:dyDescent="0.2">
      <c r="A8" s="456"/>
      <c r="B8" s="119" t="s">
        <v>10</v>
      </c>
      <c r="C8" s="17" t="s">
        <v>11</v>
      </c>
      <c r="D8" s="19" t="s">
        <v>20</v>
      </c>
      <c r="E8" s="119" t="s">
        <v>21</v>
      </c>
      <c r="F8" s="81" t="s">
        <v>117</v>
      </c>
      <c r="G8" s="118" t="s">
        <v>22</v>
      </c>
      <c r="H8" s="119" t="s">
        <v>23</v>
      </c>
      <c r="I8" s="88" t="s">
        <v>123</v>
      </c>
    </row>
    <row r="9" spans="1:18" ht="14.45" customHeight="1" thickBot="1" x14ac:dyDescent="0.25">
      <c r="A9" s="453"/>
      <c r="B9" s="95">
        <f>VAC_Optim_Scenario!G18</f>
        <v>7352610.1039999984</v>
      </c>
      <c r="C9" s="95">
        <f>VAC_Optim_Scenario!H18</f>
        <v>13654847.335999999</v>
      </c>
      <c r="D9" s="68">
        <f>VAC_Optim_Scenario!I18</f>
        <v>13654847.335999999</v>
      </c>
      <c r="E9" s="84">
        <f>((($R$12/(1+EXP($P$12+$Q$12*D9)))-1) - ($F$12-$C$12))*$I$12</f>
        <v>351876.44985588826</v>
      </c>
      <c r="F9" s="89">
        <f>E9*$G$12</f>
        <v>351876.44985588826</v>
      </c>
      <c r="G9" s="95">
        <f>VAC_Optim_Scenario!E18</f>
        <v>10503728.719999999</v>
      </c>
      <c r="H9" s="85">
        <f>((($R$12/(1+EXP($P$12+$Q$12*G9)))-1) - ($F$12-$C$12))*$I$12</f>
        <v>288339.09761974216</v>
      </c>
      <c r="I9" s="90">
        <f>H9*$G$12</f>
        <v>288339.09761974216</v>
      </c>
      <c r="J9" s="87">
        <f>G9/I9</f>
        <v>36.428388680927966</v>
      </c>
      <c r="K9" s="98" t="s">
        <v>167</v>
      </c>
    </row>
    <row r="10" spans="1:18" ht="13.5" thickBot="1" x14ac:dyDescent="0.25"/>
    <row r="11" spans="1:18" ht="51.6" customHeight="1" x14ac:dyDescent="0.2">
      <c r="A11" s="452" t="s">
        <v>15</v>
      </c>
      <c r="B11" s="282" t="s">
        <v>16</v>
      </c>
      <c r="C11" s="282" t="s">
        <v>17</v>
      </c>
      <c r="D11" s="282" t="s">
        <v>18</v>
      </c>
      <c r="E11" s="282" t="s">
        <v>19</v>
      </c>
      <c r="F11" s="283" t="s">
        <v>109</v>
      </c>
      <c r="G11" s="281" t="s">
        <v>168</v>
      </c>
      <c r="H11" s="282" t="s">
        <v>119</v>
      </c>
      <c r="I11" s="92" t="s">
        <v>122</v>
      </c>
      <c r="K11" s="444" t="s">
        <v>25</v>
      </c>
      <c r="L11" s="123" t="s">
        <v>110</v>
      </c>
      <c r="M11" s="123" t="s">
        <v>111</v>
      </c>
      <c r="N11" s="123" t="s">
        <v>112</v>
      </c>
      <c r="O11" s="123" t="s">
        <v>113</v>
      </c>
      <c r="P11" s="123" t="s">
        <v>26</v>
      </c>
      <c r="Q11" s="123" t="s">
        <v>27</v>
      </c>
      <c r="R11" s="124" t="s">
        <v>28</v>
      </c>
    </row>
    <row r="12" spans="1:18" ht="15" customHeight="1" thickBot="1" x14ac:dyDescent="0.25">
      <c r="A12" s="453"/>
      <c r="B12" s="319">
        <f>'[2]HCP MCM SCurve'!$B$12</f>
        <v>10503728.719999999</v>
      </c>
      <c r="C12" s="319">
        <f>'[2]HCP MCM SCurve'!$C$12</f>
        <v>288339.09761974245</v>
      </c>
      <c r="D12" s="319">
        <f>'[2]HCP MCM SCurve'!$D$12</f>
        <v>0</v>
      </c>
      <c r="E12" s="319">
        <f>'[2]HCP MCM SCurve'!$E$12</f>
        <v>720847.7440493562</v>
      </c>
      <c r="F12" s="319">
        <f>'[2]HCP MCM SCurve'!$F$12</f>
        <v>4647854</v>
      </c>
      <c r="G12" s="156">
        <f>VAC_Optim_Scenario!$D$33</f>
        <v>1</v>
      </c>
      <c r="H12" s="71">
        <f>C12*G12</f>
        <v>288339.09761974245</v>
      </c>
      <c r="I12" s="320">
        <f>VAC_Optim_Scenario!D18</f>
        <v>1</v>
      </c>
      <c r="K12" s="445"/>
      <c r="L12" s="71">
        <f>F12-C12</f>
        <v>4359514.9023802578</v>
      </c>
      <c r="M12" s="71">
        <f>L12+E12</f>
        <v>5080362.6464296142</v>
      </c>
      <c r="N12" s="72">
        <f>B12</f>
        <v>10503728.719999999</v>
      </c>
      <c r="O12" s="71">
        <f>F12</f>
        <v>4647854</v>
      </c>
      <c r="P12" s="24">
        <f>LN((($M$12+1)/($L$12+1))-1)</f>
        <v>-1.7996883569315949</v>
      </c>
      <c r="Q12" s="73">
        <f>(LN((($M$12+1)/($O$12+1))-1)-$P$12)/$N$12</f>
        <v>-5.4730128919708125E-8</v>
      </c>
      <c r="R12" s="74">
        <f>M12+1</f>
        <v>5080363.6464296142</v>
      </c>
    </row>
    <row r="13" spans="1:18" ht="34.35" customHeight="1" x14ac:dyDescent="0.2">
      <c r="A13" s="446" t="s">
        <v>174</v>
      </c>
      <c r="B13" s="447"/>
      <c r="C13" s="447"/>
      <c r="D13" s="447"/>
      <c r="E13" s="447"/>
      <c r="F13" s="448"/>
      <c r="G13" s="119" t="s">
        <v>150</v>
      </c>
      <c r="H13" s="119" t="s">
        <v>151</v>
      </c>
      <c r="K13" s="446" t="s">
        <v>115</v>
      </c>
      <c r="L13" s="447"/>
      <c r="M13" s="447"/>
      <c r="N13" s="447"/>
      <c r="O13" s="447"/>
      <c r="P13" s="447"/>
      <c r="Q13" s="447"/>
      <c r="R13" s="448"/>
    </row>
    <row r="14" spans="1:18" ht="33.6" customHeight="1" thickBot="1" x14ac:dyDescent="0.25">
      <c r="A14" s="449"/>
      <c r="B14" s="450"/>
      <c r="C14" s="450"/>
      <c r="D14" s="450"/>
      <c r="E14" s="450"/>
      <c r="F14" s="451"/>
      <c r="G14" s="95">
        <f>VAC_Optim_Scenario!$I$33</f>
        <v>225.94</v>
      </c>
      <c r="H14" s="95">
        <f>VAC_Optim_Scenario!$F$33</f>
        <v>225.94</v>
      </c>
      <c r="K14" s="449"/>
      <c r="L14" s="450"/>
      <c r="M14" s="450"/>
      <c r="N14" s="450"/>
      <c r="O14" s="450"/>
      <c r="P14" s="450"/>
      <c r="Q14" s="450"/>
      <c r="R14" s="451"/>
    </row>
    <row r="16" spans="1:18" ht="13.5" thickBot="1" x14ac:dyDescent="0.25"/>
    <row r="17" spans="1:8" ht="42.6" customHeight="1" x14ac:dyDescent="0.2">
      <c r="A17" s="444" t="s">
        <v>34</v>
      </c>
      <c r="B17" s="123" t="s">
        <v>32</v>
      </c>
      <c r="C17" s="123" t="s">
        <v>31</v>
      </c>
      <c r="D17" s="124" t="s">
        <v>33</v>
      </c>
      <c r="F17" s="82"/>
      <c r="G17" s="82"/>
      <c r="H17" s="83"/>
    </row>
    <row r="18" spans="1:8" ht="23.45" customHeight="1" thickBot="1" x14ac:dyDescent="0.25">
      <c r="A18" s="445"/>
      <c r="B18" s="75">
        <v>0</v>
      </c>
      <c r="C18" s="76">
        <v>15000000</v>
      </c>
      <c r="D18" s="26">
        <v>75</v>
      </c>
    </row>
    <row r="20" spans="1:8" x14ac:dyDescent="0.2">
      <c r="A20" s="425" t="s">
        <v>37</v>
      </c>
      <c r="B20" s="425"/>
      <c r="C20" s="425"/>
    </row>
    <row r="21" spans="1:8" ht="25.5" x14ac:dyDescent="0.2">
      <c r="A21" s="119" t="s">
        <v>35</v>
      </c>
      <c r="B21" s="119" t="s">
        <v>164</v>
      </c>
      <c r="C21" s="119" t="s">
        <v>171</v>
      </c>
      <c r="D21" s="98" t="s">
        <v>175</v>
      </c>
      <c r="E21" s="119" t="s">
        <v>152</v>
      </c>
    </row>
    <row r="22" spans="1:8" x14ac:dyDescent="0.2">
      <c r="A22" s="86">
        <f>B18</f>
        <v>0</v>
      </c>
      <c r="B22" s="79">
        <f t="shared" ref="B22:B47" si="0">((($R$12/(1+EXP($P$12+$Q$12*A22)))-1) - ($F$12-$C$12))*$I$12</f>
        <v>0</v>
      </c>
      <c r="C22" s="79">
        <f>B22*$G$12</f>
        <v>0</v>
      </c>
      <c r="E22" s="116">
        <f>B22*$H$14</f>
        <v>0</v>
      </c>
    </row>
    <row r="23" spans="1:8" x14ac:dyDescent="0.2">
      <c r="A23" s="86">
        <f>A22+(($C$18-$B$18)/$D$18)</f>
        <v>200000</v>
      </c>
      <c r="B23" s="79">
        <f t="shared" si="0"/>
        <v>6744.3499683793634</v>
      </c>
      <c r="C23" s="79">
        <f t="shared" ref="C23:C42" si="1">B23*$G$12</f>
        <v>6744.3499683793634</v>
      </c>
      <c r="D23" s="98">
        <f>(B23-B22)/A23</f>
        <v>3.3721749841896818E-2</v>
      </c>
      <c r="E23" s="116">
        <f t="shared" ref="E23:E42" si="2">B23*$H$14</f>
        <v>1523818.4318556334</v>
      </c>
    </row>
    <row r="24" spans="1:8" x14ac:dyDescent="0.2">
      <c r="A24" s="86">
        <f t="shared" ref="A24:A87" si="3">A23+(($C$18-$B$18)/$D$18)</f>
        <v>400000</v>
      </c>
      <c r="B24" s="79">
        <f t="shared" si="0"/>
        <v>13435.838188506663</v>
      </c>
      <c r="C24" s="79">
        <f t="shared" si="1"/>
        <v>13435.838188506663</v>
      </c>
      <c r="D24" s="98">
        <f t="shared" ref="D24:D42" si="4">(B24-B23)/A24</f>
        <v>1.6728720550318248E-2</v>
      </c>
      <c r="E24" s="116">
        <f t="shared" si="2"/>
        <v>3035693.2803111952</v>
      </c>
    </row>
    <row r="25" spans="1:8" x14ac:dyDescent="0.2">
      <c r="A25" s="86">
        <f t="shared" si="3"/>
        <v>600000</v>
      </c>
      <c r="B25" s="79">
        <f t="shared" si="0"/>
        <v>20074.687554519624</v>
      </c>
      <c r="C25" s="79">
        <f t="shared" si="1"/>
        <v>20074.687554519624</v>
      </c>
      <c r="D25" s="98">
        <f t="shared" si="4"/>
        <v>1.1064748943354935E-2</v>
      </c>
      <c r="E25" s="116">
        <f t="shared" si="2"/>
        <v>4535674.9060681639</v>
      </c>
    </row>
    <row r="26" spans="1:8" x14ac:dyDescent="0.2">
      <c r="A26" s="86">
        <f t="shared" si="3"/>
        <v>800000</v>
      </c>
      <c r="B26" s="79">
        <f t="shared" si="0"/>
        <v>26661.123724805191</v>
      </c>
      <c r="C26" s="79">
        <f t="shared" si="1"/>
        <v>26661.123724805191</v>
      </c>
      <c r="D26" s="98">
        <f t="shared" si="4"/>
        <v>8.2330452128569591E-3</v>
      </c>
      <c r="E26" s="116">
        <f t="shared" si="2"/>
        <v>6023814.2943824846</v>
      </c>
    </row>
    <row r="27" spans="1:8" x14ac:dyDescent="0.2">
      <c r="A27" s="86">
        <f t="shared" si="3"/>
        <v>1000000</v>
      </c>
      <c r="B27" s="79">
        <f t="shared" si="0"/>
        <v>33195.375038976781</v>
      </c>
      <c r="C27" s="79">
        <f t="shared" si="1"/>
        <v>33195.375038976781</v>
      </c>
      <c r="D27" s="98">
        <f t="shared" si="4"/>
        <v>6.5342513141715903E-3</v>
      </c>
      <c r="E27" s="116">
        <f t="shared" si="2"/>
        <v>7500163.0363064138</v>
      </c>
    </row>
    <row r="28" spans="1:8" x14ac:dyDescent="0.2">
      <c r="A28" s="86">
        <f t="shared" si="3"/>
        <v>1200000</v>
      </c>
      <c r="B28" s="79">
        <f t="shared" si="0"/>
        <v>39677.672435625456</v>
      </c>
      <c r="C28" s="79">
        <f t="shared" si="1"/>
        <v>39677.672435625456</v>
      </c>
      <c r="D28" s="98">
        <f t="shared" si="4"/>
        <v>5.4019144972072292E-3</v>
      </c>
      <c r="E28" s="116">
        <f t="shared" si="2"/>
        <v>8964773.3101052158</v>
      </c>
    </row>
    <row r="29" spans="1:8" x14ac:dyDescent="0.2">
      <c r="A29" s="86">
        <f t="shared" si="3"/>
        <v>1400000</v>
      </c>
      <c r="B29" s="79">
        <f t="shared" si="0"/>
        <v>46108.249370880425</v>
      </c>
      <c r="C29" s="79">
        <f t="shared" si="1"/>
        <v>46108.249370880425</v>
      </c>
      <c r="D29" s="98">
        <f t="shared" si="4"/>
        <v>4.593269239467835E-3</v>
      </c>
      <c r="E29" s="116">
        <f t="shared" si="2"/>
        <v>10417697.862856723</v>
      </c>
    </row>
    <row r="30" spans="1:8" x14ac:dyDescent="0.2">
      <c r="A30" s="86">
        <f t="shared" si="3"/>
        <v>1600000</v>
      </c>
      <c r="B30" s="79">
        <f t="shared" si="0"/>
        <v>52487.34173778072</v>
      </c>
      <c r="C30" s="79">
        <f t="shared" si="1"/>
        <v>52487.34173778072</v>
      </c>
      <c r="D30" s="98">
        <f t="shared" si="4"/>
        <v>3.9869327293126844E-3</v>
      </c>
      <c r="E30" s="116">
        <f t="shared" si="2"/>
        <v>11858989.992234176</v>
      </c>
    </row>
    <row r="31" spans="1:8" x14ac:dyDescent="0.2">
      <c r="A31" s="86">
        <f t="shared" si="3"/>
        <v>1800000</v>
      </c>
      <c r="B31" s="79">
        <f t="shared" si="0"/>
        <v>58815.187786469236</v>
      </c>
      <c r="C31" s="79">
        <f t="shared" si="1"/>
        <v>58815.187786469236</v>
      </c>
      <c r="D31" s="98">
        <f t="shared" si="4"/>
        <v>3.5154700270491755E-3</v>
      </c>
      <c r="E31" s="116">
        <f t="shared" si="2"/>
        <v>13288703.52847486</v>
      </c>
    </row>
    <row r="32" spans="1:8" x14ac:dyDescent="0.2">
      <c r="A32" s="86">
        <f t="shared" si="3"/>
        <v>2000000</v>
      </c>
      <c r="B32" s="79">
        <f t="shared" si="0"/>
        <v>65092.028045233339</v>
      </c>
      <c r="C32" s="79">
        <f t="shared" si="1"/>
        <v>65092.028045233339</v>
      </c>
      <c r="D32" s="98">
        <f t="shared" si="4"/>
        <v>3.1384201293820514E-3</v>
      </c>
      <c r="E32" s="116">
        <f t="shared" si="2"/>
        <v>14706892.81654002</v>
      </c>
    </row>
    <row r="33" spans="1:5" x14ac:dyDescent="0.2">
      <c r="A33" s="86">
        <f t="shared" si="3"/>
        <v>2200000</v>
      </c>
      <c r="B33" s="79">
        <f t="shared" si="0"/>
        <v>71318.105242387392</v>
      </c>
      <c r="C33" s="79">
        <f t="shared" si="1"/>
        <v>71318.105242387392</v>
      </c>
      <c r="D33" s="98">
        <f t="shared" si="4"/>
        <v>2.8300350896154785E-3</v>
      </c>
      <c r="E33" s="116">
        <f t="shared" si="2"/>
        <v>16113612.698465006</v>
      </c>
    </row>
    <row r="34" spans="1:5" x14ac:dyDescent="0.2">
      <c r="A34" s="86">
        <f>A33+(($C$18-$B$18)/$D$18)</f>
        <v>2400000</v>
      </c>
      <c r="B34" s="79">
        <f t="shared" si="0"/>
        <v>77493.664229021408</v>
      </c>
      <c r="C34" s="79">
        <f t="shared" si="1"/>
        <v>77493.664229021408</v>
      </c>
      <c r="D34" s="98">
        <f t="shared" si="4"/>
        <v>2.5731495777641731E-3</v>
      </c>
      <c r="E34" s="116">
        <f t="shared" si="2"/>
        <v>17508918.495905098</v>
      </c>
    </row>
    <row r="35" spans="1:5" x14ac:dyDescent="0.2">
      <c r="A35" s="86">
        <f t="shared" si="3"/>
        <v>2600000</v>
      </c>
      <c r="B35" s="79">
        <f t="shared" si="0"/>
        <v>83618.951902620494</v>
      </c>
      <c r="C35" s="79">
        <f t="shared" si="1"/>
        <v>83618.951902620494</v>
      </c>
      <c r="D35" s="98">
        <f t="shared" si="4"/>
        <v>2.355879874461187E-3</v>
      </c>
      <c r="E35" s="116">
        <f t="shared" si="2"/>
        <v>18892865.992878076</v>
      </c>
    </row>
    <row r="36" spans="1:5" x14ac:dyDescent="0.2">
      <c r="A36" s="86">
        <f t="shared" si="3"/>
        <v>2800000</v>
      </c>
      <c r="B36" s="79">
        <f t="shared" si="0"/>
        <v>89694.217131564394</v>
      </c>
      <c r="C36" s="79">
        <f t="shared" si="1"/>
        <v>89694.217131564394</v>
      </c>
      <c r="D36" s="98">
        <f t="shared" si="4"/>
        <v>2.1697375817656783E-3</v>
      </c>
      <c r="E36" s="116">
        <f t="shared" si="2"/>
        <v>20265511.418705657</v>
      </c>
    </row>
    <row r="37" spans="1:5" x14ac:dyDescent="0.2">
      <c r="A37" s="86">
        <f t="shared" si="3"/>
        <v>3000000</v>
      </c>
      <c r="B37" s="79">
        <f t="shared" si="0"/>
        <v>95719.710680508986</v>
      </c>
      <c r="C37" s="79">
        <f t="shared" si="1"/>
        <v>95719.710680508986</v>
      </c>
      <c r="D37" s="98">
        <f t="shared" si="4"/>
        <v>2.0084978496481974E-3</v>
      </c>
      <c r="E37" s="116">
        <f t="shared" si="2"/>
        <v>21626911.431154199</v>
      </c>
    </row>
    <row r="38" spans="1:5" x14ac:dyDescent="0.2">
      <c r="A38" s="86">
        <f t="shared" si="3"/>
        <v>3200000</v>
      </c>
      <c r="B38" s="79">
        <f t="shared" si="0"/>
        <v>101695.68513668422</v>
      </c>
      <c r="C38" s="79">
        <f t="shared" si="1"/>
        <v>101695.68513668422</v>
      </c>
      <c r="D38" s="98">
        <f t="shared" si="4"/>
        <v>1.8674920175547594E-3</v>
      </c>
      <c r="E38" s="116">
        <f t="shared" si="2"/>
        <v>22977123.099782433</v>
      </c>
    </row>
    <row r="39" spans="1:5" x14ac:dyDescent="0.2">
      <c r="A39" s="86">
        <f t="shared" si="3"/>
        <v>3400000</v>
      </c>
      <c r="B39" s="79">
        <f t="shared" si="0"/>
        <v>107622.39483707212</v>
      </c>
      <c r="C39" s="79">
        <f t="shared" si="1"/>
        <v>107622.39483707212</v>
      </c>
      <c r="D39" s="98">
        <f t="shared" si="4"/>
        <v>1.743149911878795E-3</v>
      </c>
      <c r="E39" s="116">
        <f t="shared" si="2"/>
        <v>24316203.889488075</v>
      </c>
    </row>
    <row r="40" spans="1:5" x14ac:dyDescent="0.2">
      <c r="A40" s="86">
        <f t="shared" si="3"/>
        <v>3600000</v>
      </c>
      <c r="B40" s="79">
        <f t="shared" si="0"/>
        <v>113500.09579651337</v>
      </c>
      <c r="C40" s="79">
        <f t="shared" si="1"/>
        <v>113500.09579651337</v>
      </c>
      <c r="D40" s="98">
        <f t="shared" si="4"/>
        <v>1.6326947109559034E-3</v>
      </c>
      <c r="E40" s="116">
        <f t="shared" si="2"/>
        <v>25644211.644264232</v>
      </c>
    </row>
    <row r="41" spans="1:5" x14ac:dyDescent="0.2">
      <c r="A41" s="86">
        <f>A40+(($C$18-$B$18)/$D$18)</f>
        <v>3800000</v>
      </c>
      <c r="B41" s="79">
        <f t="shared" si="0"/>
        <v>119329.04563672934</v>
      </c>
      <c r="C41" s="79">
        <f t="shared" si="1"/>
        <v>119329.04563672934</v>
      </c>
      <c r="D41" s="98">
        <f t="shared" si="4"/>
        <v>1.5339341684778858E-3</v>
      </c>
      <c r="E41" s="116">
        <f t="shared" si="2"/>
        <v>26961204.571162626</v>
      </c>
    </row>
    <row r="42" spans="1:5" x14ac:dyDescent="0.2">
      <c r="A42" s="86">
        <f t="shared" si="3"/>
        <v>4000000</v>
      </c>
      <c r="B42" s="79">
        <f t="shared" si="0"/>
        <v>125109.50351626147</v>
      </c>
      <c r="C42" s="79">
        <f t="shared" si="1"/>
        <v>125109.50351626147</v>
      </c>
      <c r="D42" s="98">
        <f t="shared" si="4"/>
        <v>1.4451144698830322E-3</v>
      </c>
      <c r="E42" s="116">
        <f t="shared" si="2"/>
        <v>28267241.224464115</v>
      </c>
    </row>
    <row r="43" spans="1:5" x14ac:dyDescent="0.2">
      <c r="A43" s="86">
        <f t="shared" si="3"/>
        <v>4200000</v>
      </c>
      <c r="B43" s="79">
        <f t="shared" ref="B43:B106" si="5">((($R$12/(1+EXP($P$12+$Q$12*A43)))-1) - ($F$12-$C$12))*$I$12</f>
        <v>130841.73006134667</v>
      </c>
      <c r="C43" s="79">
        <f t="shared" ref="C43:C106" si="6">B43*$G$12</f>
        <v>130841.73006134667</v>
      </c>
      <c r="D43" s="98">
        <f t="shared" ref="D43:D97" si="7">(B43-B42)/A43</f>
        <v>1.3648158440679047E-3</v>
      </c>
      <c r="E43" s="116">
        <f t="shared" ref="E43:E97" si="8">B43*$H$14</f>
        <v>29562380.490060665</v>
      </c>
    </row>
    <row r="44" spans="1:5" x14ac:dyDescent="0.2">
      <c r="A44" s="86">
        <f t="shared" si="3"/>
        <v>4400000</v>
      </c>
      <c r="B44" s="79">
        <f t="shared" si="5"/>
        <v>136525.98729771748</v>
      </c>
      <c r="C44" s="79">
        <f t="shared" si="6"/>
        <v>136525.98729771748</v>
      </c>
      <c r="D44" s="98">
        <f t="shared" si="7"/>
        <v>1.2918766446297311E-3</v>
      </c>
      <c r="E44" s="116">
        <f t="shared" si="8"/>
        <v>30846681.570046287</v>
      </c>
    </row>
    <row r="45" spans="1:5" x14ac:dyDescent="0.2">
      <c r="A45" s="86">
        <f t="shared" si="3"/>
        <v>4600000</v>
      </c>
      <c r="B45" s="79">
        <f t="shared" si="5"/>
        <v>142162.53858334757</v>
      </c>
      <c r="C45" s="79">
        <f t="shared" si="6"/>
        <v>142162.53858334757</v>
      </c>
      <c r="D45" s="98">
        <f t="shared" si="7"/>
        <v>1.2253372360065417E-3</v>
      </c>
      <c r="E45" s="116">
        <f t="shared" si="8"/>
        <v>32120203.967521552</v>
      </c>
    </row>
    <row r="46" spans="1:5" x14ac:dyDescent="0.2">
      <c r="A46" s="86">
        <f t="shared" si="3"/>
        <v>4800000</v>
      </c>
      <c r="B46" s="79">
        <f t="shared" si="5"/>
        <v>147751.64854213502</v>
      </c>
      <c r="C46" s="79">
        <f t="shared" si="6"/>
        <v>147751.64854213502</v>
      </c>
      <c r="D46" s="98">
        <f t="shared" si="7"/>
        <v>1.1643979080807184E-3</v>
      </c>
      <c r="E46" s="116">
        <f t="shared" si="8"/>
        <v>33383007.471609987</v>
      </c>
    </row>
    <row r="47" spans="1:5" x14ac:dyDescent="0.2">
      <c r="A47" s="86">
        <f t="shared" si="3"/>
        <v>5000000</v>
      </c>
      <c r="B47" s="79">
        <f t="shared" si="5"/>
        <v>153293.58299852163</v>
      </c>
      <c r="C47" s="79">
        <f t="shared" si="6"/>
        <v>153293.58299852163</v>
      </c>
      <c r="D47" s="98">
        <f t="shared" si="7"/>
        <v>1.1083868912773207E-3</v>
      </c>
      <c r="E47" s="116">
        <f t="shared" si="8"/>
        <v>34635152.142685972</v>
      </c>
    </row>
    <row r="48" spans="1:5" x14ac:dyDescent="0.2">
      <c r="A48" s="86">
        <f t="shared" si="3"/>
        <v>5200000</v>
      </c>
      <c r="B48" s="79">
        <f t="shared" si="5"/>
        <v>158788.60891307052</v>
      </c>
      <c r="C48" s="79">
        <f t="shared" si="6"/>
        <v>158788.60891307052</v>
      </c>
      <c r="D48" s="98">
        <f t="shared" si="7"/>
        <v>1.0567357527978647E-3</v>
      </c>
      <c r="E48" s="116">
        <f t="shared" si="8"/>
        <v>35876698.297819152</v>
      </c>
    </row>
    <row r="49" spans="1:5" x14ac:dyDescent="0.2">
      <c r="A49" s="86">
        <f t="shared" si="3"/>
        <v>5400000</v>
      </c>
      <c r="B49" s="79">
        <f t="shared" si="5"/>
        <v>164236.99431898072</v>
      </c>
      <c r="C49" s="79">
        <f t="shared" si="6"/>
        <v>164236.99431898072</v>
      </c>
      <c r="D49" s="98">
        <f t="shared" si="7"/>
        <v>1.0089602603537409E-3</v>
      </c>
      <c r="E49" s="116">
        <f t="shared" si="8"/>
        <v>37107706.496430501</v>
      </c>
    </row>
    <row r="50" spans="1:5" x14ac:dyDescent="0.2">
      <c r="A50" s="86">
        <f t="shared" si="3"/>
        <v>5600000</v>
      </c>
      <c r="B50" s="79">
        <f t="shared" si="5"/>
        <v>169639.00825955253</v>
      </c>
      <c r="C50" s="79">
        <f t="shared" si="6"/>
        <v>169639.00825955253</v>
      </c>
      <c r="D50" s="98">
        <f t="shared" si="7"/>
        <v>9.6464534653067989E-4</v>
      </c>
      <c r="E50" s="116">
        <f t="shared" si="8"/>
        <v>38328237.526163295</v>
      </c>
    </row>
    <row r="51" spans="1:5" x14ac:dyDescent="0.2">
      <c r="A51" s="86">
        <f t="shared" si="3"/>
        <v>5800000</v>
      </c>
      <c r="B51" s="79">
        <f t="shared" si="5"/>
        <v>174994.92072660942</v>
      </c>
      <c r="C51" s="79">
        <f t="shared" si="6"/>
        <v>174994.92072660942</v>
      </c>
      <c r="D51" s="98">
        <f t="shared" si="7"/>
        <v>9.2343318397532508E-4</v>
      </c>
      <c r="E51" s="116">
        <f t="shared" si="8"/>
        <v>39538352.388970129</v>
      </c>
    </row>
    <row r="52" spans="1:5" x14ac:dyDescent="0.2">
      <c r="A52" s="86">
        <f t="shared" si="3"/>
        <v>6000000</v>
      </c>
      <c r="B52" s="79">
        <f t="shared" si="5"/>
        <v>180305.00259986054</v>
      </c>
      <c r="C52" s="79">
        <f t="shared" si="6"/>
        <v>180305.00259986054</v>
      </c>
      <c r="D52" s="98">
        <f t="shared" si="7"/>
        <v>8.8501364554185416E-4</v>
      </c>
      <c r="E52" s="116">
        <f t="shared" si="8"/>
        <v>40738112.287412487</v>
      </c>
    </row>
    <row r="53" spans="1:5" x14ac:dyDescent="0.2">
      <c r="A53" s="86">
        <f t="shared" si="3"/>
        <v>6200000</v>
      </c>
      <c r="B53" s="79">
        <f t="shared" si="5"/>
        <v>185569.52558721509</v>
      </c>
      <c r="C53" s="79">
        <f t="shared" si="6"/>
        <v>185569.52558721509</v>
      </c>
      <c r="D53" s="98">
        <f t="shared" si="7"/>
        <v>8.491166108636366E-4</v>
      </c>
      <c r="E53" s="116">
        <f t="shared" si="8"/>
        <v>41927578.611175373</v>
      </c>
    </row>
    <row r="54" spans="1:5" x14ac:dyDescent="0.2">
      <c r="A54" s="86">
        <f t="shared" si="3"/>
        <v>6400000</v>
      </c>
      <c r="B54" s="79">
        <f t="shared" si="5"/>
        <v>190788.76216605306</v>
      </c>
      <c r="C54" s="79">
        <f t="shared" si="6"/>
        <v>190788.76216605306</v>
      </c>
      <c r="D54" s="98">
        <f t="shared" si="7"/>
        <v>8.1550571544343258E-4</v>
      </c>
      <c r="E54" s="116">
        <f t="shared" si="8"/>
        <v>43106812.923798025</v>
      </c>
    </row>
    <row r="55" spans="1:5" x14ac:dyDescent="0.2">
      <c r="A55" s="86">
        <f t="shared" si="3"/>
        <v>6600000</v>
      </c>
      <c r="B55" s="79">
        <f t="shared" si="5"/>
        <v>195962.9855254367</v>
      </c>
      <c r="C55" s="79">
        <f t="shared" si="6"/>
        <v>195962.9855254367</v>
      </c>
      <c r="D55" s="98">
        <f t="shared" si="7"/>
        <v>7.839732362702489E-4</v>
      </c>
      <c r="E55" s="116">
        <f t="shared" si="8"/>
        <v>44275876.94961717</v>
      </c>
    </row>
    <row r="56" spans="1:5" x14ac:dyDescent="0.2">
      <c r="A56" s="86">
        <f t="shared" si="3"/>
        <v>6800000</v>
      </c>
      <c r="B56" s="79">
        <f t="shared" si="5"/>
        <v>201092.4695092719</v>
      </c>
      <c r="C56" s="79">
        <f t="shared" si="6"/>
        <v>201092.4695092719</v>
      </c>
      <c r="D56" s="98">
        <f t="shared" si="7"/>
        <v>7.5433587997576551E-4</v>
      </c>
      <c r="E56" s="116">
        <f t="shared" si="8"/>
        <v>45434832.560924895</v>
      </c>
    </row>
    <row r="57" spans="1:5" x14ac:dyDescent="0.2">
      <c r="A57" s="86">
        <f t="shared" si="3"/>
        <v>7000000</v>
      </c>
      <c r="B57" s="79">
        <f t="shared" si="5"/>
        <v>206177.48856041208</v>
      </c>
      <c r="C57" s="79">
        <f t="shared" si="6"/>
        <v>206177.48856041208</v>
      </c>
      <c r="D57" s="98">
        <f t="shared" si="7"/>
        <v>7.2643129302002495E-4</v>
      </c>
      <c r="E57" s="116">
        <f t="shared" si="8"/>
        <v>46583741.765339501</v>
      </c>
    </row>
    <row r="58" spans="1:5" x14ac:dyDescent="0.2">
      <c r="A58" s="86">
        <f t="shared" si="3"/>
        <v>7200000</v>
      </c>
      <c r="B58" s="79">
        <f t="shared" si="5"/>
        <v>211218.3176657157</v>
      </c>
      <c r="C58" s="79">
        <f t="shared" si="6"/>
        <v>211218.3176657157</v>
      </c>
      <c r="D58" s="98">
        <f t="shared" si="7"/>
        <v>7.0011515351439202E-4</v>
      </c>
      <c r="E58" s="116">
        <f t="shared" si="8"/>
        <v>47722666.693391807</v>
      </c>
    </row>
    <row r="59" spans="1:5" x14ac:dyDescent="0.2">
      <c r="A59" s="86">
        <f t="shared" si="3"/>
        <v>7400000</v>
      </c>
      <c r="B59" s="79">
        <f t="shared" si="5"/>
        <v>216215.23230202962</v>
      </c>
      <c r="C59" s="79">
        <f t="shared" si="6"/>
        <v>216215.23230202962</v>
      </c>
      <c r="D59" s="98">
        <f t="shared" si="7"/>
        <v>6.7525873463701559E-4</v>
      </c>
      <c r="E59" s="116">
        <f t="shared" si="8"/>
        <v>48851669.586320572</v>
      </c>
    </row>
    <row r="60" spans="1:5" x14ac:dyDescent="0.2">
      <c r="A60" s="86">
        <f t="shared" si="3"/>
        <v>7600000</v>
      </c>
      <c r="B60" s="79">
        <f t="shared" si="5"/>
        <v>221168.50838311855</v>
      </c>
      <c r="C60" s="79">
        <f t="shared" si="6"/>
        <v>221168.50838311855</v>
      </c>
      <c r="D60" s="98">
        <f t="shared" si="7"/>
        <v>6.5174685277485922E-4</v>
      </c>
      <c r="E60" s="116">
        <f t="shared" si="8"/>
        <v>49970812.784081802</v>
      </c>
    </row>
    <row r="61" spans="1:5" x14ac:dyDescent="0.2">
      <c r="A61" s="86">
        <f t="shared" si="3"/>
        <v>7800000</v>
      </c>
      <c r="B61" s="79">
        <f t="shared" si="5"/>
        <v>226078.42220753618</v>
      </c>
      <c r="C61" s="79">
        <f t="shared" si="6"/>
        <v>226078.42220753618</v>
      </c>
      <c r="D61" s="98">
        <f t="shared" si="7"/>
        <v>6.2947613133559335E-4</v>
      </c>
      <c r="E61" s="116">
        <f t="shared" si="8"/>
        <v>51080158.713570721</v>
      </c>
    </row>
    <row r="62" spans="1:5" x14ac:dyDescent="0.2">
      <c r="A62" s="86">
        <f t="shared" si="3"/>
        <v>8000000</v>
      </c>
      <c r="B62" s="79">
        <f t="shared" si="5"/>
        <v>230945.2504074052</v>
      </c>
      <c r="C62" s="79">
        <f t="shared" si="6"/>
        <v>230945.2504074052</v>
      </c>
      <c r="D62" s="98">
        <f t="shared" si="7"/>
        <v>6.083535249836277E-4</v>
      </c>
      <c r="E62" s="116">
        <f t="shared" si="8"/>
        <v>52179769.877049133</v>
      </c>
    </row>
    <row r="63" spans="1:5" x14ac:dyDescent="0.2">
      <c r="A63" s="86">
        <f t="shared" si="3"/>
        <v>8200000</v>
      </c>
      <c r="B63" s="79">
        <f t="shared" si="5"/>
        <v>235769.2698981557</v>
      </c>
      <c r="C63" s="79">
        <f t="shared" si="6"/>
        <v>235769.2698981557</v>
      </c>
      <c r="D63" s="98">
        <f t="shared" si="7"/>
        <v>5.882950598476227E-4</v>
      </c>
      <c r="E63" s="116">
        <f t="shared" si="8"/>
        <v>53269708.840789296</v>
      </c>
    </row>
    <row r="64" spans="1:5" x14ac:dyDescent="0.2">
      <c r="A64" s="86">
        <f t="shared" si="3"/>
        <v>8400000</v>
      </c>
      <c r="B64" s="79">
        <f t="shared" si="5"/>
        <v>240550.75782915577</v>
      </c>
      <c r="C64" s="79">
        <f t="shared" si="6"/>
        <v>240550.75782915577</v>
      </c>
      <c r="D64" s="98">
        <f t="shared" si="7"/>
        <v>5.6922475369048438E-4</v>
      </c>
      <c r="E64" s="116">
        <f t="shared" si="8"/>
        <v>54350038.223919451</v>
      </c>
    </row>
    <row r="65" spans="1:5" x14ac:dyDescent="0.2">
      <c r="A65" s="86">
        <f t="shared" si="3"/>
        <v>8600000</v>
      </c>
      <c r="B65" s="79">
        <f t="shared" si="5"/>
        <v>245289.99153528456</v>
      </c>
      <c r="C65" s="79">
        <f t="shared" si="6"/>
        <v>245289.99153528456</v>
      </c>
      <c r="D65" s="98">
        <f t="shared" si="7"/>
        <v>5.5107368675916084E-4</v>
      </c>
      <c r="E65" s="116">
        <f t="shared" si="8"/>
        <v>55420820.687482193</v>
      </c>
    </row>
    <row r="66" spans="1:5" x14ac:dyDescent="0.2">
      <c r="A66" s="86">
        <f t="shared" si="3"/>
        <v>8800000</v>
      </c>
      <c r="B66" s="79">
        <f t="shared" si="5"/>
        <v>249987.2484894041</v>
      </c>
      <c r="C66" s="79">
        <f t="shared" si="6"/>
        <v>249987.2484894041</v>
      </c>
      <c r="D66" s="98">
        <f t="shared" si="7"/>
        <v>5.33779199331766E-4</v>
      </c>
      <c r="E66" s="116">
        <f t="shared" si="8"/>
        <v>56482118.923695959</v>
      </c>
    </row>
    <row r="67" spans="1:5" x14ac:dyDescent="0.2">
      <c r="A67" s="86">
        <f t="shared" si="3"/>
        <v>9000000</v>
      </c>
      <c r="B67" s="79">
        <f t="shared" si="5"/>
        <v>254642.80625574663</v>
      </c>
      <c r="C67" s="79">
        <f t="shared" si="6"/>
        <v>254642.80625574663</v>
      </c>
      <c r="D67" s="98">
        <f t="shared" si="7"/>
        <v>5.172841962602817E-4</v>
      </c>
      <c r="E67" s="116">
        <f t="shared" si="8"/>
        <v>57533995.64542339</v>
      </c>
    </row>
    <row r="68" spans="1:5" x14ac:dyDescent="0.2">
      <c r="A68" s="86">
        <f t="shared" si="3"/>
        <v>9200000</v>
      </c>
      <c r="B68" s="79">
        <f t="shared" si="5"/>
        <v>259256.94244420156</v>
      </c>
      <c r="C68" s="79">
        <f t="shared" si="6"/>
        <v>259256.94244420156</v>
      </c>
      <c r="D68" s="98">
        <f t="shared" si="7"/>
        <v>5.015365422233615E-4</v>
      </c>
      <c r="E68" s="116">
        <f t="shared" si="8"/>
        <v>58576513.575842902</v>
      </c>
    </row>
    <row r="69" spans="1:5" x14ac:dyDescent="0.2">
      <c r="A69" s="86">
        <f t="shared" si="3"/>
        <v>9400000</v>
      </c>
      <c r="B69" s="79">
        <f t="shared" si="5"/>
        <v>263829.93466551043</v>
      </c>
      <c r="C69" s="79">
        <f t="shared" si="6"/>
        <v>263829.93466551043</v>
      </c>
      <c r="D69" s="98">
        <f t="shared" si="7"/>
        <v>4.8648853418179492E-4</v>
      </c>
      <c r="E69" s="116">
        <f t="shared" si="8"/>
        <v>59609735.438325427</v>
      </c>
    </row>
    <row r="70" spans="1:5" x14ac:dyDescent="0.2">
      <c r="A70" s="86">
        <f t="shared" si="3"/>
        <v>9600000</v>
      </c>
      <c r="B70" s="79">
        <f t="shared" si="5"/>
        <v>268362.06048733462</v>
      </c>
      <c r="C70" s="79">
        <f t="shared" si="6"/>
        <v>268362.06048733462</v>
      </c>
      <c r="D70" s="98">
        <f t="shared" si="7"/>
        <v>4.7209643977335264E-4</v>
      </c>
      <c r="E70" s="116">
        <f t="shared" si="8"/>
        <v>60633723.946508385</v>
      </c>
    </row>
    <row r="71" spans="1:5" x14ac:dyDescent="0.2">
      <c r="A71" s="86">
        <f t="shared" si="3"/>
        <v>9800000</v>
      </c>
      <c r="B71" s="79">
        <f t="shared" si="5"/>
        <v>272853.59739122726</v>
      </c>
      <c r="C71" s="79">
        <f t="shared" si="6"/>
        <v>272853.59739122726</v>
      </c>
      <c r="D71" s="98">
        <f t="shared" si="7"/>
        <v>4.5832009223394326E-4</v>
      </c>
      <c r="E71" s="116">
        <f t="shared" si="8"/>
        <v>61648541.794573888</v>
      </c>
    </row>
    <row r="72" spans="1:5" x14ac:dyDescent="0.2">
      <c r="A72" s="86">
        <f t="shared" si="3"/>
        <v>10000000</v>
      </c>
      <c r="B72" s="79">
        <f t="shared" si="5"/>
        <v>277304.82273047324</v>
      </c>
      <c r="C72" s="79">
        <f t="shared" si="6"/>
        <v>277304.82273047324</v>
      </c>
      <c r="D72" s="98">
        <f t="shared" si="7"/>
        <v>4.4512253392459827E-4</v>
      </c>
      <c r="E72" s="116">
        <f t="shared" si="8"/>
        <v>62654251.647723123</v>
      </c>
    </row>
    <row r="73" spans="1:5" x14ac:dyDescent="0.2">
      <c r="A73" s="86">
        <f t="shared" si="3"/>
        <v>10200000</v>
      </c>
      <c r="B73" s="79">
        <f t="shared" si="5"/>
        <v>281716.01368881389</v>
      </c>
      <c r="C73" s="79">
        <f t="shared" si="6"/>
        <v>281716.01368881389</v>
      </c>
      <c r="D73" s="98">
        <f t="shared" si="7"/>
        <v>4.3246970179810319E-4</v>
      </c>
      <c r="E73" s="116">
        <f t="shared" si="8"/>
        <v>63650916.13285061</v>
      </c>
    </row>
    <row r="74" spans="1:5" x14ac:dyDescent="0.2">
      <c r="A74" s="86">
        <f t="shared" si="3"/>
        <v>10400000</v>
      </c>
      <c r="B74" s="79">
        <f t="shared" si="5"/>
        <v>286087.44724001735</v>
      </c>
      <c r="C74" s="79">
        <f t="shared" si="6"/>
        <v>286087.44724001735</v>
      </c>
      <c r="D74" s="98">
        <f t="shared" si="7"/>
        <v>4.2033014915417882E-4</v>
      </c>
      <c r="E74" s="116">
        <f t="shared" si="8"/>
        <v>64638597.829409517</v>
      </c>
    </row>
    <row r="75" spans="1:5" x14ac:dyDescent="0.2">
      <c r="A75" s="86">
        <f t="shared" si="3"/>
        <v>10600000</v>
      </c>
      <c r="B75" s="79">
        <f t="shared" si="5"/>
        <v>290419.40010833368</v>
      </c>
      <c r="C75" s="79">
        <f t="shared" si="6"/>
        <v>290419.40010833368</v>
      </c>
      <c r="D75" s="98">
        <f t="shared" si="7"/>
        <v>4.0867479889776628E-4</v>
      </c>
      <c r="E75" s="116">
        <f t="shared" si="8"/>
        <v>65617359.26047691</v>
      </c>
    </row>
    <row r="76" spans="1:5" x14ac:dyDescent="0.2">
      <c r="A76" s="86">
        <f t="shared" si="3"/>
        <v>10800000</v>
      </c>
      <c r="B76" s="79">
        <f t="shared" si="5"/>
        <v>294712.14872978255</v>
      </c>
      <c r="C76" s="79">
        <f t="shared" si="6"/>
        <v>294712.14872978255</v>
      </c>
      <c r="D76" s="98">
        <f t="shared" si="7"/>
        <v>3.974767242082291E-4</v>
      </c>
      <c r="E76" s="116">
        <f t="shared" si="8"/>
        <v>66587262.884007066</v>
      </c>
    </row>
    <row r="77" spans="1:5" x14ac:dyDescent="0.2">
      <c r="A77" s="86">
        <f t="shared" si="3"/>
        <v>11000000</v>
      </c>
      <c r="B77" s="79">
        <f t="shared" si="5"/>
        <v>298965.96921429597</v>
      </c>
      <c r="C77" s="79">
        <f t="shared" si="6"/>
        <v>298965.96921429597</v>
      </c>
      <c r="D77" s="98">
        <f t="shared" si="7"/>
        <v>3.8671095313758336E-4</v>
      </c>
      <c r="E77" s="116">
        <f t="shared" si="8"/>
        <v>67548371.084278032</v>
      </c>
    </row>
    <row r="78" spans="1:5" x14ac:dyDescent="0.2">
      <c r="A78" s="86">
        <f t="shared" si="3"/>
        <v>11200000</v>
      </c>
      <c r="B78" s="79">
        <f t="shared" si="5"/>
        <v>303181.13730868977</v>
      </c>
      <c r="C78" s="79">
        <f t="shared" si="6"/>
        <v>303181.13730868977</v>
      </c>
      <c r="D78" s="98">
        <f t="shared" si="7"/>
        <v>3.7635429414230331E-4</v>
      </c>
      <c r="E78" s="116">
        <f t="shared" si="8"/>
        <v>68500746.163525358</v>
      </c>
    </row>
    <row r="79" spans="1:5" x14ac:dyDescent="0.2">
      <c r="A79" s="86">
        <f t="shared" si="3"/>
        <v>11400000</v>
      </c>
      <c r="B79" s="79">
        <f t="shared" si="5"/>
        <v>307357.92836048175</v>
      </c>
      <c r="C79" s="79">
        <f t="shared" si="6"/>
        <v>307357.92836048175</v>
      </c>
      <c r="D79" s="98">
        <f t="shared" si="7"/>
        <v>3.663851799817527E-4</v>
      </c>
      <c r="E79" s="116">
        <f t="shared" si="8"/>
        <v>69444450.33376725</v>
      </c>
    </row>
    <row r="80" spans="1:5" x14ac:dyDescent="0.2">
      <c r="A80" s="86">
        <f t="shared" si="3"/>
        <v>11600000</v>
      </c>
      <c r="B80" s="79">
        <f t="shared" si="5"/>
        <v>311496.61728250608</v>
      </c>
      <c r="C80" s="79">
        <f t="shared" si="6"/>
        <v>311496.61728250608</v>
      </c>
      <c r="D80" s="98">
        <f t="shared" si="7"/>
        <v>3.5678352776071827E-4</v>
      </c>
      <c r="E80" s="116">
        <f t="shared" si="8"/>
        <v>70379545.70880942</v>
      </c>
    </row>
    <row r="81" spans="1:5" x14ac:dyDescent="0.2">
      <c r="A81" s="86">
        <f t="shared" si="3"/>
        <v>11800000</v>
      </c>
      <c r="B81" s="79">
        <f t="shared" si="5"/>
        <v>315597.47851836588</v>
      </c>
      <c r="C81" s="79">
        <f t="shared" si="6"/>
        <v>315597.47851836588</v>
      </c>
      <c r="D81" s="98">
        <f t="shared" si="7"/>
        <v>3.4753061320845794E-4</v>
      </c>
      <c r="E81" s="116">
        <f t="shared" si="8"/>
        <v>71306094.296439588</v>
      </c>
    </row>
    <row r="82" spans="1:5" x14ac:dyDescent="0.2">
      <c r="A82" s="86">
        <f t="shared" si="3"/>
        <v>12000000</v>
      </c>
      <c r="B82" s="79">
        <f t="shared" si="5"/>
        <v>319660.78600868117</v>
      </c>
      <c r="C82" s="79">
        <f t="shared" si="6"/>
        <v>319660.78600868117</v>
      </c>
      <c r="D82" s="98">
        <f t="shared" si="7"/>
        <v>3.3860895752627404E-4</v>
      </c>
      <c r="E82" s="116">
        <f t="shared" si="8"/>
        <v>72224157.990801424</v>
      </c>
    </row>
    <row r="83" spans="1:5" x14ac:dyDescent="0.2">
      <c r="A83" s="86">
        <f t="shared" si="3"/>
        <v>12200000</v>
      </c>
      <c r="B83" s="79">
        <f t="shared" si="5"/>
        <v>323686.81315812934</v>
      </c>
      <c r="C83" s="79">
        <f t="shared" si="6"/>
        <v>323686.81315812934</v>
      </c>
      <c r="D83" s="98">
        <f t="shared" si="7"/>
        <v>3.3000222536460418E-4</v>
      </c>
      <c r="E83" s="116">
        <f t="shared" si="8"/>
        <v>73133798.564947739</v>
      </c>
    </row>
    <row r="84" spans="1:5" x14ac:dyDescent="0.2">
      <c r="A84" s="86">
        <f t="shared" si="3"/>
        <v>12400000</v>
      </c>
      <c r="B84" s="79">
        <f t="shared" si="5"/>
        <v>327675.83280328754</v>
      </c>
      <c r="C84" s="79">
        <f t="shared" si="6"/>
        <v>327675.83280328754</v>
      </c>
      <c r="D84" s="98">
        <f t="shared" si="7"/>
        <v>3.2169513267404849E-4</v>
      </c>
      <c r="E84" s="116">
        <f t="shared" si="8"/>
        <v>74035077.663574785</v>
      </c>
    </row>
    <row r="85" spans="1:5" x14ac:dyDescent="0.2">
      <c r="A85" s="86">
        <f t="shared" si="3"/>
        <v>12600000</v>
      </c>
      <c r="B85" s="79">
        <f t="shared" si="5"/>
        <v>331628.11718124803</v>
      </c>
      <c r="C85" s="79">
        <f t="shared" si="6"/>
        <v>331628.11718124803</v>
      </c>
      <c r="D85" s="98">
        <f t="shared" si="7"/>
        <v>3.1367336333019746E-4</v>
      </c>
      <c r="E85" s="116">
        <f t="shared" si="8"/>
        <v>74928056.795931175</v>
      </c>
    </row>
    <row r="86" spans="1:5" x14ac:dyDescent="0.2">
      <c r="A86" s="86">
        <f t="shared" si="3"/>
        <v>12800000</v>
      </c>
      <c r="B86" s="79">
        <f t="shared" si="5"/>
        <v>335543.93789900467</v>
      </c>
      <c r="C86" s="79">
        <f t="shared" si="6"/>
        <v>335543.93789900467</v>
      </c>
      <c r="D86" s="98">
        <f t="shared" si="7"/>
        <v>3.0592349357473723E-4</v>
      </c>
      <c r="E86" s="116">
        <f t="shared" si="8"/>
        <v>75812797.328901112</v>
      </c>
    </row>
    <row r="87" spans="1:5" x14ac:dyDescent="0.2">
      <c r="A87" s="86">
        <f t="shared" si="3"/>
        <v>13000000</v>
      </c>
      <c r="B87" s="79">
        <f t="shared" si="5"/>
        <v>339423.56590361241</v>
      </c>
      <c r="C87" s="79">
        <f t="shared" si="6"/>
        <v>339423.56590361241</v>
      </c>
      <c r="D87" s="98">
        <f t="shared" si="7"/>
        <v>2.9843292343136496E-4</v>
      </c>
      <c r="E87" s="116">
        <f t="shared" si="8"/>
        <v>76689360.48026219</v>
      </c>
    </row>
    <row r="88" spans="1:5" x14ac:dyDescent="0.2">
      <c r="A88" s="86">
        <f t="shared" ref="A88:A110" si="9">A87+(($C$18-$B$18)/$D$18)</f>
        <v>13200000</v>
      </c>
      <c r="B88" s="79">
        <f t="shared" si="5"/>
        <v>343267.27145309001</v>
      </c>
      <c r="C88" s="79">
        <f t="shared" si="6"/>
        <v>343267.27145309001</v>
      </c>
      <c r="D88" s="98">
        <f t="shared" si="7"/>
        <v>2.9118981435436359E-4</v>
      </c>
      <c r="E88" s="116">
        <f t="shared" si="8"/>
        <v>77557807.312111154</v>
      </c>
    </row>
    <row r="89" spans="1:5" x14ac:dyDescent="0.2">
      <c r="A89" s="86">
        <f t="shared" si="9"/>
        <v>13400000</v>
      </c>
      <c r="B89" s="79">
        <f t="shared" si="5"/>
        <v>347075.32408808265</v>
      </c>
      <c r="C89" s="79">
        <f t="shared" si="6"/>
        <v>347075.32408808265</v>
      </c>
      <c r="D89" s="98">
        <f t="shared" si="7"/>
        <v>2.8418303246213706E-4</v>
      </c>
      <c r="E89" s="116">
        <f t="shared" si="8"/>
        <v>78418198.724461392</v>
      </c>
    </row>
    <row r="90" spans="1:5" x14ac:dyDescent="0.2">
      <c r="A90" s="86">
        <f t="shared" si="9"/>
        <v>13600000</v>
      </c>
      <c r="B90" s="79">
        <f t="shared" si="5"/>
        <v>350847.99260424729</v>
      </c>
      <c r="C90" s="79">
        <f t="shared" si="6"/>
        <v>350847.99260424729</v>
      </c>
      <c r="D90" s="98">
        <f t="shared" si="7"/>
        <v>2.7740209677681215E-4</v>
      </c>
      <c r="E90" s="116">
        <f t="shared" si="8"/>
        <v>79270595.449003637</v>
      </c>
    </row>
    <row r="91" spans="1:5" x14ac:dyDescent="0.2">
      <c r="A91" s="86">
        <f t="shared" si="9"/>
        <v>13800000</v>
      </c>
      <c r="B91" s="79">
        <f t="shared" si="5"/>
        <v>354585.54502538219</v>
      </c>
      <c r="C91" s="79">
        <f t="shared" si="6"/>
        <v>354585.54502538219</v>
      </c>
      <c r="D91" s="98">
        <f t="shared" si="7"/>
        <v>2.7083713196629684E-4</v>
      </c>
      <c r="E91" s="116">
        <f t="shared" si="8"/>
        <v>80115058.043034852</v>
      </c>
    </row>
    <row r="92" spans="1:5" x14ac:dyDescent="0.2">
      <c r="A92" s="86">
        <f t="shared" si="9"/>
        <v>14000000</v>
      </c>
      <c r="B92" s="79">
        <f t="shared" si="5"/>
        <v>358288.24857726227</v>
      </c>
      <c r="C92" s="79">
        <f t="shared" si="6"/>
        <v>358288.24857726227</v>
      </c>
      <c r="D92" s="98">
        <f t="shared" si="7"/>
        <v>2.6447882513429169E-4</v>
      </c>
      <c r="E92" s="116">
        <f t="shared" si="8"/>
        <v>80951646.883546636</v>
      </c>
    </row>
    <row r="93" spans="1:5" x14ac:dyDescent="0.2">
      <c r="A93" s="86">
        <f t="shared" si="9"/>
        <v>14200000</v>
      </c>
      <c r="B93" s="79">
        <f t="shared" si="5"/>
        <v>361956.36966219638</v>
      </c>
      <c r="C93" s="79">
        <f t="shared" si="6"/>
        <v>361956.36966219638</v>
      </c>
      <c r="D93" s="98">
        <f t="shared" si="7"/>
        <v>2.5831838626296481E-4</v>
      </c>
      <c r="E93" s="116">
        <f t="shared" si="8"/>
        <v>81780422.161476642</v>
      </c>
    </row>
    <row r="94" spans="1:5" x14ac:dyDescent="0.2">
      <c r="A94" s="86">
        <f t="shared" si="9"/>
        <v>14400000</v>
      </c>
      <c r="B94" s="79">
        <f t="shared" si="5"/>
        <v>365590.17383428197</v>
      </c>
      <c r="C94" s="79">
        <f t="shared" si="6"/>
        <v>365590.17383428197</v>
      </c>
      <c r="D94" s="98">
        <f t="shared" si="7"/>
        <v>2.5234751195038875E-4</v>
      </c>
      <c r="E94" s="116">
        <f t="shared" si="8"/>
        <v>82601443.876117662</v>
      </c>
    </row>
    <row r="95" spans="1:5" x14ac:dyDescent="0.2">
      <c r="A95" s="86">
        <f t="shared" si="9"/>
        <v>14600000</v>
      </c>
      <c r="B95" s="79">
        <f t="shared" si="5"/>
        <v>369189.92577534728</v>
      </c>
      <c r="C95" s="79">
        <f t="shared" si="6"/>
        <v>369189.92577534728</v>
      </c>
      <c r="D95" s="98">
        <f t="shared" si="7"/>
        <v>2.4655835212776056E-4</v>
      </c>
      <c r="E95" s="116">
        <f t="shared" si="8"/>
        <v>83414771.829681963</v>
      </c>
    </row>
    <row r="96" spans="1:5" x14ac:dyDescent="0.2">
      <c r="A96" s="86">
        <f t="shared" si="9"/>
        <v>14800000</v>
      </c>
      <c r="B96" s="79">
        <f t="shared" si="5"/>
        <v>372755.88927158527</v>
      </c>
      <c r="C96" s="79">
        <f t="shared" si="6"/>
        <v>372755.88927158527</v>
      </c>
      <c r="D96" s="98">
        <f t="shared" si="7"/>
        <v>2.4094347947554008E-4</v>
      </c>
      <c r="E96" s="116">
        <f t="shared" si="8"/>
        <v>84220465.622021973</v>
      </c>
    </row>
    <row r="97" spans="1:5" x14ac:dyDescent="0.2">
      <c r="A97" s="86">
        <f t="shared" si="9"/>
        <v>15000000</v>
      </c>
      <c r="B97" s="79">
        <f t="shared" si="5"/>
        <v>376288.32719086111</v>
      </c>
      <c r="C97" s="79">
        <f t="shared" si="6"/>
        <v>376288.32719086111</v>
      </c>
      <c r="D97" s="98">
        <f t="shared" si="7"/>
        <v>2.3549586128505568E-4</v>
      </c>
      <c r="E97" s="116">
        <f t="shared" si="8"/>
        <v>85018584.645503163</v>
      </c>
    </row>
    <row r="98" spans="1:5" ht="15" x14ac:dyDescent="0.25">
      <c r="A98"/>
      <c r="B98"/>
      <c r="C98"/>
    </row>
    <row r="99" spans="1:5" ht="15" x14ac:dyDescent="0.25">
      <c r="A99"/>
      <c r="B99"/>
      <c r="C99"/>
    </row>
    <row r="100" spans="1:5" ht="15" x14ac:dyDescent="0.25">
      <c r="A100"/>
      <c r="B100"/>
      <c r="C100"/>
    </row>
    <row r="101" spans="1:5" ht="15" x14ac:dyDescent="0.25">
      <c r="A101"/>
      <c r="B101"/>
      <c r="C101"/>
    </row>
    <row r="102" spans="1:5" ht="15" x14ac:dyDescent="0.25">
      <c r="A102"/>
      <c r="B102"/>
      <c r="C102"/>
    </row>
    <row r="103" spans="1:5" ht="15" x14ac:dyDescent="0.25">
      <c r="A103"/>
      <c r="B103"/>
      <c r="C103"/>
    </row>
    <row r="104" spans="1:5" ht="15" x14ac:dyDescent="0.25">
      <c r="A104"/>
      <c r="B104"/>
      <c r="C104"/>
    </row>
    <row r="105" spans="1:5" ht="15" x14ac:dyDescent="0.25">
      <c r="A105"/>
      <c r="B105"/>
      <c r="C105"/>
    </row>
    <row r="106" spans="1:5" ht="15" x14ac:dyDescent="0.25">
      <c r="A106"/>
      <c r="B106"/>
      <c r="C106"/>
    </row>
    <row r="107" spans="1:5" ht="15" x14ac:dyDescent="0.25">
      <c r="A107"/>
      <c r="B107"/>
      <c r="C107"/>
    </row>
    <row r="108" spans="1:5" ht="15" x14ac:dyDescent="0.25">
      <c r="A108"/>
      <c r="B108"/>
      <c r="C108"/>
    </row>
    <row r="109" spans="1:5" ht="15" x14ac:dyDescent="0.25">
      <c r="A109"/>
      <c r="B109"/>
      <c r="C109"/>
    </row>
    <row r="110" spans="1:5" ht="15" x14ac:dyDescent="0.25">
      <c r="A110"/>
      <c r="B110"/>
      <c r="C110"/>
    </row>
  </sheetData>
  <mergeCells count="11">
    <mergeCell ref="B4:F4"/>
    <mergeCell ref="A7:A9"/>
    <mergeCell ref="B7:C7"/>
    <mergeCell ref="D7:F7"/>
    <mergeCell ref="G7:I7"/>
    <mergeCell ref="K11:K12"/>
    <mergeCell ref="A13:F14"/>
    <mergeCell ref="K13:R14"/>
    <mergeCell ref="A17:A18"/>
    <mergeCell ref="A20:C20"/>
    <mergeCell ref="A11:A12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9D0250-25DD-43AA-B95C-2038F69807EB}">
  <sheetPr codeName="Sheet13">
    <tabColor theme="3" tint="0.79998168889431442"/>
  </sheetPr>
  <dimension ref="A1:I46"/>
  <sheetViews>
    <sheetView topLeftCell="A27" workbookViewId="0">
      <selection activeCell="B21" sqref="B21:C46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253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253</v>
      </c>
      <c r="C2" s="9" t="s">
        <v>4</v>
      </c>
      <c r="D2" s="10" t="s">
        <v>6</v>
      </c>
      <c r="E2" s="9" t="s">
        <v>116</v>
      </c>
      <c r="F2" s="10" t="s">
        <v>163</v>
      </c>
      <c r="G2" s="98"/>
      <c r="H2" s="98"/>
      <c r="I2" s="98"/>
    </row>
    <row r="3" spans="1:9" ht="15.75" thickBot="1" x14ac:dyDescent="0.3">
      <c r="A3" s="11" t="s">
        <v>3</v>
      </c>
      <c r="B3" s="12" t="s">
        <v>232</v>
      </c>
      <c r="C3" s="13" t="s">
        <v>5</v>
      </c>
      <c r="D3" s="14" t="s">
        <v>163</v>
      </c>
      <c r="E3" s="13" t="s">
        <v>104</v>
      </c>
      <c r="F3" s="14" t="s">
        <v>161</v>
      </c>
      <c r="G3" s="98"/>
      <c r="H3" s="98"/>
      <c r="I3" s="98"/>
    </row>
    <row r="4" spans="1:9" ht="15.75" thickBot="1" x14ac:dyDescent="0.3">
      <c r="A4" s="29" t="s">
        <v>38</v>
      </c>
      <c r="B4" s="463"/>
      <c r="C4" s="464"/>
      <c r="D4" s="464"/>
      <c r="E4" s="464"/>
      <c r="F4" s="465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326">
        <v>0.8</v>
      </c>
      <c r="C6" s="326">
        <v>1.3</v>
      </c>
      <c r="D6" s="98"/>
      <c r="E6" s="98"/>
      <c r="F6" s="98"/>
      <c r="G6" s="98"/>
      <c r="H6" s="98"/>
      <c r="I6" s="98"/>
    </row>
    <row r="7" spans="1:9" x14ac:dyDescent="0.25">
      <c r="A7" s="452" t="s">
        <v>8</v>
      </c>
      <c r="B7" s="457" t="s">
        <v>9</v>
      </c>
      <c r="C7" s="457"/>
      <c r="D7" s="457" t="s">
        <v>12</v>
      </c>
      <c r="E7" s="457"/>
      <c r="F7" s="457"/>
      <c r="G7" s="457" t="s">
        <v>124</v>
      </c>
      <c r="H7" s="457"/>
      <c r="I7" s="462"/>
    </row>
    <row r="8" spans="1:9" x14ac:dyDescent="0.25">
      <c r="A8" s="456"/>
      <c r="B8" s="334" t="s">
        <v>10</v>
      </c>
      <c r="C8" s="334" t="s">
        <v>11</v>
      </c>
      <c r="D8" s="334" t="s">
        <v>20</v>
      </c>
      <c r="E8" s="334" t="s">
        <v>21</v>
      </c>
      <c r="F8" s="334" t="s">
        <v>117</v>
      </c>
      <c r="G8" s="334" t="s">
        <v>22</v>
      </c>
      <c r="H8" s="334" t="s">
        <v>23</v>
      </c>
      <c r="I8" s="4" t="s">
        <v>123</v>
      </c>
    </row>
    <row r="9" spans="1:9" ht="15.75" thickBot="1" x14ac:dyDescent="0.3">
      <c r="A9" s="453"/>
      <c r="B9" s="337">
        <f>VAC_Optim_Scenario!G19</f>
        <v>1225700</v>
      </c>
      <c r="C9" s="337">
        <f>VAC_Optim_Scenario!H19</f>
        <v>2276300</v>
      </c>
      <c r="D9" s="338">
        <f>VAC_Optim_Scenario!I19</f>
        <v>2205903.3000226272</v>
      </c>
      <c r="E9" s="84">
        <f>((GSOCIAL!D9/$B$12)^$D$12)*$C$12*$F$12</f>
        <v>27360.83264723729</v>
      </c>
      <c r="F9" s="84">
        <f>E9*F11</f>
        <v>27360.83264723729</v>
      </c>
      <c r="G9" s="76">
        <f>VAC_Optim_Scenario!E19</f>
        <v>1751000</v>
      </c>
      <c r="H9" s="339">
        <f>((GSOCIAL!G9/$B$12)^$D$12)*$C$12*$F$12</f>
        <v>23820.403572058858</v>
      </c>
      <c r="I9" s="340">
        <f>H9*F11</f>
        <v>23820.403572058858</v>
      </c>
    </row>
    <row r="10" spans="1:9" ht="15.75" thickBot="1" x14ac:dyDescent="0.3"/>
    <row r="11" spans="1:9" ht="48.95" customHeight="1" x14ac:dyDescent="0.25">
      <c r="A11" s="425" t="s">
        <v>15</v>
      </c>
      <c r="B11" s="335" t="s">
        <v>16</v>
      </c>
      <c r="C11" s="335" t="s">
        <v>17</v>
      </c>
      <c r="D11" s="335" t="s">
        <v>248</v>
      </c>
      <c r="E11" s="334" t="s">
        <v>126</v>
      </c>
      <c r="F11" s="341">
        <v>1</v>
      </c>
    </row>
    <row r="12" spans="1:9" ht="40.5" customHeight="1" thickBot="1" x14ac:dyDescent="0.3">
      <c r="A12" s="425"/>
      <c r="B12" s="342">
        <f>'[3]HCC Social - Power'!$B$12</f>
        <v>1751000</v>
      </c>
      <c r="C12" s="342">
        <f>'[3]HCC Social - Power'!$C$12</f>
        <v>23820.403572058858</v>
      </c>
      <c r="D12" s="347">
        <f>'[3]HCC Social - Power'!$D$12</f>
        <v>0.6</v>
      </c>
      <c r="E12" s="334" t="s">
        <v>122</v>
      </c>
      <c r="F12" s="343">
        <f>VAC_Optim_Scenario!D19</f>
        <v>1</v>
      </c>
      <c r="G12" s="344">
        <f>B12*2</f>
        <v>3502000</v>
      </c>
    </row>
    <row r="13" spans="1:9" ht="18.75" customHeight="1" x14ac:dyDescent="0.25">
      <c r="A13" s="446" t="s">
        <v>249</v>
      </c>
      <c r="B13" s="447"/>
      <c r="C13" s="447"/>
      <c r="D13" s="447"/>
      <c r="E13" s="334" t="s">
        <v>250</v>
      </c>
      <c r="F13" s="334" t="s">
        <v>251</v>
      </c>
    </row>
    <row r="14" spans="1:9" ht="15.75" thickBot="1" x14ac:dyDescent="0.3">
      <c r="A14" s="449"/>
      <c r="B14" s="450"/>
      <c r="C14" s="450"/>
      <c r="D14" s="450"/>
      <c r="E14" s="95">
        <f>VAC_Optim_Scenario!F33</f>
        <v>225.94</v>
      </c>
      <c r="F14" s="95">
        <f>VAC_Optim_Scenario!E33</f>
        <v>225.94</v>
      </c>
    </row>
    <row r="15" spans="1:9" ht="15.75" thickBot="1" x14ac:dyDescent="0.3"/>
    <row r="16" spans="1:9" x14ac:dyDescent="0.25">
      <c r="A16" s="444" t="s">
        <v>34</v>
      </c>
      <c r="B16" s="335" t="s">
        <v>32</v>
      </c>
      <c r="C16" s="335" t="s">
        <v>31</v>
      </c>
      <c r="D16" s="336" t="s">
        <v>33</v>
      </c>
    </row>
    <row r="17" spans="1:4" ht="15.75" thickBot="1" x14ac:dyDescent="0.3">
      <c r="A17" s="445"/>
      <c r="B17" s="76">
        <v>0</v>
      </c>
      <c r="C17" s="76">
        <v>5000000</v>
      </c>
      <c r="D17" s="26">
        <v>25</v>
      </c>
    </row>
    <row r="18" spans="1:4" x14ac:dyDescent="0.25">
      <c r="A18" s="98"/>
      <c r="B18" s="98"/>
      <c r="C18" s="98"/>
      <c r="D18" s="98"/>
    </row>
    <row r="19" spans="1:4" x14ac:dyDescent="0.25">
      <c r="A19" s="425" t="s">
        <v>37</v>
      </c>
      <c r="B19" s="425"/>
      <c r="C19" s="425"/>
      <c r="D19" s="98"/>
    </row>
    <row r="20" spans="1:4" ht="25.5" x14ac:dyDescent="0.25">
      <c r="A20" s="334" t="s">
        <v>35</v>
      </c>
      <c r="B20" s="334" t="s">
        <v>164</v>
      </c>
      <c r="C20" s="334" t="s">
        <v>252</v>
      </c>
    </row>
    <row r="21" spans="1:4" x14ac:dyDescent="0.25">
      <c r="A21" s="345">
        <f>B17</f>
        <v>0</v>
      </c>
      <c r="B21" s="339">
        <f>((A21/$B$12)^$D$12)*$C$12</f>
        <v>0</v>
      </c>
      <c r="C21" s="346">
        <f>B21*$F$14</f>
        <v>0</v>
      </c>
    </row>
    <row r="22" spans="1:4" x14ac:dyDescent="0.25">
      <c r="A22" s="345">
        <f>A21+(($C$17-$B$17)/$D$17)</f>
        <v>200000</v>
      </c>
      <c r="B22" s="339">
        <f t="shared" ref="B22:B41" si="0">((A22/$B$12)^$D$12)*$C$12</f>
        <v>6480.3046743965815</v>
      </c>
      <c r="C22" s="346">
        <f t="shared" ref="C22:C41" si="1">B22*$F$14</f>
        <v>1464160.0381331637</v>
      </c>
    </row>
    <row r="23" spans="1:4" x14ac:dyDescent="0.25">
      <c r="A23" s="345">
        <f t="shared" ref="A23:A46" si="2">A22+(($C$17-$B$17)/$D$17)</f>
        <v>400000</v>
      </c>
      <c r="B23" s="339">
        <f t="shared" si="0"/>
        <v>9822.305151017672</v>
      </c>
      <c r="C23" s="346">
        <f t="shared" si="1"/>
        <v>2219251.6258209329</v>
      </c>
    </row>
    <row r="24" spans="1:4" x14ac:dyDescent="0.25">
      <c r="A24" s="345">
        <f t="shared" si="2"/>
        <v>600000</v>
      </c>
      <c r="B24" s="339">
        <f t="shared" si="0"/>
        <v>12527.608642230847</v>
      </c>
      <c r="C24" s="346">
        <f t="shared" si="1"/>
        <v>2830487.8966256375</v>
      </c>
    </row>
    <row r="25" spans="1:4" x14ac:dyDescent="0.25">
      <c r="A25" s="345">
        <f t="shared" si="2"/>
        <v>800000</v>
      </c>
      <c r="B25" s="339">
        <f t="shared" si="0"/>
        <v>14887.830638717902</v>
      </c>
      <c r="C25" s="346">
        <f t="shared" si="1"/>
        <v>3363756.4545119228</v>
      </c>
    </row>
    <row r="26" spans="1:4" x14ac:dyDescent="0.25">
      <c r="A26" s="345">
        <f t="shared" si="2"/>
        <v>1000000</v>
      </c>
      <c r="B26" s="339">
        <f t="shared" si="0"/>
        <v>17020.700408310324</v>
      </c>
      <c r="C26" s="346">
        <f t="shared" si="1"/>
        <v>3845657.0502536343</v>
      </c>
    </row>
    <row r="27" spans="1:4" x14ac:dyDescent="0.25">
      <c r="A27" s="345">
        <f t="shared" si="2"/>
        <v>1200000</v>
      </c>
      <c r="B27" s="339">
        <f t="shared" si="0"/>
        <v>18988.303957788128</v>
      </c>
      <c r="C27" s="346">
        <f t="shared" si="1"/>
        <v>4290217.3962226501</v>
      </c>
    </row>
    <row r="28" spans="1:4" x14ac:dyDescent="0.25">
      <c r="A28" s="345">
        <f t="shared" si="2"/>
        <v>1400000</v>
      </c>
      <c r="B28" s="339">
        <f t="shared" si="0"/>
        <v>20828.320358873501</v>
      </c>
      <c r="C28" s="346">
        <f t="shared" si="1"/>
        <v>4705950.7018838786</v>
      </c>
    </row>
    <row r="29" spans="1:4" x14ac:dyDescent="0.25">
      <c r="A29" s="345">
        <f t="shared" si="2"/>
        <v>1600000</v>
      </c>
      <c r="B29" s="339">
        <f t="shared" si="0"/>
        <v>22565.731538505803</v>
      </c>
      <c r="C29" s="346">
        <f t="shared" si="1"/>
        <v>5098501.3838100014</v>
      </c>
    </row>
    <row r="30" spans="1:4" x14ac:dyDescent="0.25">
      <c r="A30" s="345">
        <f t="shared" si="2"/>
        <v>1800000</v>
      </c>
      <c r="B30" s="339">
        <f t="shared" si="0"/>
        <v>24218.148093092648</v>
      </c>
      <c r="C30" s="346">
        <f t="shared" si="1"/>
        <v>5471848.3801533533</v>
      </c>
    </row>
    <row r="31" spans="1:4" x14ac:dyDescent="0.25">
      <c r="A31" s="345">
        <f t="shared" si="2"/>
        <v>2000000</v>
      </c>
      <c r="B31" s="339">
        <f t="shared" si="0"/>
        <v>25798.557582486257</v>
      </c>
      <c r="C31" s="346">
        <f t="shared" si="1"/>
        <v>5828926.1001869449</v>
      </c>
    </row>
    <row r="32" spans="1:4" x14ac:dyDescent="0.25">
      <c r="A32" s="345">
        <f t="shared" si="2"/>
        <v>2200000</v>
      </c>
      <c r="B32" s="339">
        <f t="shared" si="0"/>
        <v>27316.876297482511</v>
      </c>
      <c r="C32" s="346">
        <f t="shared" si="1"/>
        <v>6171975.0306531982</v>
      </c>
    </row>
    <row r="33" spans="1:3" x14ac:dyDescent="0.25">
      <c r="A33" s="345">
        <f t="shared" si="2"/>
        <v>2400000</v>
      </c>
      <c r="B33" s="339">
        <f t="shared" si="0"/>
        <v>28780.886878754423</v>
      </c>
      <c r="C33" s="346">
        <f t="shared" si="1"/>
        <v>6502753.5813857745</v>
      </c>
    </row>
    <row r="34" spans="1:3" x14ac:dyDescent="0.25">
      <c r="A34" s="345">
        <f t="shared" si="2"/>
        <v>2600000</v>
      </c>
      <c r="B34" s="339">
        <f t="shared" si="0"/>
        <v>30196.835719449435</v>
      </c>
      <c r="C34" s="346">
        <f t="shared" si="1"/>
        <v>6822673.0624524048</v>
      </c>
    </row>
    <row r="35" spans="1:3" x14ac:dyDescent="0.25">
      <c r="A35" s="345">
        <f t="shared" si="2"/>
        <v>2800000</v>
      </c>
      <c r="B35" s="339">
        <f t="shared" si="0"/>
        <v>31569.830220530366</v>
      </c>
      <c r="C35" s="346">
        <f t="shared" si="1"/>
        <v>7132887.4400266306</v>
      </c>
    </row>
    <row r="36" spans="1:3" x14ac:dyDescent="0.25">
      <c r="A36" s="345">
        <f t="shared" si="2"/>
        <v>3000000</v>
      </c>
      <c r="B36" s="339">
        <f t="shared" si="0"/>
        <v>32904.112421508238</v>
      </c>
      <c r="C36" s="346">
        <f t="shared" si="1"/>
        <v>7434355.160515571</v>
      </c>
    </row>
    <row r="37" spans="1:3" x14ac:dyDescent="0.25">
      <c r="A37" s="345">
        <f t="shared" si="2"/>
        <v>3200000</v>
      </c>
      <c r="B37" s="339">
        <f t="shared" si="0"/>
        <v>34203.25312833942</v>
      </c>
      <c r="C37" s="346">
        <f t="shared" si="1"/>
        <v>7727883.0118170083</v>
      </c>
    </row>
    <row r="38" spans="1:3" x14ac:dyDescent="0.25">
      <c r="A38" s="345">
        <f t="shared" si="2"/>
        <v>3400000</v>
      </c>
      <c r="B38" s="339">
        <f t="shared" si="0"/>
        <v>35470.293145185802</v>
      </c>
      <c r="C38" s="346">
        <f t="shared" si="1"/>
        <v>8014158.0332232798</v>
      </c>
    </row>
    <row r="39" spans="1:3" x14ac:dyDescent="0.25">
      <c r="A39" s="345">
        <f t="shared" si="2"/>
        <v>3600000</v>
      </c>
      <c r="B39" s="339">
        <f t="shared" si="0"/>
        <v>36707.848274902732</v>
      </c>
      <c r="C39" s="346">
        <f t="shared" si="1"/>
        <v>8293771.2392315231</v>
      </c>
    </row>
    <row r="40" spans="1:3" x14ac:dyDescent="0.25">
      <c r="A40" s="345">
        <f t="shared" si="2"/>
        <v>3800000</v>
      </c>
      <c r="B40" s="339">
        <f t="shared" si="0"/>
        <v>37918.188871268278</v>
      </c>
      <c r="C40" s="346">
        <f t="shared" si="1"/>
        <v>8567235.5935743544</v>
      </c>
    </row>
    <row r="41" spans="1:3" x14ac:dyDescent="0.25">
      <c r="A41" s="345">
        <f t="shared" si="2"/>
        <v>4000000</v>
      </c>
      <c r="B41" s="339">
        <f t="shared" si="0"/>
        <v>39103.301119846867</v>
      </c>
      <c r="C41" s="346">
        <f t="shared" si="1"/>
        <v>8834999.8550182004</v>
      </c>
    </row>
    <row r="42" spans="1:3" x14ac:dyDescent="0.25">
      <c r="A42" s="345">
        <f t="shared" si="2"/>
        <v>4200000</v>
      </c>
      <c r="B42" s="339">
        <f t="shared" ref="B42:B46" si="3">((A42/$B$12)^$D$12)*$C$12</f>
        <v>40264.934943860942</v>
      </c>
      <c r="C42" s="346">
        <f t="shared" ref="C42:C46" si="4">B42*$F$14</f>
        <v>9097459.4012159407</v>
      </c>
    </row>
    <row r="43" spans="1:3" x14ac:dyDescent="0.25">
      <c r="A43" s="345">
        <f t="shared" si="2"/>
        <v>4400000</v>
      </c>
      <c r="B43" s="339">
        <f t="shared" si="3"/>
        <v>41404.641949409466</v>
      </c>
      <c r="C43" s="346">
        <f t="shared" si="4"/>
        <v>9354964.8020495754</v>
      </c>
    </row>
    <row r="44" spans="1:3" x14ac:dyDescent="0.25">
      <c r="A44" s="345">
        <f t="shared" si="2"/>
        <v>4600000</v>
      </c>
      <c r="B44" s="339">
        <f t="shared" si="3"/>
        <v>42523.805837722357</v>
      </c>
      <c r="C44" s="346">
        <f t="shared" si="4"/>
        <v>9607828.6909749899</v>
      </c>
    </row>
    <row r="45" spans="1:3" x14ac:dyDescent="0.25">
      <c r="A45" s="345">
        <f t="shared" si="2"/>
        <v>4800000</v>
      </c>
      <c r="B45" s="339">
        <f t="shared" si="3"/>
        <v>43623.667040989829</v>
      </c>
      <c r="C45" s="346">
        <f t="shared" si="4"/>
        <v>9856331.3312412426</v>
      </c>
    </row>
    <row r="46" spans="1:3" x14ac:dyDescent="0.25">
      <c r="A46" s="345">
        <f t="shared" si="2"/>
        <v>5000000</v>
      </c>
      <c r="B46" s="339">
        <f t="shared" si="3"/>
        <v>44705.342872853616</v>
      </c>
      <c r="C46" s="346">
        <f t="shared" si="4"/>
        <v>10100725.168692546</v>
      </c>
    </row>
  </sheetData>
  <mergeCells count="9">
    <mergeCell ref="A11:A12"/>
    <mergeCell ref="A13:D14"/>
    <mergeCell ref="A16:A17"/>
    <mergeCell ref="A19:C19"/>
    <mergeCell ref="B4:F4"/>
    <mergeCell ref="A7:A9"/>
    <mergeCell ref="B7:C7"/>
    <mergeCell ref="D7:F7"/>
    <mergeCell ref="G7:I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09CADA-FEFC-48BF-9235-D45904B6F40C}">
  <sheetPr codeName="Sheet17">
    <tabColor theme="3" tint="0.79998168889431442"/>
  </sheetPr>
  <dimension ref="A1:R42"/>
  <sheetViews>
    <sheetView topLeftCell="A21" workbookViewId="0">
      <selection activeCell="E22" activeCellId="1" sqref="B22:B42 E22:E42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5703125" style="98" customWidth="1"/>
    <col min="5" max="5" width="14.5703125" style="98" customWidth="1"/>
    <col min="6" max="6" width="12.42578125" style="98" customWidth="1"/>
    <col min="7" max="7" width="12" style="98" customWidth="1"/>
    <col min="8" max="10" width="10.42578125" style="98" customWidth="1"/>
    <col min="11" max="11" width="14.42578125" style="98" bestFit="1" customWidth="1"/>
    <col min="12" max="13" width="12" style="98" bestFit="1" customWidth="1"/>
    <col min="14" max="14" width="12.5703125" style="98" customWidth="1"/>
    <col min="15" max="15" width="9.5703125" style="98" bestFit="1" customWidth="1"/>
    <col min="16" max="16" width="8.85546875" style="98"/>
    <col min="17" max="18" width="10.425781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233</v>
      </c>
    </row>
    <row r="2" spans="1:18" x14ac:dyDescent="0.2">
      <c r="A2" s="7" t="s">
        <v>2</v>
      </c>
      <c r="B2" s="8" t="s">
        <v>231</v>
      </c>
      <c r="C2" s="9" t="s">
        <v>4</v>
      </c>
      <c r="D2" s="8" t="s">
        <v>6</v>
      </c>
      <c r="E2" s="9" t="s">
        <v>116</v>
      </c>
      <c r="F2" s="10" t="s">
        <v>163</v>
      </c>
      <c r="H2" s="277" t="s">
        <v>102</v>
      </c>
      <c r="I2" s="278"/>
      <c r="J2" s="278"/>
      <c r="K2" s="278"/>
      <c r="L2" s="279"/>
    </row>
    <row r="3" spans="1:18" ht="13.5" thickBot="1" x14ac:dyDescent="0.25">
      <c r="A3" s="11" t="s">
        <v>3</v>
      </c>
      <c r="B3" s="12" t="s">
        <v>227</v>
      </c>
      <c r="C3" s="13" t="s">
        <v>5</v>
      </c>
      <c r="D3" s="12" t="s">
        <v>163</v>
      </c>
      <c r="E3" s="13" t="s">
        <v>104</v>
      </c>
      <c r="F3" s="14" t="s">
        <v>165</v>
      </c>
    </row>
    <row r="4" spans="1:18" ht="15" customHeight="1" thickBot="1" x14ac:dyDescent="0.25">
      <c r="A4" s="80" t="s">
        <v>38</v>
      </c>
      <c r="B4" s="454" t="s">
        <v>106</v>
      </c>
      <c r="C4" s="454"/>
      <c r="D4" s="454"/>
      <c r="E4" s="454"/>
      <c r="F4" s="455"/>
      <c r="H4" s="98" t="s">
        <v>107</v>
      </c>
    </row>
    <row r="5" spans="1:18" x14ac:dyDescent="0.2">
      <c r="H5" s="98" t="s">
        <v>166</v>
      </c>
    </row>
    <row r="6" spans="1:18" ht="13.5" thickBot="1" x14ac:dyDescent="0.25">
      <c r="B6" s="94">
        <f>VAC_Optim_Scenario!$G$14</f>
        <v>0.7</v>
      </c>
      <c r="C6" s="94">
        <f>VAC_Optim_Scenario!$H$14</f>
        <v>1.3</v>
      </c>
    </row>
    <row r="7" spans="1:18" ht="27.75" customHeight="1" x14ac:dyDescent="0.2">
      <c r="A7" s="452" t="s">
        <v>8</v>
      </c>
      <c r="B7" s="457" t="s">
        <v>9</v>
      </c>
      <c r="C7" s="458"/>
      <c r="D7" s="459" t="s">
        <v>12</v>
      </c>
      <c r="E7" s="460"/>
      <c r="F7" s="461"/>
      <c r="G7" s="457" t="s">
        <v>124</v>
      </c>
      <c r="H7" s="457"/>
      <c r="I7" s="462"/>
      <c r="J7" s="98" t="s">
        <v>125</v>
      </c>
    </row>
    <row r="8" spans="1:18" ht="28.35" customHeight="1" x14ac:dyDescent="0.2">
      <c r="A8" s="456"/>
      <c r="B8" s="276" t="s">
        <v>10</v>
      </c>
      <c r="C8" s="17" t="s">
        <v>11</v>
      </c>
      <c r="D8" s="19" t="s">
        <v>20</v>
      </c>
      <c r="E8" s="276" t="s">
        <v>21</v>
      </c>
      <c r="F8" s="81" t="s">
        <v>117</v>
      </c>
      <c r="G8" s="280" t="s">
        <v>22</v>
      </c>
      <c r="H8" s="276" t="s">
        <v>23</v>
      </c>
      <c r="I8" s="88" t="s">
        <v>123</v>
      </c>
    </row>
    <row r="9" spans="1:18" ht="14.45" customHeight="1" thickBot="1" x14ac:dyDescent="0.25">
      <c r="A9" s="453"/>
      <c r="B9" s="95">
        <f>VAC_Optim_Scenario!G20</f>
        <v>778245.32799999998</v>
      </c>
      <c r="C9" s="95">
        <f>VAC_Optim_Scenario!H20</f>
        <v>1445312.7520000001</v>
      </c>
      <c r="D9" s="68">
        <f>VAC_Optim_Scenario!I20</f>
        <v>1445312.7520000001</v>
      </c>
      <c r="E9" s="84">
        <f>((($R$12/(1+EXP($P$12+$Q$12*D9)))-1) - ($F$12-$C$12))*$I$12</f>
        <v>25719.483123207465</v>
      </c>
      <c r="F9" s="89">
        <f>E9*$G$12</f>
        <v>25719.483123207465</v>
      </c>
      <c r="G9" s="95">
        <f>VAC_Optim_Scenario!E20</f>
        <v>1111779.04</v>
      </c>
      <c r="H9" s="85">
        <f>((($R$12/(1+EXP($P$12+$Q$12*G9)))-1) - ($F$12-$C$12))*$I$12</f>
        <v>21646.235649615526</v>
      </c>
      <c r="I9" s="90">
        <f>H9*$G$12</f>
        <v>21646.235649615526</v>
      </c>
      <c r="J9" s="87">
        <f>G9/I9</f>
        <v>51.361310945524473</v>
      </c>
      <c r="K9" s="98" t="s">
        <v>167</v>
      </c>
    </row>
    <row r="10" spans="1:18" ht="13.5" thickBot="1" x14ac:dyDescent="0.25"/>
    <row r="11" spans="1:18" ht="51.6" customHeight="1" x14ac:dyDescent="0.2">
      <c r="A11" s="452" t="s">
        <v>15</v>
      </c>
      <c r="B11" s="282" t="s">
        <v>16</v>
      </c>
      <c r="C11" s="282" t="s">
        <v>17</v>
      </c>
      <c r="D11" s="282" t="s">
        <v>18</v>
      </c>
      <c r="E11" s="282" t="s">
        <v>19</v>
      </c>
      <c r="F11" s="283" t="s">
        <v>109</v>
      </c>
      <c r="G11" s="281" t="s">
        <v>168</v>
      </c>
      <c r="H11" s="282" t="s">
        <v>119</v>
      </c>
      <c r="I11" s="92" t="s">
        <v>122</v>
      </c>
      <c r="K11" s="444" t="s">
        <v>25</v>
      </c>
      <c r="L11" s="282" t="s">
        <v>110</v>
      </c>
      <c r="M11" s="282" t="s">
        <v>111</v>
      </c>
      <c r="N11" s="282" t="s">
        <v>112</v>
      </c>
      <c r="O11" s="282" t="s">
        <v>113</v>
      </c>
      <c r="P11" s="282" t="s">
        <v>26</v>
      </c>
      <c r="Q11" s="282" t="s">
        <v>27</v>
      </c>
      <c r="R11" s="283" t="s">
        <v>28</v>
      </c>
    </row>
    <row r="12" spans="1:18" ht="15" customHeight="1" thickBot="1" x14ac:dyDescent="0.25">
      <c r="A12" s="453"/>
      <c r="B12" s="319">
        <f>'[4]HCC Online Video Curve'!$B$12</f>
        <v>1111779.04</v>
      </c>
      <c r="C12" s="319">
        <f>'[4]HCC Online Video Curve'!$C$12</f>
        <v>21646.235649615326</v>
      </c>
      <c r="D12" s="319">
        <f>'[4]HCC Online Video Curve'!$D$12</f>
        <v>0</v>
      </c>
      <c r="E12" s="319">
        <f>'[4]HCC Online Video Curve'!$E$12</f>
        <v>43292.471299230652</v>
      </c>
      <c r="F12" s="319">
        <f>'[4]HCC Online Video Curve'!$F$12</f>
        <v>4647854</v>
      </c>
      <c r="G12" s="156">
        <f>VAC_Optim_Scenario!$D$33</f>
        <v>1</v>
      </c>
      <c r="H12" s="71">
        <f>C12*G12</f>
        <v>21646.235649615326</v>
      </c>
      <c r="I12" s="320">
        <f>VAC_Optim_Scenario!D20</f>
        <v>1</v>
      </c>
      <c r="K12" s="445"/>
      <c r="L12" s="71">
        <f>F12-C12</f>
        <v>4626207.7643503845</v>
      </c>
      <c r="M12" s="71">
        <f>L12+E12</f>
        <v>4669500.2356496155</v>
      </c>
      <c r="N12" s="72">
        <f>B12</f>
        <v>1111779.04</v>
      </c>
      <c r="O12" s="71">
        <f>F12</f>
        <v>4647854</v>
      </c>
      <c r="P12" s="24">
        <f>LN((($M$12+1)/($L$12+1))-1)</f>
        <v>-4.6715142233597335</v>
      </c>
      <c r="Q12" s="73">
        <f>(LN((($M$12+1)/($O$12+1))-1)-$P$12)/$N$12</f>
        <v>-6.2765647402213553E-7</v>
      </c>
      <c r="R12" s="74">
        <f>M12+1</f>
        <v>4669501.2356496155</v>
      </c>
    </row>
    <row r="13" spans="1:18" ht="34.35" customHeight="1" x14ac:dyDescent="0.2">
      <c r="A13" s="446" t="s">
        <v>169</v>
      </c>
      <c r="B13" s="447"/>
      <c r="C13" s="447"/>
      <c r="D13" s="447"/>
      <c r="E13" s="447"/>
      <c r="F13" s="448"/>
      <c r="G13" s="276" t="s">
        <v>150</v>
      </c>
      <c r="H13" s="276" t="s">
        <v>151</v>
      </c>
      <c r="K13" s="446" t="s">
        <v>115</v>
      </c>
      <c r="L13" s="447"/>
      <c r="M13" s="447"/>
      <c r="N13" s="447"/>
      <c r="O13" s="447"/>
      <c r="P13" s="447"/>
      <c r="Q13" s="447"/>
      <c r="R13" s="448"/>
    </row>
    <row r="14" spans="1:18" ht="33.6" customHeight="1" thickBot="1" x14ac:dyDescent="0.25">
      <c r="A14" s="449"/>
      <c r="B14" s="450"/>
      <c r="C14" s="450"/>
      <c r="D14" s="450"/>
      <c r="E14" s="450"/>
      <c r="F14" s="451"/>
      <c r="G14" s="95">
        <f>VAC_Optim_Scenario!$I$33</f>
        <v>225.94</v>
      </c>
      <c r="H14" s="95">
        <f>VAC_Optim_Scenario!$F$33</f>
        <v>225.94</v>
      </c>
      <c r="K14" s="449"/>
      <c r="L14" s="450"/>
      <c r="M14" s="450"/>
      <c r="N14" s="450"/>
      <c r="O14" s="450"/>
      <c r="P14" s="450"/>
      <c r="Q14" s="450"/>
      <c r="R14" s="451"/>
    </row>
    <row r="16" spans="1:18" ht="13.5" thickBot="1" x14ac:dyDescent="0.25"/>
    <row r="17" spans="1:8" ht="42.6" customHeight="1" x14ac:dyDescent="0.2">
      <c r="A17" s="444" t="s">
        <v>34</v>
      </c>
      <c r="B17" s="282" t="s">
        <v>32</v>
      </c>
      <c r="C17" s="282" t="s">
        <v>31</v>
      </c>
      <c r="D17" s="283" t="s">
        <v>33</v>
      </c>
      <c r="F17" s="82"/>
      <c r="G17" s="82"/>
      <c r="H17" s="83"/>
    </row>
    <row r="18" spans="1:8" ht="23.45" customHeight="1" thickBot="1" x14ac:dyDescent="0.25">
      <c r="A18" s="445"/>
      <c r="B18" s="75">
        <v>0</v>
      </c>
      <c r="C18" s="76">
        <v>4000000</v>
      </c>
      <c r="D18" s="26">
        <v>20</v>
      </c>
    </row>
    <row r="20" spans="1:8" x14ac:dyDescent="0.2">
      <c r="A20" s="425" t="s">
        <v>37</v>
      </c>
      <c r="B20" s="425"/>
      <c r="C20" s="425"/>
    </row>
    <row r="21" spans="1:8" ht="25.5" x14ac:dyDescent="0.2">
      <c r="A21" s="276" t="s">
        <v>35</v>
      </c>
      <c r="B21" s="276" t="s">
        <v>170</v>
      </c>
      <c r="C21" s="276" t="s">
        <v>171</v>
      </c>
      <c r="D21" s="98" t="s">
        <v>172</v>
      </c>
      <c r="E21" s="276" t="s">
        <v>152</v>
      </c>
    </row>
    <row r="22" spans="1:8" x14ac:dyDescent="0.2">
      <c r="A22" s="86">
        <f>B18</f>
        <v>0</v>
      </c>
      <c r="B22" s="79">
        <f t="shared" ref="B22:B42" si="0">((($R$12/(1+EXP($P$12+$Q$12*A22)))-1) - ($F$12-$C$12))*$I$12</f>
        <v>0</v>
      </c>
      <c r="C22" s="79">
        <f>B22*$G$12</f>
        <v>0</v>
      </c>
      <c r="E22" s="116">
        <f>B22*$H$14</f>
        <v>0</v>
      </c>
    </row>
    <row r="23" spans="1:8" x14ac:dyDescent="0.2">
      <c r="A23" s="86">
        <f>A22+(($C$18-$B$18)/$D$18)</f>
        <v>200000</v>
      </c>
      <c r="B23" s="79">
        <f t="shared" si="0"/>
        <v>5065.481471193023</v>
      </c>
      <c r="C23" s="79">
        <f t="shared" ref="C23:C42" si="1">B23*$G$12</f>
        <v>5065.481471193023</v>
      </c>
      <c r="D23" s="98">
        <f>(B23-B22)/A23</f>
        <v>2.5327407355965115E-2</v>
      </c>
      <c r="E23" s="116">
        <f t="shared" ref="E23:E42" si="2">B23*$H$14</f>
        <v>1144494.8836013516</v>
      </c>
    </row>
    <row r="24" spans="1:8" x14ac:dyDescent="0.2">
      <c r="A24" s="86">
        <f t="shared" ref="A24:A42" si="3">A23+(($C$18-$B$18)/$D$18)</f>
        <v>400000</v>
      </c>
      <c r="B24" s="79">
        <f t="shared" si="0"/>
        <v>9542.5948201725259</v>
      </c>
      <c r="C24" s="79">
        <f t="shared" si="1"/>
        <v>9542.5948201725259</v>
      </c>
      <c r="D24" s="98">
        <f t="shared" ref="D24:D42" si="4">(B24-B23)/A24</f>
        <v>1.1192783372448757E-2</v>
      </c>
      <c r="E24" s="116">
        <f t="shared" si="2"/>
        <v>2156053.8736697803</v>
      </c>
    </row>
    <row r="25" spans="1:8" x14ac:dyDescent="0.2">
      <c r="A25" s="86">
        <f t="shared" si="3"/>
        <v>600000</v>
      </c>
      <c r="B25" s="79">
        <f t="shared" si="0"/>
        <v>13498.725633110851</v>
      </c>
      <c r="C25" s="79">
        <f t="shared" si="1"/>
        <v>13498.725633110851</v>
      </c>
      <c r="D25" s="98">
        <f t="shared" si="4"/>
        <v>6.5935513548972084E-3</v>
      </c>
      <c r="E25" s="116">
        <f t="shared" si="2"/>
        <v>3049902.0695450655</v>
      </c>
    </row>
    <row r="26" spans="1:8" x14ac:dyDescent="0.2">
      <c r="A26" s="86">
        <f t="shared" si="3"/>
        <v>800000</v>
      </c>
      <c r="B26" s="79">
        <f t="shared" si="0"/>
        <v>16993.753048531711</v>
      </c>
      <c r="C26" s="79">
        <f t="shared" si="1"/>
        <v>16993.753048531711</v>
      </c>
      <c r="D26" s="98">
        <f t="shared" si="4"/>
        <v>4.3687842692760751E-3</v>
      </c>
      <c r="E26" s="116">
        <f t="shared" si="2"/>
        <v>3839568.563785255</v>
      </c>
    </row>
    <row r="27" spans="1:8" x14ac:dyDescent="0.2">
      <c r="A27" s="86">
        <f t="shared" si="3"/>
        <v>1000000</v>
      </c>
      <c r="B27" s="79">
        <f t="shared" si="0"/>
        <v>20080.838937839493</v>
      </c>
      <c r="C27" s="79">
        <f t="shared" si="1"/>
        <v>20080.838937839493</v>
      </c>
      <c r="D27" s="98">
        <f t="shared" si="4"/>
        <v>3.0870858893077822E-3</v>
      </c>
      <c r="E27" s="116">
        <f t="shared" si="2"/>
        <v>4537064.749615455</v>
      </c>
    </row>
    <row r="28" spans="1:8" x14ac:dyDescent="0.2">
      <c r="A28" s="86">
        <f t="shared" si="3"/>
        <v>1200000</v>
      </c>
      <c r="B28" s="79">
        <f t="shared" si="0"/>
        <v>22807.144754493609</v>
      </c>
      <c r="C28" s="79">
        <f t="shared" si="1"/>
        <v>22807.144754493609</v>
      </c>
      <c r="D28" s="98">
        <f t="shared" si="4"/>
        <v>2.2719215138784299E-3</v>
      </c>
      <c r="E28" s="116">
        <f t="shared" si="2"/>
        <v>5153046.2858302863</v>
      </c>
    </row>
    <row r="29" spans="1:8" x14ac:dyDescent="0.2">
      <c r="A29" s="86">
        <f t="shared" si="3"/>
        <v>1400000</v>
      </c>
      <c r="B29" s="79">
        <f t="shared" si="0"/>
        <v>25214.480166974477</v>
      </c>
      <c r="C29" s="79">
        <f t="shared" si="1"/>
        <v>25214.480166974477</v>
      </c>
      <c r="D29" s="98">
        <f t="shared" si="4"/>
        <v>1.7195252946291917E-3</v>
      </c>
      <c r="E29" s="116">
        <f t="shared" si="2"/>
        <v>5696959.6489262134</v>
      </c>
    </row>
    <row r="30" spans="1:8" x14ac:dyDescent="0.2">
      <c r="A30" s="86">
        <f t="shared" si="3"/>
        <v>1600000</v>
      </c>
      <c r="B30" s="79">
        <f t="shared" si="0"/>
        <v>27339.888026596978</v>
      </c>
      <c r="C30" s="79">
        <f t="shared" si="1"/>
        <v>27339.888026596978</v>
      </c>
      <c r="D30" s="98">
        <f t="shared" si="4"/>
        <v>1.3283799122640631E-3</v>
      </c>
      <c r="E30" s="116">
        <f t="shared" si="2"/>
        <v>6177174.3007293213</v>
      </c>
    </row>
    <row r="31" spans="1:8" x14ac:dyDescent="0.2">
      <c r="A31" s="86">
        <f t="shared" si="3"/>
        <v>1800000</v>
      </c>
      <c r="B31" s="79">
        <f t="shared" si="0"/>
        <v>29216.170419393107</v>
      </c>
      <c r="C31" s="79">
        <f t="shared" si="1"/>
        <v>29216.170419393107</v>
      </c>
      <c r="D31" s="98">
        <f t="shared" si="4"/>
        <v>1.0423791071089606E-3</v>
      </c>
      <c r="E31" s="116">
        <f t="shared" si="2"/>
        <v>6601101.5445576785</v>
      </c>
    </row>
    <row r="32" spans="1:8" x14ac:dyDescent="0.2">
      <c r="A32" s="86">
        <f t="shared" si="3"/>
        <v>2000000</v>
      </c>
      <c r="B32" s="79">
        <f t="shared" si="0"/>
        <v>30872.360575452447</v>
      </c>
      <c r="C32" s="79">
        <f t="shared" si="1"/>
        <v>30872.360575452447</v>
      </c>
      <c r="D32" s="98">
        <f t="shared" si="4"/>
        <v>8.2809507802966979E-4</v>
      </c>
      <c r="E32" s="116">
        <f t="shared" si="2"/>
        <v>6975301.1484177262</v>
      </c>
    </row>
    <row r="33" spans="1:5" x14ac:dyDescent="0.2">
      <c r="A33" s="86">
        <f t="shared" si="3"/>
        <v>2200000</v>
      </c>
      <c r="B33" s="79">
        <f t="shared" si="0"/>
        <v>32334.145309553482</v>
      </c>
      <c r="C33" s="79">
        <f t="shared" si="1"/>
        <v>32334.145309553482</v>
      </c>
      <c r="D33" s="98">
        <f t="shared" si="4"/>
        <v>6.6444760640956121E-4</v>
      </c>
      <c r="E33" s="116">
        <f t="shared" si="2"/>
        <v>7305576.7912405133</v>
      </c>
    </row>
    <row r="34" spans="1:5" x14ac:dyDescent="0.2">
      <c r="A34" s="86">
        <f>A33+(($C$18-$B$18)/$D$18)</f>
        <v>2400000</v>
      </c>
      <c r="B34" s="79">
        <f t="shared" si="0"/>
        <v>33624.242482229136</v>
      </c>
      <c r="C34" s="79">
        <f t="shared" si="1"/>
        <v>33624.242482229136</v>
      </c>
      <c r="D34" s="98">
        <f t="shared" si="4"/>
        <v>5.3754048861485591E-4</v>
      </c>
      <c r="E34" s="116">
        <f t="shared" si="2"/>
        <v>7597061.3464348512</v>
      </c>
    </row>
    <row r="35" spans="1:5" x14ac:dyDescent="0.2">
      <c r="A35" s="86">
        <f t="shared" si="3"/>
        <v>2600000</v>
      </c>
      <c r="B35" s="79">
        <f t="shared" si="0"/>
        <v>34762.737730371766</v>
      </c>
      <c r="C35" s="79">
        <f t="shared" si="1"/>
        <v>34762.737730371766</v>
      </c>
      <c r="D35" s="98">
        <f t="shared" si="4"/>
        <v>4.3788278774716536E-4</v>
      </c>
      <c r="E35" s="116">
        <f t="shared" si="2"/>
        <v>7854292.9628001964</v>
      </c>
    </row>
    <row r="36" spans="1:5" x14ac:dyDescent="0.2">
      <c r="A36" s="86">
        <f t="shared" si="3"/>
        <v>2800000</v>
      </c>
      <c r="B36" s="79">
        <f t="shared" si="0"/>
        <v>35767.38444339484</v>
      </c>
      <c r="C36" s="79">
        <f t="shared" si="1"/>
        <v>35767.38444339484</v>
      </c>
      <c r="D36" s="98">
        <f t="shared" si="4"/>
        <v>3.588023975082407E-4</v>
      </c>
      <c r="E36" s="116">
        <f t="shared" si="2"/>
        <v>8081282.8411406297</v>
      </c>
    </row>
    <row r="37" spans="1:5" x14ac:dyDescent="0.2">
      <c r="A37" s="86">
        <f t="shared" si="3"/>
        <v>3000000</v>
      </c>
      <c r="B37" s="79">
        <f t="shared" si="0"/>
        <v>36653.870671447366</v>
      </c>
      <c r="C37" s="79">
        <f t="shared" si="1"/>
        <v>36653.870671447366</v>
      </c>
      <c r="D37" s="98">
        <f t="shared" si="4"/>
        <v>2.9549540935084223E-4</v>
      </c>
      <c r="E37" s="116">
        <f t="shared" si="2"/>
        <v>8281575.5395068182</v>
      </c>
    </row>
    <row r="38" spans="1:5" x14ac:dyDescent="0.2">
      <c r="A38" s="86">
        <f t="shared" si="3"/>
        <v>3200000</v>
      </c>
      <c r="B38" s="79">
        <f t="shared" si="0"/>
        <v>37436.056358373724</v>
      </c>
      <c r="C38" s="79">
        <f t="shared" si="1"/>
        <v>37436.056358373724</v>
      </c>
      <c r="D38" s="98">
        <f t="shared" si="4"/>
        <v>2.4443302716448671E-4</v>
      </c>
      <c r="E38" s="116">
        <f t="shared" si="2"/>
        <v>8458302.5736109596</v>
      </c>
    </row>
    <row r="39" spans="1:5" x14ac:dyDescent="0.2">
      <c r="A39" s="86">
        <f t="shared" si="3"/>
        <v>3400000</v>
      </c>
      <c r="B39" s="79">
        <f t="shared" si="0"/>
        <v>38126.18400260713</v>
      </c>
      <c r="C39" s="79">
        <f t="shared" si="1"/>
        <v>38126.18400260713</v>
      </c>
      <c r="D39" s="98">
        <f t="shared" si="4"/>
        <v>2.0297871889217811E-4</v>
      </c>
      <c r="E39" s="116">
        <f t="shared" si="2"/>
        <v>8614230.013549054</v>
      </c>
    </row>
    <row r="40" spans="1:5" x14ac:dyDescent="0.2">
      <c r="A40" s="86">
        <f t="shared" si="3"/>
        <v>3600000</v>
      </c>
      <c r="B40" s="79">
        <f t="shared" si="0"/>
        <v>38735.06556990277</v>
      </c>
      <c r="C40" s="79">
        <f t="shared" si="1"/>
        <v>38735.06556990277</v>
      </c>
      <c r="D40" s="98">
        <f t="shared" si="4"/>
        <v>1.6913376869323352E-4</v>
      </c>
      <c r="E40" s="116">
        <f t="shared" si="2"/>
        <v>8751800.7148638312</v>
      </c>
    </row>
    <row r="41" spans="1:5" x14ac:dyDescent="0.2">
      <c r="A41" s="86">
        <f>A40+(($C$18-$B$18)/$D$18)</f>
        <v>3800000</v>
      </c>
      <c r="B41" s="79">
        <f t="shared" si="0"/>
        <v>39272.248216656968</v>
      </c>
      <c r="C41" s="79">
        <f t="shared" si="1"/>
        <v>39272.248216656968</v>
      </c>
      <c r="D41" s="98">
        <f t="shared" si="4"/>
        <v>1.4136385440899942E-4</v>
      </c>
      <c r="E41" s="116">
        <f t="shared" si="2"/>
        <v>8873171.7620714754</v>
      </c>
    </row>
    <row r="42" spans="1:5" x14ac:dyDescent="0.2">
      <c r="A42" s="86">
        <f t="shared" si="3"/>
        <v>4000000</v>
      </c>
      <c r="B42" s="79">
        <f t="shared" si="0"/>
        <v>39746.161133962683</v>
      </c>
      <c r="C42" s="79">
        <f t="shared" si="1"/>
        <v>39746.161133962683</v>
      </c>
      <c r="D42" s="98">
        <f t="shared" si="4"/>
        <v>1.1847822932642885E-4</v>
      </c>
      <c r="E42" s="116">
        <f t="shared" si="2"/>
        <v>8980247.6466075294</v>
      </c>
    </row>
  </sheetData>
  <mergeCells count="11">
    <mergeCell ref="B4:F4"/>
    <mergeCell ref="A7:A9"/>
    <mergeCell ref="B7:C7"/>
    <mergeCell ref="D7:F7"/>
    <mergeCell ref="G7:I7"/>
    <mergeCell ref="K11:K12"/>
    <mergeCell ref="A13:F14"/>
    <mergeCell ref="K13:R14"/>
    <mergeCell ref="A17:A18"/>
    <mergeCell ref="A20:C20"/>
    <mergeCell ref="A11:A12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724040-8F9F-4C7B-B12C-DF8D1E46DD97}">
  <sheetPr codeName="Sheet16">
    <tabColor theme="3" tint="0.79998168889431442"/>
  </sheetPr>
  <dimension ref="A1:I98"/>
  <sheetViews>
    <sheetView topLeftCell="A77" workbookViewId="0">
      <selection activeCell="B21" sqref="B21:C96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254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254</v>
      </c>
      <c r="C2" s="9" t="s">
        <v>4</v>
      </c>
      <c r="D2" s="10" t="s">
        <v>6</v>
      </c>
      <c r="E2" s="9" t="s">
        <v>116</v>
      </c>
      <c r="F2" s="10" t="s">
        <v>163</v>
      </c>
      <c r="G2" s="98"/>
      <c r="H2" s="98"/>
      <c r="I2" s="98"/>
    </row>
    <row r="3" spans="1:9" ht="15.75" thickBot="1" x14ac:dyDescent="0.3">
      <c r="A3" s="11" t="s">
        <v>3</v>
      </c>
      <c r="B3" s="12" t="s">
        <v>232</v>
      </c>
      <c r="C3" s="13" t="s">
        <v>5</v>
      </c>
      <c r="D3" s="14" t="s">
        <v>163</v>
      </c>
      <c r="E3" s="13" t="s">
        <v>104</v>
      </c>
      <c r="F3" s="14" t="s">
        <v>161</v>
      </c>
      <c r="G3" s="98"/>
      <c r="H3" s="98"/>
      <c r="I3" s="98"/>
    </row>
    <row r="4" spans="1:9" ht="15.75" thickBot="1" x14ac:dyDescent="0.3">
      <c r="A4" s="29" t="s">
        <v>38</v>
      </c>
      <c r="B4" s="463"/>
      <c r="C4" s="464"/>
      <c r="D4" s="464"/>
      <c r="E4" s="464"/>
      <c r="F4" s="465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326">
        <v>0.8</v>
      </c>
      <c r="C6" s="326">
        <v>1.3</v>
      </c>
      <c r="D6" s="98"/>
      <c r="E6" s="98"/>
      <c r="F6" s="98"/>
      <c r="G6" s="98"/>
      <c r="H6" s="98"/>
      <c r="I6" s="98"/>
    </row>
    <row r="7" spans="1:9" x14ac:dyDescent="0.25">
      <c r="A7" s="452" t="s">
        <v>8</v>
      </c>
      <c r="B7" s="457" t="s">
        <v>9</v>
      </c>
      <c r="C7" s="457"/>
      <c r="D7" s="457" t="s">
        <v>12</v>
      </c>
      <c r="E7" s="457"/>
      <c r="F7" s="457"/>
      <c r="G7" s="457" t="s">
        <v>124</v>
      </c>
      <c r="H7" s="457"/>
      <c r="I7" s="462"/>
    </row>
    <row r="8" spans="1:9" x14ac:dyDescent="0.25">
      <c r="A8" s="456"/>
      <c r="B8" s="334" t="s">
        <v>10</v>
      </c>
      <c r="C8" s="334" t="s">
        <v>11</v>
      </c>
      <c r="D8" s="334" t="s">
        <v>20</v>
      </c>
      <c r="E8" s="334" t="s">
        <v>21</v>
      </c>
      <c r="F8" s="334" t="s">
        <v>117</v>
      </c>
      <c r="G8" s="334" t="s">
        <v>22</v>
      </c>
      <c r="H8" s="334" t="s">
        <v>23</v>
      </c>
      <c r="I8" s="4" t="s">
        <v>123</v>
      </c>
    </row>
    <row r="9" spans="1:9" ht="15.75" thickBot="1" x14ac:dyDescent="0.3">
      <c r="A9" s="453"/>
      <c r="B9" s="337">
        <f>VAC_Optim_Scenario!G21</f>
        <v>9393003.1999999993</v>
      </c>
      <c r="C9" s="337">
        <f>VAC_Optim_Scenario!H21</f>
        <v>17444148.800000001</v>
      </c>
      <c r="D9" s="338">
        <f>VAC_Optim_Scenario!I21</f>
        <v>9393003.1999999993</v>
      </c>
      <c r="E9" s="84">
        <f>((GSTRTV!D9/$B$12)^$D$12)*$C$12*$F$12</f>
        <v>78535.322127134612</v>
      </c>
      <c r="F9" s="84">
        <f>E9*F11</f>
        <v>78535.322127134612</v>
      </c>
      <c r="G9" s="76">
        <f>VAC_Optim_Scenario!E21</f>
        <v>13418576</v>
      </c>
      <c r="H9" s="339">
        <f>((GSTRTV!G9/$B$12)^$D$12)*$C$12*$F$12</f>
        <v>100808.3256282994</v>
      </c>
      <c r="I9" s="340">
        <f>H9*F11</f>
        <v>100808.3256282994</v>
      </c>
    </row>
    <row r="10" spans="1:9" ht="15.75" thickBot="1" x14ac:dyDescent="0.3"/>
    <row r="11" spans="1:9" ht="48.95" customHeight="1" x14ac:dyDescent="0.25">
      <c r="A11" s="425" t="s">
        <v>15</v>
      </c>
      <c r="B11" s="335" t="s">
        <v>16</v>
      </c>
      <c r="C11" s="335" t="s">
        <v>17</v>
      </c>
      <c r="D11" s="335" t="s">
        <v>248</v>
      </c>
      <c r="E11" s="334" t="s">
        <v>126</v>
      </c>
      <c r="F11" s="341">
        <v>1</v>
      </c>
    </row>
    <row r="12" spans="1:9" ht="40.5" customHeight="1" thickBot="1" x14ac:dyDescent="0.3">
      <c r="A12" s="425"/>
      <c r="B12" s="342">
        <f>'[5]Streaming Video - Power'!$B$12</f>
        <v>13418576</v>
      </c>
      <c r="C12" s="342">
        <f>'[5]Streaming Video - Power'!$C$12</f>
        <v>100808.3256282994</v>
      </c>
      <c r="D12" s="347">
        <f>'[5]Streaming Video - Power'!$D$12</f>
        <v>0.7</v>
      </c>
      <c r="E12" s="334" t="s">
        <v>122</v>
      </c>
      <c r="F12" s="343">
        <f>VAC_Optim_Scenario!D21</f>
        <v>1</v>
      </c>
      <c r="G12" s="344">
        <f>B12*2</f>
        <v>26837152</v>
      </c>
    </row>
    <row r="13" spans="1:9" ht="18.75" customHeight="1" x14ac:dyDescent="0.25">
      <c r="A13" s="446" t="s">
        <v>249</v>
      </c>
      <c r="B13" s="447"/>
      <c r="C13" s="447"/>
      <c r="D13" s="447"/>
      <c r="E13" s="334" t="s">
        <v>250</v>
      </c>
      <c r="F13" s="334" t="s">
        <v>251</v>
      </c>
    </row>
    <row r="14" spans="1:9" ht="15.75" thickBot="1" x14ac:dyDescent="0.3">
      <c r="A14" s="449"/>
      <c r="B14" s="450"/>
      <c r="C14" s="450"/>
      <c r="D14" s="450"/>
      <c r="E14" s="95">
        <f>VAC_Optim_Scenario!F33</f>
        <v>225.94</v>
      </c>
      <c r="F14" s="95">
        <f>VAC_Optim_Scenario!E33</f>
        <v>225.94</v>
      </c>
    </row>
    <row r="15" spans="1:9" ht="15.75" thickBot="1" x14ac:dyDescent="0.3"/>
    <row r="16" spans="1:9" x14ac:dyDescent="0.25">
      <c r="A16" s="444" t="s">
        <v>34</v>
      </c>
      <c r="B16" s="335" t="s">
        <v>32</v>
      </c>
      <c r="C16" s="335" t="s">
        <v>31</v>
      </c>
      <c r="D16" s="336" t="s">
        <v>33</v>
      </c>
    </row>
    <row r="17" spans="1:4" ht="15.75" thickBot="1" x14ac:dyDescent="0.3">
      <c r="A17" s="445"/>
      <c r="B17" s="76">
        <v>0</v>
      </c>
      <c r="C17" s="76">
        <v>15000000</v>
      </c>
      <c r="D17" s="26">
        <v>75</v>
      </c>
    </row>
    <row r="18" spans="1:4" x14ac:dyDescent="0.25">
      <c r="A18" s="98"/>
      <c r="B18" s="98"/>
      <c r="C18" s="98"/>
      <c r="D18" s="98"/>
    </row>
    <row r="19" spans="1:4" x14ac:dyDescent="0.25">
      <c r="A19" s="425" t="s">
        <v>37</v>
      </c>
      <c r="B19" s="425"/>
      <c r="C19" s="425"/>
      <c r="D19" s="98"/>
    </row>
    <row r="20" spans="1:4" ht="25.5" x14ac:dyDescent="0.25">
      <c r="A20" s="334" t="s">
        <v>35</v>
      </c>
      <c r="B20" s="334" t="s">
        <v>164</v>
      </c>
      <c r="C20" s="334" t="s">
        <v>252</v>
      </c>
    </row>
    <row r="21" spans="1:4" x14ac:dyDescent="0.25">
      <c r="A21" s="345">
        <f>B17</f>
        <v>0</v>
      </c>
      <c r="B21" s="339">
        <f>((A21/$B$12)^$D$12)*$C$12</f>
        <v>0</v>
      </c>
      <c r="C21" s="346">
        <f>B21*$F$14</f>
        <v>0</v>
      </c>
    </row>
    <row r="22" spans="1:4" x14ac:dyDescent="0.25">
      <c r="A22" s="345">
        <f>A21+(($C$17-$B$17)/$D$17)</f>
        <v>200000</v>
      </c>
      <c r="B22" s="339">
        <f t="shared" ref="B22:B41" si="0">((A22/$B$12)^$D$12)*$C$12</f>
        <v>5306.6799670584487</v>
      </c>
      <c r="C22" s="346">
        <f t="shared" ref="C22:C41" si="1">B22*$F$14</f>
        <v>1198991.2717571859</v>
      </c>
    </row>
    <row r="23" spans="1:4" x14ac:dyDescent="0.25">
      <c r="A23" s="345">
        <f t="shared" ref="A23:A86" si="2">A22+(($C$17-$B$17)/$D$17)</f>
        <v>400000</v>
      </c>
      <c r="B23" s="339">
        <f t="shared" si="0"/>
        <v>8620.7270398777109</v>
      </c>
      <c r="C23" s="346">
        <f t="shared" si="1"/>
        <v>1947767.0673899699</v>
      </c>
    </row>
    <row r="24" spans="1:4" x14ac:dyDescent="0.25">
      <c r="A24" s="345">
        <f t="shared" si="2"/>
        <v>600000</v>
      </c>
      <c r="B24" s="339">
        <f t="shared" si="0"/>
        <v>11450.060343578602</v>
      </c>
      <c r="C24" s="346">
        <f t="shared" si="1"/>
        <v>2587026.6340281493</v>
      </c>
    </row>
    <row r="25" spans="1:4" x14ac:dyDescent="0.25">
      <c r="A25" s="345">
        <f t="shared" si="2"/>
        <v>800000</v>
      </c>
      <c r="B25" s="339">
        <f t="shared" si="0"/>
        <v>14004.412392947337</v>
      </c>
      <c r="C25" s="346">
        <f t="shared" si="1"/>
        <v>3164156.9360625213</v>
      </c>
    </row>
    <row r="26" spans="1:4" x14ac:dyDescent="0.25">
      <c r="A26" s="345">
        <f t="shared" si="2"/>
        <v>1000000</v>
      </c>
      <c r="B26" s="339">
        <f t="shared" si="0"/>
        <v>16372.006191464845</v>
      </c>
      <c r="C26" s="346">
        <f t="shared" si="1"/>
        <v>3699091.078899567</v>
      </c>
    </row>
    <row r="27" spans="1:4" x14ac:dyDescent="0.25">
      <c r="A27" s="345">
        <f t="shared" si="2"/>
        <v>1200000</v>
      </c>
      <c r="B27" s="339">
        <f t="shared" si="0"/>
        <v>18600.677904990443</v>
      </c>
      <c r="C27" s="346">
        <f t="shared" si="1"/>
        <v>4202637.1658535404</v>
      </c>
    </row>
    <row r="28" spans="1:4" x14ac:dyDescent="0.25">
      <c r="A28" s="345">
        <f t="shared" si="2"/>
        <v>1400000</v>
      </c>
      <c r="B28" s="339">
        <f t="shared" si="0"/>
        <v>20720.08464236038</v>
      </c>
      <c r="C28" s="346">
        <f t="shared" si="1"/>
        <v>4681495.9240949042</v>
      </c>
    </row>
    <row r="29" spans="1:4" x14ac:dyDescent="0.25">
      <c r="A29" s="345">
        <f t="shared" si="2"/>
        <v>1600000</v>
      </c>
      <c r="B29" s="339">
        <f t="shared" si="0"/>
        <v>22750.235051464868</v>
      </c>
      <c r="C29" s="346">
        <f t="shared" si="1"/>
        <v>5140188.1075279722</v>
      </c>
    </row>
    <row r="30" spans="1:4" x14ac:dyDescent="0.25">
      <c r="A30" s="345">
        <f t="shared" si="2"/>
        <v>1800000</v>
      </c>
      <c r="B30" s="339">
        <f t="shared" si="0"/>
        <v>24705.443457194888</v>
      </c>
      <c r="C30" s="346">
        <f t="shared" si="1"/>
        <v>5581947.8947186125</v>
      </c>
    </row>
    <row r="31" spans="1:4" x14ac:dyDescent="0.25">
      <c r="A31" s="345">
        <f t="shared" si="2"/>
        <v>2000000</v>
      </c>
      <c r="B31" s="339">
        <f t="shared" si="0"/>
        <v>26596.402524352889</v>
      </c>
      <c r="C31" s="346">
        <f t="shared" si="1"/>
        <v>6009191.1863522911</v>
      </c>
    </row>
    <row r="32" spans="1:4" x14ac:dyDescent="0.25">
      <c r="A32" s="345">
        <f t="shared" si="2"/>
        <v>2200000</v>
      </c>
      <c r="B32" s="339">
        <f t="shared" si="0"/>
        <v>28431.369318328445</v>
      </c>
      <c r="C32" s="346">
        <f t="shared" si="1"/>
        <v>6423783.5837831292</v>
      </c>
    </row>
    <row r="33" spans="1:3" x14ac:dyDescent="0.25">
      <c r="A33" s="345">
        <f t="shared" si="2"/>
        <v>2400000</v>
      </c>
      <c r="B33" s="339">
        <f t="shared" si="0"/>
        <v>30216.890404357946</v>
      </c>
      <c r="C33" s="346">
        <f t="shared" si="1"/>
        <v>6827204.2179606343</v>
      </c>
    </row>
    <row r="34" spans="1:3" x14ac:dyDescent="0.25">
      <c r="A34" s="345">
        <f t="shared" si="2"/>
        <v>2600000</v>
      </c>
      <c r="B34" s="339">
        <f t="shared" si="0"/>
        <v>31958.26869140529</v>
      </c>
      <c r="C34" s="346">
        <f t="shared" si="1"/>
        <v>7220651.2281361111</v>
      </c>
    </row>
    <row r="35" spans="1:3" x14ac:dyDescent="0.25">
      <c r="A35" s="345">
        <f t="shared" si="2"/>
        <v>2800000</v>
      </c>
      <c r="B35" s="339">
        <f t="shared" si="0"/>
        <v>33659.876806922497</v>
      </c>
      <c r="C35" s="346">
        <f t="shared" si="1"/>
        <v>7605112.5657560686</v>
      </c>
    </row>
    <row r="36" spans="1:3" x14ac:dyDescent="0.25">
      <c r="A36" s="345">
        <f t="shared" si="2"/>
        <v>3000000</v>
      </c>
      <c r="B36" s="339">
        <f t="shared" si="0"/>
        <v>35325.374810877525</v>
      </c>
      <c r="C36" s="346">
        <f t="shared" si="1"/>
        <v>7981415.1847696677</v>
      </c>
    </row>
    <row r="37" spans="1:3" x14ac:dyDescent="0.25">
      <c r="A37" s="345">
        <f t="shared" si="2"/>
        <v>3200000</v>
      </c>
      <c r="B37" s="339">
        <f t="shared" si="0"/>
        <v>36957.865876439937</v>
      </c>
      <c r="C37" s="346">
        <f t="shared" si="1"/>
        <v>8350260.2161228396</v>
      </c>
    </row>
    <row r="38" spans="1:3" x14ac:dyDescent="0.25">
      <c r="A38" s="345">
        <f t="shared" si="2"/>
        <v>3400000</v>
      </c>
      <c r="B38" s="339">
        <f t="shared" si="0"/>
        <v>38560.010380246516</v>
      </c>
      <c r="C38" s="346">
        <f t="shared" si="1"/>
        <v>8712248.7453128975</v>
      </c>
    </row>
    <row r="39" spans="1:3" x14ac:dyDescent="0.25">
      <c r="A39" s="345">
        <f t="shared" si="2"/>
        <v>3600000</v>
      </c>
      <c r="B39" s="339">
        <f t="shared" si="0"/>
        <v>40134.111302300051</v>
      </c>
      <c r="C39" s="346">
        <f t="shared" si="1"/>
        <v>9067901.1076416727</v>
      </c>
    </row>
    <row r="40" spans="1:3" x14ac:dyDescent="0.25">
      <c r="A40" s="345">
        <f t="shared" si="2"/>
        <v>3800000</v>
      </c>
      <c r="B40" s="339">
        <f t="shared" si="0"/>
        <v>41682.17934043915</v>
      </c>
      <c r="C40" s="346">
        <f t="shared" si="1"/>
        <v>9417671.600178821</v>
      </c>
    </row>
    <row r="41" spans="1:3" x14ac:dyDescent="0.25">
      <c r="A41" s="345">
        <f t="shared" si="2"/>
        <v>4000000</v>
      </c>
      <c r="B41" s="339">
        <f t="shared" si="0"/>
        <v>43205.983369721333</v>
      </c>
      <c r="C41" s="346">
        <f t="shared" si="1"/>
        <v>9761959.8825548384</v>
      </c>
    </row>
    <row r="42" spans="1:3" x14ac:dyDescent="0.25">
      <c r="A42" s="345">
        <f t="shared" si="2"/>
        <v>4200000</v>
      </c>
      <c r="B42" s="339">
        <f t="shared" ref="B42:B45" si="3">((A42/$B$12)^$D$12)*$C$12</f>
        <v>44707.090111294332</v>
      </c>
      <c r="C42" s="346">
        <f t="shared" ref="C42:C45" si="4">B42*$F$14</f>
        <v>10101119.939745842</v>
      </c>
    </row>
    <row r="43" spans="1:3" x14ac:dyDescent="0.25">
      <c r="A43" s="345">
        <f t="shared" si="2"/>
        <v>4400000</v>
      </c>
      <c r="B43" s="339">
        <f t="shared" si="3"/>
        <v>46186.895721002846</v>
      </c>
      <c r="C43" s="346">
        <f t="shared" si="4"/>
        <v>10435467.219203383</v>
      </c>
    </row>
    <row r="44" spans="1:3" x14ac:dyDescent="0.25">
      <c r="A44" s="345">
        <f t="shared" si="2"/>
        <v>4600000</v>
      </c>
      <c r="B44" s="339">
        <f t="shared" si="3"/>
        <v>47646.651235195692</v>
      </c>
      <c r="C44" s="346">
        <f t="shared" si="4"/>
        <v>10765284.380080115</v>
      </c>
    </row>
    <row r="45" spans="1:3" x14ac:dyDescent="0.25">
      <c r="A45" s="345">
        <f t="shared" si="2"/>
        <v>4800000</v>
      </c>
      <c r="B45" s="339">
        <f t="shared" si="3"/>
        <v>49087.483282746944</v>
      </c>
      <c r="C45" s="346">
        <f t="shared" si="4"/>
        <v>11090825.972903844</v>
      </c>
    </row>
    <row r="46" spans="1:3" x14ac:dyDescent="0.25">
      <c r="A46" s="345">
        <f t="shared" si="2"/>
        <v>5000000</v>
      </c>
      <c r="B46" s="339">
        <f t="shared" ref="B46:B74" si="5">((A46/$B$12)^$D$12)*$C$12</f>
        <v>50510.411103977327</v>
      </c>
      <c r="C46" s="346">
        <f t="shared" ref="C46:C74" si="6">B46*$F$14</f>
        <v>11412322.284832638</v>
      </c>
    </row>
    <row r="47" spans="1:3" x14ac:dyDescent="0.25">
      <c r="A47" s="345">
        <f t="shared" si="2"/>
        <v>5200000</v>
      </c>
      <c r="B47" s="339">
        <f t="shared" si="5"/>
        <v>51916.36065598081</v>
      </c>
      <c r="C47" s="346">
        <f t="shared" si="6"/>
        <v>11729982.526612304</v>
      </c>
    </row>
    <row r="48" spans="1:3" x14ac:dyDescent="0.25">
      <c r="A48" s="345">
        <f t="shared" si="2"/>
        <v>5400000</v>
      </c>
      <c r="B48" s="339">
        <f t="shared" si="5"/>
        <v>53306.176395738708</v>
      </c>
      <c r="C48" s="346">
        <f t="shared" si="6"/>
        <v>12043997.494853204</v>
      </c>
    </row>
    <row r="49" spans="1:3" x14ac:dyDescent="0.25">
      <c r="A49" s="345">
        <f t="shared" si="2"/>
        <v>5600000</v>
      </c>
      <c r="B49" s="339">
        <f t="shared" si="5"/>
        <v>54680.631194956943</v>
      </c>
      <c r="C49" s="346">
        <f t="shared" si="6"/>
        <v>12354541.812188571</v>
      </c>
    </row>
    <row r="50" spans="1:3" x14ac:dyDescent="0.25">
      <c r="A50" s="345">
        <f t="shared" si="2"/>
        <v>5800000</v>
      </c>
      <c r="B50" s="339">
        <f t="shared" si="5"/>
        <v>56040.4347388202</v>
      </c>
      <c r="C50" s="346">
        <f t="shared" si="6"/>
        <v>12661775.824889036</v>
      </c>
    </row>
    <row r="51" spans="1:3" x14ac:dyDescent="0.25">
      <c r="A51" s="345">
        <f t="shared" si="2"/>
        <v>6000000</v>
      </c>
      <c r="B51" s="339">
        <f t="shared" si="5"/>
        <v>57386.24068463494</v>
      </c>
      <c r="C51" s="346">
        <f t="shared" si="6"/>
        <v>12965847.220286418</v>
      </c>
    </row>
    <row r="52" spans="1:3" x14ac:dyDescent="0.25">
      <c r="A52" s="345">
        <f t="shared" si="2"/>
        <v>6200000</v>
      </c>
      <c r="B52" s="339">
        <f t="shared" si="5"/>
        <v>58718.652798593408</v>
      </c>
      <c r="C52" s="346">
        <f t="shared" si="6"/>
        <v>13266892.413314195</v>
      </c>
    </row>
    <row r="53" spans="1:3" x14ac:dyDescent="0.25">
      <c r="A53" s="345">
        <f t="shared" si="2"/>
        <v>6400000</v>
      </c>
      <c r="B53" s="339">
        <f t="shared" si="5"/>
        <v>60038.23024470135</v>
      </c>
      <c r="C53" s="346">
        <f t="shared" si="6"/>
        <v>13565037.741487823</v>
      </c>
    </row>
    <row r="54" spans="1:3" x14ac:dyDescent="0.25">
      <c r="A54" s="345">
        <f t="shared" si="2"/>
        <v>6600000</v>
      </c>
      <c r="B54" s="339">
        <f t="shared" si="5"/>
        <v>61345.492165769465</v>
      </c>
      <c r="C54" s="346">
        <f t="shared" si="6"/>
        <v>13860400.499933952</v>
      </c>
    </row>
    <row r="55" spans="1:3" x14ac:dyDescent="0.25">
      <c r="A55" s="345">
        <f t="shared" si="2"/>
        <v>6800000</v>
      </c>
      <c r="B55" s="339">
        <f t="shared" si="5"/>
        <v>62640.921669753101</v>
      </c>
      <c r="C55" s="346">
        <f t="shared" si="6"/>
        <v>14153089.842064016</v>
      </c>
    </row>
    <row r="56" spans="1:3" x14ac:dyDescent="0.25">
      <c r="A56" s="345">
        <f t="shared" si="2"/>
        <v>7000000</v>
      </c>
      <c r="B56" s="339">
        <f t="shared" si="5"/>
        <v>63924.969313805857</v>
      </c>
      <c r="C56" s="346">
        <f t="shared" si="6"/>
        <v>14443207.566761294</v>
      </c>
    </row>
    <row r="57" spans="1:3" x14ac:dyDescent="0.25">
      <c r="A57" s="345">
        <f t="shared" si="2"/>
        <v>7200000</v>
      </c>
      <c r="B57" s="339">
        <f t="shared" si="5"/>
        <v>65198.056161842178</v>
      </c>
      <c r="C57" s="346">
        <f t="shared" si="6"/>
        <v>14730848.809206622</v>
      </c>
    </row>
    <row r="58" spans="1:3" x14ac:dyDescent="0.25">
      <c r="A58" s="345">
        <f t="shared" si="2"/>
        <v>7400000</v>
      </c>
      <c r="B58" s="339">
        <f t="shared" si="5"/>
        <v>66460.576478183808</v>
      </c>
      <c r="C58" s="346">
        <f t="shared" si="6"/>
        <v>15016102.64948085</v>
      </c>
    </row>
    <row r="59" spans="1:3" x14ac:dyDescent="0.25">
      <c r="A59" s="345">
        <f t="shared" si="2"/>
        <v>7600000</v>
      </c>
      <c r="B59" s="339">
        <f t="shared" si="5"/>
        <v>67712.900109244132</v>
      </c>
      <c r="C59" s="346">
        <f t="shared" si="6"/>
        <v>15299052.650682619</v>
      </c>
    </row>
    <row r="60" spans="1:3" x14ac:dyDescent="0.25">
      <c r="A60" s="345">
        <f t="shared" si="2"/>
        <v>7800000</v>
      </c>
      <c r="B60" s="339">
        <f t="shared" si="5"/>
        <v>68955.374596619047</v>
      </c>
      <c r="C60" s="346">
        <f t="shared" si="6"/>
        <v>15579777.336360108</v>
      </c>
    </row>
    <row r="61" spans="1:3" x14ac:dyDescent="0.25">
      <c r="A61" s="345">
        <f t="shared" si="2"/>
        <v>8000000</v>
      </c>
      <c r="B61" s="339">
        <f t="shared" si="5"/>
        <v>70188.327057967617</v>
      </c>
      <c r="C61" s="346">
        <f t="shared" si="6"/>
        <v>15858350.615477202</v>
      </c>
    </row>
    <row r="62" spans="1:3" x14ac:dyDescent="0.25">
      <c r="A62" s="345">
        <f t="shared" si="2"/>
        <v>8200000</v>
      </c>
      <c r="B62" s="339">
        <f t="shared" si="5"/>
        <v>71412.065866354562</v>
      </c>
      <c r="C62" s="346">
        <f t="shared" si="6"/>
        <v>16134842.161844149</v>
      </c>
    </row>
    <row r="63" spans="1:3" x14ac:dyDescent="0.25">
      <c r="A63" s="345">
        <f t="shared" si="2"/>
        <v>8400000</v>
      </c>
      <c r="B63" s="339">
        <f t="shared" si="5"/>
        <v>72626.882154025967</v>
      </c>
      <c r="C63" s="346">
        <f t="shared" si="6"/>
        <v>16409317.753880627</v>
      </c>
    </row>
    <row r="64" spans="1:3" x14ac:dyDescent="0.25">
      <c r="A64" s="345">
        <f t="shared" si="2"/>
        <v>8600000</v>
      </c>
      <c r="B64" s="339">
        <f t="shared" si="5"/>
        <v>73833.051162706732</v>
      </c>
      <c r="C64" s="346">
        <f t="shared" si="6"/>
        <v>16681839.579701958</v>
      </c>
    </row>
    <row r="65" spans="1:3" x14ac:dyDescent="0.25">
      <c r="A65" s="345">
        <f t="shared" si="2"/>
        <v>8800000</v>
      </c>
      <c r="B65" s="339">
        <f t="shared" si="5"/>
        <v>75030.833459280257</v>
      </c>
      <c r="C65" s="346">
        <f t="shared" si="6"/>
        <v>16952466.51178978</v>
      </c>
    </row>
    <row r="66" spans="1:3" x14ac:dyDescent="0.25">
      <c r="A66" s="345">
        <f t="shared" si="2"/>
        <v>9000000</v>
      </c>
      <c r="B66" s="339">
        <f t="shared" si="5"/>
        <v>76220.476033018742</v>
      </c>
      <c r="C66" s="346">
        <f t="shared" si="6"/>
        <v>17221254.354900256</v>
      </c>
    </row>
    <row r="67" spans="1:3" x14ac:dyDescent="0.25">
      <c r="A67" s="345">
        <f t="shared" si="2"/>
        <v>9200000</v>
      </c>
      <c r="B67" s="339">
        <f t="shared" si="5"/>
        <v>77402.213288274987</v>
      </c>
      <c r="C67" s="346">
        <f t="shared" si="6"/>
        <v>17488256.070352849</v>
      </c>
    </row>
    <row r="68" spans="1:3" x14ac:dyDescent="0.25">
      <c r="A68" s="345">
        <f t="shared" si="2"/>
        <v>9400000</v>
      </c>
      <c r="B68" s="339">
        <f t="shared" si="5"/>
        <v>78576.267944646228</v>
      </c>
      <c r="C68" s="346">
        <f t="shared" si="6"/>
        <v>17753521.979413368</v>
      </c>
    </row>
    <row r="69" spans="1:3" x14ac:dyDescent="0.25">
      <c r="A69" s="345">
        <f t="shared" si="2"/>
        <v>9600000</v>
      </c>
      <c r="B69" s="339">
        <f t="shared" si="5"/>
        <v>79742.851855015717</v>
      </c>
      <c r="C69" s="346">
        <f t="shared" si="6"/>
        <v>18017099.948122252</v>
      </c>
    </row>
    <row r="70" spans="1:3" x14ac:dyDescent="0.25">
      <c r="A70" s="345">
        <f t="shared" si="2"/>
        <v>9800000</v>
      </c>
      <c r="B70" s="339">
        <f t="shared" si="5"/>
        <v>80902.166750514647</v>
      </c>
      <c r="C70" s="346">
        <f t="shared" si="6"/>
        <v>18279035.555611279</v>
      </c>
    </row>
    <row r="71" spans="1:3" x14ac:dyDescent="0.25">
      <c r="A71" s="345">
        <f t="shared" si="2"/>
        <v>10000000</v>
      </c>
      <c r="B71" s="339">
        <f t="shared" si="5"/>
        <v>82054.404920288376</v>
      </c>
      <c r="C71" s="346">
        <f t="shared" si="6"/>
        <v>18539372.247689955</v>
      </c>
    </row>
    <row r="72" spans="1:3" x14ac:dyDescent="0.25">
      <c r="A72" s="345">
        <f t="shared" si="2"/>
        <v>10200000</v>
      </c>
      <c r="B72" s="339">
        <f t="shared" si="5"/>
        <v>83199.749832959336</v>
      </c>
      <c r="C72" s="346">
        <f t="shared" si="6"/>
        <v>18798151.477258831</v>
      </c>
    </row>
    <row r="73" spans="1:3" x14ac:dyDescent="0.25">
      <c r="A73" s="345">
        <f t="shared" si="2"/>
        <v>10400000</v>
      </c>
      <c r="B73" s="339">
        <f t="shared" si="5"/>
        <v>84338.376705829985</v>
      </c>
      <c r="C73" s="346">
        <f t="shared" si="6"/>
        <v>19055412.832915228</v>
      </c>
    </row>
    <row r="74" spans="1:3" x14ac:dyDescent="0.25">
      <c r="A74" s="345">
        <f t="shared" si="2"/>
        <v>10600000</v>
      </c>
      <c r="B74" s="339">
        <f t="shared" si="5"/>
        <v>85470.453027139083</v>
      </c>
      <c r="C74" s="346">
        <f t="shared" si="6"/>
        <v>19311194.156951804</v>
      </c>
    </row>
    <row r="75" spans="1:3" x14ac:dyDescent="0.25">
      <c r="A75" s="345">
        <f t="shared" si="2"/>
        <v>10800000</v>
      </c>
      <c r="B75" s="339">
        <f t="shared" ref="B75:B98" si="7">((A75/$B$12)^$D$12)*$C$12</f>
        <v>86596.139036053923</v>
      </c>
      <c r="C75" s="346">
        <f t="shared" ref="C75:C98" si="8">B75*$F$14</f>
        <v>19565531.653806023</v>
      </c>
    </row>
    <row r="76" spans="1:3" x14ac:dyDescent="0.25">
      <c r="A76" s="345">
        <f t="shared" si="2"/>
        <v>11000000</v>
      </c>
      <c r="B76" s="339">
        <f t="shared" si="7"/>
        <v>87715.588164536821</v>
      </c>
      <c r="C76" s="346">
        <f t="shared" si="8"/>
        <v>19818459.989895448</v>
      </c>
    </row>
    <row r="77" spans="1:3" x14ac:dyDescent="0.25">
      <c r="A77" s="345">
        <f t="shared" si="2"/>
        <v>11200000</v>
      </c>
      <c r="B77" s="339">
        <f t="shared" si="7"/>
        <v>88828.947444750607</v>
      </c>
      <c r="C77" s="346">
        <f t="shared" si="8"/>
        <v>20070012.385666952</v>
      </c>
    </row>
    <row r="78" spans="1:3" x14ac:dyDescent="0.25">
      <c r="A78" s="345">
        <f t="shared" si="2"/>
        <v>11400000</v>
      </c>
      <c r="B78" s="339">
        <f t="shared" si="7"/>
        <v>89936.357885257181</v>
      </c>
      <c r="C78" s="346">
        <f t="shared" si="8"/>
        <v>20320220.700595006</v>
      </c>
    </row>
    <row r="79" spans="1:3" x14ac:dyDescent="0.25">
      <c r="A79" s="345">
        <f t="shared" si="2"/>
        <v>11600000</v>
      </c>
      <c r="B79" s="339">
        <f t="shared" si="7"/>
        <v>91037.954818903876</v>
      </c>
      <c r="C79" s="346">
        <f t="shared" si="8"/>
        <v>20569115.511783142</v>
      </c>
    </row>
    <row r="80" spans="1:3" x14ac:dyDescent="0.25">
      <c r="A80" s="345">
        <f t="shared" si="2"/>
        <v>11800000</v>
      </c>
      <c r="B80" s="339">
        <f t="shared" si="7"/>
        <v>92133.868224978651</v>
      </c>
      <c r="C80" s="346">
        <f t="shared" si="8"/>
        <v>20816726.186751675</v>
      </c>
    </row>
    <row r="81" spans="1:3" x14ac:dyDescent="0.25">
      <c r="A81" s="345">
        <f t="shared" si="2"/>
        <v>12000000</v>
      </c>
      <c r="B81" s="339">
        <f t="shared" si="7"/>
        <v>93224.223027940854</v>
      </c>
      <c r="C81" s="346">
        <f t="shared" si="8"/>
        <v>21063080.950932957</v>
      </c>
    </row>
    <row r="82" spans="1:3" x14ac:dyDescent="0.25">
      <c r="A82" s="345">
        <f t="shared" si="2"/>
        <v>12200000</v>
      </c>
      <c r="B82" s="339">
        <f t="shared" si="7"/>
        <v>94309.139374791368</v>
      </c>
      <c r="C82" s="346">
        <f t="shared" si="8"/>
        <v>21308206.95034036</v>
      </c>
    </row>
    <row r="83" spans="1:3" x14ac:dyDescent="0.25">
      <c r="A83" s="345">
        <f t="shared" si="2"/>
        <v>12400000</v>
      </c>
      <c r="B83" s="339">
        <f t="shared" si="7"/>
        <v>95388.732892934539</v>
      </c>
      <c r="C83" s="346">
        <f t="shared" si="8"/>
        <v>21552130.30982963</v>
      </c>
    </row>
    <row r="84" spans="1:3" x14ac:dyDescent="0.25">
      <c r="A84" s="345">
        <f t="shared" si="2"/>
        <v>12600000</v>
      </c>
      <c r="B84" s="339">
        <f t="shared" si="7"/>
        <v>96463.114930195705</v>
      </c>
      <c r="C84" s="346">
        <f t="shared" si="8"/>
        <v>21794876.187328417</v>
      </c>
    </row>
    <row r="85" spans="1:3" x14ac:dyDescent="0.25">
      <c r="A85" s="345">
        <f t="shared" si="2"/>
        <v>12800000</v>
      </c>
      <c r="B85" s="339">
        <f t="shared" si="7"/>
        <v>97532.392778492183</v>
      </c>
      <c r="C85" s="346">
        <f t="shared" si="8"/>
        <v>22036468.824372523</v>
      </c>
    </row>
    <row r="86" spans="1:3" x14ac:dyDescent="0.25">
      <c r="A86" s="345">
        <f t="shared" si="2"/>
        <v>13000000</v>
      </c>
      <c r="B86" s="339">
        <f t="shared" si="7"/>
        <v>98596.669882508781</v>
      </c>
      <c r="C86" s="346">
        <f t="shared" si="8"/>
        <v>22276931.593254033</v>
      </c>
    </row>
    <row r="87" spans="1:3" x14ac:dyDescent="0.25">
      <c r="A87" s="345">
        <f t="shared" ref="A87:A98" si="9">A86+(($C$17-$B$17)/$D$17)</f>
        <v>13200000</v>
      </c>
      <c r="B87" s="339">
        <f t="shared" si="7"/>
        <v>99656.046034597835</v>
      </c>
      <c r="C87" s="346">
        <f t="shared" si="8"/>
        <v>22516287.041057035</v>
      </c>
    </row>
    <row r="88" spans="1:3" x14ac:dyDescent="0.25">
      <c r="A88" s="345">
        <f t="shared" si="9"/>
        <v>13400000</v>
      </c>
      <c r="B88" s="339">
        <f t="shared" si="7"/>
        <v>100710.61755700773</v>
      </c>
      <c r="C88" s="346">
        <f t="shared" si="8"/>
        <v>22754556.930830326</v>
      </c>
    </row>
    <row r="89" spans="1:3" x14ac:dyDescent="0.25">
      <c r="A89" s="345">
        <f t="shared" si="9"/>
        <v>13600000</v>
      </c>
      <c r="B89" s="339">
        <f t="shared" si="7"/>
        <v>101760.4774724404</v>
      </c>
      <c r="C89" s="346">
        <f t="shared" si="8"/>
        <v>22991762.280123182</v>
      </c>
    </row>
    <row r="90" spans="1:3" x14ac:dyDescent="0.25">
      <c r="A90" s="345">
        <f t="shared" si="9"/>
        <v>13800000</v>
      </c>
      <c r="B90" s="339">
        <f t="shared" si="7"/>
        <v>102805.71566384524</v>
      </c>
      <c r="C90" s="346">
        <f t="shared" si="8"/>
        <v>23227923.397089195</v>
      </c>
    </row>
    <row r="91" spans="1:3" x14ac:dyDescent="0.25">
      <c r="A91" s="345">
        <f t="shared" si="9"/>
        <v>14000000</v>
      </c>
      <c r="B91" s="339">
        <f t="shared" si="7"/>
        <v>103846.41902427527</v>
      </c>
      <c r="C91" s="346">
        <f t="shared" si="8"/>
        <v>23463059.914344754</v>
      </c>
    </row>
    <row r="92" spans="1:3" x14ac:dyDescent="0.25">
      <c r="A92" s="345">
        <f t="shared" si="9"/>
        <v>14200000</v>
      </c>
      <c r="B92" s="339">
        <f t="shared" si="7"/>
        <v>104882.67159755557</v>
      </c>
      <c r="C92" s="346">
        <f t="shared" si="8"/>
        <v>23697190.820751704</v>
      </c>
    </row>
    <row r="93" spans="1:3" x14ac:dyDescent="0.25">
      <c r="A93" s="345">
        <f t="shared" si="9"/>
        <v>14400000</v>
      </c>
      <c r="B93" s="339">
        <f t="shared" si="7"/>
        <v>105914.55471044948</v>
      </c>
      <c r="C93" s="346">
        <f t="shared" si="8"/>
        <v>23930334.491278954</v>
      </c>
    </row>
    <row r="94" spans="1:3" x14ac:dyDescent="0.25">
      <c r="A94" s="345">
        <f t="shared" si="9"/>
        <v>14600000</v>
      </c>
      <c r="B94" s="339">
        <f t="shared" si="7"/>
        <v>106942.14709694653</v>
      </c>
      <c r="C94" s="346">
        <f t="shared" si="8"/>
        <v>24162508.715084098</v>
      </c>
    </row>
    <row r="95" spans="1:3" x14ac:dyDescent="0.25">
      <c r="A95" s="345">
        <f t="shared" si="9"/>
        <v>14800000</v>
      </c>
      <c r="B95" s="339">
        <f t="shared" si="7"/>
        <v>107965.5250152433</v>
      </c>
      <c r="C95" s="346">
        <f t="shared" si="8"/>
        <v>24393730.721944071</v>
      </c>
    </row>
    <row r="96" spans="1:3" x14ac:dyDescent="0.25">
      <c r="A96" s="345">
        <f t="shared" si="9"/>
        <v>15000000</v>
      </c>
      <c r="B96" s="339">
        <f t="shared" si="7"/>
        <v>108984.76235793946</v>
      </c>
      <c r="C96" s="346">
        <f t="shared" si="8"/>
        <v>24624017.20715284</v>
      </c>
    </row>
    <row r="97" spans="1:3" x14ac:dyDescent="0.25">
      <c r="A97"/>
      <c r="B97"/>
      <c r="C97"/>
    </row>
    <row r="98" spans="1:3" x14ac:dyDescent="0.25">
      <c r="A98"/>
      <c r="B98"/>
      <c r="C98"/>
    </row>
  </sheetData>
  <mergeCells count="9">
    <mergeCell ref="A11:A12"/>
    <mergeCell ref="A13:D14"/>
    <mergeCell ref="A16:A17"/>
    <mergeCell ref="A19:C19"/>
    <mergeCell ref="B4:F4"/>
    <mergeCell ref="A7:A9"/>
    <mergeCell ref="B7:C7"/>
    <mergeCell ref="D7:F7"/>
    <mergeCell ref="G7:I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C51A2A-C499-4689-B371-E9CED1501AC0}">
  <sheetPr codeName="Sheet11">
    <tabColor theme="3" tint="0.79998168889431442"/>
  </sheetPr>
  <dimension ref="A1:I46"/>
  <sheetViews>
    <sheetView topLeftCell="A27" workbookViewId="0">
      <selection activeCell="B21" sqref="B21:C46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256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255</v>
      </c>
      <c r="C2" s="9" t="s">
        <v>4</v>
      </c>
      <c r="D2" s="10" t="s">
        <v>6</v>
      </c>
      <c r="E2" s="9" t="s">
        <v>116</v>
      </c>
      <c r="F2" s="10" t="s">
        <v>163</v>
      </c>
      <c r="G2" s="98"/>
      <c r="H2" s="98"/>
      <c r="I2" s="98"/>
    </row>
    <row r="3" spans="1:9" ht="15.75" thickBot="1" x14ac:dyDescent="0.3">
      <c r="A3" s="11" t="s">
        <v>3</v>
      </c>
      <c r="B3" s="12" t="s">
        <v>257</v>
      </c>
      <c r="C3" s="13" t="s">
        <v>5</v>
      </c>
      <c r="D3" s="14" t="s">
        <v>163</v>
      </c>
      <c r="E3" s="13" t="s">
        <v>104</v>
      </c>
      <c r="F3" s="14" t="s">
        <v>161</v>
      </c>
      <c r="G3" s="98"/>
      <c r="H3" s="98"/>
      <c r="I3" s="98"/>
    </row>
    <row r="4" spans="1:9" ht="15.75" thickBot="1" x14ac:dyDescent="0.3">
      <c r="A4" s="29" t="s">
        <v>38</v>
      </c>
      <c r="B4" s="463"/>
      <c r="C4" s="464"/>
      <c r="D4" s="464"/>
      <c r="E4" s="464"/>
      <c r="F4" s="465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326">
        <v>0.8</v>
      </c>
      <c r="C6" s="326">
        <v>1.3</v>
      </c>
      <c r="D6" s="98"/>
      <c r="E6" s="98"/>
      <c r="F6" s="98"/>
      <c r="G6" s="98"/>
      <c r="H6" s="98"/>
      <c r="I6" s="98"/>
    </row>
    <row r="7" spans="1:9" x14ac:dyDescent="0.25">
      <c r="A7" s="452" t="s">
        <v>8</v>
      </c>
      <c r="B7" s="457" t="s">
        <v>9</v>
      </c>
      <c r="C7" s="457"/>
      <c r="D7" s="457" t="s">
        <v>12</v>
      </c>
      <c r="E7" s="457"/>
      <c r="F7" s="457"/>
      <c r="G7" s="457" t="s">
        <v>124</v>
      </c>
      <c r="H7" s="457"/>
      <c r="I7" s="462"/>
    </row>
    <row r="8" spans="1:9" x14ac:dyDescent="0.25">
      <c r="A8" s="456"/>
      <c r="B8" s="334" t="s">
        <v>10</v>
      </c>
      <c r="C8" s="334" t="s">
        <v>11</v>
      </c>
      <c r="D8" s="334" t="s">
        <v>20</v>
      </c>
      <c r="E8" s="334" t="s">
        <v>21</v>
      </c>
      <c r="F8" s="334" t="s">
        <v>117</v>
      </c>
      <c r="G8" s="334" t="s">
        <v>22</v>
      </c>
      <c r="H8" s="334" t="s">
        <v>23</v>
      </c>
      <c r="I8" s="4" t="s">
        <v>123</v>
      </c>
    </row>
    <row r="9" spans="1:9" ht="15.75" thickBot="1" x14ac:dyDescent="0.3">
      <c r="A9" s="453"/>
      <c r="B9" s="337">
        <f>VAC_Optim_Scenario!G22</f>
        <v>2001598.7739999997</v>
      </c>
      <c r="C9" s="337">
        <f>VAC_Optim_Scenario!H22</f>
        <v>3717254.8659999999</v>
      </c>
      <c r="D9" s="338">
        <f>VAC_Optim_Scenario!I22</f>
        <v>3717254.8659999999</v>
      </c>
      <c r="E9" s="84">
        <f>((GDISP!D9/$B$12)^$D$12)*$C$12*$F$12</f>
        <v>89032.988619922922</v>
      </c>
      <c r="F9" s="84">
        <f>E9*F11</f>
        <v>89032.988619922922</v>
      </c>
      <c r="G9" s="76">
        <f>VAC_Optim_Scenario!E22</f>
        <v>2859426.82</v>
      </c>
      <c r="H9" s="339">
        <f>((GDISP!G9/$B$12)^$D$12)*$C$12*$F$12</f>
        <v>76065.012406995462</v>
      </c>
      <c r="I9" s="340">
        <f>H9*F11</f>
        <v>76065.012406995462</v>
      </c>
    </row>
    <row r="10" spans="1:9" ht="15.75" thickBot="1" x14ac:dyDescent="0.3"/>
    <row r="11" spans="1:9" ht="48.95" customHeight="1" x14ac:dyDescent="0.25">
      <c r="A11" s="425" t="s">
        <v>15</v>
      </c>
      <c r="B11" s="335" t="s">
        <v>16</v>
      </c>
      <c r="C11" s="335" t="s">
        <v>17</v>
      </c>
      <c r="D11" s="335" t="s">
        <v>248</v>
      </c>
      <c r="E11" s="334" t="s">
        <v>126</v>
      </c>
      <c r="F11" s="341">
        <v>1</v>
      </c>
    </row>
    <row r="12" spans="1:9" ht="40.5" customHeight="1" thickBot="1" x14ac:dyDescent="0.3">
      <c r="A12" s="425"/>
      <c r="B12" s="342">
        <f>'[6]HCC Display - Power'!$B$12</f>
        <v>2859426.82</v>
      </c>
      <c r="C12" s="342">
        <f>'[6]HCC Display - Power'!$C$12</f>
        <v>76065.012406995462</v>
      </c>
      <c r="D12" s="347">
        <f>'[6]HCC Display - Power'!$D$12</f>
        <v>0.6</v>
      </c>
      <c r="E12" s="334" t="s">
        <v>122</v>
      </c>
      <c r="F12" s="343">
        <f>VAC_Optim_Scenario!D22</f>
        <v>1</v>
      </c>
      <c r="G12" s="344">
        <f>B12*2</f>
        <v>5718853.6399999997</v>
      </c>
    </row>
    <row r="13" spans="1:9" ht="18.75" customHeight="1" x14ac:dyDescent="0.25">
      <c r="A13" s="446" t="s">
        <v>249</v>
      </c>
      <c r="B13" s="447"/>
      <c r="C13" s="447"/>
      <c r="D13" s="447"/>
      <c r="E13" s="334" t="s">
        <v>250</v>
      </c>
      <c r="F13" s="334" t="s">
        <v>251</v>
      </c>
    </row>
    <row r="14" spans="1:9" ht="15.75" thickBot="1" x14ac:dyDescent="0.3">
      <c r="A14" s="449"/>
      <c r="B14" s="450"/>
      <c r="C14" s="450"/>
      <c r="D14" s="450"/>
      <c r="E14" s="95">
        <f>VAC_Optim_Scenario!F33</f>
        <v>225.94</v>
      </c>
      <c r="F14" s="95">
        <f>VAC_Optim_Scenario!E33</f>
        <v>225.94</v>
      </c>
    </row>
    <row r="15" spans="1:9" ht="15.75" thickBot="1" x14ac:dyDescent="0.3"/>
    <row r="16" spans="1:9" x14ac:dyDescent="0.25">
      <c r="A16" s="444" t="s">
        <v>34</v>
      </c>
      <c r="B16" s="335" t="s">
        <v>32</v>
      </c>
      <c r="C16" s="335" t="s">
        <v>31</v>
      </c>
      <c r="D16" s="336" t="s">
        <v>33</v>
      </c>
    </row>
    <row r="17" spans="1:4" ht="15.75" thickBot="1" x14ac:dyDescent="0.3">
      <c r="A17" s="445"/>
      <c r="B17" s="76">
        <v>0</v>
      </c>
      <c r="C17" s="76">
        <v>5000000</v>
      </c>
      <c r="D17" s="26">
        <v>25</v>
      </c>
    </row>
    <row r="18" spans="1:4" x14ac:dyDescent="0.25">
      <c r="A18" s="98"/>
      <c r="B18" s="98"/>
      <c r="C18" s="98"/>
      <c r="D18" s="98"/>
    </row>
    <row r="19" spans="1:4" x14ac:dyDescent="0.25">
      <c r="A19" s="425" t="s">
        <v>37</v>
      </c>
      <c r="B19" s="425"/>
      <c r="C19" s="425"/>
      <c r="D19" s="98"/>
    </row>
    <row r="20" spans="1:4" ht="25.5" x14ac:dyDescent="0.25">
      <c r="A20" s="334" t="s">
        <v>35</v>
      </c>
      <c r="B20" s="334" t="s">
        <v>164</v>
      </c>
      <c r="C20" s="334" t="s">
        <v>252</v>
      </c>
    </row>
    <row r="21" spans="1:4" x14ac:dyDescent="0.25">
      <c r="A21" s="345">
        <f>B17</f>
        <v>0</v>
      </c>
      <c r="B21" s="339">
        <f>((A21/$B$12)^$D$12)*$C$12</f>
        <v>0</v>
      </c>
      <c r="C21" s="346">
        <f>B21*$F$14</f>
        <v>0</v>
      </c>
    </row>
    <row r="22" spans="1:4" x14ac:dyDescent="0.25">
      <c r="A22" s="345">
        <f>A21+(($C$17-$B$17)/$D$17)</f>
        <v>200000</v>
      </c>
      <c r="B22" s="339">
        <f t="shared" ref="B22:B41" si="0">((A22/$B$12)^$D$12)*$C$12</f>
        <v>15418.266428927403</v>
      </c>
      <c r="C22" s="346">
        <f t="shared" ref="C22:C41" si="1">B22*$F$14</f>
        <v>3483603.1169518577</v>
      </c>
    </row>
    <row r="23" spans="1:4" x14ac:dyDescent="0.25">
      <c r="A23" s="345">
        <f t="shared" ref="A23:A46" si="2">A22+(($C$17-$B$17)/$D$17)</f>
        <v>400000</v>
      </c>
      <c r="B23" s="339">
        <f t="shared" si="0"/>
        <v>23369.721853196384</v>
      </c>
      <c r="C23" s="346">
        <f t="shared" si="1"/>
        <v>5280154.9555111909</v>
      </c>
    </row>
    <row r="24" spans="1:4" x14ac:dyDescent="0.25">
      <c r="A24" s="345">
        <f t="shared" si="2"/>
        <v>600000</v>
      </c>
      <c r="B24" s="339">
        <f t="shared" si="0"/>
        <v>29806.31582437663</v>
      </c>
      <c r="C24" s="346">
        <f t="shared" si="1"/>
        <v>6734438.9973596558</v>
      </c>
    </row>
    <row r="25" spans="1:4" x14ac:dyDescent="0.25">
      <c r="A25" s="345">
        <f t="shared" si="2"/>
        <v>800000</v>
      </c>
      <c r="B25" s="339">
        <f t="shared" si="0"/>
        <v>35421.874567629835</v>
      </c>
      <c r="C25" s="346">
        <f t="shared" si="1"/>
        <v>8003218.3398102848</v>
      </c>
    </row>
    <row r="26" spans="1:4" x14ac:dyDescent="0.25">
      <c r="A26" s="345">
        <f t="shared" si="2"/>
        <v>1000000</v>
      </c>
      <c r="B26" s="339">
        <f t="shared" si="0"/>
        <v>40496.50547128301</v>
      </c>
      <c r="C26" s="346">
        <f t="shared" si="1"/>
        <v>9149780.4461816829</v>
      </c>
    </row>
    <row r="27" spans="1:4" x14ac:dyDescent="0.25">
      <c r="A27" s="345">
        <f t="shared" si="2"/>
        <v>1200000</v>
      </c>
      <c r="B27" s="339">
        <f t="shared" si="0"/>
        <v>45177.926681648685</v>
      </c>
      <c r="C27" s="346">
        <f t="shared" si="1"/>
        <v>10207500.754451703</v>
      </c>
    </row>
    <row r="28" spans="1:4" x14ac:dyDescent="0.25">
      <c r="A28" s="345">
        <f t="shared" si="2"/>
        <v>1400000</v>
      </c>
      <c r="B28" s="339">
        <f t="shared" si="0"/>
        <v>49555.786139031705</v>
      </c>
      <c r="C28" s="346">
        <f t="shared" si="1"/>
        <v>11196634.320252823</v>
      </c>
    </row>
    <row r="29" spans="1:4" x14ac:dyDescent="0.25">
      <c r="A29" s="345">
        <f t="shared" si="2"/>
        <v>1600000</v>
      </c>
      <c r="B29" s="339">
        <f t="shared" si="0"/>
        <v>53689.522099009882</v>
      </c>
      <c r="C29" s="346">
        <f t="shared" si="1"/>
        <v>12130610.623050293</v>
      </c>
    </row>
    <row r="30" spans="1:4" x14ac:dyDescent="0.25">
      <c r="A30" s="345">
        <f t="shared" si="2"/>
        <v>1800000</v>
      </c>
      <c r="B30" s="339">
        <f t="shared" si="0"/>
        <v>57621.034577250372</v>
      </c>
      <c r="C30" s="346">
        <f t="shared" si="1"/>
        <v>13018896.552383948</v>
      </c>
    </row>
    <row r="31" spans="1:4" x14ac:dyDescent="0.25">
      <c r="A31" s="345">
        <f t="shared" si="2"/>
        <v>2000000</v>
      </c>
      <c r="B31" s="339">
        <f t="shared" si="0"/>
        <v>61381.22422860263</v>
      </c>
      <c r="C31" s="346">
        <f t="shared" si="1"/>
        <v>13868473.802210478</v>
      </c>
    </row>
    <row r="32" spans="1:4" x14ac:dyDescent="0.25">
      <c r="A32" s="345">
        <f t="shared" si="2"/>
        <v>2200000</v>
      </c>
      <c r="B32" s="339">
        <f t="shared" si="0"/>
        <v>64993.684390287664</v>
      </c>
      <c r="C32" s="346">
        <f t="shared" si="1"/>
        <v>14684673.051141595</v>
      </c>
    </row>
    <row r="33" spans="1:3" x14ac:dyDescent="0.25">
      <c r="A33" s="345">
        <f t="shared" si="2"/>
        <v>2400000</v>
      </c>
      <c r="B33" s="339">
        <f t="shared" si="0"/>
        <v>68476.931911967054</v>
      </c>
      <c r="C33" s="346">
        <f t="shared" si="1"/>
        <v>15471677.996189836</v>
      </c>
    </row>
    <row r="34" spans="1:3" x14ac:dyDescent="0.25">
      <c r="A34" s="345">
        <f t="shared" si="2"/>
        <v>2600000</v>
      </c>
      <c r="B34" s="339">
        <f t="shared" si="0"/>
        <v>71845.828526013895</v>
      </c>
      <c r="C34" s="346">
        <f t="shared" si="1"/>
        <v>16232846.49716758</v>
      </c>
    </row>
    <row r="35" spans="1:3" x14ac:dyDescent="0.25">
      <c r="A35" s="345">
        <f t="shared" si="2"/>
        <v>2800000</v>
      </c>
      <c r="B35" s="339">
        <f t="shared" si="0"/>
        <v>75112.526017376702</v>
      </c>
      <c r="C35" s="346">
        <f t="shared" si="1"/>
        <v>16970924.12836609</v>
      </c>
    </row>
    <row r="36" spans="1:3" x14ac:dyDescent="0.25">
      <c r="A36" s="345">
        <f t="shared" si="2"/>
        <v>3000000</v>
      </c>
      <c r="B36" s="339">
        <f t="shared" si="0"/>
        <v>78287.117259565202</v>
      </c>
      <c r="C36" s="346">
        <f t="shared" si="1"/>
        <v>17688191.27362616</v>
      </c>
    </row>
    <row r="37" spans="1:3" x14ac:dyDescent="0.25">
      <c r="A37" s="345">
        <f t="shared" si="2"/>
        <v>3200000</v>
      </c>
      <c r="B37" s="339">
        <f t="shared" si="0"/>
        <v>81378.098093495413</v>
      </c>
      <c r="C37" s="346">
        <f t="shared" si="1"/>
        <v>18386567.483244352</v>
      </c>
    </row>
    <row r="38" spans="1:3" x14ac:dyDescent="0.25">
      <c r="A38" s="345">
        <f t="shared" si="2"/>
        <v>3400000</v>
      </c>
      <c r="B38" s="339">
        <f t="shared" si="0"/>
        <v>84392.703353188583</v>
      </c>
      <c r="C38" s="346">
        <f t="shared" si="1"/>
        <v>19067687.39561943</v>
      </c>
    </row>
    <row r="39" spans="1:3" x14ac:dyDescent="0.25">
      <c r="A39" s="345">
        <f t="shared" si="2"/>
        <v>3600000</v>
      </c>
      <c r="B39" s="339">
        <f t="shared" si="0"/>
        <v>87337.156688206844</v>
      </c>
      <c r="C39" s="346">
        <f t="shared" si="1"/>
        <v>19732957.182133455</v>
      </c>
    </row>
    <row r="40" spans="1:3" x14ac:dyDescent="0.25">
      <c r="A40" s="345">
        <f t="shared" si="2"/>
        <v>3800000</v>
      </c>
      <c r="B40" s="339">
        <f t="shared" si="0"/>
        <v>90216.859838313525</v>
      </c>
      <c r="C40" s="346">
        <f t="shared" si="1"/>
        <v>20383597.311868556</v>
      </c>
    </row>
    <row r="41" spans="1:3" x14ac:dyDescent="0.25">
      <c r="A41" s="345">
        <f t="shared" si="2"/>
        <v>4000000</v>
      </c>
      <c r="B41" s="339">
        <f t="shared" si="0"/>
        <v>93036.538435982438</v>
      </c>
      <c r="C41" s="346">
        <f t="shared" si="1"/>
        <v>21020675.494225871</v>
      </c>
    </row>
    <row r="42" spans="1:3" x14ac:dyDescent="0.25">
      <c r="A42" s="345">
        <f t="shared" si="2"/>
        <v>4200000</v>
      </c>
      <c r="B42" s="339">
        <f t="shared" ref="B42:B46" si="3">((A42/$B$12)^$D$12)*$C$12</f>
        <v>95800.355986454393</v>
      </c>
      <c r="C42" s="346">
        <f t="shared" ref="C42:C46" si="4">B42*$F$14</f>
        <v>21645132.431579504</v>
      </c>
    </row>
    <row r="43" spans="1:3" x14ac:dyDescent="0.25">
      <c r="A43" s="345">
        <f t="shared" si="2"/>
        <v>4400000</v>
      </c>
      <c r="B43" s="339">
        <f t="shared" si="3"/>
        <v>98512.004148907276</v>
      </c>
      <c r="C43" s="346">
        <f t="shared" si="4"/>
        <v>22257802.217404108</v>
      </c>
    </row>
    <row r="44" spans="1:3" x14ac:dyDescent="0.25">
      <c r="A44" s="345">
        <f t="shared" si="2"/>
        <v>4600000</v>
      </c>
      <c r="B44" s="339">
        <f t="shared" si="3"/>
        <v>101174.77509481952</v>
      </c>
      <c r="C44" s="346">
        <f t="shared" si="4"/>
        <v>22859428.684923522</v>
      </c>
    </row>
    <row r="45" spans="1:3" x14ac:dyDescent="0.25">
      <c r="A45" s="345">
        <f t="shared" si="2"/>
        <v>4800000</v>
      </c>
      <c r="B45" s="339">
        <f t="shared" si="3"/>
        <v>103791.62012277301</v>
      </c>
      <c r="C45" s="346">
        <f t="shared" si="4"/>
        <v>23450678.650539331</v>
      </c>
    </row>
    <row r="46" spans="1:3" x14ac:dyDescent="0.25">
      <c r="A46" s="345">
        <f t="shared" si="2"/>
        <v>5000000</v>
      </c>
      <c r="B46" s="339">
        <f t="shared" si="3"/>
        <v>106365.19760151411</v>
      </c>
      <c r="C46" s="346">
        <f t="shared" si="4"/>
        <v>24032152.746086098</v>
      </c>
    </row>
  </sheetData>
  <mergeCells count="9">
    <mergeCell ref="A11:A12"/>
    <mergeCell ref="A13:D14"/>
    <mergeCell ref="A16:A17"/>
    <mergeCell ref="A19:C19"/>
    <mergeCell ref="B4:F4"/>
    <mergeCell ref="A7:A9"/>
    <mergeCell ref="B7:C7"/>
    <mergeCell ref="D7:F7"/>
    <mergeCell ref="G7:I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745B40-75CD-4CE7-AFC6-3E2F6258F466}">
  <sheetPr codeName="Sheet18">
    <tabColor theme="3" tint="0.79998168889431442"/>
  </sheetPr>
  <dimension ref="A1:I46"/>
  <sheetViews>
    <sheetView topLeftCell="A27" workbookViewId="0">
      <selection activeCell="B21" sqref="B21:C46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258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258</v>
      </c>
      <c r="C2" s="9" t="s">
        <v>4</v>
      </c>
      <c r="D2" s="10" t="s">
        <v>6</v>
      </c>
      <c r="E2" s="9" t="s">
        <v>116</v>
      </c>
      <c r="F2" s="10" t="s">
        <v>163</v>
      </c>
      <c r="G2" s="98"/>
      <c r="H2" s="98"/>
      <c r="I2" s="98"/>
    </row>
    <row r="3" spans="1:9" ht="15.75" thickBot="1" x14ac:dyDescent="0.3">
      <c r="A3" s="11" t="s">
        <v>3</v>
      </c>
      <c r="B3" s="12" t="s">
        <v>259</v>
      </c>
      <c r="C3" s="13" t="s">
        <v>5</v>
      </c>
      <c r="D3" s="14" t="s">
        <v>163</v>
      </c>
      <c r="E3" s="13" t="s">
        <v>104</v>
      </c>
      <c r="F3" s="14" t="s">
        <v>161</v>
      </c>
      <c r="G3" s="98"/>
      <c r="H3" s="98"/>
      <c r="I3" s="98"/>
    </row>
    <row r="4" spans="1:9" ht="15.75" thickBot="1" x14ac:dyDescent="0.3">
      <c r="A4" s="29" t="s">
        <v>38</v>
      </c>
      <c r="B4" s="463"/>
      <c r="C4" s="464"/>
      <c r="D4" s="464"/>
      <c r="E4" s="464"/>
      <c r="F4" s="465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326">
        <v>0.8</v>
      </c>
      <c r="C6" s="326">
        <v>1.3</v>
      </c>
      <c r="D6" s="98"/>
      <c r="E6" s="98"/>
      <c r="F6" s="98"/>
      <c r="G6" s="98"/>
      <c r="H6" s="98"/>
      <c r="I6" s="98"/>
    </row>
    <row r="7" spans="1:9" x14ac:dyDescent="0.25">
      <c r="A7" s="452" t="s">
        <v>8</v>
      </c>
      <c r="B7" s="457" t="s">
        <v>9</v>
      </c>
      <c r="C7" s="457"/>
      <c r="D7" s="457" t="s">
        <v>12</v>
      </c>
      <c r="E7" s="457"/>
      <c r="F7" s="457"/>
      <c r="G7" s="457" t="s">
        <v>124</v>
      </c>
      <c r="H7" s="457"/>
      <c r="I7" s="462"/>
    </row>
    <row r="8" spans="1:9" x14ac:dyDescent="0.25">
      <c r="A8" s="456"/>
      <c r="B8" s="334" t="s">
        <v>10</v>
      </c>
      <c r="C8" s="334" t="s">
        <v>11</v>
      </c>
      <c r="D8" s="334" t="s">
        <v>20</v>
      </c>
      <c r="E8" s="334" t="s">
        <v>21</v>
      </c>
      <c r="F8" s="334" t="s">
        <v>117</v>
      </c>
      <c r="G8" s="334" t="s">
        <v>22</v>
      </c>
      <c r="H8" s="334" t="s">
        <v>23</v>
      </c>
      <c r="I8" s="4" t="s">
        <v>123</v>
      </c>
    </row>
    <row r="9" spans="1:9" ht="15.75" thickBot="1" x14ac:dyDescent="0.3">
      <c r="A9" s="453"/>
      <c r="B9" s="337">
        <f>VAC_Optim_Scenario!G23</f>
        <v>35000</v>
      </c>
      <c r="C9" s="337">
        <f>VAC_Optim_Scenario!H23</f>
        <v>65000</v>
      </c>
      <c r="D9" s="338">
        <f>VAC_Optim_Scenario!I23</f>
        <v>65000</v>
      </c>
      <c r="E9" s="84">
        <f>((GPDSRCH!D9/$B$12)^$D$12)*$C$12*$F$12</f>
        <v>36212.405995131681</v>
      </c>
      <c r="F9" s="84">
        <f>E9*F11</f>
        <v>36212.405995131681</v>
      </c>
      <c r="G9" s="76">
        <f>VAC_Optim_Scenario!E23</f>
        <v>50000</v>
      </c>
      <c r="H9" s="339">
        <f>((GPDSRCH!G9/$B$12)^$D$12)*$C$12*$F$12</f>
        <v>30136.792938374307</v>
      </c>
      <c r="I9" s="340">
        <f>H9*F11</f>
        <v>30136.792938374307</v>
      </c>
    </row>
    <row r="10" spans="1:9" ht="15.75" thickBot="1" x14ac:dyDescent="0.3"/>
    <row r="11" spans="1:9" ht="48.95" customHeight="1" x14ac:dyDescent="0.25">
      <c r="A11" s="425" t="s">
        <v>15</v>
      </c>
      <c r="B11" s="335" t="s">
        <v>16</v>
      </c>
      <c r="C11" s="335" t="s">
        <v>17</v>
      </c>
      <c r="D11" s="335" t="s">
        <v>248</v>
      </c>
      <c r="E11" s="334" t="s">
        <v>126</v>
      </c>
      <c r="F11" s="341">
        <v>1</v>
      </c>
    </row>
    <row r="12" spans="1:9" ht="40.5" customHeight="1" thickBot="1" x14ac:dyDescent="0.3">
      <c r="A12" s="425"/>
      <c r="B12" s="342">
        <f>'[7]HCC Paid Search - Power'!$B$12</f>
        <v>50000</v>
      </c>
      <c r="C12" s="342">
        <f>'[7]HCC Paid Search - Power'!$C$12</f>
        <v>30136.792938374307</v>
      </c>
      <c r="D12" s="347">
        <f>'[7]HCC Paid Search - Power'!$D$12</f>
        <v>0.7</v>
      </c>
      <c r="E12" s="334" t="s">
        <v>122</v>
      </c>
      <c r="F12" s="343">
        <f>VAC_Optim_Scenario!D23</f>
        <v>1</v>
      </c>
      <c r="G12" s="344">
        <f>B12*2</f>
        <v>100000</v>
      </c>
    </row>
    <row r="13" spans="1:9" ht="18.75" customHeight="1" x14ac:dyDescent="0.25">
      <c r="A13" s="446" t="s">
        <v>249</v>
      </c>
      <c r="B13" s="447"/>
      <c r="C13" s="447"/>
      <c r="D13" s="447"/>
      <c r="E13" s="334" t="s">
        <v>250</v>
      </c>
      <c r="F13" s="334" t="s">
        <v>251</v>
      </c>
    </row>
    <row r="14" spans="1:9" ht="15.75" thickBot="1" x14ac:dyDescent="0.3">
      <c r="A14" s="449"/>
      <c r="B14" s="450"/>
      <c r="C14" s="450"/>
      <c r="D14" s="450"/>
      <c r="E14" s="95">
        <f>VAC_Optim_Scenario!F33</f>
        <v>225.94</v>
      </c>
      <c r="F14" s="95">
        <f>VAC_Optim_Scenario!E33</f>
        <v>225.94</v>
      </c>
    </row>
    <row r="15" spans="1:9" ht="15.75" thickBot="1" x14ac:dyDescent="0.3"/>
    <row r="16" spans="1:9" x14ac:dyDescent="0.25">
      <c r="A16" s="444" t="s">
        <v>34</v>
      </c>
      <c r="B16" s="335" t="s">
        <v>32</v>
      </c>
      <c r="C16" s="335" t="s">
        <v>31</v>
      </c>
      <c r="D16" s="336" t="s">
        <v>33</v>
      </c>
    </row>
    <row r="17" spans="1:4" ht="15.75" thickBot="1" x14ac:dyDescent="0.3">
      <c r="A17" s="445"/>
      <c r="B17" s="76">
        <v>0</v>
      </c>
      <c r="C17" s="76">
        <v>5000000</v>
      </c>
      <c r="D17" s="26">
        <v>25</v>
      </c>
    </row>
    <row r="18" spans="1:4" x14ac:dyDescent="0.25">
      <c r="A18" s="98"/>
      <c r="B18" s="98"/>
      <c r="C18" s="98"/>
      <c r="D18" s="98"/>
    </row>
    <row r="19" spans="1:4" x14ac:dyDescent="0.25">
      <c r="A19" s="425" t="s">
        <v>37</v>
      </c>
      <c r="B19" s="425"/>
      <c r="C19" s="425"/>
      <c r="D19" s="98"/>
    </row>
    <row r="20" spans="1:4" ht="25.5" x14ac:dyDescent="0.25">
      <c r="A20" s="334" t="s">
        <v>35</v>
      </c>
      <c r="B20" s="334" t="s">
        <v>164</v>
      </c>
      <c r="C20" s="334" t="s">
        <v>252</v>
      </c>
    </row>
    <row r="21" spans="1:4" x14ac:dyDescent="0.25">
      <c r="A21" s="345">
        <f>B17</f>
        <v>0</v>
      </c>
      <c r="B21" s="339">
        <f>((A21/$B$12)^$D$12)*$C$12</f>
        <v>0</v>
      </c>
      <c r="C21" s="346">
        <f>B21*$F$14</f>
        <v>0</v>
      </c>
    </row>
    <row r="22" spans="1:4" x14ac:dyDescent="0.25">
      <c r="A22" s="345">
        <f>A21+(($C$17-$B$17)/$D$17)</f>
        <v>200000</v>
      </c>
      <c r="B22" s="339">
        <f t="shared" ref="B22:B41" si="0">((A22/$B$12)^$D$12)*$C$12</f>
        <v>79531.473375019181</v>
      </c>
      <c r="C22" s="346">
        <f t="shared" ref="C22:C41" si="1">B22*$F$14</f>
        <v>17969341.094351832</v>
      </c>
    </row>
    <row r="23" spans="1:4" x14ac:dyDescent="0.25">
      <c r="A23" s="345">
        <f t="shared" ref="A23:A46" si="2">A22+(($C$17-$B$17)/$D$17)</f>
        <v>400000</v>
      </c>
      <c r="B23" s="339">
        <f t="shared" si="0"/>
        <v>129199.25966920293</v>
      </c>
      <c r="C23" s="346">
        <f t="shared" si="1"/>
        <v>29191280.72965971</v>
      </c>
    </row>
    <row r="24" spans="1:4" x14ac:dyDescent="0.25">
      <c r="A24" s="345">
        <f t="shared" si="2"/>
        <v>600000</v>
      </c>
      <c r="B24" s="339">
        <f t="shared" si="0"/>
        <v>171602.61689239615</v>
      </c>
      <c r="C24" s="346">
        <f t="shared" si="1"/>
        <v>38771895.260667987</v>
      </c>
    </row>
    <row r="25" spans="1:4" x14ac:dyDescent="0.25">
      <c r="A25" s="345">
        <f t="shared" si="2"/>
        <v>800000</v>
      </c>
      <c r="B25" s="339">
        <f t="shared" si="0"/>
        <v>209884.81654752325</v>
      </c>
      <c r="C25" s="346">
        <f t="shared" si="1"/>
        <v>47421375.450747401</v>
      </c>
    </row>
    <row r="26" spans="1:4" x14ac:dyDescent="0.25">
      <c r="A26" s="345">
        <f t="shared" si="2"/>
        <v>1000000</v>
      </c>
      <c r="B26" s="339">
        <f t="shared" si="0"/>
        <v>245368.06112200834</v>
      </c>
      <c r="C26" s="346">
        <f t="shared" si="1"/>
        <v>55438459.729906566</v>
      </c>
    </row>
    <row r="27" spans="1:4" x14ac:dyDescent="0.25">
      <c r="A27" s="345">
        <f t="shared" si="2"/>
        <v>1200000</v>
      </c>
      <c r="B27" s="339">
        <f t="shared" si="0"/>
        <v>278769.27358369966</v>
      </c>
      <c r="C27" s="346">
        <f t="shared" si="1"/>
        <v>62985129.673501097</v>
      </c>
    </row>
    <row r="28" spans="1:4" x14ac:dyDescent="0.25">
      <c r="A28" s="345">
        <f t="shared" si="2"/>
        <v>1400000</v>
      </c>
      <c r="B28" s="339">
        <f t="shared" si="0"/>
        <v>310532.92647973198</v>
      </c>
      <c r="C28" s="346">
        <f t="shared" si="1"/>
        <v>70161809.408830643</v>
      </c>
    </row>
    <row r="29" spans="1:4" x14ac:dyDescent="0.25">
      <c r="A29" s="345">
        <f t="shared" si="2"/>
        <v>1600000</v>
      </c>
      <c r="B29" s="339">
        <f t="shared" si="0"/>
        <v>340958.89039902925</v>
      </c>
      <c r="C29" s="346">
        <f t="shared" si="1"/>
        <v>77036251.696756661</v>
      </c>
    </row>
    <row r="30" spans="1:4" x14ac:dyDescent="0.25">
      <c r="A30" s="345">
        <f t="shared" si="2"/>
        <v>1800000</v>
      </c>
      <c r="B30" s="339">
        <f t="shared" si="0"/>
        <v>370261.69483197236</v>
      </c>
      <c r="C30" s="346">
        <f t="shared" si="1"/>
        <v>83656927.330335841</v>
      </c>
    </row>
    <row r="31" spans="1:4" x14ac:dyDescent="0.25">
      <c r="A31" s="345">
        <f t="shared" si="2"/>
        <v>2000000</v>
      </c>
      <c r="B31" s="339">
        <f t="shared" si="0"/>
        <v>398601.59127126914</v>
      </c>
      <c r="C31" s="346">
        <f t="shared" si="1"/>
        <v>90060043.531830549</v>
      </c>
    </row>
    <row r="32" spans="1:4" x14ac:dyDescent="0.25">
      <c r="A32" s="345">
        <f t="shared" si="2"/>
        <v>2200000</v>
      </c>
      <c r="B32" s="339">
        <f t="shared" si="0"/>
        <v>426102.32876156975</v>
      </c>
      <c r="C32" s="346">
        <f t="shared" si="1"/>
        <v>96273560.160389066</v>
      </c>
    </row>
    <row r="33" spans="1:3" x14ac:dyDescent="0.25">
      <c r="A33" s="345">
        <f t="shared" si="2"/>
        <v>2400000</v>
      </c>
      <c r="B33" s="339">
        <f t="shared" si="0"/>
        <v>452862.02099769411</v>
      </c>
      <c r="C33" s="346">
        <f t="shared" si="1"/>
        <v>102319645.02421901</v>
      </c>
    </row>
    <row r="34" spans="1:3" x14ac:dyDescent="0.25">
      <c r="A34" s="345">
        <f t="shared" si="2"/>
        <v>2600000</v>
      </c>
      <c r="B34" s="339">
        <f t="shared" si="0"/>
        <v>478960.14293680771</v>
      </c>
      <c r="C34" s="346">
        <f t="shared" si="1"/>
        <v>108216254.69514233</v>
      </c>
    </row>
    <row r="35" spans="1:3" x14ac:dyDescent="0.25">
      <c r="A35" s="345">
        <f t="shared" si="2"/>
        <v>2800000</v>
      </c>
      <c r="B35" s="339">
        <f t="shared" si="0"/>
        <v>504462.22736135405</v>
      </c>
      <c r="C35" s="346">
        <f t="shared" si="1"/>
        <v>113978195.65002432</v>
      </c>
    </row>
    <row r="36" spans="1:3" x14ac:dyDescent="0.25">
      <c r="A36" s="345">
        <f t="shared" si="2"/>
        <v>3000000</v>
      </c>
      <c r="B36" s="339">
        <f t="shared" si="0"/>
        <v>529423.1277698857</v>
      </c>
      <c r="C36" s="346">
        <f t="shared" si="1"/>
        <v>119617861.48832798</v>
      </c>
    </row>
    <row r="37" spans="1:3" x14ac:dyDescent="0.25">
      <c r="A37" s="345">
        <f t="shared" si="2"/>
        <v>3200000</v>
      </c>
      <c r="B37" s="339">
        <f t="shared" si="0"/>
        <v>553889.35157114896</v>
      </c>
      <c r="C37" s="346">
        <f t="shared" si="1"/>
        <v>125145760.09398539</v>
      </c>
    </row>
    <row r="38" spans="1:3" x14ac:dyDescent="0.25">
      <c r="A38" s="345">
        <f t="shared" si="2"/>
        <v>3400000</v>
      </c>
      <c r="B38" s="339">
        <f t="shared" si="0"/>
        <v>577900.76996050018</v>
      </c>
      <c r="C38" s="346">
        <f t="shared" si="1"/>
        <v>130570899.96487541</v>
      </c>
    </row>
    <row r="39" spans="1:3" x14ac:dyDescent="0.25">
      <c r="A39" s="345">
        <f t="shared" si="2"/>
        <v>3600000</v>
      </c>
      <c r="B39" s="339">
        <f t="shared" si="0"/>
        <v>601491.89781238139</v>
      </c>
      <c r="C39" s="346">
        <f t="shared" si="1"/>
        <v>135901079.39172944</v>
      </c>
    </row>
    <row r="40" spans="1:3" x14ac:dyDescent="0.25">
      <c r="A40" s="345">
        <f t="shared" si="2"/>
        <v>3800000</v>
      </c>
      <c r="B40" s="339">
        <f t="shared" si="0"/>
        <v>624692.8695540831</v>
      </c>
      <c r="C40" s="346">
        <f t="shared" si="1"/>
        <v>141143106.94704953</v>
      </c>
    </row>
    <row r="41" spans="1:3" x14ac:dyDescent="0.25">
      <c r="A41" s="345">
        <f t="shared" si="2"/>
        <v>4000000</v>
      </c>
      <c r="B41" s="339">
        <f t="shared" si="0"/>
        <v>647530.19540299417</v>
      </c>
      <c r="C41" s="346">
        <f t="shared" si="1"/>
        <v>146302972.34935251</v>
      </c>
    </row>
    <row r="42" spans="1:3" x14ac:dyDescent="0.25">
      <c r="A42" s="345">
        <f t="shared" si="2"/>
        <v>4200000</v>
      </c>
      <c r="B42" s="339">
        <f t="shared" ref="B42:B46" si="3">((A42/$B$12)^$D$12)*$C$12</f>
        <v>670027.3558859264</v>
      </c>
      <c r="C42" s="346">
        <f t="shared" ref="C42:C46" si="4">B42*$F$14</f>
        <v>151385980.78886622</v>
      </c>
    </row>
    <row r="43" spans="1:3" x14ac:dyDescent="0.25">
      <c r="A43" s="345">
        <f t="shared" si="2"/>
        <v>4400000</v>
      </c>
      <c r="B43" s="339">
        <f t="shared" si="3"/>
        <v>692205.27525911503</v>
      </c>
      <c r="C43" s="346">
        <f t="shared" si="4"/>
        <v>156396859.89204445</v>
      </c>
    </row>
    <row r="44" spans="1:3" x14ac:dyDescent="0.25">
      <c r="A44" s="345">
        <f t="shared" si="2"/>
        <v>4600000</v>
      </c>
      <c r="B44" s="339">
        <f t="shared" si="3"/>
        <v>714082.70286578103</v>
      </c>
      <c r="C44" s="346">
        <f t="shared" si="4"/>
        <v>161339845.88549456</v>
      </c>
    </row>
    <row r="45" spans="1:3" x14ac:dyDescent="0.25">
      <c r="A45" s="345">
        <f t="shared" si="2"/>
        <v>4800000</v>
      </c>
      <c r="B45" s="339">
        <f t="shared" si="3"/>
        <v>735676.52354820957</v>
      </c>
      <c r="C45" s="346">
        <f t="shared" si="4"/>
        <v>166218753.73048246</v>
      </c>
    </row>
    <row r="46" spans="1:3" x14ac:dyDescent="0.25">
      <c r="A46" s="345">
        <f t="shared" si="2"/>
        <v>5000000</v>
      </c>
      <c r="B46" s="339">
        <f t="shared" si="3"/>
        <v>757002.0127111614</v>
      </c>
      <c r="C46" s="346">
        <f t="shared" si="4"/>
        <v>171037034.7519598</v>
      </c>
    </row>
  </sheetData>
  <mergeCells count="9">
    <mergeCell ref="A11:A12"/>
    <mergeCell ref="A13:D14"/>
    <mergeCell ref="A16:A17"/>
    <mergeCell ref="A19:C19"/>
    <mergeCell ref="B4:F4"/>
    <mergeCell ref="A7:A9"/>
    <mergeCell ref="B7:C7"/>
    <mergeCell ref="D7:F7"/>
    <mergeCell ref="G7:I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404B61-7A15-400D-8FBE-269730C1AEA5}">
  <sheetPr codeName="Sheet12">
    <tabColor theme="3" tint="0.79998168889431442"/>
  </sheetPr>
  <dimension ref="A1:I47"/>
  <sheetViews>
    <sheetView topLeftCell="A27" workbookViewId="0">
      <selection activeCell="B21" sqref="B21:C46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260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260</v>
      </c>
      <c r="C2" s="9" t="s">
        <v>4</v>
      </c>
      <c r="D2" s="10" t="s">
        <v>6</v>
      </c>
      <c r="E2" s="9" t="s">
        <v>116</v>
      </c>
      <c r="F2" s="10" t="s">
        <v>163</v>
      </c>
      <c r="G2" s="98"/>
      <c r="H2" s="98"/>
      <c r="I2" s="98"/>
    </row>
    <row r="3" spans="1:9" ht="15.75" thickBot="1" x14ac:dyDescent="0.3">
      <c r="A3" s="11" t="s">
        <v>3</v>
      </c>
      <c r="B3" s="12" t="s">
        <v>261</v>
      </c>
      <c r="C3" s="13" t="s">
        <v>5</v>
      </c>
      <c r="D3" s="14" t="s">
        <v>163</v>
      </c>
      <c r="E3" s="13" t="s">
        <v>104</v>
      </c>
      <c r="F3" s="14" t="s">
        <v>161</v>
      </c>
      <c r="G3" s="98"/>
      <c r="H3" s="98"/>
      <c r="I3" s="98"/>
    </row>
    <row r="4" spans="1:9" ht="15.75" thickBot="1" x14ac:dyDescent="0.3">
      <c r="A4" s="29" t="s">
        <v>38</v>
      </c>
      <c r="B4" s="463"/>
      <c r="C4" s="464"/>
      <c r="D4" s="464"/>
      <c r="E4" s="464"/>
      <c r="F4" s="465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326">
        <v>0.8</v>
      </c>
      <c r="C6" s="326">
        <v>1.3</v>
      </c>
      <c r="D6" s="98"/>
      <c r="E6" s="98"/>
      <c r="F6" s="98"/>
      <c r="G6" s="98"/>
      <c r="H6" s="98"/>
      <c r="I6" s="98"/>
    </row>
    <row r="7" spans="1:9" x14ac:dyDescent="0.25">
      <c r="A7" s="452" t="s">
        <v>8</v>
      </c>
      <c r="B7" s="457" t="s">
        <v>9</v>
      </c>
      <c r="C7" s="457"/>
      <c r="D7" s="457" t="s">
        <v>12</v>
      </c>
      <c r="E7" s="457"/>
      <c r="F7" s="457"/>
      <c r="G7" s="457" t="s">
        <v>124</v>
      </c>
      <c r="H7" s="457"/>
      <c r="I7" s="462"/>
    </row>
    <row r="8" spans="1:9" x14ac:dyDescent="0.25">
      <c r="A8" s="456"/>
      <c r="B8" s="334" t="s">
        <v>10</v>
      </c>
      <c r="C8" s="334" t="s">
        <v>11</v>
      </c>
      <c r="D8" s="334" t="s">
        <v>20</v>
      </c>
      <c r="E8" s="334" t="s">
        <v>21</v>
      </c>
      <c r="F8" s="334" t="s">
        <v>117</v>
      </c>
      <c r="G8" s="334" t="s">
        <v>22</v>
      </c>
      <c r="H8" s="334" t="s">
        <v>23</v>
      </c>
      <c r="I8" s="4" t="s">
        <v>123</v>
      </c>
    </row>
    <row r="9" spans="1:9" ht="15.75" thickBot="1" x14ac:dyDescent="0.3">
      <c r="A9" s="453"/>
      <c r="B9" s="337">
        <f>VAC_Optim_Scenario!G24</f>
        <v>646782.5</v>
      </c>
      <c r="C9" s="337">
        <f>VAC_Optim_Scenario!H24</f>
        <v>1201167.5</v>
      </c>
      <c r="D9" s="338">
        <f>VAC_Optim_Scenario!I24</f>
        <v>1201167.5</v>
      </c>
      <c r="E9" s="84">
        <f>((GAUDIO!D9/$B$12)^$D$12)*$C$12*$F$12</f>
        <v>29522.816952164638</v>
      </c>
      <c r="F9" s="84">
        <f>E9*F11</f>
        <v>29522.816952164638</v>
      </c>
      <c r="G9" s="76">
        <f>VAC_Optim_Scenario!E24</f>
        <v>923975</v>
      </c>
      <c r="H9" s="339">
        <f>((GAUDIO!G9/$B$12)^$D$12)*$C$12*$F$12</f>
        <v>26581.559263521289</v>
      </c>
      <c r="I9" s="340">
        <f>H9*F11</f>
        <v>26581.559263521289</v>
      </c>
    </row>
    <row r="10" spans="1:9" ht="15.75" thickBot="1" x14ac:dyDescent="0.3"/>
    <row r="11" spans="1:9" ht="48.95" customHeight="1" x14ac:dyDescent="0.25">
      <c r="A11" s="425" t="s">
        <v>15</v>
      </c>
      <c r="B11" s="335" t="s">
        <v>16</v>
      </c>
      <c r="C11" s="335" t="s">
        <v>17</v>
      </c>
      <c r="D11" s="335" t="s">
        <v>248</v>
      </c>
      <c r="E11" s="334" t="s">
        <v>126</v>
      </c>
      <c r="F11" s="341">
        <v>1</v>
      </c>
    </row>
    <row r="12" spans="1:9" ht="40.5" customHeight="1" thickBot="1" x14ac:dyDescent="0.3">
      <c r="A12" s="425"/>
      <c r="B12" s="342">
        <f>'[8]Radio - Power'!$B$12</f>
        <v>923975</v>
      </c>
      <c r="C12" s="342">
        <f>'[8]Radio - Power'!$C$12</f>
        <v>26581.559263521289</v>
      </c>
      <c r="D12" s="347">
        <f>'[8]Radio - Power'!$D$12</f>
        <v>0.4</v>
      </c>
      <c r="E12" s="334" t="s">
        <v>122</v>
      </c>
      <c r="F12" s="343">
        <f>VAC_Optim_Scenario!D24</f>
        <v>1</v>
      </c>
      <c r="G12" s="344">
        <f>B12*2</f>
        <v>1847950</v>
      </c>
    </row>
    <row r="13" spans="1:9" ht="18.75" customHeight="1" x14ac:dyDescent="0.25">
      <c r="A13" s="446" t="s">
        <v>249</v>
      </c>
      <c r="B13" s="447"/>
      <c r="C13" s="447"/>
      <c r="D13" s="447"/>
      <c r="E13" s="334" t="s">
        <v>250</v>
      </c>
      <c r="F13" s="334" t="s">
        <v>251</v>
      </c>
    </row>
    <row r="14" spans="1:9" ht="15.75" thickBot="1" x14ac:dyDescent="0.3">
      <c r="A14" s="449"/>
      <c r="B14" s="450"/>
      <c r="C14" s="450"/>
      <c r="D14" s="450"/>
      <c r="E14" s="95">
        <f>VAC_Optim_Scenario!F33</f>
        <v>225.94</v>
      </c>
      <c r="F14" s="95">
        <f>VAC_Optim_Scenario!E33</f>
        <v>225.94</v>
      </c>
    </row>
    <row r="15" spans="1:9" ht="15.75" thickBot="1" x14ac:dyDescent="0.3"/>
    <row r="16" spans="1:9" x14ac:dyDescent="0.25">
      <c r="A16" s="444" t="s">
        <v>34</v>
      </c>
      <c r="B16" s="335" t="s">
        <v>32</v>
      </c>
      <c r="C16" s="335" t="s">
        <v>31</v>
      </c>
      <c r="D16" s="336" t="s">
        <v>33</v>
      </c>
    </row>
    <row r="17" spans="1:4" ht="15.75" thickBot="1" x14ac:dyDescent="0.3">
      <c r="A17" s="445"/>
      <c r="B17" s="76">
        <v>0</v>
      </c>
      <c r="C17" s="76">
        <v>5000000</v>
      </c>
      <c r="D17" s="26">
        <v>25</v>
      </c>
    </row>
    <row r="18" spans="1:4" x14ac:dyDescent="0.25">
      <c r="A18" s="98"/>
      <c r="B18" s="98"/>
      <c r="C18" s="98"/>
      <c r="D18" s="98"/>
    </row>
    <row r="19" spans="1:4" x14ac:dyDescent="0.25">
      <c r="A19" s="425" t="s">
        <v>37</v>
      </c>
      <c r="B19" s="425"/>
      <c r="C19" s="425"/>
      <c r="D19" s="98"/>
    </row>
    <row r="20" spans="1:4" ht="25.5" x14ac:dyDescent="0.25">
      <c r="A20" s="334" t="s">
        <v>35</v>
      </c>
      <c r="B20" s="334" t="s">
        <v>164</v>
      </c>
      <c r="C20" s="334" t="s">
        <v>252</v>
      </c>
    </row>
    <row r="21" spans="1:4" x14ac:dyDescent="0.25">
      <c r="A21" s="345">
        <f>B17</f>
        <v>0</v>
      </c>
      <c r="B21" s="339">
        <f>((A21/$B$12)^$D$12)*$C$12</f>
        <v>0</v>
      </c>
      <c r="C21" s="346">
        <f>B21*$F$14</f>
        <v>0</v>
      </c>
    </row>
    <row r="22" spans="1:4" x14ac:dyDescent="0.25">
      <c r="A22" s="345">
        <f>A21+(($C$17-$B$17)/$D$17)</f>
        <v>200000</v>
      </c>
      <c r="B22" s="339">
        <f t="shared" ref="B22:B41" si="0">((A22/$B$12)^$D$12)*$C$12</f>
        <v>14412.136371822071</v>
      </c>
      <c r="C22" s="346">
        <f t="shared" ref="C22:C41" si="1">B22*$F$14</f>
        <v>3256278.0918494789</v>
      </c>
    </row>
    <row r="23" spans="1:4" x14ac:dyDescent="0.25">
      <c r="A23" s="345">
        <f t="shared" ref="A23:A47" si="2">A22+(($C$17-$B$17)/$D$17)</f>
        <v>400000</v>
      </c>
      <c r="B23" s="339">
        <f t="shared" si="0"/>
        <v>19016.927953756978</v>
      </c>
      <c r="C23" s="346">
        <f t="shared" si="1"/>
        <v>4296684.7018718515</v>
      </c>
    </row>
    <row r="24" spans="1:4" x14ac:dyDescent="0.25">
      <c r="A24" s="345">
        <f t="shared" si="2"/>
        <v>600000</v>
      </c>
      <c r="B24" s="339">
        <f t="shared" si="0"/>
        <v>22365.410039276649</v>
      </c>
      <c r="C24" s="346">
        <f t="shared" si="1"/>
        <v>5053240.7442741655</v>
      </c>
    </row>
    <row r="25" spans="1:4" x14ac:dyDescent="0.25">
      <c r="A25" s="345">
        <f t="shared" si="2"/>
        <v>800000</v>
      </c>
      <c r="B25" s="339">
        <f t="shared" si="0"/>
        <v>25092.986873580521</v>
      </c>
      <c r="C25" s="346">
        <f t="shared" si="1"/>
        <v>5669509.4542167829</v>
      </c>
    </row>
    <row r="26" spans="1:4" x14ac:dyDescent="0.25">
      <c r="A26" s="345">
        <f t="shared" si="2"/>
        <v>1000000</v>
      </c>
      <c r="B26" s="339">
        <f t="shared" si="0"/>
        <v>27435.720169529453</v>
      </c>
      <c r="C26" s="346">
        <f t="shared" si="1"/>
        <v>6198826.6151034851</v>
      </c>
    </row>
    <row r="27" spans="1:4" x14ac:dyDescent="0.25">
      <c r="A27" s="345">
        <f t="shared" si="2"/>
        <v>1200000</v>
      </c>
      <c r="B27" s="339">
        <f t="shared" si="0"/>
        <v>29511.335474505049</v>
      </c>
      <c r="C27" s="346">
        <f t="shared" si="1"/>
        <v>6667791.1371096708</v>
      </c>
    </row>
    <row r="28" spans="1:4" x14ac:dyDescent="0.25">
      <c r="A28" s="345">
        <f t="shared" si="2"/>
        <v>1400000</v>
      </c>
      <c r="B28" s="339">
        <f t="shared" si="0"/>
        <v>31388.284394713228</v>
      </c>
      <c r="C28" s="346">
        <f t="shared" si="1"/>
        <v>7091868.9761415068</v>
      </c>
    </row>
    <row r="29" spans="1:4" x14ac:dyDescent="0.25">
      <c r="A29" s="345">
        <f t="shared" si="2"/>
        <v>1600000</v>
      </c>
      <c r="B29" s="339">
        <f t="shared" si="0"/>
        <v>33110.394684609899</v>
      </c>
      <c r="C29" s="346">
        <f t="shared" si="1"/>
        <v>7480962.5750407605</v>
      </c>
    </row>
    <row r="30" spans="1:4" x14ac:dyDescent="0.25">
      <c r="A30" s="345">
        <f t="shared" si="2"/>
        <v>1800000</v>
      </c>
      <c r="B30" s="339">
        <f t="shared" si="0"/>
        <v>34707.662578253614</v>
      </c>
      <c r="C30" s="346">
        <f t="shared" si="1"/>
        <v>7841849.2829306219</v>
      </c>
    </row>
    <row r="31" spans="1:4" x14ac:dyDescent="0.25">
      <c r="A31" s="345">
        <f t="shared" si="2"/>
        <v>2000000</v>
      </c>
      <c r="B31" s="339">
        <f t="shared" si="0"/>
        <v>36201.649801445565</v>
      </c>
      <c r="C31" s="346">
        <f t="shared" si="1"/>
        <v>8179400.7561386107</v>
      </c>
    </row>
    <row r="32" spans="1:4" x14ac:dyDescent="0.25">
      <c r="A32" s="345">
        <f t="shared" si="2"/>
        <v>2200000</v>
      </c>
      <c r="B32" s="339">
        <f t="shared" si="0"/>
        <v>37608.450193722703</v>
      </c>
      <c r="C32" s="346">
        <f t="shared" si="1"/>
        <v>8497253.2367697079</v>
      </c>
    </row>
    <row r="33" spans="1:3" x14ac:dyDescent="0.25">
      <c r="A33" s="345">
        <f t="shared" si="2"/>
        <v>2400000</v>
      </c>
      <c r="B33" s="339">
        <f t="shared" si="0"/>
        <v>38940.440616082153</v>
      </c>
      <c r="C33" s="346">
        <f t="shared" si="1"/>
        <v>8798203.1527976021</v>
      </c>
    </row>
    <row r="34" spans="1:3" x14ac:dyDescent="0.25">
      <c r="A34" s="345">
        <f t="shared" si="2"/>
        <v>2600000</v>
      </c>
      <c r="B34" s="339">
        <f t="shared" si="0"/>
        <v>40207.373459884198</v>
      </c>
      <c r="C34" s="346">
        <f t="shared" si="1"/>
        <v>9084453.9595262352</v>
      </c>
    </row>
    <row r="35" spans="1:3" x14ac:dyDescent="0.25">
      <c r="A35" s="345">
        <f t="shared" si="2"/>
        <v>2800000</v>
      </c>
      <c r="B35" s="339">
        <f t="shared" si="0"/>
        <v>41417.089564413494</v>
      </c>
      <c r="C35" s="346">
        <f t="shared" si="1"/>
        <v>9357777.2161835842</v>
      </c>
    </row>
    <row r="36" spans="1:3" x14ac:dyDescent="0.25">
      <c r="A36" s="345">
        <f t="shared" si="2"/>
        <v>3000000</v>
      </c>
      <c r="B36" s="339">
        <f t="shared" si="0"/>
        <v>42576.000912264644</v>
      </c>
      <c r="C36" s="346">
        <f t="shared" si="1"/>
        <v>9619621.6461170744</v>
      </c>
    </row>
    <row r="37" spans="1:3" x14ac:dyDescent="0.25">
      <c r="A37" s="345">
        <f t="shared" si="2"/>
        <v>3200000</v>
      </c>
      <c r="B37" s="339">
        <f t="shared" si="0"/>
        <v>43689.427715155543</v>
      </c>
      <c r="C37" s="346">
        <f t="shared" si="1"/>
        <v>9871189.2979622427</v>
      </c>
    </row>
    <row r="38" spans="1:3" x14ac:dyDescent="0.25">
      <c r="A38" s="345">
        <f t="shared" si="2"/>
        <v>3400000</v>
      </c>
      <c r="B38" s="339">
        <f t="shared" si="0"/>
        <v>44761.840094563893</v>
      </c>
      <c r="C38" s="346">
        <f t="shared" si="1"/>
        <v>10113490.150965765</v>
      </c>
    </row>
    <row r="39" spans="1:3" x14ac:dyDescent="0.25">
      <c r="A39" s="345">
        <f t="shared" si="2"/>
        <v>3600000</v>
      </c>
      <c r="B39" s="339">
        <f t="shared" si="0"/>
        <v>45797.035336442001</v>
      </c>
      <c r="C39" s="346">
        <f t="shared" si="1"/>
        <v>10347382.163915705</v>
      </c>
    </row>
    <row r="40" spans="1:3" x14ac:dyDescent="0.25">
      <c r="A40" s="345">
        <f t="shared" si="2"/>
        <v>3800000</v>
      </c>
      <c r="B40" s="339">
        <f t="shared" si="0"/>
        <v>46798.270489480747</v>
      </c>
      <c r="C40" s="346">
        <f t="shared" si="1"/>
        <v>10573601.23439328</v>
      </c>
    </row>
    <row r="41" spans="1:3" x14ac:dyDescent="0.25">
      <c r="A41" s="345">
        <f t="shared" si="2"/>
        <v>4000000</v>
      </c>
      <c r="B41" s="339">
        <f t="shared" si="0"/>
        <v>47768.363296037402</v>
      </c>
      <c r="C41" s="346">
        <f t="shared" si="1"/>
        <v>10792784.003106691</v>
      </c>
    </row>
    <row r="42" spans="1:3" x14ac:dyDescent="0.25">
      <c r="A42" s="345">
        <f t="shared" si="2"/>
        <v>4200000</v>
      </c>
      <c r="B42" s="339">
        <f t="shared" ref="B42:B45" si="3">((A42/$B$12)^$D$12)*$C$12</f>
        <v>48709.770210732277</v>
      </c>
      <c r="C42" s="346">
        <f t="shared" ref="C42:C45" si="4">B42*$F$14</f>
        <v>11005485.48141285</v>
      </c>
    </row>
    <row r="43" spans="1:3" x14ac:dyDescent="0.25">
      <c r="A43" s="345">
        <f t="shared" si="2"/>
        <v>4400000</v>
      </c>
      <c r="B43" s="339">
        <f t="shared" si="3"/>
        <v>49624.64754252549</v>
      </c>
      <c r="C43" s="346">
        <f t="shared" si="4"/>
        <v>11212192.865758209</v>
      </c>
    </row>
    <row r="44" spans="1:3" x14ac:dyDescent="0.25">
      <c r="A44" s="345">
        <f t="shared" si="2"/>
        <v>4600000</v>
      </c>
      <c r="B44" s="339">
        <f t="shared" si="3"/>
        <v>50514.899965908713</v>
      </c>
      <c r="C44" s="346">
        <f t="shared" si="4"/>
        <v>11413336.498297414</v>
      </c>
    </row>
    <row r="45" spans="1:3" x14ac:dyDescent="0.25">
      <c r="A45" s="345">
        <f t="shared" si="2"/>
        <v>4800000</v>
      </c>
      <c r="B45" s="339">
        <f t="shared" si="3"/>
        <v>51382.219441902518</v>
      </c>
      <c r="C45" s="346">
        <f t="shared" si="4"/>
        <v>11609298.660703454</v>
      </c>
    </row>
    <row r="46" spans="1:3" x14ac:dyDescent="0.25">
      <c r="A46" s="345">
        <f t="shared" si="2"/>
        <v>5000000</v>
      </c>
      <c r="B46" s="339">
        <f t="shared" ref="B46:B47" si="5">((A46/$B$12)^$D$12)*$C$12</f>
        <v>52228.116762231417</v>
      </c>
      <c r="C46" s="346">
        <f t="shared" ref="C46:C47" si="6">B46*$F$14</f>
        <v>11800420.701258566</v>
      </c>
    </row>
    <row r="47" spans="1:3" x14ac:dyDescent="0.25">
      <c r="A47"/>
      <c r="B47"/>
      <c r="C47"/>
    </row>
  </sheetData>
  <mergeCells count="9">
    <mergeCell ref="A11:A12"/>
    <mergeCell ref="A13:D14"/>
    <mergeCell ref="A16:A17"/>
    <mergeCell ref="A19:C19"/>
    <mergeCell ref="B4:F4"/>
    <mergeCell ref="A7:A9"/>
    <mergeCell ref="B7:C7"/>
    <mergeCell ref="D7:F7"/>
    <mergeCell ref="G7:I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A247AC-B2DF-4B3E-A614-6BCC2BC38DA4}">
  <sheetPr codeName="Sheet15">
    <tabColor theme="3" tint="0.79998168889431442"/>
  </sheetPr>
  <dimension ref="A1:I220"/>
  <sheetViews>
    <sheetView topLeftCell="A152" workbookViewId="0">
      <selection activeCell="B21" sqref="B21:C171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262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262</v>
      </c>
      <c r="C2" s="9" t="s">
        <v>4</v>
      </c>
      <c r="D2" s="10" t="s">
        <v>6</v>
      </c>
      <c r="E2" s="9" t="s">
        <v>116</v>
      </c>
      <c r="F2" s="10" t="s">
        <v>163</v>
      </c>
      <c r="G2" s="98"/>
      <c r="H2" s="98"/>
      <c r="I2" s="98"/>
    </row>
    <row r="3" spans="1:9" ht="15.75" thickBot="1" x14ac:dyDescent="0.3">
      <c r="A3" s="11" t="s">
        <v>3</v>
      </c>
      <c r="B3" s="12" t="s">
        <v>263</v>
      </c>
      <c r="C3" s="13" t="s">
        <v>5</v>
      </c>
      <c r="D3" s="14" t="s">
        <v>163</v>
      </c>
      <c r="E3" s="13" t="s">
        <v>104</v>
      </c>
      <c r="F3" s="14" t="s">
        <v>161</v>
      </c>
      <c r="G3" s="98"/>
      <c r="H3" s="98"/>
      <c r="I3" s="98"/>
    </row>
    <row r="4" spans="1:9" ht="15.75" thickBot="1" x14ac:dyDescent="0.3">
      <c r="A4" s="29" t="s">
        <v>38</v>
      </c>
      <c r="B4" s="463"/>
      <c r="C4" s="464"/>
      <c r="D4" s="464"/>
      <c r="E4" s="464"/>
      <c r="F4" s="465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326">
        <v>0.8</v>
      </c>
      <c r="C6" s="326">
        <v>1.3</v>
      </c>
      <c r="D6" s="98"/>
      <c r="E6" s="98"/>
      <c r="F6" s="98"/>
      <c r="G6" s="98"/>
      <c r="H6" s="98"/>
      <c r="I6" s="98"/>
    </row>
    <row r="7" spans="1:9" x14ac:dyDescent="0.25">
      <c r="A7" s="452" t="s">
        <v>8</v>
      </c>
      <c r="B7" s="457" t="s">
        <v>9</v>
      </c>
      <c r="C7" s="457"/>
      <c r="D7" s="457" t="s">
        <v>12</v>
      </c>
      <c r="E7" s="457"/>
      <c r="F7" s="457"/>
      <c r="G7" s="457" t="s">
        <v>124</v>
      </c>
      <c r="H7" s="457"/>
      <c r="I7" s="462"/>
    </row>
    <row r="8" spans="1:9" x14ac:dyDescent="0.25">
      <c r="A8" s="456"/>
      <c r="B8" s="334" t="s">
        <v>10</v>
      </c>
      <c r="C8" s="334" t="s">
        <v>11</v>
      </c>
      <c r="D8" s="334" t="s">
        <v>20</v>
      </c>
      <c r="E8" s="334" t="s">
        <v>21</v>
      </c>
      <c r="F8" s="334" t="s">
        <v>117</v>
      </c>
      <c r="G8" s="334" t="s">
        <v>22</v>
      </c>
      <c r="H8" s="334" t="s">
        <v>23</v>
      </c>
      <c r="I8" s="4" t="s">
        <v>123</v>
      </c>
    </row>
    <row r="9" spans="1:9" ht="15.75" thickBot="1" x14ac:dyDescent="0.3">
      <c r="A9" s="453"/>
      <c r="B9" s="337">
        <f>VAC_Optim_Scenario!G25</f>
        <v>25810928.600000001</v>
      </c>
      <c r="C9" s="337">
        <f>VAC_Optim_Scenario!H25</f>
        <v>25810928.600000001</v>
      </c>
      <c r="D9" s="338">
        <f>VAC_Optim_Scenario!I25</f>
        <v>25810928.600000001</v>
      </c>
      <c r="E9" s="84">
        <f>((GLINEARTV!D9/$B$12)^$D$12)*$C$12*$F$12</f>
        <v>168508.00202805389</v>
      </c>
      <c r="F9" s="84">
        <f>E9*F11</f>
        <v>168508.00202805389</v>
      </c>
      <c r="G9" s="76">
        <f>VAC_Optim_Scenario!E25</f>
        <v>25810928.600000001</v>
      </c>
      <c r="H9" s="339">
        <f>((GLINEARTV!G9/$B$12)^$D$12)*$C$12*$F$12</f>
        <v>168508.00202805389</v>
      </c>
      <c r="I9" s="340">
        <f>H9*F11</f>
        <v>168508.00202805389</v>
      </c>
    </row>
    <row r="10" spans="1:9" ht="15.75" thickBot="1" x14ac:dyDescent="0.3"/>
    <row r="11" spans="1:9" ht="48.95" customHeight="1" x14ac:dyDescent="0.25">
      <c r="A11" s="425" t="s">
        <v>15</v>
      </c>
      <c r="B11" s="335" t="s">
        <v>16</v>
      </c>
      <c r="C11" s="335" t="s">
        <v>17</v>
      </c>
      <c r="D11" s="335" t="s">
        <v>248</v>
      </c>
      <c r="E11" s="334" t="s">
        <v>126</v>
      </c>
      <c r="F11" s="341">
        <v>1</v>
      </c>
    </row>
    <row r="12" spans="1:9" ht="40.5" customHeight="1" thickBot="1" x14ac:dyDescent="0.3">
      <c r="A12" s="425"/>
      <c r="B12" s="342">
        <f>'[9]TV - Power'!$B$12</f>
        <v>25810928.600000001</v>
      </c>
      <c r="C12" s="342">
        <f>'[9]TV - Power'!$C$12</f>
        <v>168508.00202805389</v>
      </c>
      <c r="D12" s="347">
        <f>'[9]TV - Power'!$D$12</f>
        <v>0.7</v>
      </c>
      <c r="E12" s="334" t="s">
        <v>122</v>
      </c>
      <c r="F12" s="343">
        <f>VAC_Optim_Scenario!D25</f>
        <v>1</v>
      </c>
      <c r="G12" s="344">
        <f>B12*2</f>
        <v>51621857.200000003</v>
      </c>
    </row>
    <row r="13" spans="1:9" ht="18.75" customHeight="1" x14ac:dyDescent="0.25">
      <c r="A13" s="446" t="s">
        <v>249</v>
      </c>
      <c r="B13" s="447"/>
      <c r="C13" s="447"/>
      <c r="D13" s="447"/>
      <c r="E13" s="334" t="s">
        <v>250</v>
      </c>
      <c r="F13" s="334" t="s">
        <v>251</v>
      </c>
    </row>
    <row r="14" spans="1:9" ht="15.75" thickBot="1" x14ac:dyDescent="0.3">
      <c r="A14" s="449"/>
      <c r="B14" s="450"/>
      <c r="C14" s="450"/>
      <c r="D14" s="450"/>
      <c r="E14" s="95">
        <f>VAC_Optim_Scenario!F33</f>
        <v>225.94</v>
      </c>
      <c r="F14" s="95">
        <f>VAC_Optim_Scenario!E33</f>
        <v>225.94</v>
      </c>
    </row>
    <row r="15" spans="1:9" ht="15.75" thickBot="1" x14ac:dyDescent="0.3"/>
    <row r="16" spans="1:9" x14ac:dyDescent="0.25">
      <c r="A16" s="444" t="s">
        <v>34</v>
      </c>
      <c r="B16" s="335" t="s">
        <v>32</v>
      </c>
      <c r="C16" s="335" t="s">
        <v>31</v>
      </c>
      <c r="D16" s="336" t="s">
        <v>33</v>
      </c>
    </row>
    <row r="17" spans="1:4" ht="15.75" thickBot="1" x14ac:dyDescent="0.3">
      <c r="A17" s="445"/>
      <c r="B17" s="76">
        <v>0</v>
      </c>
      <c r="C17" s="76">
        <v>30000000</v>
      </c>
      <c r="D17" s="26">
        <v>150</v>
      </c>
    </row>
    <row r="18" spans="1:4" x14ac:dyDescent="0.25">
      <c r="A18" s="98"/>
      <c r="B18" s="98"/>
      <c r="C18" s="98"/>
      <c r="D18" s="98"/>
    </row>
    <row r="19" spans="1:4" x14ac:dyDescent="0.25">
      <c r="A19" s="425" t="s">
        <v>37</v>
      </c>
      <c r="B19" s="425"/>
      <c r="C19" s="425"/>
      <c r="D19" s="98"/>
    </row>
    <row r="20" spans="1:4" ht="25.5" x14ac:dyDescent="0.25">
      <c r="A20" s="334" t="s">
        <v>35</v>
      </c>
      <c r="B20" s="334" t="s">
        <v>164</v>
      </c>
      <c r="C20" s="334" t="s">
        <v>252</v>
      </c>
    </row>
    <row r="21" spans="1:4" x14ac:dyDescent="0.25">
      <c r="A21" s="345">
        <f>B17</f>
        <v>0</v>
      </c>
      <c r="B21" s="339">
        <f>((A21/$B$12)^$D$12)*$C$12*F$12</f>
        <v>0</v>
      </c>
      <c r="C21" s="346">
        <f>B21*$F$14</f>
        <v>0</v>
      </c>
    </row>
    <row r="22" spans="1:4" x14ac:dyDescent="0.25">
      <c r="A22" s="345">
        <f>A21+(($C$17-$B$17)/$D$17)</f>
        <v>200000</v>
      </c>
      <c r="B22" s="339">
        <f t="shared" ref="B22:B41" si="0">((A22/$B$12)^$D$12)*$C$12*F$12</f>
        <v>5611.5002373501393</v>
      </c>
      <c r="C22" s="346">
        <f t="shared" ref="C22:C41" si="1">B22*$F$14</f>
        <v>1267862.3636268904</v>
      </c>
    </row>
    <row r="23" spans="1:4" x14ac:dyDescent="0.25">
      <c r="A23" s="345">
        <f t="shared" ref="A23:A86" si="2">A22+(($C$17-$B$17)/$D$17)</f>
        <v>400000</v>
      </c>
      <c r="B23" s="339">
        <f t="shared" si="0"/>
        <v>9115.9090298824703</v>
      </c>
      <c r="C23" s="346">
        <f t="shared" si="1"/>
        <v>2059648.4862116454</v>
      </c>
    </row>
    <row r="24" spans="1:4" x14ac:dyDescent="0.25">
      <c r="A24" s="345">
        <f t="shared" si="2"/>
        <v>600000</v>
      </c>
      <c r="B24" s="339">
        <f t="shared" si="0"/>
        <v>12107.761676700537</v>
      </c>
      <c r="C24" s="346">
        <f t="shared" si="1"/>
        <v>2735627.6732337191</v>
      </c>
    </row>
    <row r="25" spans="1:4" x14ac:dyDescent="0.25">
      <c r="A25" s="345">
        <f t="shared" si="2"/>
        <v>800000</v>
      </c>
      <c r="B25" s="339">
        <f t="shared" si="0"/>
        <v>14808.837908974965</v>
      </c>
      <c r="C25" s="346">
        <f t="shared" si="1"/>
        <v>3345908.8371538036</v>
      </c>
    </row>
    <row r="26" spans="1:4" x14ac:dyDescent="0.25">
      <c r="A26" s="345">
        <f t="shared" si="2"/>
        <v>1000000</v>
      </c>
      <c r="B26" s="339">
        <f t="shared" si="0"/>
        <v>17312.428335532044</v>
      </c>
      <c r="C26" s="346">
        <f t="shared" si="1"/>
        <v>3911570.0581301101</v>
      </c>
    </row>
    <row r="27" spans="1:4" x14ac:dyDescent="0.25">
      <c r="A27" s="345">
        <f t="shared" si="2"/>
        <v>1200000</v>
      </c>
      <c r="B27" s="339">
        <f t="shared" si="0"/>
        <v>19669.116872820407</v>
      </c>
      <c r="C27" s="346">
        <f t="shared" si="1"/>
        <v>4444040.2662450429</v>
      </c>
    </row>
    <row r="28" spans="1:4" x14ac:dyDescent="0.25">
      <c r="A28" s="345">
        <f t="shared" si="2"/>
        <v>1400000</v>
      </c>
      <c r="B28" s="339">
        <f t="shared" si="0"/>
        <v>21910.264159564609</v>
      </c>
      <c r="C28" s="346">
        <f t="shared" si="1"/>
        <v>4950405.0842120275</v>
      </c>
    </row>
    <row r="29" spans="1:4" x14ac:dyDescent="0.25">
      <c r="A29" s="345">
        <f t="shared" si="2"/>
        <v>1600000</v>
      </c>
      <c r="B29" s="339">
        <f t="shared" si="0"/>
        <v>24057.028157631961</v>
      </c>
      <c r="C29" s="346">
        <f t="shared" si="1"/>
        <v>5435444.9419353651</v>
      </c>
    </row>
    <row r="30" spans="1:4" x14ac:dyDescent="0.25">
      <c r="A30" s="345">
        <f t="shared" si="2"/>
        <v>1800000</v>
      </c>
      <c r="B30" s="339">
        <f t="shared" si="0"/>
        <v>26124.545419070415</v>
      </c>
      <c r="C30" s="346">
        <f t="shared" si="1"/>
        <v>5902579.7919847695</v>
      </c>
    </row>
    <row r="31" spans="1:4" x14ac:dyDescent="0.25">
      <c r="A31" s="345">
        <f t="shared" si="2"/>
        <v>2000000</v>
      </c>
      <c r="B31" s="339">
        <f t="shared" si="0"/>
        <v>28124.122804562983</v>
      </c>
      <c r="C31" s="346">
        <f t="shared" si="1"/>
        <v>6354364.3064629603</v>
      </c>
    </row>
    <row r="32" spans="1:4" x14ac:dyDescent="0.25">
      <c r="A32" s="345">
        <f t="shared" si="2"/>
        <v>2200000</v>
      </c>
      <c r="B32" s="339">
        <f t="shared" si="0"/>
        <v>30064.491672450658</v>
      </c>
      <c r="C32" s="346">
        <f t="shared" si="1"/>
        <v>6792771.2484735018</v>
      </c>
    </row>
    <row r="33" spans="1:3" x14ac:dyDescent="0.25">
      <c r="A33" s="345">
        <f t="shared" si="2"/>
        <v>2400000</v>
      </c>
      <c r="B33" s="339">
        <f t="shared" si="0"/>
        <v>31952.574628318467</v>
      </c>
      <c r="C33" s="346">
        <f t="shared" si="1"/>
        <v>7219364.7115222747</v>
      </c>
    </row>
    <row r="34" spans="1:3" x14ac:dyDescent="0.25">
      <c r="A34" s="345">
        <f t="shared" si="2"/>
        <v>2600000</v>
      </c>
      <c r="B34" s="339">
        <f t="shared" si="0"/>
        <v>33793.979184790936</v>
      </c>
      <c r="C34" s="346">
        <f t="shared" si="1"/>
        <v>7635411.6570116645</v>
      </c>
    </row>
    <row r="35" spans="1:3" x14ac:dyDescent="0.25">
      <c r="A35" s="345">
        <f t="shared" si="2"/>
        <v>2800000</v>
      </c>
      <c r="B35" s="339">
        <f t="shared" si="0"/>
        <v>35593.329136808985</v>
      </c>
      <c r="C35" s="346">
        <f t="shared" si="1"/>
        <v>8041956.7851706222</v>
      </c>
    </row>
    <row r="36" spans="1:3" x14ac:dyDescent="0.25">
      <c r="A36" s="345">
        <f t="shared" si="2"/>
        <v>3000000</v>
      </c>
      <c r="B36" s="339">
        <f t="shared" si="0"/>
        <v>37354.494781339148</v>
      </c>
      <c r="C36" s="346">
        <f t="shared" si="1"/>
        <v>8439874.5508957673</v>
      </c>
    </row>
    <row r="37" spans="1:3" x14ac:dyDescent="0.25">
      <c r="A37" s="345">
        <f t="shared" si="2"/>
        <v>3200000</v>
      </c>
      <c r="B37" s="339">
        <f t="shared" si="0"/>
        <v>39080.757540491992</v>
      </c>
      <c r="C37" s="346">
        <f t="shared" si="1"/>
        <v>8829906.3586987611</v>
      </c>
    </row>
    <row r="38" spans="1:3" x14ac:dyDescent="0.25">
      <c r="A38" s="345">
        <f t="shared" si="2"/>
        <v>3400000</v>
      </c>
      <c r="B38" s="339">
        <f t="shared" si="0"/>
        <v>40774.930605230875</v>
      </c>
      <c r="C38" s="346">
        <f t="shared" si="1"/>
        <v>9212687.8209458645</v>
      </c>
    </row>
    <row r="39" spans="1:3" x14ac:dyDescent="0.25">
      <c r="A39" s="345">
        <f t="shared" si="2"/>
        <v>3600000</v>
      </c>
      <c r="B39" s="339">
        <f t="shared" si="0"/>
        <v>42439.449240714515</v>
      </c>
      <c r="C39" s="346">
        <f t="shared" si="1"/>
        <v>9588769.161447037</v>
      </c>
    </row>
    <row r="40" spans="1:3" x14ac:dyDescent="0.25">
      <c r="A40" s="345">
        <f t="shared" si="2"/>
        <v>3800000</v>
      </c>
      <c r="B40" s="339">
        <f t="shared" si="0"/>
        <v>44076.439640998062</v>
      </c>
      <c r="C40" s="346">
        <f t="shared" si="1"/>
        <v>9958630.7724871021</v>
      </c>
    </row>
    <row r="41" spans="1:3" x14ac:dyDescent="0.25">
      <c r="A41" s="345">
        <f t="shared" si="2"/>
        <v>4000000</v>
      </c>
      <c r="B41" s="339">
        <f t="shared" si="0"/>
        <v>45687.772286846674</v>
      </c>
      <c r="C41" s="346">
        <f t="shared" si="1"/>
        <v>10322695.270490138</v>
      </c>
    </row>
    <row r="42" spans="1:3" x14ac:dyDescent="0.25">
      <c r="A42" s="345">
        <f t="shared" si="2"/>
        <v>4200000</v>
      </c>
      <c r="B42" s="339">
        <f t="shared" ref="B42:B86" si="3">((A42/$B$12)^$D$12)*$C$12*F$12</f>
        <v>47275.10389322089</v>
      </c>
      <c r="C42" s="346">
        <f t="shared" ref="C42:C86" si="4">B42*$F$14</f>
        <v>10681336.973634329</v>
      </c>
    </row>
    <row r="43" spans="1:3" x14ac:dyDescent="0.25">
      <c r="A43" s="345">
        <f t="shared" si="2"/>
        <v>4400000</v>
      </c>
      <c r="B43" s="339">
        <f t="shared" si="3"/>
        <v>48839.910812360271</v>
      </c>
      <c r="C43" s="346">
        <f t="shared" si="4"/>
        <v>11034889.44894468</v>
      </c>
    </row>
    <row r="44" spans="1:3" x14ac:dyDescent="0.25">
      <c r="A44" s="345">
        <f t="shared" si="2"/>
        <v>4600000</v>
      </c>
      <c r="B44" s="339">
        <f t="shared" si="3"/>
        <v>50383.515941219572</v>
      </c>
      <c r="C44" s="346">
        <f t="shared" si="4"/>
        <v>11383651.591759149</v>
      </c>
    </row>
    <row r="45" spans="1:3" x14ac:dyDescent="0.25">
      <c r="A45" s="345">
        <f t="shared" si="2"/>
        <v>4800000</v>
      </c>
      <c r="B45" s="339">
        <f t="shared" si="3"/>
        <v>51907.110623206274</v>
      </c>
      <c r="C45" s="346">
        <f t="shared" si="4"/>
        <v>11727892.574207226</v>
      </c>
    </row>
    <row r="46" spans="1:3" x14ac:dyDescent="0.25">
      <c r="A46" s="345">
        <f t="shared" si="2"/>
        <v>5000000</v>
      </c>
      <c r="B46" s="339">
        <f t="shared" si="3"/>
        <v>53411.772644683391</v>
      </c>
      <c r="C46" s="346">
        <f t="shared" si="4"/>
        <v>12067855.911339765</v>
      </c>
    </row>
    <row r="47" spans="1:3" x14ac:dyDescent="0.25">
      <c r="A47" s="345">
        <f t="shared" si="2"/>
        <v>5200000</v>
      </c>
      <c r="B47" s="339">
        <f t="shared" si="3"/>
        <v>54898.481150518368</v>
      </c>
      <c r="C47" s="346">
        <f t="shared" si="4"/>
        <v>12403762.83114812</v>
      </c>
    </row>
    <row r="48" spans="1:3" x14ac:dyDescent="0.25">
      <c r="A48" s="345">
        <f t="shared" si="2"/>
        <v>5400000</v>
      </c>
      <c r="B48" s="339">
        <f t="shared" si="3"/>
        <v>56368.129104029213</v>
      </c>
      <c r="C48" s="346">
        <f t="shared" si="4"/>
        <v>12735815.08976436</v>
      </c>
    </row>
    <row r="49" spans="1:3" x14ac:dyDescent="0.25">
      <c r="A49" s="345">
        <f t="shared" si="2"/>
        <v>5600000</v>
      </c>
      <c r="B49" s="339">
        <f t="shared" si="3"/>
        <v>57821.533771338625</v>
      </c>
      <c r="C49" s="346">
        <f t="shared" si="4"/>
        <v>13064197.340296248</v>
      </c>
    </row>
    <row r="50" spans="1:3" x14ac:dyDescent="0.25">
      <c r="A50" s="345">
        <f t="shared" si="2"/>
        <v>5800000</v>
      </c>
      <c r="B50" s="339">
        <f t="shared" si="3"/>
        <v>59259.445602559899</v>
      </c>
      <c r="C50" s="346">
        <f t="shared" si="4"/>
        <v>13389079.139442384</v>
      </c>
    </row>
    <row r="51" spans="1:3" x14ac:dyDescent="0.25">
      <c r="A51" s="345">
        <f t="shared" si="2"/>
        <v>6000000</v>
      </c>
      <c r="B51" s="339">
        <f t="shared" si="3"/>
        <v>60682.555801638446</v>
      </c>
      <c r="C51" s="346">
        <f t="shared" si="4"/>
        <v>13710616.65782219</v>
      </c>
    </row>
    <row r="52" spans="1:3" x14ac:dyDescent="0.25">
      <c r="A52" s="345">
        <f t="shared" si="2"/>
        <v>6200000</v>
      </c>
      <c r="B52" s="339">
        <f t="shared" si="3"/>
        <v>62091.502815616863</v>
      </c>
      <c r="C52" s="346">
        <f t="shared" si="4"/>
        <v>14028954.146160474</v>
      </c>
    </row>
    <row r="53" spans="1:3" x14ac:dyDescent="0.25">
      <c r="A53" s="345">
        <f t="shared" si="2"/>
        <v>6400000</v>
      </c>
      <c r="B53" s="339">
        <f t="shared" si="3"/>
        <v>63486.877927363275</v>
      </c>
      <c r="C53" s="346">
        <f t="shared" si="4"/>
        <v>14344225.198908458</v>
      </c>
    </row>
    <row r="54" spans="1:3" x14ac:dyDescent="0.25">
      <c r="A54" s="345">
        <f t="shared" si="2"/>
        <v>6600000</v>
      </c>
      <c r="B54" s="339">
        <f t="shared" si="3"/>
        <v>64869.230099698769</v>
      </c>
      <c r="C54" s="346">
        <f t="shared" si="4"/>
        <v>14656553.848725939</v>
      </c>
    </row>
    <row r="55" spans="1:3" x14ac:dyDescent="0.25">
      <c r="A55" s="345">
        <f t="shared" si="2"/>
        <v>6800000</v>
      </c>
      <c r="B55" s="339">
        <f t="shared" si="3"/>
        <v>66239.070190715982</v>
      </c>
      <c r="C55" s="346">
        <f t="shared" si="4"/>
        <v>14966055.51889037</v>
      </c>
    </row>
    <row r="56" spans="1:3" x14ac:dyDescent="0.25">
      <c r="A56" s="345">
        <f t="shared" si="2"/>
        <v>7000000</v>
      </c>
      <c r="B56" s="339">
        <f t="shared" si="3"/>
        <v>67596.874637959671</v>
      </c>
      <c r="C56" s="346">
        <f t="shared" si="4"/>
        <v>15272837.855700608</v>
      </c>
    </row>
    <row r="57" spans="1:3" x14ac:dyDescent="0.25">
      <c r="A57" s="345">
        <f t="shared" si="2"/>
        <v>7200000</v>
      </c>
      <c r="B57" s="339">
        <f t="shared" si="3"/>
        <v>68943.088691618366</v>
      </c>
      <c r="C57" s="346">
        <f t="shared" si="4"/>
        <v>15577001.458984254</v>
      </c>
    </row>
    <row r="58" spans="1:3" x14ac:dyDescent="0.25">
      <c r="A58" s="345">
        <f t="shared" si="2"/>
        <v>7400000</v>
      </c>
      <c r="B58" s="339">
        <f t="shared" si="3"/>
        <v>70278.129262896182</v>
      </c>
      <c r="C58" s="346">
        <f t="shared" si="4"/>
        <v>15878640.525658764</v>
      </c>
    </row>
    <row r="59" spans="1:3" x14ac:dyDescent="0.25">
      <c r="A59" s="345">
        <f t="shared" si="2"/>
        <v>7600000</v>
      </c>
      <c r="B59" s="339">
        <f t="shared" si="3"/>
        <v>71602.387442503299</v>
      </c>
      <c r="C59" s="346">
        <f t="shared" si="4"/>
        <v>16177843.418759195</v>
      </c>
    </row>
    <row r="60" spans="1:3" x14ac:dyDescent="0.25">
      <c r="A60" s="345">
        <f t="shared" si="2"/>
        <v>7800000</v>
      </c>
      <c r="B60" s="339">
        <f t="shared" si="3"/>
        <v>72916.230735124249</v>
      </c>
      <c r="C60" s="346">
        <f t="shared" si="4"/>
        <v>16474693.172293972</v>
      </c>
    </row>
    <row r="61" spans="1:3" x14ac:dyDescent="0.25">
      <c r="A61" s="345">
        <f t="shared" si="2"/>
        <v>8000000</v>
      </c>
      <c r="B61" s="339">
        <f t="shared" si="3"/>
        <v>74220.005048338426</v>
      </c>
      <c r="C61" s="346">
        <f t="shared" si="4"/>
        <v>16769267.940621585</v>
      </c>
    </row>
    <row r="62" spans="1:3" x14ac:dyDescent="0.25">
      <c r="A62" s="345">
        <f t="shared" si="2"/>
        <v>8200000</v>
      </c>
      <c r="B62" s="339">
        <f t="shared" si="3"/>
        <v>75514.036468425038</v>
      </c>
      <c r="C62" s="346">
        <f t="shared" si="4"/>
        <v>17061641.399675954</v>
      </c>
    </row>
    <row r="63" spans="1:3" x14ac:dyDescent="0.25">
      <c r="A63" s="345">
        <f t="shared" si="2"/>
        <v>8400000</v>
      </c>
      <c r="B63" s="339">
        <f t="shared" si="3"/>
        <v>76798.63285051733</v>
      </c>
      <c r="C63" s="346">
        <f t="shared" si="4"/>
        <v>17351883.106245887</v>
      </c>
    </row>
    <row r="64" spans="1:3" x14ac:dyDescent="0.25">
      <c r="A64" s="345">
        <f t="shared" si="2"/>
        <v>8600000</v>
      </c>
      <c r="B64" s="339">
        <f t="shared" si="3"/>
        <v>78074.085246462055</v>
      </c>
      <c r="C64" s="346">
        <f t="shared" si="4"/>
        <v>17640058.820585638</v>
      </c>
    </row>
    <row r="65" spans="1:3" x14ac:dyDescent="0.25">
      <c r="A65" s="345">
        <f t="shared" si="2"/>
        <v>8800000</v>
      </c>
      <c r="B65" s="339">
        <f t="shared" si="3"/>
        <v>79340.669190328888</v>
      </c>
      <c r="C65" s="346">
        <f t="shared" si="4"/>
        <v>17926230.796862908</v>
      </c>
    </row>
    <row r="66" spans="1:3" x14ac:dyDescent="0.25">
      <c r="A66" s="345">
        <f t="shared" si="2"/>
        <v>9000000</v>
      </c>
      <c r="B66" s="339">
        <f t="shared" si="3"/>
        <v>80598.645858666729</v>
      </c>
      <c r="C66" s="346">
        <f t="shared" si="4"/>
        <v>18210458.045307159</v>
      </c>
    </row>
    <row r="67" spans="1:3" x14ac:dyDescent="0.25">
      <c r="A67" s="345">
        <f>A66+(($C$17-$B$17)/$D$17)</f>
        <v>9200000</v>
      </c>
      <c r="B67" s="339">
        <f t="shared" si="3"/>
        <v>81848.26312021639</v>
      </c>
      <c r="C67" s="346">
        <f t="shared" si="4"/>
        <v>18492796.569381692</v>
      </c>
    </row>
    <row r="68" spans="1:3" x14ac:dyDescent="0.25">
      <c r="A68" s="345">
        <f t="shared" si="2"/>
        <v>9400000</v>
      </c>
      <c r="B68" s="339">
        <f t="shared" si="3"/>
        <v>83089.756487780658</v>
      </c>
      <c r="C68" s="346">
        <f t="shared" si="4"/>
        <v>18773299.580849163</v>
      </c>
    </row>
    <row r="69" spans="1:3" x14ac:dyDescent="0.25">
      <c r="A69" s="345">
        <f t="shared" si="2"/>
        <v>9600000</v>
      </c>
      <c r="B69" s="339">
        <f t="shared" si="3"/>
        <v>84323.349983255001</v>
      </c>
      <c r="C69" s="346">
        <f t="shared" si="4"/>
        <v>19052017.695216633</v>
      </c>
    </row>
    <row r="70" spans="1:3" x14ac:dyDescent="0.25">
      <c r="A70" s="345">
        <f t="shared" si="2"/>
        <v>9800000</v>
      </c>
      <c r="B70" s="339">
        <f t="shared" si="3"/>
        <v>85549.256925380585</v>
      </c>
      <c r="C70" s="346">
        <f t="shared" si="4"/>
        <v>19328999.109720491</v>
      </c>
    </row>
    <row r="71" spans="1:3" x14ac:dyDescent="0.25">
      <c r="A71" s="345">
        <f t="shared" si="2"/>
        <v>10000000</v>
      </c>
      <c r="B71" s="339">
        <f t="shared" si="3"/>
        <v>86767.680648557027</v>
      </c>
      <c r="C71" s="346">
        <f t="shared" si="4"/>
        <v>19604289.765734974</v>
      </c>
    </row>
    <row r="72" spans="1:3" x14ac:dyDescent="0.25">
      <c r="A72" s="345">
        <f t="shared" si="2"/>
        <v>10200000</v>
      </c>
      <c r="B72" s="339">
        <f t="shared" si="3"/>
        <v>87978.815160002501</v>
      </c>
      <c r="C72" s="346">
        <f t="shared" si="4"/>
        <v>19877933.497250967</v>
      </c>
    </row>
    <row r="73" spans="1:3" x14ac:dyDescent="0.25">
      <c r="A73" s="345">
        <f t="shared" si="2"/>
        <v>10400000</v>
      </c>
      <c r="B73" s="339">
        <f t="shared" si="3"/>
        <v>89182.845741652345</v>
      </c>
      <c r="C73" s="346">
        <f t="shared" si="4"/>
        <v>20149972.166868929</v>
      </c>
    </row>
    <row r="74" spans="1:3" x14ac:dyDescent="0.25">
      <c r="A74" s="345">
        <f t="shared" si="2"/>
        <v>10600000</v>
      </c>
      <c r="B74" s="339">
        <f t="shared" si="3"/>
        <v>90379.949502414049</v>
      </c>
      <c r="C74" s="346">
        <f t="shared" si="4"/>
        <v>20420445.79057543</v>
      </c>
    </row>
    <row r="75" spans="1:3" x14ac:dyDescent="0.25">
      <c r="A75" s="345">
        <f t="shared" si="2"/>
        <v>10800000</v>
      </c>
      <c r="B75" s="339">
        <f t="shared" si="3"/>
        <v>91570.295885730782</v>
      </c>
      <c r="C75" s="346">
        <f t="shared" si="4"/>
        <v>20689392.652422011</v>
      </c>
    </row>
    <row r="76" spans="1:3" x14ac:dyDescent="0.25">
      <c r="A76" s="345">
        <f t="shared" si="2"/>
        <v>11000000</v>
      </c>
      <c r="B76" s="339">
        <f t="shared" si="3"/>
        <v>92754.047136828973</v>
      </c>
      <c r="C76" s="346">
        <f t="shared" si="4"/>
        <v>20956849.410095137</v>
      </c>
    </row>
    <row r="77" spans="1:3" x14ac:dyDescent="0.25">
      <c r="A77" s="345">
        <f t="shared" si="2"/>
        <v>11200000</v>
      </c>
      <c r="B77" s="339">
        <f t="shared" si="3"/>
        <v>93931.358733525602</v>
      </c>
      <c r="C77" s="346">
        <f t="shared" si="4"/>
        <v>21222851.192252774</v>
      </c>
    </row>
    <row r="78" spans="1:3" x14ac:dyDescent="0.25">
      <c r="A78" s="345">
        <f t="shared" si="2"/>
        <v>11400000</v>
      </c>
      <c r="B78" s="339">
        <f t="shared" si="3"/>
        <v>95102.379784035904</v>
      </c>
      <c r="C78" s="346">
        <f t="shared" si="4"/>
        <v>21487431.68840507</v>
      </c>
    </row>
    <row r="79" spans="1:3" x14ac:dyDescent="0.25">
      <c r="A79" s="345">
        <f t="shared" si="2"/>
        <v>11600000</v>
      </c>
      <c r="B79" s="339">
        <f t="shared" si="3"/>
        <v>96267.253394842512</v>
      </c>
      <c r="C79" s="346">
        <f t="shared" si="4"/>
        <v>21750623.232030716</v>
      </c>
    </row>
    <row r="80" spans="1:3" x14ac:dyDescent="0.25">
      <c r="A80" s="345">
        <f t="shared" si="2"/>
        <v>11800000</v>
      </c>
      <c r="B80" s="339">
        <f t="shared" si="3"/>
        <v>97426.117011355804</v>
      </c>
      <c r="C80" s="346">
        <f t="shared" si="4"/>
        <v>22012456.877545729</v>
      </c>
    </row>
    <row r="81" spans="1:3" x14ac:dyDescent="0.25">
      <c r="A81" s="345">
        <f t="shared" si="2"/>
        <v>12000000</v>
      </c>
      <c r="B81" s="339">
        <f t="shared" si="3"/>
        <v>98579.102733803622</v>
      </c>
      <c r="C81" s="346">
        <f t="shared" si="4"/>
        <v>22272962.47167559</v>
      </c>
    </row>
    <row r="82" spans="1:3" x14ac:dyDescent="0.25">
      <c r="A82" s="345">
        <f t="shared" si="2"/>
        <v>12200000</v>
      </c>
      <c r="B82" s="339">
        <f t="shared" si="3"/>
        <v>99726.33761053413</v>
      </c>
      <c r="C82" s="346">
        <f t="shared" si="4"/>
        <v>22532168.719724081</v>
      </c>
    </row>
    <row r="83" spans="1:3" x14ac:dyDescent="0.25">
      <c r="A83" s="345">
        <f t="shared" si="2"/>
        <v>12400000</v>
      </c>
      <c r="B83" s="339">
        <f t="shared" si="3"/>
        <v>100867.9439106895</v>
      </c>
      <c r="C83" s="346">
        <f t="shared" si="4"/>
        <v>22790103.247181185</v>
      </c>
    </row>
    <row r="84" spans="1:3" x14ac:dyDescent="0.25">
      <c r="A84" s="345">
        <f t="shared" si="2"/>
        <v>12600000</v>
      </c>
      <c r="B84" s="339">
        <f t="shared" si="3"/>
        <v>102004.03937801001</v>
      </c>
      <c r="C84" s="346">
        <f t="shared" si="4"/>
        <v>23046792.657067582</v>
      </c>
    </row>
    <row r="85" spans="1:3" x14ac:dyDescent="0.25">
      <c r="A85" s="345">
        <f t="shared" si="2"/>
        <v>12800000</v>
      </c>
      <c r="B85" s="339">
        <f t="shared" si="3"/>
        <v>103134.73746735322</v>
      </c>
      <c r="C85" s="346">
        <f t="shared" si="4"/>
        <v>23302262.583373785</v>
      </c>
    </row>
    <row r="86" spans="1:3" x14ac:dyDescent="0.25">
      <c r="A86" s="345">
        <f t="shared" si="2"/>
        <v>13000000</v>
      </c>
      <c r="B86" s="339">
        <f t="shared" si="3"/>
        <v>104260.1475653558</v>
      </c>
      <c r="C86" s="346">
        <f t="shared" si="4"/>
        <v>23556537.740916491</v>
      </c>
    </row>
    <row r="87" spans="1:3" x14ac:dyDescent="0.25">
      <c r="A87" s="345">
        <f t="shared" ref="A87:A94" si="5">A86+(($C$17-$B$17)/$D$17)</f>
        <v>13200000</v>
      </c>
      <c r="B87" s="339">
        <f t="shared" ref="B87:B101" si="6">((A87/$B$12)^$D$12)*$C$12*F$12</f>
        <v>105380.37519652872</v>
      </c>
      <c r="C87" s="346">
        <f t="shared" ref="C87:C101" si="7">B87*$F$14</f>
        <v>23809641.9719037</v>
      </c>
    </row>
    <row r="88" spans="1:3" x14ac:dyDescent="0.25">
      <c r="A88" s="345">
        <f t="shared" si="5"/>
        <v>13400000</v>
      </c>
      <c r="B88" s="339">
        <f t="shared" si="6"/>
        <v>106495.52221595342</v>
      </c>
      <c r="C88" s="346">
        <f t="shared" si="7"/>
        <v>24061598.289472517</v>
      </c>
    </row>
    <row r="89" spans="1:3" x14ac:dyDescent="0.25">
      <c r="A89" s="345">
        <f t="shared" si="5"/>
        <v>13600000</v>
      </c>
      <c r="B89" s="339">
        <f t="shared" si="6"/>
        <v>107605.68698963587</v>
      </c>
      <c r="C89" s="346">
        <f t="shared" si="7"/>
        <v>24312428.918438327</v>
      </c>
    </row>
    <row r="90" spans="1:3" x14ac:dyDescent="0.25">
      <c r="A90" s="345">
        <f t="shared" si="5"/>
        <v>13800000</v>
      </c>
      <c r="B90" s="339">
        <f t="shared" si="6"/>
        <v>108710.96456347968</v>
      </c>
      <c r="C90" s="346">
        <f t="shared" si="7"/>
        <v>24562155.333472598</v>
      </c>
    </row>
    <row r="91" spans="1:3" x14ac:dyDescent="0.25">
      <c r="A91" s="345">
        <f t="shared" si="5"/>
        <v>14000000</v>
      </c>
      <c r="B91" s="339">
        <f t="shared" si="6"/>
        <v>109811.44682174956</v>
      </c>
      <c r="C91" s="346">
        <f t="shared" si="7"/>
        <v>24810798.294906095</v>
      </c>
    </row>
    <row r="92" spans="1:3" x14ac:dyDescent="0.25">
      <c r="A92" s="345">
        <f t="shared" si="5"/>
        <v>14200000</v>
      </c>
      <c r="B92" s="339">
        <f t="shared" si="6"/>
        <v>110907.22263582044</v>
      </c>
      <c r="C92" s="346">
        <f t="shared" si="7"/>
        <v>25058377.882337268</v>
      </c>
    </row>
    <row r="93" spans="1:3" x14ac:dyDescent="0.25">
      <c r="A93" s="345">
        <f t="shared" si="5"/>
        <v>14400000</v>
      </c>
      <c r="B93" s="339">
        <f t="shared" si="6"/>
        <v>111998.37800393499</v>
      </c>
      <c r="C93" s="346">
        <f t="shared" si="7"/>
        <v>25304913.526209071</v>
      </c>
    </row>
    <row r="94" spans="1:3" x14ac:dyDescent="0.25">
      <c r="A94" s="345">
        <f t="shared" si="5"/>
        <v>14600000</v>
      </c>
      <c r="B94" s="339">
        <f t="shared" si="6"/>
        <v>113084.99618263097</v>
      </c>
      <c r="C94" s="346">
        <f t="shared" si="7"/>
        <v>25550424.037503641</v>
      </c>
    </row>
    <row r="95" spans="1:3" x14ac:dyDescent="0.25">
      <c r="A95" s="345">
        <f>A94+(($C$17-$B$17)/$D$17)</f>
        <v>14800000</v>
      </c>
      <c r="B95" s="339">
        <f t="shared" si="6"/>
        <v>114167.15781044142</v>
      </c>
      <c r="C95" s="346">
        <f t="shared" si="7"/>
        <v>25794927.635691136</v>
      </c>
    </row>
    <row r="96" spans="1:3" x14ac:dyDescent="0.25">
      <c r="A96" s="345">
        <f t="shared" ref="A96:A159" si="8">A95+(($C$17-$B$17)/$D$17)</f>
        <v>15000000</v>
      </c>
      <c r="B96" s="339">
        <f t="shared" si="6"/>
        <v>115244.9410244207</v>
      </c>
      <c r="C96" s="346">
        <f t="shared" si="7"/>
        <v>26038441.975057613</v>
      </c>
    </row>
    <row r="97" spans="1:3" x14ac:dyDescent="0.25">
      <c r="A97" s="345">
        <f t="shared" si="8"/>
        <v>15200000</v>
      </c>
      <c r="B97" s="339">
        <f t="shared" ref="B97:B160" si="9">((A97/$B$12)^$D$12)*$C$12*F$12</f>
        <v>116318.42157000185</v>
      </c>
      <c r="C97" s="346">
        <f t="shared" ref="C97:C160" si="10">B97*$F$14</f>
        <v>26280984.169526219</v>
      </c>
    </row>
    <row r="98" spans="1:3" x14ac:dyDescent="0.25">
      <c r="A98" s="345">
        <f t="shared" si="8"/>
        <v>15400000</v>
      </c>
      <c r="B98" s="339">
        <f t="shared" si="9"/>
        <v>117387.67290465004</v>
      </c>
      <c r="C98" s="346">
        <f t="shared" si="10"/>
        <v>26522570.816076629</v>
      </c>
    </row>
    <row r="99" spans="1:3" x14ac:dyDescent="0.25">
      <c r="A99" s="345">
        <f t="shared" si="8"/>
        <v>15600000</v>
      </c>
      <c r="B99" s="339">
        <f t="shared" si="9"/>
        <v>118452.76629573775</v>
      </c>
      <c r="C99" s="346">
        <f t="shared" si="10"/>
        <v>26763218.016858988</v>
      </c>
    </row>
    <row r="100" spans="1:3" x14ac:dyDescent="0.25">
      <c r="A100" s="345">
        <f t="shared" si="8"/>
        <v>15800000</v>
      </c>
      <c r="B100" s="339">
        <f t="shared" si="9"/>
        <v>119513.77091303423</v>
      </c>
      <c r="C100" s="346">
        <f t="shared" si="10"/>
        <v>27002941.400090951</v>
      </c>
    </row>
    <row r="101" spans="1:3" x14ac:dyDescent="0.25">
      <c r="A101" s="345">
        <f t="shared" si="8"/>
        <v>16000000</v>
      </c>
      <c r="B101" s="339">
        <f t="shared" si="9"/>
        <v>120570.75391616956</v>
      </c>
      <c r="C101" s="346">
        <f t="shared" si="10"/>
        <v>27241756.13981935</v>
      </c>
    </row>
    <row r="102" spans="1:3" x14ac:dyDescent="0.25">
      <c r="A102" s="345">
        <f t="shared" si="8"/>
        <v>16200000</v>
      </c>
      <c r="B102" s="339">
        <f t="shared" si="9"/>
        <v>121623.78053740562</v>
      </c>
      <c r="C102" s="346">
        <f t="shared" si="10"/>
        <v>27479676.974621426</v>
      </c>
    </row>
    <row r="103" spans="1:3" x14ac:dyDescent="0.25">
      <c r="A103" s="345">
        <f t="shared" si="8"/>
        <v>16400000</v>
      </c>
      <c r="B103" s="339">
        <f t="shared" si="9"/>
        <v>122672.91416002079</v>
      </c>
      <c r="C103" s="346">
        <f t="shared" si="10"/>
        <v>27716718.225315098</v>
      </c>
    </row>
    <row r="104" spans="1:3" x14ac:dyDescent="0.25">
      <c r="A104" s="345">
        <f t="shared" si="8"/>
        <v>16600000</v>
      </c>
      <c r="B104" s="339">
        <f t="shared" si="9"/>
        <v>123718.21639259135</v>
      </c>
      <c r="C104" s="346">
        <f t="shared" si="10"/>
        <v>27952893.81174209</v>
      </c>
    </row>
    <row r="105" spans="1:3" x14ac:dyDescent="0.25">
      <c r="A105" s="345">
        <f t="shared" si="8"/>
        <v>16800000</v>
      </c>
      <c r="B105" s="339">
        <f t="shared" si="9"/>
        <v>124759.74713943084</v>
      </c>
      <c r="C105" s="346">
        <f t="shared" si="10"/>
        <v>28188217.268683001</v>
      </c>
    </row>
    <row r="106" spans="1:3" x14ac:dyDescent="0.25">
      <c r="A106" s="345">
        <f t="shared" si="8"/>
        <v>17000000</v>
      </c>
      <c r="B106" s="339">
        <f t="shared" si="9"/>
        <v>125797.56466742975</v>
      </c>
      <c r="C106" s="346">
        <f t="shared" si="10"/>
        <v>28422701.760959078</v>
      </c>
    </row>
    <row r="107" spans="1:3" x14ac:dyDescent="0.25">
      <c r="A107" s="345">
        <f t="shared" si="8"/>
        <v>17200000</v>
      </c>
      <c r="B107" s="339">
        <f t="shared" si="9"/>
        <v>126831.72566951961</v>
      </c>
      <c r="C107" s="346">
        <f t="shared" si="10"/>
        <v>28656360.097771261</v>
      </c>
    </row>
    <row r="108" spans="1:3" x14ac:dyDescent="0.25">
      <c r="A108" s="345">
        <f t="shared" si="8"/>
        <v>17400000</v>
      </c>
      <c r="B108" s="339">
        <f t="shared" si="9"/>
        <v>127862.28532496898</v>
      </c>
      <c r="C108" s="346">
        <f t="shared" si="10"/>
        <v>28889204.746323492</v>
      </c>
    </row>
    <row r="109" spans="1:3" x14ac:dyDescent="0.25">
      <c r="A109" s="345">
        <f t="shared" si="8"/>
        <v>17600000</v>
      </c>
      <c r="B109" s="339">
        <f t="shared" si="9"/>
        <v>128889.29735670397</v>
      </c>
      <c r="C109" s="346">
        <f t="shared" si="10"/>
        <v>29121247.844773695</v>
      </c>
    </row>
    <row r="110" spans="1:3" x14ac:dyDescent="0.25">
      <c r="A110" s="345">
        <f t="shared" si="8"/>
        <v>17800000</v>
      </c>
      <c r="B110" s="339">
        <f t="shared" si="9"/>
        <v>129912.81408583271</v>
      </c>
      <c r="C110" s="346">
        <f t="shared" si="10"/>
        <v>29352501.214553043</v>
      </c>
    </row>
    <row r="111" spans="1:3" x14ac:dyDescent="0.25">
      <c r="A111" s="345">
        <f t="shared" si="8"/>
        <v>18000000</v>
      </c>
      <c r="B111" s="339">
        <f t="shared" si="9"/>
        <v>130932.88648353927</v>
      </c>
      <c r="C111" s="346">
        <f t="shared" si="10"/>
        <v>29582976.372090865</v>
      </c>
    </row>
    <row r="112" spans="1:3" x14ac:dyDescent="0.25">
      <c r="A112" s="345">
        <f t="shared" si="8"/>
        <v>18200000</v>
      </c>
      <c r="B112" s="339">
        <f t="shared" si="9"/>
        <v>131949.56422050251</v>
      </c>
      <c r="C112" s="346">
        <f t="shared" si="10"/>
        <v>29812684.539980337</v>
      </c>
    </row>
    <row r="113" spans="1:3" x14ac:dyDescent="0.25">
      <c r="A113" s="345">
        <f t="shared" si="8"/>
        <v>18400000</v>
      </c>
      <c r="B113" s="339">
        <f t="shared" si="9"/>
        <v>132962.8957139829</v>
      </c>
      <c r="C113" s="346">
        <f t="shared" si="10"/>
        <v>30041636.657617297</v>
      </c>
    </row>
    <row r="114" spans="1:3" x14ac:dyDescent="0.25">
      <c r="A114" s="345">
        <f t="shared" si="8"/>
        <v>18600000</v>
      </c>
      <c r="B114" s="339">
        <f t="shared" si="9"/>
        <v>133972.92817271245</v>
      </c>
      <c r="C114" s="346">
        <f t="shared" si="10"/>
        <v>30269843.391342651</v>
      </c>
    </row>
    <row r="115" spans="1:3" x14ac:dyDescent="0.25">
      <c r="A115" s="345">
        <f t="shared" si="8"/>
        <v>18800000</v>
      </c>
      <c r="B115" s="339">
        <f t="shared" si="9"/>
        <v>134979.70763971182</v>
      </c>
      <c r="C115" s="346">
        <f t="shared" si="10"/>
        <v>30497315.144116487</v>
      </c>
    </row>
    <row r="116" spans="1:3" x14ac:dyDescent="0.25">
      <c r="A116" s="345">
        <f t="shared" si="8"/>
        <v>19000000</v>
      </c>
      <c r="B116" s="339">
        <f t="shared" si="9"/>
        <v>135983.27903315192</v>
      </c>
      <c r="C116" s="346">
        <f t="shared" si="10"/>
        <v>30724062.064750344</v>
      </c>
    </row>
    <row r="117" spans="1:3" x14ac:dyDescent="0.25">
      <c r="A117" s="345">
        <f t="shared" si="8"/>
        <v>19200000</v>
      </c>
      <c r="B117" s="339">
        <f t="shared" si="9"/>
        <v>136983.6861853688</v>
      </c>
      <c r="C117" s="346">
        <f t="shared" si="10"/>
        <v>30950094.056722227</v>
      </c>
    </row>
    <row r="118" spans="1:3" x14ac:dyDescent="0.25">
      <c r="A118" s="345">
        <f t="shared" si="8"/>
        <v>19400000</v>
      </c>
      <c r="B118" s="339">
        <f t="shared" si="9"/>
        <v>137980.97188013329</v>
      </c>
      <c r="C118" s="346">
        <f t="shared" si="10"/>
        <v>31175420.786597315</v>
      </c>
    </row>
    <row r="119" spans="1:3" x14ac:dyDescent="0.25">
      <c r="A119" s="345">
        <f t="shared" si="8"/>
        <v>19600000</v>
      </c>
      <c r="B119" s="339">
        <f t="shared" si="9"/>
        <v>138975.17788827131</v>
      </c>
      <c r="C119" s="346">
        <f t="shared" si="10"/>
        <v>31400051.69207602</v>
      </c>
    </row>
    <row r="120" spans="1:3" x14ac:dyDescent="0.25">
      <c r="A120" s="345">
        <f t="shared" si="8"/>
        <v>19800000</v>
      </c>
      <c r="B120" s="339">
        <f t="shared" si="9"/>
        <v>139966.34500172324</v>
      </c>
      <c r="C120" s="346">
        <f t="shared" si="10"/>
        <v>31623995.98968935</v>
      </c>
    </row>
    <row r="121" spans="1:3" x14ac:dyDescent="0.25">
      <c r="A121" s="345">
        <f t="shared" si="8"/>
        <v>20000000</v>
      </c>
      <c r="B121" s="339">
        <f t="shared" si="9"/>
        <v>140954.51306612603</v>
      </c>
      <c r="C121" s="346">
        <f t="shared" si="10"/>
        <v>31847262.682160515</v>
      </c>
    </row>
    <row r="122" spans="1:3" x14ac:dyDescent="0.25">
      <c r="A122" s="345">
        <f t="shared" si="8"/>
        <v>20200000</v>
      </c>
      <c r="B122" s="339">
        <f t="shared" si="9"/>
        <v>141939.7210119965</v>
      </c>
      <c r="C122" s="346">
        <f t="shared" si="10"/>
        <v>32069860.56545049</v>
      </c>
    </row>
    <row r="123" spans="1:3" x14ac:dyDescent="0.25">
      <c r="A123" s="345">
        <f t="shared" si="8"/>
        <v>20400000</v>
      </c>
      <c r="B123" s="339">
        <f t="shared" si="9"/>
        <v>142922.00688458869</v>
      </c>
      <c r="C123" s="346">
        <f t="shared" si="10"/>
        <v>32291798.235503968</v>
      </c>
    </row>
    <row r="124" spans="1:3" x14ac:dyDescent="0.25">
      <c r="A124" s="345">
        <f t="shared" si="8"/>
        <v>20600000</v>
      </c>
      <c r="B124" s="339">
        <f t="shared" si="9"/>
        <v>143901.40787249437</v>
      </c>
      <c r="C124" s="346">
        <f t="shared" si="10"/>
        <v>32513084.094711378</v>
      </c>
    </row>
    <row r="125" spans="1:3" x14ac:dyDescent="0.25">
      <c r="A125" s="345">
        <f t="shared" si="8"/>
        <v>20800000</v>
      </c>
      <c r="B125" s="339">
        <f t="shared" si="9"/>
        <v>144877.9603350512</v>
      </c>
      <c r="C125" s="346">
        <f t="shared" si="10"/>
        <v>32733726.358101469</v>
      </c>
    </row>
    <row r="126" spans="1:3" x14ac:dyDescent="0.25">
      <c r="A126" s="345">
        <f t="shared" si="8"/>
        <v>21000000</v>
      </c>
      <c r="B126" s="339">
        <f t="shared" si="9"/>
        <v>145851.69982861925</v>
      </c>
      <c r="C126" s="346">
        <f t="shared" si="10"/>
        <v>32953733.059278235</v>
      </c>
    </row>
    <row r="127" spans="1:3" x14ac:dyDescent="0.25">
      <c r="A127" s="345">
        <f t="shared" si="8"/>
        <v>21200000</v>
      </c>
      <c r="B127" s="339">
        <f t="shared" si="9"/>
        <v>146822.66113178272</v>
      </c>
      <c r="C127" s="346">
        <f t="shared" si="10"/>
        <v>33173112.056114987</v>
      </c>
    </row>
    <row r="128" spans="1:3" x14ac:dyDescent="0.25">
      <c r="A128" s="345">
        <f t="shared" si="8"/>
        <v>21400000</v>
      </c>
      <c r="B128" s="339">
        <f t="shared" si="9"/>
        <v>147790.87826953092</v>
      </c>
      <c r="C128" s="346">
        <f t="shared" si="10"/>
        <v>33391871.036217816</v>
      </c>
    </row>
    <row r="129" spans="1:3" x14ac:dyDescent="0.25">
      <c r="A129" s="345">
        <f t="shared" si="8"/>
        <v>21600000</v>
      </c>
      <c r="B129" s="339">
        <f t="shared" si="9"/>
        <v>148756.38453646871</v>
      </c>
      <c r="C129" s="346">
        <f t="shared" si="10"/>
        <v>33610017.522169739</v>
      </c>
    </row>
    <row r="130" spans="1:3" x14ac:dyDescent="0.25">
      <c r="A130" s="345">
        <f t="shared" si="8"/>
        <v>21800000</v>
      </c>
      <c r="B130" s="339">
        <f t="shared" si="9"/>
        <v>149719.21251910398</v>
      </c>
      <c r="C130" s="346">
        <f t="shared" si="10"/>
        <v>33827558.87656635</v>
      </c>
    </row>
    <row r="131" spans="1:3" x14ac:dyDescent="0.25">
      <c r="A131" s="345">
        <f t="shared" si="8"/>
        <v>22000000</v>
      </c>
      <c r="B131" s="339">
        <f t="shared" si="9"/>
        <v>150679.39411725712</v>
      </c>
      <c r="C131" s="346">
        <f t="shared" si="10"/>
        <v>34044502.306853071</v>
      </c>
    </row>
    <row r="132" spans="1:3" x14ac:dyDescent="0.25">
      <c r="A132" s="345">
        <f t="shared" si="8"/>
        <v>22200000</v>
      </c>
      <c r="B132" s="339">
        <f t="shared" si="9"/>
        <v>151636.96056463459</v>
      </c>
      <c r="C132" s="346">
        <f t="shared" si="10"/>
        <v>34260854.86997354</v>
      </c>
    </row>
    <row r="133" spans="1:3" x14ac:dyDescent="0.25">
      <c r="A133" s="345">
        <f t="shared" si="8"/>
        <v>22400000</v>
      </c>
      <c r="B133" s="339">
        <f t="shared" si="9"/>
        <v>152591.94244860677</v>
      </c>
      <c r="C133" s="346">
        <f t="shared" si="10"/>
        <v>34476623.476838216</v>
      </c>
    </row>
    <row r="134" spans="1:3" x14ac:dyDescent="0.25">
      <c r="A134" s="345">
        <f t="shared" si="8"/>
        <v>22600000</v>
      </c>
      <c r="B134" s="339">
        <f t="shared" si="9"/>
        <v>153544.36972922692</v>
      </c>
      <c r="C134" s="346">
        <f t="shared" si="10"/>
        <v>34691814.896621533</v>
      </c>
    </row>
    <row r="135" spans="1:3" x14ac:dyDescent="0.25">
      <c r="A135" s="345">
        <f t="shared" si="8"/>
        <v>22800000</v>
      </c>
      <c r="B135" s="339">
        <f t="shared" si="9"/>
        <v>154494.27175752792</v>
      </c>
      <c r="C135" s="346">
        <f t="shared" si="10"/>
        <v>34906435.760895856</v>
      </c>
    </row>
    <row r="136" spans="1:3" x14ac:dyDescent="0.25">
      <c r="A136" s="345">
        <f t="shared" si="8"/>
        <v>23000000</v>
      </c>
      <c r="B136" s="339">
        <f t="shared" si="9"/>
        <v>155441.67729312947</v>
      </c>
      <c r="C136" s="346">
        <f t="shared" si="10"/>
        <v>35120492.567609675</v>
      </c>
    </row>
    <row r="137" spans="1:3" x14ac:dyDescent="0.25">
      <c r="A137" s="345">
        <f t="shared" si="8"/>
        <v>23200000</v>
      </c>
      <c r="B137" s="339">
        <f t="shared" si="9"/>
        <v>156386.61452118756</v>
      </c>
      <c r="C137" s="346">
        <f t="shared" si="10"/>
        <v>35333991.684917115</v>
      </c>
    </row>
    <row r="138" spans="1:3" x14ac:dyDescent="0.25">
      <c r="A138" s="345">
        <f t="shared" si="8"/>
        <v>23400000</v>
      </c>
      <c r="B138" s="339">
        <f t="shared" si="9"/>
        <v>157329.11106871683</v>
      </c>
      <c r="C138" s="346">
        <f t="shared" si="10"/>
        <v>35546939.354865879</v>
      </c>
    </row>
    <row r="139" spans="1:3" x14ac:dyDescent="0.25">
      <c r="A139" s="345">
        <f t="shared" si="8"/>
        <v>23600000</v>
      </c>
      <c r="B139" s="339">
        <f t="shared" si="9"/>
        <v>158269.19402031347</v>
      </c>
      <c r="C139" s="346">
        <f t="shared" si="10"/>
        <v>35759341.696949624</v>
      </c>
    </row>
    <row r="140" spans="1:3" x14ac:dyDescent="0.25">
      <c r="A140" s="345">
        <f t="shared" si="8"/>
        <v>23800000</v>
      </c>
      <c r="B140" s="339">
        <f t="shared" si="9"/>
        <v>159206.88993330597</v>
      </c>
      <c r="C140" s="346">
        <f t="shared" si="10"/>
        <v>35971204.711531147</v>
      </c>
    </row>
    <row r="141" spans="1:3" x14ac:dyDescent="0.25">
      <c r="A141" s="345">
        <f t="shared" si="8"/>
        <v>24000000</v>
      </c>
      <c r="B141" s="339">
        <f t="shared" si="9"/>
        <v>160142.22485235901</v>
      </c>
      <c r="C141" s="346">
        <f t="shared" si="10"/>
        <v>36182534.283141993</v>
      </c>
    </row>
    <row r="142" spans="1:3" x14ac:dyDescent="0.25">
      <c r="A142" s="345">
        <f t="shared" si="8"/>
        <v>24200000</v>
      </c>
      <c r="B142" s="339">
        <f t="shared" si="9"/>
        <v>161075.22432355487</v>
      </c>
      <c r="C142" s="346">
        <f t="shared" si="10"/>
        <v>36393336.183663987</v>
      </c>
    </row>
    <row r="143" spans="1:3" x14ac:dyDescent="0.25">
      <c r="A143" s="345">
        <f t="shared" si="8"/>
        <v>24400000</v>
      </c>
      <c r="B143" s="339">
        <f t="shared" si="9"/>
        <v>162005.91340797467</v>
      </c>
      <c r="C143" s="346">
        <f t="shared" si="10"/>
        <v>36603616.075397797</v>
      </c>
    </row>
    <row r="144" spans="1:3" x14ac:dyDescent="0.25">
      <c r="A144" s="345">
        <f t="shared" si="8"/>
        <v>24600000</v>
      </c>
      <c r="B144" s="339">
        <f t="shared" si="9"/>
        <v>162934.31669480179</v>
      </c>
      <c r="C144" s="346">
        <f t="shared" si="10"/>
        <v>36813379.514023513</v>
      </c>
    </row>
    <row r="145" spans="1:3" x14ac:dyDescent="0.25">
      <c r="A145" s="345">
        <f t="shared" si="8"/>
        <v>24800000</v>
      </c>
      <c r="B145" s="339">
        <f t="shared" si="9"/>
        <v>163860.45831396777</v>
      </c>
      <c r="C145" s="346">
        <f t="shared" si="10"/>
        <v>37022631.95145788</v>
      </c>
    </row>
    <row r="146" spans="1:3" x14ac:dyDescent="0.25">
      <c r="A146" s="345">
        <f t="shared" si="8"/>
        <v>25000000</v>
      </c>
      <c r="B146" s="339">
        <f t="shared" si="9"/>
        <v>164784.3619483597</v>
      </c>
      <c r="C146" s="346">
        <f t="shared" si="10"/>
        <v>37231378.738612391</v>
      </c>
    </row>
    <row r="147" spans="1:3" x14ac:dyDescent="0.25">
      <c r="A147" s="345">
        <f t="shared" si="8"/>
        <v>25200000</v>
      </c>
      <c r="B147" s="339">
        <f t="shared" si="9"/>
        <v>165706.05084560887</v>
      </c>
      <c r="C147" s="346">
        <f t="shared" si="10"/>
        <v>37439625.128056869</v>
      </c>
    </row>
    <row r="148" spans="1:3" x14ac:dyDescent="0.25">
      <c r="A148" s="345">
        <f t="shared" si="8"/>
        <v>25400000</v>
      </c>
      <c r="B148" s="339">
        <f t="shared" si="9"/>
        <v>166625.547829477</v>
      </c>
      <c r="C148" s="346">
        <f t="shared" si="10"/>
        <v>37647376.276592031</v>
      </c>
    </row>
    <row r="149" spans="1:3" x14ac:dyDescent="0.25">
      <c r="A149" s="345">
        <f t="shared" si="8"/>
        <v>25600000</v>
      </c>
      <c r="B149" s="339">
        <f t="shared" si="9"/>
        <v>167542.87531085775</v>
      </c>
      <c r="C149" s="346">
        <f t="shared" si="10"/>
        <v>37854637.247735202</v>
      </c>
    </row>
    <row r="150" spans="1:3" x14ac:dyDescent="0.25">
      <c r="A150" s="345">
        <f t="shared" si="8"/>
        <v>25800000</v>
      </c>
      <c r="B150" s="339">
        <f t="shared" si="9"/>
        <v>168458.05529840876</v>
      </c>
      <c r="C150" s="346">
        <f t="shared" si="10"/>
        <v>38061413.014122471</v>
      </c>
    </row>
    <row r="151" spans="1:3" x14ac:dyDescent="0.25">
      <c r="A151" s="345">
        <f t="shared" si="8"/>
        <v>26000000</v>
      </c>
      <c r="B151" s="339">
        <f t="shared" si="9"/>
        <v>169371.10940882994</v>
      </c>
      <c r="C151" s="346">
        <f t="shared" si="10"/>
        <v>38267708.459831037</v>
      </c>
    </row>
    <row r="152" spans="1:3" x14ac:dyDescent="0.25">
      <c r="A152" s="345">
        <f t="shared" si="8"/>
        <v>26200000</v>
      </c>
      <c r="B152" s="339">
        <f t="shared" si="9"/>
        <v>170282.05887680201</v>
      </c>
      <c r="C152" s="346">
        <f t="shared" si="10"/>
        <v>38473528.382624649</v>
      </c>
    </row>
    <row r="153" spans="1:3" x14ac:dyDescent="0.25">
      <c r="A153" s="345">
        <f t="shared" si="8"/>
        <v>26400000</v>
      </c>
      <c r="B153" s="339">
        <f t="shared" si="9"/>
        <v>171190.92456459932</v>
      </c>
      <c r="C153" s="346">
        <f t="shared" si="10"/>
        <v>38678877.496125571</v>
      </c>
    </row>
    <row r="154" spans="1:3" x14ac:dyDescent="0.25">
      <c r="A154" s="345">
        <f t="shared" si="8"/>
        <v>26600000</v>
      </c>
      <c r="B154" s="339">
        <f t="shared" si="9"/>
        <v>172097.72697138964</v>
      </c>
      <c r="C154" s="346">
        <f t="shared" si="10"/>
        <v>38883760.431915775</v>
      </c>
    </row>
    <row r="155" spans="1:3" x14ac:dyDescent="0.25">
      <c r="A155" s="345">
        <f t="shared" si="8"/>
        <v>26800000</v>
      </c>
      <c r="B155" s="339">
        <f t="shared" si="9"/>
        <v>173002.48624223375</v>
      </c>
      <c r="C155" s="346">
        <f t="shared" si="10"/>
        <v>39088181.741570294</v>
      </c>
    </row>
    <row r="156" spans="1:3" x14ac:dyDescent="0.25">
      <c r="A156" s="345">
        <f t="shared" si="8"/>
        <v>27000000</v>
      </c>
      <c r="B156" s="339">
        <f t="shared" si="9"/>
        <v>173905.2221767967</v>
      </c>
      <c r="C156" s="346">
        <f t="shared" si="10"/>
        <v>39292145.898625448</v>
      </c>
    </row>
    <row r="157" spans="1:3" x14ac:dyDescent="0.25">
      <c r="A157" s="345">
        <f t="shared" si="8"/>
        <v>27200000</v>
      </c>
      <c r="B157" s="339">
        <f t="shared" si="9"/>
        <v>174805.95423778144</v>
      </c>
      <c r="C157" s="346">
        <f t="shared" si="10"/>
        <v>39495657.300484337</v>
      </c>
    </row>
    <row r="158" spans="1:3" x14ac:dyDescent="0.25">
      <c r="A158" s="345">
        <f t="shared" si="8"/>
        <v>27400000</v>
      </c>
      <c r="B158" s="339">
        <f t="shared" si="9"/>
        <v>175704.70155909678</v>
      </c>
      <c r="C158" s="346">
        <f t="shared" si="10"/>
        <v>39698720.270262323</v>
      </c>
    </row>
    <row r="159" spans="1:3" x14ac:dyDescent="0.25">
      <c r="A159" s="345">
        <f t="shared" si="8"/>
        <v>27600000</v>
      </c>
      <c r="B159" s="339">
        <f t="shared" si="9"/>
        <v>176601.48295376831</v>
      </c>
      <c r="C159" s="346">
        <f t="shared" si="10"/>
        <v>39901339.058574408</v>
      </c>
    </row>
    <row r="160" spans="1:3" x14ac:dyDescent="0.25">
      <c r="A160" s="345">
        <f t="shared" ref="A160:A220" si="11">A159+(($C$17-$B$17)/$D$17)</f>
        <v>27800000</v>
      </c>
      <c r="B160" s="339">
        <f t="shared" si="9"/>
        <v>177496.3169216041</v>
      </c>
      <c r="C160" s="346">
        <f t="shared" si="10"/>
        <v>40103517.845267229</v>
      </c>
    </row>
    <row r="161" spans="1:3" x14ac:dyDescent="0.25">
      <c r="A161" s="345">
        <f t="shared" si="11"/>
        <v>28000000</v>
      </c>
      <c r="B161" s="339">
        <f t="shared" ref="B161:B220" si="12">((A161/$B$12)^$D$12)*$C$12*F$12</f>
        <v>178389.22165662277</v>
      </c>
      <c r="C161" s="346">
        <f t="shared" ref="C161:C220" si="13">B161*$F$14</f>
        <v>40305260.741097346</v>
      </c>
    </row>
    <row r="162" spans="1:3" x14ac:dyDescent="0.25">
      <c r="A162" s="345">
        <f t="shared" si="11"/>
        <v>28200000</v>
      </c>
      <c r="B162" s="339">
        <f t="shared" si="12"/>
        <v>179280.21505425396</v>
      </c>
      <c r="C162" s="346">
        <f t="shared" si="13"/>
        <v>40506571.789358139</v>
      </c>
    </row>
    <row r="163" spans="1:3" x14ac:dyDescent="0.25">
      <c r="A163" s="345">
        <f t="shared" si="11"/>
        <v>28400000</v>
      </c>
      <c r="B163" s="339">
        <f t="shared" si="12"/>
        <v>180169.31471831937</v>
      </c>
      <c r="C163" s="346">
        <f t="shared" si="13"/>
        <v>40707454.967457078</v>
      </c>
    </row>
    <row r="164" spans="1:3" x14ac:dyDescent="0.25">
      <c r="A164" s="345">
        <f t="shared" si="11"/>
        <v>28600000</v>
      </c>
      <c r="B164" s="339">
        <f t="shared" si="12"/>
        <v>181056.53796780252</v>
      </c>
      <c r="C164" s="346">
        <f t="shared" si="13"/>
        <v>40907914.1884453</v>
      </c>
    </row>
    <row r="165" spans="1:3" x14ac:dyDescent="0.25">
      <c r="A165" s="345">
        <f t="shared" si="11"/>
        <v>28800000</v>
      </c>
      <c r="B165" s="339">
        <f t="shared" si="12"/>
        <v>181941.9018434154</v>
      </c>
      <c r="C165" s="346">
        <f t="shared" si="13"/>
        <v>41107953.302501276</v>
      </c>
    </row>
    <row r="166" spans="1:3" x14ac:dyDescent="0.25">
      <c r="A166" s="345">
        <f t="shared" si="11"/>
        <v>29000000</v>
      </c>
      <c r="B166" s="339">
        <f t="shared" si="12"/>
        <v>182825.42311396913</v>
      </c>
      <c r="C166" s="346">
        <f t="shared" si="13"/>
        <v>41307576.098370187</v>
      </c>
    </row>
    <row r="167" spans="1:3" x14ac:dyDescent="0.25">
      <c r="A167" s="345">
        <f t="shared" si="11"/>
        <v>29200000</v>
      </c>
      <c r="B167" s="339">
        <f t="shared" si="12"/>
        <v>183707.11828255549</v>
      </c>
      <c r="C167" s="346">
        <f t="shared" si="13"/>
        <v>41506786.304760583</v>
      </c>
    </row>
    <row r="168" spans="1:3" x14ac:dyDescent="0.25">
      <c r="A168" s="345">
        <f t="shared" si="11"/>
        <v>29400000</v>
      </c>
      <c r="B168" s="339">
        <f t="shared" si="12"/>
        <v>184587.00359254741</v>
      </c>
      <c r="C168" s="346">
        <f t="shared" si="13"/>
        <v>41705587.591700159</v>
      </c>
    </row>
    <row r="169" spans="1:3" x14ac:dyDescent="0.25">
      <c r="A169" s="345">
        <f t="shared" si="11"/>
        <v>29600000</v>
      </c>
      <c r="B169" s="339">
        <f t="shared" si="12"/>
        <v>185465.0950334231</v>
      </c>
      <c r="C169" s="346">
        <f t="shared" si="13"/>
        <v>41903983.571851619</v>
      </c>
    </row>
    <row r="170" spans="1:3" x14ac:dyDescent="0.25">
      <c r="A170" s="345">
        <f t="shared" si="11"/>
        <v>29800000</v>
      </c>
      <c r="B170" s="339">
        <f t="shared" si="12"/>
        <v>186341.4083464221</v>
      </c>
      <c r="C170" s="346">
        <f t="shared" si="13"/>
        <v>42101977.80179061</v>
      </c>
    </row>
    <row r="171" spans="1:3" x14ac:dyDescent="0.25">
      <c r="A171" s="345">
        <f t="shared" si="11"/>
        <v>30000000</v>
      </c>
      <c r="B171" s="339">
        <f t="shared" si="12"/>
        <v>187215.95903003748</v>
      </c>
      <c r="C171" s="346">
        <f t="shared" si="13"/>
        <v>42299573.783246666</v>
      </c>
    </row>
    <row r="172" spans="1:3" x14ac:dyDescent="0.25">
      <c r="A172"/>
      <c r="B172"/>
      <c r="C172"/>
    </row>
    <row r="173" spans="1:3" x14ac:dyDescent="0.25">
      <c r="A173"/>
      <c r="B173"/>
      <c r="C173"/>
    </row>
    <row r="174" spans="1:3" x14ac:dyDescent="0.25">
      <c r="A174"/>
      <c r="B174"/>
      <c r="C174"/>
    </row>
    <row r="175" spans="1:3" x14ac:dyDescent="0.25">
      <c r="A175"/>
      <c r="B175"/>
      <c r="C175"/>
    </row>
    <row r="176" spans="1:3" x14ac:dyDescent="0.25">
      <c r="A176"/>
      <c r="B176"/>
      <c r="C176"/>
    </row>
    <row r="177" spans="1:3" x14ac:dyDescent="0.25">
      <c r="A177"/>
      <c r="B177"/>
      <c r="C177"/>
    </row>
    <row r="178" spans="1:3" x14ac:dyDescent="0.25">
      <c r="A178"/>
      <c r="B178"/>
      <c r="C178"/>
    </row>
    <row r="179" spans="1:3" x14ac:dyDescent="0.25">
      <c r="A179"/>
      <c r="B179"/>
      <c r="C179"/>
    </row>
    <row r="180" spans="1:3" x14ac:dyDescent="0.25">
      <c r="A180"/>
      <c r="B180"/>
      <c r="C180"/>
    </row>
    <row r="181" spans="1:3" x14ac:dyDescent="0.25">
      <c r="A181"/>
      <c r="B181"/>
      <c r="C181"/>
    </row>
    <row r="182" spans="1:3" x14ac:dyDescent="0.25">
      <c r="A182"/>
      <c r="B182"/>
      <c r="C182"/>
    </row>
    <row r="183" spans="1:3" x14ac:dyDescent="0.25">
      <c r="A183"/>
      <c r="B183"/>
      <c r="C183"/>
    </row>
    <row r="184" spans="1:3" x14ac:dyDescent="0.25">
      <c r="A184"/>
      <c r="B184"/>
      <c r="C184"/>
    </row>
    <row r="185" spans="1:3" x14ac:dyDescent="0.25">
      <c r="A185"/>
      <c r="B185"/>
      <c r="C185"/>
    </row>
    <row r="186" spans="1:3" x14ac:dyDescent="0.25">
      <c r="A186"/>
      <c r="B186"/>
      <c r="C186"/>
    </row>
    <row r="187" spans="1:3" x14ac:dyDescent="0.25">
      <c r="A187"/>
      <c r="B187"/>
      <c r="C187"/>
    </row>
    <row r="188" spans="1:3" x14ac:dyDescent="0.25">
      <c r="A188"/>
      <c r="B188"/>
      <c r="C188"/>
    </row>
    <row r="189" spans="1:3" x14ac:dyDescent="0.25">
      <c r="A189"/>
      <c r="B189"/>
      <c r="C189"/>
    </row>
    <row r="190" spans="1:3" x14ac:dyDescent="0.25">
      <c r="A190"/>
      <c r="B190"/>
      <c r="C190"/>
    </row>
    <row r="191" spans="1:3" x14ac:dyDescent="0.25">
      <c r="A191"/>
      <c r="B191"/>
      <c r="C191"/>
    </row>
    <row r="192" spans="1:3" x14ac:dyDescent="0.25">
      <c r="A192"/>
      <c r="B192"/>
      <c r="C192"/>
    </row>
    <row r="193" spans="1:3" x14ac:dyDescent="0.25">
      <c r="A193"/>
      <c r="B193"/>
      <c r="C193"/>
    </row>
    <row r="194" spans="1:3" x14ac:dyDescent="0.25">
      <c r="A194"/>
      <c r="B194"/>
      <c r="C194"/>
    </row>
    <row r="195" spans="1:3" x14ac:dyDescent="0.25">
      <c r="A195"/>
      <c r="B195"/>
      <c r="C195"/>
    </row>
    <row r="196" spans="1:3" x14ac:dyDescent="0.25">
      <c r="A196"/>
      <c r="B196"/>
      <c r="C196"/>
    </row>
    <row r="197" spans="1:3" x14ac:dyDescent="0.25">
      <c r="A197"/>
      <c r="B197"/>
      <c r="C197"/>
    </row>
    <row r="198" spans="1:3" x14ac:dyDescent="0.25">
      <c r="A198"/>
      <c r="B198"/>
      <c r="C198"/>
    </row>
    <row r="199" spans="1:3" x14ac:dyDescent="0.25">
      <c r="A199"/>
      <c r="B199"/>
      <c r="C199"/>
    </row>
    <row r="200" spans="1:3" x14ac:dyDescent="0.25">
      <c r="A200"/>
      <c r="B200"/>
      <c r="C200"/>
    </row>
    <row r="201" spans="1:3" x14ac:dyDescent="0.25">
      <c r="A201"/>
      <c r="B201"/>
      <c r="C201"/>
    </row>
    <row r="202" spans="1:3" x14ac:dyDescent="0.25">
      <c r="A202"/>
      <c r="B202"/>
      <c r="C202"/>
    </row>
    <row r="203" spans="1:3" x14ac:dyDescent="0.25">
      <c r="A203"/>
      <c r="B203"/>
      <c r="C203"/>
    </row>
    <row r="204" spans="1:3" x14ac:dyDescent="0.25">
      <c r="A204"/>
      <c r="B204"/>
      <c r="C204"/>
    </row>
    <row r="205" spans="1:3" x14ac:dyDescent="0.25">
      <c r="A205"/>
      <c r="B205"/>
      <c r="C205"/>
    </row>
    <row r="206" spans="1:3" x14ac:dyDescent="0.25">
      <c r="A206"/>
      <c r="B206"/>
      <c r="C206"/>
    </row>
    <row r="207" spans="1:3" x14ac:dyDescent="0.25">
      <c r="A207"/>
      <c r="B207"/>
      <c r="C207"/>
    </row>
    <row r="208" spans="1:3" x14ac:dyDescent="0.25">
      <c r="A208"/>
      <c r="B208"/>
      <c r="C208"/>
    </row>
    <row r="209" spans="1:3" x14ac:dyDescent="0.25">
      <c r="A209"/>
      <c r="B209"/>
      <c r="C209"/>
    </row>
    <row r="210" spans="1:3" x14ac:dyDescent="0.25">
      <c r="A210"/>
      <c r="B210"/>
      <c r="C210"/>
    </row>
    <row r="211" spans="1:3" x14ac:dyDescent="0.25">
      <c r="A211"/>
      <c r="B211"/>
      <c r="C211"/>
    </row>
    <row r="212" spans="1:3" x14ac:dyDescent="0.25">
      <c r="A212"/>
      <c r="B212"/>
      <c r="C212"/>
    </row>
    <row r="213" spans="1:3" x14ac:dyDescent="0.25">
      <c r="A213"/>
      <c r="B213"/>
      <c r="C213"/>
    </row>
    <row r="214" spans="1:3" x14ac:dyDescent="0.25">
      <c r="A214"/>
      <c r="B214"/>
      <c r="C214"/>
    </row>
    <row r="215" spans="1:3" x14ac:dyDescent="0.25">
      <c r="A215"/>
      <c r="B215"/>
      <c r="C215"/>
    </row>
    <row r="216" spans="1:3" x14ac:dyDescent="0.25">
      <c r="A216"/>
      <c r="B216"/>
      <c r="C216"/>
    </row>
    <row r="217" spans="1:3" x14ac:dyDescent="0.25">
      <c r="A217"/>
      <c r="B217"/>
      <c r="C217"/>
    </row>
    <row r="218" spans="1:3" x14ac:dyDescent="0.25">
      <c r="A218"/>
      <c r="B218"/>
      <c r="C218"/>
    </row>
    <row r="219" spans="1:3" x14ac:dyDescent="0.25">
      <c r="A219"/>
      <c r="B219"/>
      <c r="C219"/>
    </row>
    <row r="220" spans="1:3" x14ac:dyDescent="0.25">
      <c r="A220"/>
      <c r="B220"/>
      <c r="C220"/>
    </row>
  </sheetData>
  <mergeCells count="9">
    <mergeCell ref="A11:A12"/>
    <mergeCell ref="A13:D14"/>
    <mergeCell ref="A16:A17"/>
    <mergeCell ref="A19:C19"/>
    <mergeCell ref="B4:F4"/>
    <mergeCell ref="A7:A9"/>
    <mergeCell ref="B7:C7"/>
    <mergeCell ref="D7:F7"/>
    <mergeCell ref="G7:I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>
    <tabColor theme="3" tint="0.79998168889431442"/>
  </sheetPr>
  <dimension ref="A1:R42"/>
  <sheetViews>
    <sheetView workbookViewId="0">
      <selection activeCell="B12" sqref="B12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5703125" style="98" customWidth="1"/>
    <col min="5" max="5" width="14.5703125" style="98" customWidth="1"/>
    <col min="6" max="6" width="12.42578125" style="98" customWidth="1"/>
    <col min="7" max="7" width="12" style="98" customWidth="1"/>
    <col min="8" max="10" width="10.42578125" style="98" customWidth="1"/>
    <col min="11" max="11" width="14.42578125" style="98" bestFit="1" customWidth="1"/>
    <col min="12" max="13" width="12" style="98" bestFit="1" customWidth="1"/>
    <col min="14" max="14" width="12.5703125" style="98" customWidth="1"/>
    <col min="15" max="15" width="9.5703125" style="98" bestFit="1" customWidth="1"/>
    <col min="16" max="16" width="8.85546875" style="98"/>
    <col min="17" max="18" width="10.425781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1</v>
      </c>
    </row>
    <row r="2" spans="1:18" x14ac:dyDescent="0.2">
      <c r="A2" s="7" t="s">
        <v>2</v>
      </c>
      <c r="B2" s="8" t="s">
        <v>162</v>
      </c>
      <c r="C2" s="9" t="s">
        <v>4</v>
      </c>
      <c r="D2" s="8" t="s">
        <v>6</v>
      </c>
      <c r="E2" s="9" t="s">
        <v>116</v>
      </c>
      <c r="F2" s="10" t="s">
        <v>163</v>
      </c>
      <c r="H2" s="120" t="s">
        <v>102</v>
      </c>
      <c r="I2" s="121"/>
      <c r="J2" s="121"/>
      <c r="K2" s="121"/>
      <c r="L2" s="122"/>
    </row>
    <row r="3" spans="1:18" ht="13.5" thickBot="1" x14ac:dyDescent="0.25">
      <c r="A3" s="11" t="s">
        <v>3</v>
      </c>
      <c r="B3" s="12" t="s">
        <v>160</v>
      </c>
      <c r="C3" s="13" t="s">
        <v>5</v>
      </c>
      <c r="D3" s="12" t="s">
        <v>163</v>
      </c>
      <c r="E3" s="13" t="s">
        <v>104</v>
      </c>
      <c r="F3" s="14" t="s">
        <v>161</v>
      </c>
    </row>
    <row r="4" spans="1:18" ht="15" customHeight="1" thickBot="1" x14ac:dyDescent="0.25">
      <c r="A4" s="80" t="s">
        <v>38</v>
      </c>
      <c r="B4" s="454" t="s">
        <v>106</v>
      </c>
      <c r="C4" s="454"/>
      <c r="D4" s="454"/>
      <c r="E4" s="454"/>
      <c r="F4" s="455"/>
      <c r="H4" s="98" t="s">
        <v>107</v>
      </c>
    </row>
    <row r="5" spans="1:18" x14ac:dyDescent="0.2">
      <c r="H5" s="98" t="s">
        <v>108</v>
      </c>
    </row>
    <row r="6" spans="1:18" ht="13.5" thickBot="1" x14ac:dyDescent="0.25">
      <c r="B6" s="94">
        <f>VAC_Optim_Scenario!$G$14</f>
        <v>0.7</v>
      </c>
      <c r="C6" s="94">
        <f>VAC_Optim_Scenario!$H$14</f>
        <v>1.3</v>
      </c>
    </row>
    <row r="7" spans="1:18" ht="27.75" customHeight="1" x14ac:dyDescent="0.2">
      <c r="A7" s="452" t="s">
        <v>8</v>
      </c>
      <c r="B7" s="457" t="s">
        <v>9</v>
      </c>
      <c r="C7" s="458"/>
      <c r="D7" s="459" t="s">
        <v>12</v>
      </c>
      <c r="E7" s="460"/>
      <c r="F7" s="461"/>
      <c r="G7" s="457" t="s">
        <v>124</v>
      </c>
      <c r="H7" s="457"/>
      <c r="I7" s="462"/>
      <c r="J7" s="98" t="s">
        <v>125</v>
      </c>
    </row>
    <row r="8" spans="1:18" ht="28.35" customHeight="1" x14ac:dyDescent="0.2">
      <c r="A8" s="456"/>
      <c r="B8" s="119" t="s">
        <v>10</v>
      </c>
      <c r="C8" s="17" t="s">
        <v>11</v>
      </c>
      <c r="D8" s="19" t="s">
        <v>20</v>
      </c>
      <c r="E8" s="119" t="s">
        <v>21</v>
      </c>
      <c r="F8" s="81" t="s">
        <v>117</v>
      </c>
      <c r="G8" s="118" t="s">
        <v>22</v>
      </c>
      <c r="H8" s="119" t="s">
        <v>23</v>
      </c>
      <c r="I8" s="88" t="s">
        <v>123</v>
      </c>
    </row>
    <row r="9" spans="1:18" ht="14.45" customHeight="1" thickBot="1" x14ac:dyDescent="0.25">
      <c r="A9" s="453"/>
      <c r="B9" s="95" t="e">
        <f>VAC_Optim_Scenario!#REF!</f>
        <v>#REF!</v>
      </c>
      <c r="C9" s="95" t="e">
        <f>VAC_Optim_Scenario!#REF!</f>
        <v>#REF!</v>
      </c>
      <c r="D9" s="68" t="e">
        <f>VAC_Optim_Scenario!#REF!</f>
        <v>#REF!</v>
      </c>
      <c r="E9" s="84" t="e">
        <f>((($R$12/(1+EXP($P$12+$Q$12*D9)))-1) - ($F$12-$C$12))*$I$12</f>
        <v>#REF!</v>
      </c>
      <c r="F9" s="89" t="e">
        <f>E9*$G$12</f>
        <v>#REF!</v>
      </c>
      <c r="G9" s="95" t="e">
        <f>VAC_Optim_Scenario!#REF!</f>
        <v>#REF!</v>
      </c>
      <c r="H9" s="85" t="e">
        <f>((($R$12/(1+EXP($P$12+$Q$12*G9)))-1) - ($F$12-$C$12))*$I$12</f>
        <v>#REF!</v>
      </c>
      <c r="I9" s="90" t="e">
        <f>H9*$G$12</f>
        <v>#REF!</v>
      </c>
      <c r="J9" s="87" t="e">
        <f>G9/I9</f>
        <v>#REF!</v>
      </c>
      <c r="K9" s="98" t="s">
        <v>183</v>
      </c>
    </row>
    <row r="10" spans="1:18" ht="13.5" thickBot="1" x14ac:dyDescent="0.25"/>
    <row r="11" spans="1:18" ht="51.6" customHeight="1" x14ac:dyDescent="0.2">
      <c r="A11" s="452" t="s">
        <v>15</v>
      </c>
      <c r="B11" s="123" t="s">
        <v>16</v>
      </c>
      <c r="C11" s="123" t="s">
        <v>17</v>
      </c>
      <c r="D11" s="123" t="s">
        <v>18</v>
      </c>
      <c r="E11" s="123" t="s">
        <v>19</v>
      </c>
      <c r="F11" s="124" t="s">
        <v>109</v>
      </c>
      <c r="G11" s="125" t="s">
        <v>118</v>
      </c>
      <c r="H11" s="123" t="s">
        <v>119</v>
      </c>
      <c r="I11" s="92" t="s">
        <v>122</v>
      </c>
      <c r="K11" s="444" t="s">
        <v>25</v>
      </c>
      <c r="L11" s="123" t="s">
        <v>110</v>
      </c>
      <c r="M11" s="123" t="s">
        <v>111</v>
      </c>
      <c r="N11" s="123" t="s">
        <v>112</v>
      </c>
      <c r="O11" s="123" t="s">
        <v>113</v>
      </c>
      <c r="P11" s="123" t="s">
        <v>26</v>
      </c>
      <c r="Q11" s="123" t="s">
        <v>27</v>
      </c>
      <c r="R11" s="124" t="s">
        <v>28</v>
      </c>
    </row>
    <row r="12" spans="1:18" ht="15" customHeight="1" thickBot="1" x14ac:dyDescent="0.25">
      <c r="A12" s="453"/>
      <c r="B12" s="95">
        <v>3269319</v>
      </c>
      <c r="C12" s="95">
        <v>54924.559200000003</v>
      </c>
      <c r="D12" s="95">
        <v>0</v>
      </c>
      <c r="E12" s="95">
        <v>178010.42170690201</v>
      </c>
      <c r="F12" s="95">
        <v>11867361.4471268</v>
      </c>
      <c r="G12" s="91">
        <f>VAC_Optim_Scenario!$D$33</f>
        <v>1</v>
      </c>
      <c r="H12" s="71">
        <f>C12*G12</f>
        <v>54924.559200000003</v>
      </c>
      <c r="I12" s="115" t="e">
        <f>VAC_Optim_Scenario!#REF!</f>
        <v>#REF!</v>
      </c>
      <c r="K12" s="445"/>
      <c r="L12" s="71">
        <f>F12-C12</f>
        <v>11812436.8879268</v>
      </c>
      <c r="M12" s="71">
        <f>L12+E12</f>
        <v>11990447.309633702</v>
      </c>
      <c r="N12" s="72">
        <f>B12</f>
        <v>3269319</v>
      </c>
      <c r="O12" s="71">
        <f>F12</f>
        <v>11867361.4471268</v>
      </c>
      <c r="P12" s="24">
        <f>LN((($M$12+1)/($L$12+1))-1)</f>
        <v>-4.1950662161299004</v>
      </c>
      <c r="Q12" s="73">
        <f>(LN((($M$12+1)/($O$12+1))-1)-$P$12)/$N$12</f>
        <v>-1.1427421506155515E-7</v>
      </c>
      <c r="R12" s="74">
        <f>M12+1</f>
        <v>11990448.309633702</v>
      </c>
    </row>
    <row r="13" spans="1:18" ht="34.35" customHeight="1" x14ac:dyDescent="0.2">
      <c r="A13" s="446" t="s">
        <v>114</v>
      </c>
      <c r="B13" s="447"/>
      <c r="C13" s="447"/>
      <c r="D13" s="447"/>
      <c r="E13" s="447"/>
      <c r="F13" s="448"/>
      <c r="G13" s="119" t="s">
        <v>150</v>
      </c>
      <c r="H13" s="119" t="s">
        <v>151</v>
      </c>
      <c r="K13" s="446" t="s">
        <v>115</v>
      </c>
      <c r="L13" s="447"/>
      <c r="M13" s="447"/>
      <c r="N13" s="447"/>
      <c r="O13" s="447"/>
      <c r="P13" s="447"/>
      <c r="Q13" s="447"/>
      <c r="R13" s="448"/>
    </row>
    <row r="14" spans="1:18" ht="33.6" customHeight="1" thickBot="1" x14ac:dyDescent="0.25">
      <c r="A14" s="449"/>
      <c r="B14" s="450"/>
      <c r="C14" s="450"/>
      <c r="D14" s="450"/>
      <c r="E14" s="450"/>
      <c r="F14" s="451"/>
      <c r="G14" s="95">
        <f>VAC_Optim_Scenario!I33</f>
        <v>225.94</v>
      </c>
      <c r="H14" s="95">
        <f>VAC_Optim_Scenario!G33</f>
        <v>225.94</v>
      </c>
      <c r="K14" s="449"/>
      <c r="L14" s="450"/>
      <c r="M14" s="450"/>
      <c r="N14" s="450"/>
      <c r="O14" s="450"/>
      <c r="P14" s="450"/>
      <c r="Q14" s="450"/>
      <c r="R14" s="451"/>
    </row>
    <row r="16" spans="1:18" ht="13.5" thickBot="1" x14ac:dyDescent="0.25"/>
    <row r="17" spans="1:8" ht="42.6" customHeight="1" x14ac:dyDescent="0.2">
      <c r="A17" s="444" t="s">
        <v>34</v>
      </c>
      <c r="B17" s="123" t="s">
        <v>32</v>
      </c>
      <c r="C17" s="123" t="s">
        <v>31</v>
      </c>
      <c r="D17" s="124" t="s">
        <v>33</v>
      </c>
      <c r="F17" s="82"/>
      <c r="G17" s="82"/>
      <c r="H17" s="83"/>
    </row>
    <row r="18" spans="1:8" ht="23.45" customHeight="1" thickBot="1" x14ac:dyDescent="0.25">
      <c r="A18" s="445"/>
      <c r="B18" s="75">
        <v>0</v>
      </c>
      <c r="C18" s="76">
        <v>4000000</v>
      </c>
      <c r="D18" s="26">
        <v>20</v>
      </c>
    </row>
    <row r="20" spans="1:8" x14ac:dyDescent="0.2">
      <c r="A20" s="425" t="s">
        <v>37</v>
      </c>
      <c r="B20" s="425"/>
      <c r="C20" s="425"/>
    </row>
    <row r="21" spans="1:8" ht="25.5" x14ac:dyDescent="0.2">
      <c r="A21" s="119" t="s">
        <v>35</v>
      </c>
      <c r="B21" s="119" t="s">
        <v>120</v>
      </c>
      <c r="C21" s="119" t="s">
        <v>184</v>
      </c>
      <c r="D21" s="98" t="s">
        <v>121</v>
      </c>
      <c r="E21" s="119" t="s">
        <v>152</v>
      </c>
    </row>
    <row r="22" spans="1:8" x14ac:dyDescent="0.2">
      <c r="A22" s="86">
        <f>B18</f>
        <v>0</v>
      </c>
      <c r="B22" s="79" t="e">
        <f t="shared" ref="B22:B42" si="0">((($R$12/(1+EXP($P$12+$Q$12*A22)))-1) - ($F$12-$C$12))*$I$12</f>
        <v>#REF!</v>
      </c>
      <c r="C22" s="79" t="e">
        <f>B22*$G$12</f>
        <v>#REF!</v>
      </c>
      <c r="E22" s="116" t="e">
        <f>B22*$H$14</f>
        <v>#REF!</v>
      </c>
    </row>
    <row r="23" spans="1:8" x14ac:dyDescent="0.2">
      <c r="A23" s="86">
        <f>A22+(($C$18-$B$18)/$D$18)</f>
        <v>200000</v>
      </c>
      <c r="B23" s="79" t="e">
        <f t="shared" si="0"/>
        <v>#REF!</v>
      </c>
      <c r="C23" s="79" t="e">
        <f t="shared" ref="C23:C42" si="1">B23*$G$12</f>
        <v>#REF!</v>
      </c>
      <c r="D23" s="98" t="e">
        <f>(B23-B22)/A23</f>
        <v>#REF!</v>
      </c>
      <c r="E23" s="116" t="e">
        <f t="shared" ref="E23:E42" si="2">B23*$H$14</f>
        <v>#REF!</v>
      </c>
    </row>
    <row r="24" spans="1:8" x14ac:dyDescent="0.2">
      <c r="A24" s="86">
        <f t="shared" ref="A24:A42" si="3">A23+(($C$18-$B$18)/$D$18)</f>
        <v>400000</v>
      </c>
      <c r="B24" s="79" t="e">
        <f t="shared" si="0"/>
        <v>#REF!</v>
      </c>
      <c r="C24" s="79" t="e">
        <f t="shared" si="1"/>
        <v>#REF!</v>
      </c>
      <c r="D24" s="98" t="e">
        <f t="shared" ref="D24:D42" si="4">(B24-B23)/A24</f>
        <v>#REF!</v>
      </c>
      <c r="E24" s="116" t="e">
        <f t="shared" si="2"/>
        <v>#REF!</v>
      </c>
    </row>
    <row r="25" spans="1:8" x14ac:dyDescent="0.2">
      <c r="A25" s="86">
        <f t="shared" si="3"/>
        <v>600000</v>
      </c>
      <c r="B25" s="79" t="e">
        <f t="shared" si="0"/>
        <v>#REF!</v>
      </c>
      <c r="C25" s="79" t="e">
        <f t="shared" si="1"/>
        <v>#REF!</v>
      </c>
      <c r="D25" s="98" t="e">
        <f t="shared" si="4"/>
        <v>#REF!</v>
      </c>
      <c r="E25" s="116" t="e">
        <f t="shared" si="2"/>
        <v>#REF!</v>
      </c>
    </row>
    <row r="26" spans="1:8" x14ac:dyDescent="0.2">
      <c r="A26" s="86">
        <f t="shared" si="3"/>
        <v>800000</v>
      </c>
      <c r="B26" s="79" t="e">
        <f t="shared" si="0"/>
        <v>#REF!</v>
      </c>
      <c r="C26" s="79" t="e">
        <f t="shared" si="1"/>
        <v>#REF!</v>
      </c>
      <c r="D26" s="98" t="e">
        <f t="shared" si="4"/>
        <v>#REF!</v>
      </c>
      <c r="E26" s="116" t="e">
        <f t="shared" si="2"/>
        <v>#REF!</v>
      </c>
    </row>
    <row r="27" spans="1:8" x14ac:dyDescent="0.2">
      <c r="A27" s="86">
        <f t="shared" si="3"/>
        <v>1000000</v>
      </c>
      <c r="B27" s="79" t="e">
        <f t="shared" si="0"/>
        <v>#REF!</v>
      </c>
      <c r="C27" s="79" t="e">
        <f t="shared" si="1"/>
        <v>#REF!</v>
      </c>
      <c r="D27" s="98" t="e">
        <f t="shared" si="4"/>
        <v>#REF!</v>
      </c>
      <c r="E27" s="116" t="e">
        <f t="shared" si="2"/>
        <v>#REF!</v>
      </c>
    </row>
    <row r="28" spans="1:8" x14ac:dyDescent="0.2">
      <c r="A28" s="86">
        <f t="shared" si="3"/>
        <v>1200000</v>
      </c>
      <c r="B28" s="79" t="e">
        <f t="shared" si="0"/>
        <v>#REF!</v>
      </c>
      <c r="C28" s="79" t="e">
        <f t="shared" si="1"/>
        <v>#REF!</v>
      </c>
      <c r="D28" s="98" t="e">
        <f t="shared" si="4"/>
        <v>#REF!</v>
      </c>
      <c r="E28" s="116" t="e">
        <f t="shared" si="2"/>
        <v>#REF!</v>
      </c>
    </row>
    <row r="29" spans="1:8" x14ac:dyDescent="0.2">
      <c r="A29" s="86">
        <f t="shared" si="3"/>
        <v>1400000</v>
      </c>
      <c r="B29" s="79" t="e">
        <f t="shared" si="0"/>
        <v>#REF!</v>
      </c>
      <c r="C29" s="79" t="e">
        <f t="shared" si="1"/>
        <v>#REF!</v>
      </c>
      <c r="D29" s="98" t="e">
        <f t="shared" si="4"/>
        <v>#REF!</v>
      </c>
      <c r="E29" s="116" t="e">
        <f t="shared" si="2"/>
        <v>#REF!</v>
      </c>
    </row>
    <row r="30" spans="1:8" x14ac:dyDescent="0.2">
      <c r="A30" s="86">
        <f t="shared" si="3"/>
        <v>1600000</v>
      </c>
      <c r="B30" s="79" t="e">
        <f t="shared" si="0"/>
        <v>#REF!</v>
      </c>
      <c r="C30" s="79" t="e">
        <f t="shared" si="1"/>
        <v>#REF!</v>
      </c>
      <c r="D30" s="98" t="e">
        <f t="shared" si="4"/>
        <v>#REF!</v>
      </c>
      <c r="E30" s="116" t="e">
        <f t="shared" si="2"/>
        <v>#REF!</v>
      </c>
    </row>
    <row r="31" spans="1:8" x14ac:dyDescent="0.2">
      <c r="A31" s="86">
        <f t="shared" si="3"/>
        <v>1800000</v>
      </c>
      <c r="B31" s="79" t="e">
        <f t="shared" si="0"/>
        <v>#REF!</v>
      </c>
      <c r="C31" s="79" t="e">
        <f t="shared" si="1"/>
        <v>#REF!</v>
      </c>
      <c r="D31" s="98" t="e">
        <f t="shared" si="4"/>
        <v>#REF!</v>
      </c>
      <c r="E31" s="116" t="e">
        <f t="shared" si="2"/>
        <v>#REF!</v>
      </c>
    </row>
    <row r="32" spans="1:8" x14ac:dyDescent="0.2">
      <c r="A32" s="86">
        <f t="shared" si="3"/>
        <v>2000000</v>
      </c>
      <c r="B32" s="79" t="e">
        <f t="shared" si="0"/>
        <v>#REF!</v>
      </c>
      <c r="C32" s="79" t="e">
        <f t="shared" si="1"/>
        <v>#REF!</v>
      </c>
      <c r="D32" s="98" t="e">
        <f t="shared" si="4"/>
        <v>#REF!</v>
      </c>
      <c r="E32" s="116" t="e">
        <f t="shared" si="2"/>
        <v>#REF!</v>
      </c>
    </row>
    <row r="33" spans="1:5" x14ac:dyDescent="0.2">
      <c r="A33" s="86">
        <f t="shared" si="3"/>
        <v>2200000</v>
      </c>
      <c r="B33" s="79" t="e">
        <f t="shared" si="0"/>
        <v>#REF!</v>
      </c>
      <c r="C33" s="79" t="e">
        <f t="shared" si="1"/>
        <v>#REF!</v>
      </c>
      <c r="D33" s="98" t="e">
        <f t="shared" si="4"/>
        <v>#REF!</v>
      </c>
      <c r="E33" s="116" t="e">
        <f t="shared" si="2"/>
        <v>#REF!</v>
      </c>
    </row>
    <row r="34" spans="1:5" x14ac:dyDescent="0.2">
      <c r="A34" s="86">
        <f>A33+(($C$18-$B$18)/$D$18)</f>
        <v>2400000</v>
      </c>
      <c r="B34" s="79" t="e">
        <f t="shared" si="0"/>
        <v>#REF!</v>
      </c>
      <c r="C34" s="79" t="e">
        <f t="shared" si="1"/>
        <v>#REF!</v>
      </c>
      <c r="D34" s="98" t="e">
        <f t="shared" si="4"/>
        <v>#REF!</v>
      </c>
      <c r="E34" s="116" t="e">
        <f t="shared" si="2"/>
        <v>#REF!</v>
      </c>
    </row>
    <row r="35" spans="1:5" x14ac:dyDescent="0.2">
      <c r="A35" s="86">
        <f t="shared" si="3"/>
        <v>2600000</v>
      </c>
      <c r="B35" s="79" t="e">
        <f t="shared" si="0"/>
        <v>#REF!</v>
      </c>
      <c r="C35" s="79" t="e">
        <f t="shared" si="1"/>
        <v>#REF!</v>
      </c>
      <c r="D35" s="98" t="e">
        <f t="shared" si="4"/>
        <v>#REF!</v>
      </c>
      <c r="E35" s="116" t="e">
        <f t="shared" si="2"/>
        <v>#REF!</v>
      </c>
    </row>
    <row r="36" spans="1:5" x14ac:dyDescent="0.2">
      <c r="A36" s="86">
        <f t="shared" si="3"/>
        <v>2800000</v>
      </c>
      <c r="B36" s="79" t="e">
        <f t="shared" si="0"/>
        <v>#REF!</v>
      </c>
      <c r="C36" s="79" t="e">
        <f t="shared" si="1"/>
        <v>#REF!</v>
      </c>
      <c r="D36" s="98" t="e">
        <f t="shared" si="4"/>
        <v>#REF!</v>
      </c>
      <c r="E36" s="116" t="e">
        <f t="shared" si="2"/>
        <v>#REF!</v>
      </c>
    </row>
    <row r="37" spans="1:5" x14ac:dyDescent="0.2">
      <c r="A37" s="86">
        <f t="shared" si="3"/>
        <v>3000000</v>
      </c>
      <c r="B37" s="79" t="e">
        <f t="shared" si="0"/>
        <v>#REF!</v>
      </c>
      <c r="C37" s="79" t="e">
        <f t="shared" si="1"/>
        <v>#REF!</v>
      </c>
      <c r="D37" s="98" t="e">
        <f t="shared" si="4"/>
        <v>#REF!</v>
      </c>
      <c r="E37" s="116" t="e">
        <f t="shared" si="2"/>
        <v>#REF!</v>
      </c>
    </row>
    <row r="38" spans="1:5" x14ac:dyDescent="0.2">
      <c r="A38" s="86">
        <f t="shared" si="3"/>
        <v>3200000</v>
      </c>
      <c r="B38" s="79" t="e">
        <f t="shared" si="0"/>
        <v>#REF!</v>
      </c>
      <c r="C38" s="79" t="e">
        <f t="shared" si="1"/>
        <v>#REF!</v>
      </c>
      <c r="D38" s="98" t="e">
        <f t="shared" si="4"/>
        <v>#REF!</v>
      </c>
      <c r="E38" s="116" t="e">
        <f t="shared" si="2"/>
        <v>#REF!</v>
      </c>
    </row>
    <row r="39" spans="1:5" x14ac:dyDescent="0.2">
      <c r="A39" s="86">
        <f t="shared" si="3"/>
        <v>3400000</v>
      </c>
      <c r="B39" s="79" t="e">
        <f t="shared" si="0"/>
        <v>#REF!</v>
      </c>
      <c r="C39" s="79" t="e">
        <f t="shared" si="1"/>
        <v>#REF!</v>
      </c>
      <c r="D39" s="98" t="e">
        <f t="shared" si="4"/>
        <v>#REF!</v>
      </c>
      <c r="E39" s="116" t="e">
        <f t="shared" si="2"/>
        <v>#REF!</v>
      </c>
    </row>
    <row r="40" spans="1:5" x14ac:dyDescent="0.2">
      <c r="A40" s="86">
        <f t="shared" si="3"/>
        <v>3600000</v>
      </c>
      <c r="B40" s="79" t="e">
        <f t="shared" si="0"/>
        <v>#REF!</v>
      </c>
      <c r="C40" s="79" t="e">
        <f t="shared" si="1"/>
        <v>#REF!</v>
      </c>
      <c r="D40" s="98" t="e">
        <f t="shared" si="4"/>
        <v>#REF!</v>
      </c>
      <c r="E40" s="116" t="e">
        <f t="shared" si="2"/>
        <v>#REF!</v>
      </c>
    </row>
    <row r="41" spans="1:5" x14ac:dyDescent="0.2">
      <c r="A41" s="86">
        <f>A40+(($C$18-$B$18)/$D$18)</f>
        <v>3800000</v>
      </c>
      <c r="B41" s="79" t="e">
        <f t="shared" si="0"/>
        <v>#REF!</v>
      </c>
      <c r="C41" s="79" t="e">
        <f t="shared" si="1"/>
        <v>#REF!</v>
      </c>
      <c r="D41" s="98" t="e">
        <f t="shared" si="4"/>
        <v>#REF!</v>
      </c>
      <c r="E41" s="116" t="e">
        <f t="shared" si="2"/>
        <v>#REF!</v>
      </c>
    </row>
    <row r="42" spans="1:5" x14ac:dyDescent="0.2">
      <c r="A42" s="86">
        <f t="shared" si="3"/>
        <v>4000000</v>
      </c>
      <c r="B42" s="79" t="e">
        <f t="shared" si="0"/>
        <v>#REF!</v>
      </c>
      <c r="C42" s="79" t="e">
        <f t="shared" si="1"/>
        <v>#REF!</v>
      </c>
      <c r="D42" s="98" t="e">
        <f t="shared" si="4"/>
        <v>#REF!</v>
      </c>
      <c r="E42" s="116" t="e">
        <f t="shared" si="2"/>
        <v>#REF!</v>
      </c>
    </row>
  </sheetData>
  <mergeCells count="11">
    <mergeCell ref="B4:F4"/>
    <mergeCell ref="A7:A9"/>
    <mergeCell ref="B7:C7"/>
    <mergeCell ref="D7:F7"/>
    <mergeCell ref="G7:I7"/>
    <mergeCell ref="K11:K12"/>
    <mergeCell ref="A13:F14"/>
    <mergeCell ref="K13:R14"/>
    <mergeCell ref="A17:A18"/>
    <mergeCell ref="A20:C20"/>
    <mergeCell ref="A11:A12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B449D5-F329-4816-A329-D500E3596889}">
  <sheetPr codeName="Sheet19">
    <tabColor theme="3" tint="0.79998168889431442"/>
  </sheetPr>
  <dimension ref="A1:R42"/>
  <sheetViews>
    <sheetView topLeftCell="A21" workbookViewId="0">
      <selection activeCell="E22" activeCellId="1" sqref="C22:C42 E22:E42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5703125" style="98" customWidth="1"/>
    <col min="5" max="5" width="14.5703125" style="98" customWidth="1"/>
    <col min="6" max="6" width="12.42578125" style="98" customWidth="1"/>
    <col min="7" max="7" width="12" style="98" customWidth="1"/>
    <col min="8" max="10" width="10.42578125" style="98" customWidth="1"/>
    <col min="11" max="11" width="14.42578125" style="98" bestFit="1" customWidth="1"/>
    <col min="12" max="13" width="12" style="98" bestFit="1" customWidth="1"/>
    <col min="14" max="14" width="12.5703125" style="98" customWidth="1"/>
    <col min="15" max="15" width="9.5703125" style="98" bestFit="1" customWidth="1"/>
    <col min="16" max="16" width="8.85546875" style="98"/>
    <col min="17" max="18" width="10.425781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240</v>
      </c>
    </row>
    <row r="2" spans="1:18" x14ac:dyDescent="0.2">
      <c r="A2" s="7" t="s">
        <v>2</v>
      </c>
      <c r="B2" s="8" t="s">
        <v>231</v>
      </c>
      <c r="C2" s="9" t="s">
        <v>4</v>
      </c>
      <c r="D2" s="8" t="s">
        <v>6</v>
      </c>
      <c r="E2" s="9" t="s">
        <v>116</v>
      </c>
      <c r="F2" s="10" t="s">
        <v>163</v>
      </c>
      <c r="H2" s="277" t="s">
        <v>102</v>
      </c>
      <c r="I2" s="278"/>
      <c r="J2" s="278"/>
      <c r="K2" s="278"/>
      <c r="L2" s="279"/>
    </row>
    <row r="3" spans="1:18" ht="13.5" thickBot="1" x14ac:dyDescent="0.25">
      <c r="A3" s="11" t="s">
        <v>3</v>
      </c>
      <c r="B3" s="12" t="s">
        <v>239</v>
      </c>
      <c r="C3" s="13" t="s">
        <v>5</v>
      </c>
      <c r="D3" s="12" t="s">
        <v>163</v>
      </c>
      <c r="E3" s="13" t="s">
        <v>104</v>
      </c>
      <c r="F3" s="14" t="s">
        <v>165</v>
      </c>
    </row>
    <row r="4" spans="1:18" ht="15" customHeight="1" thickBot="1" x14ac:dyDescent="0.25">
      <c r="A4" s="80" t="s">
        <v>38</v>
      </c>
      <c r="B4" s="454" t="s">
        <v>106</v>
      </c>
      <c r="C4" s="454"/>
      <c r="D4" s="454"/>
      <c r="E4" s="454"/>
      <c r="F4" s="455"/>
      <c r="H4" s="98" t="s">
        <v>107</v>
      </c>
    </row>
    <row r="5" spans="1:18" x14ac:dyDescent="0.2">
      <c r="H5" s="98" t="s">
        <v>166</v>
      </c>
    </row>
    <row r="6" spans="1:18" ht="13.5" thickBot="1" x14ac:dyDescent="0.25">
      <c r="B6" s="94">
        <f>VAC_Optim_Scenario!$G$14</f>
        <v>0.7</v>
      </c>
      <c r="C6" s="94">
        <f>VAC_Optim_Scenario!$H$14</f>
        <v>1.3</v>
      </c>
    </row>
    <row r="7" spans="1:18" ht="27.75" customHeight="1" x14ac:dyDescent="0.2">
      <c r="A7" s="452" t="s">
        <v>8</v>
      </c>
      <c r="B7" s="457" t="s">
        <v>9</v>
      </c>
      <c r="C7" s="458"/>
      <c r="D7" s="459" t="s">
        <v>12</v>
      </c>
      <c r="E7" s="460"/>
      <c r="F7" s="461"/>
      <c r="G7" s="457" t="s">
        <v>124</v>
      </c>
      <c r="H7" s="457"/>
      <c r="I7" s="462"/>
      <c r="J7" s="98" t="s">
        <v>125</v>
      </c>
    </row>
    <row r="8" spans="1:18" ht="28.35" customHeight="1" x14ac:dyDescent="0.2">
      <c r="A8" s="456"/>
      <c r="B8" s="276" t="s">
        <v>10</v>
      </c>
      <c r="C8" s="17" t="s">
        <v>11</v>
      </c>
      <c r="D8" s="19" t="s">
        <v>20</v>
      </c>
      <c r="E8" s="276" t="s">
        <v>21</v>
      </c>
      <c r="F8" s="81" t="s">
        <v>117</v>
      </c>
      <c r="G8" s="280" t="s">
        <v>22</v>
      </c>
      <c r="H8" s="276" t="s">
        <v>23</v>
      </c>
      <c r="I8" s="88" t="s">
        <v>123</v>
      </c>
    </row>
    <row r="9" spans="1:18" ht="14.45" customHeight="1" thickBot="1" x14ac:dyDescent="0.25">
      <c r="A9" s="453"/>
      <c r="B9" s="95">
        <f>VAC_Optim_Scenario!G26</f>
        <v>1688377.5999999999</v>
      </c>
      <c r="C9" s="95">
        <f>VAC_Optim_Scenario!H26</f>
        <v>3135558.4</v>
      </c>
      <c r="D9" s="68">
        <f>VAC_Optim_Scenario!I26</f>
        <v>1688377.6</v>
      </c>
      <c r="E9" s="84">
        <f>((($R$12/(1+EXP($P$12+$Q$12*D9)))-1) - ($F$12-$C$12))*$I$12</f>
        <v>13676.790074867196</v>
      </c>
      <c r="F9" s="89">
        <f>E9*$G$12</f>
        <v>13676.790074867196</v>
      </c>
      <c r="G9" s="95">
        <f>VAC_Optim_Scenario!E26</f>
        <v>2411968</v>
      </c>
      <c r="H9" s="85">
        <f>((($R$12/(1+EXP($P$12+$Q$12*G9)))-1) - ($F$12-$C$12))*$I$12</f>
        <v>18205.929821531288</v>
      </c>
      <c r="I9" s="90">
        <f>H9*$G$12</f>
        <v>18205.929821531288</v>
      </c>
      <c r="J9" s="87">
        <f>G9/I9</f>
        <v>132.48254956731077</v>
      </c>
      <c r="K9" s="98" t="s">
        <v>167</v>
      </c>
    </row>
    <row r="10" spans="1:18" ht="13.5" thickBot="1" x14ac:dyDescent="0.25"/>
    <row r="11" spans="1:18" ht="51.6" customHeight="1" x14ac:dyDescent="0.2">
      <c r="A11" s="452" t="s">
        <v>15</v>
      </c>
      <c r="B11" s="282" t="s">
        <v>16</v>
      </c>
      <c r="C11" s="282" t="s">
        <v>17</v>
      </c>
      <c r="D11" s="282" t="s">
        <v>18</v>
      </c>
      <c r="E11" s="282" t="s">
        <v>19</v>
      </c>
      <c r="F11" s="283" t="s">
        <v>109</v>
      </c>
      <c r="G11" s="281" t="s">
        <v>168</v>
      </c>
      <c r="H11" s="282" t="s">
        <v>119</v>
      </c>
      <c r="I11" s="92" t="s">
        <v>122</v>
      </c>
      <c r="K11" s="444" t="s">
        <v>25</v>
      </c>
      <c r="L11" s="282" t="s">
        <v>110</v>
      </c>
      <c r="M11" s="282" t="s">
        <v>111</v>
      </c>
      <c r="N11" s="282" t="s">
        <v>112</v>
      </c>
      <c r="O11" s="282" t="s">
        <v>113</v>
      </c>
      <c r="P11" s="282" t="s">
        <v>26</v>
      </c>
      <c r="Q11" s="282" t="s">
        <v>27</v>
      </c>
      <c r="R11" s="283" t="s">
        <v>28</v>
      </c>
    </row>
    <row r="12" spans="1:18" ht="15" customHeight="1" thickBot="1" x14ac:dyDescent="0.25">
      <c r="A12" s="453"/>
      <c r="B12" s="319">
        <f>'[10]HCC PHARMACY SCurve'!$B$12</f>
        <v>2411882</v>
      </c>
      <c r="C12" s="154">
        <f>'[10]HCC PHARMACY SCurve'!$C$12</f>
        <v>18205.431530494821</v>
      </c>
      <c r="D12" s="154">
        <f>'[10]HCC PHARMACY SCurve'!$D$12</f>
        <v>0</v>
      </c>
      <c r="E12" s="154">
        <f>'[10]HCC PHARMACY SCurve'!$E$12</f>
        <v>45513.578826237055</v>
      </c>
      <c r="F12" s="154">
        <f>'[10]HCC PHARMACY SCurve'!$F$12</f>
        <v>4647854</v>
      </c>
      <c r="G12" s="156">
        <f>VAC_Optim_Scenario!$D$33</f>
        <v>1</v>
      </c>
      <c r="H12" s="71">
        <f>C12*G12</f>
        <v>18205.431530494821</v>
      </c>
      <c r="I12" s="320">
        <f>VAC_Optim_Scenario!D26</f>
        <v>1</v>
      </c>
      <c r="K12" s="445"/>
      <c r="L12" s="71">
        <f>F12-C12</f>
        <v>4629648.5684695048</v>
      </c>
      <c r="M12" s="71">
        <f>L12+E12</f>
        <v>4675162.1472957423</v>
      </c>
      <c r="N12" s="72">
        <f>B12</f>
        <v>2411882</v>
      </c>
      <c r="O12" s="71">
        <f>F12</f>
        <v>4647854</v>
      </c>
      <c r="P12" s="24">
        <f>LN((($M$12+1)/($L$12+1))-1)</f>
        <v>-4.6222257398849491</v>
      </c>
      <c r="Q12" s="73">
        <f>(LN((($M$12+1)/($O$12+1))-1)-$P$12)/$N$12</f>
        <v>-2.1342265854525906E-7</v>
      </c>
      <c r="R12" s="74">
        <f>M12+1</f>
        <v>4675163.1472957423</v>
      </c>
    </row>
    <row r="13" spans="1:18" ht="34.35" customHeight="1" x14ac:dyDescent="0.2">
      <c r="A13" s="446" t="s">
        <v>169</v>
      </c>
      <c r="B13" s="447"/>
      <c r="C13" s="447"/>
      <c r="D13" s="447"/>
      <c r="E13" s="447"/>
      <c r="F13" s="448"/>
      <c r="G13" s="276" t="s">
        <v>150</v>
      </c>
      <c r="H13" s="276" t="s">
        <v>151</v>
      </c>
      <c r="K13" s="446" t="s">
        <v>115</v>
      </c>
      <c r="L13" s="447"/>
      <c r="M13" s="447"/>
      <c r="N13" s="447"/>
      <c r="O13" s="447"/>
      <c r="P13" s="447"/>
      <c r="Q13" s="447"/>
      <c r="R13" s="448"/>
    </row>
    <row r="14" spans="1:18" ht="33.6" customHeight="1" thickBot="1" x14ac:dyDescent="0.25">
      <c r="A14" s="449"/>
      <c r="B14" s="450"/>
      <c r="C14" s="450"/>
      <c r="D14" s="450"/>
      <c r="E14" s="450"/>
      <c r="F14" s="451"/>
      <c r="G14" s="95">
        <f>VAC_Optim_Scenario!$I$33</f>
        <v>225.94</v>
      </c>
      <c r="H14" s="95">
        <f>VAC_Optim_Scenario!$F$33</f>
        <v>225.94</v>
      </c>
      <c r="K14" s="449"/>
      <c r="L14" s="450"/>
      <c r="M14" s="450"/>
      <c r="N14" s="450"/>
      <c r="O14" s="450"/>
      <c r="P14" s="450"/>
      <c r="Q14" s="450"/>
      <c r="R14" s="451"/>
    </row>
    <row r="16" spans="1:18" ht="13.5" thickBot="1" x14ac:dyDescent="0.25"/>
    <row r="17" spans="1:8" ht="42.6" customHeight="1" x14ac:dyDescent="0.2">
      <c r="A17" s="444" t="s">
        <v>34</v>
      </c>
      <c r="B17" s="282" t="s">
        <v>32</v>
      </c>
      <c r="C17" s="282" t="s">
        <v>31</v>
      </c>
      <c r="D17" s="283" t="s">
        <v>33</v>
      </c>
      <c r="F17" s="82"/>
      <c r="G17" s="82"/>
      <c r="H17" s="83"/>
    </row>
    <row r="18" spans="1:8" ht="23.45" customHeight="1" thickBot="1" x14ac:dyDescent="0.25">
      <c r="A18" s="445"/>
      <c r="B18" s="75">
        <v>0</v>
      </c>
      <c r="C18" s="76">
        <v>4000000</v>
      </c>
      <c r="D18" s="26">
        <v>20</v>
      </c>
    </row>
    <row r="20" spans="1:8" x14ac:dyDescent="0.2">
      <c r="A20" s="425" t="s">
        <v>37</v>
      </c>
      <c r="B20" s="425"/>
      <c r="C20" s="425"/>
    </row>
    <row r="21" spans="1:8" ht="25.5" x14ac:dyDescent="0.2">
      <c r="A21" s="276" t="s">
        <v>35</v>
      </c>
      <c r="B21" s="276" t="s">
        <v>170</v>
      </c>
      <c r="C21" s="276" t="s">
        <v>171</v>
      </c>
      <c r="D21" s="98" t="s">
        <v>172</v>
      </c>
      <c r="E21" s="276" t="s">
        <v>152</v>
      </c>
    </row>
    <row r="22" spans="1:8" x14ac:dyDescent="0.2">
      <c r="A22" s="86">
        <f>B18</f>
        <v>0</v>
      </c>
      <c r="B22" s="79">
        <f t="shared" ref="B22:B42" si="0">((($R$12/(1+EXP($P$12+$Q$12*A22)))-1) - ($F$12-$C$12))*$I$12</f>
        <v>0</v>
      </c>
      <c r="C22" s="79">
        <f>B22*$G$12</f>
        <v>0</v>
      </c>
      <c r="E22" s="116">
        <f>B22*$H$14</f>
        <v>0</v>
      </c>
    </row>
    <row r="23" spans="1:8" x14ac:dyDescent="0.2">
      <c r="A23" s="86">
        <f>A22+(($C$18-$B$18)/$D$18)</f>
        <v>200000</v>
      </c>
      <c r="B23" s="79">
        <f t="shared" si="0"/>
        <v>1884.0989294061437</v>
      </c>
      <c r="C23" s="79">
        <f t="shared" ref="C23:C42" si="1">B23*$G$12</f>
        <v>1884.0989294061437</v>
      </c>
      <c r="D23" s="98">
        <f>(B23-B22)/A23</f>
        <v>9.4204946470307187E-3</v>
      </c>
      <c r="E23" s="116">
        <f t="shared" ref="E23:E42" si="2">B23*$H$14</f>
        <v>425693.3121100241</v>
      </c>
    </row>
    <row r="24" spans="1:8" x14ac:dyDescent="0.2">
      <c r="A24" s="86">
        <f t="shared" ref="A24:A42" si="3">A23+(($C$18-$B$18)/$D$18)</f>
        <v>400000</v>
      </c>
      <c r="B24" s="79">
        <f t="shared" si="0"/>
        <v>3690.9075000444427</v>
      </c>
      <c r="C24" s="79">
        <f t="shared" si="1"/>
        <v>3690.9075000444427</v>
      </c>
      <c r="D24" s="98">
        <f t="shared" ref="D24:D42" si="4">(B24-B23)/A24</f>
        <v>4.5170214265957478E-3</v>
      </c>
      <c r="E24" s="116">
        <f t="shared" si="2"/>
        <v>833923.64056004141</v>
      </c>
    </row>
    <row r="25" spans="1:8" x14ac:dyDescent="0.2">
      <c r="A25" s="86">
        <f t="shared" si="3"/>
        <v>600000</v>
      </c>
      <c r="B25" s="79">
        <f t="shared" si="0"/>
        <v>5423.5391706861556</v>
      </c>
      <c r="C25" s="79">
        <f t="shared" si="1"/>
        <v>5423.5391706861556</v>
      </c>
      <c r="D25" s="98">
        <f t="shared" si="4"/>
        <v>2.8877194510695215E-3</v>
      </c>
      <c r="E25" s="116">
        <f t="shared" si="2"/>
        <v>1225394.4402248301</v>
      </c>
    </row>
    <row r="26" spans="1:8" x14ac:dyDescent="0.2">
      <c r="A26" s="86">
        <f t="shared" si="3"/>
        <v>800000</v>
      </c>
      <c r="B26" s="79">
        <f t="shared" si="0"/>
        <v>7084.9866262534633</v>
      </c>
      <c r="C26" s="79">
        <f t="shared" si="1"/>
        <v>7084.9866262534633</v>
      </c>
      <c r="D26" s="98">
        <f t="shared" si="4"/>
        <v>2.0768093194591347E-3</v>
      </c>
      <c r="E26" s="116">
        <f t="shared" si="2"/>
        <v>1600781.8783357076</v>
      </c>
    </row>
    <row r="27" spans="1:8" x14ac:dyDescent="0.2">
      <c r="A27" s="86">
        <f t="shared" si="3"/>
        <v>1000000</v>
      </c>
      <c r="B27" s="79">
        <f t="shared" si="0"/>
        <v>8678.126083179377</v>
      </c>
      <c r="C27" s="79">
        <f t="shared" si="1"/>
        <v>8678.126083179377</v>
      </c>
      <c r="D27" s="98">
        <f t="shared" si="4"/>
        <v>1.5931394569259137E-3</v>
      </c>
      <c r="E27" s="116">
        <f t="shared" si="2"/>
        <v>1960735.8072335485</v>
      </c>
    </row>
    <row r="28" spans="1:8" x14ac:dyDescent="0.2">
      <c r="A28" s="86">
        <f t="shared" si="3"/>
        <v>1200000</v>
      </c>
      <c r="B28" s="79">
        <f t="shared" si="0"/>
        <v>10205.721472941339</v>
      </c>
      <c r="C28" s="79">
        <f t="shared" si="1"/>
        <v>10205.721472941339</v>
      </c>
      <c r="D28" s="98">
        <f t="shared" si="4"/>
        <v>1.2729961581349684E-3</v>
      </c>
      <c r="E28" s="116">
        <f t="shared" si="2"/>
        <v>2305880.7095963662</v>
      </c>
    </row>
    <row r="29" spans="1:8" x14ac:dyDescent="0.2">
      <c r="A29" s="86">
        <f t="shared" si="3"/>
        <v>1400000</v>
      </c>
      <c r="B29" s="79">
        <f t="shared" si="0"/>
        <v>11670.428504428826</v>
      </c>
      <c r="C29" s="79">
        <f t="shared" si="1"/>
        <v>11670.428504428826</v>
      </c>
      <c r="D29" s="98">
        <f t="shared" si="4"/>
        <v>1.0462193082053481E-3</v>
      </c>
      <c r="E29" s="116">
        <f t="shared" si="2"/>
        <v>2636816.6162906489</v>
      </c>
    </row>
    <row r="30" spans="1:8" x14ac:dyDescent="0.2">
      <c r="A30" s="86">
        <f t="shared" si="3"/>
        <v>1600000</v>
      </c>
      <c r="B30" s="79">
        <f t="shared" si="0"/>
        <v>13074.798606074415</v>
      </c>
      <c r="C30" s="79">
        <f t="shared" si="1"/>
        <v>13074.798606074415</v>
      </c>
      <c r="D30" s="98">
        <f t="shared" si="4"/>
        <v>8.7773131352849307E-4</v>
      </c>
      <c r="E30" s="116">
        <f t="shared" si="2"/>
        <v>2954119.9970564535</v>
      </c>
    </row>
    <row r="31" spans="1:8" x14ac:dyDescent="0.2">
      <c r="A31" s="86">
        <f t="shared" si="3"/>
        <v>1800000</v>
      </c>
      <c r="B31" s="79">
        <f t="shared" si="0"/>
        <v>14421.282748956233</v>
      </c>
      <c r="C31" s="79">
        <f t="shared" si="1"/>
        <v>14421.282748956233</v>
      </c>
      <c r="D31" s="98">
        <f t="shared" si="4"/>
        <v>7.4804674604545451E-4</v>
      </c>
      <c r="E31" s="116">
        <f t="shared" si="2"/>
        <v>3258344.6242991714</v>
      </c>
    </row>
    <row r="32" spans="1:8" x14ac:dyDescent="0.2">
      <c r="A32" s="86">
        <f t="shared" si="3"/>
        <v>2000000</v>
      </c>
      <c r="B32" s="79">
        <f t="shared" si="0"/>
        <v>15712.235152327456</v>
      </c>
      <c r="C32" s="79">
        <f t="shared" si="1"/>
        <v>15712.235152327456</v>
      </c>
      <c r="D32" s="98">
        <f t="shared" si="4"/>
        <v>6.4547620168561111E-4</v>
      </c>
      <c r="E32" s="116">
        <f t="shared" si="2"/>
        <v>3550022.4103168654</v>
      </c>
    </row>
    <row r="33" spans="1:5" x14ac:dyDescent="0.2">
      <c r="A33" s="86">
        <f t="shared" si="3"/>
        <v>2200000</v>
      </c>
      <c r="B33" s="79">
        <f t="shared" si="0"/>
        <v>16949.916873184033</v>
      </c>
      <c r="C33" s="79">
        <f t="shared" si="1"/>
        <v>16949.916873184033</v>
      </c>
      <c r="D33" s="98">
        <f t="shared" si="4"/>
        <v>5.6258260038935331E-4</v>
      </c>
      <c r="E33" s="116">
        <f t="shared" si="2"/>
        <v>3829664.2183272005</v>
      </c>
    </row>
    <row r="34" spans="1:5" x14ac:dyDescent="0.2">
      <c r="A34" s="86">
        <f>A33+(($C$18-$B$18)/$D$18)</f>
        <v>2400000</v>
      </c>
      <c r="B34" s="79">
        <f t="shared" si="0"/>
        <v>18136.499281739816</v>
      </c>
      <c r="C34" s="79">
        <f t="shared" si="1"/>
        <v>18136.499281739816</v>
      </c>
      <c r="D34" s="98">
        <f t="shared" si="4"/>
        <v>4.9440933689824304E-4</v>
      </c>
      <c r="E34" s="116">
        <f t="shared" si="2"/>
        <v>4097760.647716294</v>
      </c>
    </row>
    <row r="35" spans="1:5" x14ac:dyDescent="0.2">
      <c r="A35" s="86">
        <f t="shared" si="3"/>
        <v>2600000</v>
      </c>
      <c r="B35" s="79">
        <f t="shared" si="0"/>
        <v>19274.06742475275</v>
      </c>
      <c r="C35" s="79">
        <f t="shared" si="1"/>
        <v>19274.06742475275</v>
      </c>
      <c r="D35" s="98">
        <f t="shared" si="4"/>
        <v>4.3752620885112822E-4</v>
      </c>
      <c r="E35" s="116">
        <f t="shared" si="2"/>
        <v>4354782.7939486364</v>
      </c>
    </row>
    <row r="36" spans="1:5" x14ac:dyDescent="0.2">
      <c r="A36" s="86">
        <f t="shared" si="3"/>
        <v>2800000</v>
      </c>
      <c r="B36" s="79">
        <f t="shared" si="0"/>
        <v>20364.623278812505</v>
      </c>
      <c r="C36" s="79">
        <f t="shared" si="1"/>
        <v>20364.623278812505</v>
      </c>
      <c r="D36" s="98">
        <f t="shared" si="4"/>
        <v>3.8948423359276991E-4</v>
      </c>
      <c r="E36" s="116">
        <f t="shared" si="2"/>
        <v>4601182.9836148974</v>
      </c>
    </row>
    <row r="37" spans="1:5" x14ac:dyDescent="0.2">
      <c r="A37" s="86">
        <f t="shared" si="3"/>
        <v>3000000</v>
      </c>
      <c r="B37" s="79">
        <f t="shared" si="0"/>
        <v>21410.088895815425</v>
      </c>
      <c r="C37" s="79">
        <f t="shared" si="1"/>
        <v>21410.088895815425</v>
      </c>
      <c r="D37" s="98">
        <f t="shared" si="4"/>
        <v>3.4848853900097313E-4</v>
      </c>
      <c r="E37" s="116">
        <f t="shared" si="2"/>
        <v>4837395.4851205368</v>
      </c>
    </row>
    <row r="38" spans="1:5" x14ac:dyDescent="0.2">
      <c r="A38" s="86">
        <f t="shared" si="3"/>
        <v>3200000</v>
      </c>
      <c r="B38" s="79">
        <f t="shared" si="0"/>
        <v>22412.309442908503</v>
      </c>
      <c r="C38" s="79">
        <f t="shared" si="1"/>
        <v>22412.309442908503</v>
      </c>
      <c r="D38" s="98">
        <f t="shared" si="4"/>
        <v>3.1319392096658703E-4</v>
      </c>
      <c r="E38" s="116">
        <f t="shared" si="2"/>
        <v>5063837.1955307471</v>
      </c>
    </row>
    <row r="39" spans="1:5" x14ac:dyDescent="0.2">
      <c r="A39" s="86">
        <f t="shared" si="3"/>
        <v>3400000</v>
      </c>
      <c r="B39" s="79">
        <f t="shared" si="0"/>
        <v>23373.056139308028</v>
      </c>
      <c r="C39" s="79">
        <f t="shared" si="1"/>
        <v>23373.056139308028</v>
      </c>
      <c r="D39" s="98">
        <f t="shared" si="4"/>
        <v>2.8257255776456612E-4</v>
      </c>
      <c r="E39" s="116">
        <f t="shared" si="2"/>
        <v>5280908.3041152554</v>
      </c>
    </row>
    <row r="40" spans="1:5" x14ac:dyDescent="0.2">
      <c r="A40" s="86">
        <f t="shared" si="3"/>
        <v>3600000</v>
      </c>
      <c r="B40" s="79">
        <f t="shared" si="0"/>
        <v>24294.029092384502</v>
      </c>
      <c r="C40" s="79">
        <f t="shared" si="1"/>
        <v>24294.029092384502</v>
      </c>
      <c r="D40" s="98">
        <f t="shared" si="4"/>
        <v>2.5582582029902066E-4</v>
      </c>
      <c r="E40" s="116">
        <f t="shared" si="2"/>
        <v>5488992.9331333544</v>
      </c>
    </row>
    <row r="41" spans="1:5" x14ac:dyDescent="0.2">
      <c r="A41" s="86">
        <f>A40+(($C$18-$B$18)/$D$18)</f>
        <v>3800000</v>
      </c>
      <c r="B41" s="79">
        <f t="shared" si="0"/>
        <v>25176.860035532154</v>
      </c>
      <c r="C41" s="79">
        <f t="shared" si="1"/>
        <v>25176.860035532154</v>
      </c>
      <c r="D41" s="98">
        <f t="shared" si="4"/>
        <v>2.3232393240727681E-4</v>
      </c>
      <c r="E41" s="116">
        <f t="shared" si="2"/>
        <v>5688459.7564281346</v>
      </c>
    </row>
    <row r="42" spans="1:5" x14ac:dyDescent="0.2">
      <c r="A42" s="86">
        <f t="shared" si="3"/>
        <v>4000000</v>
      </c>
      <c r="B42" s="79">
        <f t="shared" si="0"/>
        <v>26023.114970291033</v>
      </c>
      <c r="C42" s="79">
        <f t="shared" si="1"/>
        <v>26023.114970291033</v>
      </c>
      <c r="D42" s="98">
        <f t="shared" si="4"/>
        <v>2.115637336897198E-4</v>
      </c>
      <c r="E42" s="116">
        <f t="shared" si="2"/>
        <v>5879662.5963875558</v>
      </c>
    </row>
  </sheetData>
  <mergeCells count="11">
    <mergeCell ref="B4:F4"/>
    <mergeCell ref="A7:A9"/>
    <mergeCell ref="B7:C7"/>
    <mergeCell ref="D7:F7"/>
    <mergeCell ref="G7:I7"/>
    <mergeCell ref="K11:K12"/>
    <mergeCell ref="A13:F14"/>
    <mergeCell ref="K13:R14"/>
    <mergeCell ref="A17:A18"/>
    <mergeCell ref="A20:C20"/>
    <mergeCell ref="A11:A12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6">
    <tabColor theme="1" tint="4.9989318521683403E-2"/>
  </sheetPr>
  <dimension ref="A1"/>
  <sheetViews>
    <sheetView workbookViewId="0"/>
  </sheetViews>
  <sheetFormatPr defaultRowHeight="15" x14ac:dyDescent="0.25"/>
  <sheetData/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">
    <tabColor theme="1" tint="4.9989318521683403E-2"/>
  </sheetPr>
  <dimension ref="A1:L42"/>
  <sheetViews>
    <sheetView workbookViewId="0">
      <selection activeCell="F16" sqref="F16"/>
    </sheetView>
  </sheetViews>
  <sheetFormatPr defaultColWidth="8.85546875" defaultRowHeight="12.75" x14ac:dyDescent="0.2"/>
  <cols>
    <col min="1" max="1" width="12.140625" style="1" customWidth="1"/>
    <col min="2" max="2" width="10.42578125" style="1" customWidth="1"/>
    <col min="3" max="3" width="11" style="1" customWidth="1"/>
    <col min="4" max="4" width="12.140625" style="1" customWidth="1"/>
    <col min="5" max="5" width="12.42578125" style="1" customWidth="1"/>
    <col min="6" max="6" width="11.140625" style="1" customWidth="1"/>
    <col min="7" max="7" width="12" style="1" customWidth="1"/>
    <col min="8" max="10" width="10.42578125" style="1" customWidth="1"/>
    <col min="11" max="16384" width="8.85546875" style="1"/>
  </cols>
  <sheetData>
    <row r="1" spans="1:12" ht="13.5" thickBot="1" x14ac:dyDescent="0.25">
      <c r="A1" s="6" t="s">
        <v>0</v>
      </c>
      <c r="B1" s="1" t="s">
        <v>1</v>
      </c>
    </row>
    <row r="2" spans="1:12" x14ac:dyDescent="0.2">
      <c r="A2" s="7" t="s">
        <v>2</v>
      </c>
      <c r="B2" s="8" t="s">
        <v>13</v>
      </c>
      <c r="C2" s="9" t="s">
        <v>4</v>
      </c>
      <c r="D2" s="10" t="s">
        <v>6</v>
      </c>
      <c r="F2" s="430" t="s">
        <v>100</v>
      </c>
      <c r="G2" s="431"/>
      <c r="H2" s="431"/>
      <c r="I2" s="431"/>
      <c r="J2" s="431"/>
      <c r="K2" s="431"/>
      <c r="L2" s="432"/>
    </row>
    <row r="3" spans="1:12" ht="13.5" thickBot="1" x14ac:dyDescent="0.25">
      <c r="A3" s="11" t="s">
        <v>3</v>
      </c>
      <c r="B3" s="12" t="s">
        <v>14</v>
      </c>
      <c r="C3" s="13" t="s">
        <v>5</v>
      </c>
      <c r="D3" s="14" t="s">
        <v>7</v>
      </c>
      <c r="F3" s="433" t="s">
        <v>72</v>
      </c>
      <c r="G3" s="434"/>
      <c r="H3" s="434"/>
      <c r="I3" s="434"/>
      <c r="J3" s="434"/>
      <c r="K3" s="434"/>
      <c r="L3" s="435"/>
    </row>
    <row r="4" spans="1:12" ht="13.5" thickBot="1" x14ac:dyDescent="0.25">
      <c r="A4" s="29" t="s">
        <v>38</v>
      </c>
      <c r="B4" s="466" t="s">
        <v>39</v>
      </c>
      <c r="C4" s="466"/>
      <c r="D4" s="467"/>
    </row>
    <row r="6" spans="1:12" ht="13.5" thickBot="1" x14ac:dyDescent="0.25"/>
    <row r="7" spans="1:12" ht="27.75" customHeight="1" x14ac:dyDescent="0.2">
      <c r="A7" s="452" t="s">
        <v>8</v>
      </c>
      <c r="B7" s="457" t="s">
        <v>9</v>
      </c>
      <c r="C7" s="458"/>
      <c r="D7" s="459" t="s">
        <v>12</v>
      </c>
      <c r="E7" s="461"/>
      <c r="F7" s="460" t="s">
        <v>24</v>
      </c>
      <c r="G7" s="474"/>
    </row>
    <row r="8" spans="1:12" ht="25.5" x14ac:dyDescent="0.2">
      <c r="A8" s="456"/>
      <c r="B8" s="3" t="s">
        <v>10</v>
      </c>
      <c r="C8" s="17" t="s">
        <v>11</v>
      </c>
      <c r="D8" s="19" t="s">
        <v>20</v>
      </c>
      <c r="E8" s="17" t="s">
        <v>21</v>
      </c>
      <c r="F8" s="16" t="s">
        <v>22</v>
      </c>
      <c r="G8" s="4" t="s">
        <v>23</v>
      </c>
    </row>
    <row r="9" spans="1:12" ht="13.5" thickBot="1" x14ac:dyDescent="0.25">
      <c r="A9" s="453"/>
      <c r="B9" s="5">
        <v>0</v>
      </c>
      <c r="C9" s="18">
        <v>100</v>
      </c>
      <c r="D9" s="22">
        <v>25</v>
      </c>
      <c r="E9" s="23">
        <f>($J$12/(1+EXP($H$12+$I$12*D9)))-1</f>
        <v>46.443381393398674</v>
      </c>
      <c r="F9" s="20">
        <f>B12</f>
        <v>20</v>
      </c>
      <c r="G9" s="14">
        <f>C12</f>
        <v>30</v>
      </c>
    </row>
    <row r="10" spans="1:12" ht="13.5" thickBot="1" x14ac:dyDescent="0.25"/>
    <row r="11" spans="1:12" x14ac:dyDescent="0.2">
      <c r="A11" s="452" t="s">
        <v>15</v>
      </c>
      <c r="B11" s="21" t="s">
        <v>16</v>
      </c>
      <c r="C11" s="21" t="s">
        <v>17</v>
      </c>
      <c r="D11" s="21" t="s">
        <v>18</v>
      </c>
      <c r="E11" s="15" t="s">
        <v>19</v>
      </c>
      <c r="G11" s="452" t="s">
        <v>25</v>
      </c>
      <c r="H11" s="21" t="s">
        <v>26</v>
      </c>
      <c r="I11" s="21" t="s">
        <v>27</v>
      </c>
      <c r="J11" s="15" t="s">
        <v>28</v>
      </c>
    </row>
    <row r="12" spans="1:12" ht="13.5" thickBot="1" x14ac:dyDescent="0.25">
      <c r="A12" s="453"/>
      <c r="B12" s="12">
        <v>20</v>
      </c>
      <c r="C12" s="12">
        <v>30</v>
      </c>
      <c r="D12" s="12">
        <v>0</v>
      </c>
      <c r="E12" s="14">
        <v>70</v>
      </c>
      <c r="G12" s="453"/>
      <c r="H12" s="24">
        <f>LN((($E$12+1)/($D$12+1))-1)</f>
        <v>4.2484952420493594</v>
      </c>
      <c r="I12" s="24">
        <f>(LN((($E$12+1)/($C$12+1))-1)-$H$12)/$B$12</f>
        <v>-0.19968014962102845</v>
      </c>
      <c r="J12" s="25">
        <f>E12</f>
        <v>70</v>
      </c>
    </row>
    <row r="13" spans="1:12" ht="34.35" customHeight="1" x14ac:dyDescent="0.2">
      <c r="A13" s="446" t="s">
        <v>30</v>
      </c>
      <c r="B13" s="447"/>
      <c r="C13" s="447"/>
      <c r="D13" s="447"/>
      <c r="E13" s="448"/>
      <c r="G13" s="468" t="s">
        <v>29</v>
      </c>
      <c r="H13" s="469"/>
      <c r="I13" s="469"/>
      <c r="J13" s="470"/>
    </row>
    <row r="14" spans="1:12" ht="33.6" customHeight="1" x14ac:dyDescent="0.2">
      <c r="A14" s="449"/>
      <c r="B14" s="450"/>
      <c r="C14" s="450"/>
      <c r="D14" s="450"/>
      <c r="E14" s="451"/>
      <c r="G14" s="471"/>
      <c r="H14" s="472"/>
      <c r="I14" s="472"/>
      <c r="J14" s="473"/>
    </row>
    <row r="16" spans="1:12" ht="13.5" thickBot="1" x14ac:dyDescent="0.25"/>
    <row r="17" spans="1:4" ht="17.100000000000001" customHeight="1" x14ac:dyDescent="0.2">
      <c r="A17" s="444" t="s">
        <v>34</v>
      </c>
      <c r="B17" s="21" t="s">
        <v>32</v>
      </c>
      <c r="C17" s="21" t="s">
        <v>31</v>
      </c>
      <c r="D17" s="15" t="s">
        <v>33</v>
      </c>
    </row>
    <row r="18" spans="1:4" ht="23.45" customHeight="1" thickBot="1" x14ac:dyDescent="0.25">
      <c r="A18" s="445"/>
      <c r="B18" s="12">
        <v>0</v>
      </c>
      <c r="C18" s="12">
        <v>100</v>
      </c>
      <c r="D18" s="26">
        <v>20</v>
      </c>
    </row>
    <row r="20" spans="1:4" x14ac:dyDescent="0.2">
      <c r="A20" s="425" t="s">
        <v>37</v>
      </c>
      <c r="B20" s="425"/>
    </row>
    <row r="21" spans="1:4" x14ac:dyDescent="0.2">
      <c r="A21" s="3" t="s">
        <v>35</v>
      </c>
      <c r="B21" s="3" t="s">
        <v>36</v>
      </c>
    </row>
    <row r="22" spans="1:4" x14ac:dyDescent="0.2">
      <c r="A22" s="2">
        <f>B18</f>
        <v>0</v>
      </c>
      <c r="B22" s="2">
        <f>($J$12/(1+EXP($H$12+$I$12*A22)))-1</f>
        <v>-1.4084507042253946E-2</v>
      </c>
    </row>
    <row r="23" spans="1:4" x14ac:dyDescent="0.2">
      <c r="A23" s="2">
        <f>A22+(($C$18-$B$18)/$D$18)</f>
        <v>5</v>
      </c>
      <c r="B23" s="2">
        <f t="shared" ref="B23:B42" si="0">($J$12/(1+EXP($H$12+$I$12*A23)))-1</f>
        <v>1.6126444390094603</v>
      </c>
    </row>
    <row r="24" spans="1:4" x14ac:dyDescent="0.2">
      <c r="A24" s="2">
        <f t="shared" ref="A24:A42" si="1">A23+(($C$18-$B$18)/$D$18)</f>
        <v>10</v>
      </c>
      <c r="B24" s="2">
        <f t="shared" si="0"/>
        <v>5.6642426174498821</v>
      </c>
    </row>
    <row r="25" spans="1:4" x14ac:dyDescent="0.2">
      <c r="A25" s="2">
        <f t="shared" si="1"/>
        <v>15</v>
      </c>
      <c r="B25" s="2">
        <f t="shared" si="0"/>
        <v>14.549143800281053</v>
      </c>
    </row>
    <row r="26" spans="1:4" x14ac:dyDescent="0.2">
      <c r="A26" s="2">
        <f t="shared" si="1"/>
        <v>20</v>
      </c>
      <c r="B26" s="2">
        <f t="shared" si="0"/>
        <v>29.563380281690133</v>
      </c>
    </row>
    <row r="27" spans="1:4" x14ac:dyDescent="0.2">
      <c r="A27" s="2">
        <f t="shared" si="1"/>
        <v>25</v>
      </c>
      <c r="B27" s="2">
        <f t="shared" si="0"/>
        <v>46.443381393398674</v>
      </c>
    </row>
    <row r="28" spans="1:4" x14ac:dyDescent="0.2">
      <c r="A28" s="2">
        <f t="shared" si="1"/>
        <v>30</v>
      </c>
      <c r="B28" s="2">
        <f t="shared" si="0"/>
        <v>58.565058904816425</v>
      </c>
    </row>
    <row r="29" spans="1:4" x14ac:dyDescent="0.2">
      <c r="A29" s="2">
        <f t="shared" si="1"/>
        <v>35</v>
      </c>
      <c r="B29" s="2">
        <f t="shared" si="0"/>
        <v>64.755462936002587</v>
      </c>
    </row>
    <row r="30" spans="1:4" x14ac:dyDescent="0.2">
      <c r="A30" s="2">
        <f t="shared" si="1"/>
        <v>40</v>
      </c>
      <c r="B30" s="2">
        <f t="shared" si="0"/>
        <v>67.373747640482065</v>
      </c>
    </row>
    <row r="31" spans="1:4" x14ac:dyDescent="0.2">
      <c r="A31" s="2">
        <f t="shared" si="1"/>
        <v>45</v>
      </c>
      <c r="B31" s="2">
        <f t="shared" si="0"/>
        <v>68.391855033022836</v>
      </c>
    </row>
    <row r="32" spans="1:4" x14ac:dyDescent="0.2">
      <c r="A32" s="2">
        <f t="shared" si="1"/>
        <v>50</v>
      </c>
      <c r="B32" s="2">
        <f t="shared" si="0"/>
        <v>68.774681657683672</v>
      </c>
    </row>
    <row r="33" spans="1:2" x14ac:dyDescent="0.2">
      <c r="A33" s="2">
        <f t="shared" si="1"/>
        <v>55</v>
      </c>
      <c r="B33" s="2">
        <f t="shared" si="0"/>
        <v>68.91680823426843</v>
      </c>
    </row>
    <row r="34" spans="1:2" x14ac:dyDescent="0.2">
      <c r="A34" s="2">
        <f>A33+(($C$18-$B$18)/$D$18)</f>
        <v>60</v>
      </c>
      <c r="B34" s="2">
        <f t="shared" si="0"/>
        <v>68.969323452015516</v>
      </c>
    </row>
    <row r="35" spans="1:2" x14ac:dyDescent="0.2">
      <c r="A35" s="2">
        <f t="shared" si="1"/>
        <v>65</v>
      </c>
      <c r="B35" s="2">
        <f t="shared" si="0"/>
        <v>68.988693537060527</v>
      </c>
    </row>
    <row r="36" spans="1:2" x14ac:dyDescent="0.2">
      <c r="A36" s="2">
        <f t="shared" si="1"/>
        <v>70</v>
      </c>
      <c r="B36" s="2">
        <f t="shared" si="0"/>
        <v>68.995833502451546</v>
      </c>
    </row>
    <row r="37" spans="1:2" x14ac:dyDescent="0.2">
      <c r="A37" s="2">
        <f t="shared" si="1"/>
        <v>75</v>
      </c>
      <c r="B37" s="2">
        <f t="shared" si="0"/>
        <v>68.998464720255058</v>
      </c>
    </row>
    <row r="38" spans="1:2" x14ac:dyDescent="0.2">
      <c r="A38" s="2">
        <f t="shared" si="1"/>
        <v>80</v>
      </c>
      <c r="B38" s="2">
        <f t="shared" si="0"/>
        <v>68.999434290332985</v>
      </c>
    </row>
    <row r="39" spans="1:2" x14ac:dyDescent="0.2">
      <c r="A39" s="2">
        <f t="shared" si="1"/>
        <v>85</v>
      </c>
      <c r="B39" s="2">
        <f t="shared" si="0"/>
        <v>68.999791552888652</v>
      </c>
    </row>
    <row r="40" spans="1:2" x14ac:dyDescent="0.2">
      <c r="A40" s="2">
        <f t="shared" si="1"/>
        <v>90</v>
      </c>
      <c r="B40" s="2">
        <f t="shared" si="0"/>
        <v>68.999923193714523</v>
      </c>
    </row>
    <row r="41" spans="1:2" x14ac:dyDescent="0.2">
      <c r="A41" s="2">
        <f>A40+(($C$18-$B$18)/$D$18)</f>
        <v>95</v>
      </c>
      <c r="B41" s="2">
        <f t="shared" si="0"/>
        <v>68.999971699303273</v>
      </c>
    </row>
    <row r="42" spans="1:2" x14ac:dyDescent="0.2">
      <c r="A42" s="2">
        <f t="shared" si="1"/>
        <v>100</v>
      </c>
      <c r="B42" s="2">
        <f t="shared" si="0"/>
        <v>68.999989572089319</v>
      </c>
    </row>
  </sheetData>
  <mergeCells count="13">
    <mergeCell ref="A20:B20"/>
    <mergeCell ref="B4:D4"/>
    <mergeCell ref="F2:L2"/>
    <mergeCell ref="F3:L3"/>
    <mergeCell ref="G13:J14"/>
    <mergeCell ref="A13:E14"/>
    <mergeCell ref="A17:A18"/>
    <mergeCell ref="B7:C7"/>
    <mergeCell ref="A7:A9"/>
    <mergeCell ref="A11:A12"/>
    <mergeCell ref="D7:E7"/>
    <mergeCell ref="F7:G7"/>
    <mergeCell ref="G11:G12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3">
    <tabColor theme="1" tint="4.9989318521683403E-2"/>
  </sheetPr>
  <dimension ref="A1:L43"/>
  <sheetViews>
    <sheetView workbookViewId="0">
      <selection activeCell="G5" sqref="G5"/>
    </sheetView>
  </sheetViews>
  <sheetFormatPr defaultColWidth="8.85546875" defaultRowHeight="12.75" x14ac:dyDescent="0.2"/>
  <cols>
    <col min="1" max="1" width="12.140625" style="1" customWidth="1"/>
    <col min="2" max="2" width="10.42578125" style="1" customWidth="1"/>
    <col min="3" max="3" width="11" style="1" customWidth="1"/>
    <col min="4" max="4" width="12.140625" style="1" customWidth="1"/>
    <col min="5" max="5" width="12.42578125" style="1" customWidth="1"/>
    <col min="6" max="6" width="15.42578125" style="1" customWidth="1"/>
    <col min="7" max="7" width="12" style="1" customWidth="1"/>
    <col min="8" max="10" width="10.42578125" style="1" customWidth="1"/>
    <col min="11" max="16384" width="8.85546875" style="1"/>
  </cols>
  <sheetData>
    <row r="1" spans="1:12" ht="13.5" thickBot="1" x14ac:dyDescent="0.25">
      <c r="A1" s="6" t="s">
        <v>0</v>
      </c>
      <c r="B1" s="1" t="s">
        <v>40</v>
      </c>
    </row>
    <row r="2" spans="1:12" x14ac:dyDescent="0.2">
      <c r="A2" s="7" t="s">
        <v>2</v>
      </c>
      <c r="B2" s="8" t="s">
        <v>13</v>
      </c>
      <c r="C2" s="9" t="s">
        <v>4</v>
      </c>
      <c r="D2" s="10" t="s">
        <v>6</v>
      </c>
      <c r="F2" s="430" t="s">
        <v>100</v>
      </c>
      <c r="G2" s="431"/>
      <c r="H2" s="431"/>
      <c r="I2" s="431"/>
      <c r="J2" s="431"/>
      <c r="K2" s="431"/>
      <c r="L2" s="432"/>
    </row>
    <row r="3" spans="1:12" ht="13.5" thickBot="1" x14ac:dyDescent="0.25">
      <c r="A3" s="11" t="s">
        <v>3</v>
      </c>
      <c r="B3" s="12" t="s">
        <v>53</v>
      </c>
      <c r="C3" s="13" t="s">
        <v>5</v>
      </c>
      <c r="D3" s="14" t="s">
        <v>7</v>
      </c>
      <c r="F3" s="433" t="s">
        <v>72</v>
      </c>
      <c r="G3" s="434"/>
      <c r="H3" s="434"/>
      <c r="I3" s="434"/>
      <c r="J3" s="434"/>
      <c r="K3" s="434"/>
      <c r="L3" s="435"/>
    </row>
    <row r="4" spans="1:12" ht="31.7" customHeight="1" thickBot="1" x14ac:dyDescent="0.25">
      <c r="A4" s="29" t="s">
        <v>38</v>
      </c>
      <c r="B4" s="475" t="s">
        <v>41</v>
      </c>
      <c r="C4" s="476"/>
      <c r="D4" s="477"/>
    </row>
    <row r="6" spans="1:12" ht="13.5" thickBot="1" x14ac:dyDescent="0.25"/>
    <row r="7" spans="1:12" ht="27.75" customHeight="1" x14ac:dyDescent="0.2">
      <c r="A7" s="452" t="s">
        <v>8</v>
      </c>
      <c r="B7" s="457" t="s">
        <v>9</v>
      </c>
      <c r="C7" s="458"/>
      <c r="D7" s="459" t="s">
        <v>12</v>
      </c>
      <c r="E7" s="461"/>
      <c r="F7" s="460" t="s">
        <v>24</v>
      </c>
      <c r="G7" s="474"/>
      <c r="H7" s="1" t="s">
        <v>54</v>
      </c>
    </row>
    <row r="8" spans="1:12" ht="25.5" x14ac:dyDescent="0.2">
      <c r="A8" s="456"/>
      <c r="B8" s="3" t="s">
        <v>10</v>
      </c>
      <c r="C8" s="17" t="s">
        <v>11</v>
      </c>
      <c r="D8" s="19" t="s">
        <v>20</v>
      </c>
      <c r="E8" s="17" t="s">
        <v>21</v>
      </c>
      <c r="F8" s="16" t="s">
        <v>22</v>
      </c>
      <c r="G8" s="4" t="s">
        <v>23</v>
      </c>
    </row>
    <row r="9" spans="1:12" ht="13.5" thickBot="1" x14ac:dyDescent="0.25">
      <c r="A9" s="453"/>
      <c r="B9" s="5">
        <v>0</v>
      </c>
      <c r="C9" s="18">
        <v>10000000</v>
      </c>
      <c r="D9" s="22">
        <v>1000000</v>
      </c>
      <c r="E9" s="34">
        <f>$C$13*D9</f>
        <v>10000</v>
      </c>
      <c r="F9" s="20">
        <v>0</v>
      </c>
      <c r="G9" s="35">
        <f>$C$13*F9</f>
        <v>0</v>
      </c>
    </row>
    <row r="10" spans="1:12" ht="13.5" thickBot="1" x14ac:dyDescent="0.25"/>
    <row r="11" spans="1:12" ht="27.75" customHeight="1" x14ac:dyDescent="0.2">
      <c r="A11" s="452" t="s">
        <v>42</v>
      </c>
      <c r="B11" s="399" t="s">
        <v>47</v>
      </c>
      <c r="C11" s="479" t="s">
        <v>46</v>
      </c>
      <c r="D11" s="460"/>
      <c r="E11" s="460"/>
      <c r="F11" s="3" t="s">
        <v>48</v>
      </c>
      <c r="G11" s="33"/>
      <c r="H11" s="32"/>
      <c r="I11" s="32"/>
      <c r="J11" s="32"/>
    </row>
    <row r="12" spans="1:12" x14ac:dyDescent="0.2">
      <c r="A12" s="480"/>
      <c r="B12" s="400"/>
      <c r="C12" s="30" t="s">
        <v>43</v>
      </c>
      <c r="D12" s="30" t="s">
        <v>44</v>
      </c>
      <c r="E12" s="31" t="s">
        <v>45</v>
      </c>
      <c r="F12" s="3" t="s">
        <v>49</v>
      </c>
      <c r="G12" s="33"/>
      <c r="H12" s="32"/>
      <c r="I12" s="32"/>
      <c r="J12" s="32"/>
    </row>
    <row r="13" spans="1:12" x14ac:dyDescent="0.2">
      <c r="A13" s="481"/>
      <c r="B13" s="27">
        <v>0</v>
      </c>
      <c r="C13" s="27">
        <v>0.01</v>
      </c>
      <c r="D13" s="27">
        <v>0</v>
      </c>
      <c r="E13" s="28">
        <v>0</v>
      </c>
      <c r="F13" s="37">
        <v>0</v>
      </c>
      <c r="G13" s="33"/>
      <c r="H13" s="32"/>
      <c r="I13" s="32"/>
      <c r="J13" s="32"/>
    </row>
    <row r="14" spans="1:12" ht="31.7" customHeight="1" x14ac:dyDescent="0.2">
      <c r="A14" s="478" t="s">
        <v>52</v>
      </c>
      <c r="B14" s="478"/>
      <c r="C14" s="478"/>
      <c r="D14" s="478"/>
      <c r="E14" s="478"/>
      <c r="F14" s="478"/>
      <c r="G14" s="38"/>
      <c r="H14" s="39"/>
      <c r="I14" s="39"/>
      <c r="J14" s="39"/>
    </row>
    <row r="15" spans="1:12" ht="30.6" customHeight="1" x14ac:dyDescent="0.2">
      <c r="A15" s="478"/>
      <c r="B15" s="478"/>
      <c r="C15" s="478"/>
      <c r="D15" s="478"/>
      <c r="E15" s="478"/>
      <c r="F15" s="478"/>
      <c r="G15" s="38"/>
      <c r="H15" s="39"/>
      <c r="I15" s="39"/>
      <c r="J15" s="39"/>
    </row>
    <row r="17" spans="1:4" ht="13.5" thickBot="1" x14ac:dyDescent="0.25"/>
    <row r="18" spans="1:4" ht="17.100000000000001" customHeight="1" x14ac:dyDescent="0.2">
      <c r="A18" s="444" t="s">
        <v>34</v>
      </c>
      <c r="B18" s="21" t="s">
        <v>32</v>
      </c>
      <c r="C18" s="21" t="s">
        <v>31</v>
      </c>
      <c r="D18" s="15" t="s">
        <v>33</v>
      </c>
    </row>
    <row r="19" spans="1:4" ht="23.45" customHeight="1" thickBot="1" x14ac:dyDescent="0.25">
      <c r="A19" s="445"/>
      <c r="B19" s="12">
        <v>0</v>
      </c>
      <c r="C19" s="12">
        <v>20000000</v>
      </c>
      <c r="D19" s="26">
        <v>20</v>
      </c>
    </row>
    <row r="21" spans="1:4" x14ac:dyDescent="0.2">
      <c r="A21" s="425" t="s">
        <v>37</v>
      </c>
      <c r="B21" s="425"/>
    </row>
    <row r="22" spans="1:4" x14ac:dyDescent="0.2">
      <c r="A22" s="3" t="s">
        <v>35</v>
      </c>
      <c r="B22" s="3" t="s">
        <v>36</v>
      </c>
    </row>
    <row r="23" spans="1:4" x14ac:dyDescent="0.2">
      <c r="A23" s="2">
        <f>B19</f>
        <v>0</v>
      </c>
      <c r="B23" s="36">
        <f t="shared" ref="B23:B43" si="0">$C$13*A23</f>
        <v>0</v>
      </c>
    </row>
    <row r="24" spans="1:4" x14ac:dyDescent="0.2">
      <c r="A24" s="2">
        <f>A23+(($C$19-$B$19)/$D$19)</f>
        <v>1000000</v>
      </c>
      <c r="B24" s="36">
        <f t="shared" si="0"/>
        <v>10000</v>
      </c>
    </row>
    <row r="25" spans="1:4" x14ac:dyDescent="0.2">
      <c r="A25" s="2">
        <f t="shared" ref="A25:A43" si="1">A24+(($C$19-$B$19)/$D$19)</f>
        <v>2000000</v>
      </c>
      <c r="B25" s="36">
        <f t="shared" si="0"/>
        <v>20000</v>
      </c>
    </row>
    <row r="26" spans="1:4" x14ac:dyDescent="0.2">
      <c r="A26" s="2">
        <f t="shared" si="1"/>
        <v>3000000</v>
      </c>
      <c r="B26" s="36">
        <f t="shared" si="0"/>
        <v>30000</v>
      </c>
    </row>
    <row r="27" spans="1:4" x14ac:dyDescent="0.2">
      <c r="A27" s="2">
        <f t="shared" si="1"/>
        <v>4000000</v>
      </c>
      <c r="B27" s="36">
        <f t="shared" si="0"/>
        <v>40000</v>
      </c>
    </row>
    <row r="28" spans="1:4" x14ac:dyDescent="0.2">
      <c r="A28" s="2">
        <f t="shared" si="1"/>
        <v>5000000</v>
      </c>
      <c r="B28" s="36">
        <f t="shared" si="0"/>
        <v>50000</v>
      </c>
    </row>
    <row r="29" spans="1:4" x14ac:dyDescent="0.2">
      <c r="A29" s="2">
        <f t="shared" si="1"/>
        <v>6000000</v>
      </c>
      <c r="B29" s="36">
        <f t="shared" si="0"/>
        <v>60000</v>
      </c>
    </row>
    <row r="30" spans="1:4" x14ac:dyDescent="0.2">
      <c r="A30" s="2">
        <f t="shared" si="1"/>
        <v>7000000</v>
      </c>
      <c r="B30" s="36">
        <f t="shared" si="0"/>
        <v>70000</v>
      </c>
    </row>
    <row r="31" spans="1:4" x14ac:dyDescent="0.2">
      <c r="A31" s="2">
        <f t="shared" si="1"/>
        <v>8000000</v>
      </c>
      <c r="B31" s="36">
        <f t="shared" si="0"/>
        <v>80000</v>
      </c>
    </row>
    <row r="32" spans="1:4" x14ac:dyDescent="0.2">
      <c r="A32" s="2">
        <f t="shared" si="1"/>
        <v>9000000</v>
      </c>
      <c r="B32" s="36">
        <f t="shared" si="0"/>
        <v>90000</v>
      </c>
    </row>
    <row r="33" spans="1:2" x14ac:dyDescent="0.2">
      <c r="A33" s="2">
        <f t="shared" si="1"/>
        <v>10000000</v>
      </c>
      <c r="B33" s="36">
        <f t="shared" si="0"/>
        <v>100000</v>
      </c>
    </row>
    <row r="34" spans="1:2" x14ac:dyDescent="0.2">
      <c r="A34" s="2">
        <f t="shared" si="1"/>
        <v>11000000</v>
      </c>
      <c r="B34" s="36">
        <f t="shared" si="0"/>
        <v>110000</v>
      </c>
    </row>
    <row r="35" spans="1:2" x14ac:dyDescent="0.2">
      <c r="A35" s="2">
        <f>A34+(($C$19-$B$19)/$D$19)</f>
        <v>12000000</v>
      </c>
      <c r="B35" s="36">
        <f t="shared" si="0"/>
        <v>120000</v>
      </c>
    </row>
    <row r="36" spans="1:2" x14ac:dyDescent="0.2">
      <c r="A36" s="2">
        <f t="shared" si="1"/>
        <v>13000000</v>
      </c>
      <c r="B36" s="36">
        <f t="shared" si="0"/>
        <v>130000</v>
      </c>
    </row>
    <row r="37" spans="1:2" x14ac:dyDescent="0.2">
      <c r="A37" s="2">
        <f t="shared" si="1"/>
        <v>14000000</v>
      </c>
      <c r="B37" s="36">
        <f t="shared" si="0"/>
        <v>140000</v>
      </c>
    </row>
    <row r="38" spans="1:2" x14ac:dyDescent="0.2">
      <c r="A38" s="2">
        <f t="shared" si="1"/>
        <v>15000000</v>
      </c>
      <c r="B38" s="36">
        <f t="shared" si="0"/>
        <v>150000</v>
      </c>
    </row>
    <row r="39" spans="1:2" x14ac:dyDescent="0.2">
      <c r="A39" s="2">
        <f t="shared" si="1"/>
        <v>16000000</v>
      </c>
      <c r="B39" s="36">
        <f t="shared" si="0"/>
        <v>160000</v>
      </c>
    </row>
    <row r="40" spans="1:2" x14ac:dyDescent="0.2">
      <c r="A40" s="2">
        <f t="shared" si="1"/>
        <v>17000000</v>
      </c>
      <c r="B40" s="36">
        <f t="shared" si="0"/>
        <v>170000</v>
      </c>
    </row>
    <row r="41" spans="1:2" x14ac:dyDescent="0.2">
      <c r="A41" s="2">
        <f t="shared" si="1"/>
        <v>18000000</v>
      </c>
      <c r="B41" s="36">
        <f t="shared" si="0"/>
        <v>180000</v>
      </c>
    </row>
    <row r="42" spans="1:2" x14ac:dyDescent="0.2">
      <c r="A42" s="2">
        <f>A41+(($C$19-$B$19)/$D$19)</f>
        <v>19000000</v>
      </c>
      <c r="B42" s="36">
        <f t="shared" si="0"/>
        <v>190000</v>
      </c>
    </row>
    <row r="43" spans="1:2" x14ac:dyDescent="0.2">
      <c r="A43" s="2">
        <f t="shared" si="1"/>
        <v>20000000</v>
      </c>
      <c r="B43" s="36">
        <f t="shared" si="0"/>
        <v>200000</v>
      </c>
    </row>
  </sheetData>
  <mergeCells count="13">
    <mergeCell ref="A14:F15"/>
    <mergeCell ref="A18:A19"/>
    <mergeCell ref="A21:B21"/>
    <mergeCell ref="B11:B12"/>
    <mergeCell ref="C11:E11"/>
    <mergeCell ref="A11:A13"/>
    <mergeCell ref="F2:L2"/>
    <mergeCell ref="F3:L3"/>
    <mergeCell ref="B4:D4"/>
    <mergeCell ref="A7:A9"/>
    <mergeCell ref="B7:C7"/>
    <mergeCell ref="D7:E7"/>
    <mergeCell ref="F7:G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4">
    <tabColor theme="1" tint="4.9989318521683403E-2"/>
  </sheetPr>
  <dimension ref="A1:N47"/>
  <sheetViews>
    <sheetView workbookViewId="0">
      <selection activeCell="G5" sqref="G5"/>
    </sheetView>
  </sheetViews>
  <sheetFormatPr defaultColWidth="8.85546875" defaultRowHeight="12.75" x14ac:dyDescent="0.2"/>
  <cols>
    <col min="1" max="1" width="12.140625" style="1" customWidth="1"/>
    <col min="2" max="2" width="10.42578125" style="1" customWidth="1"/>
    <col min="3" max="3" width="11" style="1" customWidth="1"/>
    <col min="4" max="4" width="12.140625" style="1" customWidth="1"/>
    <col min="5" max="5" width="14.85546875" style="1" customWidth="1"/>
    <col min="6" max="6" width="11.140625" style="1" customWidth="1"/>
    <col min="7" max="7" width="12" style="1" customWidth="1"/>
    <col min="8" max="10" width="10.42578125" style="1" customWidth="1"/>
    <col min="11" max="16384" width="8.85546875" style="1"/>
  </cols>
  <sheetData>
    <row r="1" spans="1:14" ht="13.5" thickBot="1" x14ac:dyDescent="0.25">
      <c r="A1" s="6" t="s">
        <v>0</v>
      </c>
      <c r="B1" s="1" t="s">
        <v>55</v>
      </c>
    </row>
    <row r="2" spans="1:14" x14ac:dyDescent="0.2">
      <c r="A2" s="7" t="s">
        <v>2</v>
      </c>
      <c r="B2" s="8" t="s">
        <v>13</v>
      </c>
      <c r="C2" s="9" t="s">
        <v>4</v>
      </c>
      <c r="D2" s="10" t="s">
        <v>6</v>
      </c>
      <c r="F2" s="430" t="s">
        <v>100</v>
      </c>
      <c r="G2" s="431"/>
      <c r="H2" s="431"/>
      <c r="I2" s="431"/>
      <c r="J2" s="431"/>
      <c r="K2" s="431"/>
      <c r="L2" s="432"/>
    </row>
    <row r="3" spans="1:14" ht="13.5" thickBot="1" x14ac:dyDescent="0.25">
      <c r="A3" s="11" t="s">
        <v>3</v>
      </c>
      <c r="B3" s="12" t="s">
        <v>56</v>
      </c>
      <c r="C3" s="13" t="s">
        <v>5</v>
      </c>
      <c r="D3" s="14" t="s">
        <v>7</v>
      </c>
      <c r="F3" s="433" t="s">
        <v>72</v>
      </c>
      <c r="G3" s="434"/>
      <c r="H3" s="434"/>
      <c r="I3" s="434"/>
      <c r="J3" s="434"/>
      <c r="K3" s="434"/>
      <c r="L3" s="435"/>
    </row>
    <row r="4" spans="1:14" ht="13.5" thickBot="1" x14ac:dyDescent="0.25">
      <c r="A4" s="29" t="s">
        <v>38</v>
      </c>
      <c r="B4" s="466" t="s">
        <v>57</v>
      </c>
      <c r="C4" s="466"/>
      <c r="D4" s="467"/>
    </row>
    <row r="6" spans="1:14" ht="13.5" thickBot="1" x14ac:dyDescent="0.25"/>
    <row r="7" spans="1:14" ht="27.75" customHeight="1" x14ac:dyDescent="0.2">
      <c r="A7" s="452" t="s">
        <v>8</v>
      </c>
      <c r="B7" s="457" t="s">
        <v>9</v>
      </c>
      <c r="C7" s="458"/>
      <c r="D7" s="459" t="s">
        <v>12</v>
      </c>
      <c r="E7" s="461"/>
      <c r="F7" s="460" t="s">
        <v>24</v>
      </c>
      <c r="G7" s="474"/>
      <c r="I7" s="484" t="s">
        <v>73</v>
      </c>
      <c r="J7" s="484"/>
      <c r="K7" s="484"/>
      <c r="L7" s="484"/>
      <c r="N7" s="47" t="s">
        <v>58</v>
      </c>
    </row>
    <row r="8" spans="1:14" ht="25.5" x14ac:dyDescent="0.2">
      <c r="A8" s="456"/>
      <c r="B8" s="3" t="s">
        <v>10</v>
      </c>
      <c r="C8" s="17" t="s">
        <v>11</v>
      </c>
      <c r="D8" s="19" t="s">
        <v>20</v>
      </c>
      <c r="E8" s="17" t="s">
        <v>21</v>
      </c>
      <c r="F8" s="16" t="s">
        <v>22</v>
      </c>
      <c r="G8" s="4" t="s">
        <v>23</v>
      </c>
      <c r="I8" s="484"/>
      <c r="J8" s="484"/>
      <c r="K8" s="484"/>
      <c r="L8" s="484"/>
      <c r="N8" s="47" t="s">
        <v>59</v>
      </c>
    </row>
    <row r="9" spans="1:14" ht="13.5" thickBot="1" x14ac:dyDescent="0.25">
      <c r="A9" s="453"/>
      <c r="B9" s="5">
        <v>0</v>
      </c>
      <c r="C9" s="18">
        <v>5</v>
      </c>
      <c r="D9" s="22">
        <v>3.5</v>
      </c>
      <c r="E9" s="34">
        <f>csplinePred($B$12:$B$17,$C$12:$C$17,$F$12:$M$17,D9)</f>
        <v>0.89324162679425823</v>
      </c>
      <c r="F9" s="20">
        <v>1.5</v>
      </c>
      <c r="G9" s="14">
        <v>0.5</v>
      </c>
    </row>
    <row r="10" spans="1:14" ht="13.5" thickBot="1" x14ac:dyDescent="0.25"/>
    <row r="11" spans="1:14" ht="13.7" customHeight="1" x14ac:dyDescent="0.2">
      <c r="A11" s="425" t="s">
        <v>60</v>
      </c>
      <c r="B11" s="3" t="s">
        <v>61</v>
      </c>
      <c r="C11" s="3" t="s">
        <v>62</v>
      </c>
      <c r="D11" s="32"/>
      <c r="E11" s="482" t="s">
        <v>71</v>
      </c>
      <c r="F11" s="21" t="s">
        <v>63</v>
      </c>
      <c r="G11" s="21" t="s">
        <v>64</v>
      </c>
      <c r="H11" s="21" t="s">
        <v>65</v>
      </c>
      <c r="I11" s="21" t="s">
        <v>66</v>
      </c>
      <c r="J11" s="21" t="s">
        <v>67</v>
      </c>
      <c r="K11" s="21" t="s">
        <v>68</v>
      </c>
      <c r="L11" s="21" t="s">
        <v>69</v>
      </c>
      <c r="M11" s="21" t="s">
        <v>70</v>
      </c>
    </row>
    <row r="12" spans="1:14" ht="14.45" customHeight="1" x14ac:dyDescent="0.2">
      <c r="A12" s="425"/>
      <c r="B12" s="41">
        <v>0</v>
      </c>
      <c r="C12" s="41">
        <v>0</v>
      </c>
      <c r="D12" s="32"/>
      <c r="E12" s="483"/>
      <c r="F12" s="43">
        <f t="array" ref="F12:M17">csplinea($B$12:$B$17,$C$12:$C$17,$B$12:$B$17,2)</f>
        <v>1</v>
      </c>
      <c r="G12" s="43">
        <v>0</v>
      </c>
      <c r="H12" s="43">
        <v>1</v>
      </c>
      <c r="I12" s="44">
        <v>0</v>
      </c>
      <c r="J12" s="44">
        <v>0</v>
      </c>
      <c r="K12" s="44">
        <v>1.0191387559808613</v>
      </c>
      <c r="L12" s="44">
        <v>0</v>
      </c>
      <c r="M12" s="44">
        <v>-0.26913875598086129</v>
      </c>
    </row>
    <row r="13" spans="1:14" ht="14.45" customHeight="1" x14ac:dyDescent="0.2">
      <c r="A13" s="425"/>
      <c r="B13" s="41">
        <v>1</v>
      </c>
      <c r="C13" s="41">
        <v>0.75</v>
      </c>
      <c r="D13" s="32"/>
      <c r="E13" s="483"/>
      <c r="F13" s="43">
        <v>1</v>
      </c>
      <c r="G13" s="43">
        <v>-4.5</v>
      </c>
      <c r="H13" s="43">
        <v>4</v>
      </c>
      <c r="I13" s="44">
        <v>0.25</v>
      </c>
      <c r="J13" s="44">
        <v>-1.125</v>
      </c>
      <c r="K13" s="44">
        <v>0.21172248803827753</v>
      </c>
      <c r="L13" s="44">
        <v>-0.80741626794258381</v>
      </c>
      <c r="M13" s="44">
        <v>-0.15430622009569372</v>
      </c>
    </row>
    <row r="14" spans="1:14" ht="14.45" customHeight="1" x14ac:dyDescent="0.2">
      <c r="A14" s="425"/>
      <c r="B14" s="41">
        <v>2</v>
      </c>
      <c r="C14" s="41">
        <v>0</v>
      </c>
      <c r="D14" s="32"/>
      <c r="E14" s="483"/>
      <c r="F14" s="43">
        <v>1</v>
      </c>
      <c r="G14" s="43">
        <v>-0.75</v>
      </c>
      <c r="H14" s="43">
        <v>3.75</v>
      </c>
      <c r="I14" s="44">
        <v>0.26666666666666666</v>
      </c>
      <c r="J14" s="44">
        <v>0.1</v>
      </c>
      <c r="K14" s="44">
        <v>-1.866028708133971</v>
      </c>
      <c r="L14" s="44">
        <v>-1.270334928229665</v>
      </c>
      <c r="M14" s="44">
        <v>2.1363636363636362</v>
      </c>
    </row>
    <row r="15" spans="1:14" ht="14.45" customHeight="1" x14ac:dyDescent="0.2">
      <c r="A15" s="425"/>
      <c r="B15" s="41">
        <v>3</v>
      </c>
      <c r="C15" s="41">
        <v>-1</v>
      </c>
      <c r="D15" s="32"/>
      <c r="E15" s="483"/>
      <c r="F15" s="43">
        <v>1</v>
      </c>
      <c r="G15" s="43">
        <v>15</v>
      </c>
      <c r="H15" s="43">
        <v>3.7333333333333334</v>
      </c>
      <c r="I15" s="44">
        <v>0.26785714285714285</v>
      </c>
      <c r="J15" s="44">
        <v>3.9910714285714284</v>
      </c>
      <c r="K15" s="44">
        <v>2.0023923444976077</v>
      </c>
      <c r="L15" s="44">
        <v>5.1387559808612435</v>
      </c>
      <c r="M15" s="44">
        <v>-3.1411483253588517</v>
      </c>
    </row>
    <row r="16" spans="1:14" ht="14.45" customHeight="1" x14ac:dyDescent="0.2">
      <c r="A16" s="425"/>
      <c r="B16" s="41">
        <v>4</v>
      </c>
      <c r="C16" s="41">
        <v>3</v>
      </c>
      <c r="D16" s="32"/>
      <c r="E16" s="483"/>
      <c r="F16" s="43">
        <v>1</v>
      </c>
      <c r="G16" s="43">
        <v>-12</v>
      </c>
      <c r="H16" s="43">
        <v>3.7321428571428572</v>
      </c>
      <c r="I16" s="44">
        <v>0.26794258373205743</v>
      </c>
      <c r="J16" s="44">
        <v>-4.2846889952153111</v>
      </c>
      <c r="K16" s="44">
        <v>2.8564593301435406</v>
      </c>
      <c r="L16" s="44">
        <v>-4.2846889952153111</v>
      </c>
      <c r="M16" s="44">
        <v>1.4282296650717703</v>
      </c>
    </row>
    <row r="17" spans="1:13" ht="15" customHeight="1" x14ac:dyDescent="0.2">
      <c r="A17" s="425"/>
      <c r="B17" s="42">
        <v>5</v>
      </c>
      <c r="C17" s="42">
        <v>3</v>
      </c>
      <c r="D17" s="40"/>
      <c r="E17" s="483"/>
      <c r="F17" s="45">
        <v>0</v>
      </c>
      <c r="G17" s="45">
        <v>0</v>
      </c>
      <c r="H17" s="45">
        <v>1</v>
      </c>
      <c r="I17" s="46">
        <v>0</v>
      </c>
      <c r="J17" s="46">
        <v>0</v>
      </c>
      <c r="K17" s="46">
        <v>0</v>
      </c>
      <c r="L17" s="46">
        <v>0</v>
      </c>
      <c r="M17" s="46">
        <v>0</v>
      </c>
    </row>
    <row r="18" spans="1:13" ht="39.200000000000003" customHeight="1" x14ac:dyDescent="0.2">
      <c r="A18" s="485" t="s">
        <v>74</v>
      </c>
      <c r="B18" s="486"/>
      <c r="C18" s="487"/>
      <c r="D18" s="33"/>
      <c r="E18" s="478" t="s">
        <v>75</v>
      </c>
      <c r="F18" s="478"/>
      <c r="G18" s="478"/>
      <c r="H18" s="478"/>
      <c r="I18" s="478"/>
      <c r="J18" s="478"/>
      <c r="K18" s="478"/>
      <c r="L18" s="478"/>
      <c r="M18" s="478"/>
    </row>
    <row r="19" spans="1:13" ht="35.450000000000003" customHeight="1" x14ac:dyDescent="0.2">
      <c r="A19" s="449"/>
      <c r="B19" s="450"/>
      <c r="C19" s="451"/>
      <c r="D19" s="33"/>
      <c r="E19" s="478"/>
      <c r="F19" s="478"/>
      <c r="G19" s="478"/>
      <c r="H19" s="478"/>
      <c r="I19" s="478"/>
      <c r="J19" s="478"/>
      <c r="K19" s="478"/>
      <c r="L19" s="478"/>
      <c r="M19" s="478"/>
    </row>
    <row r="21" spans="1:13" ht="13.5" thickBot="1" x14ac:dyDescent="0.25"/>
    <row r="22" spans="1:13" ht="17.100000000000001" customHeight="1" x14ac:dyDescent="0.2">
      <c r="A22" s="444" t="s">
        <v>34</v>
      </c>
      <c r="B22" s="21" t="s">
        <v>32</v>
      </c>
      <c r="C22" s="21" t="s">
        <v>31</v>
      </c>
      <c r="D22" s="15" t="s">
        <v>33</v>
      </c>
    </row>
    <row r="23" spans="1:13" ht="23.45" customHeight="1" thickBot="1" x14ac:dyDescent="0.25">
      <c r="A23" s="445"/>
      <c r="B23" s="12">
        <v>0</v>
      </c>
      <c r="C23" s="12">
        <v>5</v>
      </c>
      <c r="D23" s="26">
        <v>20</v>
      </c>
    </row>
    <row r="25" spans="1:13" x14ac:dyDescent="0.2">
      <c r="A25" s="425" t="s">
        <v>37</v>
      </c>
      <c r="B25" s="425"/>
    </row>
    <row r="26" spans="1:13" x14ac:dyDescent="0.2">
      <c r="A26" s="3" t="s">
        <v>35</v>
      </c>
      <c r="B26" s="3" t="s">
        <v>36</v>
      </c>
    </row>
    <row r="27" spans="1:13" x14ac:dyDescent="0.2">
      <c r="A27" s="2">
        <f>B23</f>
        <v>0</v>
      </c>
      <c r="B27" s="36">
        <f>csplinePred($B$12:$B$17,$C$12:$C$17,$F$12:$M$17,A27)</f>
        <v>0</v>
      </c>
    </row>
    <row r="28" spans="1:13" x14ac:dyDescent="0.2">
      <c r="A28" s="2">
        <f>A27+(($C$23-$B$23)/$D$23)</f>
        <v>0.25</v>
      </c>
      <c r="B28" s="36">
        <f t="shared" ref="B28:B47" si="0">csplinePred($B$12:$B$17,$C$12:$C$17,$F$12:$M$17,A28)</f>
        <v>0.25057939593301437</v>
      </c>
    </row>
    <row r="29" spans="1:13" x14ac:dyDescent="0.2">
      <c r="A29" s="2">
        <f t="shared" ref="A29:A47" si="1">A28+(($C$23-$B$23)/$D$23)</f>
        <v>0.5</v>
      </c>
      <c r="B29" s="36">
        <f t="shared" si="0"/>
        <v>0.475927033492823</v>
      </c>
    </row>
    <row r="30" spans="1:13" x14ac:dyDescent="0.2">
      <c r="A30" s="2">
        <f t="shared" si="1"/>
        <v>0.75</v>
      </c>
      <c r="B30" s="36">
        <f t="shared" si="0"/>
        <v>0.65081115430622016</v>
      </c>
    </row>
    <row r="31" spans="1:13" x14ac:dyDescent="0.2">
      <c r="A31" s="2">
        <f t="shared" si="1"/>
        <v>1</v>
      </c>
      <c r="B31" s="36">
        <f t="shared" si="0"/>
        <v>0.75</v>
      </c>
    </row>
    <row r="32" spans="1:13" x14ac:dyDescent="0.2">
      <c r="A32" s="2">
        <f t="shared" si="1"/>
        <v>1.25</v>
      </c>
      <c r="B32" s="36">
        <f t="shared" si="0"/>
        <v>0.75005607057416268</v>
      </c>
    </row>
    <row r="33" spans="1:2" x14ac:dyDescent="0.2">
      <c r="A33" s="2">
        <f t="shared" si="1"/>
        <v>1.5</v>
      </c>
      <c r="B33" s="36">
        <f t="shared" si="0"/>
        <v>0.63471889952153115</v>
      </c>
    </row>
    <row r="34" spans="1:2" x14ac:dyDescent="0.2">
      <c r="A34" s="2">
        <f t="shared" si="1"/>
        <v>1.75</v>
      </c>
      <c r="B34" s="36">
        <f t="shared" si="0"/>
        <v>0.389522278708134</v>
      </c>
    </row>
    <row r="35" spans="1:2" x14ac:dyDescent="0.2">
      <c r="A35" s="2">
        <f t="shared" si="1"/>
        <v>2</v>
      </c>
      <c r="B35" s="36">
        <f t="shared" si="0"/>
        <v>0</v>
      </c>
    </row>
    <row r="36" spans="1:2" x14ac:dyDescent="0.2">
      <c r="A36" s="2">
        <f t="shared" si="1"/>
        <v>2.25</v>
      </c>
      <c r="B36" s="36">
        <f t="shared" si="0"/>
        <v>-0.51252242822966498</v>
      </c>
    </row>
    <row r="37" spans="1:2" x14ac:dyDescent="0.2">
      <c r="A37" s="2">
        <f t="shared" si="1"/>
        <v>2.5</v>
      </c>
      <c r="B37" s="36">
        <f t="shared" si="0"/>
        <v>-0.98355263157894723</v>
      </c>
    </row>
    <row r="38" spans="1:2" x14ac:dyDescent="0.2">
      <c r="A38" s="2">
        <f t="shared" si="1"/>
        <v>2.75</v>
      </c>
      <c r="B38" s="36">
        <f t="shared" si="0"/>
        <v>-1.2128065191387558</v>
      </c>
    </row>
    <row r="39" spans="1:2" x14ac:dyDescent="0.2">
      <c r="A39" s="2">
        <f>A38+(($C$23-$B$23)/$D$23)</f>
        <v>3</v>
      </c>
      <c r="B39" s="36">
        <f t="shared" si="0"/>
        <v>-1</v>
      </c>
    </row>
    <row r="40" spans="1:2" x14ac:dyDescent="0.2">
      <c r="A40" s="2">
        <f t="shared" si="1"/>
        <v>3.25</v>
      </c>
      <c r="B40" s="36">
        <f t="shared" si="0"/>
        <v>-0.22731010765550241</v>
      </c>
    </row>
    <row r="41" spans="1:2" x14ac:dyDescent="0.2">
      <c r="A41" s="2">
        <f t="shared" si="1"/>
        <v>3.5</v>
      </c>
      <c r="B41" s="36">
        <f t="shared" si="0"/>
        <v>0.89324162679425823</v>
      </c>
    </row>
    <row r="42" spans="1:2" x14ac:dyDescent="0.2">
      <c r="A42" s="2">
        <f t="shared" si="1"/>
        <v>3.75</v>
      </c>
      <c r="B42" s="36">
        <f t="shared" si="0"/>
        <v>2.0671725478468899</v>
      </c>
    </row>
    <row r="43" spans="1:2" x14ac:dyDescent="0.2">
      <c r="A43" s="2">
        <f t="shared" si="1"/>
        <v>4</v>
      </c>
      <c r="B43" s="36">
        <f t="shared" si="0"/>
        <v>3</v>
      </c>
    </row>
    <row r="44" spans="1:2" x14ac:dyDescent="0.2">
      <c r="A44" s="2">
        <f t="shared" si="1"/>
        <v>4.25</v>
      </c>
      <c r="B44" s="36">
        <f t="shared" si="0"/>
        <v>3.4686378588516744</v>
      </c>
    </row>
    <row r="45" spans="1:2" x14ac:dyDescent="0.2">
      <c r="A45" s="2">
        <f t="shared" si="1"/>
        <v>4.5</v>
      </c>
      <c r="B45" s="36">
        <f t="shared" si="0"/>
        <v>3.535586124401914</v>
      </c>
    </row>
    <row r="46" spans="1:2" x14ac:dyDescent="0.2">
      <c r="A46" s="2">
        <f>A45+(($C$23-$B$23)/$D$23)</f>
        <v>4.75</v>
      </c>
      <c r="B46" s="36">
        <f t="shared" si="0"/>
        <v>3.3347413277511961</v>
      </c>
    </row>
    <row r="47" spans="1:2" x14ac:dyDescent="0.2">
      <c r="A47" s="2">
        <f t="shared" si="1"/>
        <v>5</v>
      </c>
      <c r="B47" s="36">
        <f t="shared" si="0"/>
        <v>2.9999999999999996</v>
      </c>
    </row>
  </sheetData>
  <mergeCells count="14">
    <mergeCell ref="A11:A17"/>
    <mergeCell ref="A22:A23"/>
    <mergeCell ref="A25:B25"/>
    <mergeCell ref="A18:C19"/>
    <mergeCell ref="B4:D4"/>
    <mergeCell ref="A7:A9"/>
    <mergeCell ref="B7:C7"/>
    <mergeCell ref="D7:E7"/>
    <mergeCell ref="F2:L2"/>
    <mergeCell ref="F3:L3"/>
    <mergeCell ref="F7:G7"/>
    <mergeCell ref="E11:E17"/>
    <mergeCell ref="E18:M19"/>
    <mergeCell ref="I7:L8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8">
    <tabColor theme="1"/>
  </sheetPr>
  <dimension ref="A1:O42"/>
  <sheetViews>
    <sheetView workbookViewId="0">
      <selection activeCell="G5" sqref="G5"/>
    </sheetView>
  </sheetViews>
  <sheetFormatPr defaultColWidth="8.85546875" defaultRowHeight="12.75" x14ac:dyDescent="0.2"/>
  <cols>
    <col min="1" max="1" width="12.140625" style="1" customWidth="1"/>
    <col min="2" max="2" width="13.42578125" style="1" customWidth="1"/>
    <col min="3" max="3" width="12.42578125" style="1" customWidth="1"/>
    <col min="4" max="4" width="13.5703125" style="1" customWidth="1"/>
    <col min="5" max="6" width="12.42578125" style="1" customWidth="1"/>
    <col min="7" max="7" width="12" style="1" customWidth="1"/>
    <col min="8" max="10" width="10.42578125" style="1" customWidth="1"/>
    <col min="11" max="11" width="14.42578125" style="1" bestFit="1" customWidth="1"/>
    <col min="12" max="13" width="12" style="1" bestFit="1" customWidth="1"/>
    <col min="14" max="14" width="11.42578125" style="1" bestFit="1" customWidth="1"/>
    <col min="15" max="15" width="9.5703125" style="1" bestFit="1" customWidth="1"/>
    <col min="16" max="16384" width="8.85546875" style="1"/>
  </cols>
  <sheetData>
    <row r="1" spans="1:15" ht="13.5" thickBot="1" x14ac:dyDescent="0.25">
      <c r="A1" s="6" t="s">
        <v>0</v>
      </c>
      <c r="B1" s="1" t="s">
        <v>1</v>
      </c>
    </row>
    <row r="2" spans="1:15" x14ac:dyDescent="0.2">
      <c r="A2" s="7" t="s">
        <v>2</v>
      </c>
      <c r="B2" s="8" t="s">
        <v>101</v>
      </c>
      <c r="C2" s="9" t="s">
        <v>4</v>
      </c>
      <c r="D2" s="10" t="s">
        <v>6</v>
      </c>
      <c r="H2" s="59" t="s">
        <v>102</v>
      </c>
      <c r="I2" s="60"/>
      <c r="J2" s="60"/>
      <c r="K2" s="60"/>
      <c r="L2" s="61"/>
    </row>
    <row r="3" spans="1:15" ht="13.5" thickBot="1" x14ac:dyDescent="0.25">
      <c r="A3" s="67" t="s">
        <v>3</v>
      </c>
      <c r="B3" s="27" t="s">
        <v>103</v>
      </c>
      <c r="C3" s="6" t="s">
        <v>5</v>
      </c>
      <c r="D3" s="28" t="s">
        <v>7</v>
      </c>
      <c r="E3" s="6" t="s">
        <v>104</v>
      </c>
      <c r="F3" s="28" t="s">
        <v>105</v>
      </c>
    </row>
    <row r="4" spans="1:15" ht="15" customHeight="1" thickBot="1" x14ac:dyDescent="0.25">
      <c r="A4" s="29" t="s">
        <v>38</v>
      </c>
      <c r="B4" s="488" t="s">
        <v>106</v>
      </c>
      <c r="C4" s="488"/>
      <c r="D4" s="488"/>
      <c r="E4" s="488"/>
      <c r="F4" s="489"/>
      <c r="H4" s="1" t="s">
        <v>107</v>
      </c>
    </row>
    <row r="5" spans="1:15" x14ac:dyDescent="0.2">
      <c r="H5" s="1" t="s">
        <v>108</v>
      </c>
    </row>
    <row r="6" spans="1:15" ht="13.5" thickBot="1" x14ac:dyDescent="0.25">
      <c r="B6" s="64">
        <v>0.6</v>
      </c>
      <c r="C6" s="64">
        <v>1.3</v>
      </c>
    </row>
    <row r="7" spans="1:15" ht="27.75" customHeight="1" x14ac:dyDescent="0.2">
      <c r="A7" s="452" t="s">
        <v>8</v>
      </c>
      <c r="B7" s="457" t="s">
        <v>9</v>
      </c>
      <c r="C7" s="458"/>
      <c r="D7" s="459" t="s">
        <v>12</v>
      </c>
      <c r="E7" s="461"/>
      <c r="F7" s="460" t="s">
        <v>24</v>
      </c>
      <c r="G7" s="474"/>
    </row>
    <row r="8" spans="1:15" ht="25.5" x14ac:dyDescent="0.2">
      <c r="A8" s="456"/>
      <c r="B8" s="62" t="s">
        <v>10</v>
      </c>
      <c r="C8" s="17" t="s">
        <v>11</v>
      </c>
      <c r="D8" s="19" t="s">
        <v>20</v>
      </c>
      <c r="E8" s="17" t="s">
        <v>21</v>
      </c>
      <c r="F8" s="58" t="s">
        <v>22</v>
      </c>
      <c r="G8" s="4" t="s">
        <v>23</v>
      </c>
    </row>
    <row r="9" spans="1:15" ht="13.5" thickBot="1" x14ac:dyDescent="0.25">
      <c r="A9" s="453"/>
      <c r="B9" s="65">
        <f>B6*B12</f>
        <v>13460703.6</v>
      </c>
      <c r="C9" s="65">
        <f>C6*B12</f>
        <v>29164857.800000001</v>
      </c>
      <c r="D9" s="68">
        <f>F9</f>
        <v>22434506</v>
      </c>
      <c r="E9" s="69">
        <f>(($O$12/(1+EXP($M$12+$N$12*D9)))-1) - ($F$12-$C$12)</f>
        <v>135699.36912083253</v>
      </c>
      <c r="F9" s="65">
        <f>B12</f>
        <v>22434506</v>
      </c>
      <c r="G9" s="66">
        <f>C12</f>
        <v>135699.3691208323</v>
      </c>
    </row>
    <row r="10" spans="1:15" ht="13.5" thickBot="1" x14ac:dyDescent="0.25"/>
    <row r="11" spans="1:15" ht="51.6" customHeight="1" x14ac:dyDescent="0.2">
      <c r="A11" s="452" t="s">
        <v>15</v>
      </c>
      <c r="B11" s="63" t="s">
        <v>16</v>
      </c>
      <c r="C11" s="63" t="s">
        <v>17</v>
      </c>
      <c r="D11" s="63" t="s">
        <v>18</v>
      </c>
      <c r="E11" s="63" t="s">
        <v>19</v>
      </c>
      <c r="F11" s="15" t="s">
        <v>109</v>
      </c>
      <c r="H11" s="444" t="s">
        <v>25</v>
      </c>
      <c r="I11" s="63" t="s">
        <v>110</v>
      </c>
      <c r="J11" s="63" t="s">
        <v>111</v>
      </c>
      <c r="K11" s="63" t="s">
        <v>112</v>
      </c>
      <c r="L11" s="63" t="s">
        <v>113</v>
      </c>
      <c r="M11" s="63" t="s">
        <v>26</v>
      </c>
      <c r="N11" s="63" t="s">
        <v>27</v>
      </c>
      <c r="O11" s="15" t="s">
        <v>28</v>
      </c>
    </row>
    <row r="12" spans="1:15" ht="15" customHeight="1" thickBot="1" x14ac:dyDescent="0.25">
      <c r="A12" s="453"/>
      <c r="B12" s="65">
        <v>22434506</v>
      </c>
      <c r="C12" s="66">
        <v>135699.3691208323</v>
      </c>
      <c r="D12" s="12">
        <v>0</v>
      </c>
      <c r="E12" s="66">
        <v>516500</v>
      </c>
      <c r="F12" s="70">
        <v>5165000</v>
      </c>
      <c r="H12" s="445"/>
      <c r="I12" s="71">
        <f>F12-C12</f>
        <v>5029300.6308791675</v>
      </c>
      <c r="J12" s="71">
        <f>I12+E12</f>
        <v>5545800.6308791675</v>
      </c>
      <c r="K12" s="72">
        <f>B12</f>
        <v>22434506</v>
      </c>
      <c r="L12" s="71">
        <f>F12</f>
        <v>5165000</v>
      </c>
      <c r="M12" s="24">
        <f>LN((($J$12+1)/($I$12+1))-1)</f>
        <v>-2.2759611241153297</v>
      </c>
      <c r="N12" s="73">
        <f>(LN((($J$12+1)/($L$12+1))-1)-$M$12)/$K$12</f>
        <v>-1.4772934666486198E-8</v>
      </c>
      <c r="O12" s="74">
        <f>J12+1</f>
        <v>5545801.6308791675</v>
      </c>
    </row>
    <row r="13" spans="1:15" ht="34.35" customHeight="1" x14ac:dyDescent="0.2">
      <c r="A13" s="446" t="s">
        <v>114</v>
      </c>
      <c r="B13" s="447"/>
      <c r="C13" s="447"/>
      <c r="D13" s="447"/>
      <c r="E13" s="447"/>
      <c r="F13" s="448"/>
      <c r="H13" s="446" t="s">
        <v>115</v>
      </c>
      <c r="I13" s="447"/>
      <c r="J13" s="447"/>
      <c r="K13" s="447"/>
      <c r="L13" s="447"/>
      <c r="M13" s="447"/>
      <c r="N13" s="447"/>
      <c r="O13" s="448"/>
    </row>
    <row r="14" spans="1:15" ht="33.6" customHeight="1" x14ac:dyDescent="0.2">
      <c r="A14" s="449"/>
      <c r="B14" s="450"/>
      <c r="C14" s="450"/>
      <c r="D14" s="450"/>
      <c r="E14" s="450"/>
      <c r="F14" s="451"/>
      <c r="H14" s="449"/>
      <c r="I14" s="450"/>
      <c r="J14" s="450"/>
      <c r="K14" s="450"/>
      <c r="L14" s="450"/>
      <c r="M14" s="450"/>
      <c r="N14" s="450"/>
      <c r="O14" s="451"/>
    </row>
    <row r="16" spans="1:15" ht="13.5" thickBot="1" x14ac:dyDescent="0.25"/>
    <row r="17" spans="1:4" ht="17.100000000000001" customHeight="1" x14ac:dyDescent="0.2">
      <c r="A17" s="444" t="s">
        <v>34</v>
      </c>
      <c r="B17" s="63" t="s">
        <v>32</v>
      </c>
      <c r="C17" s="63" t="s">
        <v>31</v>
      </c>
      <c r="D17" s="15" t="s">
        <v>33</v>
      </c>
    </row>
    <row r="18" spans="1:4" ht="23.45" customHeight="1" thickBot="1" x14ac:dyDescent="0.25">
      <c r="A18" s="445"/>
      <c r="B18" s="75">
        <v>0</v>
      </c>
      <c r="C18" s="76">
        <v>200000000</v>
      </c>
      <c r="D18" s="26">
        <v>20</v>
      </c>
    </row>
    <row r="20" spans="1:4" x14ac:dyDescent="0.2">
      <c r="A20" s="425" t="s">
        <v>37</v>
      </c>
      <c r="B20" s="425"/>
    </row>
    <row r="21" spans="1:4" x14ac:dyDescent="0.2">
      <c r="A21" s="62" t="s">
        <v>35</v>
      </c>
      <c r="B21" s="62" t="s">
        <v>36</v>
      </c>
    </row>
    <row r="22" spans="1:4" x14ac:dyDescent="0.2">
      <c r="A22" s="2">
        <f>B18</f>
        <v>0</v>
      </c>
      <c r="B22" s="2">
        <f>(($O$12/(1+EXP($M$12+$N$12*A22)))-1) - ($F$12-$C$12)</f>
        <v>0</v>
      </c>
    </row>
    <row r="23" spans="1:4" x14ac:dyDescent="0.2">
      <c r="A23" s="2">
        <f>A22+(($C$18-$B$18)/$D$18)</f>
        <v>10000000</v>
      </c>
      <c r="B23" s="2">
        <f t="shared" ref="B23:B42" si="0">(($O$12/(1+EXP($M$12+$N$12*A23)))-1) - ($F$12-$C$12)</f>
        <v>65160.884199584834</v>
      </c>
      <c r="C23" s="77">
        <f>(B23-B22)/A23</f>
        <v>6.5160884199584835E-3</v>
      </c>
    </row>
    <row r="24" spans="1:4" x14ac:dyDescent="0.2">
      <c r="A24" s="2">
        <f t="shared" ref="A24:A42" si="1">A23+(($C$18-$B$18)/$D$18)</f>
        <v>20000000</v>
      </c>
      <c r="B24" s="2">
        <f t="shared" si="0"/>
        <v>122744.77582018357</v>
      </c>
      <c r="C24" s="77">
        <f t="shared" ref="C24:C42" si="2">(B24-B23)/A24</f>
        <v>2.8791945810299367E-3</v>
      </c>
    </row>
    <row r="25" spans="1:4" x14ac:dyDescent="0.2">
      <c r="A25" s="2">
        <f t="shared" si="1"/>
        <v>30000000</v>
      </c>
      <c r="B25" s="2">
        <f t="shared" si="0"/>
        <v>173476.53353370167</v>
      </c>
      <c r="C25" s="77">
        <f t="shared" si="2"/>
        <v>1.6910585904506036E-3</v>
      </c>
    </row>
    <row r="26" spans="1:4" x14ac:dyDescent="0.2">
      <c r="A26" s="2">
        <f t="shared" si="1"/>
        <v>40000000</v>
      </c>
      <c r="B26" s="2">
        <f t="shared" si="0"/>
        <v>218050.60666741617</v>
      </c>
      <c r="C26" s="77">
        <f t="shared" si="2"/>
        <v>1.1143518283428624E-3</v>
      </c>
    </row>
    <row r="27" spans="1:4" x14ac:dyDescent="0.2">
      <c r="A27" s="2">
        <f t="shared" si="1"/>
        <v>50000000</v>
      </c>
      <c r="B27" s="2">
        <f t="shared" si="0"/>
        <v>257121.2781913355</v>
      </c>
      <c r="C27" s="77">
        <f t="shared" si="2"/>
        <v>7.8141343047838656E-4</v>
      </c>
    </row>
    <row r="28" spans="1:4" x14ac:dyDescent="0.2">
      <c r="A28" s="2">
        <f t="shared" si="1"/>
        <v>60000000</v>
      </c>
      <c r="B28" s="2">
        <f t="shared" si="0"/>
        <v>291296.63727436401</v>
      </c>
      <c r="C28" s="77">
        <f t="shared" si="2"/>
        <v>5.6958931805047518E-4</v>
      </c>
    </row>
    <row r="29" spans="1:4" x14ac:dyDescent="0.2">
      <c r="A29" s="2">
        <f t="shared" si="1"/>
        <v>70000000</v>
      </c>
      <c r="B29" s="2">
        <f t="shared" si="0"/>
        <v>321135.50980218779</v>
      </c>
      <c r="C29" s="77">
        <f t="shared" si="2"/>
        <v>4.2626960754033977E-4</v>
      </c>
    </row>
    <row r="30" spans="1:4" x14ac:dyDescent="0.2">
      <c r="A30" s="2">
        <f t="shared" si="1"/>
        <v>80000000</v>
      </c>
      <c r="B30" s="2">
        <f t="shared" si="0"/>
        <v>347146.64896780811</v>
      </c>
      <c r="C30" s="77">
        <f t="shared" si="2"/>
        <v>3.2513923957025399E-4</v>
      </c>
    </row>
    <row r="31" spans="1:4" x14ac:dyDescent="0.2">
      <c r="A31" s="2">
        <f t="shared" si="1"/>
        <v>90000000</v>
      </c>
      <c r="B31" s="2">
        <f t="shared" si="0"/>
        <v>369789.58456045669</v>
      </c>
      <c r="C31" s="77">
        <f t="shared" si="2"/>
        <v>2.5158817325165084E-4</v>
      </c>
    </row>
    <row r="32" spans="1:4" x14ac:dyDescent="0.2">
      <c r="A32" s="2">
        <f t="shared" si="1"/>
        <v>100000000</v>
      </c>
      <c r="B32" s="2">
        <f t="shared" si="0"/>
        <v>389476.63249957375</v>
      </c>
      <c r="C32" s="77">
        <f t="shared" si="2"/>
        <v>1.9687047939117067E-4</v>
      </c>
    </row>
    <row r="33" spans="1:3" x14ac:dyDescent="0.2">
      <c r="A33" s="2">
        <f t="shared" si="1"/>
        <v>110000000</v>
      </c>
      <c r="B33" s="2">
        <f t="shared" si="0"/>
        <v>406575.66504135821</v>
      </c>
      <c r="C33" s="77">
        <f t="shared" si="2"/>
        <v>1.5544575037985871E-4</v>
      </c>
    </row>
    <row r="34" spans="1:3" x14ac:dyDescent="0.2">
      <c r="A34" s="2">
        <f>A33+(($C$18-$B$18)/$D$18)</f>
        <v>120000000</v>
      </c>
      <c r="B34" s="2">
        <f t="shared" si="0"/>
        <v>421413.33103184588</v>
      </c>
      <c r="C34" s="77">
        <f t="shared" si="2"/>
        <v>1.2364721658739727E-4</v>
      </c>
    </row>
    <row r="35" spans="1:3" x14ac:dyDescent="0.2">
      <c r="A35" s="2">
        <f t="shared" si="1"/>
        <v>130000000</v>
      </c>
      <c r="B35" s="2">
        <f t="shared" si="0"/>
        <v>434278.49192497414</v>
      </c>
      <c r="C35" s="77">
        <f t="shared" si="2"/>
        <v>9.896277610098657E-5</v>
      </c>
    </row>
    <row r="36" spans="1:3" x14ac:dyDescent="0.2">
      <c r="A36" s="2">
        <f t="shared" si="1"/>
        <v>140000000</v>
      </c>
      <c r="B36" s="2">
        <f t="shared" si="0"/>
        <v>445425.7024764372</v>
      </c>
      <c r="C36" s="77">
        <f t="shared" si="2"/>
        <v>7.9622932510450481E-5</v>
      </c>
    </row>
    <row r="37" spans="1:3" x14ac:dyDescent="0.2">
      <c r="A37" s="2">
        <f t="shared" si="1"/>
        <v>150000000</v>
      </c>
      <c r="B37" s="2">
        <f t="shared" si="0"/>
        <v>455078.61578376312</v>
      </c>
      <c r="C37" s="77">
        <f t="shared" si="2"/>
        <v>6.4352755382172757E-5</v>
      </c>
    </row>
    <row r="38" spans="1:3" x14ac:dyDescent="0.2">
      <c r="A38" s="2">
        <f t="shared" si="1"/>
        <v>160000000</v>
      </c>
      <c r="B38" s="2">
        <f t="shared" si="0"/>
        <v>463433.23205492459</v>
      </c>
      <c r="C38" s="77">
        <f t="shared" si="2"/>
        <v>5.2216351694759215E-5</v>
      </c>
    </row>
    <row r="39" spans="1:3" x14ac:dyDescent="0.2">
      <c r="A39" s="2">
        <f t="shared" si="1"/>
        <v>170000000</v>
      </c>
      <c r="B39" s="2">
        <f t="shared" si="0"/>
        <v>470660.94080024865</v>
      </c>
      <c r="C39" s="77">
        <f t="shared" si="2"/>
        <v>4.2515933796023838E-5</v>
      </c>
    </row>
    <row r="40" spans="1:3" x14ac:dyDescent="0.2">
      <c r="A40" s="2">
        <f t="shared" si="1"/>
        <v>180000000</v>
      </c>
      <c r="B40" s="2">
        <f t="shared" si="0"/>
        <v>476911.32871761266</v>
      </c>
      <c r="C40" s="77">
        <f t="shared" si="2"/>
        <v>3.4724377318688977E-5</v>
      </c>
    </row>
    <row r="41" spans="1:3" x14ac:dyDescent="0.2">
      <c r="A41" s="2">
        <f>A40+(($C$18-$B$18)/$D$18)</f>
        <v>190000000</v>
      </c>
      <c r="B41" s="2">
        <f t="shared" si="0"/>
        <v>482314.74191566277</v>
      </c>
      <c r="C41" s="77">
        <f t="shared" si="2"/>
        <v>2.8439016831842692E-5</v>
      </c>
    </row>
    <row r="42" spans="1:3" x14ac:dyDescent="0.2">
      <c r="A42" s="2">
        <f t="shared" si="1"/>
        <v>200000000</v>
      </c>
      <c r="B42" s="2">
        <f t="shared" si="0"/>
        <v>486984.60263799503</v>
      </c>
      <c r="C42" s="77">
        <f t="shared" si="2"/>
        <v>2.3349303611661307E-5</v>
      </c>
    </row>
  </sheetData>
  <mergeCells count="11">
    <mergeCell ref="B4:F4"/>
    <mergeCell ref="A7:A9"/>
    <mergeCell ref="B7:C7"/>
    <mergeCell ref="D7:E7"/>
    <mergeCell ref="F7:G7"/>
    <mergeCell ref="H11:H12"/>
    <mergeCell ref="A13:F14"/>
    <mergeCell ref="H13:O14"/>
    <mergeCell ref="A17:A18"/>
    <mergeCell ref="A20:B20"/>
    <mergeCell ref="A11:A12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isl xmlns:xsi="http://www.w3.org/2001/XMLSchema-instance" xmlns:xsd="http://www.w3.org/2001/XMLSchema" xmlns="http://www.boldonjames.com/2008/01/sie/internal/label" sislVersion="0" policy="a10f9ac0-5937-4b4f-b459-96aedd9ed2c5" origin="userSelected">
  <element uid="id_classification_euconfidential" value=""/>
  <element uid="cefbaa69-3bfa-4b56-8d22-6839cb7b06d0" value=""/>
</sisl>
</file>

<file path=customXml/itemProps1.xml><?xml version="1.0" encoding="utf-8"?>
<ds:datastoreItem xmlns:ds="http://schemas.openxmlformats.org/officeDocument/2006/customXml" ds:itemID="{4ED9C36B-819B-4147-8A4A-4F0FF66BB305}">
  <ds:schemaRefs>
    <ds:schemaRef ds:uri="http://www.w3.org/2001/XMLSchema"/>
    <ds:schemaRef ds:uri="http://www.boldonjames.com/2008/01/sie/internal/label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25</vt:i4>
      </vt:variant>
    </vt:vector>
  </HeadingPairs>
  <TitlesOfParts>
    <vt:vector size="25" baseType="lpstr">
      <vt:lpstr>Sensitivity - Template</vt:lpstr>
      <vt:lpstr>Sheet1 (2)</vt:lpstr>
      <vt:lpstr>Scenario summary</vt:lpstr>
      <vt:lpstr>Chart - Combined</vt:lpstr>
      <vt:lpstr>Sensitivity</vt:lpstr>
      <vt:lpstr>Contribution, promo eff, ROI</vt:lpstr>
      <vt:lpstr>Scenario deep dive</vt:lpstr>
      <vt:lpstr>Sheet1</vt:lpstr>
      <vt:lpstr>VAC_Optim_Scenario</vt:lpstr>
      <vt:lpstr>GINOFF</vt:lpstr>
      <vt:lpstr>GMCM</vt:lpstr>
      <vt:lpstr>GSOCIAL</vt:lpstr>
      <vt:lpstr>GOLV</vt:lpstr>
      <vt:lpstr>GSTRTV</vt:lpstr>
      <vt:lpstr>GDISP</vt:lpstr>
      <vt:lpstr>GPDSRCH</vt:lpstr>
      <vt:lpstr>GAUDIO</vt:lpstr>
      <vt:lpstr>GLINEARTV</vt:lpstr>
      <vt:lpstr>GPRNT</vt:lpstr>
      <vt:lpstr>GPHRMCY</vt:lpstr>
      <vt:lpstr>Fn.Templates ==&gt;</vt:lpstr>
      <vt:lpstr>FT_SCurveEst</vt:lpstr>
      <vt:lpstr>FT_Equation</vt:lpstr>
      <vt:lpstr>FT_Interpolate</vt:lpstr>
      <vt:lpstr>FT_SCurve3Est</vt:lpstr>
    </vt:vector>
  </TitlesOfParts>
  <Company>Merck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Merck &amp; Co., Inc.</dc:creator>
  <cp:lastModifiedBy>Shukla, Hrithik</cp:lastModifiedBy>
  <cp:lastPrinted>2013-05-08T17:24:00Z</cp:lastPrinted>
  <dcterms:created xsi:type="dcterms:W3CDTF">2013-03-17T16:17:06Z</dcterms:created>
  <dcterms:modified xsi:type="dcterms:W3CDTF">2023-07-26T14:27:59Z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IndexRef">
    <vt:lpwstr>4dc0ce48-2f6e-4b34-b7da-db143b6331a5</vt:lpwstr>
  </property>
  <property fmtid="{D5CDD505-2E9C-101B-9397-08002B2CF9AE}" pid="3" name="bjSaver">
    <vt:lpwstr>pPneHbi9DKHzPsy9kETYNVatLtYuav4s</vt:lpwstr>
  </property>
  <property fmtid="{D5CDD505-2E9C-101B-9397-08002B2CF9AE}" pid="4" name="bjDocumentSecurityLabel">
    <vt:lpwstr>Proprietary</vt:lpwstr>
  </property>
  <property fmtid="{D5CDD505-2E9C-101B-9397-08002B2CF9AE}" pid="5" name="MerckMetadataExchange">
    <vt:lpwstr>!$MRK@Proprietary-Footer-Left</vt:lpwstr>
  </property>
  <property fmtid="{D5CDD505-2E9C-101B-9397-08002B2CF9AE}" pid="6" name="bjLeftFooterLabel">
    <vt:lpwstr>&amp;"Times New Roman,Regular"&amp;12&amp;K00C0C0Proprietary</vt:lpwstr>
  </property>
  <property fmtid="{D5CDD505-2E9C-101B-9397-08002B2CF9AE}" pid="7" name="bjDocumentLabelXML">
    <vt:lpwstr>&lt;?xml version="1.0" encoding="us-ascii"?&gt;&lt;sisl xmlns:xsi="http://www.w3.org/2001/XMLSchema-instance" xmlns:xsd="http://www.w3.org/2001/XMLSchema" sislVersion="0" policy="a10f9ac0-5937-4b4f-b459-96aedd9ed2c5" origin="userSelected" xmlns="http://www.boldonj</vt:lpwstr>
  </property>
  <property fmtid="{D5CDD505-2E9C-101B-9397-08002B2CF9AE}" pid="8" name="bjDocumentLabelXML-0">
    <vt:lpwstr>ames.com/2008/01/sie/internal/label"&gt;&lt;element uid="id_classification_euconfidential" value="" /&gt;&lt;element uid="cefbaa69-3bfa-4b56-8d22-6839cb7b06d0" value="" /&gt;&lt;/sisl&gt;</vt:lpwstr>
  </property>
  <property fmtid="{D5CDD505-2E9C-101B-9397-08002B2CF9AE}" pid="9" name="bjLeftFooterLabel-first">
    <vt:lpwstr>&amp;"Times New Roman,Regular"&amp;12&amp;K00C0C0Proprietary</vt:lpwstr>
  </property>
  <property fmtid="{D5CDD505-2E9C-101B-9397-08002B2CF9AE}" pid="10" name="bjLeftFooterLabel-even">
    <vt:lpwstr>&amp;"Times New Roman,Regular"&amp;12&amp;K00C0C0Proprietary</vt:lpwstr>
  </property>
  <property fmtid="{D5CDD505-2E9C-101B-9397-08002B2CF9AE}" pid="11" name="MSIP_Label_927fd646-07cb-4c4e-a107-4e4d6b30ba1b_Enabled">
    <vt:lpwstr>true</vt:lpwstr>
  </property>
  <property fmtid="{D5CDD505-2E9C-101B-9397-08002B2CF9AE}" pid="12" name="MSIP_Label_927fd646-07cb-4c4e-a107-4e4d6b30ba1b_SetDate">
    <vt:lpwstr>2021-10-04T14:18:57Z</vt:lpwstr>
  </property>
  <property fmtid="{D5CDD505-2E9C-101B-9397-08002B2CF9AE}" pid="13" name="MSIP_Label_927fd646-07cb-4c4e-a107-4e4d6b30ba1b_Method">
    <vt:lpwstr>Standard</vt:lpwstr>
  </property>
  <property fmtid="{D5CDD505-2E9C-101B-9397-08002B2CF9AE}" pid="14" name="MSIP_Label_927fd646-07cb-4c4e-a107-4e4d6b30ba1b_Name">
    <vt:lpwstr>927fd646-07cb-4c4e-a107-4e4d6b30ba1b</vt:lpwstr>
  </property>
  <property fmtid="{D5CDD505-2E9C-101B-9397-08002B2CF9AE}" pid="15" name="MSIP_Label_927fd646-07cb-4c4e-a107-4e4d6b30ba1b_SiteId">
    <vt:lpwstr>a00de4ec-48a8-43a6-be74-e31274e2060d</vt:lpwstr>
  </property>
  <property fmtid="{D5CDD505-2E9C-101B-9397-08002B2CF9AE}" pid="16" name="MSIP_Label_927fd646-07cb-4c4e-a107-4e4d6b30ba1b_ActionId">
    <vt:lpwstr>60036cc4-b9ee-4646-9f18-9d356e21f455</vt:lpwstr>
  </property>
  <property fmtid="{D5CDD505-2E9C-101B-9397-08002B2CF9AE}" pid="17" name="MSIP_Label_927fd646-07cb-4c4e-a107-4e4d6b30ba1b_ContentBits">
    <vt:lpwstr>1</vt:lpwstr>
  </property>
</Properties>
</file>