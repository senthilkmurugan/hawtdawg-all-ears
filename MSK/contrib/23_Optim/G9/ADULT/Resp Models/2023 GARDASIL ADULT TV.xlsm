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Resp Models\"/>
    </mc:Choice>
  </mc:AlternateContent>
  <xr:revisionPtr revIDLastSave="0" documentId="13_ncr:1_{71D7CDA2-4453-4D1A-BFE1-D43D59C5957C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TV" sheetId="13" r:id="rId1"/>
    <sheet name="Data" sheetId="14" r:id="rId2"/>
    <sheet name="TV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5" l="1"/>
  <c r="G5" i="13"/>
  <c r="F9" i="13"/>
  <c r="H9" i="13"/>
  <c r="D6" i="13"/>
  <c r="D12" i="15"/>
  <c r="I5" i="14" l="1"/>
  <c r="H5" i="14"/>
  <c r="B12" i="15" s="1"/>
  <c r="A21" i="15"/>
  <c r="J5" i="14" l="1"/>
  <c r="E9" i="15"/>
  <c r="F9" i="15" s="1"/>
  <c r="G9" i="15"/>
  <c r="H9" i="15" s="1"/>
  <c r="I9" i="15" s="1"/>
  <c r="A22" i="15"/>
  <c r="A23" i="15" s="1"/>
  <c r="B23" i="15" s="1"/>
  <c r="C23" i="15" s="1"/>
  <c r="D23" i="15" s="1"/>
  <c r="C9" i="15"/>
  <c r="B9" i="15"/>
  <c r="K5" i="14"/>
  <c r="B21" i="15" l="1"/>
  <c r="C21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<sst xmlns="http://schemas.openxmlformats.org/spreadsheetml/2006/main" count="125" uniqueCount="95">
  <si>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</si>
  <si>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</si>
  <si>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</si>
  <si>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</si>
  <si>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</si>
  <si>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</si>
  <si>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</si>
  <si>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</si>
  <si>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</si>
  <si>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</si>
  <si>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</si>
  <si>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</si>
  <si>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</si>
  <si>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</si>
  <si>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</si>
  <si>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</si>
  <si>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</si>
  <si>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</si>
  <si>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</si>
  <si>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</si>
  <si>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</si>
  <si>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</si>
  <si>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</si>
  <si>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</si>
  <si>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</si>
  <si>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</si>
  <si>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</si>
  <si>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</si>
  <si>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</si>
  <si>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</si>
  <si>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</si>
  <si>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</si>
  <si>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</si>
  <si>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</si>
  <si>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</si>
  <si>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</si>
  <si>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</si>
  <si>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</si>
  <si>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</si>
  <si>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</si>
  <si>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</si>
  <si>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</si>
  <si>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</si>
  <si>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</si>
  <si>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</si>
  <si>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</si>
  <si>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</si>
  <si>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</si>
  <si>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</si>
  <si>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</si>
  <si>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</si>
  <si>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</si>
  <si>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</si>
  <si>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</si>
  <si>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</si>
  <si>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</si>
  <si>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</si>
  <si>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</si>
  <si>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</si>
  <si>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</si>
  <si>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</si>
  <si>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</si>
  <si>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</si>
  <si>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</si>
  <si>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</si>
  <si>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</si>
  <si>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</si>
  <si>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</si>
  <si>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</si>
  <si>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</si>
  <si>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</si>
  <si>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</si>
  <si>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</si>
  <si>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</si>
  <si>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</si>
  <si>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</si>
  <si>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</si>
  <si>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</si>
  <si>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</si>
  <si>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</si>
  <si>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</si>
  <si>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</si>
  <si>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</si>
  <si>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</si>
  <si>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</si>
  <si>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</si>
  <si>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</si>
  <si>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</si>
  <si>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</si>
  <si>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Power Curve</t>
  </si>
  <si>
    <t>Revenue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</si>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</sst>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0" fontId="39" fillId="47" borderId="53" xfId="0" applyFont="1" applyFill="1" applyBorder="1" applyAlignment="1">
      <alignment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6" fontId="39" fillId="0" borderId="54" xfId="0" applyNumberFormat="1" applyFont="1" applyBorder="1" applyAlignment="1">
      <alignment vertical="center"/>
    </xf>
    <xf numFmtId="2" fontId="39" fillId="0" borderId="52" xfId="0" applyNumberFormat="1" applyFont="1" applyBorder="1" applyAlignment="1">
      <alignment horizontal="center" vertical="center"/>
    </xf>
    <xf numFmtId="166" fontId="38" fillId="0" borderId="51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52" xfId="0" applyNumberFormat="1" applyBorder="1" applyAlignment="1">
      <alignment horizontal="center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'TV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'TV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'TV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17312.428335532044</c:v>
                </c:pt>
                <c:pt idx="2">
                  <c:v>28124.122804562983</c:v>
                </c:pt>
                <c:pt idx="3">
                  <c:v>37354.494781339148</c:v>
                </c:pt>
                <c:pt idx="4">
                  <c:v>45687.772286846674</c:v>
                </c:pt>
                <c:pt idx="5">
                  <c:v>53411.772644683391</c:v>
                </c:pt>
                <c:pt idx="6">
                  <c:v>60682.555801638446</c:v>
                </c:pt>
                <c:pt idx="7">
                  <c:v>67596.874637959671</c:v>
                </c:pt>
                <c:pt idx="8">
                  <c:v>74220.005048338426</c:v>
                </c:pt>
                <c:pt idx="9">
                  <c:v>80598.645858666729</c:v>
                </c:pt>
                <c:pt idx="10">
                  <c:v>86767.680648557027</c:v>
                </c:pt>
                <c:pt idx="11">
                  <c:v>92754.047136828973</c:v>
                </c:pt>
                <c:pt idx="12">
                  <c:v>98579.102733803622</c:v>
                </c:pt>
                <c:pt idx="13">
                  <c:v>104260.1475653558</c:v>
                </c:pt>
                <c:pt idx="14">
                  <c:v>109811.44682174956</c:v>
                </c:pt>
                <c:pt idx="15">
                  <c:v>115244.9410244207</c:v>
                </c:pt>
                <c:pt idx="16">
                  <c:v>120570.75391616956</c:v>
                </c:pt>
                <c:pt idx="17">
                  <c:v>125797.56466742975</c:v>
                </c:pt>
                <c:pt idx="18">
                  <c:v>130932.88648353927</c:v>
                </c:pt>
                <c:pt idx="19">
                  <c:v>135983.27903315192</c:v>
                </c:pt>
                <c:pt idx="20">
                  <c:v>140954.51306612603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853439</xdr:colOff>
      <xdr:row>19</xdr:row>
      <xdr:rowOff>25588</xdr:rowOff>
    </xdr:from>
    <xdr:to>
      <xdr:col>9</xdr:col>
      <xdr:colOff>445713</xdr:colOff>
      <xdr:row>34</xdr:row>
      <xdr:rowOff>71536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zoomScale="120" zoomScaleNormal="120" workbookViewId="0">
      <selection activeCell="F5" sqref="F5"/>
    </sheetView>
  </sheetViews>
  <sheetFormatPr defaultRowHeight="15" x14ac:dyDescent="0.25"/>
  <cols>
    <col min="3" max="3" width="18.5703125" customWidth="1"/>
    <col min="4" max="4" width="14.5703125" bestFit="1" customWidth="1"/>
    <col min="5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71</v>
      </c>
      <c r="D4" s="79" t="s">
        <v>72</v>
      </c>
      <c r="E4" s="79" t="s">
        <v>0</v>
      </c>
      <c r="F4" s="79" t="s">
        <v>73</v>
      </c>
      <c r="G4" s="79" t="s">
        <v>74</v>
      </c>
      <c r="L4" s="81"/>
    </row>
    <row r="5" spans="3:12" x14ac:dyDescent="0.25">
      <c r="C5" t="s">
        <v>33</v>
      </c>
      <c r="D5" s="130">
        <v>25810928.600000001</v>
      </c>
      <c r="E5" s="83">
        <v>1.4750611482540188</v>
      </c>
      <c r="F5" s="82">
        <v>225.94</v>
      </c>
      <c r="G5" s="84">
        <f>F9</f>
        <v>168508.00202805389</v>
      </c>
      <c r="L5" s="85"/>
    </row>
    <row r="6" spans="3:12" x14ac:dyDescent="0.25">
      <c r="C6" s="86"/>
      <c r="D6" s="130">
        <f>SUM(D5)</f>
        <v>25810928.600000001</v>
      </c>
      <c r="E6" s="87"/>
      <c r="F6" s="87"/>
      <c r="G6" s="88"/>
      <c r="L6" s="85"/>
    </row>
    <row r="7" spans="3:12" ht="15.75" thickBot="1" x14ac:dyDescent="0.3">
      <c r="D7" s="130"/>
      <c r="L7" s="85"/>
    </row>
    <row r="8" spans="3:12" ht="15.75" thickBot="1" x14ac:dyDescent="0.3">
      <c r="C8" s="122"/>
      <c r="D8" s="129" t="s">
        <v>91</v>
      </c>
      <c r="E8" s="123" t="s">
        <v>92</v>
      </c>
      <c r="F8" s="123" t="s">
        <v>70</v>
      </c>
      <c r="G8" s="123" t="s">
        <v>89</v>
      </c>
      <c r="H8" s="123" t="s">
        <v>90</v>
      </c>
      <c r="K8" s="89"/>
      <c r="L8" s="90"/>
    </row>
    <row r="9" spans="3:12" ht="15.75" thickBot="1" x14ac:dyDescent="0.3">
      <c r="C9" s="124" t="s">
        <v>33</v>
      </c>
      <c r="D9" s="131">
        <v>25810928.600000001</v>
      </c>
      <c r="E9" s="128">
        <v>1.4750611482540188</v>
      </c>
      <c r="F9" s="126">
        <f>H9/F5</f>
        <v>168508.00202805389</v>
      </c>
      <c r="G9" s="125">
        <v>0.7</v>
      </c>
      <c r="H9" s="127">
        <f>D9*E9</f>
        <v>38072697.978218496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topLeftCell="B1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2" t="s">
        <v>84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3">
      <c r="B3" s="92" t="s">
        <v>1</v>
      </c>
      <c r="C3" s="92"/>
      <c r="D3" s="92"/>
      <c r="H3" s="133" t="s">
        <v>94</v>
      </c>
      <c r="I3" s="134"/>
      <c r="J3" s="134"/>
      <c r="K3" s="134"/>
    </row>
    <row r="4" spans="1:11" ht="66" x14ac:dyDescent="0.3">
      <c r="B4" s="92">
        <v>2022</v>
      </c>
      <c r="C4" s="92" t="s">
        <v>75</v>
      </c>
      <c r="D4" s="93"/>
      <c r="F4" s="94" t="s">
        <v>93</v>
      </c>
      <c r="H4" s="95" t="s">
        <v>2</v>
      </c>
      <c r="I4" s="95" t="s">
        <v>76</v>
      </c>
      <c r="J4" s="95" t="s">
        <v>77</v>
      </c>
      <c r="K4" s="96" t="s">
        <v>78</v>
      </c>
    </row>
    <row r="5" spans="1:11" s="97" customFormat="1" ht="25.5" customHeight="1" x14ac:dyDescent="0.3">
      <c r="B5" s="92">
        <v>2022</v>
      </c>
      <c r="C5" s="92" t="s">
        <v>79</v>
      </c>
      <c r="D5" s="98">
        <v>225.94</v>
      </c>
      <c r="F5" s="99">
        <v>4647854</v>
      </c>
      <c r="G5" s="91"/>
      <c r="H5" s="100">
        <f>TV!D5</f>
        <v>25810928.600000001</v>
      </c>
      <c r="I5" s="101">
        <f>TV!G5</f>
        <v>168508.00202805389</v>
      </c>
      <c r="J5" s="102">
        <f>I5/F5</f>
        <v>3.6255011888939259E-2</v>
      </c>
      <c r="K5" s="103">
        <f>H5/I5</f>
        <v>153.17331099625105</v>
      </c>
    </row>
    <row r="6" spans="1:11" s="97" customFormat="1" x14ac:dyDescent="0.3">
      <c r="B6" s="104"/>
      <c r="C6" s="104"/>
      <c r="D6" s="105"/>
      <c r="H6" s="106" t="s">
        <v>80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G11" sqref="G11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88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69</v>
      </c>
      <c r="C2" s="70" t="s">
        <v>6</v>
      </c>
      <c r="D2" s="3" t="s">
        <v>7</v>
      </c>
      <c r="E2" s="70" t="s">
        <v>49</v>
      </c>
      <c r="F2" s="3" t="s">
        <v>70</v>
      </c>
      <c r="G2" s="1"/>
      <c r="H2" s="1"/>
      <c r="I2" s="1"/>
    </row>
    <row r="3" spans="1:9" ht="15.75" thickBot="1" x14ac:dyDescent="0.3">
      <c r="A3" s="71" t="s">
        <v>9</v>
      </c>
      <c r="B3" s="4" t="s">
        <v>85</v>
      </c>
      <c r="C3" s="72" t="s">
        <v>10</v>
      </c>
      <c r="D3" s="5" t="s">
        <v>70</v>
      </c>
      <c r="E3" s="72" t="s">
        <v>48</v>
      </c>
      <c r="F3" s="5" t="s">
        <v>86</v>
      </c>
      <c r="G3" s="1"/>
      <c r="H3" s="1"/>
      <c r="I3" s="1"/>
    </row>
    <row r="4" spans="1:9" ht="15.75" thickBot="1" x14ac:dyDescent="0.3">
      <c r="A4" s="73" t="s">
        <v>11</v>
      </c>
      <c r="B4" s="142"/>
      <c r="C4" s="143"/>
      <c r="D4" s="143"/>
      <c r="E4" s="143"/>
      <c r="F4" s="144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45" t="s">
        <v>12</v>
      </c>
      <c r="B7" s="148" t="s">
        <v>13</v>
      </c>
      <c r="C7" s="148"/>
      <c r="D7" s="148" t="s">
        <v>14</v>
      </c>
      <c r="E7" s="148"/>
      <c r="F7" s="148"/>
      <c r="G7" s="148" t="s">
        <v>60</v>
      </c>
      <c r="H7" s="148"/>
      <c r="I7" s="149"/>
    </row>
    <row r="8" spans="1:9" x14ac:dyDescent="0.25">
      <c r="A8" s="146"/>
      <c r="B8" s="78" t="s">
        <v>16</v>
      </c>
      <c r="C8" s="78" t="s">
        <v>17</v>
      </c>
      <c r="D8" s="78" t="s">
        <v>45</v>
      </c>
      <c r="E8" s="78" t="s">
        <v>44</v>
      </c>
      <c r="F8" s="78" t="s">
        <v>34</v>
      </c>
      <c r="G8" s="78" t="s">
        <v>18</v>
      </c>
      <c r="H8" s="78" t="s">
        <v>19</v>
      </c>
      <c r="I8" s="75" t="s">
        <v>68</v>
      </c>
    </row>
    <row r="9" spans="1:9" ht="15.75" thickBot="1" x14ac:dyDescent="0.3">
      <c r="A9" s="147"/>
      <c r="B9" s="108">
        <f>Data!$H$5*'TV - Power'!B6</f>
        <v>20648742.880000003</v>
      </c>
      <c r="C9" s="108">
        <f>Data!$H$5*'TV - Power'!C6</f>
        <v>30973114.32</v>
      </c>
      <c r="D9" s="109"/>
      <c r="E9" s="110">
        <f>(('TV - Power'!D9/$B$12)^$D$12)*$C$12</f>
        <v>0</v>
      </c>
      <c r="F9" s="111">
        <f>E9*F11</f>
        <v>0</v>
      </c>
      <c r="G9" s="112">
        <f>B12</f>
        <v>25810928.600000001</v>
      </c>
      <c r="H9" s="110">
        <f>(('TV - Power'!G9/$B$12)^$D$12)*$C$12</f>
        <v>168508.00202805389</v>
      </c>
      <c r="I9" s="113">
        <f>H9*F11</f>
        <v>168508.00202805389</v>
      </c>
    </row>
    <row r="10" spans="1:9" ht="15.75" thickBot="1" x14ac:dyDescent="0.3"/>
    <row r="11" spans="1:9" ht="48.95" customHeight="1" x14ac:dyDescent="0.25">
      <c r="A11" s="135" t="s">
        <v>20</v>
      </c>
      <c r="B11" s="76" t="s">
        <v>21</v>
      </c>
      <c r="C11" s="76" t="s">
        <v>22</v>
      </c>
      <c r="D11" s="76" t="s">
        <v>81</v>
      </c>
      <c r="E11" s="78" t="s">
        <v>67</v>
      </c>
      <c r="F11" s="114">
        <v>1</v>
      </c>
    </row>
    <row r="12" spans="1:9" ht="40.35" customHeight="1" thickBot="1" x14ac:dyDescent="0.3">
      <c r="A12" s="135"/>
      <c r="B12" s="115">
        <f>Data!H5</f>
        <v>25810928.600000001</v>
      </c>
      <c r="C12" s="116">
        <f>Data!I5</f>
        <v>168508.00202805389</v>
      </c>
      <c r="D12" s="117">
        <f>TV!G9</f>
        <v>0.7</v>
      </c>
      <c r="E12" s="78" t="s">
        <v>61</v>
      </c>
      <c r="F12" s="118">
        <v>1</v>
      </c>
    </row>
    <row r="13" spans="1:9" ht="18.75" customHeight="1" x14ac:dyDescent="0.25">
      <c r="A13" s="136" t="s">
        <v>82</v>
      </c>
      <c r="B13" s="137"/>
      <c r="C13" s="137"/>
      <c r="D13" s="137"/>
      <c r="E13" s="78" t="s">
        <v>66</v>
      </c>
      <c r="F13" s="78" t="s">
        <v>65</v>
      </c>
    </row>
    <row r="14" spans="1:9" ht="15.75" thickBot="1" x14ac:dyDescent="0.3">
      <c r="A14" s="138"/>
      <c r="B14" s="139"/>
      <c r="C14" s="139"/>
      <c r="D14" s="139"/>
      <c r="E14" s="74"/>
      <c r="F14" s="74"/>
    </row>
    <row r="15" spans="1:9" ht="15.75" thickBot="1" x14ac:dyDescent="0.3"/>
    <row r="16" spans="1:9" x14ac:dyDescent="0.25">
      <c r="A16" s="140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1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5" t="s">
        <v>62</v>
      </c>
      <c r="B19" s="135"/>
      <c r="C19" s="135"/>
      <c r="D19" s="1"/>
    </row>
    <row r="20" spans="1:4" ht="25.5" x14ac:dyDescent="0.25">
      <c r="A20" s="78" t="s">
        <v>63</v>
      </c>
      <c r="B20" s="78" t="s">
        <v>87</v>
      </c>
      <c r="C20" s="78" t="s">
        <v>83</v>
      </c>
    </row>
    <row r="21" spans="1:4" x14ac:dyDescent="0.25">
      <c r="A21" s="119">
        <f>B17</f>
        <v>0</v>
      </c>
      <c r="B21" s="110">
        <f>(('TV - Power'!A21/$B$12)^$D$12)*$C$12</f>
        <v>0</v>
      </c>
      <c r="C21" s="120">
        <f>B21*TV!$F$5</f>
        <v>0</v>
      </c>
    </row>
    <row r="22" spans="1:4" x14ac:dyDescent="0.25">
      <c r="A22" s="119">
        <f>A21+(($C$17-$B$17)/$D$17)</f>
        <v>1000000</v>
      </c>
      <c r="B22" s="110">
        <f>(('TV - Power'!A22/$B$12)^$D$12)*$C$12</f>
        <v>17312.428335532044</v>
      </c>
      <c r="C22" s="120">
        <f>B22*TV!$F$5</f>
        <v>3911570.0581301101</v>
      </c>
      <c r="D22">
        <f>C22/A22</f>
        <v>3.9115700581301103</v>
      </c>
    </row>
    <row r="23" spans="1:4" x14ac:dyDescent="0.25">
      <c r="A23" s="119">
        <f t="shared" ref="A23:A41" si="0">A22+(($C$17-$B$17)/$D$17)</f>
        <v>2000000</v>
      </c>
      <c r="B23" s="110">
        <f>(('TV - Power'!A23/$B$12)^$D$12)*$C$12</f>
        <v>28124.122804562983</v>
      </c>
      <c r="C23" s="120">
        <f>B23*TV!$F$5</f>
        <v>6354364.3064629603</v>
      </c>
      <c r="D23">
        <f t="shared" ref="D23:D41" si="1">C23/A23</f>
        <v>3.1771821532314801</v>
      </c>
    </row>
    <row r="24" spans="1:4" x14ac:dyDescent="0.25">
      <c r="A24" s="119">
        <f t="shared" si="0"/>
        <v>3000000</v>
      </c>
      <c r="B24" s="110">
        <f>(('TV - Power'!A24/$B$12)^$D$12)*$C$12</f>
        <v>37354.494781339148</v>
      </c>
      <c r="C24" s="120">
        <f>B24*TV!$F$5</f>
        <v>8439874.5508957673</v>
      </c>
      <c r="D24">
        <f t="shared" si="1"/>
        <v>2.8132915169652559</v>
      </c>
    </row>
    <row r="25" spans="1:4" x14ac:dyDescent="0.25">
      <c r="A25" s="119">
        <f t="shared" si="0"/>
        <v>4000000</v>
      </c>
      <c r="B25" s="110">
        <f>(('TV - Power'!A25/$B$12)^$D$12)*$C$12</f>
        <v>45687.772286846674</v>
      </c>
      <c r="C25" s="120">
        <f>B25*TV!$F$5</f>
        <v>10322695.270490138</v>
      </c>
      <c r="D25">
        <f t="shared" si="1"/>
        <v>2.5806738176225346</v>
      </c>
    </row>
    <row r="26" spans="1:4" x14ac:dyDescent="0.25">
      <c r="A26" s="119">
        <f t="shared" si="0"/>
        <v>5000000</v>
      </c>
      <c r="B26" s="110">
        <f>(('TV - Power'!A26/$B$12)^$D$12)*$C$12</f>
        <v>53411.772644683391</v>
      </c>
      <c r="C26" s="120">
        <f>B26*TV!$F$5</f>
        <v>12067855.911339765</v>
      </c>
      <c r="D26">
        <f t="shared" si="1"/>
        <v>2.4135711822679529</v>
      </c>
    </row>
    <row r="27" spans="1:4" x14ac:dyDescent="0.25">
      <c r="A27" s="119">
        <f t="shared" si="0"/>
        <v>6000000</v>
      </c>
      <c r="B27" s="110">
        <f>(('TV - Power'!A27/$B$12)^$D$12)*$C$12</f>
        <v>60682.555801638446</v>
      </c>
      <c r="C27" s="120">
        <f>B27*TV!$F$5</f>
        <v>13710616.65782219</v>
      </c>
      <c r="D27">
        <f t="shared" si="1"/>
        <v>2.2851027763036984</v>
      </c>
    </row>
    <row r="28" spans="1:4" x14ac:dyDescent="0.25">
      <c r="A28" s="119">
        <f t="shared" si="0"/>
        <v>7000000</v>
      </c>
      <c r="B28" s="110">
        <f>(('TV - Power'!A28/$B$12)^$D$12)*$C$12</f>
        <v>67596.874637959671</v>
      </c>
      <c r="C28" s="120">
        <f>B28*TV!$F$5</f>
        <v>15272837.855700608</v>
      </c>
      <c r="D28">
        <f t="shared" si="1"/>
        <v>2.181833979385801</v>
      </c>
    </row>
    <row r="29" spans="1:4" x14ac:dyDescent="0.25">
      <c r="A29" s="119">
        <f t="shared" si="0"/>
        <v>8000000</v>
      </c>
      <c r="B29" s="110">
        <f>(('TV - Power'!A29/$B$12)^$D$12)*$C$12</f>
        <v>74220.005048338426</v>
      </c>
      <c r="C29" s="120">
        <f>B29*TV!$F$5</f>
        <v>16769267.940621585</v>
      </c>
      <c r="D29">
        <f t="shared" si="1"/>
        <v>2.0961584925776982</v>
      </c>
    </row>
    <row r="30" spans="1:4" x14ac:dyDescent="0.25">
      <c r="A30" s="119">
        <f t="shared" si="0"/>
        <v>9000000</v>
      </c>
      <c r="B30" s="110">
        <f>(('TV - Power'!A30/$B$12)^$D$12)*$C$12</f>
        <v>80598.645858666729</v>
      </c>
      <c r="C30" s="120">
        <f>B30*TV!$F$5</f>
        <v>18210458.045307159</v>
      </c>
      <c r="D30">
        <f t="shared" si="1"/>
        <v>2.0233842272563511</v>
      </c>
    </row>
    <row r="31" spans="1:4" x14ac:dyDescent="0.25">
      <c r="A31" s="119">
        <f t="shared" si="0"/>
        <v>10000000</v>
      </c>
      <c r="B31" s="110">
        <f>(('TV - Power'!A31/$B$12)^$D$12)*$C$12</f>
        <v>86767.680648557027</v>
      </c>
      <c r="C31" s="120">
        <f>B31*TV!$F$5</f>
        <v>19604289.765734974</v>
      </c>
      <c r="D31">
        <f t="shared" si="1"/>
        <v>1.9604289765734975</v>
      </c>
    </row>
    <row r="32" spans="1:4" x14ac:dyDescent="0.25">
      <c r="A32" s="119">
        <f t="shared" si="0"/>
        <v>11000000</v>
      </c>
      <c r="B32" s="110">
        <f>(('TV - Power'!A32/$B$12)^$D$12)*$C$12</f>
        <v>92754.047136828973</v>
      </c>
      <c r="C32" s="120">
        <f>B32*TV!$F$5</f>
        <v>20956849.410095137</v>
      </c>
      <c r="D32">
        <f t="shared" si="1"/>
        <v>1.9051681281904669</v>
      </c>
    </row>
    <row r="33" spans="1:4" x14ac:dyDescent="0.25">
      <c r="A33" s="119">
        <f t="shared" si="0"/>
        <v>12000000</v>
      </c>
      <c r="B33" s="110">
        <f>(('TV - Power'!A33/$B$12)^$D$12)*$C$12</f>
        <v>98579.102733803622</v>
      </c>
      <c r="C33" s="120">
        <f>B33*TV!$F$5</f>
        <v>22272962.47167559</v>
      </c>
      <c r="D33">
        <f t="shared" si="1"/>
        <v>1.8560802059729657</v>
      </c>
    </row>
    <row r="34" spans="1:4" x14ac:dyDescent="0.25">
      <c r="A34" s="119">
        <f t="shared" si="0"/>
        <v>13000000</v>
      </c>
      <c r="B34" s="110">
        <f>(('TV - Power'!A34/$B$12)^$D$12)*$C$12</f>
        <v>104260.1475653558</v>
      </c>
      <c r="C34" s="120">
        <f>B34*TV!$F$5</f>
        <v>23556537.740916491</v>
      </c>
      <c r="D34">
        <f t="shared" si="1"/>
        <v>1.8120413646858839</v>
      </c>
    </row>
    <row r="35" spans="1:4" x14ac:dyDescent="0.25">
      <c r="A35" s="119">
        <f t="shared" si="0"/>
        <v>14000000</v>
      </c>
      <c r="B35" s="110">
        <f>(('TV - Power'!A35/$B$12)^$D$12)*$C$12</f>
        <v>109811.44682174956</v>
      </c>
      <c r="C35" s="120">
        <f>B35*TV!$F$5</f>
        <v>24810798.294906095</v>
      </c>
      <c r="D35">
        <f t="shared" si="1"/>
        <v>1.7721998782075783</v>
      </c>
    </row>
    <row r="36" spans="1:4" x14ac:dyDescent="0.25">
      <c r="A36" s="119">
        <f t="shared" si="0"/>
        <v>15000000</v>
      </c>
      <c r="B36" s="110">
        <f>(('TV - Power'!A36/$B$12)^$D$12)*$C$12</f>
        <v>115244.9410244207</v>
      </c>
      <c r="C36" s="120">
        <f>B36*TV!$F$5</f>
        <v>26038441.975057613</v>
      </c>
      <c r="D36">
        <f t="shared" si="1"/>
        <v>1.7358961316705075</v>
      </c>
    </row>
    <row r="37" spans="1:4" x14ac:dyDescent="0.25">
      <c r="A37" s="119">
        <f t="shared" si="0"/>
        <v>16000000</v>
      </c>
      <c r="B37" s="110">
        <f>(('TV - Power'!A37/$B$12)^$D$12)*$C$12</f>
        <v>120570.75391616956</v>
      </c>
      <c r="C37" s="120">
        <f>B37*TV!$F$5</f>
        <v>27241756.13981935</v>
      </c>
      <c r="D37">
        <f t="shared" si="1"/>
        <v>1.7026097587387095</v>
      </c>
    </row>
    <row r="38" spans="1:4" x14ac:dyDescent="0.25">
      <c r="A38" s="119">
        <f t="shared" si="0"/>
        <v>17000000</v>
      </c>
      <c r="B38" s="110">
        <f>(('TV - Power'!A38/$B$12)^$D$12)*$C$12</f>
        <v>125797.56466742975</v>
      </c>
      <c r="C38" s="120">
        <f>B38*TV!$F$5</f>
        <v>28422701.760959078</v>
      </c>
      <c r="D38">
        <f t="shared" si="1"/>
        <v>1.6719236329975928</v>
      </c>
    </row>
    <row r="39" spans="1:4" x14ac:dyDescent="0.25">
      <c r="A39" s="119">
        <f t="shared" si="0"/>
        <v>18000000</v>
      </c>
      <c r="B39" s="110">
        <f>(('TV - Power'!A39/$B$12)^$D$12)*$C$12</f>
        <v>130932.88648353927</v>
      </c>
      <c r="C39" s="120">
        <f>B39*TV!$F$5</f>
        <v>29582976.372090865</v>
      </c>
      <c r="D39">
        <f t="shared" si="1"/>
        <v>1.6434986873383814</v>
      </c>
    </row>
    <row r="40" spans="1:4" x14ac:dyDescent="0.25">
      <c r="A40" s="119">
        <f t="shared" si="0"/>
        <v>19000000</v>
      </c>
      <c r="B40" s="110">
        <f>(('TV - Power'!A40/$B$12)^$D$12)*$C$12</f>
        <v>135983.27903315192</v>
      </c>
      <c r="C40" s="120">
        <f>B40*TV!$F$5</f>
        <v>30724062.064750344</v>
      </c>
      <c r="D40">
        <f t="shared" si="1"/>
        <v>1.6170558981447549</v>
      </c>
    </row>
    <row r="41" spans="1:4" x14ac:dyDescent="0.25">
      <c r="A41" s="119">
        <f t="shared" si="0"/>
        <v>20000000</v>
      </c>
      <c r="B41" s="110">
        <f>(('TV - Power'!A41/$B$12)^$D$12)*$C$12</f>
        <v>140954.51306612603</v>
      </c>
      <c r="C41" s="120">
        <f>B41*TV!$F$5</f>
        <v>31847262.682160515</v>
      </c>
      <c r="D41">
        <f t="shared" si="1"/>
        <v>1.5923631341080258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59</v>
      </c>
      <c r="D2" s="33" t="s">
        <v>6</v>
      </c>
      <c r="E2" s="2" t="s">
        <v>7</v>
      </c>
      <c r="F2" s="33" t="s">
        <v>49</v>
      </c>
      <c r="G2" s="3" t="s">
        <v>54</v>
      </c>
    </row>
    <row r="3" spans="2:18" ht="13.5" thickBot="1" x14ac:dyDescent="0.25">
      <c r="B3" s="31" t="s">
        <v>9</v>
      </c>
      <c r="C3" s="4" t="s">
        <v>58</v>
      </c>
      <c r="D3" s="34" t="s">
        <v>10</v>
      </c>
      <c r="E3" s="4" t="s">
        <v>56</v>
      </c>
      <c r="F3" s="34" t="s">
        <v>48</v>
      </c>
      <c r="G3" s="5" t="s">
        <v>55</v>
      </c>
    </row>
    <row r="4" spans="2:18" ht="15" customHeight="1" thickBot="1" x14ac:dyDescent="0.25">
      <c r="B4" s="32" t="s">
        <v>11</v>
      </c>
      <c r="C4" s="165" t="s">
        <v>47</v>
      </c>
      <c r="D4" s="165"/>
      <c r="E4" s="165"/>
      <c r="F4" s="165"/>
      <c r="G4" s="166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63" t="s">
        <v>12</v>
      </c>
      <c r="C7" s="169" t="s">
        <v>13</v>
      </c>
      <c r="D7" s="170"/>
      <c r="E7" s="150" t="s">
        <v>14</v>
      </c>
      <c r="F7" s="171"/>
      <c r="G7" s="172"/>
      <c r="H7" s="150" t="s">
        <v>15</v>
      </c>
      <c r="I7" s="151"/>
      <c r="K7" s="1" t="s">
        <v>51</v>
      </c>
    </row>
    <row r="8" spans="2:18" ht="25.5" x14ac:dyDescent="0.2">
      <c r="B8" s="167"/>
      <c r="C8" s="45" t="s">
        <v>16</v>
      </c>
      <c r="D8" s="24" t="s">
        <v>17</v>
      </c>
      <c r="E8" s="25" t="s">
        <v>45</v>
      </c>
      <c r="F8" s="45" t="s">
        <v>44</v>
      </c>
      <c r="G8" s="26" t="s">
        <v>34</v>
      </c>
      <c r="H8" s="27" t="s">
        <v>18</v>
      </c>
      <c r="I8" s="28" t="s">
        <v>19</v>
      </c>
      <c r="K8" s="1" t="s">
        <v>46</v>
      </c>
    </row>
    <row r="9" spans="2:18" ht="13.5" thickBot="1" x14ac:dyDescent="0.25">
      <c r="B9" s="168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63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35</v>
      </c>
      <c r="H11" s="23" t="s">
        <v>43</v>
      </c>
      <c r="I11" s="46" t="s">
        <v>42</v>
      </c>
    </row>
    <row r="12" spans="2:18" ht="15" customHeight="1" x14ac:dyDescent="0.2">
      <c r="B12" s="16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52" t="s">
        <v>36</v>
      </c>
      <c r="C13" s="153"/>
      <c r="D13" s="153"/>
      <c r="E13" s="153"/>
      <c r="F13" s="153"/>
      <c r="G13" s="153"/>
      <c r="H13" s="153"/>
      <c r="I13" s="154"/>
    </row>
    <row r="14" spans="2:18" ht="11.25" customHeight="1" x14ac:dyDescent="0.2">
      <c r="B14" s="155"/>
      <c r="C14" s="156"/>
      <c r="D14" s="156"/>
      <c r="E14" s="156"/>
      <c r="F14" s="156"/>
      <c r="G14" s="156"/>
      <c r="H14" s="156"/>
      <c r="I14" s="157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58" t="s">
        <v>25</v>
      </c>
      <c r="C16" s="46" t="s">
        <v>37</v>
      </c>
      <c r="D16" s="46" t="s">
        <v>38</v>
      </c>
      <c r="E16" s="46" t="s">
        <v>39</v>
      </c>
      <c r="F16" s="46" t="s">
        <v>40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5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60" t="s">
        <v>41</v>
      </c>
      <c r="C18" s="161"/>
      <c r="D18" s="161"/>
      <c r="E18" s="161"/>
      <c r="F18" s="161"/>
      <c r="G18" s="161"/>
      <c r="H18" s="161"/>
      <c r="I18" s="16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55"/>
      <c r="C19" s="156"/>
      <c r="D19" s="156"/>
      <c r="E19" s="156"/>
      <c r="F19" s="156"/>
      <c r="G19" s="156"/>
      <c r="H19" s="156"/>
      <c r="I19" s="157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58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59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73" t="s">
        <v>64</v>
      </c>
      <c r="C25" s="174"/>
      <c r="D25" s="174"/>
      <c r="E25" s="175"/>
    </row>
    <row r="26" spans="2:18" x14ac:dyDescent="0.2">
      <c r="B26" s="45" t="s">
        <v>52</v>
      </c>
      <c r="C26" s="45" t="s">
        <v>57</v>
      </c>
      <c r="D26" s="45" t="s">
        <v>53</v>
      </c>
      <c r="E26" s="45" t="s">
        <v>50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AB67D74-E89F-41A5-AE4B-8F57638162B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TV</vt:lpstr>
      <vt:lpstr>Data</vt:lpstr>
      <vt:lpstr>TV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2023-07-20T10:00:52Z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