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Optimizer\"/>
    </mc:Choice>
  </mc:AlternateContent>
  <xr:revisionPtr revIDLastSave="0" documentId="13_ncr:1_{228AC895-4B49-4AF4-B94B-5332613179D9}" xr6:coauthVersionLast="47" xr6:coauthVersionMax="47" xr10:uidLastSave="{00000000-0000-0000-0000-000000000000}"/>
  <bookViews>
    <workbookView xWindow="-120" yWindow="-120" windowWidth="20730" windowHeight="11160" tabRatio="709" firstSheet="7" activeTab="16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state="hidden" r:id="rId9"/>
    <sheet name="Scenario deep dive_24_10M" sheetId="102" state="hidden" r:id="rId10"/>
    <sheet name="Scenario deep dive_24_20M" sheetId="91" state="hidden" r:id="rId11"/>
    <sheet name="Scenario deep dive_24_20M_rm_mc" sheetId="103" state="hidden" r:id="rId12"/>
    <sheet name="Case1_Constraints" sheetId="106" state="hidden" r:id="rId13"/>
    <sheet name="Case2_Constraints" sheetId="107" r:id="rId14"/>
    <sheet name="Scenario deep dive_24_40M_case1" sheetId="105" state="hidden" r:id="rId15"/>
    <sheet name="Scenario deep dive_24_40M_case2" sheetId="104" r:id="rId16"/>
    <sheet name="VAC_Optim_Scenario" sheetId="23" r:id="rId17"/>
    <sheet name="Case_Constraints" sheetId="108" r:id="rId18"/>
    <sheet name="GINOFF" sheetId="51" r:id="rId19"/>
    <sheet name="GINOFF_adt" sheetId="93" r:id="rId20"/>
    <sheet name="GMCM" sheetId="50" r:id="rId21"/>
    <sheet name="GMCM_adt" sheetId="94" r:id="rId22"/>
    <sheet name="GSOC" sheetId="82" r:id="rId23"/>
    <sheet name="GSOCIAL_adt" sheetId="95" r:id="rId24"/>
    <sheet name="GOLV" sheetId="59" r:id="rId25"/>
    <sheet name="GOLV_adt" sheetId="96" r:id="rId26"/>
    <sheet name="GSTRV" sheetId="84" r:id="rId27"/>
    <sheet name="GSTRTV_adt" sheetId="97" r:id="rId28"/>
    <sheet name="GDISP" sheetId="88" r:id="rId29"/>
    <sheet name="GDISP_adt" sheetId="98" r:id="rId30"/>
    <sheet name="GSEARCH" sheetId="77" r:id="rId31"/>
    <sheet name="GPDSRCH_adt" sheetId="99" r:id="rId32"/>
    <sheet name="GRADIO" sheetId="75" r:id="rId33"/>
    <sheet name="GAUDIO" sheetId="90" r:id="rId34"/>
    <sheet name="GTV" sheetId="74" r:id="rId35"/>
    <sheet name="GPRNT" sheetId="48" state="hidden" r:id="rId36"/>
    <sheet name="GLINEARTV_adt" sheetId="100" r:id="rId37"/>
    <sheet name="GPHRMCY_adt" sheetId="101" r:id="rId38"/>
    <sheet name="Fn.Templates ==&gt;" sheetId="3" r:id="rId39"/>
    <sheet name="FT_SCurveEst" sheetId="2" r:id="rId40"/>
    <sheet name="FT_Equation" sheetId="4" r:id="rId41"/>
    <sheet name="FT_SCurve3Est" sheetId="13" r:id="rId42"/>
    <sheet name="FT_Interpolate" sheetId="5" r:id="rId43"/>
  </sheets>
  <functionGroups builtInGroupCount="19"/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</externalReferences>
  <definedNames>
    <definedName name="_xlnm._FilterDatabase" localSheetId="7" hidden="1">'Contribution, promo eff, ROI'!$E$26:$F$35</definedName>
    <definedName name="_xlnm._FilterDatabase" localSheetId="16" hidden="1">VAC_Optim_Scenario!$H$21:$H$29</definedName>
    <definedName name="solver_adj" localSheetId="16" hidden="1">VAC_Optim_Scenario!$I$21:$I$29,VAC_Optim_Scenario!$I$31:$I$40</definedName>
    <definedName name="solver_cvg" localSheetId="6" hidden="1">0.0001</definedName>
    <definedName name="solver_cvg" localSheetId="5" hidden="1">0.0001</definedName>
    <definedName name="solver_cvg" localSheetId="16" hidden="1">0.0001</definedName>
    <definedName name="solver_drv" localSheetId="6" hidden="1">1</definedName>
    <definedName name="solver_drv" localSheetId="5" hidden="1">1</definedName>
    <definedName name="solver_drv" localSheetId="16" hidden="1">1</definedName>
    <definedName name="solver_eng" localSheetId="37" hidden="1">1</definedName>
    <definedName name="solver_eng" localSheetId="6" hidden="1">1</definedName>
    <definedName name="solver_eng" localSheetId="5" hidden="1">1</definedName>
    <definedName name="solver_eng" localSheetId="16" hidden="1">1</definedName>
    <definedName name="solver_est" localSheetId="6" hidden="1">1</definedName>
    <definedName name="solver_est" localSheetId="5" hidden="1">1</definedName>
    <definedName name="solver_est" localSheetId="16" hidden="1">1</definedName>
    <definedName name="solver_itr" localSheetId="6" hidden="1">2147483647</definedName>
    <definedName name="solver_itr" localSheetId="5" hidden="1">2147483647</definedName>
    <definedName name="solver_itr" localSheetId="16" hidden="1">2147483647</definedName>
    <definedName name="solver_lhs0" localSheetId="16" hidden="1">VAC_Optim_Scenario!$I$42</definedName>
    <definedName name="solver_lhs1" localSheetId="16" hidden="1">VAC_Optim_Scenario!$B$16</definedName>
    <definedName name="solver_lhs10" localSheetId="16" hidden="1">VAC_Optim_Scenario!$I$41</definedName>
    <definedName name="solver_lhs11" localSheetId="16" hidden="1">VAC_Optim_Scenario!$I$41</definedName>
    <definedName name="solver_lhs2" localSheetId="16" hidden="1">VAC_Optim_Scenario!$G$14:$G$15</definedName>
    <definedName name="solver_lhs3" localSheetId="16" hidden="1">VAC_Optim_Scenario!$G$14:$G$15</definedName>
    <definedName name="solver_lhs4" localSheetId="16" hidden="1">VAC_Optim_Scenario!$I$21:$I$29</definedName>
    <definedName name="solver_lhs5" localSheetId="16" hidden="1">VAC_Optim_Scenario!$I$21:$I$29</definedName>
    <definedName name="solver_lhs6" localSheetId="16" hidden="1">VAC_Optim_Scenario!$I$31:$I$40</definedName>
    <definedName name="solver_lhs7" localSheetId="16" hidden="1">VAC_Optim_Scenario!$I$31:$I$40</definedName>
    <definedName name="solver_lhs8" localSheetId="16" hidden="1">VAC_Optim_Scenario!$I$31:$I$40</definedName>
    <definedName name="solver_lhs9" localSheetId="16" hidden="1">VAC_Optim_Scenario!$I$31:$I$40</definedName>
    <definedName name="solver_mip" localSheetId="6" hidden="1">2147483647</definedName>
    <definedName name="solver_mip" localSheetId="5" hidden="1">2147483647</definedName>
    <definedName name="solver_mip" localSheetId="16" hidden="1">2147483647</definedName>
    <definedName name="solver_mni" localSheetId="6" hidden="1">30</definedName>
    <definedName name="solver_mni" localSheetId="5" hidden="1">30</definedName>
    <definedName name="solver_mni" localSheetId="16" hidden="1">30</definedName>
    <definedName name="solver_mrt" localSheetId="6" hidden="1">0.075</definedName>
    <definedName name="solver_mrt" localSheetId="5" hidden="1">0.075</definedName>
    <definedName name="solver_mrt" localSheetId="16" hidden="1">0.075</definedName>
    <definedName name="solver_msl" localSheetId="6" hidden="1">2</definedName>
    <definedName name="solver_msl" localSheetId="5" hidden="1">2</definedName>
    <definedName name="solver_msl" localSheetId="16" hidden="1">2</definedName>
    <definedName name="solver_neg" localSheetId="37" hidden="1">1</definedName>
    <definedName name="solver_neg" localSheetId="6" hidden="1">1</definedName>
    <definedName name="solver_neg" localSheetId="5" hidden="1">1</definedName>
    <definedName name="solver_neg" localSheetId="16" hidden="1">1</definedName>
    <definedName name="solver_nod" localSheetId="6" hidden="1">2147483647</definedName>
    <definedName name="solver_nod" localSheetId="5" hidden="1">2147483647</definedName>
    <definedName name="solver_nod" localSheetId="16" hidden="1">2147483647</definedName>
    <definedName name="solver_num" localSheetId="37" hidden="1">0</definedName>
    <definedName name="solver_num" localSheetId="6" hidden="1">0</definedName>
    <definedName name="solver_num" localSheetId="5" hidden="1">0</definedName>
    <definedName name="solver_num" localSheetId="16" hidden="1">7</definedName>
    <definedName name="solver_nwt" localSheetId="6" hidden="1">1</definedName>
    <definedName name="solver_nwt" localSheetId="5" hidden="1">1</definedName>
    <definedName name="solver_nwt" localSheetId="16" hidden="1">1</definedName>
    <definedName name="solver_opt" localSheetId="37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6" hidden="1">VAC_Optim_Scenario!$B$11</definedName>
    <definedName name="solver_pre" localSheetId="6" hidden="1">0.000001</definedName>
    <definedName name="solver_pre" localSheetId="5" hidden="1">0.000001</definedName>
    <definedName name="solver_pre" localSheetId="16" hidden="1">0.00000001</definedName>
    <definedName name="solver_rbv" localSheetId="6" hidden="1">1</definedName>
    <definedName name="solver_rbv" localSheetId="5" hidden="1">1</definedName>
    <definedName name="solver_rbv" localSheetId="16" hidden="1">1</definedName>
    <definedName name="solver_rel0" localSheetId="16" hidden="1">3</definedName>
    <definedName name="solver_rel1" localSheetId="16" hidden="1">2</definedName>
    <definedName name="solver_rel10" localSheetId="16" hidden="1">3</definedName>
    <definedName name="solver_rel11" localSheetId="16" hidden="1">3</definedName>
    <definedName name="solver_rel2" localSheetId="16" hidden="1">1</definedName>
    <definedName name="solver_rel3" localSheetId="16" hidden="1">3</definedName>
    <definedName name="solver_rel4" localSheetId="16" hidden="1">1</definedName>
    <definedName name="solver_rel5" localSheetId="16" hidden="1">3</definedName>
    <definedName name="solver_rel6" localSheetId="16" hidden="1">1</definedName>
    <definedName name="solver_rel7" localSheetId="16" hidden="1">3</definedName>
    <definedName name="solver_rel8" localSheetId="16" hidden="1">3</definedName>
    <definedName name="solver_rel9" localSheetId="16" hidden="1">3</definedName>
    <definedName name="solver_rhs0" localSheetId="16" hidden="1">VAC_Optim_Scenario!$C$16</definedName>
    <definedName name="solver_rhs1" localSheetId="16" hidden="1">VAC_Optim_Scenario!$I$42</definedName>
    <definedName name="solver_rhs10" localSheetId="16" hidden="1">VAC_Optim_Scenario!$G$41</definedName>
    <definedName name="solver_rhs11" localSheetId="16" hidden="1">VAC_Optim_Scenario!$G$41</definedName>
    <definedName name="solver_rhs2" localSheetId="16" hidden="1">VAC_Optim_Scenario!$D$14:$D$15</definedName>
    <definedName name="solver_rhs3" localSheetId="16" hidden="1">VAC_Optim_Scenario!$C$14:$C$15</definedName>
    <definedName name="solver_rhs4" localSheetId="16" hidden="1">VAC_Optim_Scenario!$H$21:$H$29</definedName>
    <definedName name="solver_rhs5" localSheetId="16" hidden="1">VAC_Optim_Scenario!$G$21:$G$29</definedName>
    <definedName name="solver_rhs6" localSheetId="16" hidden="1">VAC_Optim_Scenario!$H$31:$H$40</definedName>
    <definedName name="solver_rhs7" localSheetId="16" hidden="1">VAC_Optim_Scenario!$G$31:$G$40</definedName>
    <definedName name="solver_rhs8" localSheetId="16" hidden="1">VAC_Optim_Scenario!$G$31:$G$40</definedName>
    <definedName name="solver_rhs9" localSheetId="16" hidden="1">VAC_Optim_Scenario!$G$31:$G$40</definedName>
    <definedName name="solver_rlx" localSheetId="6" hidden="1">2</definedName>
    <definedName name="solver_rlx" localSheetId="5" hidden="1">2</definedName>
    <definedName name="solver_rlx" localSheetId="16" hidden="1">2</definedName>
    <definedName name="solver_rsd" localSheetId="6" hidden="1">0</definedName>
    <definedName name="solver_rsd" localSheetId="5" hidden="1">0</definedName>
    <definedName name="solver_rsd" localSheetId="16" hidden="1">0</definedName>
    <definedName name="solver_scl" localSheetId="6" hidden="1">1</definedName>
    <definedName name="solver_scl" localSheetId="5" hidden="1">1</definedName>
    <definedName name="solver_scl" localSheetId="16" hidden="1">1</definedName>
    <definedName name="solver_sho" localSheetId="6" hidden="1">2</definedName>
    <definedName name="solver_sho" localSheetId="5" hidden="1">2</definedName>
    <definedName name="solver_sho" localSheetId="16" hidden="1">2</definedName>
    <definedName name="solver_ssz" localSheetId="6" hidden="1">100</definedName>
    <definedName name="solver_ssz" localSheetId="5" hidden="1">100</definedName>
    <definedName name="solver_ssz" localSheetId="16" hidden="1">100</definedName>
    <definedName name="solver_tim" localSheetId="6" hidden="1">2147483647</definedName>
    <definedName name="solver_tim" localSheetId="5" hidden="1">2147483647</definedName>
    <definedName name="solver_tim" localSheetId="16" hidden="1">2147483647</definedName>
    <definedName name="solver_tol" localSheetId="6" hidden="1">0.01</definedName>
    <definedName name="solver_tol" localSheetId="5" hidden="1">0.01</definedName>
    <definedName name="solver_tol" localSheetId="16" hidden="1">0.01</definedName>
    <definedName name="solver_typ" localSheetId="37" hidden="1">1</definedName>
    <definedName name="solver_typ" localSheetId="6" hidden="1">1</definedName>
    <definedName name="solver_typ" localSheetId="5" hidden="1">1</definedName>
    <definedName name="solver_typ" localSheetId="16" hidden="1">1</definedName>
    <definedName name="solver_val" localSheetId="37" hidden="1">0</definedName>
    <definedName name="solver_val" localSheetId="6" hidden="1">0</definedName>
    <definedName name="solver_val" localSheetId="5" hidden="1">0</definedName>
    <definedName name="solver_val" localSheetId="16" hidden="1">0</definedName>
    <definedName name="solver_ver" localSheetId="37" hidden="1">3</definedName>
    <definedName name="solver_ver" localSheetId="6" hidden="1">3</definedName>
    <definedName name="solver_ver" localSheetId="5" hidden="1">3</definedName>
    <definedName name="solver_ver" localSheetId="1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" i="93" l="1"/>
  <c r="E12" i="93"/>
  <c r="D12" i="93"/>
  <c r="C12" i="93"/>
  <c r="B12" i="93"/>
  <c r="G12" i="101" l="1"/>
  <c r="F12" i="101"/>
  <c r="E12" i="101"/>
  <c r="D12" i="101"/>
  <c r="C12" i="101"/>
  <c r="B12" i="101"/>
  <c r="D12" i="100" l="1"/>
  <c r="C12" i="100"/>
  <c r="B12" i="100"/>
  <c r="D12" i="74" l="1"/>
  <c r="C12" i="74"/>
  <c r="B12" i="74"/>
  <c r="D12" i="90" l="1"/>
  <c r="C12" i="90"/>
  <c r="B12" i="90"/>
  <c r="D12" i="75" l="1"/>
  <c r="C12" i="75"/>
  <c r="B12" i="75"/>
  <c r="D12" i="77" l="1"/>
  <c r="C12" i="77"/>
  <c r="B12" i="77"/>
  <c r="D12" i="99" l="1"/>
  <c r="C12" i="99"/>
  <c r="B12" i="99"/>
  <c r="D12" i="98" l="1"/>
  <c r="C12" i="98"/>
  <c r="B12" i="98"/>
  <c r="F12" i="88" l="1"/>
  <c r="E12" i="88"/>
  <c r="D12" i="88"/>
  <c r="C12" i="88"/>
  <c r="B12" i="88"/>
  <c r="D12" i="97" l="1"/>
  <c r="C12" i="97"/>
  <c r="B12" i="97"/>
  <c r="D12" i="84" l="1"/>
  <c r="C12" i="84"/>
  <c r="B12" i="84"/>
  <c r="F12" i="96" l="1"/>
  <c r="E12" i="96"/>
  <c r="D12" i="96"/>
  <c r="C12" i="96"/>
  <c r="B12" i="96"/>
  <c r="F12" i="59" l="1"/>
  <c r="E12" i="59"/>
  <c r="D12" i="59"/>
  <c r="C12" i="59"/>
  <c r="B12" i="59"/>
  <c r="D12" i="95" l="1"/>
  <c r="C12" i="95"/>
  <c r="B12" i="95"/>
  <c r="D12" i="82" l="1"/>
  <c r="C12" i="82"/>
  <c r="B12" i="82"/>
  <c r="F12" i="51" l="1"/>
  <c r="E12" i="51"/>
  <c r="D12" i="51"/>
  <c r="C12" i="51"/>
  <c r="B12" i="51"/>
  <c r="F12" i="94" l="1"/>
  <c r="D12" i="94"/>
  <c r="F12" i="50"/>
  <c r="D12" i="50"/>
  <c r="B12" i="50"/>
  <c r="B12" i="94" l="1"/>
  <c r="C12" i="94" l="1"/>
  <c r="E12" i="94" l="1"/>
  <c r="C12" i="50" l="1"/>
  <c r="E12" i="50" l="1"/>
  <c r="H27" i="104" l="1"/>
  <c r="F27" i="104"/>
  <c r="G27" i="104" s="1"/>
  <c r="H26" i="104"/>
  <c r="F26" i="104"/>
  <c r="G26" i="104" s="1"/>
  <c r="L6" i="108"/>
  <c r="L9" i="108" s="1"/>
  <c r="K6" i="108"/>
  <c r="K9" i="108" s="1"/>
  <c r="L5" i="108"/>
  <c r="L8" i="108" s="1"/>
  <c r="K5" i="108"/>
  <c r="K8" i="108" s="1"/>
  <c r="J5" i="108"/>
  <c r="B15" i="104"/>
  <c r="J24" i="107" l="1"/>
  <c r="J23" i="107"/>
  <c r="K20" i="107"/>
  <c r="K23" i="107" s="1"/>
  <c r="K24" i="107" s="1"/>
  <c r="G20" i="107"/>
  <c r="H32" i="23" l="1"/>
  <c r="G32" i="23" s="1"/>
  <c r="H33" i="23"/>
  <c r="G33" i="23" s="1"/>
  <c r="H34" i="23"/>
  <c r="G34" i="23" s="1"/>
  <c r="H35" i="23"/>
  <c r="G35" i="23" s="1"/>
  <c r="H36" i="23"/>
  <c r="G36" i="23" s="1"/>
  <c r="H37" i="23"/>
  <c r="G37" i="23" s="1"/>
  <c r="H38" i="23"/>
  <c r="G38" i="23" s="1"/>
  <c r="H39" i="23"/>
  <c r="G39" i="23" s="1"/>
  <c r="H40" i="23"/>
  <c r="G40" i="23" s="1"/>
  <c r="H31" i="23"/>
  <c r="G31" i="23" s="1"/>
  <c r="H29" i="23"/>
  <c r="H28" i="23"/>
  <c r="H27" i="23"/>
  <c r="H26" i="23"/>
  <c r="H25" i="23"/>
  <c r="H24" i="23"/>
  <c r="H23" i="23"/>
  <c r="H22" i="23"/>
  <c r="H21" i="23"/>
  <c r="E10" i="23"/>
  <c r="B15" i="23" s="1"/>
  <c r="E9" i="23"/>
  <c r="E23" i="108"/>
  <c r="D23" i="108"/>
  <c r="E22" i="108"/>
  <c r="D22" i="108"/>
  <c r="E12" i="108"/>
  <c r="D12" i="108"/>
  <c r="G12" i="108"/>
  <c r="F12" i="108"/>
  <c r="C15" i="23" l="1"/>
  <c r="C14" i="23"/>
  <c r="C16" i="23" s="1"/>
  <c r="G23" i="107"/>
  <c r="G25" i="107" s="1"/>
  <c r="F23" i="107"/>
  <c r="E23" i="107"/>
  <c r="D23" i="107"/>
  <c r="E12" i="107"/>
  <c r="E24" i="107" s="1"/>
  <c r="D12" i="107"/>
  <c r="D24" i="107" s="1"/>
  <c r="G11" i="107"/>
  <c r="G12" i="107" s="1"/>
  <c r="F11" i="107"/>
  <c r="F10" i="107"/>
  <c r="F8" i="107"/>
  <c r="F7" i="107"/>
  <c r="F4" i="107"/>
  <c r="F3" i="107"/>
  <c r="F12" i="107" s="1"/>
  <c r="E24" i="106"/>
  <c r="G24" i="106"/>
  <c r="D24" i="106"/>
  <c r="E23" i="106"/>
  <c r="F23" i="106"/>
  <c r="G23" i="106"/>
  <c r="D23" i="106"/>
  <c r="E12" i="106"/>
  <c r="D12" i="106"/>
  <c r="G11" i="106"/>
  <c r="F24" i="107" l="1"/>
  <c r="G24" i="107"/>
  <c r="F12" i="106"/>
  <c r="F24" i="106" s="1"/>
  <c r="G12" i="106"/>
  <c r="R55" i="105" l="1"/>
  <c r="L55" i="105"/>
  <c r="F55" i="105"/>
  <c r="T54" i="105"/>
  <c r="R69" i="105" s="1"/>
  <c r="R60" i="105" s="1"/>
  <c r="S54" i="105"/>
  <c r="R54" i="105"/>
  <c r="R65" i="105" s="1"/>
  <c r="R58" i="105" s="1"/>
  <c r="H54" i="105"/>
  <c r="G54" i="105"/>
  <c r="F54" i="105"/>
  <c r="B54" i="105"/>
  <c r="T53" i="105"/>
  <c r="S53" i="105"/>
  <c r="R53" i="105"/>
  <c r="H53" i="105"/>
  <c r="G53" i="105"/>
  <c r="F53" i="105"/>
  <c r="B53" i="105"/>
  <c r="T52" i="105"/>
  <c r="S52" i="105"/>
  <c r="R52" i="105"/>
  <c r="P52" i="105"/>
  <c r="O52" i="105"/>
  <c r="N52" i="105"/>
  <c r="L52" i="105"/>
  <c r="K52" i="105"/>
  <c r="J52" i="105"/>
  <c r="H52" i="105"/>
  <c r="G52" i="105"/>
  <c r="F52" i="105"/>
  <c r="T51" i="105"/>
  <c r="S51" i="105"/>
  <c r="R51" i="105"/>
  <c r="P51" i="105"/>
  <c r="O51" i="105"/>
  <c r="N51" i="105"/>
  <c r="L51" i="105"/>
  <c r="K51" i="105"/>
  <c r="J51" i="105"/>
  <c r="H51" i="105"/>
  <c r="G51" i="105"/>
  <c r="F51" i="105"/>
  <c r="T50" i="105"/>
  <c r="S50" i="105"/>
  <c r="R50" i="105"/>
  <c r="P50" i="105"/>
  <c r="O50" i="105"/>
  <c r="N50" i="105"/>
  <c r="L50" i="105"/>
  <c r="K50" i="105"/>
  <c r="J50" i="105"/>
  <c r="H50" i="105"/>
  <c r="G50" i="105"/>
  <c r="F50" i="105"/>
  <c r="T49" i="105"/>
  <c r="S49" i="105"/>
  <c r="R49" i="105"/>
  <c r="P49" i="105"/>
  <c r="O49" i="105"/>
  <c r="N49" i="105"/>
  <c r="L49" i="105"/>
  <c r="K49" i="105"/>
  <c r="J49" i="105"/>
  <c r="H49" i="105"/>
  <c r="G49" i="105"/>
  <c r="F49" i="105"/>
  <c r="T48" i="105"/>
  <c r="S48" i="105"/>
  <c r="R48" i="105"/>
  <c r="P48" i="105"/>
  <c r="O48" i="105"/>
  <c r="N48" i="105"/>
  <c r="L48" i="105"/>
  <c r="K48" i="105"/>
  <c r="J48" i="105"/>
  <c r="H48" i="105"/>
  <c r="G48" i="105"/>
  <c r="F48" i="105"/>
  <c r="T47" i="105"/>
  <c r="S47" i="105"/>
  <c r="R47" i="105"/>
  <c r="P47" i="105"/>
  <c r="O47" i="105"/>
  <c r="N47" i="105"/>
  <c r="L47" i="105"/>
  <c r="K47" i="105"/>
  <c r="J47" i="105"/>
  <c r="H47" i="105"/>
  <c r="G47" i="105"/>
  <c r="F47" i="105"/>
  <c r="T46" i="105"/>
  <c r="S46" i="105"/>
  <c r="R46" i="105"/>
  <c r="P46" i="105"/>
  <c r="O46" i="105"/>
  <c r="N46" i="105"/>
  <c r="L46" i="105"/>
  <c r="K46" i="105"/>
  <c r="J46" i="105"/>
  <c r="H46" i="105"/>
  <c r="G46" i="105"/>
  <c r="F46" i="105"/>
  <c r="T45" i="105"/>
  <c r="S45" i="105"/>
  <c r="R45" i="105"/>
  <c r="P45" i="105"/>
  <c r="O45" i="105"/>
  <c r="N45" i="105"/>
  <c r="L45" i="105"/>
  <c r="K45" i="105"/>
  <c r="J45" i="105"/>
  <c r="H45" i="105"/>
  <c r="G45" i="105"/>
  <c r="F45" i="105"/>
  <c r="T44" i="105"/>
  <c r="S44" i="105"/>
  <c r="R44" i="105"/>
  <c r="P44" i="105"/>
  <c r="O44" i="105"/>
  <c r="N44" i="105"/>
  <c r="L44" i="105"/>
  <c r="K44" i="105"/>
  <c r="J44" i="105"/>
  <c r="H44" i="105"/>
  <c r="G44" i="105"/>
  <c r="F44" i="105"/>
  <c r="T43" i="105"/>
  <c r="S43" i="105"/>
  <c r="R43" i="105"/>
  <c r="P43" i="105"/>
  <c r="O43" i="105"/>
  <c r="N43" i="105"/>
  <c r="L43" i="105"/>
  <c r="K43" i="105"/>
  <c r="J43" i="105"/>
  <c r="H43" i="105"/>
  <c r="G43" i="105"/>
  <c r="F43" i="105"/>
  <c r="T42" i="105"/>
  <c r="S42" i="105"/>
  <c r="R42" i="105"/>
  <c r="P42" i="105"/>
  <c r="O42" i="105"/>
  <c r="N42" i="105"/>
  <c r="L42" i="105"/>
  <c r="K42" i="105"/>
  <c r="J42" i="105"/>
  <c r="H42" i="105"/>
  <c r="G42" i="105"/>
  <c r="F42" i="105"/>
  <c r="T41" i="105"/>
  <c r="S41" i="105"/>
  <c r="R41" i="105"/>
  <c r="P41" i="105"/>
  <c r="O41" i="105"/>
  <c r="N41" i="105"/>
  <c r="L41" i="105"/>
  <c r="K41" i="105"/>
  <c r="J41" i="105"/>
  <c r="H41" i="105"/>
  <c r="G41" i="105"/>
  <c r="F41" i="105"/>
  <c r="T40" i="105"/>
  <c r="S40" i="105"/>
  <c r="R40" i="105"/>
  <c r="P40" i="105"/>
  <c r="O40" i="105"/>
  <c r="N40" i="105"/>
  <c r="L40" i="105"/>
  <c r="K40" i="105"/>
  <c r="J40" i="105"/>
  <c r="H40" i="105"/>
  <c r="G40" i="105"/>
  <c r="F40" i="105"/>
  <c r="T39" i="105"/>
  <c r="S39" i="105"/>
  <c r="R39" i="105"/>
  <c r="P39" i="105"/>
  <c r="O39" i="105"/>
  <c r="N39" i="105"/>
  <c r="L39" i="105"/>
  <c r="K39" i="105"/>
  <c r="J39" i="105"/>
  <c r="H39" i="105"/>
  <c r="G39" i="105"/>
  <c r="F39" i="105"/>
  <c r="T38" i="105"/>
  <c r="S38" i="105"/>
  <c r="R38" i="105"/>
  <c r="P38" i="105"/>
  <c r="O38" i="105"/>
  <c r="N38" i="105"/>
  <c r="L38" i="105"/>
  <c r="K38" i="105"/>
  <c r="J38" i="105"/>
  <c r="H38" i="105"/>
  <c r="G38" i="105"/>
  <c r="F38" i="105"/>
  <c r="T37" i="105"/>
  <c r="S37" i="105"/>
  <c r="R37" i="105"/>
  <c r="P37" i="105"/>
  <c r="O37" i="105"/>
  <c r="N37" i="105"/>
  <c r="L37" i="105"/>
  <c r="K37" i="105"/>
  <c r="J37" i="105"/>
  <c r="H37" i="105"/>
  <c r="G37" i="105"/>
  <c r="F37" i="105"/>
  <c r="T36" i="105"/>
  <c r="S36" i="105"/>
  <c r="R36" i="105"/>
  <c r="P36" i="105"/>
  <c r="O36" i="105"/>
  <c r="N36" i="105"/>
  <c r="L36" i="105"/>
  <c r="K36" i="105"/>
  <c r="J36" i="105"/>
  <c r="H36" i="105"/>
  <c r="G36" i="105"/>
  <c r="F36" i="105"/>
  <c r="T35" i="105"/>
  <c r="S35" i="105"/>
  <c r="R35" i="105"/>
  <c r="P35" i="105"/>
  <c r="O35" i="105"/>
  <c r="N35" i="105"/>
  <c r="L35" i="105"/>
  <c r="K35" i="105"/>
  <c r="J35" i="105"/>
  <c r="H35" i="105"/>
  <c r="G35" i="105"/>
  <c r="F35" i="105"/>
  <c r="T34" i="105"/>
  <c r="S34" i="105"/>
  <c r="R34" i="105"/>
  <c r="P34" i="105"/>
  <c r="O34" i="105"/>
  <c r="N34" i="105"/>
  <c r="L34" i="105"/>
  <c r="K34" i="105"/>
  <c r="J34" i="105"/>
  <c r="H34" i="105"/>
  <c r="G34" i="105"/>
  <c r="F34" i="105"/>
  <c r="R32" i="105"/>
  <c r="N32" i="105"/>
  <c r="J32" i="105"/>
  <c r="F32" i="105"/>
  <c r="F31" i="105"/>
  <c r="L30" i="105"/>
  <c r="H29" i="105"/>
  <c r="T28" i="105"/>
  <c r="T55" i="105" s="1"/>
  <c r="R28" i="105"/>
  <c r="P28" i="105"/>
  <c r="P29" i="105" s="1"/>
  <c r="N28" i="105"/>
  <c r="N55" i="105" s="1"/>
  <c r="L28" i="105"/>
  <c r="L29" i="105" s="1"/>
  <c r="J28" i="105"/>
  <c r="J55" i="105" s="1"/>
  <c r="H28" i="105"/>
  <c r="H55" i="105" s="1"/>
  <c r="F28" i="105"/>
  <c r="P27" i="105"/>
  <c r="P54" i="105" s="1"/>
  <c r="N27" i="105"/>
  <c r="N54" i="105" s="1"/>
  <c r="L27" i="105"/>
  <c r="L54" i="105" s="1"/>
  <c r="J27" i="105"/>
  <c r="J54" i="105" s="1"/>
  <c r="P26" i="105"/>
  <c r="P53" i="105" s="1"/>
  <c r="N26" i="105"/>
  <c r="N53" i="105" s="1"/>
  <c r="L26" i="105"/>
  <c r="L53" i="105" s="1"/>
  <c r="J26" i="105"/>
  <c r="J53" i="105" s="1"/>
  <c r="AB25" i="105"/>
  <c r="AA25" i="105"/>
  <c r="Z25" i="105"/>
  <c r="C25" i="105"/>
  <c r="B25" i="105"/>
  <c r="B52" i="105" s="1"/>
  <c r="A25" i="105"/>
  <c r="A52" i="105" s="1"/>
  <c r="AB24" i="105"/>
  <c r="AA24" i="105"/>
  <c r="Z24" i="105"/>
  <c r="C24" i="105"/>
  <c r="C51" i="105" s="1"/>
  <c r="B24" i="105"/>
  <c r="B51" i="105" s="1"/>
  <c r="A24" i="105"/>
  <c r="A51" i="105" s="1"/>
  <c r="AB23" i="105"/>
  <c r="AA23" i="105"/>
  <c r="Z23" i="105"/>
  <c r="C23" i="105"/>
  <c r="C50" i="105" s="1"/>
  <c r="B23" i="105"/>
  <c r="B50" i="105" s="1"/>
  <c r="A23" i="105"/>
  <c r="A50" i="105" s="1"/>
  <c r="AB22" i="105"/>
  <c r="AA22" i="105"/>
  <c r="Z22" i="105"/>
  <c r="C22" i="105"/>
  <c r="C49" i="105" s="1"/>
  <c r="B22" i="105"/>
  <c r="B49" i="105" s="1"/>
  <c r="A22" i="105"/>
  <c r="A49" i="105" s="1"/>
  <c r="AB21" i="105"/>
  <c r="AA21" i="105"/>
  <c r="Z21" i="105"/>
  <c r="C21" i="105"/>
  <c r="B21" i="105"/>
  <c r="B48" i="105" s="1"/>
  <c r="A21" i="105"/>
  <c r="A48" i="105" s="1"/>
  <c r="AB20" i="105"/>
  <c r="AA20" i="105"/>
  <c r="Z20" i="105"/>
  <c r="C20" i="105"/>
  <c r="C47" i="105" s="1"/>
  <c r="B20" i="105"/>
  <c r="B47" i="105" s="1"/>
  <c r="A20" i="105"/>
  <c r="A47" i="105" s="1"/>
  <c r="AB19" i="105"/>
  <c r="AA19" i="105"/>
  <c r="Z19" i="105"/>
  <c r="C19" i="105"/>
  <c r="C46" i="105" s="1"/>
  <c r="B19" i="105"/>
  <c r="B46" i="105" s="1"/>
  <c r="A19" i="105"/>
  <c r="A46" i="105" s="1"/>
  <c r="AB18" i="105"/>
  <c r="AA18" i="105"/>
  <c r="Z18" i="105"/>
  <c r="C18" i="105"/>
  <c r="C45" i="105" s="1"/>
  <c r="B18" i="105"/>
  <c r="B45" i="105" s="1"/>
  <c r="A18" i="105"/>
  <c r="A45" i="105" s="1"/>
  <c r="AB17" i="105"/>
  <c r="AA17" i="105"/>
  <c r="Z17" i="105"/>
  <c r="C17" i="105"/>
  <c r="C44" i="105" s="1"/>
  <c r="B17" i="105"/>
  <c r="B44" i="105" s="1"/>
  <c r="A17" i="105"/>
  <c r="A44" i="105" s="1"/>
  <c r="AB16" i="105"/>
  <c r="AA16" i="105"/>
  <c r="Z16" i="105"/>
  <c r="C16" i="105"/>
  <c r="B16" i="105"/>
  <c r="B43" i="105" s="1"/>
  <c r="A16" i="105"/>
  <c r="A43" i="105" s="1"/>
  <c r="AB15" i="105"/>
  <c r="AA15" i="105"/>
  <c r="Z15" i="105"/>
  <c r="C15" i="105"/>
  <c r="C42" i="105" s="1"/>
  <c r="B15" i="105"/>
  <c r="B42" i="105" s="1"/>
  <c r="AB14" i="105"/>
  <c r="AA14" i="105"/>
  <c r="Z14" i="105"/>
  <c r="C14" i="105"/>
  <c r="C41" i="105" s="1"/>
  <c r="B14" i="105"/>
  <c r="B41" i="105" s="1"/>
  <c r="AB13" i="105"/>
  <c r="AA13" i="105"/>
  <c r="Z13" i="105"/>
  <c r="C13" i="105"/>
  <c r="C40" i="105" s="1"/>
  <c r="B13" i="105"/>
  <c r="B40" i="105" s="1"/>
  <c r="AB12" i="105"/>
  <c r="AA12" i="105"/>
  <c r="Z12" i="105"/>
  <c r="C12" i="105"/>
  <c r="C39" i="105" s="1"/>
  <c r="B12" i="105"/>
  <c r="B39" i="105" s="1"/>
  <c r="AB11" i="105"/>
  <c r="AA11" i="105"/>
  <c r="Z11" i="105"/>
  <c r="C11" i="105"/>
  <c r="C38" i="105" s="1"/>
  <c r="B11" i="105"/>
  <c r="B38" i="105" s="1"/>
  <c r="A11" i="105"/>
  <c r="A38" i="105" s="1"/>
  <c r="AB10" i="105"/>
  <c r="AA10" i="105"/>
  <c r="Z10" i="105"/>
  <c r="C10" i="105"/>
  <c r="C37" i="105" s="1"/>
  <c r="B10" i="105"/>
  <c r="B37" i="105" s="1"/>
  <c r="AB9" i="105"/>
  <c r="AA9" i="105"/>
  <c r="Z9" i="105"/>
  <c r="C9" i="105"/>
  <c r="C36" i="105" s="1"/>
  <c r="B9" i="105"/>
  <c r="B36" i="105" s="1"/>
  <c r="AB8" i="105"/>
  <c r="AA8" i="105"/>
  <c r="Z8" i="105"/>
  <c r="C8" i="105"/>
  <c r="C35" i="105" s="1"/>
  <c r="B8" i="105"/>
  <c r="B35" i="105" s="1"/>
  <c r="AB7" i="105"/>
  <c r="AA7" i="105"/>
  <c r="Z7" i="105"/>
  <c r="C7" i="105"/>
  <c r="C34" i="105" s="1"/>
  <c r="B7" i="105"/>
  <c r="B34" i="105" s="1"/>
  <c r="P55" i="105" l="1"/>
  <c r="C27" i="105"/>
  <c r="O27" i="105" s="1"/>
  <c r="O54" i="105" s="1"/>
  <c r="N63" i="105"/>
  <c r="N57" i="105" s="1"/>
  <c r="J63" i="105"/>
  <c r="J57" i="105" s="1"/>
  <c r="F67" i="105"/>
  <c r="F59" i="105" s="1"/>
  <c r="F65" i="105"/>
  <c r="F58" i="105" s="1"/>
  <c r="F69" i="105"/>
  <c r="F60" i="105" s="1"/>
  <c r="N61" i="105"/>
  <c r="N56" i="105" s="1"/>
  <c r="C26" i="105"/>
  <c r="C54" i="105"/>
  <c r="J69" i="105"/>
  <c r="J60" i="105" s="1"/>
  <c r="J67" i="105"/>
  <c r="J59" i="105" s="1"/>
  <c r="J65" i="105"/>
  <c r="J58" i="105" s="1"/>
  <c r="R63" i="105"/>
  <c r="R57" i="105" s="1"/>
  <c r="R61" i="105"/>
  <c r="R56" i="105" s="1"/>
  <c r="C48" i="105"/>
  <c r="C52" i="105"/>
  <c r="C28" i="105"/>
  <c r="K28" i="105" s="1"/>
  <c r="K55" i="105" s="1"/>
  <c r="B3" i="105"/>
  <c r="K27" i="105"/>
  <c r="K54" i="105" s="1"/>
  <c r="N67" i="105"/>
  <c r="N59" i="105" s="1"/>
  <c r="N65" i="105"/>
  <c r="N58" i="105" s="1"/>
  <c r="N69" i="105"/>
  <c r="N60" i="105" s="1"/>
  <c r="P30" i="105"/>
  <c r="C43" i="105"/>
  <c r="J61" i="105"/>
  <c r="J56" i="105" s="1"/>
  <c r="F61" i="105"/>
  <c r="F56" i="105" s="1"/>
  <c r="H30" i="105"/>
  <c r="F63" i="105"/>
  <c r="F57" i="105" s="1"/>
  <c r="R67" i="105"/>
  <c r="R59" i="105" s="1"/>
  <c r="G28" i="105" l="1"/>
  <c r="G55" i="105" s="1"/>
  <c r="C53" i="105"/>
  <c r="O26" i="105"/>
  <c r="O53" i="105" s="1"/>
  <c r="K26" i="105"/>
  <c r="K53" i="105" s="1"/>
  <c r="S28" i="105"/>
  <c r="S55" i="105" s="1"/>
  <c r="C55" i="105"/>
  <c r="O28" i="105"/>
  <c r="O55" i="105" s="1"/>
  <c r="L27" i="104" l="1"/>
  <c r="J27" i="104"/>
  <c r="L26" i="104"/>
  <c r="L53" i="104" s="1"/>
  <c r="J26" i="104"/>
  <c r="R65" i="104"/>
  <c r="R58" i="104"/>
  <c r="R55" i="104"/>
  <c r="T54" i="104"/>
  <c r="R69" i="104" s="1"/>
  <c r="R60" i="104" s="1"/>
  <c r="S54" i="104"/>
  <c r="R54" i="104"/>
  <c r="L54" i="104"/>
  <c r="J54" i="104"/>
  <c r="H54" i="104"/>
  <c r="G54" i="104"/>
  <c r="F54" i="104"/>
  <c r="B54" i="104"/>
  <c r="T53" i="104"/>
  <c r="R63" i="104" s="1"/>
  <c r="R57" i="104" s="1"/>
  <c r="S53" i="104"/>
  <c r="R53" i="104"/>
  <c r="J53" i="104"/>
  <c r="H53" i="104"/>
  <c r="G53" i="104"/>
  <c r="F53" i="104"/>
  <c r="B53" i="104"/>
  <c r="T52" i="104"/>
  <c r="S52" i="104"/>
  <c r="R52" i="104"/>
  <c r="P52" i="104"/>
  <c r="O52" i="104"/>
  <c r="N52" i="104"/>
  <c r="L52" i="104"/>
  <c r="K52" i="104"/>
  <c r="J52" i="104"/>
  <c r="H52" i="104"/>
  <c r="G52" i="104"/>
  <c r="F52" i="104"/>
  <c r="T51" i="104"/>
  <c r="S51" i="104"/>
  <c r="R51" i="104"/>
  <c r="P51" i="104"/>
  <c r="O51" i="104"/>
  <c r="N51" i="104"/>
  <c r="L51" i="104"/>
  <c r="K51" i="104"/>
  <c r="J51" i="104"/>
  <c r="H51" i="104"/>
  <c r="G51" i="104"/>
  <c r="F51" i="104"/>
  <c r="T50" i="104"/>
  <c r="S50" i="104"/>
  <c r="R50" i="104"/>
  <c r="P50" i="104"/>
  <c r="O50" i="104"/>
  <c r="N50" i="104"/>
  <c r="L50" i="104"/>
  <c r="K50" i="104"/>
  <c r="J50" i="104"/>
  <c r="H50" i="104"/>
  <c r="G50" i="104"/>
  <c r="F50" i="104"/>
  <c r="T49" i="104"/>
  <c r="S49" i="104"/>
  <c r="R49" i="104"/>
  <c r="P49" i="104"/>
  <c r="O49" i="104"/>
  <c r="N49" i="104"/>
  <c r="L49" i="104"/>
  <c r="K49" i="104"/>
  <c r="J49" i="104"/>
  <c r="H49" i="104"/>
  <c r="G49" i="104"/>
  <c r="F49" i="104"/>
  <c r="T48" i="104"/>
  <c r="S48" i="104"/>
  <c r="R48" i="104"/>
  <c r="P48" i="104"/>
  <c r="O48" i="104"/>
  <c r="N48" i="104"/>
  <c r="L48" i="104"/>
  <c r="K48" i="104"/>
  <c r="J48" i="104"/>
  <c r="H48" i="104"/>
  <c r="G48" i="104"/>
  <c r="F48" i="104"/>
  <c r="T47" i="104"/>
  <c r="S47" i="104"/>
  <c r="R47" i="104"/>
  <c r="P47" i="104"/>
  <c r="O47" i="104"/>
  <c r="N47" i="104"/>
  <c r="L47" i="104"/>
  <c r="K47" i="104"/>
  <c r="J47" i="104"/>
  <c r="H47" i="104"/>
  <c r="G47" i="104"/>
  <c r="F47" i="104"/>
  <c r="T46" i="104"/>
  <c r="S46" i="104"/>
  <c r="R46" i="104"/>
  <c r="P46" i="104"/>
  <c r="O46" i="104"/>
  <c r="N46" i="104"/>
  <c r="L46" i="104"/>
  <c r="K46" i="104"/>
  <c r="J46" i="104"/>
  <c r="H46" i="104"/>
  <c r="G46" i="104"/>
  <c r="F46" i="104"/>
  <c r="T45" i="104"/>
  <c r="S45" i="104"/>
  <c r="R45" i="104"/>
  <c r="P45" i="104"/>
  <c r="O45" i="104"/>
  <c r="N45" i="104"/>
  <c r="L45" i="104"/>
  <c r="K45" i="104"/>
  <c r="J45" i="104"/>
  <c r="H45" i="104"/>
  <c r="G45" i="104"/>
  <c r="F45" i="104"/>
  <c r="T44" i="104"/>
  <c r="S44" i="104"/>
  <c r="R44" i="104"/>
  <c r="P44" i="104"/>
  <c r="O44" i="104"/>
  <c r="N44" i="104"/>
  <c r="L44" i="104"/>
  <c r="K44" i="104"/>
  <c r="J44" i="104"/>
  <c r="H44" i="104"/>
  <c r="G44" i="104"/>
  <c r="F44" i="104"/>
  <c r="T43" i="104"/>
  <c r="S43" i="104"/>
  <c r="R43" i="104"/>
  <c r="P43" i="104"/>
  <c r="O43" i="104"/>
  <c r="N43" i="104"/>
  <c r="L43" i="104"/>
  <c r="K43" i="104"/>
  <c r="J43" i="104"/>
  <c r="H43" i="104"/>
  <c r="G43" i="104"/>
  <c r="F43" i="104"/>
  <c r="T42" i="104"/>
  <c r="S42" i="104"/>
  <c r="R42" i="104"/>
  <c r="P42" i="104"/>
  <c r="O42" i="104"/>
  <c r="N42" i="104"/>
  <c r="L42" i="104"/>
  <c r="K42" i="104"/>
  <c r="J42" i="104"/>
  <c r="H42" i="104"/>
  <c r="G42" i="104"/>
  <c r="F42" i="104"/>
  <c r="T41" i="104"/>
  <c r="S41" i="104"/>
  <c r="R41" i="104"/>
  <c r="P41" i="104"/>
  <c r="O41" i="104"/>
  <c r="N41" i="104"/>
  <c r="L41" i="104"/>
  <c r="K41" i="104"/>
  <c r="J41" i="104"/>
  <c r="H41" i="104"/>
  <c r="G41" i="104"/>
  <c r="F41" i="104"/>
  <c r="T40" i="104"/>
  <c r="S40" i="104"/>
  <c r="R40" i="104"/>
  <c r="P40" i="104"/>
  <c r="O40" i="104"/>
  <c r="N40" i="104"/>
  <c r="L40" i="104"/>
  <c r="K40" i="104"/>
  <c r="J40" i="104"/>
  <c r="H40" i="104"/>
  <c r="G40" i="104"/>
  <c r="F40" i="104"/>
  <c r="T39" i="104"/>
  <c r="S39" i="104"/>
  <c r="R39" i="104"/>
  <c r="P39" i="104"/>
  <c r="O39" i="104"/>
  <c r="N39" i="104"/>
  <c r="L39" i="104"/>
  <c r="K39" i="104"/>
  <c r="J39" i="104"/>
  <c r="H39" i="104"/>
  <c r="G39" i="104"/>
  <c r="F39" i="104"/>
  <c r="T38" i="104"/>
  <c r="S38" i="104"/>
  <c r="R38" i="104"/>
  <c r="P38" i="104"/>
  <c r="O38" i="104"/>
  <c r="N38" i="104"/>
  <c r="L38" i="104"/>
  <c r="K38" i="104"/>
  <c r="J38" i="104"/>
  <c r="H38" i="104"/>
  <c r="G38" i="104"/>
  <c r="F38" i="104"/>
  <c r="T37" i="104"/>
  <c r="S37" i="104"/>
  <c r="R37" i="104"/>
  <c r="P37" i="104"/>
  <c r="O37" i="104"/>
  <c r="N37" i="104"/>
  <c r="L37" i="104"/>
  <c r="K37" i="104"/>
  <c r="J37" i="104"/>
  <c r="H37" i="104"/>
  <c r="G37" i="104"/>
  <c r="F37" i="104"/>
  <c r="T36" i="104"/>
  <c r="S36" i="104"/>
  <c r="R36" i="104"/>
  <c r="P36" i="104"/>
  <c r="O36" i="104"/>
  <c r="N36" i="104"/>
  <c r="L36" i="104"/>
  <c r="K36" i="104"/>
  <c r="J36" i="104"/>
  <c r="H36" i="104"/>
  <c r="G36" i="104"/>
  <c r="F36" i="104"/>
  <c r="T35" i="104"/>
  <c r="S35" i="104"/>
  <c r="R35" i="104"/>
  <c r="P35" i="104"/>
  <c r="O35" i="104"/>
  <c r="N35" i="104"/>
  <c r="L35" i="104"/>
  <c r="K35" i="104"/>
  <c r="J35" i="104"/>
  <c r="H35" i="104"/>
  <c r="G35" i="104"/>
  <c r="F35" i="104"/>
  <c r="T34" i="104"/>
  <c r="S34" i="104"/>
  <c r="R34" i="104"/>
  <c r="P34" i="104"/>
  <c r="O34" i="104"/>
  <c r="N34" i="104"/>
  <c r="L34" i="104"/>
  <c r="K34" i="104"/>
  <c r="J34" i="104"/>
  <c r="H34" i="104"/>
  <c r="G34" i="104"/>
  <c r="F34" i="104"/>
  <c r="R32" i="104"/>
  <c r="N32" i="104"/>
  <c r="J32" i="104"/>
  <c r="F32" i="104"/>
  <c r="F31" i="104"/>
  <c r="H29" i="104"/>
  <c r="T28" i="104"/>
  <c r="T55" i="104" s="1"/>
  <c r="R28" i="104"/>
  <c r="P28" i="104"/>
  <c r="P55" i="104" s="1"/>
  <c r="N28" i="104"/>
  <c r="N55" i="104" s="1"/>
  <c r="L28" i="104"/>
  <c r="L30" i="104" s="1"/>
  <c r="J28" i="104"/>
  <c r="J55" i="104" s="1"/>
  <c r="H28" i="104"/>
  <c r="H55" i="104" s="1"/>
  <c r="F28" i="104"/>
  <c r="F55" i="104" s="1"/>
  <c r="P27" i="104"/>
  <c r="P54" i="104" s="1"/>
  <c r="N27" i="104"/>
  <c r="N54" i="104" s="1"/>
  <c r="P26" i="104"/>
  <c r="P53" i="104" s="1"/>
  <c r="N26" i="104"/>
  <c r="N53" i="104" s="1"/>
  <c r="AB25" i="104"/>
  <c r="AA25" i="104"/>
  <c r="Z25" i="104"/>
  <c r="C25" i="104"/>
  <c r="C52" i="104" s="1"/>
  <c r="B25" i="104"/>
  <c r="B52" i="104" s="1"/>
  <c r="A25" i="104"/>
  <c r="A52" i="104" s="1"/>
  <c r="AB24" i="104"/>
  <c r="AA24" i="104"/>
  <c r="Z24" i="104"/>
  <c r="C24" i="104"/>
  <c r="C51" i="104" s="1"/>
  <c r="B24" i="104"/>
  <c r="B51" i="104" s="1"/>
  <c r="A24" i="104"/>
  <c r="A51" i="104" s="1"/>
  <c r="AB23" i="104"/>
  <c r="AA23" i="104"/>
  <c r="Z23" i="104"/>
  <c r="C23" i="104"/>
  <c r="C50" i="104" s="1"/>
  <c r="B23" i="104"/>
  <c r="B50" i="104" s="1"/>
  <c r="A23" i="104"/>
  <c r="A50" i="104" s="1"/>
  <c r="AB22" i="104"/>
  <c r="AA22" i="104"/>
  <c r="Z22" i="104"/>
  <c r="C22" i="104"/>
  <c r="C49" i="104" s="1"/>
  <c r="B22" i="104"/>
  <c r="B49" i="104" s="1"/>
  <c r="A22" i="104"/>
  <c r="A49" i="104" s="1"/>
  <c r="AB21" i="104"/>
  <c r="AA21" i="104"/>
  <c r="Z21" i="104"/>
  <c r="C21" i="104"/>
  <c r="C48" i="104" s="1"/>
  <c r="B21" i="104"/>
  <c r="B48" i="104" s="1"/>
  <c r="A21" i="104"/>
  <c r="A48" i="104" s="1"/>
  <c r="AB20" i="104"/>
  <c r="AA20" i="104"/>
  <c r="Z20" i="104"/>
  <c r="C20" i="104"/>
  <c r="C47" i="104" s="1"/>
  <c r="B20" i="104"/>
  <c r="B47" i="104" s="1"/>
  <c r="A20" i="104"/>
  <c r="A47" i="104" s="1"/>
  <c r="AB19" i="104"/>
  <c r="AA19" i="104"/>
  <c r="Z19" i="104"/>
  <c r="C19" i="104"/>
  <c r="C46" i="104" s="1"/>
  <c r="B19" i="104"/>
  <c r="B46" i="104" s="1"/>
  <c r="A19" i="104"/>
  <c r="A46" i="104" s="1"/>
  <c r="AB18" i="104"/>
  <c r="AA18" i="104"/>
  <c r="Z18" i="104"/>
  <c r="C18" i="104"/>
  <c r="C45" i="104" s="1"/>
  <c r="B18" i="104"/>
  <c r="B45" i="104" s="1"/>
  <c r="A18" i="104"/>
  <c r="A45" i="104" s="1"/>
  <c r="AB17" i="104"/>
  <c r="AA17" i="104"/>
  <c r="Z17" i="104"/>
  <c r="C17" i="104"/>
  <c r="C44" i="104" s="1"/>
  <c r="B17" i="104"/>
  <c r="B44" i="104" s="1"/>
  <c r="A17" i="104"/>
  <c r="A44" i="104" s="1"/>
  <c r="AB16" i="104"/>
  <c r="AA16" i="104"/>
  <c r="Z16" i="104"/>
  <c r="C16" i="104"/>
  <c r="C43" i="104" s="1"/>
  <c r="B16" i="104"/>
  <c r="B43" i="104" s="1"/>
  <c r="A16" i="104"/>
  <c r="A43" i="104" s="1"/>
  <c r="AB15" i="104"/>
  <c r="AA15" i="104"/>
  <c r="Z15" i="104"/>
  <c r="C15" i="104"/>
  <c r="C42" i="104" s="1"/>
  <c r="B42" i="104"/>
  <c r="AB14" i="104"/>
  <c r="AA14" i="104"/>
  <c r="Z14" i="104"/>
  <c r="C14" i="104"/>
  <c r="C41" i="104" s="1"/>
  <c r="B14" i="104"/>
  <c r="B41" i="104" s="1"/>
  <c r="AB13" i="104"/>
  <c r="AA13" i="104"/>
  <c r="Z13" i="104"/>
  <c r="C13" i="104"/>
  <c r="C40" i="104" s="1"/>
  <c r="B13" i="104"/>
  <c r="B40" i="104" s="1"/>
  <c r="AB12" i="104"/>
  <c r="AA12" i="104"/>
  <c r="Z12" i="104"/>
  <c r="C12" i="104"/>
  <c r="C39" i="104" s="1"/>
  <c r="B12" i="104"/>
  <c r="B39" i="104" s="1"/>
  <c r="AB11" i="104"/>
  <c r="AA11" i="104"/>
  <c r="Z11" i="104"/>
  <c r="C11" i="104"/>
  <c r="C38" i="104" s="1"/>
  <c r="B11" i="104"/>
  <c r="B38" i="104" s="1"/>
  <c r="A11" i="104"/>
  <c r="A38" i="104" s="1"/>
  <c r="AB10" i="104"/>
  <c r="AA10" i="104"/>
  <c r="Z10" i="104"/>
  <c r="C10" i="104"/>
  <c r="C37" i="104" s="1"/>
  <c r="B10" i="104"/>
  <c r="B37" i="104" s="1"/>
  <c r="AB9" i="104"/>
  <c r="AA9" i="104"/>
  <c r="Z9" i="104"/>
  <c r="C9" i="104"/>
  <c r="C36" i="104" s="1"/>
  <c r="B9" i="104"/>
  <c r="B36" i="104" s="1"/>
  <c r="AB8" i="104"/>
  <c r="AA8" i="104"/>
  <c r="Z8" i="104"/>
  <c r="C8" i="104"/>
  <c r="C35" i="104" s="1"/>
  <c r="B8" i="104"/>
  <c r="B35" i="104" s="1"/>
  <c r="AB7" i="104"/>
  <c r="AA7" i="104"/>
  <c r="Z7" i="104"/>
  <c r="C7" i="104"/>
  <c r="C34" i="104" s="1"/>
  <c r="B7" i="104"/>
  <c r="B34" i="104" s="1"/>
  <c r="F67" i="104" l="1"/>
  <c r="F59" i="104" s="1"/>
  <c r="J63" i="104"/>
  <c r="J57" i="104" s="1"/>
  <c r="J69" i="104"/>
  <c r="J60" i="104" s="1"/>
  <c r="J65" i="104"/>
  <c r="J58" i="104" s="1"/>
  <c r="L55" i="104"/>
  <c r="J61" i="104" s="1"/>
  <c r="J56" i="104" s="1"/>
  <c r="R61" i="104"/>
  <c r="R56" i="104" s="1"/>
  <c r="N67" i="104"/>
  <c r="N59" i="104" s="1"/>
  <c r="N65" i="104"/>
  <c r="N58" i="104" s="1"/>
  <c r="N69" i="104"/>
  <c r="N60" i="104" s="1"/>
  <c r="F61" i="104"/>
  <c r="F56" i="104" s="1"/>
  <c r="N61" i="104"/>
  <c r="N56" i="104" s="1"/>
  <c r="C27" i="104"/>
  <c r="K27" i="104" s="1"/>
  <c r="K54" i="104" s="1"/>
  <c r="L29" i="104"/>
  <c r="H30" i="104"/>
  <c r="F63" i="104"/>
  <c r="F57" i="104" s="1"/>
  <c r="N63" i="104"/>
  <c r="N57" i="104" s="1"/>
  <c r="J67" i="104"/>
  <c r="J59" i="104" s="1"/>
  <c r="R67" i="104"/>
  <c r="R59" i="104" s="1"/>
  <c r="F69" i="104"/>
  <c r="F60" i="104" s="1"/>
  <c r="C26" i="104"/>
  <c r="C28" i="104"/>
  <c r="S28" i="104" s="1"/>
  <c r="S55" i="104" s="1"/>
  <c r="P29" i="104"/>
  <c r="F65" i="104"/>
  <c r="F58" i="104" s="1"/>
  <c r="B3" i="104"/>
  <c r="P30" i="104"/>
  <c r="C53" i="104" l="1"/>
  <c r="K26" i="104"/>
  <c r="K53" i="104" s="1"/>
  <c r="O26" i="104"/>
  <c r="O53" i="104" s="1"/>
  <c r="O28" i="104"/>
  <c r="O55" i="104" s="1"/>
  <c r="K28" i="104"/>
  <c r="K55" i="104" s="1"/>
  <c r="C55" i="104"/>
  <c r="G28" i="104"/>
  <c r="G55" i="104" s="1"/>
  <c r="O27" i="104"/>
  <c r="O54" i="104" s="1"/>
  <c r="C54" i="104"/>
  <c r="S27" i="103" l="1"/>
  <c r="T27" i="103"/>
  <c r="R27" i="103"/>
  <c r="T26" i="103"/>
  <c r="R26" i="103"/>
  <c r="L27" i="103" l="1"/>
  <c r="L54" i="103" s="1"/>
  <c r="L26" i="103"/>
  <c r="L53" i="103" s="1"/>
  <c r="L52" i="103"/>
  <c r="L45" i="103"/>
  <c r="L44" i="103"/>
  <c r="L28" i="103"/>
  <c r="L29" i="103" s="1"/>
  <c r="L42" i="103"/>
  <c r="L41" i="103"/>
  <c r="L40" i="103"/>
  <c r="L35" i="103"/>
  <c r="J27" i="103"/>
  <c r="J26" i="103"/>
  <c r="N26" i="103"/>
  <c r="K46" i="103"/>
  <c r="K45" i="103"/>
  <c r="K41" i="103"/>
  <c r="K39" i="103"/>
  <c r="K34" i="103"/>
  <c r="O52" i="103"/>
  <c r="O45" i="103"/>
  <c r="O43" i="103"/>
  <c r="P52" i="103"/>
  <c r="P50" i="103"/>
  <c r="P48" i="103"/>
  <c r="P44" i="103"/>
  <c r="P27" i="103"/>
  <c r="P54" i="103" s="1"/>
  <c r="P42" i="103"/>
  <c r="P41" i="103"/>
  <c r="P37" i="103"/>
  <c r="O37" i="103"/>
  <c r="O35" i="103"/>
  <c r="T54" i="103"/>
  <c r="S54" i="103"/>
  <c r="R54" i="103"/>
  <c r="H54" i="103"/>
  <c r="F67" i="103" s="1"/>
  <c r="F59" i="103" s="1"/>
  <c r="G54" i="103"/>
  <c r="F54" i="103"/>
  <c r="B54" i="103"/>
  <c r="T53" i="103"/>
  <c r="R53" i="103"/>
  <c r="H53" i="103"/>
  <c r="G53" i="103"/>
  <c r="F53" i="103"/>
  <c r="B53" i="103"/>
  <c r="T52" i="103"/>
  <c r="S52" i="103"/>
  <c r="R52" i="103"/>
  <c r="N52" i="103"/>
  <c r="K52" i="103"/>
  <c r="J52" i="103"/>
  <c r="H52" i="103"/>
  <c r="G52" i="103"/>
  <c r="F52" i="103"/>
  <c r="T51" i="103"/>
  <c r="S51" i="103"/>
  <c r="R51" i="103"/>
  <c r="P51" i="103"/>
  <c r="O51" i="103"/>
  <c r="N51" i="103"/>
  <c r="L51" i="103"/>
  <c r="K51" i="103"/>
  <c r="J51" i="103"/>
  <c r="H51" i="103"/>
  <c r="G51" i="103"/>
  <c r="F51" i="103"/>
  <c r="T50" i="103"/>
  <c r="S50" i="103"/>
  <c r="R50" i="103"/>
  <c r="O50" i="103"/>
  <c r="N50" i="103"/>
  <c r="L50" i="103"/>
  <c r="K50" i="103"/>
  <c r="J50" i="103"/>
  <c r="H50" i="103"/>
  <c r="G50" i="103"/>
  <c r="F50" i="103"/>
  <c r="T49" i="103"/>
  <c r="S49" i="103"/>
  <c r="R49" i="103"/>
  <c r="P49" i="103"/>
  <c r="O49" i="103"/>
  <c r="N49" i="103"/>
  <c r="L49" i="103"/>
  <c r="K49" i="103"/>
  <c r="J49" i="103"/>
  <c r="H49" i="103"/>
  <c r="G49" i="103"/>
  <c r="F49" i="103"/>
  <c r="T48" i="103"/>
  <c r="S48" i="103"/>
  <c r="R48" i="103"/>
  <c r="O48" i="103"/>
  <c r="N48" i="103"/>
  <c r="L48" i="103"/>
  <c r="K48" i="103"/>
  <c r="J48" i="103"/>
  <c r="H48" i="103"/>
  <c r="G48" i="103"/>
  <c r="F48" i="103"/>
  <c r="T47" i="103"/>
  <c r="S47" i="103"/>
  <c r="R47" i="103"/>
  <c r="P47" i="103"/>
  <c r="O47" i="103"/>
  <c r="N47" i="103"/>
  <c r="L47" i="103"/>
  <c r="K47" i="103"/>
  <c r="J47" i="103"/>
  <c r="H47" i="103"/>
  <c r="G47" i="103"/>
  <c r="F47" i="103"/>
  <c r="T46" i="103"/>
  <c r="S46" i="103"/>
  <c r="R46" i="103"/>
  <c r="P46" i="103"/>
  <c r="O46" i="103"/>
  <c r="N46" i="103"/>
  <c r="L46" i="103"/>
  <c r="J46" i="103"/>
  <c r="H46" i="103"/>
  <c r="G46" i="103"/>
  <c r="F46" i="103"/>
  <c r="T45" i="103"/>
  <c r="S45" i="103"/>
  <c r="R45" i="103"/>
  <c r="P45" i="103"/>
  <c r="N45" i="103"/>
  <c r="J45" i="103"/>
  <c r="H45" i="103"/>
  <c r="G45" i="103"/>
  <c r="F45" i="103"/>
  <c r="T44" i="103"/>
  <c r="S44" i="103"/>
  <c r="R44" i="103"/>
  <c r="O44" i="103"/>
  <c r="N44" i="103"/>
  <c r="K44" i="103"/>
  <c r="J44" i="103"/>
  <c r="H44" i="103"/>
  <c r="G44" i="103"/>
  <c r="F44" i="103"/>
  <c r="T43" i="103"/>
  <c r="S43" i="103"/>
  <c r="R43" i="103"/>
  <c r="P43" i="103"/>
  <c r="N43" i="103"/>
  <c r="L43" i="103"/>
  <c r="K43" i="103"/>
  <c r="J43" i="103"/>
  <c r="H43" i="103"/>
  <c r="G43" i="103"/>
  <c r="F43" i="103"/>
  <c r="T42" i="103"/>
  <c r="S42" i="103"/>
  <c r="R42" i="103"/>
  <c r="O42" i="103"/>
  <c r="N42" i="103"/>
  <c r="K42" i="103"/>
  <c r="J42" i="103"/>
  <c r="H42" i="103"/>
  <c r="G42" i="103"/>
  <c r="F42" i="103"/>
  <c r="T41" i="103"/>
  <c r="S41" i="103"/>
  <c r="R41" i="103"/>
  <c r="O41" i="103"/>
  <c r="N41" i="103"/>
  <c r="J41" i="103"/>
  <c r="H41" i="103"/>
  <c r="G41" i="103"/>
  <c r="F41" i="103"/>
  <c r="T40" i="103"/>
  <c r="S40" i="103"/>
  <c r="R40" i="103"/>
  <c r="P40" i="103"/>
  <c r="O40" i="103"/>
  <c r="N40" i="103"/>
  <c r="K40" i="103"/>
  <c r="J40" i="103"/>
  <c r="H40" i="103"/>
  <c r="G40" i="103"/>
  <c r="F40" i="103"/>
  <c r="T39" i="103"/>
  <c r="S39" i="103"/>
  <c r="R39" i="103"/>
  <c r="P39" i="103"/>
  <c r="O39" i="103"/>
  <c r="N39" i="103"/>
  <c r="L39" i="103"/>
  <c r="J39" i="103"/>
  <c r="H39" i="103"/>
  <c r="G39" i="103"/>
  <c r="F39" i="103"/>
  <c r="T38" i="103"/>
  <c r="S38" i="103"/>
  <c r="R38" i="103"/>
  <c r="P38" i="103"/>
  <c r="O38" i="103"/>
  <c r="N38" i="103"/>
  <c r="L38" i="103"/>
  <c r="K38" i="103"/>
  <c r="J38" i="103"/>
  <c r="H38" i="103"/>
  <c r="G38" i="103"/>
  <c r="F38" i="103"/>
  <c r="T37" i="103"/>
  <c r="S37" i="103"/>
  <c r="R37" i="103"/>
  <c r="N37" i="103"/>
  <c r="L37" i="103"/>
  <c r="K37" i="103"/>
  <c r="J37" i="103"/>
  <c r="H37" i="103"/>
  <c r="G37" i="103"/>
  <c r="F37" i="103"/>
  <c r="T36" i="103"/>
  <c r="S36" i="103"/>
  <c r="R36" i="103"/>
  <c r="P36" i="103"/>
  <c r="O36" i="103"/>
  <c r="N36" i="103"/>
  <c r="L36" i="103"/>
  <c r="K36" i="103"/>
  <c r="J36" i="103"/>
  <c r="H36" i="103"/>
  <c r="G36" i="103"/>
  <c r="F36" i="103"/>
  <c r="T35" i="103"/>
  <c r="S35" i="103"/>
  <c r="R35" i="103"/>
  <c r="P35" i="103"/>
  <c r="N35" i="103"/>
  <c r="K35" i="103"/>
  <c r="J35" i="103"/>
  <c r="H35" i="103"/>
  <c r="G35" i="103"/>
  <c r="F35" i="103"/>
  <c r="T34" i="103"/>
  <c r="S34" i="103"/>
  <c r="R34" i="103"/>
  <c r="P34" i="103"/>
  <c r="O34" i="103"/>
  <c r="N34" i="103"/>
  <c r="L34" i="103"/>
  <c r="J34" i="103"/>
  <c r="H34" i="103"/>
  <c r="G34" i="103"/>
  <c r="F34" i="103"/>
  <c r="R32" i="103"/>
  <c r="N32" i="103"/>
  <c r="J32" i="103"/>
  <c r="F32" i="103"/>
  <c r="F31" i="103"/>
  <c r="T28" i="103"/>
  <c r="T55" i="103" s="1"/>
  <c r="R28" i="103"/>
  <c r="N28" i="103"/>
  <c r="J28" i="103"/>
  <c r="H28" i="103"/>
  <c r="H29" i="103" s="1"/>
  <c r="F28" i="103"/>
  <c r="N27" i="103"/>
  <c r="AB25" i="103"/>
  <c r="AA25" i="103"/>
  <c r="Z25" i="103"/>
  <c r="C25" i="103"/>
  <c r="C52" i="103" s="1"/>
  <c r="B25" i="103"/>
  <c r="B52" i="103" s="1"/>
  <c r="A25" i="103"/>
  <c r="A52" i="103" s="1"/>
  <c r="AB24" i="103"/>
  <c r="AA24" i="103"/>
  <c r="Z24" i="103"/>
  <c r="C24" i="103"/>
  <c r="C51" i="103" s="1"/>
  <c r="B24" i="103"/>
  <c r="B51" i="103" s="1"/>
  <c r="A24" i="103"/>
  <c r="A51" i="103" s="1"/>
  <c r="AB23" i="103"/>
  <c r="AA23" i="103"/>
  <c r="Z23" i="103"/>
  <c r="C23" i="103"/>
  <c r="C50" i="103" s="1"/>
  <c r="B23" i="103"/>
  <c r="B50" i="103" s="1"/>
  <c r="A23" i="103"/>
  <c r="A50" i="103" s="1"/>
  <c r="AB22" i="103"/>
  <c r="AA22" i="103"/>
  <c r="Z22" i="103"/>
  <c r="C22" i="103"/>
  <c r="B22" i="103"/>
  <c r="B49" i="103" s="1"/>
  <c r="A22" i="103"/>
  <c r="A49" i="103" s="1"/>
  <c r="AB21" i="103"/>
  <c r="AA21" i="103"/>
  <c r="Z21" i="103"/>
  <c r="C21" i="103"/>
  <c r="C48" i="103" s="1"/>
  <c r="B21" i="103"/>
  <c r="B48" i="103" s="1"/>
  <c r="A21" i="103"/>
  <c r="A48" i="103" s="1"/>
  <c r="AB20" i="103"/>
  <c r="AA20" i="103"/>
  <c r="Z20" i="103"/>
  <c r="C20" i="103"/>
  <c r="C47" i="103" s="1"/>
  <c r="B20" i="103"/>
  <c r="B47" i="103" s="1"/>
  <c r="A20" i="103"/>
  <c r="A47" i="103" s="1"/>
  <c r="AB19" i="103"/>
  <c r="AA19" i="103"/>
  <c r="Z19" i="103"/>
  <c r="C19" i="103"/>
  <c r="C46" i="103" s="1"/>
  <c r="B19" i="103"/>
  <c r="B46" i="103" s="1"/>
  <c r="A19" i="103"/>
  <c r="A46" i="103" s="1"/>
  <c r="AB18" i="103"/>
  <c r="AA18" i="103"/>
  <c r="Z18" i="103"/>
  <c r="C18" i="103"/>
  <c r="C45" i="103" s="1"/>
  <c r="B18" i="103"/>
  <c r="B45" i="103" s="1"/>
  <c r="A18" i="103"/>
  <c r="A45" i="103" s="1"/>
  <c r="AB17" i="103"/>
  <c r="AA17" i="103"/>
  <c r="Z17" i="103"/>
  <c r="C17" i="103"/>
  <c r="C44" i="103" s="1"/>
  <c r="B17" i="103"/>
  <c r="B44" i="103" s="1"/>
  <c r="A17" i="103"/>
  <c r="A44" i="103" s="1"/>
  <c r="AB16" i="103"/>
  <c r="AA16" i="103"/>
  <c r="Z16" i="103"/>
  <c r="C16" i="103"/>
  <c r="C43" i="103" s="1"/>
  <c r="B16" i="103"/>
  <c r="B43" i="103" s="1"/>
  <c r="A16" i="103"/>
  <c r="A43" i="103" s="1"/>
  <c r="AB15" i="103"/>
  <c r="AA15" i="103"/>
  <c r="Z15" i="103"/>
  <c r="C15" i="103"/>
  <c r="C42" i="103" s="1"/>
  <c r="B15" i="103"/>
  <c r="B42" i="103" s="1"/>
  <c r="AB14" i="103"/>
  <c r="AA14" i="103"/>
  <c r="Z14" i="103"/>
  <c r="C14" i="103"/>
  <c r="C41" i="103" s="1"/>
  <c r="B14" i="103"/>
  <c r="B41" i="103" s="1"/>
  <c r="AB13" i="103"/>
  <c r="AA13" i="103"/>
  <c r="Z13" i="103"/>
  <c r="C13" i="103"/>
  <c r="C40" i="103" s="1"/>
  <c r="B13" i="103"/>
  <c r="B40" i="103" s="1"/>
  <c r="AB12" i="103"/>
  <c r="AA12" i="103"/>
  <c r="Z12" i="103"/>
  <c r="C12" i="103"/>
  <c r="C39" i="103" s="1"/>
  <c r="B12" i="103"/>
  <c r="B39" i="103" s="1"/>
  <c r="AB11" i="103"/>
  <c r="AA11" i="103"/>
  <c r="Z11" i="103"/>
  <c r="C11" i="103"/>
  <c r="C38" i="103" s="1"/>
  <c r="B11" i="103"/>
  <c r="B38" i="103" s="1"/>
  <c r="A11" i="103"/>
  <c r="A38" i="103" s="1"/>
  <c r="AB10" i="103"/>
  <c r="AA10" i="103"/>
  <c r="Z10" i="103"/>
  <c r="C10" i="103"/>
  <c r="C37" i="103" s="1"/>
  <c r="B10" i="103"/>
  <c r="B37" i="103" s="1"/>
  <c r="AB9" i="103"/>
  <c r="AA9" i="103"/>
  <c r="Z9" i="103"/>
  <c r="C9" i="103"/>
  <c r="C36" i="103" s="1"/>
  <c r="B9" i="103"/>
  <c r="B36" i="103" s="1"/>
  <c r="AB8" i="103"/>
  <c r="AA8" i="103"/>
  <c r="Z8" i="103"/>
  <c r="C8" i="103"/>
  <c r="C35" i="103" s="1"/>
  <c r="B8" i="103"/>
  <c r="B35" i="103" s="1"/>
  <c r="AB7" i="103"/>
  <c r="AA7" i="103"/>
  <c r="Z7" i="103"/>
  <c r="C7" i="103"/>
  <c r="B7" i="103"/>
  <c r="B34" i="103" s="1"/>
  <c r="B3" i="103" l="1"/>
  <c r="C26" i="103"/>
  <c r="C53" i="103"/>
  <c r="S26" i="103"/>
  <c r="S53" i="103" s="1"/>
  <c r="F55" i="103"/>
  <c r="G28" i="103"/>
  <c r="J53" i="103"/>
  <c r="K26" i="103"/>
  <c r="K53" i="103" s="1"/>
  <c r="J54" i="103"/>
  <c r="K27" i="103"/>
  <c r="J55" i="103"/>
  <c r="K28" i="103"/>
  <c r="N54" i="103"/>
  <c r="O27" i="103"/>
  <c r="N55" i="103"/>
  <c r="O28" i="103"/>
  <c r="N53" i="103"/>
  <c r="O26" i="103"/>
  <c r="O53" i="103" s="1"/>
  <c r="R55" i="103"/>
  <c r="S28" i="103"/>
  <c r="R67" i="103"/>
  <c r="R59" i="103" s="1"/>
  <c r="K54" i="103"/>
  <c r="J63" i="103"/>
  <c r="J57" i="103" s="1"/>
  <c r="J69" i="103"/>
  <c r="J60" i="103" s="1"/>
  <c r="P26" i="103"/>
  <c r="P53" i="103" s="1"/>
  <c r="P28" i="103"/>
  <c r="P29" i="103" s="1"/>
  <c r="N65" i="103"/>
  <c r="N58" i="103" s="1"/>
  <c r="N67" i="103"/>
  <c r="N59" i="103" s="1"/>
  <c r="N69" i="103"/>
  <c r="N60" i="103" s="1"/>
  <c r="R61" i="103"/>
  <c r="R56" i="103" s="1"/>
  <c r="C27" i="103"/>
  <c r="R65" i="103"/>
  <c r="R58" i="103" s="1"/>
  <c r="H30" i="103"/>
  <c r="H55" i="103"/>
  <c r="J67" i="103"/>
  <c r="J59" i="103" s="1"/>
  <c r="C28" i="103"/>
  <c r="L30" i="103"/>
  <c r="F65" i="103"/>
  <c r="F58" i="103" s="1"/>
  <c r="R69" i="103"/>
  <c r="R60" i="103" s="1"/>
  <c r="C34" i="103"/>
  <c r="C49" i="103"/>
  <c r="R63" i="103"/>
  <c r="R57" i="103" s="1"/>
  <c r="L55" i="103"/>
  <c r="J65" i="103"/>
  <c r="J58" i="103" s="1"/>
  <c r="F69" i="103"/>
  <c r="F60" i="103" s="1"/>
  <c r="F63" i="103"/>
  <c r="F57" i="103" s="1"/>
  <c r="N63" i="103" l="1"/>
  <c r="N57" i="103" s="1"/>
  <c r="P55" i="103"/>
  <c r="N61" i="103" s="1"/>
  <c r="N56" i="103" s="1"/>
  <c r="P30" i="103"/>
  <c r="C54" i="103"/>
  <c r="O54" i="103"/>
  <c r="J61" i="103"/>
  <c r="J56" i="103" s="1"/>
  <c r="S55" i="103"/>
  <c r="C55" i="103"/>
  <c r="G55" i="103"/>
  <c r="O55" i="103"/>
  <c r="F61" i="103"/>
  <c r="F56" i="103" s="1"/>
  <c r="K55" i="103"/>
  <c r="R32" i="102" l="1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R60" i="91"/>
  <c r="R59" i="91"/>
  <c r="R58" i="91"/>
  <c r="R57" i="91"/>
  <c r="N60" i="91"/>
  <c r="N59" i="91"/>
  <c r="N58" i="91"/>
  <c r="N57" i="91"/>
  <c r="J60" i="91"/>
  <c r="J59" i="91"/>
  <c r="J58" i="91"/>
  <c r="J57" i="91"/>
  <c r="F60" i="91"/>
  <c r="F59" i="91"/>
  <c r="F58" i="91"/>
  <c r="F57" i="91"/>
  <c r="R69" i="91"/>
  <c r="N69" i="91"/>
  <c r="J69" i="91"/>
  <c r="F69" i="91"/>
  <c r="R67" i="91"/>
  <c r="N67" i="91"/>
  <c r="J67" i="91"/>
  <c r="F67" i="91"/>
  <c r="R65" i="91"/>
  <c r="R63" i="91"/>
  <c r="N65" i="91"/>
  <c r="J65" i="91"/>
  <c r="F65" i="91"/>
  <c r="R56" i="91"/>
  <c r="R61" i="91"/>
  <c r="N63" i="91"/>
  <c r="J63" i="91"/>
  <c r="F63" i="91"/>
  <c r="L28" i="91" l="1"/>
  <c r="J28" i="91"/>
  <c r="R32" i="91"/>
  <c r="L28" i="102"/>
  <c r="L55" i="102" s="1"/>
  <c r="J28" i="102"/>
  <c r="J55" i="102" s="1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B14" i="102"/>
  <c r="AA14" i="102"/>
  <c r="Z14" i="102"/>
  <c r="C14" i="102"/>
  <c r="C41" i="102" s="1"/>
  <c r="B14" i="102"/>
  <c r="B41" i="102" s="1"/>
  <c r="AB13" i="102"/>
  <c r="AA13" i="102"/>
  <c r="Z13" i="102"/>
  <c r="C13" i="102"/>
  <c r="C40" i="102" s="1"/>
  <c r="B13" i="102"/>
  <c r="B40" i="102" s="1"/>
  <c r="AB12" i="102"/>
  <c r="AA12" i="102"/>
  <c r="Z12" i="102"/>
  <c r="C12" i="102"/>
  <c r="C39" i="102" s="1"/>
  <c r="B12" i="102"/>
  <c r="B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B9" i="102"/>
  <c r="AA9" i="102"/>
  <c r="Z9" i="102"/>
  <c r="C9" i="102"/>
  <c r="C36" i="102" s="1"/>
  <c r="B9" i="102"/>
  <c r="B36" i="102" s="1"/>
  <c r="AB8" i="102"/>
  <c r="AA8" i="102"/>
  <c r="Z8" i="102"/>
  <c r="C8" i="102"/>
  <c r="C35" i="102" s="1"/>
  <c r="B8" i="102"/>
  <c r="B35" i="102" s="1"/>
  <c r="AB7" i="102"/>
  <c r="AA7" i="102"/>
  <c r="Z7" i="102"/>
  <c r="C7" i="102"/>
  <c r="C34" i="102" s="1"/>
  <c r="B7" i="102"/>
  <c r="B34" i="102" s="1"/>
  <c r="T28" i="91"/>
  <c r="T55" i="91" s="1"/>
  <c r="R28" i="91"/>
  <c r="T54" i="91"/>
  <c r="S54" i="91"/>
  <c r="R54" i="91"/>
  <c r="T53" i="91"/>
  <c r="S53" i="91"/>
  <c r="R53" i="91"/>
  <c r="T52" i="91"/>
  <c r="S52" i="91"/>
  <c r="R52" i="91"/>
  <c r="T51" i="91"/>
  <c r="S51" i="91"/>
  <c r="R51" i="91"/>
  <c r="T50" i="91"/>
  <c r="S50" i="91"/>
  <c r="R50" i="91"/>
  <c r="T49" i="91"/>
  <c r="S49" i="91"/>
  <c r="R49" i="91"/>
  <c r="T48" i="91"/>
  <c r="S48" i="91"/>
  <c r="R48" i="91"/>
  <c r="T47" i="91"/>
  <c r="S47" i="91"/>
  <c r="R47" i="91"/>
  <c r="T46" i="91"/>
  <c r="S46" i="91"/>
  <c r="R46" i="91"/>
  <c r="T45" i="91"/>
  <c r="S45" i="91"/>
  <c r="R45" i="91"/>
  <c r="T44" i="91"/>
  <c r="S44" i="91"/>
  <c r="R44" i="91"/>
  <c r="T43" i="91"/>
  <c r="S43" i="91"/>
  <c r="R43" i="91"/>
  <c r="T42" i="91"/>
  <c r="S42" i="91"/>
  <c r="R42" i="91"/>
  <c r="T41" i="91"/>
  <c r="S41" i="91"/>
  <c r="R41" i="91"/>
  <c r="T40" i="91"/>
  <c r="S40" i="91"/>
  <c r="R40" i="91"/>
  <c r="T39" i="91"/>
  <c r="S39" i="91"/>
  <c r="R39" i="91"/>
  <c r="T38" i="91"/>
  <c r="S38" i="91"/>
  <c r="R38" i="91"/>
  <c r="T37" i="91"/>
  <c r="S37" i="91"/>
  <c r="R37" i="91"/>
  <c r="T36" i="91"/>
  <c r="S36" i="91"/>
  <c r="R36" i="91"/>
  <c r="T35" i="91"/>
  <c r="S35" i="91"/>
  <c r="R35" i="91"/>
  <c r="T34" i="91"/>
  <c r="S34" i="91"/>
  <c r="R34" i="91"/>
  <c r="I14" i="23"/>
  <c r="P30" i="102" l="1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R55" i="91"/>
  <c r="K28" i="102" l="1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AB24" i="91" l="1"/>
  <c r="AB23" i="91"/>
  <c r="AB17" i="91"/>
  <c r="AB18" i="91"/>
  <c r="AB19" i="91"/>
  <c r="AB20" i="91"/>
  <c r="AB21" i="91"/>
  <c r="AB22" i="91"/>
  <c r="AB25" i="91"/>
  <c r="AB16" i="91"/>
  <c r="AB8" i="91"/>
  <c r="AB9" i="91"/>
  <c r="AB10" i="91"/>
  <c r="AB11" i="91"/>
  <c r="AB12" i="91"/>
  <c r="AB13" i="91"/>
  <c r="AB14" i="91"/>
  <c r="AB15" i="91"/>
  <c r="AB7" i="91"/>
  <c r="AA8" i="91"/>
  <c r="AA9" i="91"/>
  <c r="AA10" i="91"/>
  <c r="AA11" i="91"/>
  <c r="AA12" i="91"/>
  <c r="AA13" i="91"/>
  <c r="AA14" i="91"/>
  <c r="AA15" i="91"/>
  <c r="AA7" i="91"/>
  <c r="AA24" i="91"/>
  <c r="AA23" i="91"/>
  <c r="AA17" i="91"/>
  <c r="AA18" i="91"/>
  <c r="AA19" i="91"/>
  <c r="AA20" i="91"/>
  <c r="AA21" i="91"/>
  <c r="AA22" i="91"/>
  <c r="AA25" i="91"/>
  <c r="AA16" i="91"/>
  <c r="Z7" i="91"/>
  <c r="Z25" i="91"/>
  <c r="Z24" i="91"/>
  <c r="Z23" i="91"/>
  <c r="Z22" i="91"/>
  <c r="Z21" i="91"/>
  <c r="Z20" i="91"/>
  <c r="Z19" i="91"/>
  <c r="Z18" i="91"/>
  <c r="Z17" i="91"/>
  <c r="Z16" i="91"/>
  <c r="Z15" i="91"/>
  <c r="Z14" i="91"/>
  <c r="Z13" i="91"/>
  <c r="Z12" i="91"/>
  <c r="Z11" i="91"/>
  <c r="Z10" i="91"/>
  <c r="Z9" i="91"/>
  <c r="Z8" i="91"/>
  <c r="D15" i="23" l="1"/>
  <c r="I15" i="23"/>
  <c r="B14" i="23"/>
  <c r="H15" i="23" l="1"/>
  <c r="D14" i="23"/>
  <c r="H14" i="23" l="1"/>
  <c r="D16" i="23"/>
  <c r="F14" i="90"/>
  <c r="D14" i="80"/>
  <c r="D15" i="80"/>
  <c r="D16" i="80"/>
  <c r="D17" i="80"/>
  <c r="D18" i="80"/>
  <c r="D19" i="80"/>
  <c r="D20" i="80"/>
  <c r="D21" i="80"/>
  <c r="D22" i="80"/>
  <c r="D13" i="80"/>
  <c r="Q14" i="80" a="1"/>
  <c r="R18" i="80" a="1"/>
  <c r="Q17" i="80" a="1"/>
  <c r="R15" i="80" a="1"/>
  <c r="R22" i="80" a="1"/>
  <c r="Q15" i="80" a="1"/>
  <c r="R19" i="80" a="1"/>
  <c r="Q20" i="80" a="1"/>
  <c r="R21" i="80" a="1"/>
  <c r="Q22" i="80" a="1"/>
  <c r="R17" i="80" a="1"/>
  <c r="Q16" i="80" a="1"/>
  <c r="R14" i="80" a="1"/>
  <c r="Q18" i="80" a="1"/>
  <c r="Q13" i="80" a="1"/>
  <c r="Q19" i="80" a="1"/>
  <c r="R20" i="80" a="1"/>
  <c r="Q21" i="80" a="1"/>
  <c r="R16" i="80" a="1"/>
  <c r="R13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4" i="80" a="1"/>
  <c r="R9" i="80" a="1"/>
  <c r="Q9" i="80" a="1"/>
  <c r="R6" i="80" a="1"/>
  <c r="Q7" i="80" a="1"/>
  <c r="R11" i="80" a="1"/>
  <c r="R8" i="80" a="1"/>
  <c r="Q8" i="80" a="1"/>
  <c r="R12" i="80" a="1"/>
  <c r="Q11" i="80" a="1"/>
  <c r="R7" i="80" a="1"/>
  <c r="Q12" i="80" a="1"/>
  <c r="Q6" i="80" a="1"/>
  <c r="R4" i="80" a="1"/>
  <c r="R10" i="80" a="1"/>
  <c r="Q10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B54" i="91" l="1"/>
  <c r="B53" i="91"/>
  <c r="P27" i="91"/>
  <c r="P54" i="91" s="1"/>
  <c r="N27" i="91"/>
  <c r="N54" i="91" s="1"/>
  <c r="P26" i="91"/>
  <c r="P53" i="91" s="1"/>
  <c r="N26" i="91"/>
  <c r="N53" i="91" s="1"/>
  <c r="H54" i="91"/>
  <c r="F54" i="91"/>
  <c r="F53" i="91"/>
  <c r="J54" i="91" l="1"/>
  <c r="J53" i="91"/>
  <c r="L54" i="91"/>
  <c r="L53" i="91"/>
  <c r="H53" i="91"/>
  <c r="G9" i="90"/>
  <c r="D9" i="90"/>
  <c r="C21" i="80"/>
  <c r="C22" i="80"/>
  <c r="N51" i="91"/>
  <c r="O51" i="91"/>
  <c r="P51" i="91"/>
  <c r="N52" i="91"/>
  <c r="O52" i="91"/>
  <c r="P52" i="91"/>
  <c r="J51" i="91"/>
  <c r="K51" i="91"/>
  <c r="L51" i="91"/>
  <c r="J52" i="91"/>
  <c r="K52" i="91"/>
  <c r="L52" i="91"/>
  <c r="F51" i="91"/>
  <c r="G51" i="91"/>
  <c r="H51" i="91"/>
  <c r="F52" i="91"/>
  <c r="G52" i="91"/>
  <c r="H52" i="91"/>
  <c r="P28" i="91"/>
  <c r="P30" i="91" s="1"/>
  <c r="N28" i="91"/>
  <c r="L30" i="91"/>
  <c r="H28" i="91"/>
  <c r="H30" i="91" s="1"/>
  <c r="F28" i="91"/>
  <c r="C24" i="91"/>
  <c r="C51" i="91" s="1"/>
  <c r="C25" i="91"/>
  <c r="C52" i="91" s="1"/>
  <c r="B24" i="91"/>
  <c r="B51" i="91" s="1"/>
  <c r="B25" i="91"/>
  <c r="B52" i="91" s="1"/>
  <c r="A24" i="91"/>
  <c r="A51" i="91" s="1"/>
  <c r="A25" i="91"/>
  <c r="A52" i="91" s="1"/>
  <c r="H69" i="23"/>
  <c r="H70" i="23"/>
  <c r="D69" i="23"/>
  <c r="D70" i="23"/>
  <c r="C62" i="23"/>
  <c r="C63" i="23"/>
  <c r="C64" i="23"/>
  <c r="C65" i="23"/>
  <c r="C66" i="23"/>
  <c r="C67" i="23"/>
  <c r="C68" i="23"/>
  <c r="C69" i="23"/>
  <c r="C70" i="23"/>
  <c r="C61" i="23"/>
  <c r="B62" i="23"/>
  <c r="B63" i="23"/>
  <c r="B64" i="23"/>
  <c r="B65" i="23"/>
  <c r="B66" i="23"/>
  <c r="B67" i="23"/>
  <c r="B68" i="23"/>
  <c r="B69" i="23"/>
  <c r="B70" i="23"/>
  <c r="B71" i="23"/>
  <c r="B61" i="23"/>
  <c r="A60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N12" i="101"/>
  <c r="C6" i="101"/>
  <c r="B6" i="101"/>
  <c r="K39" i="23"/>
  <c r="M39" i="23" s="1"/>
  <c r="K40" i="23"/>
  <c r="M40" i="23" s="1"/>
  <c r="B9" i="90"/>
  <c r="C9" i="90"/>
  <c r="I42" i="23"/>
  <c r="I41" i="23"/>
  <c r="E42" i="23"/>
  <c r="I16" i="23" s="1"/>
  <c r="J16" i="23" s="1"/>
  <c r="E41" i="23"/>
  <c r="D71" i="23" l="1"/>
  <c r="V25" i="104"/>
  <c r="W25" i="104" s="1"/>
  <c r="V25" i="105"/>
  <c r="V24" i="104"/>
  <c r="Y24" i="104" s="1"/>
  <c r="V24" i="105"/>
  <c r="V25" i="102"/>
  <c r="W25" i="102" s="1"/>
  <c r="V25" i="103"/>
  <c r="V24" i="102"/>
  <c r="Y24" i="102" s="1"/>
  <c r="V24" i="103"/>
  <c r="H12" i="101"/>
  <c r="L12" i="101"/>
  <c r="M12" i="101" s="1"/>
  <c r="P12" i="101" s="1"/>
  <c r="H71" i="23"/>
  <c r="K71" i="23" s="1"/>
  <c r="M71" i="23" s="1"/>
  <c r="I43" i="23"/>
  <c r="K69" i="23"/>
  <c r="M69" i="23" s="1"/>
  <c r="K70" i="23"/>
  <c r="M70" i="23" s="1"/>
  <c r="V25" i="91"/>
  <c r="V24" i="91"/>
  <c r="O12" i="101"/>
  <c r="Q12" i="101" l="1"/>
  <c r="Y25" i="104"/>
  <c r="W24" i="104"/>
  <c r="Y24" i="105"/>
  <c r="W24" i="105"/>
  <c r="Y25" i="105"/>
  <c r="W25" i="105"/>
  <c r="Y25" i="102"/>
  <c r="W24" i="102"/>
  <c r="Y24" i="103"/>
  <c r="W24" i="103"/>
  <c r="Y25" i="103"/>
  <c r="W25" i="103"/>
  <c r="R12" i="101"/>
  <c r="W24" i="91"/>
  <c r="Y24" i="91"/>
  <c r="W25" i="91"/>
  <c r="Y25" i="91"/>
  <c r="B26" i="101" l="1"/>
  <c r="B40" i="101"/>
  <c r="B30" i="101"/>
  <c r="C30" i="101" s="1"/>
  <c r="B35" i="101"/>
  <c r="C35" i="101" s="1"/>
  <c r="B38" i="101"/>
  <c r="B34" i="101"/>
  <c r="B33" i="101"/>
  <c r="C33" i="101" s="1"/>
  <c r="B39" i="101"/>
  <c r="D40" i="101" s="1"/>
  <c r="B42" i="101"/>
  <c r="E9" i="101"/>
  <c r="F9" i="101" s="1"/>
  <c r="J40" i="23" s="1"/>
  <c r="I70" i="23" s="1"/>
  <c r="B24" i="101"/>
  <c r="C24" i="101" s="1"/>
  <c r="B22" i="101"/>
  <c r="B28" i="101"/>
  <c r="C28" i="101" s="1"/>
  <c r="B37" i="101"/>
  <c r="C37" i="101" s="1"/>
  <c r="B29" i="101"/>
  <c r="C29" i="101" s="1"/>
  <c r="B32" i="101"/>
  <c r="B41" i="101"/>
  <c r="B23" i="101"/>
  <c r="B27" i="101"/>
  <c r="C27" i="101" s="1"/>
  <c r="B36" i="101"/>
  <c r="B25" i="101"/>
  <c r="H9" i="101"/>
  <c r="I9" i="101" s="1"/>
  <c r="J9" i="101" s="1"/>
  <c r="B31" i="101"/>
  <c r="D31" i="101" s="1"/>
  <c r="C26" i="101"/>
  <c r="C40" i="101"/>
  <c r="C38" i="101"/>
  <c r="C39" i="101" l="1"/>
  <c r="D30" i="101"/>
  <c r="D27" i="101"/>
  <c r="D33" i="101"/>
  <c r="D32" i="101"/>
  <c r="D24" i="101"/>
  <c r="C32" i="101"/>
  <c r="D25" i="101"/>
  <c r="C31" i="101"/>
  <c r="D41" i="101"/>
  <c r="D28" i="101"/>
  <c r="D23" i="101"/>
  <c r="D42" i="101"/>
  <c r="C41" i="101"/>
  <c r="F40" i="23"/>
  <c r="E22" i="80" s="1"/>
  <c r="I22" i="80" s="1"/>
  <c r="D39" i="101"/>
  <c r="D34" i="101"/>
  <c r="C42" i="101"/>
  <c r="D37" i="101"/>
  <c r="C34" i="101"/>
  <c r="D38" i="101"/>
  <c r="C25" i="101"/>
  <c r="C23" i="101"/>
  <c r="D29" i="101"/>
  <c r="D35" i="101"/>
  <c r="D26" i="101"/>
  <c r="D36" i="101"/>
  <c r="C22" i="101"/>
  <c r="C36" i="101"/>
  <c r="F70" i="23" l="1"/>
  <c r="L40" i="23"/>
  <c r="N40" i="23" s="1"/>
  <c r="H22" i="80"/>
  <c r="I30" i="23" l="1"/>
  <c r="G16" i="23"/>
  <c r="G15" i="23"/>
  <c r="E30" i="23"/>
  <c r="D60" i="23" s="1"/>
  <c r="G14" i="23" l="1"/>
  <c r="H60" i="23"/>
  <c r="K60" i="23" s="1"/>
  <c r="M60" i="23" s="1"/>
  <c r="G14" i="92" l="1"/>
  <c r="G13" i="92"/>
  <c r="C12" i="80" l="1"/>
  <c r="C13" i="80"/>
  <c r="C14" i="80"/>
  <c r="C15" i="80"/>
  <c r="C16" i="80"/>
  <c r="C17" i="80"/>
  <c r="C18" i="80"/>
  <c r="C19" i="80"/>
  <c r="C20" i="80"/>
  <c r="J43" i="91"/>
  <c r="K43" i="91"/>
  <c r="L43" i="91"/>
  <c r="J44" i="91"/>
  <c r="K44" i="91"/>
  <c r="L44" i="91"/>
  <c r="J45" i="91"/>
  <c r="K45" i="91"/>
  <c r="L45" i="91"/>
  <c r="J46" i="91"/>
  <c r="K46" i="91"/>
  <c r="L46" i="91"/>
  <c r="J47" i="91"/>
  <c r="K47" i="91"/>
  <c r="L47" i="91"/>
  <c r="J48" i="91"/>
  <c r="K48" i="91"/>
  <c r="L48" i="91"/>
  <c r="J49" i="91"/>
  <c r="K49" i="91"/>
  <c r="L49" i="91"/>
  <c r="J50" i="91"/>
  <c r="K50" i="91"/>
  <c r="L50" i="91"/>
  <c r="N43" i="91"/>
  <c r="O43" i="91"/>
  <c r="P43" i="91"/>
  <c r="N44" i="91"/>
  <c r="O44" i="91"/>
  <c r="P44" i="91"/>
  <c r="N45" i="91"/>
  <c r="O45" i="91"/>
  <c r="P45" i="91"/>
  <c r="N46" i="91"/>
  <c r="O46" i="91"/>
  <c r="P46" i="91"/>
  <c r="N47" i="91"/>
  <c r="O47" i="91"/>
  <c r="P47" i="91"/>
  <c r="N48" i="91"/>
  <c r="O48" i="91"/>
  <c r="P48" i="91"/>
  <c r="N49" i="91"/>
  <c r="O49" i="91"/>
  <c r="P49" i="91"/>
  <c r="N50" i="91"/>
  <c r="O50" i="91"/>
  <c r="P50" i="91"/>
  <c r="F43" i="91"/>
  <c r="G43" i="91"/>
  <c r="H43" i="91"/>
  <c r="F44" i="91"/>
  <c r="G44" i="91"/>
  <c r="H44" i="91"/>
  <c r="F45" i="91"/>
  <c r="G45" i="91"/>
  <c r="H45" i="91"/>
  <c r="F46" i="91"/>
  <c r="G46" i="91"/>
  <c r="H46" i="91"/>
  <c r="F47" i="91"/>
  <c r="G47" i="91"/>
  <c r="H47" i="91"/>
  <c r="F48" i="91"/>
  <c r="G48" i="91"/>
  <c r="H48" i="91"/>
  <c r="F49" i="91"/>
  <c r="G49" i="91"/>
  <c r="H49" i="91"/>
  <c r="F50" i="91"/>
  <c r="G50" i="91"/>
  <c r="H50" i="9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C16" i="91"/>
  <c r="B16" i="91"/>
  <c r="B43" i="91" s="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A16" i="91"/>
  <c r="A43" i="91" s="1"/>
  <c r="A17" i="91"/>
  <c r="A44" i="91" s="1"/>
  <c r="A18" i="91"/>
  <c r="A45" i="91" s="1"/>
  <c r="A19" i="91"/>
  <c r="A46" i="91" s="1"/>
  <c r="A20" i="91"/>
  <c r="A47" i="91" s="1"/>
  <c r="A21" i="91"/>
  <c r="A48" i="91" s="1"/>
  <c r="A22" i="91"/>
  <c r="A49" i="91" s="1"/>
  <c r="A23" i="91"/>
  <c r="A50" i="91" s="1"/>
  <c r="A11" i="91"/>
  <c r="A38" i="91" s="1"/>
  <c r="H61" i="23"/>
  <c r="H62" i="23"/>
  <c r="H63" i="23"/>
  <c r="H64" i="23"/>
  <c r="H65" i="23"/>
  <c r="H66" i="23"/>
  <c r="H67" i="23"/>
  <c r="H68" i="23"/>
  <c r="D61" i="23"/>
  <c r="D62" i="23"/>
  <c r="D63" i="23"/>
  <c r="D64" i="23"/>
  <c r="D65" i="23"/>
  <c r="D66" i="23"/>
  <c r="D67" i="23"/>
  <c r="D68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2" i="23"/>
  <c r="Q33" i="23"/>
  <c r="C9" i="96"/>
  <c r="C9" i="97"/>
  <c r="Q36" i="23"/>
  <c r="C9" i="99"/>
  <c r="Q38" i="23"/>
  <c r="P32" i="23"/>
  <c r="B9" i="95"/>
  <c r="P34" i="23"/>
  <c r="P35" i="23"/>
  <c r="P36" i="23"/>
  <c r="B9" i="99"/>
  <c r="P38" i="23"/>
  <c r="K29" i="23"/>
  <c r="M29" i="23" s="1"/>
  <c r="K31" i="23"/>
  <c r="K32" i="23"/>
  <c r="M32" i="23" s="1"/>
  <c r="K33" i="23"/>
  <c r="M33" i="23" s="1"/>
  <c r="K34" i="23"/>
  <c r="M34" i="23" s="1"/>
  <c r="K35" i="23"/>
  <c r="M35" i="23" s="1"/>
  <c r="K36" i="23"/>
  <c r="M36" i="23" s="1"/>
  <c r="K37" i="23"/>
  <c r="M37" i="23" s="1"/>
  <c r="K38" i="23"/>
  <c r="M38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V21" i="104" l="1"/>
  <c r="W21" i="104" s="1"/>
  <c r="V21" i="105"/>
  <c r="V17" i="104"/>
  <c r="W17" i="104" s="1"/>
  <c r="V17" i="105"/>
  <c r="V20" i="104"/>
  <c r="Y20" i="104" s="1"/>
  <c r="V20" i="105"/>
  <c r="V16" i="104"/>
  <c r="Y16" i="104" s="1"/>
  <c r="V16" i="105"/>
  <c r="V23" i="104"/>
  <c r="W23" i="104" s="1"/>
  <c r="V23" i="105"/>
  <c r="V19" i="104"/>
  <c r="Y19" i="104" s="1"/>
  <c r="V19" i="105"/>
  <c r="V22" i="104"/>
  <c r="Y22" i="104" s="1"/>
  <c r="V22" i="105"/>
  <c r="V18" i="104"/>
  <c r="W18" i="104" s="1"/>
  <c r="V18" i="105"/>
  <c r="Y21" i="104"/>
  <c r="V20" i="102"/>
  <c r="W20" i="102" s="1"/>
  <c r="V20" i="103"/>
  <c r="V21" i="102"/>
  <c r="W21" i="102" s="1"/>
  <c r="V21" i="103"/>
  <c r="V19" i="102"/>
  <c r="W19" i="102" s="1"/>
  <c r="V19" i="103"/>
  <c r="V18" i="102"/>
  <c r="W18" i="102" s="1"/>
  <c r="V18" i="103"/>
  <c r="V17" i="102"/>
  <c r="Y17" i="102" s="1"/>
  <c r="V17" i="103"/>
  <c r="V16" i="102"/>
  <c r="Y16" i="102" s="1"/>
  <c r="V16" i="103"/>
  <c r="V23" i="102"/>
  <c r="Y23" i="102" s="1"/>
  <c r="V23" i="103"/>
  <c r="V22" i="102"/>
  <c r="W22" i="102" s="1"/>
  <c r="V22" i="103"/>
  <c r="F50" i="80"/>
  <c r="C43" i="91"/>
  <c r="C27" i="91"/>
  <c r="G41" i="23"/>
  <c r="H41" i="23"/>
  <c r="K41" i="23"/>
  <c r="M41" i="23" s="1"/>
  <c r="P31" i="23"/>
  <c r="C9" i="93"/>
  <c r="M31" i="23"/>
  <c r="K68" i="23"/>
  <c r="M68" i="23" s="1"/>
  <c r="K64" i="23"/>
  <c r="M64" i="23" s="1"/>
  <c r="K67" i="23"/>
  <c r="M67" i="23" s="1"/>
  <c r="K63" i="23"/>
  <c r="M63" i="23" s="1"/>
  <c r="K66" i="23"/>
  <c r="M66" i="23" s="1"/>
  <c r="K62" i="23"/>
  <c r="M62" i="23" s="1"/>
  <c r="K65" i="23"/>
  <c r="M65" i="23" s="1"/>
  <c r="K61" i="23"/>
  <c r="M61" i="23" s="1"/>
  <c r="L12" i="96"/>
  <c r="M12" i="96" s="1"/>
  <c r="B9" i="93"/>
  <c r="L29" i="91"/>
  <c r="H29" i="91"/>
  <c r="P29" i="91"/>
  <c r="L12" i="93"/>
  <c r="M12" i="93" s="1"/>
  <c r="P12" i="93" s="1"/>
  <c r="L12" i="94"/>
  <c r="M12" i="94" s="1"/>
  <c r="P12" i="94" s="1"/>
  <c r="O12" i="93"/>
  <c r="O12" i="94"/>
  <c r="C9" i="94"/>
  <c r="V23" i="91"/>
  <c r="V19" i="91"/>
  <c r="Y19" i="91" s="1"/>
  <c r="V22" i="91"/>
  <c r="V18" i="91"/>
  <c r="V21" i="91"/>
  <c r="V17" i="91"/>
  <c r="V20" i="91"/>
  <c r="V16" i="91"/>
  <c r="Y16" i="91" s="1"/>
  <c r="E9" i="95"/>
  <c r="F9" i="95" s="1"/>
  <c r="J33" i="23" s="1"/>
  <c r="I63" i="23" s="1"/>
  <c r="E9" i="99"/>
  <c r="F9" i="99" s="1"/>
  <c r="J37" i="23" s="1"/>
  <c r="I67" i="23" s="1"/>
  <c r="B21" i="100"/>
  <c r="C21" i="100" s="1"/>
  <c r="B9" i="94"/>
  <c r="C9" i="95"/>
  <c r="H9" i="95"/>
  <c r="I9" i="95" s="1"/>
  <c r="F33" i="23" s="1"/>
  <c r="H9" i="97"/>
  <c r="I9" i="97" s="1"/>
  <c r="F35" i="23" s="1"/>
  <c r="B9" i="98"/>
  <c r="B21" i="99"/>
  <c r="C21" i="99" s="1"/>
  <c r="H9" i="100"/>
  <c r="I9" i="100" s="1"/>
  <c r="F38" i="23" s="1"/>
  <c r="O38" i="23" s="1"/>
  <c r="Q37" i="23"/>
  <c r="Q35" i="23"/>
  <c r="Q31" i="23"/>
  <c r="B21" i="95"/>
  <c r="B9" i="97"/>
  <c r="E9" i="98"/>
  <c r="F9" i="98" s="1"/>
  <c r="J36" i="23" s="1"/>
  <c r="I66" i="23" s="1"/>
  <c r="C9" i="98"/>
  <c r="B9" i="100"/>
  <c r="P37" i="23"/>
  <c r="P33" i="23"/>
  <c r="B22" i="100"/>
  <c r="C22" i="100" s="1"/>
  <c r="H12" i="94"/>
  <c r="B9" i="96"/>
  <c r="H9" i="98"/>
  <c r="I9" i="98" s="1"/>
  <c r="F36" i="23" s="1"/>
  <c r="B21" i="98"/>
  <c r="E9" i="100"/>
  <c r="F9" i="100" s="1"/>
  <c r="J38" i="23" s="1"/>
  <c r="I68" i="23" s="1"/>
  <c r="C9" i="100"/>
  <c r="Q34" i="23"/>
  <c r="B21" i="97"/>
  <c r="C21" i="97" s="1"/>
  <c r="E9" i="97"/>
  <c r="F9" i="97" s="1"/>
  <c r="J35" i="23" s="1"/>
  <c r="I65" i="23" s="1"/>
  <c r="A23" i="100"/>
  <c r="G12" i="100"/>
  <c r="H9" i="99"/>
  <c r="I9" i="99" s="1"/>
  <c r="F37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Y20" i="102" l="1"/>
  <c r="Y23" i="104"/>
  <c r="W20" i="104"/>
  <c r="Y17" i="104"/>
  <c r="W22" i="104"/>
  <c r="V27" i="104"/>
  <c r="W27" i="104" s="1"/>
  <c r="Y18" i="104"/>
  <c r="W19" i="104"/>
  <c r="W16" i="104"/>
  <c r="W18" i="105"/>
  <c r="Y18" i="105"/>
  <c r="W19" i="105"/>
  <c r="Y19" i="105"/>
  <c r="W16" i="105"/>
  <c r="V27" i="105"/>
  <c r="Y16" i="105"/>
  <c r="W17" i="105"/>
  <c r="Y17" i="105"/>
  <c r="W22" i="105"/>
  <c r="Y22" i="105"/>
  <c r="Y23" i="105"/>
  <c r="W23" i="105"/>
  <c r="Y20" i="105"/>
  <c r="W20" i="105"/>
  <c r="Y21" i="105"/>
  <c r="W21" i="105"/>
  <c r="W17" i="102"/>
  <c r="W23" i="102"/>
  <c r="Y19" i="102"/>
  <c r="Y21" i="102"/>
  <c r="W16" i="102"/>
  <c r="Y18" i="102"/>
  <c r="V27" i="102"/>
  <c r="W27" i="102" s="1"/>
  <c r="Y22" i="102"/>
  <c r="Y22" i="103"/>
  <c r="W22" i="103"/>
  <c r="W18" i="103"/>
  <c r="Y18" i="103"/>
  <c r="W23" i="103"/>
  <c r="Y23" i="103"/>
  <c r="W19" i="103"/>
  <c r="Y19" i="103"/>
  <c r="Y16" i="103"/>
  <c r="W16" i="103"/>
  <c r="V27" i="103"/>
  <c r="Y21" i="103"/>
  <c r="W21" i="103"/>
  <c r="Y17" i="103"/>
  <c r="W17" i="103"/>
  <c r="Y20" i="103"/>
  <c r="W20" i="103"/>
  <c r="W23" i="91"/>
  <c r="Y23" i="91"/>
  <c r="W18" i="91"/>
  <c r="Y18" i="91"/>
  <c r="W21" i="91"/>
  <c r="Y21" i="91"/>
  <c r="W20" i="91"/>
  <c r="Y20" i="91"/>
  <c r="W22" i="91"/>
  <c r="Y22" i="91"/>
  <c r="W17" i="91"/>
  <c r="Y17" i="91"/>
  <c r="W16" i="91"/>
  <c r="V27" i="91"/>
  <c r="C54" i="91"/>
  <c r="K54" i="91"/>
  <c r="R12" i="96"/>
  <c r="P12" i="96"/>
  <c r="Q12" i="96" s="1"/>
  <c r="O27" i="91"/>
  <c r="O54" i="91" s="1"/>
  <c r="G54" i="91"/>
  <c r="Q12" i="94"/>
  <c r="R12" i="94"/>
  <c r="R12" i="93"/>
  <c r="Q12" i="93"/>
  <c r="F66" i="23"/>
  <c r="E18" i="80"/>
  <c r="I18" i="80" s="1"/>
  <c r="F53" i="80" s="1"/>
  <c r="O35" i="23"/>
  <c r="F65" i="23"/>
  <c r="E17" i="80"/>
  <c r="I17" i="80" s="1"/>
  <c r="F49" i="80" s="1"/>
  <c r="E19" i="80"/>
  <c r="I19" i="80" s="1"/>
  <c r="F56" i="80" s="1"/>
  <c r="F67" i="23"/>
  <c r="E20" i="80"/>
  <c r="I20" i="80" s="1"/>
  <c r="F48" i="80" s="1"/>
  <c r="F68" i="23"/>
  <c r="E15" i="80"/>
  <c r="I15" i="80" s="1"/>
  <c r="F51" i="80" s="1"/>
  <c r="F63" i="23"/>
  <c r="W19" i="91"/>
  <c r="L33" i="23"/>
  <c r="N33" i="23" s="1"/>
  <c r="L38" i="23"/>
  <c r="N38" i="23" s="1"/>
  <c r="L35" i="23"/>
  <c r="N35" i="23" s="1"/>
  <c r="O33" i="23"/>
  <c r="L37" i="23"/>
  <c r="N37" i="23" s="1"/>
  <c r="O37" i="23"/>
  <c r="O36" i="23"/>
  <c r="L36" i="23"/>
  <c r="N36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Y27" i="104" l="1"/>
  <c r="U27" i="104"/>
  <c r="Y27" i="105"/>
  <c r="U27" i="105"/>
  <c r="W27" i="105"/>
  <c r="H9" i="94"/>
  <c r="I9" i="94" s="1"/>
  <c r="J9" i="94" s="1"/>
  <c r="B31" i="94"/>
  <c r="B41" i="94"/>
  <c r="C41" i="94" s="1"/>
  <c r="B28" i="94"/>
  <c r="C28" i="94" s="1"/>
  <c r="B34" i="94"/>
  <c r="C34" i="94" s="1"/>
  <c r="B25" i="94"/>
  <c r="C25" i="94" s="1"/>
  <c r="W27" i="103"/>
  <c r="Y27" i="103"/>
  <c r="B41" i="96"/>
  <c r="C41" i="96" s="1"/>
  <c r="W27" i="91"/>
  <c r="Y27" i="91"/>
  <c r="B45" i="94"/>
  <c r="B43" i="94"/>
  <c r="B29" i="94"/>
  <c r="B44" i="94"/>
  <c r="B36" i="94"/>
  <c r="C36" i="94" s="1"/>
  <c r="B38" i="94"/>
  <c r="B22" i="94"/>
  <c r="C22" i="94" s="1"/>
  <c r="B35" i="94"/>
  <c r="B47" i="94"/>
  <c r="B32" i="94"/>
  <c r="B33" i="94"/>
  <c r="C33" i="94" s="1"/>
  <c r="B46" i="94"/>
  <c r="B26" i="94"/>
  <c r="C26" i="94" s="1"/>
  <c r="B42" i="94"/>
  <c r="C42" i="94" s="1"/>
  <c r="B23" i="94"/>
  <c r="D23" i="94" s="1"/>
  <c r="B39" i="94"/>
  <c r="C39" i="94" s="1"/>
  <c r="B40" i="94"/>
  <c r="B37" i="94"/>
  <c r="B24" i="94"/>
  <c r="D24" i="94" s="1"/>
  <c r="B30" i="94"/>
  <c r="C30" i="94" s="1"/>
  <c r="E9" i="94"/>
  <c r="F9" i="94" s="1"/>
  <c r="J32" i="23" s="1"/>
  <c r="I62" i="23" s="1"/>
  <c r="B27" i="94"/>
  <c r="B37" i="93"/>
  <c r="C37" i="93" s="1"/>
  <c r="B23" i="96"/>
  <c r="B39" i="96"/>
  <c r="C39" i="96" s="1"/>
  <c r="H9" i="96"/>
  <c r="I9" i="96" s="1"/>
  <c r="J9" i="96" s="1"/>
  <c r="B31" i="96"/>
  <c r="E9" i="96"/>
  <c r="F9" i="96" s="1"/>
  <c r="J34" i="23" s="1"/>
  <c r="I64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B27" i="96"/>
  <c r="B26" i="96"/>
  <c r="C26" i="96" s="1"/>
  <c r="B32" i="96"/>
  <c r="C32" i="96" s="1"/>
  <c r="B34" i="96"/>
  <c r="C34" i="96" s="1"/>
  <c r="B33" i="96"/>
  <c r="B22" i="96"/>
  <c r="C22" i="96" s="1"/>
  <c r="B35" i="96"/>
  <c r="C35" i="96" s="1"/>
  <c r="B24" i="96"/>
  <c r="C24" i="96" s="1"/>
  <c r="B40" i="96"/>
  <c r="B25" i="96"/>
  <c r="B23" i="93"/>
  <c r="C23" i="93" s="1"/>
  <c r="B24" i="93"/>
  <c r="C24" i="93" s="1"/>
  <c r="B26" i="93"/>
  <c r="C26" i="93" s="1"/>
  <c r="B41" i="93"/>
  <c r="B42" i="93"/>
  <c r="C42" i="93" s="1"/>
  <c r="B31" i="93"/>
  <c r="C31" i="93" s="1"/>
  <c r="B28" i="93"/>
  <c r="C28" i="93" s="1"/>
  <c r="B34" i="93"/>
  <c r="C34" i="93" s="1"/>
  <c r="B30" i="93"/>
  <c r="H9" i="93"/>
  <c r="I9" i="93" s="1"/>
  <c r="F31" i="23" s="1"/>
  <c r="B35" i="93"/>
  <c r="C35" i="93" s="1"/>
  <c r="B32" i="93"/>
  <c r="C32" i="93" s="1"/>
  <c r="B25" i="93"/>
  <c r="C25" i="93" s="1"/>
  <c r="B22" i="93"/>
  <c r="C22" i="93" s="1"/>
  <c r="B39" i="93"/>
  <c r="C39" i="93" s="1"/>
  <c r="B40" i="93"/>
  <c r="B33" i="93"/>
  <c r="C33" i="93" s="1"/>
  <c r="B29" i="93"/>
  <c r="C29" i="93" s="1"/>
  <c r="B27" i="93"/>
  <c r="D27" i="93" s="1"/>
  <c r="E9" i="93"/>
  <c r="F9" i="93" s="1"/>
  <c r="J31" i="23" s="1"/>
  <c r="B36" i="93"/>
  <c r="C36" i="93" s="1"/>
  <c r="B38" i="93"/>
  <c r="C38" i="93" s="1"/>
  <c r="H20" i="80"/>
  <c r="H15" i="80"/>
  <c r="H19" i="80"/>
  <c r="H18" i="80"/>
  <c r="H17" i="80"/>
  <c r="A25" i="100"/>
  <c r="B24" i="100"/>
  <c r="C24" i="100" s="1"/>
  <c r="B25" i="99"/>
  <c r="C25" i="99" s="1"/>
  <c r="A26" i="99"/>
  <c r="B25" i="98"/>
  <c r="A26" i="98"/>
  <c r="A26" i="97"/>
  <c r="B25" i="97"/>
  <c r="C25" i="97" s="1"/>
  <c r="B25" i="95"/>
  <c r="A26" i="95"/>
  <c r="C24" i="94"/>
  <c r="C31" i="94"/>
  <c r="C23" i="94" l="1"/>
  <c r="D34" i="94"/>
  <c r="D32" i="94"/>
  <c r="F32" i="23"/>
  <c r="F62" i="23" s="1"/>
  <c r="D31" i="94"/>
  <c r="D41" i="94"/>
  <c r="D28" i="94"/>
  <c r="D38" i="93"/>
  <c r="J9" i="93"/>
  <c r="D31" i="93"/>
  <c r="D29" i="94"/>
  <c r="D25" i="94"/>
  <c r="D25" i="93"/>
  <c r="C42" i="96"/>
  <c r="F34" i="23"/>
  <c r="E16" i="80" s="1"/>
  <c r="I16" i="80" s="1"/>
  <c r="F52" i="80" s="1"/>
  <c r="C29" i="94"/>
  <c r="C27" i="94"/>
  <c r="D35" i="94"/>
  <c r="D38" i="96"/>
  <c r="D39" i="93"/>
  <c r="D42" i="94"/>
  <c r="D24" i="96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61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1" i="23"/>
  <c r="E13" i="80"/>
  <c r="I13" i="80" s="1"/>
  <c r="F47" i="80" s="1"/>
  <c r="F64" i="23"/>
  <c r="L31" i="23"/>
  <c r="O31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O34" i="23" l="1"/>
  <c r="L34" i="23"/>
  <c r="N34" i="23" s="1"/>
  <c r="O32" i="23"/>
  <c r="L32" i="23"/>
  <c r="N32" i="23" s="1"/>
  <c r="E14" i="80"/>
  <c r="I14" i="80" s="1"/>
  <c r="F54" i="80" s="1"/>
  <c r="N31" i="23"/>
  <c r="H13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H14" i="80" l="1"/>
  <c r="B27" i="100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L42" i="91"/>
  <c r="K42" i="91"/>
  <c r="J42" i="91"/>
  <c r="L41" i="91"/>
  <c r="K41" i="91"/>
  <c r="J41" i="91"/>
  <c r="L40" i="91"/>
  <c r="K40" i="91"/>
  <c r="J40" i="91"/>
  <c r="L39" i="91"/>
  <c r="K39" i="91"/>
  <c r="J39" i="91"/>
  <c r="L38" i="91"/>
  <c r="K38" i="91"/>
  <c r="J38" i="91"/>
  <c r="L37" i="91"/>
  <c r="K37" i="91"/>
  <c r="J37" i="91"/>
  <c r="L36" i="91"/>
  <c r="K36" i="91"/>
  <c r="J36" i="91"/>
  <c r="L35" i="91"/>
  <c r="K35" i="91"/>
  <c r="J35" i="91"/>
  <c r="L34" i="91"/>
  <c r="K34" i="91"/>
  <c r="J34" i="91"/>
  <c r="J32" i="91"/>
  <c r="G7" i="92"/>
  <c r="J55" i="91"/>
  <c r="L55" i="91" l="1"/>
  <c r="J61" i="91" s="1"/>
  <c r="J56" i="91" s="1"/>
  <c r="P42" i="91"/>
  <c r="O42" i="91"/>
  <c r="N42" i="91"/>
  <c r="H42" i="91"/>
  <c r="G42" i="91"/>
  <c r="F42" i="91"/>
  <c r="P41" i="91"/>
  <c r="O41" i="91"/>
  <c r="N41" i="91"/>
  <c r="H41" i="91"/>
  <c r="G41" i="91"/>
  <c r="F41" i="91"/>
  <c r="P40" i="91"/>
  <c r="O40" i="91"/>
  <c r="N40" i="91"/>
  <c r="H40" i="91"/>
  <c r="G40" i="91"/>
  <c r="F40" i="91"/>
  <c r="P39" i="91"/>
  <c r="O39" i="91"/>
  <c r="N39" i="91"/>
  <c r="H39" i="91"/>
  <c r="G39" i="91"/>
  <c r="F39" i="91"/>
  <c r="P38" i="91"/>
  <c r="O38" i="91"/>
  <c r="N38" i="91"/>
  <c r="H38" i="91"/>
  <c r="G38" i="91"/>
  <c r="F38" i="91"/>
  <c r="P37" i="91"/>
  <c r="O37" i="91"/>
  <c r="N37" i="91"/>
  <c r="H37" i="91"/>
  <c r="G37" i="91"/>
  <c r="F37" i="91"/>
  <c r="P36" i="91"/>
  <c r="O36" i="91"/>
  <c r="N36" i="91"/>
  <c r="H36" i="91"/>
  <c r="G36" i="91"/>
  <c r="F36" i="91"/>
  <c r="P35" i="91"/>
  <c r="O35" i="91"/>
  <c r="N35" i="91"/>
  <c r="H35" i="91"/>
  <c r="G35" i="91"/>
  <c r="F35" i="91"/>
  <c r="P34" i="91"/>
  <c r="O34" i="91"/>
  <c r="N34" i="91"/>
  <c r="H34" i="91"/>
  <c r="G34" i="91"/>
  <c r="F34" i="91"/>
  <c r="N32" i="91"/>
  <c r="F32" i="91"/>
  <c r="F31" i="91"/>
  <c r="N55" i="91"/>
  <c r="F55" i="91"/>
  <c r="C15" i="91"/>
  <c r="C42" i="91" s="1"/>
  <c r="B15" i="91"/>
  <c r="B42" i="91" s="1"/>
  <c r="C14" i="91"/>
  <c r="C41" i="91" s="1"/>
  <c r="B14" i="91"/>
  <c r="B41" i="91" s="1"/>
  <c r="C13" i="91"/>
  <c r="B13" i="91"/>
  <c r="B40" i="91" s="1"/>
  <c r="C12" i="91"/>
  <c r="C39" i="91" s="1"/>
  <c r="B12" i="91"/>
  <c r="B39" i="91" s="1"/>
  <c r="C11" i="91"/>
  <c r="B11" i="91"/>
  <c r="B38" i="91" s="1"/>
  <c r="C10" i="91"/>
  <c r="C37" i="91" s="1"/>
  <c r="B10" i="91"/>
  <c r="B37" i="91" s="1"/>
  <c r="C9" i="91"/>
  <c r="B9" i="91"/>
  <c r="B36" i="91" s="1"/>
  <c r="C8" i="91"/>
  <c r="C35" i="91" s="1"/>
  <c r="B8" i="91"/>
  <c r="B35" i="91" s="1"/>
  <c r="C7" i="91"/>
  <c r="B7" i="91"/>
  <c r="B34" i="91" s="1"/>
  <c r="C26" i="91" l="1"/>
  <c r="C28" i="91"/>
  <c r="H55" i="91"/>
  <c r="F61" i="91" s="1"/>
  <c r="F56" i="91" s="1"/>
  <c r="G8" i="92"/>
  <c r="P55" i="91"/>
  <c r="N61" i="91" s="1"/>
  <c r="N56" i="91" s="1"/>
  <c r="G6" i="92"/>
  <c r="F13" i="92" s="1"/>
  <c r="B3" i="91"/>
  <c r="C34" i="91"/>
  <c r="C38" i="91"/>
  <c r="C36" i="91"/>
  <c r="C40" i="91"/>
  <c r="H42" i="23"/>
  <c r="A21" i="90"/>
  <c r="F12" i="90"/>
  <c r="G12" i="90"/>
  <c r="S28" i="91" l="1"/>
  <c r="S55" i="91" s="1"/>
  <c r="K28" i="91"/>
  <c r="K55" i="91" s="1"/>
  <c r="C53" i="91"/>
  <c r="K53" i="91"/>
  <c r="C8" i="92"/>
  <c r="K8" i="92" s="1"/>
  <c r="G53" i="91"/>
  <c r="O26" i="91"/>
  <c r="O53" i="91" s="1"/>
  <c r="O28" i="91"/>
  <c r="O55" i="91" s="1"/>
  <c r="H30" i="23"/>
  <c r="F14" i="92"/>
  <c r="C55" i="91"/>
  <c r="G28" i="91"/>
  <c r="G55" i="91" s="1"/>
  <c r="B21" i="90"/>
  <c r="C21" i="90" s="1"/>
  <c r="H9" i="90"/>
  <c r="I9" i="90" s="1"/>
  <c r="F39" i="23" s="1"/>
  <c r="E9" i="90"/>
  <c r="F9" i="90" s="1"/>
  <c r="J39" i="23" s="1"/>
  <c r="I69" i="23" s="1"/>
  <c r="A22" i="90"/>
  <c r="E8" i="92" l="1"/>
  <c r="E7" i="92"/>
  <c r="C7" i="92" s="1"/>
  <c r="C14" i="92" s="1"/>
  <c r="C15" i="92"/>
  <c r="E6" i="92"/>
  <c r="C6" i="92" s="1"/>
  <c r="C13" i="92" s="1"/>
  <c r="L8" i="92"/>
  <c r="F41" i="23"/>
  <c r="F71" i="23" s="1"/>
  <c r="F69" i="23"/>
  <c r="E21" i="80"/>
  <c r="I21" i="80" s="1"/>
  <c r="F55" i="80" s="1"/>
  <c r="L39" i="23"/>
  <c r="J41" i="23"/>
  <c r="B22" i="90"/>
  <c r="C22" i="90" s="1"/>
  <c r="A23" i="90"/>
  <c r="K7" i="92" l="1"/>
  <c r="I71" i="23"/>
  <c r="K6" i="92"/>
  <c r="E14" i="92"/>
  <c r="L7" i="92"/>
  <c r="L6" i="92"/>
  <c r="H21" i="80"/>
  <c r="L41" i="23"/>
  <c r="N41" i="23" s="1"/>
  <c r="N39" i="23"/>
  <c r="E13" i="92"/>
  <c r="I13" i="92" s="1"/>
  <c r="A24" i="90"/>
  <c r="B23" i="90"/>
  <c r="C23" i="90" s="1"/>
  <c r="H13" i="92" l="1"/>
  <c r="I14" i="92"/>
  <c r="H14" i="92"/>
  <c r="B24" i="90"/>
  <c r="C24" i="90" s="1"/>
  <c r="A25" i="90"/>
  <c r="B25" i="90" l="1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2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2" i="23"/>
  <c r="B9" i="88"/>
  <c r="G30" i="23" l="1"/>
  <c r="P30" i="23" s="1"/>
  <c r="E9" i="88"/>
  <c r="F9" i="88" s="1"/>
  <c r="J26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6" i="23"/>
  <c r="O26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9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G14" i="101" l="1"/>
  <c r="G14" i="88" l="1"/>
  <c r="G14" i="93"/>
  <c r="E14" i="98"/>
  <c r="G14" i="94"/>
  <c r="G14" i="96"/>
  <c r="E14" i="95"/>
  <c r="F48" i="23"/>
  <c r="G48" i="23"/>
  <c r="H14" i="101" l="1"/>
  <c r="E14" i="90"/>
  <c r="J70" i="23"/>
  <c r="G70" i="23"/>
  <c r="J69" i="23"/>
  <c r="G71" i="23"/>
  <c r="G69" i="23"/>
  <c r="J71" i="23"/>
  <c r="J65" i="23"/>
  <c r="J66" i="23"/>
  <c r="J68" i="23"/>
  <c r="J67" i="23"/>
  <c r="J63" i="23"/>
  <c r="J64" i="23"/>
  <c r="J62" i="23"/>
  <c r="G68" i="23"/>
  <c r="D23" i="105" s="1"/>
  <c r="D50" i="105" s="1"/>
  <c r="G63" i="23"/>
  <c r="D18" i="105" s="1"/>
  <c r="D45" i="105" s="1"/>
  <c r="G66" i="23"/>
  <c r="D21" i="105" s="1"/>
  <c r="D48" i="105" s="1"/>
  <c r="G67" i="23"/>
  <c r="D22" i="105" s="1"/>
  <c r="D49" i="105" s="1"/>
  <c r="G65" i="23"/>
  <c r="D20" i="105" s="1"/>
  <c r="D47" i="105" s="1"/>
  <c r="J61" i="23"/>
  <c r="G64" i="23"/>
  <c r="D19" i="105" s="1"/>
  <c r="D46" i="105" s="1"/>
  <c r="G61" i="23"/>
  <c r="D16" i="105" s="1"/>
  <c r="G62" i="23"/>
  <c r="D17" i="105" s="1"/>
  <c r="D44" i="105" s="1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L71" i="23" l="1"/>
  <c r="N71" i="23" s="1"/>
  <c r="D25" i="105"/>
  <c r="D52" i="105" s="1"/>
  <c r="D25" i="102"/>
  <c r="D52" i="102" s="1"/>
  <c r="D25" i="103"/>
  <c r="D52" i="103" s="1"/>
  <c r="D25" i="104"/>
  <c r="D52" i="104" s="1"/>
  <c r="D25" i="91"/>
  <c r="D52" i="91" s="1"/>
  <c r="F22" i="80"/>
  <c r="G22" i="80" s="1"/>
  <c r="D43" i="105"/>
  <c r="D24" i="105"/>
  <c r="D51" i="105" s="1"/>
  <c r="D24" i="102"/>
  <c r="D51" i="102" s="1"/>
  <c r="D24" i="103"/>
  <c r="D51" i="103" s="1"/>
  <c r="D24" i="91"/>
  <c r="D51" i="91" s="1"/>
  <c r="F21" i="80"/>
  <c r="G21" i="80" s="1"/>
  <c r="D24" i="104"/>
  <c r="D51" i="104" s="1"/>
  <c r="X25" i="105"/>
  <c r="X25" i="104"/>
  <c r="X25" i="91"/>
  <c r="X25" i="102"/>
  <c r="X25" i="103"/>
  <c r="L70" i="23"/>
  <c r="N70" i="23" s="1"/>
  <c r="X24" i="103"/>
  <c r="X24" i="104"/>
  <c r="X24" i="91"/>
  <c r="X24" i="105"/>
  <c r="X24" i="102"/>
  <c r="L69" i="23"/>
  <c r="N69" i="23" s="1"/>
  <c r="E26" i="101"/>
  <c r="E32" i="101"/>
  <c r="E24" i="101"/>
  <c r="E39" i="101"/>
  <c r="E31" i="101"/>
  <c r="E33" i="101"/>
  <c r="E30" i="101"/>
  <c r="E35" i="101"/>
  <c r="E29" i="101"/>
  <c r="E40" i="101"/>
  <c r="E38" i="101"/>
  <c r="E41" i="101"/>
  <c r="E23" i="101"/>
  <c r="E37" i="101"/>
  <c r="E25" i="101"/>
  <c r="E34" i="101"/>
  <c r="E42" i="101"/>
  <c r="E22" i="101"/>
  <c r="E28" i="101"/>
  <c r="E36" i="101"/>
  <c r="E27" i="101"/>
  <c r="X22" i="104"/>
  <c r="X22" i="105"/>
  <c r="X19" i="104"/>
  <c r="X19" i="105"/>
  <c r="X21" i="104"/>
  <c r="X21" i="105"/>
  <c r="X17" i="104"/>
  <c r="X17" i="105"/>
  <c r="X23" i="104"/>
  <c r="X23" i="105"/>
  <c r="X16" i="104"/>
  <c r="X16" i="105"/>
  <c r="X18" i="104"/>
  <c r="X18" i="105"/>
  <c r="X20" i="104"/>
  <c r="X20" i="105"/>
  <c r="D17" i="103"/>
  <c r="D44" i="103" s="1"/>
  <c r="D17" i="104"/>
  <c r="D44" i="104" s="1"/>
  <c r="D16" i="103"/>
  <c r="D43" i="103" s="1"/>
  <c r="D16" i="104"/>
  <c r="D43" i="104" s="1"/>
  <c r="D22" i="103"/>
  <c r="D49" i="103" s="1"/>
  <c r="D22" i="104"/>
  <c r="D49" i="104" s="1"/>
  <c r="D19" i="103"/>
  <c r="D46" i="103" s="1"/>
  <c r="D19" i="104"/>
  <c r="D46" i="104" s="1"/>
  <c r="D21" i="103"/>
  <c r="D48" i="103" s="1"/>
  <c r="D21" i="104"/>
  <c r="D48" i="104" s="1"/>
  <c r="D20" i="103"/>
  <c r="D47" i="103" s="1"/>
  <c r="D20" i="104"/>
  <c r="D47" i="104" s="1"/>
  <c r="D23" i="103"/>
  <c r="D50" i="103" s="1"/>
  <c r="D23" i="104"/>
  <c r="D50" i="104" s="1"/>
  <c r="D18" i="103"/>
  <c r="D45" i="103" s="1"/>
  <c r="D18" i="104"/>
  <c r="X17" i="102"/>
  <c r="X17" i="103"/>
  <c r="X19" i="102"/>
  <c r="X19" i="103"/>
  <c r="X16" i="102"/>
  <c r="X16" i="103"/>
  <c r="X18" i="102"/>
  <c r="X18" i="103"/>
  <c r="X22" i="102"/>
  <c r="X22" i="103"/>
  <c r="X23" i="102"/>
  <c r="X23" i="103"/>
  <c r="X21" i="102"/>
  <c r="X21" i="103"/>
  <c r="X20" i="102"/>
  <c r="X20" i="103"/>
  <c r="F14" i="80"/>
  <c r="G14" i="80" s="1"/>
  <c r="D17" i="102"/>
  <c r="D44" i="102" s="1"/>
  <c r="F17" i="80"/>
  <c r="G17" i="80" s="1"/>
  <c r="D20" i="102"/>
  <c r="D47" i="102" s="1"/>
  <c r="F20" i="80"/>
  <c r="G20" i="80" s="1"/>
  <c r="D23" i="102"/>
  <c r="D50" i="102" s="1"/>
  <c r="F13" i="80"/>
  <c r="G13" i="80" s="1"/>
  <c r="D16" i="102"/>
  <c r="F19" i="80"/>
  <c r="G19" i="80" s="1"/>
  <c r="D22" i="102"/>
  <c r="D49" i="102" s="1"/>
  <c r="F16" i="80"/>
  <c r="G16" i="80" s="1"/>
  <c r="D19" i="102"/>
  <c r="D46" i="102" s="1"/>
  <c r="F18" i="80"/>
  <c r="G18" i="80" s="1"/>
  <c r="D21" i="102"/>
  <c r="D48" i="102" s="1"/>
  <c r="F15" i="80"/>
  <c r="G15" i="80" s="1"/>
  <c r="D18" i="102"/>
  <c r="D45" i="102" s="1"/>
  <c r="D17" i="91"/>
  <c r="D44" i="91" s="1"/>
  <c r="D20" i="91"/>
  <c r="D47" i="91" s="1"/>
  <c r="D23" i="91"/>
  <c r="D50" i="91" s="1"/>
  <c r="X22" i="91"/>
  <c r="L67" i="23"/>
  <c r="N67" i="23" s="1"/>
  <c r="D16" i="91"/>
  <c r="D22" i="91"/>
  <c r="D49" i="91" s="1"/>
  <c r="X17" i="91"/>
  <c r="L62" i="23"/>
  <c r="N62" i="23" s="1"/>
  <c r="X23" i="91"/>
  <c r="L68" i="23"/>
  <c r="N68" i="23" s="1"/>
  <c r="D19" i="91"/>
  <c r="D46" i="91" s="1"/>
  <c r="D21" i="91"/>
  <c r="D48" i="91" s="1"/>
  <c r="X19" i="91"/>
  <c r="L64" i="23"/>
  <c r="N64" i="23" s="1"/>
  <c r="X21" i="91"/>
  <c r="L66" i="23"/>
  <c r="N66" i="23" s="1"/>
  <c r="X16" i="91"/>
  <c r="L61" i="23"/>
  <c r="N61" i="23" s="1"/>
  <c r="D18" i="91"/>
  <c r="D45" i="91" s="1"/>
  <c r="X18" i="91"/>
  <c r="L63" i="23"/>
  <c r="N63" i="23" s="1"/>
  <c r="X20" i="91"/>
  <c r="L65" i="23"/>
  <c r="N65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3" i="23"/>
  <c r="J14" i="80"/>
  <c r="J16" i="80"/>
  <c r="J22" i="80"/>
  <c r="J15" i="80"/>
  <c r="J13" i="80"/>
  <c r="J18" i="80"/>
  <c r="D27" i="105" l="1"/>
  <c r="D54" i="105" s="1"/>
  <c r="U54" i="105" s="1"/>
  <c r="U55" i="105" s="1"/>
  <c r="X27" i="104"/>
  <c r="X27" i="105"/>
  <c r="D27" i="103"/>
  <c r="D54" i="103" s="1"/>
  <c r="D45" i="104"/>
  <c r="D27" i="104"/>
  <c r="D54" i="104" s="1"/>
  <c r="X27" i="103"/>
  <c r="X27" i="102"/>
  <c r="D27" i="102"/>
  <c r="D43" i="102"/>
  <c r="X27" i="91"/>
  <c r="D43" i="91"/>
  <c r="D27" i="91"/>
  <c r="F12" i="84"/>
  <c r="D9" i="84"/>
  <c r="G9" i="84"/>
  <c r="K25" i="23"/>
  <c r="M25" i="23" s="1"/>
  <c r="C65" i="105" l="1"/>
  <c r="C58" i="105" s="1"/>
  <c r="H65" i="105"/>
  <c r="H69" i="105" s="1"/>
  <c r="H70" i="105" s="1"/>
  <c r="L65" i="105"/>
  <c r="L67" i="105" s="1"/>
  <c r="L68" i="105" s="1"/>
  <c r="C67" i="105"/>
  <c r="C59" i="105" s="1"/>
  <c r="C69" i="105"/>
  <c r="C60" i="105" s="1"/>
  <c r="P65" i="105"/>
  <c r="P69" i="105" s="1"/>
  <c r="P70" i="105" s="1"/>
  <c r="W54" i="105"/>
  <c r="W55" i="105" s="1"/>
  <c r="T65" i="105"/>
  <c r="T66" i="105" s="1"/>
  <c r="V54" i="105"/>
  <c r="V55" i="105" s="1"/>
  <c r="U27" i="103"/>
  <c r="T65" i="104"/>
  <c r="H65" i="104"/>
  <c r="P65" i="104"/>
  <c r="U54" i="104"/>
  <c r="U55" i="104" s="1"/>
  <c r="L65" i="104"/>
  <c r="C69" i="104"/>
  <c r="C60" i="104" s="1"/>
  <c r="V54" i="104"/>
  <c r="V55" i="104" s="1"/>
  <c r="C67" i="104"/>
  <c r="C59" i="104" s="1"/>
  <c r="C65" i="104"/>
  <c r="C58" i="104" s="1"/>
  <c r="W54" i="104"/>
  <c r="W55" i="104" s="1"/>
  <c r="V54" i="103"/>
  <c r="V55" i="103" s="1"/>
  <c r="W54" i="103"/>
  <c r="W55" i="103" s="1"/>
  <c r="T65" i="103"/>
  <c r="L65" i="103"/>
  <c r="C67" i="103"/>
  <c r="C59" i="103" s="1"/>
  <c r="C69" i="103"/>
  <c r="C60" i="103" s="1"/>
  <c r="C65" i="103"/>
  <c r="C58" i="103" s="1"/>
  <c r="U54" i="103"/>
  <c r="U55" i="103" s="1"/>
  <c r="H65" i="103"/>
  <c r="P65" i="103"/>
  <c r="Y27" i="102"/>
  <c r="D54" i="102"/>
  <c r="T65" i="102" s="1"/>
  <c r="U27" i="102"/>
  <c r="D54" i="91"/>
  <c r="U27" i="91"/>
  <c r="B9" i="84"/>
  <c r="P25" i="23"/>
  <c r="C9" i="84"/>
  <c r="Q25" i="23"/>
  <c r="A22" i="84"/>
  <c r="A23" i="84" s="1"/>
  <c r="A21" i="84"/>
  <c r="F14" i="84"/>
  <c r="E14" i="84"/>
  <c r="H9" i="84"/>
  <c r="L69" i="105" l="1"/>
  <c r="L70" i="105" s="1"/>
  <c r="H67" i="105"/>
  <c r="H68" i="105" s="1"/>
  <c r="H66" i="105"/>
  <c r="L66" i="105"/>
  <c r="P66" i="105"/>
  <c r="P67" i="105"/>
  <c r="P68" i="105" s="1"/>
  <c r="T67" i="105"/>
  <c r="T68" i="105" s="1"/>
  <c r="T69" i="105"/>
  <c r="T70" i="105" s="1"/>
  <c r="P69" i="104"/>
  <c r="P70" i="104" s="1"/>
  <c r="P66" i="104"/>
  <c r="P67" i="104"/>
  <c r="P68" i="104" s="1"/>
  <c r="H66" i="104"/>
  <c r="H69" i="104"/>
  <c r="H70" i="104" s="1"/>
  <c r="H67" i="104"/>
  <c r="H68" i="104" s="1"/>
  <c r="L66" i="104"/>
  <c r="L67" i="104"/>
  <c r="L68" i="104" s="1"/>
  <c r="L69" i="104"/>
  <c r="L70" i="104" s="1"/>
  <c r="T69" i="104"/>
  <c r="T70" i="104" s="1"/>
  <c r="T67" i="104"/>
  <c r="T68" i="104" s="1"/>
  <c r="T66" i="104"/>
  <c r="P66" i="103"/>
  <c r="P67" i="103"/>
  <c r="P68" i="103" s="1"/>
  <c r="P69" i="103"/>
  <c r="P70" i="103" s="1"/>
  <c r="L66" i="103"/>
  <c r="L67" i="103"/>
  <c r="L68" i="103" s="1"/>
  <c r="L69" i="103"/>
  <c r="L70" i="103" s="1"/>
  <c r="H66" i="103"/>
  <c r="H69" i="103"/>
  <c r="H70" i="103" s="1"/>
  <c r="H67" i="103"/>
  <c r="H68" i="103" s="1"/>
  <c r="T67" i="103"/>
  <c r="T68" i="103" s="1"/>
  <c r="T69" i="103"/>
  <c r="T70" i="103" s="1"/>
  <c r="T66" i="103"/>
  <c r="W54" i="91"/>
  <c r="W55" i="91" s="1"/>
  <c r="L65" i="91"/>
  <c r="H65" i="91"/>
  <c r="P65" i="91"/>
  <c r="T65" i="91"/>
  <c r="C65" i="91"/>
  <c r="C58" i="91" s="1"/>
  <c r="C69" i="91"/>
  <c r="C60" i="91" s="1"/>
  <c r="C67" i="91"/>
  <c r="C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V54" i="91"/>
  <c r="V55" i="91" s="1"/>
  <c r="U54" i="91"/>
  <c r="U55" i="91" s="1"/>
  <c r="I9" i="84"/>
  <c r="F25" i="23" s="1"/>
  <c r="B21" i="84"/>
  <c r="C21" i="84" s="1"/>
  <c r="E9" i="84"/>
  <c r="F9" i="84" s="1"/>
  <c r="J25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P66" i="91"/>
  <c r="P67" i="91"/>
  <c r="P68" i="91" s="1"/>
  <c r="P69" i="91"/>
  <c r="P70" i="91" s="1"/>
  <c r="H69" i="91"/>
  <c r="H70" i="91" s="1"/>
  <c r="H67" i="91"/>
  <c r="H68" i="91" s="1"/>
  <c r="H66" i="91"/>
  <c r="T69" i="102"/>
  <c r="T70" i="102" s="1"/>
  <c r="T66" i="102"/>
  <c r="T67" i="102"/>
  <c r="T68" i="102" s="1"/>
  <c r="L69" i="102"/>
  <c r="L70" i="102" s="1"/>
  <c r="L66" i="102"/>
  <c r="L67" i="102"/>
  <c r="L68" i="102" s="1"/>
  <c r="L66" i="91"/>
  <c r="L67" i="91"/>
  <c r="L68" i="91" s="1"/>
  <c r="L69" i="91"/>
  <c r="L70" i="91" s="1"/>
  <c r="H66" i="102"/>
  <c r="H67" i="102"/>
  <c r="H68" i="102" s="1"/>
  <c r="H69" i="102"/>
  <c r="H70" i="102" s="1"/>
  <c r="T66" i="91"/>
  <c r="T67" i="91"/>
  <c r="T68" i="91" s="1"/>
  <c r="T69" i="91"/>
  <c r="T70" i="91" s="1"/>
  <c r="E8" i="80"/>
  <c r="I8" i="80" s="1"/>
  <c r="O25" i="23"/>
  <c r="L25" i="23"/>
  <c r="N25" i="23" s="1"/>
  <c r="B24" i="84"/>
  <c r="C24" i="84" s="1"/>
  <c r="A25" i="84"/>
  <c r="I55" i="23"/>
  <c r="J55" i="23" s="1"/>
  <c r="H55" i="23"/>
  <c r="F55" i="23"/>
  <c r="G55" i="23" s="1"/>
  <c r="D55" i="23"/>
  <c r="C55" i="23"/>
  <c r="B55" i="23"/>
  <c r="B56" i="23"/>
  <c r="B57" i="23"/>
  <c r="B58" i="23"/>
  <c r="B59" i="23"/>
  <c r="V11" i="104" l="1"/>
  <c r="W11" i="104" s="1"/>
  <c r="V11" i="105"/>
  <c r="D11" i="104"/>
  <c r="D38" i="104" s="1"/>
  <c r="D11" i="105"/>
  <c r="D38" i="105" s="1"/>
  <c r="X11" i="104"/>
  <c r="X11" i="105"/>
  <c r="D11" i="102"/>
  <c r="D38" i="102" s="1"/>
  <c r="D11" i="103"/>
  <c r="D38" i="103" s="1"/>
  <c r="X11" i="102"/>
  <c r="X11" i="103"/>
  <c r="V11" i="102"/>
  <c r="W11" i="102" s="1"/>
  <c r="V11" i="103"/>
  <c r="D11" i="91"/>
  <c r="D38" i="91" s="1"/>
  <c r="F8" i="80"/>
  <c r="H8" i="80"/>
  <c r="Z11" i="89"/>
  <c r="AA11" i="89" s="1"/>
  <c r="V11" i="91"/>
  <c r="AB11" i="89"/>
  <c r="X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5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5" i="23"/>
  <c r="M55" i="23" s="1"/>
  <c r="L55" i="23"/>
  <c r="N55" i="23" s="1"/>
  <c r="Y11" i="104" l="1"/>
  <c r="W11" i="105"/>
  <c r="Y11" i="105"/>
  <c r="Y11" i="102"/>
  <c r="W11" i="103"/>
  <c r="Y11" i="103"/>
  <c r="W11" i="91"/>
  <c r="Y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3" i="23" s="1"/>
  <c r="O23" i="23" s="1"/>
  <c r="E9" i="82"/>
  <c r="F9" i="82" s="1"/>
  <c r="J23" i="23" s="1"/>
  <c r="G12" i="82"/>
  <c r="B21" i="82"/>
  <c r="C21" i="82" s="1"/>
  <c r="A24" i="82"/>
  <c r="B23" i="82"/>
  <c r="C23" i="82" s="1"/>
  <c r="B22" i="82"/>
  <c r="C22" i="82" s="1"/>
  <c r="F53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7" i="23" s="1"/>
  <c r="B21" i="77"/>
  <c r="C21" i="77" s="1"/>
  <c r="E9" i="77"/>
  <c r="F9" i="77" s="1"/>
  <c r="J27" i="23" s="1"/>
  <c r="B23" i="77"/>
  <c r="C23" i="77" s="1"/>
  <c r="A24" i="77"/>
  <c r="B22" i="77"/>
  <c r="C22" i="77" s="1"/>
  <c r="E10" i="80" l="1"/>
  <c r="I10" i="80" s="1"/>
  <c r="O27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9" i="23" s="1"/>
  <c r="E12" i="80" s="1"/>
  <c r="I12" i="80" s="1"/>
  <c r="A21" i="75"/>
  <c r="B21" i="75" s="1"/>
  <c r="C21" i="75" s="1"/>
  <c r="H9" i="75"/>
  <c r="I9" i="75" s="1"/>
  <c r="F28" i="23" s="1"/>
  <c r="E9" i="75"/>
  <c r="F9" i="75" s="1"/>
  <c r="J28" i="23" s="1"/>
  <c r="A21" i="74"/>
  <c r="A22" i="74" s="1"/>
  <c r="B22" i="74" s="1"/>
  <c r="C22" i="74" s="1"/>
  <c r="E9" i="74"/>
  <c r="F9" i="74" s="1"/>
  <c r="J29" i="23" s="1"/>
  <c r="L29" i="23" l="1"/>
  <c r="N29" i="23" s="1"/>
  <c r="H12" i="80"/>
  <c r="E11" i="80"/>
  <c r="I11" i="80" s="1"/>
  <c r="O28" i="23"/>
  <c r="O29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2" i="23" l="1"/>
  <c r="C9" i="77" l="1"/>
  <c r="Q27" i="23"/>
  <c r="C6" i="48"/>
  <c r="B6" i="48"/>
  <c r="C6" i="59"/>
  <c r="B6" i="59"/>
  <c r="C6" i="50"/>
  <c r="B6" i="50"/>
  <c r="C6" i="51"/>
  <c r="B6" i="51"/>
  <c r="D59" i="23" l="1"/>
  <c r="H59" i="23"/>
  <c r="C53" i="23"/>
  <c r="D53" i="23"/>
  <c r="H53" i="23"/>
  <c r="C54" i="23"/>
  <c r="D54" i="23"/>
  <c r="H54" i="23"/>
  <c r="C56" i="23"/>
  <c r="D56" i="23"/>
  <c r="H56" i="23"/>
  <c r="C57" i="23"/>
  <c r="D57" i="23"/>
  <c r="H57" i="23"/>
  <c r="C58" i="23"/>
  <c r="D58" i="23"/>
  <c r="H58" i="23"/>
  <c r="V10" i="104" l="1"/>
  <c r="W10" i="104" s="1"/>
  <c r="V10" i="105"/>
  <c r="V12" i="104"/>
  <c r="Y12" i="104" s="1"/>
  <c r="V12" i="105"/>
  <c r="V13" i="104"/>
  <c r="Y13" i="104" s="1"/>
  <c r="V13" i="105"/>
  <c r="V15" i="104"/>
  <c r="Y15" i="104" s="1"/>
  <c r="V15" i="105"/>
  <c r="V14" i="104"/>
  <c r="W14" i="104" s="1"/>
  <c r="V14" i="105"/>
  <c r="V9" i="104"/>
  <c r="W9" i="104" s="1"/>
  <c r="V9" i="105"/>
  <c r="Y10" i="104"/>
  <c r="V9" i="102"/>
  <c r="Y9" i="102" s="1"/>
  <c r="V9" i="103"/>
  <c r="V12" i="102"/>
  <c r="Y12" i="102" s="1"/>
  <c r="V12" i="103"/>
  <c r="V10" i="102"/>
  <c r="W10" i="102" s="1"/>
  <c r="V10" i="103"/>
  <c r="V15" i="102"/>
  <c r="W15" i="102" s="1"/>
  <c r="V15" i="103"/>
  <c r="V13" i="102"/>
  <c r="W13" i="102" s="1"/>
  <c r="V13" i="103"/>
  <c r="V14" i="102"/>
  <c r="W14" i="102" s="1"/>
  <c r="V14" i="103"/>
  <c r="W9" i="102"/>
  <c r="Z10" i="89"/>
  <c r="AA10" i="89" s="1"/>
  <c r="V10" i="91"/>
  <c r="Z12" i="89"/>
  <c r="AA12" i="89" s="1"/>
  <c r="V12" i="91"/>
  <c r="Z13" i="89"/>
  <c r="AA13" i="89" s="1"/>
  <c r="V13" i="91"/>
  <c r="Z15" i="89"/>
  <c r="AA15" i="89" s="1"/>
  <c r="V15" i="91"/>
  <c r="Z14" i="89"/>
  <c r="AA14" i="89" s="1"/>
  <c r="V14" i="91"/>
  <c r="Z9" i="89"/>
  <c r="AA9" i="89" s="1"/>
  <c r="V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6" i="23"/>
  <c r="M56" i="23" s="1"/>
  <c r="K59" i="23"/>
  <c r="M59" i="23" s="1"/>
  <c r="K58" i="23"/>
  <c r="M58" i="23" s="1"/>
  <c r="K54" i="23"/>
  <c r="M54" i="23" s="1"/>
  <c r="K57" i="23"/>
  <c r="M57" i="23" s="1"/>
  <c r="K53" i="23"/>
  <c r="M53" i="23" s="1"/>
  <c r="W15" i="104" l="1"/>
  <c r="Y14" i="104"/>
  <c r="W13" i="104"/>
  <c r="W12" i="104"/>
  <c r="Y9" i="104"/>
  <c r="Y12" i="105"/>
  <c r="W12" i="105"/>
  <c r="Y9" i="105"/>
  <c r="W9" i="105"/>
  <c r="Y15" i="105"/>
  <c r="W15" i="105"/>
  <c r="Y14" i="105"/>
  <c r="W14" i="105"/>
  <c r="Y13" i="105"/>
  <c r="W13" i="105"/>
  <c r="W10" i="105"/>
  <c r="Y10" i="105"/>
  <c r="Y13" i="102"/>
  <c r="Y10" i="102"/>
  <c r="Y14" i="102"/>
  <c r="W12" i="102"/>
  <c r="Y10" i="103"/>
  <c r="W10" i="103"/>
  <c r="Y15" i="102"/>
  <c r="W14" i="103"/>
  <c r="Y14" i="103"/>
  <c r="W12" i="103"/>
  <c r="Y12" i="103"/>
  <c r="Y15" i="103"/>
  <c r="W15" i="103"/>
  <c r="Y13" i="103"/>
  <c r="W13" i="103"/>
  <c r="Y9" i="103"/>
  <c r="W9" i="103"/>
  <c r="W9" i="91"/>
  <c r="Y9" i="91"/>
  <c r="W15" i="91"/>
  <c r="Y15" i="91"/>
  <c r="W14" i="91"/>
  <c r="Y14" i="91"/>
  <c r="W13" i="91"/>
  <c r="Y13" i="91"/>
  <c r="W10" i="91"/>
  <c r="Y10" i="91"/>
  <c r="W12" i="91"/>
  <c r="Y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3" i="23" l="1"/>
  <c r="M23" i="23" s="1"/>
  <c r="K24" i="23"/>
  <c r="M24" i="23" s="1"/>
  <c r="K26" i="23"/>
  <c r="M26" i="23" s="1"/>
  <c r="K27" i="23"/>
  <c r="M27" i="23" s="1"/>
  <c r="K28" i="23"/>
  <c r="M28" i="23" s="1"/>
  <c r="C9" i="82"/>
  <c r="C9" i="88"/>
  <c r="P29" i="23"/>
  <c r="Q29" i="23"/>
  <c r="P22" i="23"/>
  <c r="Q21" i="23"/>
  <c r="P21" i="23"/>
  <c r="G12" i="59"/>
  <c r="H12" i="59" s="1"/>
  <c r="N12" i="59"/>
  <c r="B9" i="82" l="1"/>
  <c r="P23" i="23"/>
  <c r="Q24" i="23"/>
  <c r="C9" i="59"/>
  <c r="P24" i="23"/>
  <c r="B9" i="59"/>
  <c r="P26" i="23"/>
  <c r="Q26" i="23"/>
  <c r="B9" i="77"/>
  <c r="P27" i="23"/>
  <c r="C9" i="75"/>
  <c r="Q28" i="23"/>
  <c r="B9" i="75"/>
  <c r="P28" i="23"/>
  <c r="B9" i="74"/>
  <c r="C9" i="74"/>
  <c r="L12" i="59"/>
  <c r="M12" i="59" s="1"/>
  <c r="O12" i="59"/>
  <c r="R12" i="59" l="1"/>
  <c r="P12" i="59"/>
  <c r="Q12" i="59" s="1"/>
  <c r="I58" i="23"/>
  <c r="I57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6" i="23" l="1"/>
  <c r="J24" i="23"/>
  <c r="I54" i="23" s="1"/>
  <c r="J54" i="23" s="1"/>
  <c r="J9" i="59"/>
  <c r="F24" i="23"/>
  <c r="D42" i="59"/>
  <c r="L27" i="23"/>
  <c r="N27" i="23" s="1"/>
  <c r="F57" i="23"/>
  <c r="L28" i="23"/>
  <c r="N28" i="23" s="1"/>
  <c r="F58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X10" i="104" l="1"/>
  <c r="X10" i="105"/>
  <c r="X10" i="102"/>
  <c r="X10" i="103"/>
  <c r="AB10" i="89"/>
  <c r="X10" i="91"/>
  <c r="E7" i="80"/>
  <c r="O24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4" i="23"/>
  <c r="N24" i="23" s="1"/>
  <c r="F54" i="23"/>
  <c r="F56" i="23"/>
  <c r="L26" i="23"/>
  <c r="N26" i="23" s="1"/>
  <c r="A59" i="23"/>
  <c r="A57" i="23"/>
  <c r="A58" i="23"/>
  <c r="A53" i="23"/>
  <c r="B53" i="23"/>
  <c r="A54" i="23"/>
  <c r="B54" i="23"/>
  <c r="A56" i="23"/>
  <c r="A10" i="91" l="1"/>
  <c r="A37" i="91" s="1"/>
  <c r="A10" i="105"/>
  <c r="A37" i="105" s="1"/>
  <c r="A10" i="104"/>
  <c r="A37" i="104" s="1"/>
  <c r="A10" i="103"/>
  <c r="A37" i="103" s="1"/>
  <c r="A10" i="102"/>
  <c r="A37" i="102" s="1"/>
  <c r="A15" i="91"/>
  <c r="A42" i="91" s="1"/>
  <c r="A15" i="105"/>
  <c r="A42" i="105" s="1"/>
  <c r="A15" i="104"/>
  <c r="A42" i="104" s="1"/>
  <c r="A15" i="103"/>
  <c r="A42" i="103" s="1"/>
  <c r="A15" i="102"/>
  <c r="A42" i="102" s="1"/>
  <c r="A9" i="91"/>
  <c r="A36" i="91" s="1"/>
  <c r="A9" i="105"/>
  <c r="A36" i="105" s="1"/>
  <c r="A9" i="104"/>
  <c r="A36" i="104" s="1"/>
  <c r="A9" i="103"/>
  <c r="A36" i="103" s="1"/>
  <c r="A9" i="102"/>
  <c r="A36" i="102" s="1"/>
  <c r="A13" i="91"/>
  <c r="A40" i="91" s="1"/>
  <c r="A13" i="105"/>
  <c r="A40" i="105" s="1"/>
  <c r="A13" i="104"/>
  <c r="A40" i="104" s="1"/>
  <c r="A13" i="103"/>
  <c r="A40" i="103" s="1"/>
  <c r="A13" i="102"/>
  <c r="A40" i="102" s="1"/>
  <c r="A12" i="91"/>
  <c r="A39" i="91" s="1"/>
  <c r="A12" i="105"/>
  <c r="A39" i="105" s="1"/>
  <c r="A12" i="104"/>
  <c r="A39" i="104" s="1"/>
  <c r="A12" i="103"/>
  <c r="A39" i="103" s="1"/>
  <c r="A12" i="102"/>
  <c r="A39" i="102" s="1"/>
  <c r="A14" i="91"/>
  <c r="A41" i="91" s="1"/>
  <c r="A14" i="105"/>
  <c r="A41" i="105" s="1"/>
  <c r="A14" i="104"/>
  <c r="A41" i="104" s="1"/>
  <c r="A14" i="103"/>
  <c r="A41" i="103" s="1"/>
  <c r="A14" i="102"/>
  <c r="A41" i="102" s="1"/>
  <c r="F32" i="80"/>
  <c r="I7" i="80"/>
  <c r="H7" i="80"/>
  <c r="F35" i="80"/>
  <c r="H52" i="23"/>
  <c r="H51" i="23"/>
  <c r="D52" i="23"/>
  <c r="B52" i="23"/>
  <c r="B51" i="23"/>
  <c r="A52" i="23"/>
  <c r="A51" i="23"/>
  <c r="A8" i="91" l="1"/>
  <c r="A35" i="91" s="1"/>
  <c r="A8" i="105"/>
  <c r="A35" i="105" s="1"/>
  <c r="A8" i="104"/>
  <c r="A35" i="104" s="1"/>
  <c r="A8" i="103"/>
  <c r="A35" i="103" s="1"/>
  <c r="A8" i="102"/>
  <c r="A35" i="102" s="1"/>
  <c r="A7" i="91"/>
  <c r="A34" i="91" s="1"/>
  <c r="A7" i="105"/>
  <c r="A34" i="105" s="1"/>
  <c r="A7" i="104"/>
  <c r="A34" i="104" s="1"/>
  <c r="A7" i="103"/>
  <c r="A34" i="103" s="1"/>
  <c r="A7" i="102"/>
  <c r="A34" i="102" s="1"/>
  <c r="V7" i="104"/>
  <c r="Y7" i="104" s="1"/>
  <c r="V7" i="105"/>
  <c r="V8" i="104"/>
  <c r="Y8" i="104" s="1"/>
  <c r="V8" i="105"/>
  <c r="V8" i="102"/>
  <c r="W8" i="102" s="1"/>
  <c r="V8" i="103"/>
  <c r="V7" i="102"/>
  <c r="W7" i="102" s="1"/>
  <c r="V7" i="103"/>
  <c r="H72" i="23"/>
  <c r="Z7" i="89"/>
  <c r="AA7" i="89" s="1"/>
  <c r="V7" i="91"/>
  <c r="Y7" i="91" s="1"/>
  <c r="Z8" i="89"/>
  <c r="AA8" i="89" s="1"/>
  <c r="V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2" i="23"/>
  <c r="M52" i="23" s="1"/>
  <c r="W7" i="104" l="1"/>
  <c r="V28" i="104"/>
  <c r="W28" i="104" s="1"/>
  <c r="W8" i="104"/>
  <c r="V26" i="104"/>
  <c r="U26" i="104" s="1"/>
  <c r="Y8" i="105"/>
  <c r="W8" i="105"/>
  <c r="V26" i="105"/>
  <c r="Y7" i="105"/>
  <c r="W7" i="105"/>
  <c r="V28" i="105"/>
  <c r="W28" i="105" s="1"/>
  <c r="Y7" i="102"/>
  <c r="Y8" i="102"/>
  <c r="V26" i="102"/>
  <c r="W26" i="102" s="1"/>
  <c r="V28" i="102"/>
  <c r="W28" i="102" s="1"/>
  <c r="V26" i="103"/>
  <c r="Y7" i="103"/>
  <c r="W7" i="103"/>
  <c r="V28" i="103"/>
  <c r="W28" i="103" s="1"/>
  <c r="Y8" i="103"/>
  <c r="W8" i="103"/>
  <c r="W8" i="91"/>
  <c r="Y8" i="91"/>
  <c r="V26" i="91"/>
  <c r="V28" i="91"/>
  <c r="W28" i="91" s="1"/>
  <c r="W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7" i="23"/>
  <c r="J58" i="23"/>
  <c r="J56" i="23"/>
  <c r="G56" i="23"/>
  <c r="D12" i="105" s="1"/>
  <c r="D39" i="105" s="1"/>
  <c r="G57" i="23"/>
  <c r="G54" i="23"/>
  <c r="D10" i="105" s="1"/>
  <c r="D37" i="105" s="1"/>
  <c r="G58" i="23"/>
  <c r="H14" i="59"/>
  <c r="W26" i="104" l="1"/>
  <c r="Y26" i="104"/>
  <c r="Y26" i="105"/>
  <c r="U26" i="105"/>
  <c r="W26" i="105"/>
  <c r="X12" i="104"/>
  <c r="X12" i="105"/>
  <c r="X14" i="104"/>
  <c r="X14" i="105"/>
  <c r="D13" i="104"/>
  <c r="D40" i="104" s="1"/>
  <c r="D13" i="105"/>
  <c r="D40" i="105" s="1"/>
  <c r="X13" i="104"/>
  <c r="X13" i="105"/>
  <c r="D14" i="104"/>
  <c r="D41" i="104" s="1"/>
  <c r="D14" i="105"/>
  <c r="D41" i="105" s="1"/>
  <c r="D10" i="103"/>
  <c r="D37" i="103" s="1"/>
  <c r="D10" i="104"/>
  <c r="D37" i="104" s="1"/>
  <c r="D12" i="103"/>
  <c r="D39" i="103" s="1"/>
  <c r="D12" i="104"/>
  <c r="D39" i="104" s="1"/>
  <c r="D14" i="102"/>
  <c r="D41" i="102" s="1"/>
  <c r="D14" i="103"/>
  <c r="D41" i="103" s="1"/>
  <c r="D13" i="102"/>
  <c r="D40" i="102" s="1"/>
  <c r="D13" i="103"/>
  <c r="D40" i="103" s="1"/>
  <c r="X13" i="102"/>
  <c r="X13" i="103"/>
  <c r="X14" i="102"/>
  <c r="X14" i="103"/>
  <c r="X12" i="102"/>
  <c r="X12" i="103"/>
  <c r="Y26" i="103"/>
  <c r="W26" i="103"/>
  <c r="F9" i="80"/>
  <c r="G9" i="80" s="1"/>
  <c r="D12" i="102"/>
  <c r="D39" i="102" s="1"/>
  <c r="F7" i="80"/>
  <c r="G7" i="80" s="1"/>
  <c r="D10" i="102"/>
  <c r="D37" i="102" s="1"/>
  <c r="W26" i="91"/>
  <c r="Y26" i="91"/>
  <c r="D14" i="91"/>
  <c r="D41" i="91" s="1"/>
  <c r="F11" i="80"/>
  <c r="G11" i="80" s="1"/>
  <c r="D13" i="91"/>
  <c r="D40" i="91" s="1"/>
  <c r="F10" i="80"/>
  <c r="G10" i="80" s="1"/>
  <c r="P54" i="23"/>
  <c r="D10" i="91"/>
  <c r="D37" i="91" s="1"/>
  <c r="D12" i="91"/>
  <c r="D39" i="91" s="1"/>
  <c r="AB12" i="89"/>
  <c r="X12" i="91"/>
  <c r="AB13" i="89"/>
  <c r="X13" i="91"/>
  <c r="AB14" i="89"/>
  <c r="X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6" i="23"/>
  <c r="P58" i="23"/>
  <c r="P57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4" i="23"/>
  <c r="N54" i="23" s="1"/>
  <c r="L58" i="23"/>
  <c r="N58" i="23" s="1"/>
  <c r="L56" i="23"/>
  <c r="N56" i="23" s="1"/>
  <c r="L57" i="23"/>
  <c r="N57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9" i="23"/>
  <c r="F59" i="23"/>
  <c r="G59" i="23" s="1"/>
  <c r="D15" i="105" s="1"/>
  <c r="D42" i="105" s="1"/>
  <c r="J7" i="80"/>
  <c r="D15" i="103" l="1"/>
  <c r="D42" i="103" s="1"/>
  <c r="D15" i="104"/>
  <c r="D42" i="104" s="1"/>
  <c r="F12" i="80"/>
  <c r="G12" i="80" s="1"/>
  <c r="D15" i="102"/>
  <c r="D42" i="102" s="1"/>
  <c r="D15" i="91"/>
  <c r="D42" i="91" s="1"/>
  <c r="J59" i="23"/>
  <c r="X15" i="105" s="1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X15" i="103" l="1"/>
  <c r="X15" i="104"/>
  <c r="AB15" i="89"/>
  <c r="X15" i="102"/>
  <c r="I13" i="86"/>
  <c r="R13" i="86" s="1"/>
  <c r="E27" i="86"/>
  <c r="N27" i="86" s="1"/>
  <c r="I27" i="86"/>
  <c r="R27" i="86" s="1"/>
  <c r="E13" i="86"/>
  <c r="N13" i="86" s="1"/>
  <c r="L59" i="23"/>
  <c r="N59" i="23" s="1"/>
  <c r="G27" i="86"/>
  <c r="P27" i="86" s="1"/>
  <c r="P59" i="23"/>
  <c r="AB15" i="79"/>
  <c r="G13" i="86"/>
  <c r="P13" i="86" s="1"/>
  <c r="X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21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3" i="23"/>
  <c r="I51" i="23"/>
  <c r="J9" i="48"/>
  <c r="J9" i="51"/>
  <c r="F21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D9" i="105" l="1"/>
  <c r="D36" i="105" s="1"/>
  <c r="K13" i="23"/>
  <c r="C3" i="105"/>
  <c r="D9" i="103"/>
  <c r="C3" i="103" s="1"/>
  <c r="D9" i="104"/>
  <c r="F6" i="80"/>
  <c r="G6" i="80" s="1"/>
  <c r="D9" i="102"/>
  <c r="A27" i="50"/>
  <c r="D9" i="91"/>
  <c r="E4" i="80"/>
  <c r="O21" i="23"/>
  <c r="F31" i="80"/>
  <c r="D9" i="79"/>
  <c r="L23" i="23"/>
  <c r="N23" i="23" s="1"/>
  <c r="I53" i="23"/>
  <c r="J53" i="23" s="1"/>
  <c r="F51" i="23"/>
  <c r="J51" i="23"/>
  <c r="D36" i="103" l="1"/>
  <c r="X7" i="104"/>
  <c r="X7" i="105"/>
  <c r="X9" i="104"/>
  <c r="X9" i="105"/>
  <c r="D36" i="104"/>
  <c r="C3" i="104"/>
  <c r="X9" i="102"/>
  <c r="X9" i="103"/>
  <c r="X7" i="102"/>
  <c r="X7" i="103"/>
  <c r="D36" i="102"/>
  <c r="C3" i="102"/>
  <c r="I4" i="80"/>
  <c r="F28" i="80" s="1"/>
  <c r="A28" i="50"/>
  <c r="H4" i="80"/>
  <c r="G51" i="23"/>
  <c r="C3" i="91"/>
  <c r="D36" i="91"/>
  <c r="AB9" i="89"/>
  <c r="X9" i="91"/>
  <c r="AB7" i="89"/>
  <c r="X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3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3" i="23"/>
  <c r="N53" i="23" s="1"/>
  <c r="D7" i="105" l="1"/>
  <c r="D7" i="103"/>
  <c r="D34" i="103" s="1"/>
  <c r="D7" i="104"/>
  <c r="D7" i="79"/>
  <c r="D22" i="79" s="1"/>
  <c r="A22" i="79" s="1"/>
  <c r="D7" i="102"/>
  <c r="D7" i="91"/>
  <c r="D34" i="91" s="1"/>
  <c r="F4" i="80"/>
  <c r="A29" i="50"/>
  <c r="P51" i="23"/>
  <c r="X22" i="79"/>
  <c r="H22" i="79"/>
  <c r="C9" i="51"/>
  <c r="B9" i="51"/>
  <c r="D34" i="105" l="1"/>
  <c r="D34" i="104"/>
  <c r="D34" i="102"/>
  <c r="A30" i="50"/>
  <c r="G4" i="80"/>
  <c r="B9" i="50"/>
  <c r="B9" i="48"/>
  <c r="C9" i="50"/>
  <c r="C9" i="48"/>
  <c r="A31" i="50" l="1"/>
  <c r="G14" i="51"/>
  <c r="D51" i="23"/>
  <c r="C49" i="23"/>
  <c r="C50" i="23"/>
  <c r="C51" i="23"/>
  <c r="D72" i="23" l="1"/>
  <c r="K11" i="23"/>
  <c r="A32" i="50"/>
  <c r="G14" i="50"/>
  <c r="K51" i="23"/>
  <c r="M51" i="23" s="1"/>
  <c r="A33" i="50" l="1"/>
  <c r="K72" i="23"/>
  <c r="M72" i="23" s="1"/>
  <c r="A34" i="50" l="1"/>
  <c r="K22" i="23"/>
  <c r="K21" i="23"/>
  <c r="A35" i="50" l="1"/>
  <c r="K42" i="23"/>
  <c r="M42" i="23" s="1"/>
  <c r="K30" i="23"/>
  <c r="M30" i="23" s="1"/>
  <c r="M22" i="23"/>
  <c r="M21" i="23"/>
  <c r="A36" i="50" l="1"/>
  <c r="L51" i="23"/>
  <c r="N51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21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5" i="5"/>
  <c r="B37" i="5"/>
  <c r="B38" i="5"/>
  <c r="B28" i="5"/>
  <c r="B27" i="5"/>
  <c r="B40" i="5"/>
  <c r="B34" i="5"/>
  <c r="B47" i="5"/>
  <c r="B46" i="5"/>
  <c r="B36" i="5"/>
  <c r="B32" i="5"/>
  <c r="E9" i="5"/>
  <c r="B41" i="5"/>
  <c r="B43" i="5"/>
  <c r="B31" i="5"/>
  <c r="B29" i="5"/>
  <c r="B33" i="5"/>
  <c r="B30" i="5"/>
  <c r="B44" i="5"/>
  <c r="B42" i="5"/>
  <c r="B39" i="5"/>
  <c r="B35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21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2" i="23" s="1"/>
  <c r="J42" i="23" s="1"/>
  <c r="B11" i="23" s="1"/>
  <c r="B39" i="50"/>
  <c r="B23" i="50"/>
  <c r="B30" i="50"/>
  <c r="B29" i="50"/>
  <c r="B32" i="50"/>
  <c r="B38" i="50"/>
  <c r="B35" i="50"/>
  <c r="B22" i="50"/>
  <c r="J30" i="23" l="1"/>
  <c r="E42" i="50"/>
  <c r="D42" i="50"/>
  <c r="C42" i="50"/>
  <c r="E22" i="50"/>
  <c r="C22" i="50"/>
  <c r="D29" i="50"/>
  <c r="E29" i="50"/>
  <c r="C29" i="50"/>
  <c r="I52" i="23"/>
  <c r="I72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2" i="23"/>
  <c r="F42" i="23" s="1"/>
  <c r="J9" i="50"/>
  <c r="J5" i="80"/>
  <c r="I60" i="23" l="1"/>
  <c r="J60" i="23" s="1"/>
  <c r="F30" i="23"/>
  <c r="F60" i="23" s="1"/>
  <c r="G60" i="23" s="1"/>
  <c r="O22" i="23"/>
  <c r="L22" i="23"/>
  <c r="L42" i="23" s="1"/>
  <c r="E5" i="80"/>
  <c r="E23" i="80" s="1"/>
  <c r="I23" i="80" s="1"/>
  <c r="F52" i="23"/>
  <c r="F72" i="23" s="1"/>
  <c r="J52" i="23"/>
  <c r="X8" i="104" l="1"/>
  <c r="X28" i="104" s="1"/>
  <c r="X29" i="104" s="1"/>
  <c r="X8" i="105"/>
  <c r="X8" i="102"/>
  <c r="X26" i="102" s="1"/>
  <c r="X8" i="103"/>
  <c r="L60" i="23"/>
  <c r="N60" i="23" s="1"/>
  <c r="J72" i="23"/>
  <c r="M17" i="23" s="1"/>
  <c r="I5" i="80"/>
  <c r="F33" i="80" s="1"/>
  <c r="N42" i="23"/>
  <c r="L30" i="23"/>
  <c r="N30" i="23" s="1"/>
  <c r="N22" i="23"/>
  <c r="AB8" i="89"/>
  <c r="AB16" i="89" s="1"/>
  <c r="X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2" i="23"/>
  <c r="F34" i="80"/>
  <c r="D8" i="104" l="1"/>
  <c r="D26" i="104" s="1"/>
  <c r="D53" i="104" s="1"/>
  <c r="K12" i="23"/>
  <c r="D8" i="105"/>
  <c r="X26" i="104"/>
  <c r="X26" i="105"/>
  <c r="X28" i="105"/>
  <c r="X29" i="105" s="1"/>
  <c r="D35" i="104"/>
  <c r="D28" i="104"/>
  <c r="D29" i="104" s="1"/>
  <c r="D8" i="102"/>
  <c r="D35" i="102" s="1"/>
  <c r="D8" i="103"/>
  <c r="X28" i="102"/>
  <c r="X29" i="102" s="1"/>
  <c r="X26" i="103"/>
  <c r="X28" i="103"/>
  <c r="X29" i="103" s="1"/>
  <c r="X28" i="91"/>
  <c r="X29" i="91" s="1"/>
  <c r="X26" i="91"/>
  <c r="F5" i="80"/>
  <c r="F23" i="80" s="1"/>
  <c r="G72" i="23"/>
  <c r="D8" i="91"/>
  <c r="P52" i="23"/>
  <c r="X23" i="79"/>
  <c r="X16" i="79"/>
  <c r="L52" i="23"/>
  <c r="N52" i="23" s="1"/>
  <c r="D8" i="79"/>
  <c r="H16" i="79"/>
  <c r="L16" i="79"/>
  <c r="P16" i="79"/>
  <c r="T16" i="79"/>
  <c r="D26" i="102" l="1"/>
  <c r="U26" i="102" s="1"/>
  <c r="D35" i="105"/>
  <c r="D28" i="105"/>
  <c r="D26" i="105"/>
  <c r="D53" i="105" s="1"/>
  <c r="D55" i="104"/>
  <c r="D30" i="104"/>
  <c r="T63" i="104"/>
  <c r="T64" i="104" s="1"/>
  <c r="H63" i="104"/>
  <c r="H64" i="104" s="1"/>
  <c r="L63" i="104"/>
  <c r="L64" i="104" s="1"/>
  <c r="W53" i="104"/>
  <c r="C63" i="104"/>
  <c r="C57" i="104" s="1"/>
  <c r="P63" i="104"/>
  <c r="P64" i="104" s="1"/>
  <c r="U53" i="104"/>
  <c r="V53" i="104"/>
  <c r="D28" i="102"/>
  <c r="D29" i="102" s="1"/>
  <c r="D35" i="103"/>
  <c r="D26" i="103"/>
  <c r="D28" i="103"/>
  <c r="D53" i="102"/>
  <c r="Y26" i="102"/>
  <c r="D28" i="91"/>
  <c r="D30" i="91" s="1"/>
  <c r="D26" i="91"/>
  <c r="G5" i="80"/>
  <c r="D35" i="91"/>
  <c r="D23" i="79"/>
  <c r="A23" i="79" s="1"/>
  <c r="D16" i="79"/>
  <c r="L72" i="23"/>
  <c r="N72" i="23" s="1"/>
  <c r="L17" i="23"/>
  <c r="L31" i="79"/>
  <c r="G9" i="78"/>
  <c r="K9" i="78" s="1"/>
  <c r="T31" i="79"/>
  <c r="G7" i="78"/>
  <c r="G6" i="78"/>
  <c r="X31" i="79"/>
  <c r="P31" i="79"/>
  <c r="G10" i="78"/>
  <c r="H31" i="79"/>
  <c r="G8" i="78"/>
  <c r="V53" i="105" l="1"/>
  <c r="C63" i="105"/>
  <c r="C57" i="105" s="1"/>
  <c r="U53" i="105"/>
  <c r="L63" i="105"/>
  <c r="L64" i="105" s="1"/>
  <c r="P63" i="105"/>
  <c r="P64" i="105" s="1"/>
  <c r="H63" i="105"/>
  <c r="H64" i="105" s="1"/>
  <c r="W53" i="105"/>
  <c r="T63" i="105"/>
  <c r="T64" i="105" s="1"/>
  <c r="D30" i="105"/>
  <c r="D55" i="105"/>
  <c r="D29" i="105"/>
  <c r="D30" i="102"/>
  <c r="D55" i="102"/>
  <c r="T61" i="102" s="1"/>
  <c r="T62" i="102" s="1"/>
  <c r="P61" i="104"/>
  <c r="P62" i="104" s="1"/>
  <c r="T61" i="104"/>
  <c r="T62" i="104" s="1"/>
  <c r="C61" i="104"/>
  <c r="C56" i="104" s="1"/>
  <c r="H61" i="104"/>
  <c r="H62" i="104" s="1"/>
  <c r="L61" i="104"/>
  <c r="L62" i="104" s="1"/>
  <c r="D30" i="103"/>
  <c r="D55" i="103"/>
  <c r="D29" i="103"/>
  <c r="D53" i="103"/>
  <c r="U26" i="103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W53" i="102"/>
  <c r="U53" i="102"/>
  <c r="V53" i="102"/>
  <c r="D29" i="91"/>
  <c r="D53" i="91"/>
  <c r="U26" i="91"/>
  <c r="F8" i="92"/>
  <c r="D55" i="91"/>
  <c r="T61" i="91" s="1"/>
  <c r="T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P61" i="102" l="1"/>
  <c r="P62" i="102" s="1"/>
  <c r="C61" i="102"/>
  <c r="C56" i="102" s="1"/>
  <c r="L61" i="105"/>
  <c r="L62" i="105" s="1"/>
  <c r="C61" i="105"/>
  <c r="C56" i="105" s="1"/>
  <c r="T61" i="105"/>
  <c r="T62" i="105" s="1"/>
  <c r="P61" i="105"/>
  <c r="P62" i="105" s="1"/>
  <c r="H61" i="105"/>
  <c r="H62" i="105" s="1"/>
  <c r="W53" i="103"/>
  <c r="V53" i="103"/>
  <c r="H63" i="103"/>
  <c r="H64" i="103" s="1"/>
  <c r="L63" i="103"/>
  <c r="L64" i="103" s="1"/>
  <c r="T63" i="103"/>
  <c r="T64" i="103" s="1"/>
  <c r="P63" i="103"/>
  <c r="P64" i="103" s="1"/>
  <c r="C63" i="103"/>
  <c r="C57" i="103" s="1"/>
  <c r="U53" i="103"/>
  <c r="L61" i="103"/>
  <c r="L62" i="103" s="1"/>
  <c r="H61" i="103"/>
  <c r="H62" i="103" s="1"/>
  <c r="C61" i="103"/>
  <c r="C56" i="103" s="1"/>
  <c r="T61" i="103"/>
  <c r="T62" i="103" s="1"/>
  <c r="P61" i="103"/>
  <c r="P62" i="103" s="1"/>
  <c r="W53" i="91"/>
  <c r="L63" i="91"/>
  <c r="L64" i="91" s="1"/>
  <c r="T63" i="91"/>
  <c r="T64" i="91" s="1"/>
  <c r="H63" i="91"/>
  <c r="H64" i="91" s="1"/>
  <c r="P63" i="91"/>
  <c r="P64" i="91" s="1"/>
  <c r="C63" i="91"/>
  <c r="C57" i="91" s="1"/>
  <c r="V53" i="91"/>
  <c r="U53" i="91"/>
  <c r="C61" i="91"/>
  <c r="C56" i="91" s="1"/>
  <c r="L61" i="91"/>
  <c r="L62" i="91" s="1"/>
  <c r="P61" i="91"/>
  <c r="P62" i="91" s="1"/>
  <c r="H61" i="91"/>
  <c r="H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<sst xmlns="http://schemas.openxmlformats.org/spreadsheetml/2006/main" count="2447" uniqueCount="467">
  <si>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</si>
  <si>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</si>
  <si>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</si>
  <si>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</si>
  <si>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</si>
  <si>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</si>
  <si>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</si>
  <si>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</si>
  <si>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</si>
  <si>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</si>
  <si>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</si>
  <si>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</si>
  <si>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</si>
  <si>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</si>
  <si>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</si>
  <si>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</si>
  <si>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</si>
  <si>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</si>
  <si>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</si>
  <si>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</si>
  <si>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</si>
  <si>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</si>
  <si>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</si>
  <si>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</si>
  <si>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</si>
  <si>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</si>
  <si>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</si>
  <si>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</si>
  <si>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</si>
  <si>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</si>
  <si>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</si>
  <si>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</si>
  <si>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</si>
  <si>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</si>
  <si>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</si>
  <si>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</si>
  <si>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</si>
  <si>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</si>
  <si>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</si>
  <si>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</si>
  <si>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</si>
  <si>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</si>
  <si>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</si>
  <si>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</si>
  <si>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</si>
  <si>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</si>
  <si>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</si>
  <si>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</si>
  <si>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</si>
  <si>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</si>
  <si>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</si>
  <si>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</si>
  <si>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</si>
  <si>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</si>
  <si>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</si>
  <si>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</si>
  <si>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</si>
  <si>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</si>
  <si>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</si>
  <si>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</si>
  <si>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</si>
  <si>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</si>
  <si>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</si>
  <si>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</si>
  <si>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</si>
  <si>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</si>
  <si>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</si>
  <si>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</si>
  <si>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</si>
  <si>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</si>
  <si>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</si>
  <si>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</si>
  <si>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</si>
  <si>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</si>
  <si>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</si>
  <si>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</si>
  <si>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</si>
  <si>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</si>
  <si>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</si>
  <si>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</si>
  <si>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</si>
  <si>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</si>
  <si>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</si>
  <si>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</si>
  <si>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</si>
  <si>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</si>
  <si>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</si>
  <si>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</si>
  <si>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</si>
  <si>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</si>
  <si>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</si>
  <si>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</si>
  <si>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</si>
  <si>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</si>
  <si>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</si>
  <si>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</si>
  <si>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</si>
  <si>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</si>
  <si>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</si>
  <si>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</si>
  <si>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</si>
  <si>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</si>
  <si>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</si>
  <si>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</si>
  <si>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</si>
  <si>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</si>
  <si>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</si>
  <si>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</si>
  <si>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</si>
  <si>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</si>
  <si>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</si>
  <si>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</si>
  <si>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</si>
  <si>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</si>
  <si>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</si>
  <si>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</si>
  <si>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</si>
  <si>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</si>
  <si>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</si>
  <si>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</si>
  <si>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</si>
  <si>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</si>
  <si>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</si>
  <si>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</si>
  <si>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</si>
  <si>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</si>
  <si>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</si>
  <si>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</si>
  <si>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</si>
  <si>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</si>
  <si>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</si>
  <si>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</si>
  <si>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</si>
  <si>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</si>
  <si>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</si>
  <si>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</si>
  <si>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</si>
  <si>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</si>
  <si>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</si>
  <si>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</si>
  <si>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</si>
  <si>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</si>
  <si>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</si>
  <si>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</si>
  <si>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</si>
  <si>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</si>
  <si>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</si>
  <si>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</si>
  <si>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</si>
  <si>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</si>
  <si>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</si>
  <si>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</si>
  <si>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</si>
  <si>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</si>
  <si>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</si>
  <si>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</si>
  <si>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</si>
  <si>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</si>
  <si>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</si>
  <si>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</si>
  <si>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</si>
  <si>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</si>
  <si>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</si>
  <si>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</si>
  <si>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</si>
  <si>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</si>
  <si>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</si>
  <si>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</si>
  <si>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</si>
  <si>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</si>
  <si>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</si>
  <si>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</si>
  <si>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</si>
  <si>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</si>
  <si>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</si>
  <si>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</si>
  <si>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</si>
  <si>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</si>
  <si>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</si>
  <si>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</si>
  <si>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</si>
  <si>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</si>
  <si>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</si>
  <si>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</si>
  <si>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</si>
  <si>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</si>
  <si>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</si>
  <si>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</si>
  <si>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</si>
  <si>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</si>
  <si>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</si>
  <si>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</si>
  <si>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</si>
  <si>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</si>
  <si>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</si>
  <si>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</si>
  <si>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</si>
  <si>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</si>
  <si>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</si>
  <si>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</si>
  <si>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</si>
  <si>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</si>
  <si>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</si>
  <si>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</si>
  <si>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</si>
  <si>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</si>
  <si>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</si>
  <si>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</si>
  <si>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</si>
  <si>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</si>
  <si>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</si>
  <si>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</si>
  <si>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</si>
  <si>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</si>
  <si>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</si>
  <si>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</si>
  <si>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</si>
  <si>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</si>
  <si>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</si>
  <si>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</si>
  <si>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</si>
  <si>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</si>
  <si>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</si>
  <si>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</si>
  <si>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</si>
  <si>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</si>
  <si>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</si>
  <si>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</si>
  <si>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</si>
  <si>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</si>
  <si>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</si>
  <si>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</si>
  <si>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</si>
  <si>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</si>
  <si>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</si>
  <si>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</si>
  <si>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</si>
  <si>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</si>
  <si>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</si>
  <si>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</si>
  <si>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</si>
  <si>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</si>
  <si>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</si>
  <si>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</si>
  <si>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</si>
  <si>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</si>
  <si>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</si>
  <si>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</si>
  <si>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</si>
  <si>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</si>
  <si>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</si>
  <si>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</si>
  <si>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</si>
  <si>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</si>
  <si>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</si>
  <si>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</si>
  <si>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</si>
  <si>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</si>
  <si>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</si>
  <si>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</si>
  <si>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</si>
  <si>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</si>
  <si>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</si>
  <si>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</si>
  <si>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</si>
  <si>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</si>
  <si>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</si>
  <si>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</si>
  <si>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</si>
  <si>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</si>
  <si>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</si>
  <si>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</si>
  <si>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</si>
  <si>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</si>
  <si>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</si>
  <si>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</si>
  <si>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</si>
  <si>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</si>
  <si>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</si>
  <si>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</si>
  <si>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</si>
  <si>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</si>
  <si>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</si>
  <si>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</si>
  <si>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</si>
  <si>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</si>
  <si>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</si>
  <si>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</si>
  <si>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</si>
  <si>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</si>
  <si>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</si>
  <si>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</si>
  <si>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</si>
  <si>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</si>
  <si>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</si>
  <si>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</si>
  <si>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</si>
  <si>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</si>
  <si>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</si>
  <si>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</si>
  <si>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</si>
  <si>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</si>
  <si>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</si>
  <si>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</si>
  <si>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</si>
  <si>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</si>
  <si>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</si>
  <si>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</si>
  <si>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</si>
  <si>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</si>
  <si>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</si>
  <si>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</si>
  <si>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</si>
  <si>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</si>
  <si>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</si>
  <si>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</si>
  <si>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</si>
  <si>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</si>
  <si>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</si>
  <si>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</si>
  <si>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</si>
  <si>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</si>
  <si>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</si>
  <si>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</si>
  <si>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</si>
  <si>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</si>
  <si>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</si>
  <si>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</si>
  <si>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</si>
  <si>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</si>
  <si>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</si>
  <si>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</si>
  <si>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</si>
  <si>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</si>
  <si>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</si>
  <si>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</si>
  <si>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</si>
  <si>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</si>
  <si>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</si>
  <si>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</si>
  <si>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</si>
  <si>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</si>
  <si>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</si>
  <si>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</si>
  <si>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</si>
  <si>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</si>
  <si>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</si>
  <si>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</si>
  <si>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</si>
  <si>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</si>
  <si>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</si>
  <si>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</si>
  <si>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</si>
  <si>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</si>
  <si>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</si>
  <si>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</si>
  <si>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</si>
  <si>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</si>
  <si>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</si>
  <si>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</si>
  <si>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</si>
  <si>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</si>
  <si>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</si>
  <si>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</si>
  <si>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</si>
  <si>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</si>
  <si>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</si>
  <si>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</si>
  <si>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</si>
  <si>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</si>
  <si>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</si>
  <si>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</si>
  <si>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</si>
  <si>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</si>
  <si>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</si>
  <si>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</si>
  <si>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</si>
  <si>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</si>
  <si>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</si>
  <si>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</si>
  <si>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</si>
  <si>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</si>
  <si>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</si>
  <si>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</si>
  <si>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</si>
  <si>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</si>
  <si>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</si>
  <si>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</si>
  <si>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</si>
  <si>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</si>
  <si>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</si>
  <si>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</si>
  <si>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</si>
  <si>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Note: 1.Removed media cost from Adult and Adol budget 2. Adol TV spend corrected</t>
  </si>
  <si>
    <t>Removed Agency Fees; 
Corrected Adol TV Spend; increased max spend constraint by % for Adult HCP MCM and Adult HCC Radio</t>
  </si>
  <si>
    <t>Removed Agency Fees; 
Corrected Adol TV Spend; lowered Adult spend to $74MM</t>
  </si>
  <si>
    <t>2023 Spend (MM)</t>
  </si>
  <si>
    <t>2024 Budget Breakout</t>
  </si>
  <si>
    <t>Min Budget</t>
  </si>
  <si>
    <t xml:space="preserve">Max Budget </t>
  </si>
  <si>
    <t>HCC In-office</t>
  </si>
  <si>
    <t xml:space="preserve">Gardasil Adolescents Total </t>
  </si>
  <si>
    <t xml:space="preserve">Gardasil Adults Total </t>
  </si>
  <si>
    <t>Case 1_Scenario 1</t>
  </si>
  <si>
    <t>Case 1_Scenario 2</t>
  </si>
  <si>
    <t>Case 2_Scenario 1</t>
  </si>
  <si>
    <t>Case 2_Scenario 2</t>
  </si>
  <si>
    <t>Gardasil Adolescents HCC In Office</t>
  </si>
  <si>
    <t>Gardasil Adolescents HCP MCM</t>
  </si>
  <si>
    <t>Gardasil Adolescents HCC Social</t>
  </si>
  <si>
    <t>Gardasil Adolescents HCC Online Video</t>
  </si>
  <si>
    <t>Gardasil Adolescents HCC Streaming Video</t>
  </si>
  <si>
    <t>Gardasil Adolescents HCC Display</t>
  </si>
  <si>
    <t>Gardasil Adolescents HCC Paid Search</t>
  </si>
  <si>
    <t>Gardasil Adolescents HCC Audio</t>
  </si>
  <si>
    <t>Gardasil Adolescents HCC TV</t>
  </si>
  <si>
    <t>Gardasil Adults HCC InOffice</t>
  </si>
  <si>
    <t>Gardasil Adults HCP MCM</t>
  </si>
  <si>
    <t>Gardasil Adults HCC Social</t>
  </si>
  <si>
    <t>Gardasil Adults HCC Online Video</t>
  </si>
  <si>
    <t>Gardasil Adults HCC Streaming Video</t>
  </si>
  <si>
    <t>Gardasil Adults HCC Display</t>
  </si>
  <si>
    <t>Gardasil Adults HCC Paid Search</t>
  </si>
  <si>
    <t>Gardasil Adults HCC Linear TV</t>
  </si>
  <si>
    <t>Gardasil Adults HCC Radio</t>
  </si>
  <si>
    <t>Gardasil Adults HCC Pharmacy</t>
  </si>
  <si>
    <t>Note3: GREEN cells will refresh based on dropdown selection provided at cell E8</t>
  </si>
  <si>
    <t>40M increase in total budget (Adol/Adult split: $20MM/$20MM)</t>
  </si>
  <si>
    <t>40M increase in total budget (Adol/Adult split: $24MM/$16MM)</t>
  </si>
  <si>
    <t>+$16(3.3%)</t>
  </si>
  <si>
    <t>+$9(3.3%)</t>
  </si>
  <si>
    <t>+$7(3.3%)</t>
  </si>
  <si>
    <t>+$6(3.3%)</t>
  </si>
  <si>
    <t>+$80(28%)</t>
  </si>
  <si>
    <t>+$90(32%)</t>
  </si>
  <si>
    <t>Max limit is 145M</t>
  </si>
  <si>
    <t>+$115(23%)</t>
  </si>
  <si>
    <t>+$35(16%)</t>
  </si>
  <si>
    <t>+$43(16%)</t>
  </si>
  <si>
    <t>+$28(16%)</t>
  </si>
  <si>
    <t>+$24(14%)</t>
  </si>
  <si>
    <t>+$37(14%)</t>
  </si>
  <si>
    <t>+$30(14%)</t>
  </si>
  <si>
    <t>+$120(24%)</t>
  </si>
  <si>
    <t>+$21(12%)</t>
  </si>
  <si>
    <t>Base</t>
  </si>
  <si>
    <t>v1</t>
  </si>
  <si>
    <t xml:space="preserve">Adol </t>
  </si>
  <si>
    <t>Adult</t>
  </si>
  <si>
    <t>New 1</t>
  </si>
  <si>
    <t>New 2</t>
  </si>
  <si>
    <t>20M increase in total budget (Adol/Adult split: $10MM/$10MM)</t>
  </si>
  <si>
    <t>20M increase in total budget (Adol/Adult split: $12MM/$8MM)</t>
  </si>
  <si>
    <t>+$116(23%)</t>
  </si>
  <si>
    <t>+$88(28%)</t>
  </si>
  <si>
    <t>+$74(14.8%)</t>
  </si>
  <si>
    <t>+$55(19.4%)</t>
  </si>
  <si>
    <t>+$19(8.7%)</t>
  </si>
  <si>
    <t>+$23(8.7%)</t>
  </si>
  <si>
    <t>+$15(8.7%)</t>
  </si>
  <si>
    <t>+$23(13%)</t>
  </si>
  <si>
    <t>+$35(13%)</t>
  </si>
  <si>
    <t>+$28(13%)</t>
  </si>
  <si>
    <t>+$119(24%)</t>
  </si>
  <si>
    <t>+$92(33%)</t>
  </si>
  <si>
    <t>+$2612%)</t>
  </si>
  <si>
    <t>+$33(12%)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</si>
</sst>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7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9.5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sz val="8"/>
      <color rgb="FF00000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</fills>
  <borders count="10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rgb="FF808080"/>
      </left>
      <right style="thin">
        <color rgb="FF808080"/>
      </right>
      <top style="medium">
        <color rgb="FF000000"/>
      </top>
      <bottom style="thin">
        <color rgb="FFD9D9D9"/>
      </bottom>
      <diagonal/>
    </border>
    <border>
      <left style="thin">
        <color rgb="FF808080"/>
      </left>
      <right style="thin">
        <color rgb="FF808080"/>
      </right>
      <top style="thin">
        <color rgb="FFD9D9D9"/>
      </top>
      <bottom style="thin">
        <color rgb="FFD9D9D9"/>
      </bottom>
      <diagonal/>
    </border>
    <border>
      <left style="thin">
        <color rgb="FF808080"/>
      </left>
      <right style="thin">
        <color rgb="FF808080"/>
      </right>
      <top style="thin">
        <color rgb="FFD9D9D9"/>
      </top>
      <bottom style="medium">
        <color rgb="FF000000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720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170" fontId="50" fillId="48" borderId="91" xfId="4" applyNumberFormat="1" applyFont="1" applyFill="1" applyBorder="1" applyAlignment="1">
      <alignment horizontal="center" vertical="center" wrapText="1"/>
    </xf>
    <xf numFmtId="166" fontId="50" fillId="48" borderId="93" xfId="4" applyNumberFormat="1" applyFont="1" applyFill="1" applyBorder="1" applyAlignment="1">
      <alignment horizontal="center" vertical="center" wrapText="1"/>
    </xf>
    <xf numFmtId="9" fontId="50" fillId="48" borderId="92" xfId="3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170" fontId="51" fillId="0" borderId="82" xfId="4" applyNumberFormat="1" applyFont="1" applyBorder="1" applyAlignment="1">
      <alignment horizontal="center" vertical="center"/>
    </xf>
    <xf numFmtId="9" fontId="51" fillId="0" borderId="80" xfId="3" applyFont="1" applyBorder="1" applyAlignment="1">
      <alignment horizontal="center" vertical="center"/>
    </xf>
    <xf numFmtId="170" fontId="51" fillId="0" borderId="83" xfId="4" applyNumberFormat="1" applyFont="1" applyBorder="1" applyAlignment="1">
      <alignment horizontal="center" vertical="center"/>
    </xf>
    <xf numFmtId="170" fontId="51" fillId="0" borderId="86" xfId="4" applyNumberFormat="1" applyFont="1" applyBorder="1" applyAlignment="1">
      <alignment horizontal="center" vertical="center"/>
    </xf>
    <xf numFmtId="170" fontId="51" fillId="0" borderId="87" xfId="4" applyNumberFormat="1" applyFont="1" applyBorder="1" applyAlignment="1">
      <alignment horizontal="center" vertical="center"/>
    </xf>
    <xf numFmtId="170" fontId="50" fillId="48" borderId="93" xfId="4" applyNumberFormat="1" applyFont="1" applyFill="1" applyBorder="1" applyAlignment="1">
      <alignment horizontal="center" vertical="center" wrapText="1"/>
    </xf>
    <xf numFmtId="166" fontId="51" fillId="0" borderId="83" xfId="4" applyNumberFormat="1" applyFont="1" applyBorder="1" applyAlignment="1">
      <alignment horizontal="center" vertical="center"/>
    </xf>
    <xf numFmtId="166" fontId="51" fillId="0" borderId="87" xfId="4" applyNumberFormat="1" applyFont="1" applyBorder="1" applyAlignment="1">
      <alignment horizontal="center" vertical="center"/>
    </xf>
    <xf numFmtId="6" fontId="52" fillId="0" borderId="2" xfId="0" applyNumberFormat="1" applyFont="1" applyBorder="1" applyAlignment="1">
      <alignment horizontal="center" vertical="center" readingOrder="1"/>
    </xf>
    <xf numFmtId="0" fontId="52" fillId="0" borderId="2" xfId="0" applyFont="1" applyBorder="1" applyAlignment="1">
      <alignment horizontal="left" vertical="center" readingOrder="1"/>
    </xf>
    <xf numFmtId="0" fontId="45" fillId="0" borderId="2" xfId="0" applyFont="1" applyFill="1" applyBorder="1" applyAlignment="1">
      <alignment horizontal="left"/>
    </xf>
    <xf numFmtId="0" fontId="45" fillId="0" borderId="2" xfId="0" applyFont="1" applyBorder="1" applyAlignment="1">
      <alignment horizontal="left"/>
    </xf>
    <xf numFmtId="0" fontId="42" fillId="0" borderId="2" xfId="0" applyFont="1" applyBorder="1"/>
    <xf numFmtId="0" fontId="53" fillId="7" borderId="2" xfId="0" applyFont="1" applyFill="1" applyBorder="1" applyAlignment="1">
      <alignment horizontal="left" vertical="center" wrapText="1" readingOrder="1"/>
    </xf>
    <xf numFmtId="0" fontId="53" fillId="7" borderId="2" xfId="0" applyFont="1" applyFill="1" applyBorder="1" applyAlignment="1">
      <alignment horizontal="center" vertical="center" readingOrder="1"/>
    </xf>
    <xf numFmtId="6" fontId="53" fillId="7" borderId="2" xfId="0" applyNumberFormat="1" applyFont="1" applyFill="1" applyBorder="1" applyAlignment="1">
      <alignment horizontal="center" vertical="center" readingOrder="1"/>
    </xf>
    <xf numFmtId="6" fontId="54" fillId="49" borderId="2" xfId="0" applyNumberFormat="1" applyFont="1" applyFill="1" applyBorder="1" applyAlignment="1">
      <alignment horizontal="center" vertical="center" readingOrder="1"/>
    </xf>
    <xf numFmtId="0" fontId="55" fillId="0" borderId="2" xfId="0" applyFont="1" applyBorder="1" applyAlignment="1">
      <alignment horizontal="left" vertical="center" readingOrder="1"/>
    </xf>
    <xf numFmtId="6" fontId="55" fillId="0" borderId="2" xfId="0" applyNumberFormat="1" applyFont="1" applyBorder="1" applyAlignment="1">
      <alignment horizontal="center" vertical="center" readingOrder="1"/>
    </xf>
    <xf numFmtId="0" fontId="45" fillId="0" borderId="2" xfId="0" applyFont="1" applyBorder="1"/>
    <xf numFmtId="166" fontId="1" fillId="2" borderId="49" xfId="4" applyNumberFormat="1" applyFont="1" applyFill="1" applyBorder="1" applyAlignment="1">
      <alignment horizontal="center"/>
    </xf>
    <xf numFmtId="166" fontId="1" fillId="2" borderId="66" xfId="4" applyNumberFormat="1" applyFont="1" applyFill="1" applyBorder="1" applyAlignment="1">
      <alignment horizontal="center"/>
    </xf>
    <xf numFmtId="166" fontId="1" fillId="2" borderId="27" xfId="4" applyNumberFormat="1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9" fontId="2" fillId="3" borderId="12" xfId="3" applyFont="1" applyFill="1" applyBorder="1" applyAlignment="1">
      <alignment horizontal="center" vertical="center" wrapText="1"/>
    </xf>
    <xf numFmtId="9" fontId="2" fillId="3" borderId="37" xfId="3" applyFont="1" applyFill="1" applyBorder="1" applyAlignment="1">
      <alignment horizontal="center" vertical="center" wrapText="1"/>
    </xf>
    <xf numFmtId="9" fontId="2" fillId="3" borderId="32" xfId="3" applyFont="1" applyFill="1" applyBorder="1" applyAlignment="1">
      <alignment horizontal="center" vertical="center" wrapText="1"/>
    </xf>
    <xf numFmtId="0" fontId="2" fillId="3" borderId="0" xfId="0" applyFont="1" applyFill="1" applyBorder="1"/>
    <xf numFmtId="166" fontId="1" fillId="2" borderId="47" xfId="4" applyNumberFormat="1" applyFont="1" applyFill="1" applyBorder="1" applyAlignment="1">
      <alignment horizontal="center"/>
    </xf>
    <xf numFmtId="166" fontId="1" fillId="2" borderId="40" xfId="4" applyNumberFormat="1" applyFont="1" applyFill="1" applyBorder="1" applyAlignment="1">
      <alignment horizontal="center"/>
    </xf>
    <xf numFmtId="166" fontId="1" fillId="2" borderId="25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2" fillId="8" borderId="66" xfId="2" applyNumberFormat="1" applyFont="1" applyFill="1" applyBorder="1" applyAlignment="1">
      <alignment horizontal="center"/>
    </xf>
    <xf numFmtId="166" fontId="12" fillId="8" borderId="27" xfId="2" applyNumberFormat="1" applyFont="1" applyFill="1" applyBorder="1" applyAlignment="1">
      <alignment horizontal="center"/>
    </xf>
    <xf numFmtId="166" fontId="1" fillId="6" borderId="32" xfId="4" applyNumberFormat="1" applyFont="1" applyFill="1" applyBorder="1" applyAlignment="1">
      <alignment horizontal="center"/>
    </xf>
    <xf numFmtId="166" fontId="1" fillId="6" borderId="37" xfId="4" applyNumberFormat="1" applyFont="1" applyFill="1" applyBorder="1" applyAlignment="1">
      <alignment horizontal="center"/>
    </xf>
    <xf numFmtId="5" fontId="1" fillId="7" borderId="2" xfId="4" applyNumberFormat="1" applyFont="1" applyFill="1" applyBorder="1" applyAlignment="1">
      <alignment horizontal="center"/>
    </xf>
    <xf numFmtId="166" fontId="1" fillId="7" borderId="12" xfId="4" applyNumberFormat="1" applyFont="1" applyFill="1" applyBorder="1" applyAlignment="1">
      <alignment horizontal="center"/>
    </xf>
    <xf numFmtId="166" fontId="1" fillId="7" borderId="37" xfId="4" applyNumberFormat="1" applyFont="1" applyFill="1" applyBorder="1" applyAlignment="1">
      <alignment horizontal="center"/>
    </xf>
    <xf numFmtId="166" fontId="1" fillId="7" borderId="32" xfId="4" applyNumberFormat="1" applyFont="1" applyFill="1" applyBorder="1" applyAlignment="1">
      <alignment horizontal="center"/>
    </xf>
    <xf numFmtId="0" fontId="25" fillId="49" borderId="32" xfId="0" applyFont="1" applyFill="1" applyBorder="1" applyAlignment="1">
      <alignment horizontal="center"/>
    </xf>
    <xf numFmtId="0" fontId="1" fillId="43" borderId="0" xfId="0" applyFont="1" applyFill="1" applyAlignment="1">
      <alignment horizontal="center"/>
    </xf>
    <xf numFmtId="166" fontId="0" fillId="0" borderId="0" xfId="3" applyNumberFormat="1" applyFont="1"/>
    <xf numFmtId="8" fontId="56" fillId="0" borderId="106" xfId="0" applyNumberFormat="1" applyFont="1" applyBorder="1" applyAlignment="1">
      <alignment horizontal="center" vertical="center" wrapText="1" readingOrder="1"/>
    </xf>
    <xf numFmtId="8" fontId="56" fillId="0" borderId="107" xfId="0" applyNumberFormat="1" applyFont="1" applyBorder="1" applyAlignment="1">
      <alignment horizontal="center" vertical="center" wrapText="1" readingOrder="1"/>
    </xf>
    <xf numFmtId="8" fontId="56" fillId="0" borderId="108" xfId="0" applyNumberFormat="1" applyFont="1" applyBorder="1" applyAlignment="1">
      <alignment horizontal="center" vertical="center" wrapText="1" readingOrder="1"/>
    </xf>
    <xf numFmtId="6" fontId="55" fillId="43" borderId="2" xfId="0" applyNumberFormat="1" applyFont="1" applyFill="1" applyBorder="1" applyAlignment="1">
      <alignment horizontal="center" vertical="center" readingOrder="1"/>
    </xf>
    <xf numFmtId="8" fontId="56" fillId="43" borderId="107" xfId="0" applyNumberFormat="1" applyFont="1" applyFill="1" applyBorder="1" applyAlignment="1">
      <alignment horizontal="center" vertical="center" wrapText="1" readingOrder="1"/>
    </xf>
    <xf numFmtId="6" fontId="52" fillId="43" borderId="2" xfId="0" applyNumberFormat="1" applyFont="1" applyFill="1" applyBorder="1" applyAlignment="1">
      <alignment horizontal="center" vertical="center" readingOrder="1"/>
    </xf>
    <xf numFmtId="6" fontId="0" fillId="0" borderId="0" xfId="0" applyNumberFormat="1"/>
    <xf numFmtId="175" fontId="55" fillId="43" borderId="2" xfId="0" applyNumberFormat="1" applyFont="1" applyFill="1" applyBorder="1" applyAlignment="1">
      <alignment horizontal="center" vertical="center" readingOrder="1"/>
    </xf>
    <xf numFmtId="175" fontId="52" fillId="43" borderId="2" xfId="0" applyNumberFormat="1" applyFont="1" applyFill="1" applyBorder="1" applyAlignment="1">
      <alignment horizontal="center" vertical="center" readingOrder="1"/>
    </xf>
    <xf numFmtId="175" fontId="55" fillId="0" borderId="2" xfId="0" applyNumberFormat="1" applyFont="1" applyBorder="1" applyAlignment="1">
      <alignment horizontal="center" vertical="center" readingOrder="1"/>
    </xf>
    <xf numFmtId="175" fontId="53" fillId="7" borderId="2" xfId="0" applyNumberFormat="1" applyFont="1" applyFill="1" applyBorder="1" applyAlignment="1">
      <alignment horizontal="center" vertical="center" readingOrder="1"/>
    </xf>
    <xf numFmtId="175" fontId="54" fillId="49" borderId="2" xfId="0" applyNumberFormat="1" applyFont="1" applyFill="1" applyBorder="1" applyAlignment="1">
      <alignment horizontal="center" vertical="center" readingOrder="1"/>
    </xf>
    <xf numFmtId="166" fontId="0" fillId="0" borderId="104" xfId="0" applyNumberFormat="1" applyBorder="1" applyAlignment="1">
      <alignment horizontal="left" vertical="center" indent="1"/>
    </xf>
    <xf numFmtId="0" fontId="0" fillId="0" borderId="2" xfId="0" applyBorder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53" fillId="7" borderId="2" xfId="0" applyFont="1" applyFill="1" applyBorder="1" applyAlignment="1">
      <alignment horizontal="center" vertical="center" readingOrder="1"/>
    </xf>
    <xf numFmtId="0" fontId="54" fillId="49" borderId="2" xfId="0" applyFont="1" applyFill="1" applyBorder="1" applyAlignment="1">
      <alignment horizontal="center" vertical="center" readingOrder="1"/>
    </xf>
    <xf numFmtId="0" fontId="49" fillId="47" borderId="75" xfId="0" applyFont="1" applyFill="1" applyBorder="1" applyAlignment="1">
      <alignment horizontal="center" vertical="center" wrapText="1"/>
    </xf>
    <xf numFmtId="0" fontId="49" fillId="47" borderId="76" xfId="0" applyFont="1" applyFill="1" applyBorder="1" applyAlignment="1">
      <alignment horizontal="center" vertical="center" wrapText="1"/>
    </xf>
    <xf numFmtId="0" fontId="49" fillId="47" borderId="77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1" fillId="7" borderId="2" xfId="0" applyFont="1" applyFill="1" applyBorder="1" applyAlignment="1"/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11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externalLink" Target="externalLinks/externalLink23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externalLink" Target="externalLinks/externalLink2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73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71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46216291.200000003</c:v>
                </c:pt>
                <c:pt idx="1">
                  <c:v>42364933.600000001</c:v>
                </c:pt>
                <c:pt idx="2">
                  <c:v>38513576</c:v>
                </c:pt>
                <c:pt idx="3">
                  <c:v>34662218.399999999</c:v>
                </c:pt>
                <c:pt idx="4">
                  <c:v>30810860.800000001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38513576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314816106.27130663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3731.9067859649658</c:v>
                </c:pt>
                <c:pt idx="2">
                  <c:v>7173.3086972367018</c:v>
                </c:pt>
                <c:pt idx="3">
                  <c:v>10346.61325889267</c:v>
                </c:pt>
                <c:pt idx="4">
                  <c:v>13272.530711770058</c:v>
                </c:pt>
                <c:pt idx="5">
                  <c:v>15970.197880234569</c:v>
                </c:pt>
                <c:pt idx="6">
                  <c:v>18457.293716503307</c:v>
                </c:pt>
                <c:pt idx="7">
                  <c:v>20750.14696871303</c:v>
                </c:pt>
                <c:pt idx="8">
                  <c:v>22863.836414532736</c:v>
                </c:pt>
                <c:pt idx="9">
                  <c:v>24812.284093238413</c:v>
                </c:pt>
                <c:pt idx="10">
                  <c:v>26608.341957086697</c:v>
                </c:pt>
                <c:pt idx="11">
                  <c:v>28263.872348684818</c:v>
                </c:pt>
                <c:pt idx="12">
                  <c:v>29789.822695303708</c:v>
                </c:pt>
                <c:pt idx="13">
                  <c:v>31196.294794134796</c:v>
                </c:pt>
                <c:pt idx="14">
                  <c:v>32492.609044991434</c:v>
                </c:pt>
                <c:pt idx="15">
                  <c:v>33687.363969050348</c:v>
                </c:pt>
                <c:pt idx="16">
                  <c:v>34788.491334240884</c:v>
                </c:pt>
                <c:pt idx="17">
                  <c:v>35803.30719011277</c:v>
                </c:pt>
                <c:pt idx="18">
                  <c:v>36738.559097478166</c:v>
                </c:pt>
                <c:pt idx="19">
                  <c:v>37600.469821108505</c:v>
                </c:pt>
                <c:pt idx="20">
                  <c:v>38394.777737218887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0</c:v>
                </c:pt>
                <c:pt idx="1">
                  <c:v>42478.279100324027</c:v>
                </c:pt>
                <c:pt idx="2">
                  <c:v>81786.680957001634</c:v>
                </c:pt>
                <c:pt idx="3">
                  <c:v>118133.70671503525</c:v>
                </c:pt>
                <c:pt idx="4">
                  <c:v>151718.49508867692</c:v>
                </c:pt>
                <c:pt idx="5">
                  <c:v>182730.52052740846</c:v>
                </c:pt>
                <c:pt idx="6">
                  <c:v>211349.44737824891</c:v>
                </c:pt>
                <c:pt idx="7">
                  <c:v>237745.11462636944</c:v>
                </c:pt>
                <c:pt idx="8">
                  <c:v>262077.62828300614</c:v>
                </c:pt>
                <c:pt idx="9">
                  <c:v>284497.54099202063</c:v>
                </c:pt>
                <c:pt idx="10">
                  <c:v>305146.10086527932</c:v>
                </c:pt>
                <c:pt idx="11">
                  <c:v>324155.55387717579</c:v>
                </c:pt>
                <c:pt idx="12">
                  <c:v>341649.48631275166</c:v>
                </c:pt>
                <c:pt idx="13">
                  <c:v>357743.19575030077</c:v>
                </c:pt>
                <c:pt idx="14">
                  <c:v>372544.08085737284</c:v>
                </c:pt>
                <c:pt idx="15">
                  <c:v>386152.04188722838</c:v>
                </c:pt>
                <c:pt idx="16">
                  <c:v>398659.88518549781</c:v>
                </c:pt>
                <c:pt idx="17">
                  <c:v>410153.72626318131</c:v>
                </c:pt>
                <c:pt idx="18">
                  <c:v>420713.38707400579</c:v>
                </c:pt>
                <c:pt idx="19">
                  <c:v>430412.78406519908</c:v>
                </c:pt>
                <c:pt idx="20">
                  <c:v>439320.30436495412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48271.733973999202</c:v>
                </c:pt>
                <c:pt idx="2">
                  <c:v>78417.663193303131</c:v>
                </c:pt>
                <c:pt idx="3">
                  <c:v>104154.43748680397</c:v>
                </c:pt>
                <c:pt idx="4">
                  <c:v>127389.86969083325</c:v>
                </c:pt>
                <c:pt idx="5">
                  <c:v>148926.47237084722</c:v>
                </c:pt>
                <c:pt idx="6">
                  <c:v>169199.3828795845</c:v>
                </c:pt>
                <c:pt idx="7">
                  <c:v>188478.37442309246</c:v>
                </c:pt>
                <c:pt idx="8">
                  <c:v>206945.45385577576</c:v>
                </c:pt>
                <c:pt idx="9">
                  <c:v>224730.83013831108</c:v>
                </c:pt>
                <c:pt idx="10">
                  <c:v>241931.76812820273</c:v>
                </c:pt>
                <c:pt idx="11">
                  <c:v>258623.37747335967</c:v>
                </c:pt>
                <c:pt idx="12">
                  <c:v>274865.20841187745</c:v>
                </c:pt>
                <c:pt idx="13">
                  <c:v>290705.49837514106</c:v>
                </c:pt>
                <c:pt idx="14">
                  <c:v>306184.02257296932</c:v>
                </c:pt>
                <c:pt idx="15">
                  <c:v>321334.0744095621</c:v>
                </c:pt>
                <c:pt idx="16">
                  <c:v>336183.88161876524</c:v>
                </c:pt>
                <c:pt idx="17">
                  <c:v>350757.6440758456</c:v>
                </c:pt>
                <c:pt idx="18">
                  <c:v>365076.31062993861</c:v>
                </c:pt>
                <c:pt idx="19">
                  <c:v>379158.17141193023</c:v>
                </c:pt>
                <c:pt idx="20">
                  <c:v>393019.31683366757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27809.313623655144</c:v>
                </c:pt>
                <c:pt idx="2">
                  <c:v>42151.037362657407</c:v>
                </c:pt>
                <c:pt idx="3">
                  <c:v>53760.465779126374</c:v>
                </c:pt>
                <c:pt idx="4">
                  <c:v>63889.025626178591</c:v>
                </c:pt>
                <c:pt idx="5">
                  <c:v>73041.935453914717</c:v>
                </c:pt>
                <c:pt idx="6">
                  <c:v>81485.628604737183</c:v>
                </c:pt>
                <c:pt idx="7">
                  <c:v>89381.79950124168</c:v>
                </c:pt>
                <c:pt idx="8">
                  <c:v>96837.654559806251</c:v>
                </c:pt>
                <c:pt idx="9">
                  <c:v>103928.76717137558</c:v>
                </c:pt>
                <c:pt idx="10">
                  <c:v>110710.87161748171</c:v>
                </c:pt>
                <c:pt idx="11">
                  <c:v>117226.52226162794</c:v>
                </c:pt>
                <c:pt idx="12">
                  <c:v>123509.11720871372</c:v>
                </c:pt>
                <c:pt idx="13">
                  <c:v>129585.46197403218</c:v>
                </c:pt>
                <c:pt idx="14">
                  <c:v>135477.47424854283</c:v>
                </c:pt>
                <c:pt idx="15">
                  <c:v>141203.35814657266</c:v>
                </c:pt>
                <c:pt idx="16">
                  <c:v>146778.43727830952</c:v>
                </c:pt>
                <c:pt idx="17">
                  <c:v>152215.76082598412</c:v>
                </c:pt>
                <c:pt idx="18">
                  <c:v>157526.55413865595</c:v>
                </c:pt>
                <c:pt idx="19">
                  <c:v>162720.56011938638</c:v>
                </c:pt>
                <c:pt idx="20">
                  <c:v>167806.30220342285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8692.1604829449207</c:v>
                </c:pt>
                <c:pt idx="1">
                  <c:v>14431.218060018495</c:v>
                </c:pt>
                <c:pt idx="2">
                  <c:v>18218.316824443638</c:v>
                </c:pt>
                <c:pt idx="3">
                  <c:v>20716.416763242334</c:v>
                </c:pt>
                <c:pt idx="4">
                  <c:v>22363.841350227594</c:v>
                </c:pt>
                <c:pt idx="5">
                  <c:v>23450.092926036566</c:v>
                </c:pt>
                <c:pt idx="6">
                  <c:v>24166.25047290884</c:v>
                </c:pt>
                <c:pt idx="7">
                  <c:v>24638.374303095043</c:v>
                </c:pt>
                <c:pt idx="8">
                  <c:v>24949.605385137722</c:v>
                </c:pt>
                <c:pt idx="9">
                  <c:v>25154.767239624634</c:v>
                </c:pt>
                <c:pt idx="10">
                  <c:v>25290.006081964821</c:v>
                </c:pt>
                <c:pt idx="11">
                  <c:v>25379.151793489233</c:v>
                </c:pt>
                <c:pt idx="12">
                  <c:v>25437.913666764274</c:v>
                </c:pt>
                <c:pt idx="13">
                  <c:v>25476.647304031998</c:v>
                </c:pt>
                <c:pt idx="14">
                  <c:v>25502.178976472467</c:v>
                </c:pt>
                <c:pt idx="15">
                  <c:v>25519.008396456018</c:v>
                </c:pt>
                <c:pt idx="16">
                  <c:v>25530.101633908227</c:v>
                </c:pt>
                <c:pt idx="17">
                  <c:v>25537.413815911859</c:v>
                </c:pt>
                <c:pt idx="18">
                  <c:v>25542.233686318621</c:v>
                </c:pt>
                <c:pt idx="19">
                  <c:v>25545.410732466727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21985.276569871232</c:v>
                </c:pt>
                <c:pt idx="2">
                  <c:v>42709.79508748278</c:v>
                </c:pt>
                <c:pt idx="3">
                  <c:v>62240.00377715379</c:v>
                </c:pt>
                <c:pt idx="4">
                  <c:v>80639.533871328458</c:v>
                </c:pt>
                <c:pt idx="5">
                  <c:v>97969.235639577731</c:v>
                </c:pt>
                <c:pt idx="6">
                  <c:v>114287.22590771317</c:v>
                </c:pt>
                <c:pt idx="7">
                  <c:v>129648.94516971894</c:v>
                </c:pt>
                <c:pt idx="8">
                  <c:v>144107.22258472815</c:v>
                </c:pt>
                <c:pt idx="9">
                  <c:v>157712.3473305162</c:v>
                </c:pt>
                <c:pt idx="10">
                  <c:v>170512.14495293051</c:v>
                </c:pt>
                <c:pt idx="11">
                  <c:v>182552.05750729702</c:v>
                </c:pt>
                <c:pt idx="12">
                  <c:v>193875.22643239424</c:v>
                </c:pt>
                <c:pt idx="13">
                  <c:v>204522.57723056339</c:v>
                </c:pt>
                <c:pt idx="14">
                  <c:v>214532.90514905192</c:v>
                </c:pt>
                <c:pt idx="15">
                  <c:v>223942.9611679893</c:v>
                </c:pt>
                <c:pt idx="16">
                  <c:v>232787.53770033456</c:v>
                </c:pt>
                <c:pt idx="17">
                  <c:v>241099.55349885672</c:v>
                </c:pt>
                <c:pt idx="18">
                  <c:v>248910.1373458188</c:v>
                </c:pt>
                <c:pt idx="19">
                  <c:v>256248.71017263271</c:v>
                </c:pt>
                <c:pt idx="20">
                  <c:v>263143.06532056816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VAC_Optim_Scenario!$D$51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VAC_Optim_Scenario!$F$51</c:f>
              <c:numCache>
                <c:formatCode>#,##0</c:formatCode>
                <c:ptCount val="1"/>
                <c:pt idx="0">
                  <c:v>15970.197880234569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VAC_Optim_Scenario!$H$51</c:f>
              <c:numCache>
                <c:formatCode>_("$"* #,##0_);_("$"* \(#,##0\);_("$"* "-"??_);_(@_)</c:formatCode>
                <c:ptCount val="1"/>
                <c:pt idx="0">
                  <c:v>1486235.6790270803</c:v>
                </c:pt>
              </c:numCache>
            </c:numRef>
          </c:xVal>
          <c:yVal>
            <c:numRef>
              <c:f>VAC_Optim_Scenario!$I$51</c:f>
              <c:numCache>
                <c:formatCode>#,##0</c:formatCode>
                <c:ptCount val="1"/>
                <c:pt idx="0">
                  <c:v>21682.655350137502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357119.23109534662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14043651.326912649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464534.44678145926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VAC_Optim_Scenario!$F$59</c:f>
              <c:numCache>
                <c:formatCode>#,##0</c:formatCode>
                <c:ptCount val="1"/>
                <c:pt idx="0">
                  <c:v>283782.52397067065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VAC_Optim_Scenario!$I$59</c:f>
              <c:numCache>
                <c:formatCode>#,##0</c:formatCode>
                <c:ptCount val="1"/>
                <c:pt idx="0">
                  <c:v>283782.52397067065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VAC_Optim_Scenario!$D$58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VAC_Optim_Scenario!$F$58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VAC_Optim_Scenario!$H$58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VAC_Optim_Scenario!$I$58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25360.023928385228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25088.44528472051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246617.82982174121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7000000.0000000009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328013.92063754238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27798.946113571747</c:v>
                </c:pt>
                <c:pt idx="2">
                  <c:v>45159.521193853026</c:v>
                </c:pt>
                <c:pt idx="3">
                  <c:v>59980.932044922869</c:v>
                </c:pt>
                <c:pt idx="4">
                  <c:v>73361.858616014637</c:v>
                </c:pt>
                <c:pt idx="5">
                  <c:v>85764.455500012875</c:v>
                </c:pt>
                <c:pt idx="6">
                  <c:v>97439.311578338224</c:v>
                </c:pt>
                <c:pt idx="7">
                  <c:v>108541.78507412472</c:v>
                </c:pt>
                <c:pt idx="8">
                  <c:v>119176.69092401047</c:v>
                </c:pt>
                <c:pt idx="9">
                  <c:v>129419.01445757369</c:v>
                </c:pt>
                <c:pt idx="10">
                  <c:v>139324.76900414636</c:v>
                </c:pt>
                <c:pt idx="11">
                  <c:v>148937.20905000714</c:v>
                </c:pt>
                <c:pt idx="12">
                  <c:v>158290.6286576142</c:v>
                </c:pt>
                <c:pt idx="13">
                  <c:v>167412.80701875</c:v>
                </c:pt>
                <c:pt idx="14">
                  <c:v>176326.6500624826</c:v>
                </c:pt>
                <c:pt idx="15">
                  <c:v>185051.33094612582</c:v>
                </c:pt>
                <c:pt idx="16">
                  <c:v>193603.10558566789</c:v>
                </c:pt>
                <c:pt idx="17">
                  <c:v>201995.91031554542</c:v>
                </c:pt>
                <c:pt idx="18">
                  <c:v>210241.80925445305</c:v>
                </c:pt>
                <c:pt idx="19">
                  <c:v>218351.33540630538</c:v>
                </c:pt>
                <c:pt idx="20">
                  <c:v>226333.75499079371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92112.158316140369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6500000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196414.83149294381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VAC_Optim_Scenario!$E$25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VAC_Optim_Scenario!$F$25</c:f>
              <c:numCache>
                <c:formatCode>#,##0</c:formatCode>
                <c:ptCount val="1"/>
                <c:pt idx="0">
                  <c:v>135751.09442288097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VAC_Optim_Scenario!$I$25</c:f>
              <c:numCache>
                <c:formatCode>"$"#,##0</c:formatCode>
                <c:ptCount val="1"/>
                <c:pt idx="0">
                  <c:v>12070113</c:v>
                </c:pt>
              </c:numCache>
            </c:numRef>
          </c:xVal>
          <c:yVal>
            <c:numRef>
              <c:f>VAC_Optim_Scenario!$J$25</c:f>
              <c:numCache>
                <c:formatCode>#,##0</c:formatCode>
                <c:ptCount val="1"/>
                <c:pt idx="0">
                  <c:v>258194.66470272883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1.4862356790270803</c:v>
                </c:pt>
                <c:pt idx="1">
                  <c:v>1.4862356790270803</c:v>
                </c:pt>
                <c:pt idx="2">
                  <c:v>1.4862356790270803</c:v>
                </c:pt>
                <c:pt idx="3">
                  <c:v>1.4862356790270803</c:v>
                </c:pt>
                <c:pt idx="4">
                  <c:v>1.4862356790270803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14.043651326912649</c:v>
                </c:pt>
                <c:pt idx="1">
                  <c:v>14.043651326912649</c:v>
                </c:pt>
                <c:pt idx="2">
                  <c:v>14.043651326912649</c:v>
                </c:pt>
                <c:pt idx="3">
                  <c:v>14.043651326912649</c:v>
                </c:pt>
                <c:pt idx="4">
                  <c:v>14.043651326912649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6.5</c:v>
                </c:pt>
                <c:pt idx="1">
                  <c:v>6.5</c:v>
                </c:pt>
                <c:pt idx="2">
                  <c:v>6.5</c:v>
                </c:pt>
                <c:pt idx="3">
                  <c:v>6.5</c:v>
                </c:pt>
                <c:pt idx="4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12.070112999999999</c:v>
                </c:pt>
                <c:pt idx="1">
                  <c:v>12.070112999999999</c:v>
                </c:pt>
                <c:pt idx="2">
                  <c:v>12.070112999999999</c:v>
                </c:pt>
                <c:pt idx="3">
                  <c:v>12.070112999999999</c:v>
                </c:pt>
                <c:pt idx="4">
                  <c:v>12.070112999999999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7.0000000000000009</c:v>
                </c:pt>
                <c:pt idx="1">
                  <c:v>7.0000000000000009</c:v>
                </c:pt>
                <c:pt idx="2">
                  <c:v>7.0000000000000009</c:v>
                </c:pt>
                <c:pt idx="3">
                  <c:v>7.0000000000000009</c:v>
                </c:pt>
                <c:pt idx="4">
                  <c:v>7.0000000000000009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55.324055126180419</c:v>
                </c:pt>
                <c:pt idx="1">
                  <c:v>62.616631772461922</c:v>
                </c:pt>
                <c:pt idx="2">
                  <c:v>35.489938556163537</c:v>
                </c:pt>
                <c:pt idx="3">
                  <c:v>19.975647445854992</c:v>
                </c:pt>
                <c:pt idx="4">
                  <c:v>48.107210129027749</c:v>
                </c:pt>
                <c:pt idx="5">
                  <c:v>24.233129140920326</c:v>
                </c:pt>
                <c:pt idx="6">
                  <c:v>21.773618788745541</c:v>
                </c:pt>
                <c:pt idx="7">
                  <c:v>14.35419329802213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231.29294086026042</c:v>
                </c:pt>
                <c:pt idx="1">
                  <c:v>150.45138221551071</c:v>
                </c:pt>
                <c:pt idx="2">
                  <c:v>67.798152341648318</c:v>
                </c:pt>
                <c:pt idx="3">
                  <c:v>142.77868187352351</c:v>
                </c:pt>
                <c:pt idx="4">
                  <c:v>37.532014496066509</c:v>
                </c:pt>
                <c:pt idx="5">
                  <c:v>31.759753933077263</c:v>
                </c:pt>
                <c:pt idx="6">
                  <c:v>34.23178291582137</c:v>
                </c:pt>
                <c:pt idx="7">
                  <c:v>34.157311188915919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584315376.29753828</c:v>
                </c:pt>
                <c:pt idx="1">
                  <c:v>579638942.31260693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214838478</c:v>
                </c:pt>
                <c:pt idx="1">
                  <c:v>161128858.5</c:v>
                </c:pt>
                <c:pt idx="2">
                  <c:v>107419239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107419239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584941216.64174139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203200</xdr:colOff>
      <xdr:row>1</xdr:row>
      <xdr:rowOff>76200</xdr:rowOff>
    </xdr:from>
    <xdr:to>
      <xdr:col>7</xdr:col>
      <xdr:colOff>666180</xdr:colOff>
      <xdr:row>2</xdr:row>
      <xdr:rowOff>163503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FC80703-4F6D-7BB5-FABE-6054D0A81FD7}"/>
            </a:ext>
          </a:extLst>
        </xdr:cNvPr>
        <xdr:cNvSpPr/>
      </xdr:nvSpPr>
      <xdr:spPr>
        <a:xfrm>
          <a:off x="5270500" y="266700"/>
          <a:ext cx="2342580" cy="277803"/>
        </a:xfrm>
        <a:prstGeom prst="rect">
          <a:avLst/>
        </a:prstGeom>
        <a:solidFill>
          <a:srgbClr val="0C23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/>
            <a:t>Recommendation v1.2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In%20Office_updated.xlsx" TargetMode="External"/><Relationship Id="rId1" Type="http://schemas.openxmlformats.org/officeDocument/2006/relationships/externalLinkPath" Target="/Marketing%20Mix%20PI/InvOpt/P12%202024%20AB/Products/G9/Ad%20Hoc/Response%20Curves/Adol/2023%20GARDASIL%20In%20Office_updated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In%20Office_updated.xlsx" TargetMode="External"/><Relationship Id="rId1" Type="http://schemas.openxmlformats.org/officeDocument/2006/relationships/externalLinkPath" Target="/Marketing%20Mix%20PI/InvOpt/P12%202024%20AB/Products/G9/Ad%20Hoc/Response%20Curves/Adult/2023%20GARDASIL%20ADULT%20In%20Office_updated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MCM_updated.xlsx" TargetMode="External"/><Relationship Id="rId1" Type="http://schemas.openxmlformats.org/officeDocument/2006/relationships/externalLinkPath" Target="/Marketing%20Mix%20PI/InvOpt/P12%202024%20AB/Products/G9/Ad%20Hoc/Response%20Curves/Adol/2023%20GARDASIL%20ADOL%20MCM_updated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MCM_updated.xlsx" TargetMode="External"/><Relationship Id="rId1" Type="http://schemas.openxmlformats.org/officeDocument/2006/relationships/externalLinkPath" Target="/Marketing%20Mix%20PI/InvOpt/P12%202024%20AB/Products/G9/Ad%20Hoc/Response%20Curves/Adult/2023%20GARDASIL%20ADULT%20MCM_updated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HCC%20Social.xlsm" TargetMode="External"/><Relationship Id="rId1" Type="http://schemas.openxmlformats.org/officeDocument/2006/relationships/externalLinkPath" Target="/Marketing%20Mix%20PI/InvOpt/P12%202024%20AB/Products/G9/Ad%20Hoc/Response%20Curves/Adol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HCC%20Social.xlsm" TargetMode="External"/><Relationship Id="rId1" Type="http://schemas.openxmlformats.org/officeDocument/2006/relationships/externalLinkPath" Target="/Marketing%20Mix%20PI/InvOpt/P12%202024%20AB/Products/G9/Ad%20Hoc/Response%20Curves/Adult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HCC%20Online%20Video.xlsx" TargetMode="External"/><Relationship Id="rId1" Type="http://schemas.openxmlformats.org/officeDocument/2006/relationships/externalLinkPath" Target="/Marketing%20Mix%20PI/InvOpt/P12%202024%20AB/Products/G9/Ad%20Hoc/Response%20Curves/Adol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HCC%20Online%20Video.xlsx" TargetMode="External"/><Relationship Id="rId1" Type="http://schemas.openxmlformats.org/officeDocument/2006/relationships/externalLinkPath" Target="/Marketing%20Mix%20PI/InvOpt/P12%202024%20AB/Products/G9/Ad%20Hoc/Response%20Curves/Adult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Streaming%20Video.xlsm" TargetMode="External"/><Relationship Id="rId1" Type="http://schemas.openxmlformats.org/officeDocument/2006/relationships/externalLinkPath" Target="/Marketing%20Mix%20PI/InvOpt/P12%202024%20AB/Products/G9/Ad%20Hoc/Response%20Curves/Adol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Streaming%20Video.xlsm" TargetMode="External"/><Relationship Id="rId1" Type="http://schemas.openxmlformats.org/officeDocument/2006/relationships/externalLinkPath" Target="/Marketing%20Mix%20PI/InvOpt/P12%202024%20AB/Products/G9/Ad%20Hoc/Response%20Curves/Adult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HCC%20Display.xlsx" TargetMode="External"/><Relationship Id="rId1" Type="http://schemas.openxmlformats.org/officeDocument/2006/relationships/externalLinkPath" Target="/Marketing%20Mix%20PI/InvOpt/P12%202024%20AB/Products/G9/Ad%20Hoc/Response%20Curves/Adol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HCC%20Display.xlsm" TargetMode="External"/><Relationship Id="rId1" Type="http://schemas.openxmlformats.org/officeDocument/2006/relationships/externalLinkPath" Target="/Marketing%20Mix%20PI/InvOpt/P12%202024%20AB/Products/G9/Ad%20Hoc/Response%20Curves/Adult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HCC%20Paid%20Search.xlsm" TargetMode="External"/><Relationship Id="rId1" Type="http://schemas.openxmlformats.org/officeDocument/2006/relationships/externalLinkPath" Target="/Marketing%20Mix%20PI/InvOpt/P12%202024%20AB/Products/G9/Ad%20Hoc/Response%20Curves/Adol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HCC%20Paid%20Search.xlsm" TargetMode="External"/><Relationship Id="rId1" Type="http://schemas.openxmlformats.org/officeDocument/2006/relationships/externalLinkPath" Target="/Marketing%20Mix%20PI/InvOpt/P12%202024%20AB/Products/G9/Ad%20Hoc/Response%20Curves/Adult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HCC%20Radio.xlsm" TargetMode="External"/><Relationship Id="rId1" Type="http://schemas.openxmlformats.org/officeDocument/2006/relationships/externalLinkPath" Target="/Marketing%20Mix%20PI/InvOpt/P12%202024%20AB/Products/G9/Ad%20Hoc/Response%20Curves/Adol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HCC%20Radio.xlsm" TargetMode="External"/><Relationship Id="rId1" Type="http://schemas.openxmlformats.org/officeDocument/2006/relationships/externalLinkPath" Target="/Marketing%20Mix%20PI/InvOpt/P12%202024%20AB/Products/G9/Ad%20Hoc/Response%20Curves/Adult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ol\2023%20GARDASIL%20ADOL%20TV.xlsm" TargetMode="External"/><Relationship Id="rId1" Type="http://schemas.openxmlformats.org/officeDocument/2006/relationships/externalLinkPath" Target="/Marketing%20Mix%20PI/InvOpt/P12%202024%20AB/Products/G9/Ad%20Hoc/Response%20Curves/Adol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TV.xlsm" TargetMode="External"/><Relationship Id="rId1" Type="http://schemas.openxmlformats.org/officeDocument/2006/relationships/externalLinkPath" Target="/Marketing%20Mix%20PI/InvOpt/P12%202024%20AB/Products/G9/Ad%20Hoc/Response%20Curves/Adult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wpushh01\dinfopln\Marketing%20Mix%20PI\InvOpt\P12%202024%20AB\Products\G9\Ad%20Hoc\Response%20Curves\Adult\2023%20GARDASIL%20ADULT%20PHARMACY.xlsx" TargetMode="External"/><Relationship Id="rId1" Type="http://schemas.openxmlformats.org/officeDocument/2006/relationships/externalLinkPath" Target="/Marketing%20Mix%20PI/InvOpt/P12%202024%20AB/Products/G9/Ad%20Hoc/Response%20Curves/Adult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23857.888119863572</v>
          </cell>
          <cell r="D12">
            <v>0</v>
          </cell>
          <cell r="E12">
            <v>47715.776239727144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4624.4260378861645</v>
          </cell>
          <cell r="D12">
            <v>0</v>
          </cell>
          <cell r="E12">
            <v>9248.852075772329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283253.12205540115</v>
          </cell>
          <cell r="D12">
            <v>0</v>
          </cell>
          <cell r="E12">
            <v>538180.93190526217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348991.53660821792</v>
          </cell>
          <cell r="D12">
            <v>0</v>
          </cell>
          <cell r="E12">
            <v>872478.84152054484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93099.839261948742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51113.884184056908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12775.777394686394</v>
          </cell>
          <cell r="D12">
            <v>0</v>
          </cell>
          <cell r="E12">
            <v>25551.554789372789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38844.595875937521</v>
          </cell>
          <cell r="D12">
            <v>0</v>
          </cell>
          <cell r="E12">
            <v>77689.191751875042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157090.61419356181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182653.55776336382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147473.11026650202</v>
          </cell>
          <cell r="D12">
            <v>0</v>
          </cell>
          <cell r="E12">
            <v>368682.77566625498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95534.859439139458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255369.4240949167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175965.7807258243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610" t="s">
        <v>201</v>
      </c>
      <c r="H4" s="610"/>
      <c r="I4" s="611" t="s">
        <v>202</v>
      </c>
      <c r="J4" s="611"/>
      <c r="K4" s="612" t="s">
        <v>203</v>
      </c>
      <c r="L4" s="612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46216291.200000003</v>
      </c>
      <c r="D6" s="170">
        <v>0.2</v>
      </c>
      <c r="E6" s="171">
        <f>D6*$C$8</f>
        <v>7702715.2000000002</v>
      </c>
      <c r="F6" s="169"/>
      <c r="G6" s="169">
        <f>'Scenario deep dive'!X16</f>
        <v>213450965.49504656</v>
      </c>
      <c r="H6" s="169"/>
      <c r="I6" s="169">
        <f t="shared" ref="I6:J10" si="0">G6-$F$8</f>
        <v>-101365140.77626008</v>
      </c>
      <c r="J6" s="169">
        <f t="shared" si="0"/>
        <v>-314816106.27130663</v>
      </c>
      <c r="K6" s="172">
        <f t="shared" ref="K6:L10" si="1">G6/$C6</f>
        <v>4.6185221694086636</v>
      </c>
      <c r="L6" s="172">
        <f t="shared" si="1"/>
        <v>0</v>
      </c>
    </row>
    <row r="7" spans="2:13" x14ac:dyDescent="0.25">
      <c r="C7" s="169">
        <f>$C$8+E7</f>
        <v>42364933.600000001</v>
      </c>
      <c r="D7" s="170">
        <v>0.1</v>
      </c>
      <c r="E7" s="171">
        <f>D7*$C$8</f>
        <v>3851357.6</v>
      </c>
      <c r="F7" s="169"/>
      <c r="G7" s="169">
        <f>'Scenario deep dive'!T16</f>
        <v>204849185.54615188</v>
      </c>
      <c r="H7" s="173"/>
      <c r="I7" s="169">
        <f t="shared" si="0"/>
        <v>-109966920.72515476</v>
      </c>
      <c r="J7" s="169">
        <f t="shared" si="0"/>
        <v>-314816106.27130663</v>
      </c>
      <c r="K7" s="172">
        <f t="shared" si="1"/>
        <v>4.8353477307504118</v>
      </c>
      <c r="L7" s="172">
        <f t="shared" si="1"/>
        <v>0</v>
      </c>
    </row>
    <row r="8" spans="2:13" x14ac:dyDescent="0.25">
      <c r="B8" s="174">
        <f>F8/C8</f>
        <v>8.1741593216715742</v>
      </c>
      <c r="C8" s="169">
        <f>'Scenario deep dive'!C16</f>
        <v>38513576</v>
      </c>
      <c r="D8" s="170">
        <v>0</v>
      </c>
      <c r="E8" s="171">
        <f>D8*$C$8</f>
        <v>0</v>
      </c>
      <c r="F8" s="169">
        <f>'Scenario deep dive'!D16</f>
        <v>314816106.27130663</v>
      </c>
      <c r="G8" s="169">
        <f>'Scenario deep dive'!H16</f>
        <v>195641074.52413151</v>
      </c>
      <c r="H8" s="169"/>
      <c r="I8" s="169">
        <f t="shared" si="0"/>
        <v>-119175031.74717513</v>
      </c>
      <c r="J8" s="169">
        <f t="shared" si="0"/>
        <v>-314816106.27130663</v>
      </c>
      <c r="K8" s="172">
        <f t="shared" si="1"/>
        <v>5.0797950967765626</v>
      </c>
      <c r="L8" s="172">
        <f t="shared" si="1"/>
        <v>0</v>
      </c>
    </row>
    <row r="9" spans="2:13" x14ac:dyDescent="0.25">
      <c r="C9" s="169">
        <f>$C$8+E9</f>
        <v>34662218.399999999</v>
      </c>
      <c r="D9" s="170">
        <v>-0.1</v>
      </c>
      <c r="E9" s="171">
        <f>D9*$C$8</f>
        <v>-3851357.6</v>
      </c>
      <c r="F9" s="169"/>
      <c r="G9" s="169">
        <f>'Scenario deep dive'!L16</f>
        <v>185600061.71028784</v>
      </c>
      <c r="H9" s="169"/>
      <c r="I9" s="169">
        <f t="shared" si="0"/>
        <v>-129216044.56101879</v>
      </c>
      <c r="J9" s="169">
        <f t="shared" si="0"/>
        <v>-314816106.27130663</v>
      </c>
      <c r="K9" s="172">
        <f t="shared" si="1"/>
        <v>5.3545350031689791</v>
      </c>
      <c r="L9" s="172">
        <f t="shared" si="1"/>
        <v>0</v>
      </c>
    </row>
    <row r="10" spans="2:13" x14ac:dyDescent="0.25">
      <c r="C10" s="169">
        <f>$C$8+E10</f>
        <v>30810860.800000001</v>
      </c>
      <c r="D10" s="170">
        <v>-0.2</v>
      </c>
      <c r="E10" s="171">
        <f>D10*$C$8</f>
        <v>-7702715.2000000002</v>
      </c>
      <c r="F10" s="169"/>
      <c r="G10" s="169">
        <f>'Scenario deep dive'!P16</f>
        <v>171847214.96344179</v>
      </c>
      <c r="H10" s="169"/>
      <c r="I10" s="169">
        <f t="shared" si="0"/>
        <v>-142968891.30786484</v>
      </c>
      <c r="J10" s="169">
        <f t="shared" si="0"/>
        <v>-314816106.27130663</v>
      </c>
      <c r="K10" s="172">
        <f t="shared" si="1"/>
        <v>5.5774882785307245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613" t="s">
        <v>207</v>
      </c>
      <c r="G13" s="613"/>
      <c r="H13" s="613" t="s">
        <v>208</v>
      </c>
      <c r="I13" s="613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46216291.200000003</v>
      </c>
      <c r="D15" s="177">
        <f t="shared" si="2"/>
        <v>0.2</v>
      </c>
      <c r="E15" s="176">
        <f>C15-C16</f>
        <v>3851357.6000000015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2.2334409946494391</v>
      </c>
      <c r="I15" s="172">
        <f t="shared" si="4"/>
        <v>0</v>
      </c>
    </row>
    <row r="16" spans="2:13" x14ac:dyDescent="0.25">
      <c r="C16" s="176">
        <f t="shared" si="2"/>
        <v>42364933.600000001</v>
      </c>
      <c r="D16" s="177">
        <f t="shared" si="2"/>
        <v>0.1</v>
      </c>
      <c r="E16" s="176">
        <f>C16-C17</f>
        <v>3851357.6000000015</v>
      </c>
      <c r="F16" s="178">
        <f>G7-G8</f>
        <v>9208111.0220203698</v>
      </c>
      <c r="G16" s="178">
        <f t="shared" si="3"/>
        <v>0</v>
      </c>
      <c r="H16" s="172">
        <f>F16/$E16</f>
        <v>2.3908740704889015</v>
      </c>
      <c r="I16" s="172">
        <f t="shared" si="4"/>
        <v>0</v>
      </c>
    </row>
    <row r="17" spans="3:9" x14ac:dyDescent="0.25">
      <c r="C17" s="176">
        <f t="shared" si="2"/>
        <v>38513576</v>
      </c>
      <c r="D17" s="177">
        <f t="shared" si="2"/>
        <v>0</v>
      </c>
      <c r="E17" s="176">
        <f>C17-C18</f>
        <v>3851357.6000000015</v>
      </c>
      <c r="F17" s="178">
        <f>G8-G9</f>
        <v>10041012.813843668</v>
      </c>
      <c r="G17" s="178">
        <f t="shared" si="3"/>
        <v>0</v>
      </c>
      <c r="H17" s="172">
        <f>F17/$E17</f>
        <v>2.607135939244817</v>
      </c>
      <c r="I17" s="172">
        <f t="shared" si="4"/>
        <v>0</v>
      </c>
    </row>
    <row r="18" spans="3:9" x14ac:dyDescent="0.25">
      <c r="C18" s="176">
        <f t="shared" si="2"/>
        <v>34662218.399999999</v>
      </c>
      <c r="D18" s="177">
        <f t="shared" si="2"/>
        <v>-0.1</v>
      </c>
      <c r="E18" s="176">
        <f>C18-C19</f>
        <v>3851357.5999999978</v>
      </c>
      <c r="F18" s="178">
        <f t="shared" si="3"/>
        <v>13752846.74684605</v>
      </c>
      <c r="G18" s="178">
        <f t="shared" si="3"/>
        <v>0</v>
      </c>
      <c r="H18" s="172">
        <f t="shared" si="4"/>
        <v>3.570908800275014</v>
      </c>
      <c r="I18" s="172">
        <f t="shared" si="4"/>
        <v>0</v>
      </c>
    </row>
    <row r="19" spans="3:9" x14ac:dyDescent="0.25">
      <c r="C19" s="176">
        <f t="shared" si="2"/>
        <v>30810860.800000001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145704065.48447829</v>
      </c>
    </row>
    <row r="4" spans="1:28" x14ac:dyDescent="0.25">
      <c r="F4" s="622" t="s">
        <v>250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</row>
    <row r="5" spans="1:28" x14ac:dyDescent="0.25">
      <c r="F5" s="616" t="s">
        <v>255</v>
      </c>
      <c r="G5" s="617"/>
      <c r="H5" s="618"/>
      <c r="I5" s="181"/>
      <c r="J5" s="616" t="s">
        <v>256</v>
      </c>
      <c r="K5" s="617"/>
      <c r="L5" s="618"/>
      <c r="M5" s="181"/>
      <c r="N5" s="616" t="s">
        <v>257</v>
      </c>
      <c r="O5" s="617"/>
      <c r="P5" s="618"/>
      <c r="R5" s="616" t="s">
        <v>258</v>
      </c>
      <c r="S5" s="617"/>
      <c r="T5" s="618"/>
      <c r="V5" s="616" t="s">
        <v>259</v>
      </c>
      <c r="W5" s="617"/>
      <c r="X5" s="618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VAC_Optim_Scenario!B21</f>
        <v>HCC In Office</v>
      </c>
      <c r="C7" s="185">
        <f>VAC_Optim_Scenario!E21</f>
        <v>1000000</v>
      </c>
      <c r="D7" s="185">
        <f>VAC_Optim_Scenario!G51</f>
        <v>3608306.5090601984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VAC_Optim_Scenario!$H51</f>
        <v>1486235.6790270803</v>
      </c>
      <c r="AA7" s="177">
        <f>(Z7-$C7)/$C7</f>
        <v>0.48623567902708031</v>
      </c>
      <c r="AB7" s="185">
        <f>VAC_Optim_Scenario!$J51</f>
        <v>4898979.1498100674</v>
      </c>
    </row>
    <row r="8" spans="1:28" x14ac:dyDescent="0.25">
      <c r="A8" s="180"/>
      <c r="B8" s="184" t="str">
        <f>VAC_Optim_Scenario!B22</f>
        <v>HCP MCM</v>
      </c>
      <c r="C8" s="185">
        <f>VAC_Optim_Scenario!E22</f>
        <v>7775778</v>
      </c>
      <c r="D8" s="185">
        <f>VAC_Optim_Scenario!G52</f>
        <v>80687519.073682621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VAC_Optim_Scenario!$H52</f>
        <v>14043651.326912649</v>
      </c>
      <c r="AA8" s="177">
        <f t="shared" ref="AA8:AA15" si="0">(Z8-$C8)/$C8</f>
        <v>0.80607668157612644</v>
      </c>
      <c r="AB8" s="185">
        <f>VAC_Optim_Scenario!$J52</f>
        <v>104956912.90580291</v>
      </c>
    </row>
    <row r="9" spans="1:28" x14ac:dyDescent="0.25">
      <c r="A9" s="180"/>
      <c r="B9" s="184" t="str">
        <f>VAC_Optim_Scenario!B23</f>
        <v>HCC Social</v>
      </c>
      <c r="C9" s="185">
        <f>VAC_Optim_Scenario!E23</f>
        <v>1840000</v>
      </c>
      <c r="D9" s="185">
        <f>VAC_Optim_Scenario!G53</f>
        <v>20811821.049948756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VAC_Optim_Scenario!$H53</f>
        <v>6500000</v>
      </c>
      <c r="AA9" s="177">
        <f t="shared" si="0"/>
        <v>2.5326086956521738</v>
      </c>
      <c r="AB9" s="185">
        <f>VAC_Optim_Scenario!$J53</f>
        <v>44377967.027515724</v>
      </c>
    </row>
    <row r="10" spans="1:28" x14ac:dyDescent="0.25">
      <c r="A10" s="180"/>
      <c r="B10" s="184" t="str">
        <f>VAC_Optim_Scenario!B24</f>
        <v>HCC Online Video</v>
      </c>
      <c r="C10" s="185">
        <f>VAC_Optim_Scenario!E24</f>
        <v>1220000</v>
      </c>
      <c r="D10" s="185">
        <f>VAC_Optim_Scenario!G54</f>
        <v>5729843.8063793583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VAC_Optim_Scenario!$H54</f>
        <v>1000000</v>
      </c>
      <c r="AA10" s="177">
        <f t="shared" si="0"/>
        <v>-0.18032786885245902</v>
      </c>
      <c r="AB10" s="185">
        <f>VAC_Optim_Scenario!$J54</f>
        <v>5668483.3276297525</v>
      </c>
    </row>
    <row r="11" spans="1:28" x14ac:dyDescent="0.25">
      <c r="A11" s="180"/>
      <c r="B11" s="184" t="str">
        <f>VAC_Optim_Scenario!B25</f>
        <v>HCC Streaming Video</v>
      </c>
      <c r="C11" s="185">
        <f>VAC_Optim_Scenario!E25</f>
        <v>4817798</v>
      </c>
      <c r="D11" s="185">
        <f>VAC_Optim_Scenario!G55</f>
        <v>30671602.273905724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VAC_Optim_Scenario!$H55</f>
        <v>12070113</v>
      </c>
      <c r="AA11" s="177">
        <f t="shared" si="0"/>
        <v>1.5053173669796867</v>
      </c>
      <c r="AB11" s="185">
        <f>VAC_Optim_Scenario!$J55</f>
        <v>58336502.542934552</v>
      </c>
    </row>
    <row r="12" spans="1:28" x14ac:dyDescent="0.25">
      <c r="A12" s="180"/>
      <c r="B12" s="184" t="str">
        <f>VAC_Optim_Scenario!B26</f>
        <v>HCC Display</v>
      </c>
      <c r="C12" s="185">
        <f>VAC_Optim_Scenario!E26</f>
        <v>3540000</v>
      </c>
      <c r="D12" s="185">
        <f>VAC_Optim_Scenario!G56</f>
        <v>55720832.469924212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VAC_Optim_Scenario!$H56</f>
        <v>7000000.0000000009</v>
      </c>
      <c r="AA12" s="177">
        <f t="shared" si="0"/>
        <v>0.97740112994350303</v>
      </c>
      <c r="AB12" s="185">
        <f>VAC_Optim_Scenario!$J56</f>
        <v>74111465.228846326</v>
      </c>
    </row>
    <row r="13" spans="1:28" x14ac:dyDescent="0.25">
      <c r="A13" s="180"/>
      <c r="B13" s="184" t="str">
        <f>VAC_Optim_Scenario!B27</f>
        <v>HCC Paid Search</v>
      </c>
      <c r="C13" s="185">
        <f>VAC_Optim_Scenario!E27</f>
        <v>400000</v>
      </c>
      <c r="D13" s="185">
        <f>VAC_Optim_Scenario!G57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VAC_Optim_Scenario!$H57</f>
        <v>400000</v>
      </c>
      <c r="AA13" s="177">
        <f t="shared" si="0"/>
        <v>0</v>
      </c>
      <c r="AB13" s="185">
        <f>VAC_Optim_Scenario!$J57</f>
        <v>32769965.884320233</v>
      </c>
    </row>
    <row r="14" spans="1:28" x14ac:dyDescent="0.25">
      <c r="A14" s="180"/>
      <c r="B14" s="184" t="str">
        <f>VAC_Optim_Scenario!B28</f>
        <v>HCC Audio</v>
      </c>
      <c r="C14" s="185">
        <f>VAC_Optim_Scenario!E28</f>
        <v>2220000</v>
      </c>
      <c r="D14" s="185">
        <f>VAC_Optim_Scenario!G58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VAC_Optim_Scenario!$H58</f>
        <v>4800000</v>
      </c>
      <c r="AA14" s="177">
        <f t="shared" si="0"/>
        <v>1.1621621621621621</v>
      </c>
      <c r="AB14" s="185">
        <f>VAC_Optim_Scenario!$J58</f>
        <v>32875287.531392161</v>
      </c>
    </row>
    <row r="15" spans="1:28" x14ac:dyDescent="0.25">
      <c r="A15" s="180"/>
      <c r="B15" s="184" t="str">
        <f>VAC_Optim_Scenario!B29</f>
        <v>HCC TV</v>
      </c>
      <c r="C15" s="185">
        <f>VAC_Optim_Scenario!E29</f>
        <v>15700000</v>
      </c>
      <c r="D15" s="185">
        <f>VAC_Optim_Scenario!G59</f>
        <v>64117823.465933323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VAC_Optim_Scenario!$H59</f>
        <v>15700000</v>
      </c>
      <c r="AA15" s="177">
        <f t="shared" si="0"/>
        <v>0</v>
      </c>
      <c r="AB15" s="185">
        <f>VAC_Optim_Scenario!$J59</f>
        <v>64117823.465933323</v>
      </c>
    </row>
    <row r="16" spans="1:28" ht="34.35" customHeight="1" x14ac:dyDescent="0.25">
      <c r="B16" s="187" t="s">
        <v>218</v>
      </c>
      <c r="C16" s="188">
        <f>SUM(C7:C15)</f>
        <v>38513576</v>
      </c>
      <c r="D16" s="188">
        <f>SUM(D7:D15)</f>
        <v>314816106.27130663</v>
      </c>
      <c r="E16" s="179"/>
      <c r="F16" s="188">
        <f>SUM(F7:F15)</f>
        <v>38354764.850000001</v>
      </c>
      <c r="G16" s="189">
        <f>(F16-$C$16)/$C$16</f>
        <v>-4.1235108887317682E-3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-0.10371115994108127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-0.2032988088016531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9.5464137307982422E-2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0.1950517879048467</v>
      </c>
      <c r="X16" s="188">
        <f>SUM(X7:X15)</f>
        <v>213450965.49504656</v>
      </c>
      <c r="Z16" s="188">
        <f>SUM(Z7:Z15)</f>
        <v>63000000.00593973</v>
      </c>
      <c r="AA16" s="189">
        <f>(Z16-$C$16)/$C$16</f>
        <v>0.63578681984606489</v>
      </c>
      <c r="AB16" s="188">
        <f>SUM(AB7:AB15)</f>
        <v>422113387.06418502</v>
      </c>
    </row>
    <row r="17" spans="1:24" x14ac:dyDescent="0.25">
      <c r="D17" s="97">
        <f>D16/C16</f>
        <v>8.1741593216715742</v>
      </c>
    </row>
    <row r="19" spans="1:24" ht="26.85" customHeight="1" x14ac:dyDescent="0.25">
      <c r="F19" s="622" t="str">
        <f>F4</f>
        <v>Optimal channel spend allowed to vary between +/- 30% of the 2021 channel spend</v>
      </c>
      <c r="G19" s="622"/>
      <c r="H19" s="622"/>
      <c r="I19" s="622"/>
      <c r="J19" s="622"/>
      <c r="K19" s="622"/>
      <c r="L19" s="622"/>
      <c r="M19" s="622"/>
      <c r="N19" s="622"/>
      <c r="O19" s="622"/>
      <c r="P19" s="622"/>
    </row>
    <row r="20" spans="1:24" ht="30.4" customHeight="1" x14ac:dyDescent="0.25">
      <c r="C20" s="614" t="s">
        <v>251</v>
      </c>
      <c r="D20" s="615"/>
      <c r="E20" s="190"/>
      <c r="F20" s="616" t="str">
        <f>F5</f>
        <v>Current Optimal ($38MM)</v>
      </c>
      <c r="G20" s="617"/>
      <c r="H20" s="618"/>
      <c r="I20" s="191"/>
      <c r="J20" s="616" t="str">
        <f>J5</f>
        <v>10% reduction optimal ($35M)</v>
      </c>
      <c r="K20" s="617"/>
      <c r="L20" s="618"/>
      <c r="M20" s="191"/>
      <c r="N20" s="616" t="str">
        <f>N5</f>
        <v>20% reduction optimal ($31M)</v>
      </c>
      <c r="O20" s="617"/>
      <c r="P20" s="618"/>
      <c r="R20" s="616" t="str">
        <f>R5</f>
        <v>10% increase optimal ($42M)</v>
      </c>
      <c r="S20" s="617"/>
      <c r="T20" s="618"/>
      <c r="V20" s="616" t="str">
        <f>V5</f>
        <v>20% increase optimal ($46M)</v>
      </c>
      <c r="W20" s="617"/>
      <c r="X20" s="618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3.6083065090601982</v>
      </c>
      <c r="B22" s="184" t="str">
        <f>B7</f>
        <v>HCC In Office</v>
      </c>
      <c r="C22" s="196">
        <f>C7/1000000</f>
        <v>1</v>
      </c>
      <c r="D22" s="282">
        <f>D7/1000000</f>
        <v>3.6083065090601982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10.376777612951736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80.687519073682623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11.310772309754757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20.811821049948755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4.6965932839175073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5.7298438063793586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6.3663113882951761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30.671602273905723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15.740348155345822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55.720832469924211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4.0839378003779192</v>
      </c>
      <c r="B30" s="184" t="str">
        <f t="shared" si="2"/>
        <v>HCC TV</v>
      </c>
      <c r="C30" s="202">
        <f t="shared" ref="C30:D30" si="25">C15/1000000</f>
        <v>15.7</v>
      </c>
      <c r="D30" s="283">
        <f t="shared" si="25"/>
        <v>64.117823465933327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38.513576</v>
      </c>
      <c r="D31" s="284">
        <f>D16/1000000</f>
        <v>314.81610627130664</v>
      </c>
      <c r="E31" s="210"/>
      <c r="F31" s="211">
        <f>F16/1000000</f>
        <v>38.354764850000002</v>
      </c>
      <c r="G31" s="212">
        <f>G16</f>
        <v>-4.1235108887317682E-3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-0.10371115994108127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-0.2032988088016531</v>
      </c>
      <c r="P31" s="216">
        <f>P16/1000000</f>
        <v>171.84721496344179</v>
      </c>
      <c r="R31" s="211">
        <f>R16/1000000</f>
        <v>42.190241307485415</v>
      </c>
      <c r="S31" s="212">
        <f>S16</f>
        <v>9.5464137307982422E-2</v>
      </c>
      <c r="T31" s="216">
        <f>T16/1000000</f>
        <v>204.84918554615189</v>
      </c>
      <c r="V31" s="211">
        <f>V16/1000000</f>
        <v>46.025717857409191</v>
      </c>
      <c r="W31" s="212">
        <f>W16</f>
        <v>0.1950517879048467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-119.17503174717513</v>
      </c>
      <c r="L33" s="216">
        <f>(L31-$D$31)</f>
        <v>-129.2160445610188</v>
      </c>
      <c r="P33" s="216">
        <f>(P31-$D$31)</f>
        <v>-142.96889130786485</v>
      </c>
      <c r="T33" s="216">
        <f>(T31-$D$31)</f>
        <v>-109.96692072515475</v>
      </c>
      <c r="X33" s="216">
        <f>(X31-$D$31)</f>
        <v>-101.36514077626009</v>
      </c>
    </row>
    <row r="34" spans="2:24" x14ac:dyDescent="0.25">
      <c r="H34" s="280">
        <f>H33/$D$31</f>
        <v>-0.37855443026307806</v>
      </c>
      <c r="L34" s="280">
        <f>L33/$D$31</f>
        <v>-0.41044928130094205</v>
      </c>
      <c r="P34" s="280">
        <f>P33/$D$31</f>
        <v>-0.45413461528761528</v>
      </c>
      <c r="T34" s="280">
        <f>T33/$D$31</f>
        <v>-0.3493052564165377</v>
      </c>
      <c r="X34" s="280">
        <f>X33/$D$31</f>
        <v>-0.32198206748959729</v>
      </c>
    </row>
    <row r="36" spans="2:24" x14ac:dyDescent="0.25">
      <c r="B36" s="623" t="s">
        <v>254</v>
      </c>
      <c r="C36" s="623"/>
      <c r="D36" s="623"/>
      <c r="E36" s="623"/>
      <c r="F36" s="623"/>
      <c r="G36" s="623"/>
      <c r="H36" s="623"/>
      <c r="I36" s="623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</row>
    <row r="37" spans="2:24" x14ac:dyDescent="0.25">
      <c r="B37" s="623"/>
      <c r="C37" s="623"/>
      <c r="D37" s="623"/>
      <c r="E37" s="623"/>
      <c r="F37" s="623"/>
      <c r="G37" s="623"/>
      <c r="H37" s="623"/>
      <c r="I37" s="623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</row>
    <row r="39" spans="2:24" x14ac:dyDescent="0.25">
      <c r="F39" s="616" t="s">
        <v>243</v>
      </c>
      <c r="G39" s="617"/>
      <c r="H39" s="618"/>
      <c r="I39" s="181"/>
      <c r="J39" s="616" t="s">
        <v>210</v>
      </c>
      <c r="K39" s="617"/>
      <c r="L39" s="618"/>
      <c r="M39" s="181"/>
      <c r="N39" s="616" t="s">
        <v>211</v>
      </c>
      <c r="O39" s="617"/>
      <c r="P39" s="618"/>
      <c r="R39" s="624"/>
      <c r="S39" s="625"/>
      <c r="T39" s="626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627" t="str">
        <f>B36</f>
        <v>Optimal Channel Spend  allowed to vary between  of the 2021 spend</v>
      </c>
      <c r="G53" s="627"/>
      <c r="H53" s="627"/>
      <c r="I53" s="627"/>
      <c r="J53" s="627"/>
      <c r="K53" s="627"/>
      <c r="L53" s="627"/>
      <c r="M53" s="627"/>
      <c r="N53" s="627"/>
      <c r="O53" s="627"/>
      <c r="P53" s="627"/>
    </row>
    <row r="54" spans="2:20" x14ac:dyDescent="0.25">
      <c r="C54" s="614" t="s">
        <v>244</v>
      </c>
      <c r="D54" s="615"/>
      <c r="E54" s="190"/>
      <c r="F54" s="616" t="str">
        <f>F39</f>
        <v>Current Optimal ($MM)</v>
      </c>
      <c r="G54" s="617"/>
      <c r="H54" s="618"/>
      <c r="I54" s="191"/>
      <c r="J54" s="616" t="str">
        <f>J39</f>
        <v>10% reduction optimal ($)</v>
      </c>
      <c r="K54" s="617"/>
      <c r="L54" s="618"/>
      <c r="M54" s="191"/>
      <c r="N54" s="616" t="str">
        <f>N39</f>
        <v>20% reduction optimal ()</v>
      </c>
      <c r="O54" s="617"/>
      <c r="P54" s="618"/>
      <c r="R54" s="619"/>
      <c r="S54" s="620"/>
      <c r="T54" s="621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  <mergeCell ref="F4:P4"/>
    <mergeCell ref="B36:T37"/>
    <mergeCell ref="F39:H39"/>
    <mergeCell ref="J39:L39"/>
    <mergeCell ref="N39:P39"/>
    <mergeCell ref="R39:T39"/>
    <mergeCell ref="C20:D20"/>
    <mergeCell ref="C54:D54"/>
    <mergeCell ref="F54:H54"/>
    <mergeCell ref="J54:L54"/>
    <mergeCell ref="N54:P54"/>
    <mergeCell ref="R54:T54"/>
  </mergeCells>
  <conditionalFormatting sqref="G22:G30">
    <cfRule type="cellIs" dxfId="115" priority="17" operator="lessThan">
      <formula>0</formula>
    </cfRule>
    <cfRule type="cellIs" dxfId="114" priority="18" operator="greaterThan">
      <formula>0</formula>
    </cfRule>
  </conditionalFormatting>
  <conditionalFormatting sqref="K22:K30">
    <cfRule type="cellIs" dxfId="113" priority="15" operator="lessThan">
      <formula>0</formula>
    </cfRule>
    <cfRule type="cellIs" dxfId="112" priority="16" operator="greaterThan">
      <formula>0</formula>
    </cfRule>
  </conditionalFormatting>
  <conditionalFormatting sqref="O22:O30">
    <cfRule type="cellIs" dxfId="111" priority="13" operator="lessThan">
      <formula>0</formula>
    </cfRule>
    <cfRule type="cellIs" dxfId="110" priority="14" operator="greaterThan">
      <formula>0</formula>
    </cfRule>
  </conditionalFormatting>
  <conditionalFormatting sqref="S22:S30">
    <cfRule type="cellIs" dxfId="109" priority="11" operator="lessThan">
      <formula>0</formula>
    </cfRule>
    <cfRule type="cellIs" dxfId="108" priority="12" operator="greaterThan">
      <formula>0</formula>
    </cfRule>
  </conditionalFormatting>
  <conditionalFormatting sqref="G56:G63">
    <cfRule type="cellIs" dxfId="107" priority="9" operator="lessThan">
      <formula>0</formula>
    </cfRule>
    <cfRule type="cellIs" dxfId="106" priority="10" operator="greaterThan">
      <formula>0</formula>
    </cfRule>
  </conditionalFormatting>
  <conditionalFormatting sqref="K56:K63">
    <cfRule type="cellIs" dxfId="105" priority="7" operator="lessThan">
      <formula>0</formula>
    </cfRule>
    <cfRule type="cellIs" dxfId="104" priority="8" operator="greaterThan">
      <formula>0</formula>
    </cfRule>
  </conditionalFormatting>
  <conditionalFormatting sqref="O56:O63">
    <cfRule type="cellIs" dxfId="103" priority="5" operator="lessThan">
      <formula>0</formula>
    </cfRule>
    <cfRule type="cellIs" dxfId="102" priority="6" operator="greaterThan">
      <formula>0</formula>
    </cfRule>
  </conditionalFormatting>
  <conditionalFormatting sqref="S56:S63">
    <cfRule type="cellIs" dxfId="101" priority="3" operator="lessThan">
      <formula>0</formula>
    </cfRule>
    <cfRule type="cellIs" dxfId="100" priority="4" operator="greaterThan">
      <formula>0</formula>
    </cfRule>
  </conditionalFormatting>
  <conditionalFormatting sqref="W22:W30">
    <cfRule type="cellIs" dxfId="99" priority="1" operator="lessThan">
      <formula>0</formula>
    </cfRule>
    <cfRule type="cellIs" dxfId="9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622" t="s">
        <v>250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</row>
    <row r="5" spans="1:28" x14ac:dyDescent="0.25">
      <c r="F5" s="616" t="s">
        <v>272</v>
      </c>
      <c r="G5" s="617"/>
      <c r="H5" s="618"/>
      <c r="I5" s="181"/>
      <c r="J5" s="616" t="s">
        <v>278</v>
      </c>
      <c r="K5" s="617"/>
      <c r="L5" s="618"/>
      <c r="M5" s="181"/>
      <c r="N5" s="616" t="s">
        <v>279</v>
      </c>
      <c r="O5" s="617"/>
      <c r="P5" s="618"/>
      <c r="R5" s="616" t="s">
        <v>280</v>
      </c>
      <c r="S5" s="617"/>
      <c r="T5" s="618"/>
      <c r="V5" s="616" t="s">
        <v>281</v>
      </c>
      <c r="W5" s="617"/>
      <c r="X5" s="618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VAC_Optim_Scenario!B21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VAC_Optim_Scenario!$H51</f>
        <v>1486235.6790270803</v>
      </c>
      <c r="AA7" s="177">
        <f>(Z7-$C7)/$C7</f>
        <v>-0.12574371821936453</v>
      </c>
      <c r="AB7" s="185">
        <f>VAC_Optim_Scenario!$J51</f>
        <v>4898979.1498100674</v>
      </c>
    </row>
    <row r="8" spans="1:28" x14ac:dyDescent="0.25">
      <c r="A8" s="180"/>
      <c r="B8" s="184" t="str">
        <f>VAC_Optim_Scenario!B22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VAC_Optim_Scenario!$H52</f>
        <v>14043651.326912649</v>
      </c>
      <c r="AA8" s="177">
        <f t="shared" ref="AA8:AA15" si="0">(Z8-$C8)/$C8</f>
        <v>1.4449764491794135</v>
      </c>
      <c r="AB8" s="185">
        <f>VAC_Optim_Scenario!$J52</f>
        <v>104956912.90580291</v>
      </c>
    </row>
    <row r="9" spans="1:28" x14ac:dyDescent="0.25">
      <c r="A9" s="180"/>
      <c r="B9" s="184" t="str">
        <f>VAC_Optim_Scenario!B23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VAC_Optim_Scenario!$H53</f>
        <v>6500000</v>
      </c>
      <c r="AA9" s="177">
        <f t="shared" si="0"/>
        <v>2.8235294117647061</v>
      </c>
      <c r="AB9" s="185">
        <f>VAC_Optim_Scenario!$J53</f>
        <v>44377967.027515724</v>
      </c>
    </row>
    <row r="10" spans="1:28" x14ac:dyDescent="0.25">
      <c r="A10" s="180"/>
      <c r="B10" s="184" t="str">
        <f>VAC_Optim_Scenario!B24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VAC_Optim_Scenario!$H54</f>
        <v>1000000</v>
      </c>
      <c r="AA10" s="177">
        <f t="shared" si="0"/>
        <v>1</v>
      </c>
      <c r="AB10" s="185">
        <f>VAC_Optim_Scenario!$J54</f>
        <v>5668483.3276297525</v>
      </c>
    </row>
    <row r="11" spans="1:28" x14ac:dyDescent="0.25">
      <c r="A11" s="180"/>
      <c r="B11" s="184" t="str">
        <f>VAC_Optim_Scenario!B25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VAC_Optim_Scenario!$H55</f>
        <v>12070113</v>
      </c>
      <c r="AA11" s="177">
        <f t="shared" si="0"/>
        <v>0.98199000442700501</v>
      </c>
      <c r="AB11" s="185">
        <f>VAC_Optim_Scenario!$J55</f>
        <v>58336502.542934552</v>
      </c>
    </row>
    <row r="12" spans="1:28" x14ac:dyDescent="0.25">
      <c r="A12" s="180"/>
      <c r="B12" s="184" t="str">
        <f>VAC_Optim_Scenario!B26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VAC_Optim_Scenario!$H56</f>
        <v>7000000.0000000009</v>
      </c>
      <c r="AA12" s="177">
        <f t="shared" si="0"/>
        <v>4.3252349189347106</v>
      </c>
      <c r="AB12" s="185">
        <f>VAC_Optim_Scenario!$J56</f>
        <v>74111465.228846326</v>
      </c>
    </row>
    <row r="13" spans="1:28" x14ac:dyDescent="0.25">
      <c r="A13" s="180"/>
      <c r="B13" s="184" t="str">
        <f>VAC_Optim_Scenario!B27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VAC_Optim_Scenario!$H57</f>
        <v>400000</v>
      </c>
      <c r="AA13" s="177">
        <f t="shared" si="0"/>
        <v>-0.33333333333333331</v>
      </c>
      <c r="AB13" s="185">
        <f>VAC_Optim_Scenario!$J57</f>
        <v>32769965.884320233</v>
      </c>
    </row>
    <row r="14" spans="1:28" x14ac:dyDescent="0.25">
      <c r="A14" s="180"/>
      <c r="B14" s="184" t="str">
        <f>VAC_Optim_Scenario!B28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VAC_Optim_Scenario!$H58</f>
        <v>4800000</v>
      </c>
      <c r="AA14" s="177">
        <f t="shared" si="0"/>
        <v>2.2000000000000002</v>
      </c>
      <c r="AB14" s="185">
        <f>VAC_Optim_Scenario!$J58</f>
        <v>32875287.531392161</v>
      </c>
    </row>
    <row r="15" spans="1:28" x14ac:dyDescent="0.25">
      <c r="A15" s="180"/>
      <c r="B15" s="184" t="str">
        <f>VAC_Optim_Scenario!B29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VAC_Optim_Scenario!$H59</f>
        <v>15700000</v>
      </c>
      <c r="AA15" s="177">
        <f t="shared" si="0"/>
        <v>3.0480713739559458E-2</v>
      </c>
      <c r="AB15" s="185">
        <f>VAC_Optim_Scenario!$J59</f>
        <v>64117823.465933323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63000000.00593973</v>
      </c>
      <c r="AA16" s="189">
        <f>(Z16-$C$16)/$C$16</f>
        <v>0.83225396239140337</v>
      </c>
      <c r="AB16" s="188">
        <f>SUM(AB7:AB15)</f>
        <v>422113387.06418502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622" t="str">
        <f>F4</f>
        <v>Optimal channel spend allowed to vary between +/- 30% of the 2021 channel spend</v>
      </c>
      <c r="G19" s="622"/>
      <c r="H19" s="622"/>
      <c r="I19" s="622"/>
      <c r="J19" s="622"/>
      <c r="K19" s="622"/>
      <c r="L19" s="622"/>
      <c r="M19" s="622"/>
      <c r="N19" s="622"/>
      <c r="O19" s="622"/>
      <c r="P19" s="622"/>
    </row>
    <row r="20" spans="1:28" ht="30.4" customHeight="1" x14ac:dyDescent="0.25">
      <c r="C20" s="614" t="s">
        <v>269</v>
      </c>
      <c r="D20" s="615"/>
      <c r="E20" s="190"/>
      <c r="F20" s="616" t="str">
        <f>F5</f>
        <v>Current Optimal ($34MM)</v>
      </c>
      <c r="G20" s="617"/>
      <c r="H20" s="618"/>
      <c r="I20" s="191"/>
      <c r="J20" s="616" t="str">
        <f>J5</f>
        <v>3% reduction optimal ($33M)</v>
      </c>
      <c r="K20" s="617"/>
      <c r="L20" s="618"/>
      <c r="M20" s="191"/>
      <c r="N20" s="616" t="str">
        <f>N5</f>
        <v>7% reduction optimal ($32M)</v>
      </c>
      <c r="O20" s="617"/>
      <c r="P20" s="618"/>
      <c r="R20" s="616" t="str">
        <f>R5</f>
        <v>5% increase optimal ($36M)</v>
      </c>
      <c r="S20" s="617"/>
      <c r="T20" s="618"/>
      <c r="V20" s="616" t="str">
        <f>V5</f>
        <v>10% increase optimal ($38M)</v>
      </c>
      <c r="W20" s="617"/>
      <c r="X20" s="618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623" t="s">
        <v>254</v>
      </c>
      <c r="C36" s="623"/>
      <c r="D36" s="623"/>
      <c r="E36" s="623"/>
      <c r="F36" s="623"/>
      <c r="G36" s="623"/>
      <c r="H36" s="623"/>
      <c r="I36" s="623"/>
      <c r="J36" s="623"/>
      <c r="K36" s="623"/>
      <c r="L36" s="623"/>
      <c r="M36" s="623"/>
      <c r="N36" s="623"/>
      <c r="O36" s="623"/>
      <c r="P36" s="623"/>
      <c r="Q36" s="623"/>
      <c r="R36" s="623"/>
      <c r="S36" s="623"/>
      <c r="T36" s="623"/>
    </row>
    <row r="37" spans="2:24" x14ac:dyDescent="0.25">
      <c r="B37" s="623"/>
      <c r="C37" s="623"/>
      <c r="D37" s="623"/>
      <c r="E37" s="623"/>
      <c r="F37" s="623"/>
      <c r="G37" s="623"/>
      <c r="H37" s="623"/>
      <c r="I37" s="623"/>
      <c r="J37" s="623"/>
      <c r="K37" s="623"/>
      <c r="L37" s="623"/>
      <c r="M37" s="623"/>
      <c r="N37" s="623"/>
      <c r="O37" s="623"/>
      <c r="P37" s="623"/>
      <c r="Q37" s="623"/>
      <c r="R37" s="623"/>
      <c r="S37" s="623"/>
      <c r="T37" s="623"/>
    </row>
    <row r="39" spans="2:24" x14ac:dyDescent="0.25">
      <c r="F39" s="616" t="s">
        <v>243</v>
      </c>
      <c r="G39" s="617"/>
      <c r="H39" s="618"/>
      <c r="I39" s="181"/>
      <c r="J39" s="616" t="s">
        <v>210</v>
      </c>
      <c r="K39" s="617"/>
      <c r="L39" s="618"/>
      <c r="M39" s="181"/>
      <c r="N39" s="616" t="s">
        <v>211</v>
      </c>
      <c r="O39" s="617"/>
      <c r="P39" s="618"/>
      <c r="R39" s="624"/>
      <c r="S39" s="625"/>
      <c r="T39" s="626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627" t="str">
        <f>B36</f>
        <v>Optimal Channel Spend  allowed to vary between  of the 2021 spend</v>
      </c>
      <c r="G53" s="627"/>
      <c r="H53" s="627"/>
      <c r="I53" s="627"/>
      <c r="J53" s="627"/>
      <c r="K53" s="627"/>
      <c r="L53" s="627"/>
      <c r="M53" s="627"/>
      <c r="N53" s="627"/>
      <c r="O53" s="627"/>
      <c r="P53" s="627"/>
    </row>
    <row r="54" spans="2:20" x14ac:dyDescent="0.25">
      <c r="C54" s="614" t="s">
        <v>244</v>
      </c>
      <c r="D54" s="615"/>
      <c r="E54" s="190"/>
      <c r="F54" s="616" t="str">
        <f>F39</f>
        <v>Current Optimal ($MM)</v>
      </c>
      <c r="G54" s="617"/>
      <c r="H54" s="618"/>
      <c r="I54" s="191"/>
      <c r="J54" s="616" t="str">
        <f>J39</f>
        <v>10% reduction optimal ($)</v>
      </c>
      <c r="K54" s="617"/>
      <c r="L54" s="618"/>
      <c r="M54" s="191"/>
      <c r="N54" s="616" t="str">
        <f>N39</f>
        <v>20% reduction optimal ()</v>
      </c>
      <c r="O54" s="617"/>
      <c r="P54" s="618"/>
      <c r="R54" s="619"/>
      <c r="S54" s="620"/>
      <c r="T54" s="621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2"/>
      <c r="J67" s="322"/>
      <c r="K67" s="322"/>
      <c r="L67" s="177" t="e">
        <f>L66/$D$64</f>
        <v>#DIV/0!</v>
      </c>
      <c r="M67" s="322"/>
      <c r="N67" s="322"/>
      <c r="O67" s="322"/>
      <c r="P67" s="177" t="e">
        <f>P66/$D$64</f>
        <v>#DIV/0!</v>
      </c>
      <c r="Q67" s="322"/>
      <c r="R67" s="322"/>
      <c r="S67" s="322"/>
    </row>
  </sheetData>
  <mergeCells count="24">
    <mergeCell ref="V5:X5"/>
    <mergeCell ref="F4:P4"/>
    <mergeCell ref="F5:H5"/>
    <mergeCell ref="J5:L5"/>
    <mergeCell ref="N5:P5"/>
    <mergeCell ref="R5:T5"/>
    <mergeCell ref="F19:P19"/>
    <mergeCell ref="C20:D20"/>
    <mergeCell ref="F20:H20"/>
    <mergeCell ref="J20:L20"/>
    <mergeCell ref="N20:P20"/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</mergeCells>
  <conditionalFormatting sqref="G22:G30">
    <cfRule type="cellIs" dxfId="97" priority="17" operator="lessThan">
      <formula>0</formula>
    </cfRule>
    <cfRule type="cellIs" dxfId="96" priority="18" operator="greaterThan">
      <formula>0</formula>
    </cfRule>
  </conditionalFormatting>
  <conditionalFormatting sqref="K22:K30">
    <cfRule type="cellIs" dxfId="95" priority="15" operator="lessThan">
      <formula>0</formula>
    </cfRule>
    <cfRule type="cellIs" dxfId="94" priority="16" operator="greaterThan">
      <formula>0</formula>
    </cfRule>
  </conditionalFormatting>
  <conditionalFormatting sqref="O22:O30">
    <cfRule type="cellIs" dxfId="93" priority="13" operator="lessThan">
      <formula>0</formula>
    </cfRule>
    <cfRule type="cellIs" dxfId="92" priority="14" operator="greaterThan">
      <formula>0</formula>
    </cfRule>
  </conditionalFormatting>
  <conditionalFormatting sqref="S22:S30">
    <cfRule type="cellIs" dxfId="91" priority="11" operator="lessThan">
      <formula>0</formula>
    </cfRule>
    <cfRule type="cellIs" dxfId="90" priority="12" operator="greaterThan">
      <formula>0</formula>
    </cfRule>
  </conditionalFormatting>
  <conditionalFormatting sqref="G56:G63">
    <cfRule type="cellIs" dxfId="89" priority="9" operator="lessThan">
      <formula>0</formula>
    </cfRule>
    <cfRule type="cellIs" dxfId="88" priority="10" operator="greaterThan">
      <formula>0</formula>
    </cfRule>
  </conditionalFormatting>
  <conditionalFormatting sqref="K56:K63">
    <cfRule type="cellIs" dxfId="87" priority="7" operator="lessThan">
      <formula>0</formula>
    </cfRule>
    <cfRule type="cellIs" dxfId="86" priority="8" operator="greaterThan">
      <formula>0</formula>
    </cfRule>
  </conditionalFormatting>
  <conditionalFormatting sqref="O56:O63">
    <cfRule type="cellIs" dxfId="85" priority="5" operator="lessThan">
      <formula>0</formula>
    </cfRule>
    <cfRule type="cellIs" dxfId="84" priority="6" operator="greaterThan">
      <formula>0</formula>
    </cfRule>
  </conditionalFormatting>
  <conditionalFormatting sqref="S56:S63">
    <cfRule type="cellIs" dxfId="83" priority="3" operator="lessThan">
      <formula>0</formula>
    </cfRule>
    <cfRule type="cellIs" dxfId="82" priority="4" operator="greaterThan">
      <formula>0</formula>
    </cfRule>
  </conditionalFormatting>
  <conditionalFormatting sqref="W22:W30">
    <cfRule type="cellIs" dxfId="81" priority="1" operator="lessThan">
      <formula>0</formula>
    </cfRule>
    <cfRule type="cellIs" dxfId="8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632" t="s">
        <v>2</v>
      </c>
      <c r="C3" s="630" t="s">
        <v>3</v>
      </c>
      <c r="D3" s="628" t="s">
        <v>233</v>
      </c>
      <c r="E3" s="629"/>
      <c r="F3" s="628" t="s">
        <v>234</v>
      </c>
      <c r="G3" s="629"/>
      <c r="H3" s="628" t="s">
        <v>235</v>
      </c>
      <c r="I3" s="629"/>
      <c r="K3" s="632" t="s">
        <v>2</v>
      </c>
      <c r="L3" s="630" t="s">
        <v>3</v>
      </c>
      <c r="M3" s="628" t="s">
        <v>233</v>
      </c>
      <c r="N3" s="629"/>
      <c r="O3" s="628" t="s">
        <v>234</v>
      </c>
      <c r="P3" s="629"/>
      <c r="Q3" s="628" t="s">
        <v>235</v>
      </c>
      <c r="R3" s="629"/>
    </row>
    <row r="4" spans="2:20" ht="25.5" x14ac:dyDescent="0.25">
      <c r="B4" s="631"/>
      <c r="C4" s="631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631"/>
      <c r="L4" s="631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VAC_Optim_Scenario!B21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VAC_Optim_Scenario!B21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VAC_Optim_Scenario!B22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VAC_Optim_Scenario!B22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VAC_Optim_Scenario!B23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VAC_Optim_Scenario!B23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VAC_Optim_Scenario!B24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VAC_Optim_Scenario!B24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VAC_Optim_Scenario!B25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VAC_Optim_Scenario!B25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VAC_Optim_Scenario!B26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VAC_Optim_Scenario!B26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VAC_Optim_Scenario!B27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VAC_Optim_Scenario!B27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VAC_Optim_Scenario!B28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VAC_Optim_Scenario!B28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VAC_Optim_Scenario!B29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VAC_Optim_Scenario!B29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0"/>
      <c r="G16" s="330"/>
    </row>
    <row r="17" spans="2:19" ht="37.9" customHeight="1" x14ac:dyDescent="0.25">
      <c r="C17" s="630" t="s">
        <v>3</v>
      </c>
      <c r="D17" s="628" t="s">
        <v>233</v>
      </c>
      <c r="E17" s="629"/>
      <c r="F17" s="628" t="s">
        <v>240</v>
      </c>
      <c r="G17" s="629"/>
      <c r="H17" s="628" t="s">
        <v>241</v>
      </c>
      <c r="I17" s="629"/>
      <c r="L17" s="630" t="s">
        <v>3</v>
      </c>
      <c r="M17" s="628" t="s">
        <v>233</v>
      </c>
      <c r="N17" s="629"/>
      <c r="O17" s="628" t="s">
        <v>240</v>
      </c>
      <c r="P17" s="629"/>
      <c r="Q17" s="628" t="s">
        <v>241</v>
      </c>
      <c r="R17" s="629"/>
    </row>
    <row r="18" spans="2:19" ht="25.5" x14ac:dyDescent="0.25">
      <c r="C18" s="631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631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VAC_Optim_Scenario!B21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VAC_Optim_Scenario!B21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VAC_Optim_Scenario!B22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VAC_Optim_Scenario!B22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VAC_Optim_Scenario!B23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VAC_Optim_Scenario!B23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VAC_Optim_Scenario!B24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VAC_Optim_Scenario!B24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VAC_Optim_Scenario!B25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VAC_Optim_Scenario!B25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VAC_Optim_Scenario!B26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VAC_Optim_Scenario!B26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VAC_Optim_Scenario!B27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VAC_Optim_Scenario!B27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VAC_Optim_Scenario!B28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VAC_Optim_Scenario!B28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VAC_Optim_Scenario!B29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VAC_Optim_Scenario!B29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08" t="s">
        <v>3</v>
      </c>
      <c r="D30" s="309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VAC_Optim_Scenario!B21</f>
        <v>HCC In Office</v>
      </c>
      <c r="D31" s="310">
        <f>M19</f>
        <v>3.081</v>
      </c>
      <c r="E31" s="310">
        <f>O5</f>
        <v>1.659</v>
      </c>
      <c r="F31" s="310">
        <f>Q5</f>
        <v>3.081</v>
      </c>
      <c r="G31" s="310">
        <f>O19</f>
        <v>1.9760291300433497</v>
      </c>
      <c r="H31" s="310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VAC_Optim_Scenario!B22</f>
        <v>HCP MCM</v>
      </c>
      <c r="D32" s="311">
        <f t="shared" ref="D32:D39" si="4">M20</f>
        <v>7.9137499886468206</v>
      </c>
      <c r="E32" s="311">
        <f t="shared" ref="E32:E39" si="5">O6</f>
        <v>7.9137499886468206</v>
      </c>
      <c r="F32" s="311">
        <f t="shared" ref="F32:F39" si="6">Q6</f>
        <v>7.9137499886468206</v>
      </c>
      <c r="G32" s="311">
        <f t="shared" ref="G32:G39" si="7">O20</f>
        <v>7.9137499886468206</v>
      </c>
      <c r="H32" s="311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VAC_Optim_Scenario!B23</f>
        <v>HCC Social</v>
      </c>
      <c r="D33" s="311">
        <f t="shared" si="4"/>
        <v>2.9380000000000002</v>
      </c>
      <c r="E33" s="311">
        <f t="shared" si="5"/>
        <v>1.5820000000000001</v>
      </c>
      <c r="F33" s="311">
        <f t="shared" si="6"/>
        <v>2.9380000000000002</v>
      </c>
      <c r="G33" s="311">
        <f t="shared" si="7"/>
        <v>1.5820000000000001</v>
      </c>
      <c r="H33" s="311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VAC_Optim_Scenario!B24</f>
        <v>HCC Online Video</v>
      </c>
      <c r="D34" s="311">
        <f t="shared" si="4"/>
        <v>0.69299999999999995</v>
      </c>
      <c r="E34" s="311">
        <f t="shared" si="5"/>
        <v>0.69299999999999995</v>
      </c>
      <c r="F34" s="311">
        <f t="shared" si="6"/>
        <v>1.2869999999999999</v>
      </c>
      <c r="G34" s="311">
        <f t="shared" si="7"/>
        <v>0.69299999999999995</v>
      </c>
      <c r="H34" s="311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VAC_Optim_Scenario!B25</f>
        <v>HCC Streaming Video</v>
      </c>
      <c r="D35" s="311">
        <f t="shared" si="4"/>
        <v>3.9416439999999997</v>
      </c>
      <c r="E35" s="311">
        <f t="shared" si="5"/>
        <v>3.9416439999999997</v>
      </c>
      <c r="F35" s="311">
        <f t="shared" si="6"/>
        <v>7.3201960000000001</v>
      </c>
      <c r="G35" s="311">
        <f t="shared" si="7"/>
        <v>3.9416439999999997</v>
      </c>
      <c r="H35" s="311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VAC_Optim_Scenario!B26</f>
        <v>HCC Display</v>
      </c>
      <c r="D36" s="311">
        <f t="shared" si="4"/>
        <v>1.9214</v>
      </c>
      <c r="E36" s="311">
        <f t="shared" si="5"/>
        <v>1.9214</v>
      </c>
      <c r="F36" s="311">
        <f t="shared" si="6"/>
        <v>1.9214</v>
      </c>
      <c r="G36" s="311">
        <f t="shared" si="7"/>
        <v>1.9214</v>
      </c>
      <c r="H36" s="311">
        <f t="shared" si="8"/>
        <v>1.9214</v>
      </c>
    </row>
    <row r="37" spans="2:22" x14ac:dyDescent="0.25">
      <c r="B37" s="54" t="s">
        <v>154</v>
      </c>
      <c r="C37" s="293" t="str">
        <f>VAC_Optim_Scenario!B27</f>
        <v>HCC Paid Search</v>
      </c>
      <c r="D37" s="311">
        <f t="shared" si="4"/>
        <v>1.232</v>
      </c>
      <c r="E37" s="311">
        <f t="shared" si="5"/>
        <v>1.232</v>
      </c>
      <c r="F37" s="311">
        <f t="shared" si="6"/>
        <v>1.232</v>
      </c>
      <c r="G37" s="311">
        <f t="shared" si="7"/>
        <v>1.232</v>
      </c>
      <c r="H37" s="311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VAC_Optim_Scenario!B28</f>
        <v>HCC Audio</v>
      </c>
      <c r="D38" s="311">
        <f t="shared" si="4"/>
        <v>1.5996707428443773</v>
      </c>
      <c r="E38" s="311">
        <f t="shared" si="5"/>
        <v>0.91370790000000002</v>
      </c>
      <c r="F38" s="311">
        <f t="shared" si="6"/>
        <v>1.6968861000000002</v>
      </c>
      <c r="G38" s="311">
        <f t="shared" si="7"/>
        <v>0.91370789999999991</v>
      </c>
      <c r="H38" s="311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VAC_Optim_Scenario!B29</f>
        <v>HCC TV</v>
      </c>
      <c r="D39" s="311">
        <f t="shared" si="4"/>
        <v>15.034300118508808</v>
      </c>
      <c r="E39" s="311">
        <f t="shared" si="5"/>
        <v>11.531133494999999</v>
      </c>
      <c r="F39" s="311">
        <f t="shared" si="6"/>
        <v>18.498262961353184</v>
      </c>
      <c r="G39" s="311">
        <f t="shared" si="7"/>
        <v>11.531133494999999</v>
      </c>
      <c r="H39" s="311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632" t="s">
        <v>2</v>
      </c>
      <c r="C3" s="630" t="s">
        <v>3</v>
      </c>
      <c r="D3" s="628" t="s">
        <v>233</v>
      </c>
      <c r="E3" s="629"/>
      <c r="F3" s="628" t="s">
        <v>234</v>
      </c>
      <c r="G3" s="629"/>
      <c r="H3" s="628" t="s">
        <v>235</v>
      </c>
      <c r="I3" s="629"/>
      <c r="K3" s="632" t="s">
        <v>2</v>
      </c>
      <c r="L3" s="630" t="s">
        <v>3</v>
      </c>
      <c r="M3" s="628" t="s">
        <v>233</v>
      </c>
      <c r="N3" s="629"/>
      <c r="O3" s="628" t="s">
        <v>234</v>
      </c>
      <c r="P3" s="629"/>
      <c r="Q3" s="628" t="s">
        <v>235</v>
      </c>
      <c r="R3" s="629"/>
    </row>
    <row r="4" spans="2:20" ht="25.5" x14ac:dyDescent="0.25">
      <c r="B4" s="631"/>
      <c r="C4" s="631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631"/>
      <c r="L4" s="631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VAC_Optim_Scenario!B21</f>
        <v>HCC In Office</v>
      </c>
      <c r="D5" s="232">
        <f>VAC_Optim_Scenario!$H51</f>
        <v>1486235.6790270803</v>
      </c>
      <c r="E5" s="233">
        <f>VAC_Optim_Scenario!$J51</f>
        <v>4898979.1498100674</v>
      </c>
      <c r="F5" s="232">
        <f>VAC_Optim_Scenario!$H51</f>
        <v>1486235.6790270803</v>
      </c>
      <c r="G5" s="233">
        <f>VAC_Optim_Scenario!$J51</f>
        <v>4898979.1498100674</v>
      </c>
      <c r="H5" s="232">
        <f>VAC_Optim_Scenario!$H51</f>
        <v>1486235.6790270803</v>
      </c>
      <c r="I5" s="233">
        <f>VAC_Optim_Scenario!$J51</f>
        <v>4898979.1498100674</v>
      </c>
      <c r="J5" s="234"/>
      <c r="K5" s="53" t="s">
        <v>154</v>
      </c>
      <c r="L5" s="53" t="str">
        <f>VAC_Optim_Scenario!B21</f>
        <v>HCC In Office</v>
      </c>
      <c r="M5" s="235">
        <f>D5/1000000</f>
        <v>1.4862356790270803</v>
      </c>
      <c r="N5" s="236">
        <f t="shared" ref="N5:R13" si="0">E5/1000000</f>
        <v>4.8989791498100672</v>
      </c>
      <c r="O5" s="235">
        <f t="shared" si="0"/>
        <v>1.4862356790270803</v>
      </c>
      <c r="P5" s="236">
        <f t="shared" si="0"/>
        <v>4.8989791498100672</v>
      </c>
      <c r="Q5" s="235">
        <f t="shared" si="0"/>
        <v>1.4862356790270803</v>
      </c>
      <c r="R5" s="236">
        <f t="shared" si="0"/>
        <v>4.8989791498100672</v>
      </c>
    </row>
    <row r="6" spans="2:20" x14ac:dyDescent="0.25">
      <c r="B6" s="54" t="s">
        <v>154</v>
      </c>
      <c r="C6" s="237" t="str">
        <f>VAC_Optim_Scenario!B22</f>
        <v>HCP MCM</v>
      </c>
      <c r="D6" s="238">
        <f>VAC_Optim_Scenario!$H52</f>
        <v>14043651.326912649</v>
      </c>
      <c r="E6" s="239">
        <f>VAC_Optim_Scenario!$J52</f>
        <v>104956912.90580291</v>
      </c>
      <c r="F6" s="238">
        <f>VAC_Optim_Scenario!$H52</f>
        <v>14043651.326912649</v>
      </c>
      <c r="G6" s="239">
        <f>VAC_Optim_Scenario!$J52</f>
        <v>104956912.90580291</v>
      </c>
      <c r="H6" s="238">
        <f>VAC_Optim_Scenario!$H52</f>
        <v>14043651.326912649</v>
      </c>
      <c r="I6" s="239">
        <f>VAC_Optim_Scenario!$J52</f>
        <v>104956912.90580291</v>
      </c>
      <c r="J6" s="234"/>
      <c r="K6" s="54" t="s">
        <v>154</v>
      </c>
      <c r="L6" s="54" t="str">
        <f>VAC_Optim_Scenario!B22</f>
        <v>HCP MCM</v>
      </c>
      <c r="M6" s="240">
        <f t="shared" ref="M6:M13" si="1">D6/1000000</f>
        <v>14.043651326912649</v>
      </c>
      <c r="N6" s="241">
        <f t="shared" si="0"/>
        <v>104.95691290580291</v>
      </c>
      <c r="O6" s="240">
        <f t="shared" si="0"/>
        <v>14.043651326912649</v>
      </c>
      <c r="P6" s="241">
        <f t="shared" si="0"/>
        <v>104.95691290580291</v>
      </c>
      <c r="Q6" s="240">
        <f t="shared" si="0"/>
        <v>14.043651326912649</v>
      </c>
      <c r="R6" s="241">
        <f t="shared" si="0"/>
        <v>104.95691290580291</v>
      </c>
    </row>
    <row r="7" spans="2:20" x14ac:dyDescent="0.25">
      <c r="B7" s="54" t="s">
        <v>154</v>
      </c>
      <c r="C7" s="237" t="str">
        <f>VAC_Optim_Scenario!B23</f>
        <v>HCC Social</v>
      </c>
      <c r="D7" s="238">
        <f>VAC_Optim_Scenario!$H53</f>
        <v>6500000</v>
      </c>
      <c r="E7" s="239">
        <f>VAC_Optim_Scenario!$J53</f>
        <v>44377967.027515724</v>
      </c>
      <c r="F7" s="238">
        <f>VAC_Optim_Scenario!$H53</f>
        <v>6500000</v>
      </c>
      <c r="G7" s="239">
        <f>VAC_Optim_Scenario!$J53</f>
        <v>44377967.027515724</v>
      </c>
      <c r="H7" s="238">
        <f>VAC_Optim_Scenario!$H53</f>
        <v>6500000</v>
      </c>
      <c r="I7" s="239">
        <f>VAC_Optim_Scenario!$J53</f>
        <v>44377967.027515724</v>
      </c>
      <c r="J7" s="242"/>
      <c r="K7" s="54" t="s">
        <v>154</v>
      </c>
      <c r="L7" s="54" t="str">
        <f>VAC_Optim_Scenario!B23</f>
        <v>HCC Social</v>
      </c>
      <c r="M7" s="240">
        <f t="shared" si="1"/>
        <v>6.5</v>
      </c>
      <c r="N7" s="241">
        <f t="shared" si="0"/>
        <v>44.377967027515723</v>
      </c>
      <c r="O7" s="240">
        <f t="shared" si="0"/>
        <v>6.5</v>
      </c>
      <c r="P7" s="241">
        <f t="shared" si="0"/>
        <v>44.377967027515723</v>
      </c>
      <c r="Q7" s="240">
        <f t="shared" si="0"/>
        <v>6.5</v>
      </c>
      <c r="R7" s="241">
        <f t="shared" si="0"/>
        <v>44.377967027515723</v>
      </c>
    </row>
    <row r="8" spans="2:20" x14ac:dyDescent="0.25">
      <c r="B8" s="54" t="s">
        <v>154</v>
      </c>
      <c r="C8" s="237" t="str">
        <f>VAC_Optim_Scenario!B24</f>
        <v>HCC Online Video</v>
      </c>
      <c r="D8" s="238">
        <f>VAC_Optim_Scenario!$H54</f>
        <v>1000000</v>
      </c>
      <c r="E8" s="239">
        <f>VAC_Optim_Scenario!$J54</f>
        <v>5668483.3276297525</v>
      </c>
      <c r="F8" s="238">
        <f>VAC_Optim_Scenario!$H54</f>
        <v>1000000</v>
      </c>
      <c r="G8" s="239">
        <f>VAC_Optim_Scenario!$J54</f>
        <v>5668483.3276297525</v>
      </c>
      <c r="H8" s="238">
        <f>VAC_Optim_Scenario!$H54</f>
        <v>1000000</v>
      </c>
      <c r="I8" s="239">
        <f>VAC_Optim_Scenario!$J54</f>
        <v>5668483.3276297525</v>
      </c>
      <c r="J8" s="234"/>
      <c r="K8" s="54" t="s">
        <v>154</v>
      </c>
      <c r="L8" s="54" t="str">
        <f>VAC_Optim_Scenario!B24</f>
        <v>HCC Online Video</v>
      </c>
      <c r="M8" s="240">
        <f t="shared" si="1"/>
        <v>1</v>
      </c>
      <c r="N8" s="241">
        <f t="shared" si="0"/>
        <v>5.6684833276297528</v>
      </c>
      <c r="O8" s="240">
        <f t="shared" si="0"/>
        <v>1</v>
      </c>
      <c r="P8" s="241">
        <f t="shared" si="0"/>
        <v>5.6684833276297528</v>
      </c>
      <c r="Q8" s="240">
        <f t="shared" si="0"/>
        <v>1</v>
      </c>
      <c r="R8" s="241">
        <f t="shared" si="0"/>
        <v>5.6684833276297528</v>
      </c>
    </row>
    <row r="9" spans="2:20" x14ac:dyDescent="0.25">
      <c r="B9" s="54" t="s">
        <v>154</v>
      </c>
      <c r="C9" s="237" t="str">
        <f>VAC_Optim_Scenario!B25</f>
        <v>HCC Streaming Video</v>
      </c>
      <c r="D9" s="238">
        <f>VAC_Optim_Scenario!$H55</f>
        <v>12070113</v>
      </c>
      <c r="E9" s="239">
        <f>VAC_Optim_Scenario!$J55</f>
        <v>58336502.542934552</v>
      </c>
      <c r="F9" s="238">
        <f>VAC_Optim_Scenario!$H55</f>
        <v>12070113</v>
      </c>
      <c r="G9" s="239">
        <f>VAC_Optim_Scenario!$J55</f>
        <v>58336502.542934552</v>
      </c>
      <c r="H9" s="238">
        <f>VAC_Optim_Scenario!$H55</f>
        <v>12070113</v>
      </c>
      <c r="I9" s="239">
        <f>VAC_Optim_Scenario!$J55</f>
        <v>58336502.542934552</v>
      </c>
      <c r="J9" s="242"/>
      <c r="K9" s="54" t="s">
        <v>154</v>
      </c>
      <c r="L9" s="54" t="str">
        <f>VAC_Optim_Scenario!B25</f>
        <v>HCC Streaming Video</v>
      </c>
      <c r="M9" s="240">
        <f t="shared" si="1"/>
        <v>12.070112999999999</v>
      </c>
      <c r="N9" s="241">
        <f t="shared" si="0"/>
        <v>58.336502542934554</v>
      </c>
      <c r="O9" s="240">
        <f t="shared" si="0"/>
        <v>12.070112999999999</v>
      </c>
      <c r="P9" s="241">
        <f t="shared" si="0"/>
        <v>58.336502542934554</v>
      </c>
      <c r="Q9" s="240">
        <f t="shared" si="0"/>
        <v>12.070112999999999</v>
      </c>
      <c r="R9" s="241">
        <f t="shared" si="0"/>
        <v>58.336502542934554</v>
      </c>
    </row>
    <row r="10" spans="2:20" x14ac:dyDescent="0.25">
      <c r="B10" s="54" t="s">
        <v>154</v>
      </c>
      <c r="C10" s="237" t="str">
        <f>VAC_Optim_Scenario!B26</f>
        <v>HCC Display</v>
      </c>
      <c r="D10" s="238">
        <f>VAC_Optim_Scenario!$H56</f>
        <v>7000000.0000000009</v>
      </c>
      <c r="E10" s="239">
        <f>VAC_Optim_Scenario!$J56</f>
        <v>74111465.228846326</v>
      </c>
      <c r="F10" s="238">
        <f>VAC_Optim_Scenario!$H56</f>
        <v>7000000.0000000009</v>
      </c>
      <c r="G10" s="239">
        <f>VAC_Optim_Scenario!$J56</f>
        <v>74111465.228846326</v>
      </c>
      <c r="H10" s="238">
        <f>VAC_Optim_Scenario!$H56</f>
        <v>7000000.0000000009</v>
      </c>
      <c r="I10" s="239">
        <f>VAC_Optim_Scenario!$J56</f>
        <v>74111465.228846326</v>
      </c>
      <c r="J10" s="242"/>
      <c r="K10" s="54" t="s">
        <v>154</v>
      </c>
      <c r="L10" s="54" t="str">
        <f>VAC_Optim_Scenario!B26</f>
        <v>HCC Display</v>
      </c>
      <c r="M10" s="240">
        <f t="shared" si="1"/>
        <v>7.0000000000000009</v>
      </c>
      <c r="N10" s="241">
        <f t="shared" si="0"/>
        <v>74.111465228846328</v>
      </c>
      <c r="O10" s="240">
        <f t="shared" si="0"/>
        <v>7.0000000000000009</v>
      </c>
      <c r="P10" s="241">
        <f t="shared" si="0"/>
        <v>74.111465228846328</v>
      </c>
      <c r="Q10" s="240">
        <f t="shared" si="0"/>
        <v>7.0000000000000009</v>
      </c>
      <c r="R10" s="241">
        <f t="shared" si="0"/>
        <v>74.111465228846328</v>
      </c>
    </row>
    <row r="11" spans="2:20" x14ac:dyDescent="0.25">
      <c r="B11" s="54" t="s">
        <v>154</v>
      </c>
      <c r="C11" s="237" t="str">
        <f>VAC_Optim_Scenario!B27</f>
        <v>HCC Paid Search</v>
      </c>
      <c r="D11" s="238">
        <f>VAC_Optim_Scenario!$H57</f>
        <v>400000</v>
      </c>
      <c r="E11" s="239">
        <f>VAC_Optim_Scenario!$J57</f>
        <v>32769965.884320233</v>
      </c>
      <c r="F11" s="238">
        <f>VAC_Optim_Scenario!$H57</f>
        <v>400000</v>
      </c>
      <c r="G11" s="239">
        <f>VAC_Optim_Scenario!$J57</f>
        <v>32769965.884320233</v>
      </c>
      <c r="H11" s="238">
        <f>VAC_Optim_Scenario!$H57</f>
        <v>400000</v>
      </c>
      <c r="I11" s="239">
        <f>VAC_Optim_Scenario!$J57</f>
        <v>32769965.884320233</v>
      </c>
      <c r="J11" s="234"/>
      <c r="K11" s="54" t="s">
        <v>154</v>
      </c>
      <c r="L11" s="54" t="str">
        <f>VAC_Optim_Scenario!B27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VAC_Optim_Scenario!B28</f>
        <v>HCC Audio</v>
      </c>
      <c r="D12" s="238">
        <f>VAC_Optim_Scenario!$H58</f>
        <v>4800000</v>
      </c>
      <c r="E12" s="239">
        <f>VAC_Optim_Scenario!$J58</f>
        <v>32875287.531392161</v>
      </c>
      <c r="F12" s="238">
        <f>VAC_Optim_Scenario!$H58</f>
        <v>4800000</v>
      </c>
      <c r="G12" s="239">
        <f>VAC_Optim_Scenario!$J58</f>
        <v>32875287.531392161</v>
      </c>
      <c r="H12" s="238">
        <f>VAC_Optim_Scenario!$H58</f>
        <v>4800000</v>
      </c>
      <c r="I12" s="239">
        <f>VAC_Optim_Scenario!$J58</f>
        <v>32875287.531392161</v>
      </c>
      <c r="J12" s="234"/>
      <c r="K12" s="54" t="s">
        <v>154</v>
      </c>
      <c r="L12" s="54" t="str">
        <f>VAC_Optim_Scenario!B28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VAC_Optim_Scenario!B29</f>
        <v>HCC TV</v>
      </c>
      <c r="D13" s="252">
        <f>VAC_Optim_Scenario!$H59</f>
        <v>15700000</v>
      </c>
      <c r="E13" s="252">
        <f>VAC_Optim_Scenario!$J59</f>
        <v>64117823.465933323</v>
      </c>
      <c r="F13" s="252">
        <f>VAC_Optim_Scenario!$H59</f>
        <v>15700000</v>
      </c>
      <c r="G13" s="252">
        <f>VAC_Optim_Scenario!$J59</f>
        <v>64117823.465933323</v>
      </c>
      <c r="H13" s="252">
        <f>VAC_Optim_Scenario!$H59</f>
        <v>15700000</v>
      </c>
      <c r="I13" s="252">
        <f>VAC_Optim_Scenario!$J59</f>
        <v>64117823.465933323</v>
      </c>
      <c r="J13" s="234"/>
      <c r="K13" s="251" t="s">
        <v>154</v>
      </c>
      <c r="L13" s="251" t="str">
        <f>VAC_Optim_Scenario!B29</f>
        <v>HCC TV</v>
      </c>
      <c r="M13" s="245">
        <f t="shared" si="1"/>
        <v>15.7</v>
      </c>
      <c r="N13" s="245">
        <f t="shared" si="0"/>
        <v>64.117823465933327</v>
      </c>
      <c r="O13" s="245">
        <f t="shared" si="0"/>
        <v>15.7</v>
      </c>
      <c r="P13" s="245">
        <f t="shared" si="0"/>
        <v>64.117823465933327</v>
      </c>
      <c r="Q13" s="245">
        <f t="shared" si="0"/>
        <v>15.7</v>
      </c>
      <c r="R13" s="245">
        <f t="shared" si="0"/>
        <v>64.117823465933327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630" t="s">
        <v>3</v>
      </c>
      <c r="D17" s="628" t="s">
        <v>233</v>
      </c>
      <c r="E17" s="629"/>
      <c r="F17" s="628" t="s">
        <v>240</v>
      </c>
      <c r="G17" s="629"/>
      <c r="H17" s="628" t="s">
        <v>241</v>
      </c>
      <c r="I17" s="629"/>
      <c r="L17" s="630" t="s">
        <v>3</v>
      </c>
      <c r="M17" s="628" t="s">
        <v>233</v>
      </c>
      <c r="N17" s="629"/>
      <c r="O17" s="628" t="s">
        <v>240</v>
      </c>
      <c r="P17" s="629"/>
      <c r="Q17" s="628" t="s">
        <v>241</v>
      </c>
      <c r="R17" s="629"/>
    </row>
    <row r="18" spans="2:19" ht="25.5" x14ac:dyDescent="0.25">
      <c r="C18" s="631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631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VAC_Optim_Scenario!B21</f>
        <v>HCC In Office</v>
      </c>
      <c r="D19" s="232">
        <f>VAC_Optim_Scenario!$H51</f>
        <v>1486235.6790270803</v>
      </c>
      <c r="E19" s="233">
        <f>VAC_Optim_Scenario!$J51</f>
        <v>4898979.1498100674</v>
      </c>
      <c r="F19" s="232">
        <f>VAC_Optim_Scenario!$H51</f>
        <v>1486235.6790270803</v>
      </c>
      <c r="G19" s="233">
        <f>VAC_Optim_Scenario!$J51</f>
        <v>4898979.1498100674</v>
      </c>
      <c r="H19" s="232">
        <f>VAC_Optim_Scenario!$H51</f>
        <v>1486235.6790270803</v>
      </c>
      <c r="I19" s="233">
        <f>VAC_Optim_Scenario!$J51</f>
        <v>4898979.1498100674</v>
      </c>
      <c r="J19" s="234"/>
      <c r="K19" s="53" t="s">
        <v>154</v>
      </c>
      <c r="L19" s="231" t="str">
        <f>VAC_Optim_Scenario!B21</f>
        <v>HCC In Office</v>
      </c>
      <c r="M19" s="235">
        <f>D19/1000000</f>
        <v>1.4862356790270803</v>
      </c>
      <c r="N19" s="236">
        <f t="shared" ref="N19:R27" si="2">E19/1000000</f>
        <v>4.8989791498100672</v>
      </c>
      <c r="O19" s="235">
        <f t="shared" si="2"/>
        <v>1.4862356790270803</v>
      </c>
      <c r="P19" s="236">
        <f t="shared" si="2"/>
        <v>4.8989791498100672</v>
      </c>
      <c r="Q19" s="235">
        <f t="shared" si="2"/>
        <v>1.4862356790270803</v>
      </c>
      <c r="R19" s="236">
        <f t="shared" si="2"/>
        <v>4.8989791498100672</v>
      </c>
    </row>
    <row r="20" spans="2:19" x14ac:dyDescent="0.25">
      <c r="B20" s="54" t="s">
        <v>154</v>
      </c>
      <c r="C20" s="237" t="str">
        <f>VAC_Optim_Scenario!B22</f>
        <v>HCP MCM</v>
      </c>
      <c r="D20" s="238">
        <f>VAC_Optim_Scenario!$H52</f>
        <v>14043651.326912649</v>
      </c>
      <c r="E20" s="239">
        <f>VAC_Optim_Scenario!$J52</f>
        <v>104956912.90580291</v>
      </c>
      <c r="F20" s="238">
        <f>VAC_Optim_Scenario!$H52</f>
        <v>14043651.326912649</v>
      </c>
      <c r="G20" s="239">
        <f>VAC_Optim_Scenario!$J52</f>
        <v>104956912.90580291</v>
      </c>
      <c r="H20" s="238">
        <f>VAC_Optim_Scenario!$H52</f>
        <v>14043651.326912649</v>
      </c>
      <c r="I20" s="239">
        <f>VAC_Optim_Scenario!$J52</f>
        <v>104956912.90580291</v>
      </c>
      <c r="J20" s="234"/>
      <c r="K20" s="54" t="s">
        <v>154</v>
      </c>
      <c r="L20" s="237" t="str">
        <f>VAC_Optim_Scenario!B22</f>
        <v>HCP MCM</v>
      </c>
      <c r="M20" s="240">
        <f t="shared" ref="M20:M27" si="3">D20/1000000</f>
        <v>14.043651326912649</v>
      </c>
      <c r="N20" s="241">
        <f t="shared" si="2"/>
        <v>104.95691290580291</v>
      </c>
      <c r="O20" s="240">
        <f t="shared" si="2"/>
        <v>14.043651326912649</v>
      </c>
      <c r="P20" s="241">
        <f t="shared" si="2"/>
        <v>104.95691290580291</v>
      </c>
      <c r="Q20" s="240">
        <f t="shared" si="2"/>
        <v>14.043651326912649</v>
      </c>
      <c r="R20" s="241">
        <f t="shared" si="2"/>
        <v>104.95691290580291</v>
      </c>
    </row>
    <row r="21" spans="2:19" x14ac:dyDescent="0.25">
      <c r="B21" s="54" t="s">
        <v>154</v>
      </c>
      <c r="C21" s="237" t="str">
        <f>VAC_Optim_Scenario!B23</f>
        <v>HCC Social</v>
      </c>
      <c r="D21" s="238">
        <f>VAC_Optim_Scenario!$H53</f>
        <v>6500000</v>
      </c>
      <c r="E21" s="239">
        <f>VAC_Optim_Scenario!$J53</f>
        <v>44377967.027515724</v>
      </c>
      <c r="F21" s="238">
        <f>VAC_Optim_Scenario!$H53</f>
        <v>6500000</v>
      </c>
      <c r="G21" s="239">
        <f>VAC_Optim_Scenario!$J53</f>
        <v>44377967.027515724</v>
      </c>
      <c r="H21" s="238">
        <f>VAC_Optim_Scenario!$H53</f>
        <v>6500000</v>
      </c>
      <c r="I21" s="239">
        <f>VAC_Optim_Scenario!$J53</f>
        <v>44377967.027515724</v>
      </c>
      <c r="J21" s="242"/>
      <c r="K21" s="54" t="s">
        <v>154</v>
      </c>
      <c r="L21" s="237" t="str">
        <f>VAC_Optim_Scenario!B23</f>
        <v>HCC Social</v>
      </c>
      <c r="M21" s="240">
        <f t="shared" si="3"/>
        <v>6.5</v>
      </c>
      <c r="N21" s="241">
        <f t="shared" si="2"/>
        <v>44.377967027515723</v>
      </c>
      <c r="O21" s="240">
        <f t="shared" si="2"/>
        <v>6.5</v>
      </c>
      <c r="P21" s="241">
        <f t="shared" si="2"/>
        <v>44.377967027515723</v>
      </c>
      <c r="Q21" s="240">
        <f t="shared" si="2"/>
        <v>6.5</v>
      </c>
      <c r="R21" s="241">
        <f t="shared" si="2"/>
        <v>44.377967027515723</v>
      </c>
    </row>
    <row r="22" spans="2:19" x14ac:dyDescent="0.25">
      <c r="B22" s="54" t="s">
        <v>154</v>
      </c>
      <c r="C22" s="237" t="str">
        <f>VAC_Optim_Scenario!B24</f>
        <v>HCC Online Video</v>
      </c>
      <c r="D22" s="238">
        <f>VAC_Optim_Scenario!$H54</f>
        <v>1000000</v>
      </c>
      <c r="E22" s="239">
        <f>VAC_Optim_Scenario!$J54</f>
        <v>5668483.3276297525</v>
      </c>
      <c r="F22" s="238">
        <f>VAC_Optim_Scenario!$H54</f>
        <v>1000000</v>
      </c>
      <c r="G22" s="239">
        <f>VAC_Optim_Scenario!$J54</f>
        <v>5668483.3276297525</v>
      </c>
      <c r="H22" s="238">
        <f>VAC_Optim_Scenario!$H54</f>
        <v>1000000</v>
      </c>
      <c r="I22" s="239">
        <f>VAC_Optim_Scenario!$J54</f>
        <v>5668483.3276297525</v>
      </c>
      <c r="J22" s="234"/>
      <c r="K22" s="54" t="s">
        <v>154</v>
      </c>
      <c r="L22" s="237" t="str">
        <f>VAC_Optim_Scenario!B24</f>
        <v>HCC Online Video</v>
      </c>
      <c r="M22" s="240">
        <f t="shared" si="3"/>
        <v>1</v>
      </c>
      <c r="N22" s="241">
        <f t="shared" si="2"/>
        <v>5.6684833276297528</v>
      </c>
      <c r="O22" s="240">
        <f t="shared" si="2"/>
        <v>1</v>
      </c>
      <c r="P22" s="241">
        <f t="shared" si="2"/>
        <v>5.6684833276297528</v>
      </c>
      <c r="Q22" s="240">
        <f t="shared" si="2"/>
        <v>1</v>
      </c>
      <c r="R22" s="241">
        <f t="shared" si="2"/>
        <v>5.6684833276297528</v>
      </c>
    </row>
    <row r="23" spans="2:19" x14ac:dyDescent="0.25">
      <c r="B23" s="54" t="s">
        <v>154</v>
      </c>
      <c r="C23" s="237" t="str">
        <f>VAC_Optim_Scenario!B25</f>
        <v>HCC Streaming Video</v>
      </c>
      <c r="D23" s="238">
        <f>VAC_Optim_Scenario!$H55</f>
        <v>12070113</v>
      </c>
      <c r="E23" s="239">
        <f>VAC_Optim_Scenario!$J55</f>
        <v>58336502.542934552</v>
      </c>
      <c r="F23" s="238">
        <f>VAC_Optim_Scenario!$H55</f>
        <v>12070113</v>
      </c>
      <c r="G23" s="239">
        <f>VAC_Optim_Scenario!$J55</f>
        <v>58336502.542934552</v>
      </c>
      <c r="H23" s="238">
        <f>VAC_Optim_Scenario!$H55</f>
        <v>12070113</v>
      </c>
      <c r="I23" s="239">
        <f>VAC_Optim_Scenario!$J55</f>
        <v>58336502.542934552</v>
      </c>
      <c r="J23" s="242"/>
      <c r="K23" s="54" t="s">
        <v>154</v>
      </c>
      <c r="L23" s="237" t="str">
        <f>VAC_Optim_Scenario!B25</f>
        <v>HCC Streaming Video</v>
      </c>
      <c r="M23" s="240">
        <f t="shared" si="3"/>
        <v>12.070112999999999</v>
      </c>
      <c r="N23" s="241">
        <f t="shared" si="2"/>
        <v>58.336502542934554</v>
      </c>
      <c r="O23" s="240">
        <f t="shared" si="2"/>
        <v>12.070112999999999</v>
      </c>
      <c r="P23" s="241">
        <f t="shared" si="2"/>
        <v>58.336502542934554</v>
      </c>
      <c r="Q23" s="240">
        <f t="shared" si="2"/>
        <v>12.070112999999999</v>
      </c>
      <c r="R23" s="241">
        <f t="shared" si="2"/>
        <v>58.336502542934554</v>
      </c>
    </row>
    <row r="24" spans="2:19" x14ac:dyDescent="0.25">
      <c r="B24" s="54" t="s">
        <v>154</v>
      </c>
      <c r="C24" s="237" t="str">
        <f>VAC_Optim_Scenario!B26</f>
        <v>HCC Display</v>
      </c>
      <c r="D24" s="238">
        <f>VAC_Optim_Scenario!$H56</f>
        <v>7000000.0000000009</v>
      </c>
      <c r="E24" s="239">
        <f>VAC_Optim_Scenario!$J56</f>
        <v>74111465.228846326</v>
      </c>
      <c r="F24" s="238">
        <f>VAC_Optim_Scenario!$H56</f>
        <v>7000000.0000000009</v>
      </c>
      <c r="G24" s="239">
        <f>VAC_Optim_Scenario!$J56</f>
        <v>74111465.228846326</v>
      </c>
      <c r="H24" s="238">
        <f>VAC_Optim_Scenario!$H56</f>
        <v>7000000.0000000009</v>
      </c>
      <c r="I24" s="239">
        <f>VAC_Optim_Scenario!$J56</f>
        <v>74111465.228846326</v>
      </c>
      <c r="J24" s="242"/>
      <c r="K24" s="54" t="s">
        <v>154</v>
      </c>
      <c r="L24" s="237" t="str">
        <f>VAC_Optim_Scenario!B26</f>
        <v>HCC Display</v>
      </c>
      <c r="M24" s="240">
        <f t="shared" si="3"/>
        <v>7.0000000000000009</v>
      </c>
      <c r="N24" s="241">
        <f t="shared" si="2"/>
        <v>74.111465228846328</v>
      </c>
      <c r="O24" s="240">
        <f t="shared" si="2"/>
        <v>7.0000000000000009</v>
      </c>
      <c r="P24" s="241">
        <f t="shared" si="2"/>
        <v>74.111465228846328</v>
      </c>
      <c r="Q24" s="240">
        <f t="shared" si="2"/>
        <v>7.0000000000000009</v>
      </c>
      <c r="R24" s="241">
        <f t="shared" si="2"/>
        <v>74.111465228846328</v>
      </c>
    </row>
    <row r="25" spans="2:19" x14ac:dyDescent="0.25">
      <c r="B25" s="54" t="s">
        <v>154</v>
      </c>
      <c r="C25" s="237" t="str">
        <f>VAC_Optim_Scenario!B27</f>
        <v>HCC Paid Search</v>
      </c>
      <c r="D25" s="238">
        <f>VAC_Optim_Scenario!$H57</f>
        <v>400000</v>
      </c>
      <c r="E25" s="239">
        <f>VAC_Optim_Scenario!$J57</f>
        <v>32769965.884320233</v>
      </c>
      <c r="F25" s="238">
        <f>VAC_Optim_Scenario!$H57</f>
        <v>400000</v>
      </c>
      <c r="G25" s="239">
        <f>VAC_Optim_Scenario!$J57</f>
        <v>32769965.884320233</v>
      </c>
      <c r="H25" s="238">
        <f>VAC_Optim_Scenario!$H57</f>
        <v>400000</v>
      </c>
      <c r="I25" s="239">
        <f>VAC_Optim_Scenario!$J57</f>
        <v>32769965.884320233</v>
      </c>
      <c r="J25" s="242"/>
      <c r="K25" s="54" t="s">
        <v>154</v>
      </c>
      <c r="L25" s="237" t="str">
        <f>VAC_Optim_Scenario!B27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VAC_Optim_Scenario!B28</f>
        <v>HCC Audio</v>
      </c>
      <c r="D26" s="238">
        <f>VAC_Optim_Scenario!$H58</f>
        <v>4800000</v>
      </c>
      <c r="E26" s="239">
        <f>VAC_Optim_Scenario!$J58</f>
        <v>32875287.531392161</v>
      </c>
      <c r="F26" s="238">
        <f>VAC_Optim_Scenario!$H58</f>
        <v>4800000</v>
      </c>
      <c r="G26" s="239">
        <f>VAC_Optim_Scenario!$J58</f>
        <v>32875287.531392161</v>
      </c>
      <c r="H26" s="238">
        <f>VAC_Optim_Scenario!$H58</f>
        <v>4800000</v>
      </c>
      <c r="I26" s="239">
        <f>VAC_Optim_Scenario!$J58</f>
        <v>32875287.531392161</v>
      </c>
      <c r="J26" s="242"/>
      <c r="K26" s="54" t="s">
        <v>154</v>
      </c>
      <c r="L26" s="237" t="str">
        <f>VAC_Optim_Scenario!B28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VAC_Optim_Scenario!B29</f>
        <v>HCC TV</v>
      </c>
      <c r="D27" s="252">
        <f>VAC_Optim_Scenario!$H59</f>
        <v>15700000</v>
      </c>
      <c r="E27" s="252">
        <f>VAC_Optim_Scenario!$J59</f>
        <v>64117823.465933323</v>
      </c>
      <c r="F27" s="252">
        <f>VAC_Optim_Scenario!$H59</f>
        <v>15700000</v>
      </c>
      <c r="G27" s="252">
        <f>VAC_Optim_Scenario!$J59</f>
        <v>64117823.465933323</v>
      </c>
      <c r="H27" s="252">
        <f>VAC_Optim_Scenario!$H59</f>
        <v>15700000</v>
      </c>
      <c r="I27" s="252">
        <f>VAC_Optim_Scenario!$J59</f>
        <v>64117823.465933323</v>
      </c>
      <c r="J27" s="242"/>
      <c r="K27" s="251" t="s">
        <v>154</v>
      </c>
      <c r="L27" s="223" t="str">
        <f>VAC_Optim_Scenario!B29</f>
        <v>HCC TV</v>
      </c>
      <c r="M27" s="245">
        <f t="shared" si="3"/>
        <v>15.7</v>
      </c>
      <c r="N27" s="245">
        <f t="shared" si="2"/>
        <v>64.117823465933327</v>
      </c>
      <c r="O27" s="245">
        <f t="shared" si="2"/>
        <v>15.7</v>
      </c>
      <c r="P27" s="245">
        <f t="shared" si="2"/>
        <v>64.117823465933327</v>
      </c>
      <c r="Q27" s="245">
        <f t="shared" si="2"/>
        <v>15.7</v>
      </c>
      <c r="R27" s="245">
        <f t="shared" si="2"/>
        <v>64.117823465933327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VAC_Optim_Scenario!B21</f>
        <v>HCC In Office</v>
      </c>
      <c r="D31" s="235">
        <f>M19</f>
        <v>1.4862356790270803</v>
      </c>
      <c r="E31" s="235">
        <f>O5</f>
        <v>1.4862356790270803</v>
      </c>
      <c r="F31" s="235">
        <f>Q5</f>
        <v>1.4862356790270803</v>
      </c>
      <c r="G31" s="235">
        <f>O19</f>
        <v>1.4862356790270803</v>
      </c>
      <c r="H31" s="235">
        <f>Q19</f>
        <v>1.4862356790270803</v>
      </c>
      <c r="J31" s="244">
        <v>-0.5</v>
      </c>
      <c r="K31" s="245">
        <f>E$31</f>
        <v>1.4862356790270803</v>
      </c>
      <c r="L31" s="245">
        <f>E$32</f>
        <v>14.043651326912649</v>
      </c>
      <c r="M31" s="245">
        <f>E$33</f>
        <v>6.5</v>
      </c>
      <c r="N31" s="245">
        <f>E$34</f>
        <v>1</v>
      </c>
      <c r="O31" s="245">
        <f>E$35</f>
        <v>12.070112999999999</v>
      </c>
      <c r="P31" s="245">
        <f>E$36</f>
        <v>7.0000000000000009</v>
      </c>
      <c r="Q31" s="245">
        <f>E$37</f>
        <v>0.4</v>
      </c>
      <c r="R31" s="245">
        <f>E$38</f>
        <v>4.8</v>
      </c>
      <c r="S31" s="245">
        <f>E$39</f>
        <v>15.7</v>
      </c>
    </row>
    <row r="32" spans="2:19" x14ac:dyDescent="0.25">
      <c r="B32" s="54" t="s">
        <v>154</v>
      </c>
      <c r="C32" s="293" t="str">
        <f>VAC_Optim_Scenario!B22</f>
        <v>HCP MCM</v>
      </c>
      <c r="D32" s="240">
        <f t="shared" ref="D32:D39" si="4">M20</f>
        <v>14.043651326912649</v>
      </c>
      <c r="E32" s="240">
        <f t="shared" ref="E32:E39" si="5">O6</f>
        <v>14.043651326912649</v>
      </c>
      <c r="F32" s="240">
        <f t="shared" ref="F32:F39" si="6">Q6</f>
        <v>14.043651326912649</v>
      </c>
      <c r="G32" s="240">
        <f t="shared" ref="G32:G39" si="7">O20</f>
        <v>14.043651326912649</v>
      </c>
      <c r="H32" s="240">
        <f t="shared" ref="H32:H39" si="8">Q20</f>
        <v>14.043651326912649</v>
      </c>
      <c r="J32" s="244">
        <v>-0.4</v>
      </c>
      <c r="K32" s="245">
        <f>G$31</f>
        <v>1.4862356790270803</v>
      </c>
      <c r="L32" s="245">
        <f>G$32</f>
        <v>14.043651326912649</v>
      </c>
      <c r="M32" s="245">
        <f>G$33</f>
        <v>6.5</v>
      </c>
      <c r="N32" s="245">
        <f>G$34</f>
        <v>1</v>
      </c>
      <c r="O32" s="245">
        <f>G$35</f>
        <v>12.070112999999999</v>
      </c>
      <c r="P32" s="245">
        <f>G$36</f>
        <v>7.0000000000000009</v>
      </c>
      <c r="Q32" s="245">
        <f>G$37</f>
        <v>0.4</v>
      </c>
      <c r="R32" s="245">
        <f>G$38</f>
        <v>4.8</v>
      </c>
      <c r="S32" s="245">
        <f>G$39</f>
        <v>15.7</v>
      </c>
    </row>
    <row r="33" spans="2:22" x14ac:dyDescent="0.25">
      <c r="B33" s="54" t="s">
        <v>154</v>
      </c>
      <c r="C33" s="293" t="str">
        <f>VAC_Optim_Scenario!B23</f>
        <v>HCC Social</v>
      </c>
      <c r="D33" s="240">
        <f t="shared" si="4"/>
        <v>6.5</v>
      </c>
      <c r="E33" s="240">
        <f t="shared" si="5"/>
        <v>6.5</v>
      </c>
      <c r="F33" s="240">
        <f t="shared" si="6"/>
        <v>6.5</v>
      </c>
      <c r="G33" s="240">
        <f t="shared" si="7"/>
        <v>6.5</v>
      </c>
      <c r="H33" s="240">
        <f t="shared" si="8"/>
        <v>6.5</v>
      </c>
      <c r="J33" s="244" t="s">
        <v>242</v>
      </c>
      <c r="K33" s="245">
        <f>D$31</f>
        <v>1.4862356790270803</v>
      </c>
      <c r="L33" s="245">
        <f>D$32</f>
        <v>14.043651326912649</v>
      </c>
      <c r="M33" s="245">
        <f>D$33</f>
        <v>6.5</v>
      </c>
      <c r="N33" s="245">
        <f>D$34</f>
        <v>1</v>
      </c>
      <c r="O33" s="245">
        <f>D$35</f>
        <v>12.070112999999999</v>
      </c>
      <c r="P33" s="245">
        <f>D$36</f>
        <v>7.0000000000000009</v>
      </c>
      <c r="Q33" s="245">
        <f>D$37</f>
        <v>0.4</v>
      </c>
      <c r="R33" s="245">
        <f>D$38</f>
        <v>4.8</v>
      </c>
      <c r="S33" s="245">
        <f>D$39</f>
        <v>15.7</v>
      </c>
    </row>
    <row r="34" spans="2:22" x14ac:dyDescent="0.25">
      <c r="B34" s="54" t="s">
        <v>154</v>
      </c>
      <c r="C34" s="293" t="str">
        <f>VAC_Optim_Scenario!B24</f>
        <v>HCC Online Video</v>
      </c>
      <c r="D34" s="240">
        <f t="shared" si="4"/>
        <v>1</v>
      </c>
      <c r="E34" s="240">
        <f t="shared" si="5"/>
        <v>1</v>
      </c>
      <c r="F34" s="240">
        <f t="shared" si="6"/>
        <v>1</v>
      </c>
      <c r="G34" s="240">
        <f t="shared" si="7"/>
        <v>1</v>
      </c>
      <c r="H34" s="240">
        <f t="shared" si="8"/>
        <v>1</v>
      </c>
      <c r="J34" s="244">
        <v>0.4</v>
      </c>
      <c r="K34" s="245">
        <f>H$31</f>
        <v>1.4862356790270803</v>
      </c>
      <c r="L34" s="245">
        <f>H$32</f>
        <v>14.043651326912649</v>
      </c>
      <c r="M34" s="245">
        <f>H$33</f>
        <v>6.5</v>
      </c>
      <c r="N34" s="245">
        <f>H$34</f>
        <v>1</v>
      </c>
      <c r="O34" s="245">
        <f>H$35</f>
        <v>12.070112999999999</v>
      </c>
      <c r="P34" s="245">
        <f>H$36</f>
        <v>7.0000000000000009</v>
      </c>
      <c r="Q34" s="245">
        <f>H$37</f>
        <v>0.4</v>
      </c>
      <c r="R34" s="245">
        <f>H$38</f>
        <v>4.8</v>
      </c>
      <c r="S34" s="245">
        <f>H$39</f>
        <v>15.7</v>
      </c>
    </row>
    <row r="35" spans="2:22" x14ac:dyDescent="0.25">
      <c r="B35" s="54" t="s">
        <v>154</v>
      </c>
      <c r="C35" s="293" t="str">
        <f>VAC_Optim_Scenario!B25</f>
        <v>HCC Streaming Video</v>
      </c>
      <c r="D35" s="240">
        <f t="shared" si="4"/>
        <v>12.070112999999999</v>
      </c>
      <c r="E35" s="240">
        <f t="shared" si="5"/>
        <v>12.070112999999999</v>
      </c>
      <c r="F35" s="240">
        <f t="shared" si="6"/>
        <v>12.070112999999999</v>
      </c>
      <c r="G35" s="240">
        <f t="shared" si="7"/>
        <v>12.070112999999999</v>
      </c>
      <c r="H35" s="240">
        <f t="shared" si="8"/>
        <v>12.070112999999999</v>
      </c>
      <c r="J35" s="243">
        <v>2</v>
      </c>
      <c r="K35" s="245">
        <f>F$31</f>
        <v>1.4862356790270803</v>
      </c>
      <c r="L35" s="245">
        <f>F$32</f>
        <v>14.043651326912649</v>
      </c>
      <c r="M35" s="245">
        <f>F$33</f>
        <v>6.5</v>
      </c>
      <c r="N35" s="245">
        <f>F$34</f>
        <v>1</v>
      </c>
      <c r="O35" s="245">
        <f>F$35</f>
        <v>12.070112999999999</v>
      </c>
      <c r="P35" s="245">
        <f>F$36</f>
        <v>7.0000000000000009</v>
      </c>
      <c r="Q35" s="245">
        <f>F$37</f>
        <v>0.4</v>
      </c>
      <c r="R35" s="245">
        <f>F$38</f>
        <v>4.8</v>
      </c>
      <c r="S35" s="245">
        <f>F$39</f>
        <v>15.7</v>
      </c>
    </row>
    <row r="36" spans="2:22" x14ac:dyDescent="0.25">
      <c r="B36" s="54" t="s">
        <v>154</v>
      </c>
      <c r="C36" s="293" t="str">
        <f>VAC_Optim_Scenario!B26</f>
        <v>HCC Display</v>
      </c>
      <c r="D36" s="240">
        <f t="shared" si="4"/>
        <v>7.0000000000000009</v>
      </c>
      <c r="E36" s="240">
        <f t="shared" si="5"/>
        <v>7.0000000000000009</v>
      </c>
      <c r="F36" s="240">
        <f t="shared" si="6"/>
        <v>7.0000000000000009</v>
      </c>
      <c r="G36" s="240">
        <f t="shared" si="7"/>
        <v>7.0000000000000009</v>
      </c>
      <c r="H36" s="240">
        <f t="shared" si="8"/>
        <v>7.0000000000000009</v>
      </c>
    </row>
    <row r="37" spans="2:22" x14ac:dyDescent="0.25">
      <c r="B37" s="54" t="s">
        <v>154</v>
      </c>
      <c r="C37" s="293" t="str">
        <f>VAC_Optim_Scenario!B27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VAC_Optim_Scenario!B28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VAC_Optim_Scenario!B29</f>
        <v>HCC TV</v>
      </c>
      <c r="D39" s="240">
        <f t="shared" si="4"/>
        <v>15.7</v>
      </c>
      <c r="E39" s="240">
        <f t="shared" si="5"/>
        <v>15.7</v>
      </c>
      <c r="F39" s="240">
        <f t="shared" si="6"/>
        <v>15.7</v>
      </c>
      <c r="G39" s="240">
        <f t="shared" si="7"/>
        <v>15.7</v>
      </c>
      <c r="H39" s="240">
        <f t="shared" si="8"/>
        <v>15.7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B20" sqref="B20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633">
        <v>2023</v>
      </c>
      <c r="E2" s="633"/>
      <c r="F2" s="633"/>
      <c r="G2" s="633"/>
      <c r="H2" s="633"/>
      <c r="I2" s="633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57">
        <v>8649234</v>
      </c>
      <c r="M3" s="221" t="s">
        <v>316</v>
      </c>
    </row>
    <row r="4" spans="1:18" ht="14.25" customHeight="1" x14ac:dyDescent="0.25">
      <c r="A4" s="97" t="s">
        <v>318</v>
      </c>
      <c r="B4" s="445" t="s">
        <v>175</v>
      </c>
      <c r="C4" s="446" t="str">
        <f>VAC_Optim_Scenario!B21</f>
        <v>HCC In Office</v>
      </c>
      <c r="D4" s="447">
        <f>VAC_Optim_Scenario!E21</f>
        <v>1000000</v>
      </c>
      <c r="E4" s="450">
        <f>VAC_Optim_Scenario!F21</f>
        <v>15970.197880234569</v>
      </c>
      <c r="F4" s="447">
        <f>VAC_Optim_Scenario!G51</f>
        <v>3608306.5090601984</v>
      </c>
      <c r="G4" s="452">
        <f>F4/D4</f>
        <v>3.6083065090601982</v>
      </c>
      <c r="H4" s="453">
        <f>E4/$L$3</f>
        <v>1.846429161268451E-3</v>
      </c>
      <c r="I4" s="455">
        <f>D4/E4</f>
        <v>62.616631772461922</v>
      </c>
      <c r="J4" s="458">
        <f ca="1">(VLOOKUP($Q4,INDIRECT("'"&amp;A4&amp;"'!"&amp;"A20:E42"),5,0)-VLOOKUP($R4,INDIRECT("'"&amp;A4&amp;"'!"&amp;"A20:E42"),5,0))/(Q4-R4)</f>
        <v>3.0475546002143576</v>
      </c>
      <c r="K4"/>
      <c r="L4" s="457">
        <v>4647854</v>
      </c>
      <c r="M4" s="221" t="s">
        <v>317</v>
      </c>
      <c r="Q4" s="460" cm="1">
        <f t="array" aca="1" ref="Q4" ca="1">MAX(_xlfn._xlws.FILTER(INDIRECT("'"&amp;A4&amp;"'!"&amp;"A20:A42"),INDIRECT("'"&amp;A4&amp;"'!"&amp;"A20:A42")&lt;$D4))</f>
        <v>800000</v>
      </c>
      <c r="R4" s="460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48" t="s">
        <v>175</v>
      </c>
      <c r="C5" s="468" t="str">
        <f>VAC_Optim_Scenario!B22</f>
        <v>HCP MCM</v>
      </c>
      <c r="D5" s="472">
        <f>VAC_Optim_Scenario!E22</f>
        <v>7775778</v>
      </c>
      <c r="E5" s="469">
        <f>VAC_Optim_Scenario!F22</f>
        <v>357119.23109534662</v>
      </c>
      <c r="F5" s="472">
        <f>VAC_Optim_Scenario!G52</f>
        <v>80687519.073682621</v>
      </c>
      <c r="G5" s="473">
        <f>F5/D5</f>
        <v>10.376777612951736</v>
      </c>
      <c r="H5" s="454">
        <f t="shared" ref="H5:H12" si="0">E5/$L$3</f>
        <v>4.1289116596376817E-2</v>
      </c>
      <c r="I5" s="471">
        <f t="shared" ref="I5:I12" si="1">D5/E5</f>
        <v>21.773618788745541</v>
      </c>
      <c r="J5" s="459">
        <f t="shared" ref="J5:J9" ca="1" si="2">(VLOOKUP($Q5,INDIRECT("'"&amp;A5&amp;"'!"&amp;"A20:E42"),5,0)-VLOOKUP($R5,INDIRECT("'"&amp;A5&amp;"'!"&amp;"A20:E42"),5,0))/(Q5-R5)</f>
        <v>6.0603545171997446</v>
      </c>
      <c r="K5"/>
      <c r="Q5" s="460" cm="1">
        <f t="array" aca="1" ref="Q5" ca="1">MAX(_xlfn._xlws.FILTER(INDIRECT("'"&amp;A5&amp;"'!"&amp;"A20:A42"),INDIRECT("'"&amp;A5&amp;"'!"&amp;"A20:A42")&lt;$D5))</f>
        <v>7200000</v>
      </c>
      <c r="R5" s="460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48" t="s">
        <v>175</v>
      </c>
      <c r="C6" s="468" t="str">
        <f>VAC_Optim_Scenario!B23</f>
        <v>HCC Social</v>
      </c>
      <c r="D6" s="472">
        <f>VAC_Optim_Scenario!E23</f>
        <v>1840000</v>
      </c>
      <c r="E6" s="469">
        <f>VAC_Optim_Scenario!F23</f>
        <v>92112.158316140369</v>
      </c>
      <c r="F6" s="472">
        <f>VAC_Optim_Scenario!G53</f>
        <v>20811821.049948756</v>
      </c>
      <c r="G6" s="473">
        <f t="shared" ref="G6:G22" si="3">F6/D6</f>
        <v>11.310772309754759</v>
      </c>
      <c r="H6" s="454">
        <f t="shared" si="0"/>
        <v>1.064974751707959E-2</v>
      </c>
      <c r="I6" s="471">
        <f t="shared" si="1"/>
        <v>19.975647445854992</v>
      </c>
      <c r="J6" s="459">
        <f ca="1">(VLOOKUP($Q6,INDIRECT("'"&amp;A6&amp;"'!"&amp;"A20:E42"),3,0)-VLOOKUP($R6,INDIRECT("'"&amp;A6&amp;"'!"&amp;"A20:E42"),3,0))/(Q6-R6)</f>
        <v>6.7383035677283258</v>
      </c>
      <c r="K6"/>
      <c r="Q6" s="460" cm="1">
        <f t="array" aca="1" ref="Q6" ca="1">MAX(_xlfn._xlws.FILTER(INDIRECT("'"&amp;A6&amp;"'!"&amp;"A20:A42"),INDIRECT("'"&amp;A6&amp;"'!"&amp;"A20:A42")&lt;$D6))</f>
        <v>1750000</v>
      </c>
      <c r="R6" s="46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48" t="s">
        <v>175</v>
      </c>
      <c r="C7" s="468" t="str">
        <f>VAC_Optim_Scenario!B24</f>
        <v>HCC Online Video</v>
      </c>
      <c r="D7" s="472">
        <f>VAC_Optim_Scenario!E24</f>
        <v>1220000</v>
      </c>
      <c r="E7" s="469">
        <f>VAC_Optim_Scenario!F24</f>
        <v>25360.023928385228</v>
      </c>
      <c r="F7" s="472">
        <f>VAC_Optim_Scenario!G54</f>
        <v>5729843.8063793583</v>
      </c>
      <c r="G7" s="473">
        <f t="shared" si="3"/>
        <v>4.6965932839175064</v>
      </c>
      <c r="H7" s="454">
        <f t="shared" si="0"/>
        <v>2.9320543216179869E-3</v>
      </c>
      <c r="I7" s="471">
        <f t="shared" si="1"/>
        <v>48.107210129027749</v>
      </c>
      <c r="J7" s="459">
        <f t="shared" ca="1" si="2"/>
        <v>0.19394624879030489</v>
      </c>
      <c r="K7"/>
      <c r="Q7" s="460" cm="1">
        <f t="array" aca="1" ref="Q7" ca="1">MAX(_xlfn._xlws.FILTER(INDIRECT("'"&amp;A7&amp;"'!"&amp;"A20:A42"),INDIRECT("'"&amp;A7&amp;"'!"&amp;"A20:A42")&lt;$D7))</f>
        <v>1142364.980307648</v>
      </c>
      <c r="R7" s="460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48" t="s">
        <v>175</v>
      </c>
      <c r="C8" s="468" t="str">
        <f>VAC_Optim_Scenario!B25</f>
        <v>HCC Streaming Video</v>
      </c>
      <c r="D8" s="472">
        <f>VAC_Optim_Scenario!E25</f>
        <v>4817798</v>
      </c>
      <c r="E8" s="469">
        <f>VAC_Optim_Scenario!F25</f>
        <v>135751.09442288097</v>
      </c>
      <c r="F8" s="472">
        <f>VAC_Optim_Scenario!G55</f>
        <v>30671602.273905724</v>
      </c>
      <c r="G8" s="473">
        <f t="shared" si="3"/>
        <v>6.3663113882951761</v>
      </c>
      <c r="H8" s="454">
        <f t="shared" si="0"/>
        <v>1.5695158024731551E-2</v>
      </c>
      <c r="I8" s="471">
        <f t="shared" si="1"/>
        <v>35.489938556163537</v>
      </c>
      <c r="J8" s="459">
        <f ca="1">(VLOOKUP($Q8,INDIRECT("'"&amp;A8&amp;"'!"&amp;"A20:E42"),3,0)-VLOOKUP($R8,INDIRECT("'"&amp;A8&amp;"'!"&amp;"A20:E42"),3,0))/(Q8-R8)</f>
        <v>4.4762123645052609</v>
      </c>
      <c r="K8"/>
      <c r="Q8" s="460" cm="1">
        <f t="array" aca="1" ref="Q8" ca="1">MAX(_xlfn._xlws.FILTER(INDIRECT("'"&amp;A8&amp;"'!"&amp;"A20:A42"),INDIRECT("'"&amp;A8&amp;"'!"&amp;"A20:A42")&lt;$D8))</f>
        <v>4500000</v>
      </c>
      <c r="R8" s="460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48" t="s">
        <v>175</v>
      </c>
      <c r="C9" s="468" t="str">
        <f>VAC_Optim_Scenario!B26</f>
        <v>HCC Display</v>
      </c>
      <c r="D9" s="472">
        <f>VAC_Optim_Scenario!E26</f>
        <v>3540000</v>
      </c>
      <c r="E9" s="469">
        <f>VAC_Optim_Scenario!F26</f>
        <v>246617.82982174121</v>
      </c>
      <c r="F9" s="472">
        <f>VAC_Optim_Scenario!G56</f>
        <v>55720832.469924212</v>
      </c>
      <c r="G9" s="473">
        <f t="shared" si="3"/>
        <v>15.740348155345822</v>
      </c>
      <c r="H9" s="454">
        <f t="shared" si="0"/>
        <v>2.8513256760279722E-2</v>
      </c>
      <c r="I9" s="471">
        <f t="shared" si="1"/>
        <v>14.35419329802213</v>
      </c>
      <c r="J9" s="459">
        <f t="shared" ca="1" si="2"/>
        <v>8.8236165719130639</v>
      </c>
      <c r="K9"/>
      <c r="Q9" s="460" cm="1">
        <f t="array" aca="1" ref="Q9" ca="1">MAX(_xlfn._xlws.FILTER(INDIRECT("'"&amp;A9&amp;"'!"&amp;"A20:A42"),INDIRECT("'"&amp;A9&amp;"'!"&amp;"A20:A42")&lt;$D9))</f>
        <v>3400000</v>
      </c>
      <c r="R9" s="460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48" t="s">
        <v>175</v>
      </c>
      <c r="C10" s="468" t="str">
        <f>VAC_Optim_Scenario!B27</f>
        <v>HCC Paid Search</v>
      </c>
      <c r="D10" s="472">
        <f>VAC_Optim_Scenario!E27</f>
        <v>400000</v>
      </c>
      <c r="E10" s="469">
        <f>VAC_Optim_Scenario!F27</f>
        <v>145038.35480357721</v>
      </c>
      <c r="F10" s="472">
        <f>VAC_Optim_Scenario!G57</f>
        <v>32769965.884320233</v>
      </c>
      <c r="G10" s="473">
        <f t="shared" si="3"/>
        <v>81.924914710800579</v>
      </c>
      <c r="H10" s="454">
        <f t="shared" si="0"/>
        <v>1.6768924832369803E-2</v>
      </c>
      <c r="I10" s="471">
        <f t="shared" si="1"/>
        <v>2.7578911836232054</v>
      </c>
      <c r="J10" s="459">
        <f ca="1">(VLOOKUP($Q10,INDIRECT("'"&amp;A10&amp;"'!"&amp;"A20:E42"),3,0)-VLOOKUP($R10,INDIRECT("'"&amp;A10&amp;"'!"&amp;"A20:E42"),3,0))/(Q10-R10)</f>
        <v>58.622972004453118</v>
      </c>
      <c r="K10"/>
      <c r="Q10" s="460" cm="1">
        <f t="array" aca="1" ref="Q10" ca="1">MAX(_xlfn._xlws.FILTER(INDIRECT("'"&amp;A10&amp;"'!"&amp;"A20:A42"),INDIRECT("'"&amp;A10&amp;"'!"&amp;"A20:A42")&lt;$D10))</f>
        <v>300000</v>
      </c>
      <c r="R10" s="460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48" t="s">
        <v>175</v>
      </c>
      <c r="C11" s="468" t="str">
        <f>VAC_Optim_Scenario!B28</f>
        <v>HCC Audio</v>
      </c>
      <c r="D11" s="472">
        <f>VAC_Optim_Scenario!E28</f>
        <v>2220000</v>
      </c>
      <c r="E11" s="469">
        <f>VAC_Optim_Scenario!F28</f>
        <v>91610.125423352103</v>
      </c>
      <c r="F11" s="472">
        <f>VAC_Optim_Scenario!G58</f>
        <v>20698391.738152172</v>
      </c>
      <c r="G11" s="473">
        <f t="shared" si="3"/>
        <v>9.3235998820505284</v>
      </c>
      <c r="H11" s="454">
        <f t="shared" si="0"/>
        <v>1.0591703892316026E-2</v>
      </c>
      <c r="I11" s="471">
        <f t="shared" si="1"/>
        <v>24.233129140920326</v>
      </c>
      <c r="J11" s="459">
        <f ca="1">(VLOOKUP($Q11,INDIRECT("'"&amp;A11&amp;"'!"&amp;"A20:E42"),3,0)-VLOOKUP($R11,INDIRECT("'"&amp;A11&amp;"'!"&amp;"A20:E42"),3,0))/(Q11-R11)</f>
        <v>5.5164744361232776</v>
      </c>
      <c r="K11"/>
      <c r="Q11" s="460" cm="1">
        <f t="array" aca="1" ref="Q11" ca="1">MAX(_xlfn._xlws.FILTER(INDIRECT("'"&amp;A11&amp;"'!"&amp;"A20:A42"),INDIRECT("'"&amp;A11&amp;"'!"&amp;"A20:A42")&lt;$D11))</f>
        <v>2200000</v>
      </c>
      <c r="R11" s="460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4" t="s">
        <v>175</v>
      </c>
      <c r="C12" s="475" t="str">
        <f>VAC_Optim_Scenario!B29</f>
        <v>HCC TV</v>
      </c>
      <c r="D12" s="476">
        <f>VAC_Optim_Scenario!E29</f>
        <v>15700000</v>
      </c>
      <c r="E12" s="477">
        <f>VAC_Optim_Scenario!F29</f>
        <v>283782.52397067065</v>
      </c>
      <c r="F12" s="476">
        <f>VAC_Optim_Scenario!G59</f>
        <v>64117823.465933323</v>
      </c>
      <c r="G12" s="478">
        <f t="shared" si="3"/>
        <v>4.0839378003779183</v>
      </c>
      <c r="H12" s="479">
        <f t="shared" si="0"/>
        <v>3.2810133703247091E-2</v>
      </c>
      <c r="I12" s="480">
        <f t="shared" si="1"/>
        <v>55.324055126180419</v>
      </c>
      <c r="J12" s="481">
        <f ca="1">(VLOOKUP($Q12,INDIRECT("'"&amp;A12&amp;"'!"&amp;"A20:E42"),3,0)-VLOOKUP($R12,INDIRECT("'"&amp;A12&amp;"'!"&amp;"A20:E42"),3,0))/(Q12-R12)</f>
        <v>2.8631640914398253</v>
      </c>
      <c r="K12"/>
      <c r="Q12" s="460" cm="1">
        <f t="array" aca="1" ref="Q12" ca="1">MAX(_xlfn._xlws.FILTER(INDIRECT("'"&amp;A12&amp;"'!"&amp;"A20:A42"),INDIRECT("'"&amp;A12&amp;"'!"&amp;"A20:A42")&lt;$D12))</f>
        <v>15000000</v>
      </c>
      <c r="R12" s="460" cm="1">
        <f t="array" aca="1" ref="R12" ca="1">MIN(_xlfn._xlws.FILTER(INDIRECT("'"&amp;A12&amp;"'!"&amp;"A20:A42"),INDIRECT("'"&amp;A12&amp;"'!"&amp;"A20:A42")&gt;=$D12))</f>
        <v>16250000</v>
      </c>
    </row>
    <row r="13" spans="1:18" x14ac:dyDescent="0.25">
      <c r="A13" s="97" t="s">
        <v>328</v>
      </c>
      <c r="B13" s="448" t="s">
        <v>285</v>
      </c>
      <c r="C13" s="468" t="str">
        <f>VAC_Optim_Scenario!B31</f>
        <v>HCC InOffice</v>
      </c>
      <c r="D13" s="461">
        <f>VAC_Optim_Scenario!E31</f>
        <v>1000000</v>
      </c>
      <c r="E13" s="469">
        <f>VAC_Optim_Scenario!F31</f>
        <v>4323.5214887261391</v>
      </c>
      <c r="F13" s="461">
        <f>VAC_Optim_Scenario!G61</f>
        <v>976856.44516278384</v>
      </c>
      <c r="G13" s="470">
        <f t="shared" si="3"/>
        <v>0.9768564451627838</v>
      </c>
      <c r="H13" s="454">
        <f>E13/$L$4</f>
        <v>9.3021886847696571E-4</v>
      </c>
      <c r="I13" s="471">
        <f>D13/E13</f>
        <v>231.29294086026042</v>
      </c>
      <c r="J13" s="459">
        <f ca="1">(VLOOKUP($Q13,INDIRECT("'"&amp;A13&amp;"'!"&amp;"A20:E42"),5,0)-VLOOKUP($R13,INDIRECT("'"&amp;A13&amp;"'!"&amp;"A20:E42"),5,0))/(Q13-R13)</f>
        <v>0.74757807482503935</v>
      </c>
      <c r="K13"/>
      <c r="Q13" s="460" cm="1">
        <f t="array" aca="1" ref="Q13" ca="1">MAX(_xlfn._xlws.FILTER(INDIRECT("'"&amp;A13&amp;"'!"&amp;"A20:A42"),INDIRECT("'"&amp;A13&amp;"'!"&amp;"A20:A42")&lt;$D13))</f>
        <v>800000</v>
      </c>
      <c r="R13" s="460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48" t="s">
        <v>285</v>
      </c>
      <c r="C14" s="449" t="str">
        <f>VAC_Optim_Scenario!B32</f>
        <v>HCP MCM</v>
      </c>
      <c r="D14" s="461">
        <f>VAC_Optim_Scenario!E32</f>
        <v>16948000</v>
      </c>
      <c r="E14" s="451">
        <f>VAC_Optim_Scenario!F32</f>
        <v>496174.88643250242</v>
      </c>
      <c r="F14" s="461">
        <f>VAC_Optim_Scenario!G62</f>
        <v>112105753.8405596</v>
      </c>
      <c r="G14" s="466">
        <f t="shared" si="3"/>
        <v>6.6146892754637481</v>
      </c>
      <c r="H14" s="454">
        <f t="shared" ref="H14:H22" si="4">E14/$L$4</f>
        <v>0.10675354398664468</v>
      </c>
      <c r="I14" s="456">
        <f t="shared" ref="I14:I22" si="5">D14/E14</f>
        <v>34.157311188915919</v>
      </c>
      <c r="J14" s="459">
        <f t="shared" ref="J14:J22" ca="1" si="6">(VLOOKUP($Q14,INDIRECT("'"&amp;A14&amp;"'!"&amp;"A20:E42"),5,0)-VLOOKUP($R14,INDIRECT("'"&amp;A14&amp;"'!"&amp;"A20:E42"),5,0))/(Q14-R14)</f>
        <v>7.2183106468078222</v>
      </c>
      <c r="K14"/>
      <c r="Q14" s="460" cm="1">
        <f t="array" aca="1" ref="Q14" ca="1">MAX(_xlfn._xlws.FILTER(INDIRECT("'"&amp;A14&amp;"'!"&amp;"A20:A42"),INDIRECT("'"&amp;A14&amp;"'!"&amp;"A20:A42")&lt;$D14))</f>
        <v>12500000</v>
      </c>
      <c r="R14" s="460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48" t="s">
        <v>285</v>
      </c>
      <c r="C15" s="449" t="str">
        <f>VAC_Optim_Scenario!B33</f>
        <v>HCC Social</v>
      </c>
      <c r="D15" s="461">
        <f>VAC_Optim_Scenario!E33</f>
        <v>2200000</v>
      </c>
      <c r="E15" s="451">
        <f>VAC_Optim_Scenario!F33</f>
        <v>58616.624488157111</v>
      </c>
      <c r="F15" s="461">
        <f>VAC_Optim_Scenario!G63</f>
        <v>13243840.136854218</v>
      </c>
      <c r="G15" s="466">
        <f t="shared" si="3"/>
        <v>6.0199273349337359</v>
      </c>
      <c r="H15" s="454">
        <f t="shared" si="4"/>
        <v>1.2611545992657496E-2</v>
      </c>
      <c r="I15" s="456">
        <f t="shared" si="5"/>
        <v>37.532014496066509</v>
      </c>
      <c r="J15" s="459">
        <f ca="1">(VLOOKUP($Q15,INDIRECT("'"&amp;A15&amp;"'!"&amp;"A20:E42"),3,0)-VLOOKUP($R15,INDIRECT("'"&amp;A15&amp;"'!"&amp;"A20:E42"),3,0))/(Q15-R15)</f>
        <v>3.6636032048234193</v>
      </c>
      <c r="K15"/>
      <c r="Q15" s="460" cm="1">
        <f t="array" aca="1" ref="Q15" ca="1">MAX(_xlfn._xlws.FILTER(INDIRECT("'"&amp;A15&amp;"'!"&amp;"A20:A42"),INDIRECT("'"&amp;A15&amp;"'!"&amp;"A20:A42")&lt;$D15))</f>
        <v>2000000</v>
      </c>
      <c r="R15" s="460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48" t="s">
        <v>285</v>
      </c>
      <c r="C16" s="449" t="str">
        <f>VAC_Optim_Scenario!B34</f>
        <v>HCC Online Video</v>
      </c>
      <c r="D16" s="461">
        <f>VAC_Optim_Scenario!E34</f>
        <v>1500000</v>
      </c>
      <c r="E16" s="451">
        <f>VAC_Optim_Scenario!F34</f>
        <v>47229.585064189509</v>
      </c>
      <c r="F16" s="461">
        <f>VAC_Optim_Scenario!G64</f>
        <v>10671052.449402977</v>
      </c>
      <c r="G16" s="466">
        <f t="shared" si="3"/>
        <v>7.1140349662686511</v>
      </c>
      <c r="H16" s="454">
        <f t="shared" si="4"/>
        <v>1.0161589642056207E-2</v>
      </c>
      <c r="I16" s="456">
        <f t="shared" si="5"/>
        <v>31.759753933077263</v>
      </c>
      <c r="J16" s="459">
        <f t="shared" ca="1" si="6"/>
        <v>4.3171436948538382</v>
      </c>
      <c r="K16"/>
      <c r="Q16" s="460" cm="1">
        <f t="array" aca="1" ref="Q16" ca="1">MAX(_xlfn._xlws.FILTER(INDIRECT("'"&amp;A16&amp;"'!"&amp;"A20:A42"),INDIRECT("'"&amp;A16&amp;"'!"&amp;"A20:A42")&lt;$D16))</f>
        <v>1400000</v>
      </c>
      <c r="R16" s="460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48" t="s">
        <v>285</v>
      </c>
      <c r="C17" s="449" t="str">
        <f>VAC_Optim_Scenario!B35</f>
        <v>HCC Streaming Video</v>
      </c>
      <c r="D17" s="461">
        <f>VAC_Optim_Scenario!E35</f>
        <v>10268452</v>
      </c>
      <c r="E17" s="451">
        <f>VAC_Optim_Scenario!F35</f>
        <v>151456.22181936813</v>
      </c>
      <c r="F17" s="461">
        <f>VAC_Optim_Scenario!G65</f>
        <v>34220018.757868037</v>
      </c>
      <c r="G17" s="466">
        <f t="shared" si="3"/>
        <v>3.3325391945999296</v>
      </c>
      <c r="H17" s="454">
        <f t="shared" si="4"/>
        <v>3.2586269237236828E-2</v>
      </c>
      <c r="I17" s="456">
        <f t="shared" si="5"/>
        <v>67.798152341648318</v>
      </c>
      <c r="J17" s="459">
        <f ca="1">(VLOOKUP($Q17,INDIRECT("'"&amp;A17&amp;"'!"&amp;"A20:E42"),3,0)-VLOOKUP($R17,INDIRECT("'"&amp;A17&amp;"'!"&amp;"A20:E42"),3,0))/(Q17-R17)</f>
        <v>2.3428529517445069</v>
      </c>
      <c r="K17"/>
      <c r="Q17" s="460" cm="1">
        <f t="array" aca="1" ref="Q17" ca="1">MAX(_xlfn._xlws.FILTER(INDIRECT("'"&amp;A17&amp;"'!"&amp;"A20:A42"),INDIRECT("'"&amp;A17&amp;"'!"&amp;"A20:A42")&lt;$D17))</f>
        <v>9750000</v>
      </c>
      <c r="R17" s="460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48" t="s">
        <v>285</v>
      </c>
      <c r="C18" s="449" t="str">
        <f>VAC_Optim_Scenario!B36</f>
        <v>HCC Display</v>
      </c>
      <c r="D18" s="461">
        <f>VAC_Optim_Scenario!E36</f>
        <v>4000000</v>
      </c>
      <c r="E18" s="451">
        <f>VAC_Optim_Scenario!F36</f>
        <v>116850.47225954643</v>
      </c>
      <c r="F18" s="461">
        <f>VAC_Optim_Scenario!G66</f>
        <v>26401195.702321921</v>
      </c>
      <c r="G18" s="466">
        <f t="shared" si="3"/>
        <v>6.6002989255804803</v>
      </c>
      <c r="H18" s="454">
        <f t="shared" si="4"/>
        <v>2.5140736404273119E-2</v>
      </c>
      <c r="I18" s="456">
        <f t="shared" si="5"/>
        <v>34.23178291582137</v>
      </c>
      <c r="J18" s="459">
        <f t="shared" ref="J18:J21" ca="1" si="7">(VLOOKUP($Q18,INDIRECT("'"&amp;A18&amp;"'!"&amp;"A20:E42"),3,0)-VLOOKUP($R18,INDIRECT("'"&amp;A18&amp;"'!"&amp;"A20:E42"),3,0))/(Q18-R18)</f>
        <v>4.0111819676572384</v>
      </c>
      <c r="K18"/>
      <c r="Q18" s="460" cm="1">
        <f t="array" aca="1" ref="Q18" ca="1">MAX(_xlfn._xlws.FILTER(INDIRECT("'"&amp;A18&amp;"'!"&amp;"A20:A42"),INDIRECT("'"&amp;A18&amp;"'!"&amp;"A20:A42")&lt;$D18))</f>
        <v>3750000</v>
      </c>
      <c r="R18" s="460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48" t="s">
        <v>285</v>
      </c>
      <c r="C19" s="449" t="str">
        <f>VAC_Optim_Scenario!B37</f>
        <v>HCC Paid Search</v>
      </c>
      <c r="D19" s="461">
        <f>VAC_Optim_Scenario!E37</f>
        <v>200000</v>
      </c>
      <c r="E19" s="451">
        <f>VAC_Optim_Scenario!F37</f>
        <v>79531.473375019181</v>
      </c>
      <c r="F19" s="461">
        <f>VAC_Optim_Scenario!G67</f>
        <v>17969341.094351832</v>
      </c>
      <c r="G19" s="466">
        <f t="shared" si="3"/>
        <v>89.846705471759165</v>
      </c>
      <c r="H19" s="454">
        <f t="shared" si="4"/>
        <v>1.7111439682705003E-2</v>
      </c>
      <c r="I19" s="456">
        <f t="shared" si="5"/>
        <v>2.5147277110902859</v>
      </c>
      <c r="J19" s="459">
        <f t="shared" ca="1" si="7"/>
        <v>84.028991834438983</v>
      </c>
      <c r="K19"/>
      <c r="Q19" s="460" cm="1">
        <f t="array" aca="1" ref="Q19" ca="1">MAX(_xlfn._xlws.FILTER(INDIRECT("'"&amp;A19&amp;"'!"&amp;"A20:A42"),INDIRECT("'"&amp;A19&amp;"'!"&amp;"A20:A42")&lt;$D19))</f>
        <v>0</v>
      </c>
      <c r="R19" s="460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48" t="s">
        <v>285</v>
      </c>
      <c r="C20" s="449" t="str">
        <f>VAC_Optim_Scenario!B38</f>
        <v>HCC Linear TV</v>
      </c>
      <c r="D20" s="461">
        <f>VAC_Optim_Scenario!E38</f>
        <v>28089211</v>
      </c>
      <c r="E20" s="451">
        <f>VAC_Optim_Scenario!F38</f>
        <v>186699.58751036425</v>
      </c>
      <c r="F20" s="461">
        <f>VAC_Optim_Scenario!G68</f>
        <v>42182904.802091695</v>
      </c>
      <c r="G20" s="466">
        <f t="shared" si="3"/>
        <v>1.5017475856510065</v>
      </c>
      <c r="H20" s="454">
        <f t="shared" si="4"/>
        <v>4.0168987130483065E-2</v>
      </c>
      <c r="I20" s="456">
        <f t="shared" si="5"/>
        <v>150.45138221551071</v>
      </c>
      <c r="J20" s="459">
        <f t="shared" ca="1" si="7"/>
        <v>1.0551120277612012</v>
      </c>
      <c r="K20"/>
      <c r="Q20" s="460" cm="1">
        <f t="array" aca="1" ref="Q20" ca="1">MAX(_xlfn._xlws.FILTER(INDIRECT("'"&amp;A20&amp;"'!"&amp;"A20:A42"),INDIRECT("'"&amp;A20&amp;"'!"&amp;"A20:A42")&lt;$D20))</f>
        <v>27000000</v>
      </c>
      <c r="R20" s="460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48" t="s">
        <v>285</v>
      </c>
      <c r="C21" s="449" t="str">
        <f>VAC_Optim_Scenario!B39</f>
        <v>HCC Radio</v>
      </c>
      <c r="D21" s="461">
        <f>VAC_Optim_Scenario!E39</f>
        <v>1500000</v>
      </c>
      <c r="E21" s="451">
        <f>VAC_Optim_Scenario!F39</f>
        <v>32266.574959240672</v>
      </c>
      <c r="F21" s="461">
        <f>VAC_Optim_Scenario!G69</f>
        <v>7290309.9462908376</v>
      </c>
      <c r="G21" s="466">
        <f t="shared" si="3"/>
        <v>4.8602066308605583</v>
      </c>
      <c r="H21" s="454">
        <f t="shared" si="4"/>
        <v>6.9422522650755963E-3</v>
      </c>
      <c r="I21" s="456">
        <f t="shared" si="5"/>
        <v>46.487735431938745</v>
      </c>
      <c r="J21" s="459">
        <f t="shared" ca="1" si="7"/>
        <v>2.0509920895460025</v>
      </c>
      <c r="K21"/>
      <c r="Q21" s="460" cm="1">
        <f t="array" aca="1" ref="Q21" ca="1">MAX(_xlfn._xlws.FILTER(INDIRECT("'"&amp;A21&amp;"'!"&amp;"A20:A42"),INDIRECT("'"&amp;A21&amp;"'!"&amp;"A20:A42")&lt;$D21))</f>
        <v>1250000</v>
      </c>
      <c r="R21" s="460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48" t="s">
        <v>285</v>
      </c>
      <c r="C22" s="449" t="str">
        <f>VAC_Optim_Scenario!B40</f>
        <v>HCC Pharmacy</v>
      </c>
      <c r="D22" s="461">
        <f>VAC_Optim_Scenario!E40</f>
        <v>3200000</v>
      </c>
      <c r="E22" s="451">
        <f>VAC_Optim_Scenario!F40</f>
        <v>22412.309442908503</v>
      </c>
      <c r="F22" s="461">
        <f>VAC_Optim_Scenario!G70</f>
        <v>5063837.1955307471</v>
      </c>
      <c r="G22" s="466">
        <f t="shared" si="3"/>
        <v>1.5824491236033584</v>
      </c>
      <c r="H22" s="454">
        <f t="shared" si="4"/>
        <v>4.822076907516566E-3</v>
      </c>
      <c r="I22" s="456">
        <f t="shared" si="5"/>
        <v>142.77868187352351</v>
      </c>
      <c r="J22" s="459">
        <f t="shared" ca="1" si="6"/>
        <v>1.1322085520510514</v>
      </c>
      <c r="K22"/>
      <c r="Q22" s="460" cm="1">
        <f t="array" aca="1" ref="Q22" ca="1">MAX(_xlfn._xlws.FILTER(INDIRECT("'"&amp;A22&amp;"'!"&amp;"A20:A42"),INDIRECT("'"&amp;A22&amp;"'!"&amp;"A20:A42")&lt;$D22))</f>
        <v>3000000</v>
      </c>
      <c r="R22" s="460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2" t="s">
        <v>154</v>
      </c>
      <c r="C23" s="463" t="s">
        <v>231</v>
      </c>
      <c r="D23" s="464">
        <f>SUM(D4:D22)</f>
        <v>107419239</v>
      </c>
      <c r="E23" s="465">
        <f>SUM(E4:E22)</f>
        <v>2588922.7965023518</v>
      </c>
      <c r="F23" s="464">
        <f>SUM(F4:F22)</f>
        <v>584941216.64174139</v>
      </c>
      <c r="G23" s="467">
        <f>F23/D23</f>
        <v>5.4454045856882436</v>
      </c>
      <c r="H23" s="225">
        <f>SUM(H4:H22)</f>
        <v>0.41832518492641263</v>
      </c>
      <c r="I23" s="289">
        <f>D23/E23</f>
        <v>41.491866480191668</v>
      </c>
      <c r="J23" s="290"/>
    </row>
    <row r="24" spans="1:18" x14ac:dyDescent="0.25">
      <c r="F24" s="97">
        <f>F23/D23</f>
        <v>5.4454045856882436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55.324055126180419</v>
      </c>
    </row>
    <row r="28" spans="1:18" x14ac:dyDescent="0.25">
      <c r="E28" s="223" t="s">
        <v>225</v>
      </c>
      <c r="F28" s="259">
        <f t="shared" si="8"/>
        <v>62.616631772461922</v>
      </c>
    </row>
    <row r="29" spans="1:18" x14ac:dyDescent="0.25">
      <c r="E29" s="223" t="s">
        <v>247</v>
      </c>
      <c r="F29" s="259">
        <f t="shared" si="8"/>
        <v>35.489938556163537</v>
      </c>
    </row>
    <row r="30" spans="1:18" x14ac:dyDescent="0.25">
      <c r="E30" s="223" t="s">
        <v>227</v>
      </c>
      <c r="F30" s="259">
        <f t="shared" si="8"/>
        <v>19.975647445854992</v>
      </c>
    </row>
    <row r="31" spans="1:18" x14ac:dyDescent="0.25">
      <c r="E31" s="223" t="s">
        <v>245</v>
      </c>
      <c r="F31" s="259">
        <f t="shared" si="8"/>
        <v>48.107210129027749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21.773618788745541</v>
      </c>
    </row>
    <row r="34" spans="5:6" x14ac:dyDescent="0.25">
      <c r="E34" s="223" t="s">
        <v>228</v>
      </c>
      <c r="F34" s="259">
        <f t="shared" si="8"/>
        <v>14.35419329802213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231.29294086026042</v>
      </c>
    </row>
    <row r="48" spans="5:6" x14ac:dyDescent="0.25">
      <c r="E48" s="223" t="s">
        <v>287</v>
      </c>
      <c r="F48" s="259">
        <f t="shared" si="9"/>
        <v>150.45138221551071</v>
      </c>
    </row>
    <row r="49" spans="5:6" x14ac:dyDescent="0.25">
      <c r="E49" s="223" t="s">
        <v>247</v>
      </c>
      <c r="F49" s="259">
        <f t="shared" si="9"/>
        <v>67.798152341648318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37.532014496066509</v>
      </c>
    </row>
    <row r="52" spans="5:6" x14ac:dyDescent="0.25">
      <c r="E52" s="223" t="s">
        <v>245</v>
      </c>
      <c r="F52" s="259">
        <f t="shared" si="9"/>
        <v>31.759753933077263</v>
      </c>
    </row>
    <row r="53" spans="5:6" x14ac:dyDescent="0.25">
      <c r="E53" s="223" t="s">
        <v>228</v>
      </c>
      <c r="F53" s="259">
        <f t="shared" si="9"/>
        <v>34.23178291582137</v>
      </c>
    </row>
    <row r="54" spans="5:6" x14ac:dyDescent="0.25">
      <c r="E54" s="223" t="s">
        <v>226</v>
      </c>
      <c r="F54" s="259">
        <f t="shared" si="9"/>
        <v>34.157311188915919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610" t="s">
        <v>201</v>
      </c>
      <c r="H4" s="610"/>
      <c r="I4" s="611" t="s">
        <v>202</v>
      </c>
      <c r="J4" s="611"/>
      <c r="K4" s="612" t="s">
        <v>203</v>
      </c>
      <c r="L4" s="612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214838478</v>
      </c>
      <c r="D6" s="170">
        <v>1</v>
      </c>
      <c r="E6" s="171">
        <f>D6*$C$8</f>
        <v>107419239</v>
      </c>
      <c r="F6" s="258"/>
      <c r="G6" s="169">
        <f>'Scenario deep dive_24_20M'!P28</f>
        <v>584315376.29753828</v>
      </c>
      <c r="H6" s="275"/>
      <c r="I6" s="169">
        <f t="shared" ref="I6:J8" si="0">G6-$F$8</f>
        <v>-625840.34420311451</v>
      </c>
      <c r="J6" s="169">
        <f t="shared" si="0"/>
        <v>-584941216.64174139</v>
      </c>
      <c r="K6" s="172">
        <f t="shared" ref="K6:L8" si="1">G6/$C6</f>
        <v>2.7197892190315103</v>
      </c>
      <c r="L6" s="172">
        <f t="shared" si="1"/>
        <v>0</v>
      </c>
      <c r="M6" s="276"/>
    </row>
    <row r="7" spans="2:13" x14ac:dyDescent="0.25">
      <c r="C7" s="169">
        <f>$C$8+E7</f>
        <v>161128858.5</v>
      </c>
      <c r="D7" s="170">
        <v>0.5</v>
      </c>
      <c r="E7" s="171">
        <f>D7*$C$8</f>
        <v>53709619.5</v>
      </c>
      <c r="F7" s="169"/>
      <c r="G7" s="169">
        <f>'Scenario deep dive_24_20M'!L28</f>
        <v>579638942.31260693</v>
      </c>
      <c r="H7" s="169"/>
      <c r="I7" s="169">
        <f t="shared" si="0"/>
        <v>-5302274.3291344643</v>
      </c>
      <c r="J7" s="169">
        <f t="shared" si="0"/>
        <v>-584941216.64174139</v>
      </c>
      <c r="K7" s="172">
        <f t="shared" si="1"/>
        <v>3.5973626804574361</v>
      </c>
      <c r="L7" s="172">
        <f t="shared" si="1"/>
        <v>0</v>
      </c>
    </row>
    <row r="8" spans="2:13" x14ac:dyDescent="0.25">
      <c r="B8" s="174">
        <f>F8/C8</f>
        <v>5.4454045856882436</v>
      </c>
      <c r="C8" s="169">
        <f>'Scenario deep dive_24_20M'!C28</f>
        <v>107419239</v>
      </c>
      <c r="D8" s="170">
        <v>0</v>
      </c>
      <c r="E8" s="171">
        <f>D8*$C$8</f>
        <v>0</v>
      </c>
      <c r="F8" s="169">
        <f>'Scenario deep dive_24_20M'!D28</f>
        <v>584941216.64174139</v>
      </c>
      <c r="G8" s="169">
        <f>'Scenario deep dive_24_20M'!H28</f>
        <v>515884477.51702702</v>
      </c>
      <c r="H8" s="169"/>
      <c r="I8" s="169">
        <f t="shared" si="0"/>
        <v>-69056739.124714375</v>
      </c>
      <c r="J8" s="169">
        <f t="shared" si="0"/>
        <v>-584941216.64174139</v>
      </c>
      <c r="K8" s="172">
        <f t="shared" si="1"/>
        <v>4.8025333480255528</v>
      </c>
      <c r="L8" s="172">
        <f t="shared" si="1"/>
        <v>0</v>
      </c>
    </row>
    <row r="9" spans="2:13" x14ac:dyDescent="0.25">
      <c r="C9" s="169"/>
      <c r="D9" s="170"/>
      <c r="E9" s="328"/>
      <c r="F9" s="169"/>
      <c r="G9" s="169"/>
      <c r="L9" s="172"/>
    </row>
    <row r="10" spans="2:13" x14ac:dyDescent="0.25">
      <c r="D10" s="328"/>
      <c r="E10" s="328"/>
    </row>
    <row r="11" spans="2:13" x14ac:dyDescent="0.25">
      <c r="F11" s="613" t="s">
        <v>207</v>
      </c>
      <c r="G11" s="613"/>
      <c r="H11" s="613" t="s">
        <v>208</v>
      </c>
      <c r="I11" s="613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214838478</v>
      </c>
      <c r="D13" s="177">
        <v>0.5</v>
      </c>
      <c r="E13" s="176">
        <f>C13-C14</f>
        <v>53709619.5</v>
      </c>
      <c r="F13" s="178">
        <f>G6-G7</f>
        <v>4676433.9849313498</v>
      </c>
      <c r="G13" s="178">
        <f>H6-H7</f>
        <v>0</v>
      </c>
      <c r="H13" s="172">
        <f t="shared" ref="H13:I14" si="2">F13/$E13</f>
        <v>8.7068834753732519E-2</v>
      </c>
      <c r="I13" s="172">
        <f t="shared" si="2"/>
        <v>0</v>
      </c>
    </row>
    <row r="14" spans="2:13" x14ac:dyDescent="0.25">
      <c r="C14" s="176">
        <f>C7</f>
        <v>161128858.5</v>
      </c>
      <c r="D14" s="177">
        <f>D7</f>
        <v>0.5</v>
      </c>
      <c r="E14" s="176">
        <f>C14-C15</f>
        <v>53709619.5</v>
      </c>
      <c r="F14" s="178">
        <f>G7-G8</f>
        <v>63754464.79557991</v>
      </c>
      <c r="G14" s="178">
        <f>H7-H8</f>
        <v>0</v>
      </c>
      <c r="H14" s="172">
        <f t="shared" si="2"/>
        <v>1.1870213453212028</v>
      </c>
      <c r="I14" s="172">
        <f t="shared" si="2"/>
        <v>0</v>
      </c>
    </row>
    <row r="15" spans="2:13" x14ac:dyDescent="0.25">
      <c r="C15" s="176">
        <f>C8</f>
        <v>107419239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7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145704065.48447829</v>
      </c>
    </row>
    <row r="4" spans="1:28" x14ac:dyDescent="0.25">
      <c r="F4" s="622" t="s">
        <v>350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498"/>
      <c r="R4" s="498"/>
      <c r="S4" s="498"/>
      <c r="T4" s="498"/>
    </row>
    <row r="5" spans="1:28" ht="34.5" customHeight="1" x14ac:dyDescent="0.25">
      <c r="F5" s="616" t="s">
        <v>310</v>
      </c>
      <c r="G5" s="617"/>
      <c r="H5" s="618"/>
      <c r="I5" s="181"/>
      <c r="J5" s="616" t="s">
        <v>346</v>
      </c>
      <c r="K5" s="617"/>
      <c r="L5" s="618"/>
      <c r="N5" s="634" t="s">
        <v>353</v>
      </c>
      <c r="O5" s="635"/>
      <c r="P5" s="636"/>
      <c r="Q5" s="503"/>
      <c r="R5" s="634" t="s">
        <v>354</v>
      </c>
      <c r="S5" s="635"/>
      <c r="T5" s="636"/>
      <c r="V5" s="97" t="s">
        <v>249</v>
      </c>
    </row>
    <row r="6" spans="1:28" ht="33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1000000.0000000001</v>
      </c>
      <c r="K7" s="370">
        <v>1.1641532182693481E-16</v>
      </c>
      <c r="L7" s="372">
        <v>5040789.0644048415</v>
      </c>
      <c r="M7" s="367"/>
      <c r="N7" s="380">
        <v>1031002.6589524267</v>
      </c>
      <c r="O7" s="370">
        <v>3.1002658952426747E-2</v>
      </c>
      <c r="P7" s="372">
        <v>5166746.0165532213</v>
      </c>
      <c r="Q7" s="369"/>
      <c r="R7" s="380">
        <v>1278223.9170682379</v>
      </c>
      <c r="S7" s="370">
        <v>0.2782239170682379</v>
      </c>
      <c r="T7" s="372">
        <v>6116389.4689701721</v>
      </c>
      <c r="U7" s="180"/>
      <c r="V7" s="185">
        <f>VAC_Optim_Scenario!$H51</f>
        <v>1486235.6790270803</v>
      </c>
      <c r="W7" s="177">
        <f>(V7-$C7)/$C7</f>
        <v>0.48623567902708031</v>
      </c>
      <c r="X7" s="185">
        <f>VAC_Optim_Scenario!$J51</f>
        <v>4898979.1498100674</v>
      </c>
      <c r="Y7" s="185">
        <f>J7-V7</f>
        <v>-486235.67902708019</v>
      </c>
      <c r="Z7" s="490">
        <f>$F7-'[1]Scenario deep dive'!$F7</f>
        <v>0</v>
      </c>
      <c r="AA7" s="493">
        <f>$J7-'[1]Scenario deep dive'!$J7</f>
        <v>-172914.32590990246</v>
      </c>
      <c r="AB7" s="493">
        <f>$N7-'[1]Scenario deep dive'!$N7</f>
        <v>-623586.05337636976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80687519.073682621</v>
      </c>
      <c r="E8" s="369"/>
      <c r="F8" s="380">
        <v>7998918.3413149435</v>
      </c>
      <c r="G8" s="370">
        <v>2.869685082508059E-2</v>
      </c>
      <c r="H8" s="372">
        <v>81777817.454316273</v>
      </c>
      <c r="I8" s="369"/>
      <c r="J8" s="380">
        <v>9605523.7969724406</v>
      </c>
      <c r="K8" s="370">
        <v>0.23531353351040121</v>
      </c>
      <c r="L8" s="372">
        <v>89888425.755108371</v>
      </c>
      <c r="M8" s="371"/>
      <c r="N8" s="380">
        <v>10373777.470138263</v>
      </c>
      <c r="O8" s="370">
        <v>0.33411440889107985</v>
      </c>
      <c r="P8" s="372">
        <v>93164666.595661461</v>
      </c>
      <c r="Q8" s="369"/>
      <c r="R8" s="380">
        <v>11092377.687795117</v>
      </c>
      <c r="S8" s="370">
        <v>0.42652962671968225</v>
      </c>
      <c r="T8" s="372">
        <v>95923265.052984297</v>
      </c>
      <c r="U8" s="180"/>
      <c r="V8" s="185">
        <f>VAC_Optim_Scenario!$H52</f>
        <v>14043651.326912649</v>
      </c>
      <c r="W8" s="177">
        <f t="shared" ref="W8:W22" si="0">(V8-$C8)/$C8</f>
        <v>0.80607668157612644</v>
      </c>
      <c r="X8" s="185">
        <f>VAC_Optim_Scenario!$J52</f>
        <v>104956912.90580291</v>
      </c>
      <c r="Y8" s="185">
        <f t="shared" ref="Y8:Y25" si="1">J8-V8</f>
        <v>-4438127.5299402084</v>
      </c>
      <c r="Z8" s="491">
        <f>$F8-'[1]Scenario deep dive'!$F8</f>
        <v>-4744.332567198202</v>
      </c>
      <c r="AA8" s="494">
        <f>$J8-'[1]Scenario deep dive'!$J8</f>
        <v>-1175556.0034301039</v>
      </c>
      <c r="AB8" s="494">
        <f>$N8-'[1]Scenario deep dive'!$N8</f>
        <v>-1626222.529861737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20811821.049948756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2632821.5643628188</v>
      </c>
      <c r="K9" s="370">
        <v>0.43088128497979283</v>
      </c>
      <c r="L9" s="372">
        <v>19745429.03808571</v>
      </c>
      <c r="M9" s="371"/>
      <c r="N9" s="380">
        <v>3452816.0964715122</v>
      </c>
      <c r="O9" s="370">
        <v>0.87653048721277838</v>
      </c>
      <c r="P9" s="372">
        <v>23233668.442866057</v>
      </c>
      <c r="Q9" s="369"/>
      <c r="R9" s="380">
        <v>4461839.5943768937</v>
      </c>
      <c r="S9" s="370">
        <v>1.4249128230309205</v>
      </c>
      <c r="T9" s="372">
        <v>27097054.868681762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44377967.027515724</v>
      </c>
      <c r="Y9" s="185">
        <f t="shared" si="1"/>
        <v>-3867178.4356371812</v>
      </c>
      <c r="Z9" s="491">
        <f>$F9-'[1]Scenario deep dive'!$F9</f>
        <v>0</v>
      </c>
      <c r="AA9" s="494">
        <f>$J9-'[1]Scenario deep dive'!$J9</f>
        <v>-1355096.5328637054</v>
      </c>
      <c r="AB9" s="494">
        <f>$N9-'[1]Scenario deep dive'!$N9</f>
        <v>-3047183.9035284878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5729843.8063793583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5668483.3276297525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30671602.273905724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4817798</v>
      </c>
      <c r="K11" s="370">
        <v>0</v>
      </c>
      <c r="L11" s="372">
        <v>27455486.015820313</v>
      </c>
      <c r="M11" s="371"/>
      <c r="N11" s="380">
        <v>4817798</v>
      </c>
      <c r="O11" s="370">
        <v>0</v>
      </c>
      <c r="P11" s="372">
        <v>27455486.015820313</v>
      </c>
      <c r="Q11" s="369"/>
      <c r="R11" s="380">
        <v>6488693.6093388796</v>
      </c>
      <c r="S11" s="370">
        <v>0.34681728236403425</v>
      </c>
      <c r="T11" s="372">
        <v>33817789.179286644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58336502.542934552</v>
      </c>
      <c r="Y11" s="185">
        <f t="shared" si="1"/>
        <v>-7252315</v>
      </c>
      <c r="Z11" s="491">
        <f>$F11-'[1]Scenario deep dive'!$F11</f>
        <v>0</v>
      </c>
      <c r="AA11" s="494">
        <f>$J11-'[1]Scenario deep dive'!$J11</f>
        <v>-791243.45098168217</v>
      </c>
      <c r="AB11" s="494">
        <f>$N11-'[1]Scenario deep dive'!$N11</f>
        <v>-5954558.8915328681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55720832.469924212</v>
      </c>
      <c r="E12" s="369"/>
      <c r="F12" s="380">
        <v>3816067.0635054582</v>
      </c>
      <c r="G12" s="370">
        <v>7.7985046187982535E-2</v>
      </c>
      <c r="H12" s="372">
        <v>40912863.539436728</v>
      </c>
      <c r="I12" s="369"/>
      <c r="J12" s="380">
        <v>4532027.9300459428</v>
      </c>
      <c r="K12" s="370">
        <v>0.28023387854405163</v>
      </c>
      <c r="L12" s="372">
        <v>44523257.408678614</v>
      </c>
      <c r="M12" s="371"/>
      <c r="N12" s="380">
        <v>4878657.1744378023</v>
      </c>
      <c r="O12" s="370">
        <v>0.37815174419146957</v>
      </c>
      <c r="P12" s="372">
        <v>46001461.844430365</v>
      </c>
      <c r="Q12" s="369"/>
      <c r="R12" s="380">
        <v>5203154.2914208723</v>
      </c>
      <c r="S12" s="370">
        <v>0.46981759644657412</v>
      </c>
      <c r="T12" s="372">
        <v>47247175.366367191</v>
      </c>
      <c r="U12" s="180"/>
      <c r="V12" s="185">
        <f>VAC_Optim_Scenario!$H56</f>
        <v>7000000.0000000009</v>
      </c>
      <c r="W12" s="177">
        <f t="shared" si="0"/>
        <v>0.97740112994350303</v>
      </c>
      <c r="X12" s="185">
        <f>VAC_Optim_Scenario!$J56</f>
        <v>74111465.228846326</v>
      </c>
      <c r="Y12" s="185">
        <f t="shared" si="1"/>
        <v>-2467972.0699540582</v>
      </c>
      <c r="Z12" s="491">
        <f>$F12-'[1]Scenario deep dive'!$F12</f>
        <v>4227.6383799510077</v>
      </c>
      <c r="AA12" s="494">
        <f>$J12-'[1]Scenario deep dive'!$J12</f>
        <v>-530594.45622217096</v>
      </c>
      <c r="AB12" s="494">
        <f>$N12-'[1]Scenario deep dive'!$N12</f>
        <v>-807973.26200205088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2181292.5931008384</v>
      </c>
      <c r="G14" s="370">
        <v>-1.7435768873496234E-2</v>
      </c>
      <c r="H14" s="372">
        <v>20481095.012188639</v>
      </c>
      <c r="I14" s="369"/>
      <c r="J14" s="380">
        <v>3825404.598056044</v>
      </c>
      <c r="K14" s="370">
        <v>0.72315522434956936</v>
      </c>
      <c r="L14" s="372">
        <v>28690045.883740306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-974595.40194395604</v>
      </c>
      <c r="Z14" s="491">
        <f>$F14-'[1]Scenario deep dive'!$F14</f>
        <v>516.69210848771036</v>
      </c>
      <c r="AA14" s="494">
        <f>$J14-'[1]Scenario deep dive'!$J14</f>
        <v>-974595.40194395604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64117823.465933323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16888801</v>
      </c>
      <c r="K15" s="370">
        <v>0</v>
      </c>
      <c r="L15" s="372">
        <v>67034177.652868718</v>
      </c>
      <c r="M15" s="371"/>
      <c r="N15" s="380">
        <v>16888801</v>
      </c>
      <c r="O15" s="370">
        <v>0</v>
      </c>
      <c r="P15" s="372">
        <v>67034177.652868718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64117823.465933323</v>
      </c>
      <c r="Y15" s="185">
        <f t="shared" si="1"/>
        <v>1188801</v>
      </c>
      <c r="Z15" s="492">
        <f>$F15-'[1]Scenario deep dive'!$F15</f>
        <v>0</v>
      </c>
      <c r="AA15" s="494">
        <f>$J15-'[1]Scenario deep dive'!$J15</f>
        <v>0</v>
      </c>
      <c r="AB15" s="494">
        <f>$N15-'[1]Scenario deep dive'!$N15</f>
        <v>0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1410431.7445188572</v>
      </c>
      <c r="M16" s="371"/>
      <c r="N16" s="379">
        <v>900000</v>
      </c>
      <c r="O16" s="366">
        <v>-0.1</v>
      </c>
      <c r="P16" s="368">
        <v>1410431.7445188572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112105753.8405596</v>
      </c>
      <c r="E17" s="369"/>
      <c r="F17" s="380">
        <v>20341852.513153099</v>
      </c>
      <c r="G17" s="370">
        <v>0.20025091533827583</v>
      </c>
      <c r="H17" s="372">
        <v>103736894.64632764</v>
      </c>
      <c r="I17" s="369"/>
      <c r="J17" s="380">
        <v>21000000.209999997</v>
      </c>
      <c r="K17" s="370">
        <v>0.23908427012036801</v>
      </c>
      <c r="L17" s="372">
        <v>105724787.34578903</v>
      </c>
      <c r="M17" s="371"/>
      <c r="N17" s="380">
        <v>21000000</v>
      </c>
      <c r="O17" s="370">
        <v>0.2390842577295256</v>
      </c>
      <c r="P17" s="372">
        <v>105724786.72171538</v>
      </c>
      <c r="Q17" s="369"/>
      <c r="R17" s="380">
        <v>19092190.833976123</v>
      </c>
      <c r="S17" s="370">
        <v>0.12651586228322653</v>
      </c>
      <c r="T17" s="372">
        <v>99781193.393137068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132078866.7384024</v>
      </c>
      <c r="Y17" s="185">
        <f t="shared" si="1"/>
        <v>-1049999.7900000028</v>
      </c>
      <c r="Z17" s="491">
        <f>$F17-'[2]Scenario deep dive'!$F8</f>
        <v>9125.7266342788935</v>
      </c>
      <c r="AA17" s="494">
        <f>$J17-'[2]Scenario deep dive'!$J8</f>
        <v>0.20999999716877937</v>
      </c>
      <c r="AB17" s="494">
        <f>$N17-'[2]Scenario deep dive'!$N8</f>
        <v>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13243840.136854218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2789260.1176541862</v>
      </c>
      <c r="K18" s="370">
        <v>0.26784550802463009</v>
      </c>
      <c r="L18" s="372">
        <v>7116459.1733021522</v>
      </c>
      <c r="M18" s="371"/>
      <c r="N18" s="380">
        <v>1800000</v>
      </c>
      <c r="O18" s="370">
        <v>-0.18181818181818182</v>
      </c>
      <c r="P18" s="372">
        <v>5471848.3801533533</v>
      </c>
      <c r="Q18" s="369"/>
      <c r="R18" s="380">
        <v>1800000</v>
      </c>
      <c r="S18" s="370">
        <v>-0.18181818181818182</v>
      </c>
      <c r="T18" s="372">
        <v>5471848.3801533533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13568721.71934624</v>
      </c>
      <c r="Y18" s="185">
        <f t="shared" si="1"/>
        <v>498580.47050476028</v>
      </c>
      <c r="Z18" s="491">
        <f>$F18-'[2]Scenario deep dive'!$F9</f>
        <v>0</v>
      </c>
      <c r="AA18" s="494">
        <f>$J18-'[2]Scenario deep dive'!$J9</f>
        <v>-1797255.114508539</v>
      </c>
      <c r="AB18" s="494">
        <f>$N18-'[2]Scenario deep dive'!$N9</f>
        <v>-4933228.4705905961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10671052.449402977</v>
      </c>
      <c r="E19" s="369"/>
      <c r="F19" s="380">
        <v>1105721.3674438763</v>
      </c>
      <c r="G19" s="370">
        <v>-0.26285242170408246</v>
      </c>
      <c r="H19" s="372">
        <v>4872206.4746905435</v>
      </c>
      <c r="I19" s="369"/>
      <c r="J19" s="380">
        <v>2220290.7469812133</v>
      </c>
      <c r="K19" s="370">
        <v>0.48019383132080889</v>
      </c>
      <c r="L19" s="372">
        <v>7336836.6723772259</v>
      </c>
      <c r="M19" s="371"/>
      <c r="N19" s="380">
        <v>1457954.7342470805</v>
      </c>
      <c r="O19" s="370">
        <v>-2.8030177168612988E-2</v>
      </c>
      <c r="P19" s="372">
        <v>5842322.9322365355</v>
      </c>
      <c r="Q19" s="369"/>
      <c r="R19" s="380">
        <v>1100000</v>
      </c>
      <c r="S19" s="370">
        <v>-0.26666666666666666</v>
      </c>
      <c r="T19" s="372">
        <v>4854627.720414157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12813292.806834146</v>
      </c>
      <c r="Y19" s="185">
        <f t="shared" si="1"/>
        <v>126074.64098926494</v>
      </c>
      <c r="Z19" s="491">
        <f>$F19-'[2]Scenario deep dive'!$F10</f>
        <v>2109.5296276581939</v>
      </c>
      <c r="AA19" s="494">
        <f>$J19-'[2]Scenario deep dive'!$J10</f>
        <v>-318317.61094867205</v>
      </c>
      <c r="AB19" s="494">
        <f>$N19-'[2]Scenario deep dive'!$N10</f>
        <v>-1326193.8492011135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34220018.757868037</v>
      </c>
      <c r="E20" s="369"/>
      <c r="F20" s="380">
        <v>8306900.9999999991</v>
      </c>
      <c r="G20" s="370">
        <v>-0.19102694349644922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8306901.0709167719</v>
      </c>
      <c r="O20" s="370">
        <v>-0.19102693659017231</v>
      </c>
      <c r="P20" s="372">
        <v>16281797.592115596</v>
      </c>
      <c r="Q20" s="369"/>
      <c r="R20" s="380">
        <v>8306901.0709167719</v>
      </c>
      <c r="S20" s="370">
        <v>-0.19102693659017231</v>
      </c>
      <c r="T20" s="372">
        <v>16281797.592115596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29500819.705867045</v>
      </c>
      <c r="Y20" s="185">
        <f t="shared" si="1"/>
        <v>0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-10365575.834969964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26401195.702321921</v>
      </c>
      <c r="E21" s="369"/>
      <c r="F21" s="380">
        <v>4257472.7107360102</v>
      </c>
      <c r="G21" s="370">
        <v>6.4368177684002562E-2</v>
      </c>
      <c r="H21" s="372">
        <v>21822364.062061273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3677820.7816323922</v>
      </c>
      <c r="S21" s="370">
        <v>-8.0544804591901956E-2</v>
      </c>
      <c r="T21" s="372">
        <v>19987800.706370473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30183500.428984575</v>
      </c>
      <c r="Y21" s="185">
        <f t="shared" si="1"/>
        <v>0</v>
      </c>
      <c r="Z21" s="491">
        <f>$F21-'[2]Scenario deep dive'!$F12</f>
        <v>-15613.501948088408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42182904.802091695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36089210.999896407</v>
      </c>
      <c r="W23" s="177">
        <f>(V23-$C23)/$C23</f>
        <v>0.28480686053789145</v>
      </c>
      <c r="X23" s="185">
        <f>VAC_Optim_Scenario!$J68</f>
        <v>50271631.014643446</v>
      </c>
      <c r="Y23" s="185">
        <f t="shared" si="1"/>
        <v>-7999999.9998964071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704504.46923774574</v>
      </c>
      <c r="G24" s="370">
        <v>-0.53033035384150284</v>
      </c>
      <c r="H24" s="372">
        <v>5388439.2392324274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1011120.7948361478</v>
      </c>
      <c r="O24" s="370">
        <v>-0.32591947010923478</v>
      </c>
      <c r="P24" s="372">
        <v>6226309.513811579</v>
      </c>
      <c r="Q24" s="369"/>
      <c r="R24" s="380">
        <v>628826.21347470093</v>
      </c>
      <c r="S24" s="370">
        <v>-0.58078252435019939</v>
      </c>
      <c r="T24" s="372">
        <v>5148986.3921964923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240885.75897749746</v>
      </c>
      <c r="Z24" s="491">
        <f>$F24-'[2]Scenario deep dive'!$F14</f>
        <v>4378.2927336152643</v>
      </c>
      <c r="AA24" s="494">
        <f>$J24-'[2]Scenario deep dive'!$J14</f>
        <v>0</v>
      </c>
      <c r="AB24" s="494">
        <f>$N24-'[2]Scenario deep dive'!$N14</f>
        <v>-1188879.2051638523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314816106.27130663</v>
      </c>
      <c r="E26" s="369"/>
      <c r="F26" s="379">
        <f>SUM(F7:F15)</f>
        <v>39702376.997921243</v>
      </c>
      <c r="G26" s="439">
        <f>(F26-$C$26)/$C$26</f>
        <v>3.0867063549779E-2</v>
      </c>
      <c r="H26" s="368">
        <f>SUM(H7:H15)</f>
        <v>293472157.73240411</v>
      </c>
      <c r="I26" s="369"/>
      <c r="J26" s="379">
        <v>44702376.889437243</v>
      </c>
      <c r="K26" s="439">
        <v>0.12593704123652957</v>
      </c>
      <c r="L26" s="368">
        <v>318505409.57224727</v>
      </c>
      <c r="M26" s="371"/>
      <c r="N26" s="379">
        <v>47642852.400000006</v>
      </c>
      <c r="O26" s="439">
        <v>0.20000000000000015</v>
      </c>
      <c r="P26" s="368">
        <v>331059292.85313261</v>
      </c>
      <c r="Q26" s="369"/>
      <c r="R26" s="379">
        <v>51613090.100000001</v>
      </c>
      <c r="S26" s="439">
        <v>0.30000000000000004</v>
      </c>
      <c r="T26" s="368">
        <v>346238937.87409127</v>
      </c>
      <c r="U26" s="180">
        <f>L26-D26</f>
        <v>3689303.3009406328</v>
      </c>
      <c r="V26" s="379">
        <f>SUM(V7:V15)</f>
        <v>63000000.00593973</v>
      </c>
      <c r="W26" s="439">
        <f>(V26-$C$26)/$C$26</f>
        <v>0.63578681984606489</v>
      </c>
      <c r="X26" s="368">
        <f>SUM(X7:X15)</f>
        <v>422113387.06418502</v>
      </c>
      <c r="Y26" s="185">
        <f>X26-D26</f>
        <v>107297280.79287839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270125110.3704347</v>
      </c>
      <c r="E27" s="369"/>
      <c r="F27" s="381">
        <f>SUM(F16:F25)</f>
        <v>68905663.060570732</v>
      </c>
      <c r="G27" s="440">
        <f>(F27-$C$27)/$C$27</f>
        <v>8.7903851616769654E-10</v>
      </c>
      <c r="H27" s="375">
        <f>SUM(H16:H25)</f>
        <v>222412269.98664144</v>
      </c>
      <c r="I27" s="369"/>
      <c r="J27" s="381">
        <v>73905663.074635401</v>
      </c>
      <c r="K27" s="440">
        <v>7.2562977510794741E-2</v>
      </c>
      <c r="L27" s="375">
        <v>233828006.35850042</v>
      </c>
      <c r="M27" s="371"/>
      <c r="N27" s="381">
        <v>70965187.599999994</v>
      </c>
      <c r="O27" s="440">
        <v>2.9889047000389416E-2</v>
      </c>
      <c r="P27" s="375">
        <v>228417937.57547858</v>
      </c>
      <c r="Q27" s="369"/>
      <c r="R27" s="381">
        <v>66994949.899999984</v>
      </c>
      <c r="S27" s="440">
        <v>-2.772940592705735E-2</v>
      </c>
      <c r="T27" s="375">
        <v>216364973.87374717</v>
      </c>
      <c r="U27" s="180">
        <f>L27-D27</f>
        <v>-36297104.01193428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300466563.82585013</v>
      </c>
      <c r="Y27" s="185">
        <f>X27-D27</f>
        <v>30341453.455415428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584941216.64174139</v>
      </c>
      <c r="E28" s="179"/>
      <c r="F28" s="442">
        <f>SUM(F7:F25)</f>
        <v>108608040.05849196</v>
      </c>
      <c r="G28" s="444">
        <f>(F28-$C$28)/$C$28</f>
        <v>1.1066928695072585E-2</v>
      </c>
      <c r="H28" s="443">
        <f>SUM(H7:H25)</f>
        <v>515884427.71904558</v>
      </c>
      <c r="I28" s="435"/>
      <c r="J28" s="442">
        <f>SUM(J7:J25)</f>
        <v>118608039.96407264</v>
      </c>
      <c r="K28" s="444">
        <f>(J28-$C$28)/$C$28</f>
        <v>0.10416012129887314</v>
      </c>
      <c r="L28" s="443">
        <f>SUM(L7:L25)</f>
        <v>552333415.93074775</v>
      </c>
      <c r="M28" s="371"/>
      <c r="N28" s="442">
        <f>SUM(N7:N25)</f>
        <v>118608040</v>
      </c>
      <c r="O28" s="444">
        <f>(N28-$C$28)/$C$28</f>
        <v>0.10416012163333237</v>
      </c>
      <c r="P28" s="443">
        <f>SUM(P7:P25)</f>
        <v>559477230.42861128</v>
      </c>
      <c r="Q28" s="505"/>
      <c r="R28" s="442">
        <f>SUM(R7:R25)</f>
        <v>118608040</v>
      </c>
      <c r="S28" s="444">
        <f>(R28-$C$28)/$C$28</f>
        <v>0.10416012163333237</v>
      </c>
      <c r="T28" s="443">
        <f>SUM(T7:T25)</f>
        <v>562603911.7478385</v>
      </c>
      <c r="V28" s="188">
        <f>SUM(V7:V25)</f>
        <v>145090122</v>
      </c>
      <c r="W28" s="189">
        <f>(V28-$C$28)/$C$28</f>
        <v>0.35069027997861724</v>
      </c>
      <c r="X28" s="188">
        <f>SUM(X7:X25)</f>
        <v>722579950.89003515</v>
      </c>
    </row>
    <row r="29" spans="1:28" x14ac:dyDescent="0.25">
      <c r="D29" s="382">
        <f>SUM(D7:D15)/D28</f>
        <v>0.53820127102467785</v>
      </c>
      <c r="E29" s="382"/>
      <c r="F29" s="382"/>
      <c r="G29" s="382"/>
      <c r="H29" s="382">
        <f>SUM(H7:H15)/H28</f>
        <v>0.56887190611659866</v>
      </c>
      <c r="I29" s="382"/>
      <c r="J29" s="382"/>
      <c r="K29" s="382"/>
      <c r="L29" s="382">
        <f>SUM(L7:L15)/L28</f>
        <v>0.57665424612329064</v>
      </c>
      <c r="P29" s="382">
        <f>SUM(P7:P15)/P28</f>
        <v>0.59172969845351986</v>
      </c>
      <c r="Q29" s="382"/>
      <c r="T29" s="382"/>
      <c r="U29" s="180"/>
      <c r="X29" s="499">
        <f>X28/VAC_Optim_Scenario!$E$48</f>
        <v>3198105.4744181428</v>
      </c>
    </row>
    <row r="30" spans="1:28" x14ac:dyDescent="0.25">
      <c r="D30" s="382">
        <f>SUM(D16:D25)/D28</f>
        <v>0.46179872897532209</v>
      </c>
      <c r="E30" s="382"/>
      <c r="F30" s="382"/>
      <c r="G30" s="382"/>
      <c r="H30" s="382">
        <f>SUM(H16:H25)/H28</f>
        <v>0.43112809388340129</v>
      </c>
      <c r="I30" s="382"/>
      <c r="J30" s="382"/>
      <c r="K30" s="382"/>
      <c r="L30" s="382">
        <f>SUM(L16:L25)/L28</f>
        <v>0.42334575387670925</v>
      </c>
      <c r="P30" s="382">
        <f>SUM(P16:P25)/P28</f>
        <v>0.40827030154647997</v>
      </c>
      <c r="Q30" s="382"/>
      <c r="T30" s="382"/>
    </row>
    <row r="31" spans="1:28" ht="16.5" customHeight="1" x14ac:dyDescent="0.25">
      <c r="A31" s="483"/>
      <c r="B31" s="483"/>
      <c r="C31" s="483"/>
      <c r="D31" s="483"/>
      <c r="E31" s="483"/>
      <c r="F31" s="637" t="str">
        <f>F4</f>
        <v>Optimal channel spend allowed to vary based on custom constraints of the 2024 channel spend</v>
      </c>
      <c r="G31" s="638"/>
      <c r="H31" s="638"/>
      <c r="I31" s="638"/>
      <c r="J31" s="638"/>
      <c r="K31" s="638"/>
      <c r="L31" s="638"/>
      <c r="M31" s="638"/>
      <c r="N31" s="638"/>
      <c r="O31" s="638"/>
      <c r="P31" s="638"/>
      <c r="Q31" s="638"/>
      <c r="R31" s="638"/>
      <c r="S31" s="638"/>
      <c r="T31" s="638"/>
    </row>
    <row r="32" spans="1:28" ht="30.4" customHeight="1" x14ac:dyDescent="0.25">
      <c r="A32" s="483"/>
      <c r="B32" s="483"/>
      <c r="C32" s="640" t="s">
        <v>341</v>
      </c>
      <c r="D32" s="641"/>
      <c r="E32" s="543"/>
      <c r="F32" s="642" t="str">
        <f>F5</f>
        <v>Current Optimal ($92MM)</v>
      </c>
      <c r="G32" s="643"/>
      <c r="H32" s="644"/>
      <c r="I32" s="544"/>
      <c r="J32" s="642" t="str">
        <f>J5</f>
        <v xml:space="preserve">10M increase in total budget </v>
      </c>
      <c r="K32" s="643"/>
      <c r="L32" s="644"/>
      <c r="M32" s="483"/>
      <c r="N32" s="645" t="str">
        <f>N5</f>
        <v>10M increase in total budget ( Global Max 120%)</v>
      </c>
      <c r="O32" s="646"/>
      <c r="P32" s="647"/>
      <c r="Q32" s="545"/>
      <c r="R32" s="639" t="str">
        <f>R5</f>
        <v>10M increase in total budget ( Global Max 130%)</v>
      </c>
      <c r="S32" s="639"/>
      <c r="T32" s="639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1.0000000000000002</v>
      </c>
      <c r="K34" s="525">
        <f t="shared" ref="K34:K50" si="9">K7</f>
        <v>1.1641532182693481E-16</v>
      </c>
      <c r="L34" s="526">
        <f t="shared" ref="L34:L50" si="10">L7/1000000</f>
        <v>5.0407890644048416</v>
      </c>
      <c r="M34" s="527"/>
      <c r="N34" s="524">
        <f t="shared" ref="N34:N50" si="11">N7/1000000</f>
        <v>1.0310026589524268</v>
      </c>
      <c r="O34" s="525">
        <f t="shared" ref="O34:O50" si="12">O7</f>
        <v>3.1002658952426747E-2</v>
      </c>
      <c r="P34" s="528">
        <f t="shared" ref="P34:P50" si="13">P7/1000000</f>
        <v>5.1667460165532209</v>
      </c>
      <c r="Q34" s="529"/>
      <c r="R34" s="524">
        <f t="shared" ref="R34:R50" si="14">R7/1000000</f>
        <v>1.2782239170682379</v>
      </c>
      <c r="S34" s="525">
        <f t="shared" ref="S34:S50" si="15">S7</f>
        <v>0.2782239170682379</v>
      </c>
      <c r="T34" s="528">
        <f t="shared" ref="T34:T50" si="16">T7/1000000</f>
        <v>6.1163894689701719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80.687519073682623</v>
      </c>
      <c r="E35" s="523"/>
      <c r="F35" s="532">
        <f t="shared" si="5"/>
        <v>7.9989183413149432</v>
      </c>
      <c r="G35" s="533">
        <f t="shared" si="6"/>
        <v>2.869685082508059E-2</v>
      </c>
      <c r="H35" s="534">
        <f t="shared" si="7"/>
        <v>81.777817454316278</v>
      </c>
      <c r="I35" s="523"/>
      <c r="J35" s="532">
        <f t="shared" si="8"/>
        <v>9.6055237969724399</v>
      </c>
      <c r="K35" s="525">
        <f t="shared" si="9"/>
        <v>0.23531353351040121</v>
      </c>
      <c r="L35" s="534">
        <f t="shared" si="10"/>
        <v>89.888425755108372</v>
      </c>
      <c r="M35" s="527"/>
      <c r="N35" s="532">
        <f t="shared" si="11"/>
        <v>10.373777470138263</v>
      </c>
      <c r="O35" s="525">
        <f t="shared" si="12"/>
        <v>0.33411440889107985</v>
      </c>
      <c r="P35" s="535">
        <f t="shared" si="13"/>
        <v>93.164666595661458</v>
      </c>
      <c r="Q35" s="529"/>
      <c r="R35" s="532">
        <f t="shared" si="14"/>
        <v>11.092377687795118</v>
      </c>
      <c r="S35" s="525">
        <f t="shared" si="15"/>
        <v>0.42652962671968225</v>
      </c>
      <c r="T35" s="535">
        <f t="shared" si="16"/>
        <v>95.923265052984291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20.811821049948755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2.632821564362819</v>
      </c>
      <c r="K36" s="525">
        <f t="shared" si="9"/>
        <v>0.43088128497979283</v>
      </c>
      <c r="L36" s="534">
        <f t="shared" si="10"/>
        <v>19.74542903808571</v>
      </c>
      <c r="M36" s="527"/>
      <c r="N36" s="532">
        <f t="shared" si="11"/>
        <v>3.4528160964715124</v>
      </c>
      <c r="O36" s="525">
        <f t="shared" si="12"/>
        <v>0.87653048721277838</v>
      </c>
      <c r="P36" s="535">
        <f t="shared" si="13"/>
        <v>23.233668442866058</v>
      </c>
      <c r="Q36" s="529"/>
      <c r="R36" s="532">
        <f t="shared" si="14"/>
        <v>4.4618395943768938</v>
      </c>
      <c r="S36" s="525">
        <f t="shared" si="15"/>
        <v>1.4249128230309205</v>
      </c>
      <c r="T36" s="535">
        <f t="shared" si="16"/>
        <v>27.097054868681763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5.7298438063793586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30.671602273905723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4.8177979999999998</v>
      </c>
      <c r="K38" s="525">
        <f t="shared" si="9"/>
        <v>0</v>
      </c>
      <c r="L38" s="534">
        <f t="shared" si="10"/>
        <v>27.455486015820313</v>
      </c>
      <c r="M38" s="527"/>
      <c r="N38" s="532">
        <f t="shared" si="11"/>
        <v>4.8177979999999998</v>
      </c>
      <c r="O38" s="525">
        <f t="shared" si="12"/>
        <v>0</v>
      </c>
      <c r="P38" s="535">
        <f t="shared" si="13"/>
        <v>27.455486015820313</v>
      </c>
      <c r="Q38" s="529"/>
      <c r="R38" s="532">
        <f t="shared" si="14"/>
        <v>6.4886936093388794</v>
      </c>
      <c r="S38" s="525">
        <f t="shared" si="15"/>
        <v>0.34681728236403425</v>
      </c>
      <c r="T38" s="535">
        <f t="shared" si="16"/>
        <v>33.817789179286642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55.720832469924211</v>
      </c>
      <c r="E39" s="523"/>
      <c r="F39" s="532">
        <f t="shared" si="5"/>
        <v>3.8160670635054581</v>
      </c>
      <c r="G39" s="533">
        <f t="shared" si="6"/>
        <v>7.7985046187982535E-2</v>
      </c>
      <c r="H39" s="534">
        <f t="shared" si="7"/>
        <v>40.912863539436728</v>
      </c>
      <c r="I39" s="523"/>
      <c r="J39" s="532">
        <f t="shared" si="8"/>
        <v>4.5320279300459427</v>
      </c>
      <c r="K39" s="525">
        <f t="shared" si="9"/>
        <v>0.28023387854405163</v>
      </c>
      <c r="L39" s="534">
        <f t="shared" si="10"/>
        <v>44.52325740867861</v>
      </c>
      <c r="M39" s="527"/>
      <c r="N39" s="532">
        <f t="shared" si="11"/>
        <v>4.8786571744378024</v>
      </c>
      <c r="O39" s="525">
        <f t="shared" si="12"/>
        <v>0.37815174419146957</v>
      </c>
      <c r="P39" s="535">
        <f t="shared" si="13"/>
        <v>46.001461844430366</v>
      </c>
      <c r="Q39" s="529"/>
      <c r="R39" s="532">
        <f t="shared" si="14"/>
        <v>5.2031542914208719</v>
      </c>
      <c r="S39" s="525">
        <f t="shared" si="15"/>
        <v>0.46981759644657412</v>
      </c>
      <c r="T39" s="535">
        <f t="shared" si="16"/>
        <v>47.247175366367188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2.1812925931008382</v>
      </c>
      <c r="G41" s="533">
        <f t="shared" si="6"/>
        <v>-1.7435768873496234E-2</v>
      </c>
      <c r="H41" s="534">
        <f t="shared" si="7"/>
        <v>20.481095012188639</v>
      </c>
      <c r="I41" s="523"/>
      <c r="J41" s="532">
        <f t="shared" si="8"/>
        <v>3.825404598056044</v>
      </c>
      <c r="K41" s="525">
        <f t="shared" si="9"/>
        <v>0.72315522434956936</v>
      </c>
      <c r="L41" s="534">
        <f t="shared" si="10"/>
        <v>28.690045883740307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64.117823465933327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16.888801000000001</v>
      </c>
      <c r="K42" s="525">
        <f t="shared" si="9"/>
        <v>0</v>
      </c>
      <c r="L42" s="534">
        <f t="shared" si="10"/>
        <v>67.034177652868721</v>
      </c>
      <c r="M42" s="527"/>
      <c r="N42" s="532">
        <f t="shared" si="11"/>
        <v>16.888801000000001</v>
      </c>
      <c r="O42" s="525">
        <f t="shared" si="12"/>
        <v>0</v>
      </c>
      <c r="P42" s="535">
        <f t="shared" si="13"/>
        <v>67.034177652868721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1.4104317445188572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1.4104317445188572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112.1057538405596</v>
      </c>
      <c r="E44" s="523"/>
      <c r="F44" s="532">
        <f t="shared" si="5"/>
        <v>20.3418525131531</v>
      </c>
      <c r="G44" s="533">
        <f t="shared" si="6"/>
        <v>0.20025091533827583</v>
      </c>
      <c r="H44" s="534">
        <f t="shared" si="7"/>
        <v>103.73689464632764</v>
      </c>
      <c r="I44" s="523"/>
      <c r="J44" s="532">
        <f t="shared" si="8"/>
        <v>21.000000209999996</v>
      </c>
      <c r="K44" s="525">
        <f t="shared" si="9"/>
        <v>0.23908427012036801</v>
      </c>
      <c r="L44" s="534">
        <f t="shared" si="10"/>
        <v>105.72478734578903</v>
      </c>
      <c r="M44" s="527"/>
      <c r="N44" s="532">
        <f t="shared" si="11"/>
        <v>21</v>
      </c>
      <c r="O44" s="525">
        <f t="shared" si="12"/>
        <v>0.2390842577295256</v>
      </c>
      <c r="P44" s="535">
        <f t="shared" si="13"/>
        <v>105.72478672171538</v>
      </c>
      <c r="Q44" s="529"/>
      <c r="R44" s="532">
        <f t="shared" si="14"/>
        <v>19.092190833976122</v>
      </c>
      <c r="S44" s="525">
        <f t="shared" si="15"/>
        <v>0.12651586228322653</v>
      </c>
      <c r="T44" s="535">
        <f t="shared" si="16"/>
        <v>99.781193393137073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13.243840136854219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2.789260117654186</v>
      </c>
      <c r="K45" s="525">
        <f t="shared" si="9"/>
        <v>0.26784550802463009</v>
      </c>
      <c r="L45" s="534">
        <f t="shared" si="10"/>
        <v>7.1164591733021521</v>
      </c>
      <c r="M45" s="527"/>
      <c r="N45" s="532">
        <f t="shared" si="11"/>
        <v>1.8</v>
      </c>
      <c r="O45" s="525">
        <f t="shared" si="12"/>
        <v>-0.18181818181818182</v>
      </c>
      <c r="P45" s="535">
        <f t="shared" si="13"/>
        <v>5.4718483801533537</v>
      </c>
      <c r="Q45" s="529"/>
      <c r="R45" s="532">
        <f t="shared" si="14"/>
        <v>1.8</v>
      </c>
      <c r="S45" s="525">
        <f t="shared" si="15"/>
        <v>-0.18181818181818182</v>
      </c>
      <c r="T45" s="535">
        <f t="shared" si="16"/>
        <v>5.4718483801533537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10.671052449402977</v>
      </c>
      <c r="E46" s="523"/>
      <c r="F46" s="532">
        <f t="shared" si="5"/>
        <v>1.1057213674438764</v>
      </c>
      <c r="G46" s="533">
        <f t="shared" si="6"/>
        <v>-0.26285242170408246</v>
      </c>
      <c r="H46" s="534">
        <f t="shared" si="7"/>
        <v>4.8722064746905431</v>
      </c>
      <c r="I46" s="523"/>
      <c r="J46" s="532">
        <f t="shared" si="8"/>
        <v>2.2202907469812132</v>
      </c>
      <c r="K46" s="525">
        <f t="shared" si="9"/>
        <v>0.48019383132080889</v>
      </c>
      <c r="L46" s="534">
        <f t="shared" si="10"/>
        <v>7.3368366723772258</v>
      </c>
      <c r="M46" s="527"/>
      <c r="N46" s="532">
        <f t="shared" si="11"/>
        <v>1.4579547342470804</v>
      </c>
      <c r="O46" s="525">
        <f t="shared" si="12"/>
        <v>-2.8030177168612988E-2</v>
      </c>
      <c r="P46" s="535">
        <f t="shared" si="13"/>
        <v>5.8423229322365353</v>
      </c>
      <c r="Q46" s="529"/>
      <c r="R46" s="532">
        <f t="shared" si="14"/>
        <v>1.1000000000000001</v>
      </c>
      <c r="S46" s="525">
        <f t="shared" si="15"/>
        <v>-0.26666666666666666</v>
      </c>
      <c r="T46" s="535">
        <f t="shared" si="16"/>
        <v>4.8546277204141575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34.22001875786804</v>
      </c>
      <c r="E47" s="523"/>
      <c r="F47" s="532">
        <f t="shared" si="5"/>
        <v>8.3069009999999999</v>
      </c>
      <c r="G47" s="533">
        <f t="shared" si="6"/>
        <v>-0.19102694349644922</v>
      </c>
      <c r="H47" s="534">
        <f t="shared" si="7"/>
        <v>16.281797494816164</v>
      </c>
      <c r="I47" s="523"/>
      <c r="J47" s="532">
        <f t="shared" si="8"/>
        <v>8.3069009999999999</v>
      </c>
      <c r="K47" s="525">
        <f t="shared" si="9"/>
        <v>-0.19102694349644914</v>
      </c>
      <c r="L47" s="534">
        <f t="shared" si="10"/>
        <v>16.281797494816164</v>
      </c>
      <c r="M47" s="527"/>
      <c r="N47" s="532">
        <f t="shared" si="11"/>
        <v>8.3069010709167728</v>
      </c>
      <c r="O47" s="525">
        <f t="shared" si="12"/>
        <v>-0.19102693659017231</v>
      </c>
      <c r="P47" s="535">
        <f t="shared" si="13"/>
        <v>16.281797592115595</v>
      </c>
      <c r="Q47" s="529"/>
      <c r="R47" s="532">
        <f t="shared" si="14"/>
        <v>8.3069010709167728</v>
      </c>
      <c r="S47" s="525">
        <f t="shared" si="15"/>
        <v>-0.19102693659017231</v>
      </c>
      <c r="T47" s="535">
        <f t="shared" si="16"/>
        <v>16.281797592115595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26.401195702321921</v>
      </c>
      <c r="E48" s="523"/>
      <c r="F48" s="532">
        <f t="shared" si="5"/>
        <v>4.2574727107360104</v>
      </c>
      <c r="G48" s="533">
        <f t="shared" si="6"/>
        <v>6.4368177684002562E-2</v>
      </c>
      <c r="H48" s="534">
        <f t="shared" si="7"/>
        <v>21.822364062061272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3.6778207816323922</v>
      </c>
      <c r="S48" s="525">
        <f t="shared" si="15"/>
        <v>-8.0544804591901956E-2</v>
      </c>
      <c r="T48" s="535">
        <f t="shared" si="16"/>
        <v>19.987800706370471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42.182904802091699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0.70450446923774579</v>
      </c>
      <c r="G51" s="533">
        <f>G24</f>
        <v>-0.53033035384150284</v>
      </c>
      <c r="H51" s="534">
        <f>H24/1000000</f>
        <v>5.3884392392324276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1.0111207948361478</v>
      </c>
      <c r="O51" s="525">
        <f>O24</f>
        <v>-0.32591947010923478</v>
      </c>
      <c r="P51" s="535">
        <f>P24/1000000</f>
        <v>6.2263095138115787</v>
      </c>
      <c r="Q51" s="529"/>
      <c r="R51" s="532">
        <f>R24/1000000</f>
        <v>0.62882621347470091</v>
      </c>
      <c r="S51" s="525">
        <f>S24</f>
        <v>-0.58078252435019939</v>
      </c>
      <c r="T51" s="535">
        <f>T24/1000000</f>
        <v>5.148986392196492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314.81610627130664</v>
      </c>
      <c r="E53" s="510"/>
      <c r="F53" s="511">
        <f t="shared" ref="F53:F54" si="19">F26/1000000</f>
        <v>39.702376997921242</v>
      </c>
      <c r="G53" s="484">
        <f t="shared" ref="G53:G54" si="20">G26</f>
        <v>3.0867063549779E-2</v>
      </c>
      <c r="H53" s="512">
        <f t="shared" ref="H53:H54" si="21">H26/1000000</f>
        <v>293.47215773240413</v>
      </c>
      <c r="I53" s="510"/>
      <c r="J53" s="511">
        <f t="shared" ref="J53:J54" si="22">J26/1000000</f>
        <v>44.702376889437247</v>
      </c>
      <c r="K53" s="484">
        <f t="shared" ref="K53:K54" si="23">K26</f>
        <v>0.12593704123652957</v>
      </c>
      <c r="L53" s="512">
        <f t="shared" ref="L53:L54" si="24">L26/1000000</f>
        <v>318.50540957224729</v>
      </c>
      <c r="M53" s="483"/>
      <c r="N53" s="511">
        <f t="shared" ref="N53:N54" si="25">N26/1000000</f>
        <v>47.642852400000002</v>
      </c>
      <c r="O53" s="484">
        <f t="shared" ref="O53:O54" si="26">O26</f>
        <v>0.20000000000000015</v>
      </c>
      <c r="P53" s="512">
        <f t="shared" ref="P53:P54" si="27">P26/1000000</f>
        <v>331.0592928531326</v>
      </c>
      <c r="Q53" s="513"/>
      <c r="R53" s="511">
        <f t="shared" ref="R53:R54" si="28">R26/1000000</f>
        <v>51.613090100000001</v>
      </c>
      <c r="S53" s="484">
        <f t="shared" ref="S53:S54" si="29">S26</f>
        <v>0.30000000000000004</v>
      </c>
      <c r="T53" s="512">
        <f t="shared" ref="T53:T54" si="30">T26/1000000</f>
        <v>346.23893787409128</v>
      </c>
      <c r="U53" s="180">
        <f>L53-D53</f>
        <v>3.6893033009406508</v>
      </c>
      <c r="V53" s="180">
        <f>P53-D53</f>
        <v>16.243186581825967</v>
      </c>
      <c r="W53" s="180">
        <f>T53-D53</f>
        <v>31.42283160278464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270.1251103704347</v>
      </c>
      <c r="E54" s="510"/>
      <c r="F54" s="511">
        <f t="shared" si="19"/>
        <v>68.905663060570731</v>
      </c>
      <c r="G54" s="484">
        <f t="shared" si="20"/>
        <v>8.7903851616769654E-10</v>
      </c>
      <c r="H54" s="512">
        <f t="shared" si="21"/>
        <v>222.41226998664143</v>
      </c>
      <c r="I54" s="510"/>
      <c r="J54" s="511">
        <f t="shared" si="22"/>
        <v>73.905663074635399</v>
      </c>
      <c r="K54" s="484">
        <f t="shared" si="23"/>
        <v>7.2562977510794741E-2</v>
      </c>
      <c r="L54" s="512">
        <f t="shared" si="24"/>
        <v>233.82800635850043</v>
      </c>
      <c r="M54" s="483"/>
      <c r="N54" s="511">
        <f t="shared" si="25"/>
        <v>70.965187599999993</v>
      </c>
      <c r="O54" s="484">
        <f t="shared" si="26"/>
        <v>2.9889047000389416E-2</v>
      </c>
      <c r="P54" s="512">
        <f t="shared" si="27"/>
        <v>228.41793757547859</v>
      </c>
      <c r="Q54" s="513"/>
      <c r="R54" s="511">
        <f t="shared" si="28"/>
        <v>66.99494989999998</v>
      </c>
      <c r="S54" s="484">
        <f t="shared" si="29"/>
        <v>-2.772940592705735E-2</v>
      </c>
      <c r="T54" s="512">
        <f t="shared" si="30"/>
        <v>216.36497387374718</v>
      </c>
      <c r="U54" s="180">
        <f>L54-D54</f>
        <v>-36.297104011934266</v>
      </c>
      <c r="V54" s="180">
        <f>P54-D54</f>
        <v>-41.707172794956108</v>
      </c>
      <c r="W54" s="180">
        <f>T54-D54</f>
        <v>-53.760136496687522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584.94121664174145</v>
      </c>
      <c r="E55" s="510"/>
      <c r="F55" s="515">
        <f>F28/1000000</f>
        <v>108.60804005849197</v>
      </c>
      <c r="G55" s="516">
        <f>G28</f>
        <v>1.1066928695072585E-2</v>
      </c>
      <c r="H55" s="512">
        <f>H28/1000000</f>
        <v>515.88442771904556</v>
      </c>
      <c r="I55" s="510"/>
      <c r="J55" s="515">
        <f>J28/1000000</f>
        <v>118.60803996407265</v>
      </c>
      <c r="K55" s="516">
        <f>K28</f>
        <v>0.10416012129887314</v>
      </c>
      <c r="L55" s="512">
        <f>L28/1000000</f>
        <v>552.33341593074772</v>
      </c>
      <c r="M55" s="483"/>
      <c r="N55" s="515">
        <f>N28/1000000</f>
        <v>118.60804</v>
      </c>
      <c r="O55" s="516">
        <f>O28</f>
        <v>0.10416012163333237</v>
      </c>
      <c r="P55" s="512">
        <f>P28/1000000</f>
        <v>559.47723042861128</v>
      </c>
      <c r="Q55" s="513"/>
      <c r="R55" s="515">
        <f>R28/1000000</f>
        <v>118.60804</v>
      </c>
      <c r="S55" s="516">
        <f>S28</f>
        <v>0.10416012163333237</v>
      </c>
      <c r="T55" s="512">
        <f>T28/1000000</f>
        <v>562.60391174783854</v>
      </c>
      <c r="U55" s="500">
        <f>U54*1.25</f>
        <v>-45.371380014917833</v>
      </c>
      <c r="V55" s="500">
        <f>V54*1.25</f>
        <v>-52.133965993695135</v>
      </c>
      <c r="W55" s="500">
        <f>W54*1.25</f>
        <v>-67.20017062085941</v>
      </c>
    </row>
    <row r="56" spans="1:23" ht="25.5" x14ac:dyDescent="0.25">
      <c r="A56" s="482"/>
      <c r="B56" s="507" t="s">
        <v>307</v>
      </c>
      <c r="C56" s="511" t="str">
        <f>_xlfn.CONCAT("ROI"," ", ,C61)</f>
        <v>ROI 5.45</v>
      </c>
      <c r="D56" s="517"/>
      <c r="E56" s="510"/>
      <c r="F56" s="511" t="str">
        <f>_xlfn.CONCAT("ROI"," ", ,F61)</f>
        <v>ROI 4.75</v>
      </c>
      <c r="G56" s="516"/>
      <c r="H56" s="518" t="s">
        <v>347</v>
      </c>
      <c r="I56" s="510"/>
      <c r="J56" s="511" t="str">
        <f>_xlfn.CONCAT("ROI"," ", ,J61)</f>
        <v>ROI 4.66</v>
      </c>
      <c r="K56" s="516"/>
      <c r="L56" s="518" t="s">
        <v>381</v>
      </c>
      <c r="M56" s="483"/>
      <c r="N56" s="511" t="str">
        <f>_xlfn.CONCAT("ROI"," ", ,N61)</f>
        <v>ROI 4.72</v>
      </c>
      <c r="O56" s="516"/>
      <c r="P56" s="518" t="s">
        <v>386</v>
      </c>
      <c r="Q56" s="519"/>
      <c r="R56" s="511" t="str">
        <f>_xlfn.CONCAT("ROI"," ", ,R61)</f>
        <v>ROI 4.74</v>
      </c>
      <c r="S56" s="516"/>
      <c r="T56" s="518" t="s">
        <v>391</v>
      </c>
    </row>
    <row r="57" spans="1:23" ht="38.25" x14ac:dyDescent="0.25">
      <c r="A57" s="482"/>
      <c r="B57" s="507" t="s">
        <v>357</v>
      </c>
      <c r="C57" s="511" t="str">
        <f>_xlfn.CONCAT("ROI"," ", ,C63)</f>
        <v>ROI 8.17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7.13</v>
      </c>
      <c r="K57" s="516"/>
      <c r="L57" s="518" t="s">
        <v>382</v>
      </c>
      <c r="M57" s="483"/>
      <c r="N57" s="511" t="str">
        <f>_xlfn.CONCAT("ROI"," ", ,N63)</f>
        <v>ROI 6.95</v>
      </c>
      <c r="O57" s="516"/>
      <c r="P57" s="518" t="s">
        <v>387</v>
      </c>
      <c r="Q57" s="519"/>
      <c r="R57" s="511" t="str">
        <f>_xlfn.CONCAT("ROI"," ", ,R63)</f>
        <v>ROI 6.71</v>
      </c>
      <c r="S57" s="516"/>
      <c r="T57" s="518" t="s">
        <v>373</v>
      </c>
    </row>
    <row r="58" spans="1:23" ht="51" x14ac:dyDescent="0.25">
      <c r="A58" s="482"/>
      <c r="B58" s="507" t="s">
        <v>360</v>
      </c>
      <c r="C58" s="511" t="str">
        <f>_xlfn.CONCAT("ROI"," ", ,C65)</f>
        <v>ROI 3.92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3.16</v>
      </c>
      <c r="K58" s="516"/>
      <c r="L58" s="518" t="s">
        <v>383</v>
      </c>
      <c r="M58" s="483"/>
      <c r="N58" s="511" t="str">
        <f>_xlfn.CONCAT("ROI"," ", ,N65)</f>
        <v>ROI 3.22</v>
      </c>
      <c r="O58" s="516"/>
      <c r="P58" s="518" t="s">
        <v>388</v>
      </c>
      <c r="Q58" s="519"/>
      <c r="R58" s="511" t="str">
        <f>_xlfn.CONCAT("ROI"," ", ,R65)</f>
        <v>ROI 3.23</v>
      </c>
      <c r="S58" s="516"/>
      <c r="T58" s="518" t="s">
        <v>392</v>
      </c>
    </row>
    <row r="59" spans="1:23" ht="38.25" x14ac:dyDescent="0.25">
      <c r="A59" s="482"/>
      <c r="B59" s="507" t="s">
        <v>359</v>
      </c>
      <c r="C59" s="511" t="str">
        <f>_xlfn.CONCAT("ROI"," ", ,C67)</f>
        <v>ROI 4.9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3.95</v>
      </c>
      <c r="K59" s="516"/>
      <c r="L59" s="518" t="s">
        <v>384</v>
      </c>
      <c r="M59" s="483"/>
      <c r="N59" s="511" t="str">
        <f>_xlfn.CONCAT("ROI"," ", ,N67)</f>
        <v>ROI 4.02</v>
      </c>
      <c r="O59" s="516"/>
      <c r="P59" s="518" t="s">
        <v>389</v>
      </c>
      <c r="Q59" s="519"/>
      <c r="R59" s="511" t="str">
        <f>_xlfn.CONCAT("ROI"," ", ,R67)</f>
        <v>ROI 4.04</v>
      </c>
      <c r="S59" s="516"/>
      <c r="T59" s="518" t="s">
        <v>392</v>
      </c>
    </row>
    <row r="60" spans="1:23" ht="38.25" x14ac:dyDescent="0.25">
      <c r="A60" s="482"/>
      <c r="B60" s="507" t="s">
        <v>358</v>
      </c>
      <c r="C60" s="511" t="str">
        <f>_xlfn.CONCAT("ROI"," ", ,C69)</f>
        <v>ROI 3.14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2.53</v>
      </c>
      <c r="K60" s="516"/>
      <c r="L60" s="518" t="s">
        <v>385</v>
      </c>
      <c r="M60" s="483"/>
      <c r="N60" s="511" t="str">
        <f>_xlfn.CONCAT("ROI"," ", ,N69)</f>
        <v>ROI 2.57</v>
      </c>
      <c r="O60" s="516"/>
      <c r="P60" s="518" t="s">
        <v>390</v>
      </c>
      <c r="Q60" s="519"/>
      <c r="R60" s="511" t="str">
        <f>_xlfn.CONCAT("ROI"," ", ,R69)</f>
        <v>ROI 2.58</v>
      </c>
      <c r="S60" s="516"/>
      <c r="T60" s="518" t="s">
        <v>392</v>
      </c>
    </row>
    <row r="61" spans="1:23" x14ac:dyDescent="0.25">
      <c r="C61" s="97">
        <f>ROUND(D55/C55,2)</f>
        <v>5.45</v>
      </c>
      <c r="F61" s="97">
        <f>ROUND(H55/F55,2)</f>
        <v>4.75</v>
      </c>
      <c r="H61" s="216">
        <f>(H55-$D$55)</f>
        <v>-69.056788922695887</v>
      </c>
      <c r="J61" s="97">
        <f>ROUND(L55/J55,2)</f>
        <v>4.66</v>
      </c>
      <c r="L61" s="216">
        <f>(L55-$D$55)</f>
        <v>-32.607800710993729</v>
      </c>
      <c r="N61" s="97">
        <f>ROUND(P55/N55,2)</f>
        <v>4.72</v>
      </c>
      <c r="P61" s="216">
        <f>(P55-$D$55)</f>
        <v>-25.46398621313017</v>
      </c>
      <c r="Q61" s="506"/>
      <c r="R61" s="97">
        <f>ROUND(T55/R55,2)</f>
        <v>4.74</v>
      </c>
      <c r="T61" s="216">
        <f>(T55-$D$55)</f>
        <v>-22.33730489390291</v>
      </c>
    </row>
    <row r="62" spans="1:23" x14ac:dyDescent="0.25">
      <c r="H62" s="329">
        <f>H61/$D$55</f>
        <v>-0.11805765597979917</v>
      </c>
      <c r="J62" s="248"/>
      <c r="K62" s="248"/>
      <c r="L62" s="329">
        <f>L61/$D$55</f>
        <v>-5.5745431819972102E-2</v>
      </c>
      <c r="M62" s="248"/>
      <c r="N62" s="248"/>
      <c r="O62" s="248"/>
      <c r="P62" s="329">
        <f>P61/$D$55</f>
        <v>-4.3532555902495211E-2</v>
      </c>
      <c r="Q62" s="329"/>
      <c r="R62" s="248"/>
      <c r="S62" s="248"/>
      <c r="T62" s="329">
        <f>T61/$D$55</f>
        <v>-3.8187264392387357E-2</v>
      </c>
    </row>
    <row r="63" spans="1:23" x14ac:dyDescent="0.25">
      <c r="C63" s="97">
        <f>ROUND(D53/C53,2)</f>
        <v>8.17</v>
      </c>
      <c r="F63" s="97">
        <f>ROUND(H53/F53,2)</f>
        <v>7.39</v>
      </c>
      <c r="H63" s="216">
        <f>H53-$D$53</f>
        <v>-21.343948538902509</v>
      </c>
      <c r="J63" s="97">
        <f>ROUND(L53/J53,2)</f>
        <v>7.13</v>
      </c>
      <c r="L63" s="216">
        <f>L53-$D$53</f>
        <v>3.6893033009406508</v>
      </c>
      <c r="N63" s="97">
        <f>ROUND(P53/N53,2)</f>
        <v>6.95</v>
      </c>
      <c r="P63" s="216">
        <f>P53-$D$53</f>
        <v>16.243186581825967</v>
      </c>
      <c r="R63" s="97">
        <f>ROUND(T53/R53,2)</f>
        <v>6.71</v>
      </c>
      <c r="T63" s="216">
        <f>T53-$D$53</f>
        <v>31.42283160278464</v>
      </c>
    </row>
    <row r="64" spans="1:23" x14ac:dyDescent="0.25">
      <c r="H64" s="280">
        <f>H63/$D$53</f>
        <v>-6.7798146644086954E-2</v>
      </c>
      <c r="L64" s="329">
        <f>L63/$D$53</f>
        <v>1.1718915352320733E-2</v>
      </c>
      <c r="M64" s="248"/>
      <c r="P64" s="329">
        <f>P63/$D$53</f>
        <v>5.1595792776331736E-2</v>
      </c>
      <c r="T64" s="329">
        <f>T63/$D$53</f>
        <v>9.9813290923891393E-2</v>
      </c>
    </row>
    <row r="65" spans="3:20" x14ac:dyDescent="0.25">
      <c r="C65" s="97">
        <f>ROUND(D54/C54,2)</f>
        <v>3.92</v>
      </c>
      <c r="F65" s="97">
        <f>ROUND(H54/F54,2)</f>
        <v>3.23</v>
      </c>
      <c r="H65" s="216">
        <f>H54-$D$54</f>
        <v>-47.712840383793264</v>
      </c>
      <c r="J65" s="97">
        <f>ROUND(L54/J54,2)</f>
        <v>3.16</v>
      </c>
      <c r="L65" s="216">
        <f>L54-$D$54</f>
        <v>-36.297104011934266</v>
      </c>
      <c r="N65" s="97">
        <f>ROUND(P54/N54,2)</f>
        <v>3.22</v>
      </c>
      <c r="P65" s="216">
        <f>P54-$D$54</f>
        <v>-41.707172794956108</v>
      </c>
      <c r="R65" s="97">
        <f>ROUND(T54/R54,2)</f>
        <v>3.23</v>
      </c>
      <c r="T65" s="216">
        <f>T54-$D$54</f>
        <v>-53.760136496687522</v>
      </c>
    </row>
    <row r="66" spans="3:20" x14ac:dyDescent="0.25">
      <c r="H66" s="280">
        <f>H65/$D$54</f>
        <v>-0.17663237719130406</v>
      </c>
      <c r="L66" s="329">
        <f>L65/$D$54</f>
        <v>-0.13437145462766648</v>
      </c>
      <c r="M66" s="248"/>
      <c r="P66" s="329">
        <f>P65/$D$54</f>
        <v>-0.15439946600210988</v>
      </c>
      <c r="T66" s="329">
        <f>T65/$D$54</f>
        <v>-0.19901939668979249</v>
      </c>
    </row>
    <row r="67" spans="3:20" x14ac:dyDescent="0.25">
      <c r="C67" s="97">
        <f>ROUND(D54*1.25/C54,2)</f>
        <v>4.9000000000000004</v>
      </c>
      <c r="F67" s="97">
        <f>ROUND(H54*1.25/F54,2)</f>
        <v>4.03</v>
      </c>
      <c r="H67" s="216">
        <f>H65*1.25</f>
        <v>-59.64105047974158</v>
      </c>
      <c r="J67" s="97">
        <f>ROUND(L54*1.25/J54,2)</f>
        <v>3.95</v>
      </c>
      <c r="L67" s="216">
        <f>L65*1.25</f>
        <v>-45.371380014917833</v>
      </c>
      <c r="N67" s="97">
        <f>ROUND(P54*1.25/N54,2)</f>
        <v>4.0199999999999996</v>
      </c>
      <c r="P67" s="216">
        <f>P65*1.25</f>
        <v>-52.133965993695135</v>
      </c>
      <c r="R67" s="97">
        <f>ROUND(T54*1.25/R54,2)</f>
        <v>4.04</v>
      </c>
      <c r="T67" s="216">
        <f>T65*1.25</f>
        <v>-67.20017062085941</v>
      </c>
    </row>
    <row r="68" spans="3:20" x14ac:dyDescent="0.25">
      <c r="H68" s="280">
        <f>H67/($D$54*1.25)</f>
        <v>-0.17663237719130406</v>
      </c>
      <c r="L68" s="329">
        <f>L67/($D$54*1.25)</f>
        <v>-0.13437145462766648</v>
      </c>
      <c r="M68" s="248"/>
      <c r="P68" s="329">
        <f>P67/($D$54*1.25)</f>
        <v>-0.15439946600210988</v>
      </c>
      <c r="T68" s="329">
        <f>T67/($D$54*1.25)</f>
        <v>-0.19901939668979252</v>
      </c>
    </row>
    <row r="69" spans="3:20" x14ac:dyDescent="0.25">
      <c r="C69" s="97">
        <f>ROUND(D54*0.8/C54,2)</f>
        <v>3.14</v>
      </c>
      <c r="F69" s="97">
        <f>ROUND(H54*0.8/F54,2)</f>
        <v>2.58</v>
      </c>
      <c r="H69" s="216">
        <f>H65*0.8</f>
        <v>-38.170272307034615</v>
      </c>
      <c r="J69" s="97">
        <f>ROUND(L54*0.8/J54,2)</f>
        <v>2.5299999999999998</v>
      </c>
      <c r="L69" s="216">
        <f>L65*0.8</f>
        <v>-29.037683209547414</v>
      </c>
      <c r="N69" s="97">
        <f>ROUND(P54*0.8/N54,2)</f>
        <v>2.57</v>
      </c>
      <c r="P69" s="216">
        <f>P65*0.8</f>
        <v>-33.365738235964891</v>
      </c>
      <c r="R69" s="97">
        <f>ROUND(T54*0.8/R54,2)</f>
        <v>2.58</v>
      </c>
      <c r="T69" s="216">
        <f>T65*0.8</f>
        <v>-43.008109197350024</v>
      </c>
    </row>
    <row r="70" spans="3:20" x14ac:dyDescent="0.25">
      <c r="H70" s="280">
        <f>H69/($D$54*0.8)</f>
        <v>-0.17663237719130409</v>
      </c>
      <c r="L70" s="329">
        <f>L69/($D$54*0.8)</f>
        <v>-0.13437145462766648</v>
      </c>
      <c r="M70" s="248"/>
      <c r="P70" s="329">
        <f>P69/($D$54*0.8)</f>
        <v>-0.15439946600210988</v>
      </c>
      <c r="T70" s="329">
        <f>T69/($D$54*0.8)</f>
        <v>-0.19901939668979252</v>
      </c>
    </row>
    <row r="81" ht="27.6" customHeight="1" x14ac:dyDescent="0.25"/>
  </sheetData>
  <mergeCells count="11">
    <mergeCell ref="F31:T31"/>
    <mergeCell ref="R32:T32"/>
    <mergeCell ref="C32:D32"/>
    <mergeCell ref="F32:H32"/>
    <mergeCell ref="J32:L32"/>
    <mergeCell ref="N32:P32"/>
    <mergeCell ref="F4:P4"/>
    <mergeCell ref="F5:H5"/>
    <mergeCell ref="J5:L5"/>
    <mergeCell ref="N5:P5"/>
    <mergeCell ref="R5:T5"/>
  </mergeCells>
  <conditionalFormatting sqref="G34:G52">
    <cfRule type="cellIs" dxfId="79" priority="15" operator="lessThan">
      <formula>0</formula>
    </cfRule>
    <cfRule type="cellIs" dxfId="78" priority="16" operator="greaterThan">
      <formula>0</formula>
    </cfRule>
  </conditionalFormatting>
  <conditionalFormatting sqref="O34:O52">
    <cfRule type="cellIs" dxfId="77" priority="13" operator="lessThan">
      <formula>0</formula>
    </cfRule>
    <cfRule type="cellIs" dxfId="76" priority="14" operator="greaterThan">
      <formula>0</formula>
    </cfRule>
  </conditionalFormatting>
  <conditionalFormatting sqref="K34:K52">
    <cfRule type="cellIs" dxfId="75" priority="11" operator="lessThan">
      <formula>0</formula>
    </cfRule>
    <cfRule type="cellIs" dxfId="74" priority="12" operator="greaterThan">
      <formula>0</formula>
    </cfRule>
  </conditionalFormatting>
  <conditionalFormatting sqref="G53:G54">
    <cfRule type="cellIs" dxfId="73" priority="9" operator="lessThan">
      <formula>0</formula>
    </cfRule>
    <cfRule type="cellIs" dxfId="72" priority="10" operator="greaterThan">
      <formula>0</formula>
    </cfRule>
  </conditionalFormatting>
  <conditionalFormatting sqref="K53:K54">
    <cfRule type="cellIs" dxfId="71" priority="7" operator="lessThan">
      <formula>0</formula>
    </cfRule>
    <cfRule type="cellIs" dxfId="70" priority="8" operator="greaterThan">
      <formula>0</formula>
    </cfRule>
  </conditionalFormatting>
  <conditionalFormatting sqref="O53:O54">
    <cfRule type="cellIs" dxfId="69" priority="5" operator="lessThan">
      <formula>0</formula>
    </cfRule>
    <cfRule type="cellIs" dxfId="68" priority="6" operator="greaterThan">
      <formula>0</formula>
    </cfRule>
  </conditionalFormatting>
  <conditionalFormatting sqref="S34:S52">
    <cfRule type="cellIs" dxfId="67" priority="3" operator="lessThan">
      <formula>0</formula>
    </cfRule>
    <cfRule type="cellIs" dxfId="66" priority="4" operator="greaterThan">
      <formula>0</formula>
    </cfRule>
  </conditionalFormatting>
  <conditionalFormatting sqref="S53:S54">
    <cfRule type="cellIs" dxfId="65" priority="1" operator="lessThan">
      <formula>0</formula>
    </cfRule>
    <cfRule type="cellIs" dxfId="64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3:AD107"/>
  <sheetViews>
    <sheetView showGridLines="0" topLeftCell="A7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145704065.48447829</v>
      </c>
    </row>
    <row r="4" spans="1:28" x14ac:dyDescent="0.25">
      <c r="F4" s="622" t="s">
        <v>350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498"/>
      <c r="R4" s="498"/>
      <c r="S4" s="498"/>
      <c r="T4" s="498"/>
    </row>
    <row r="5" spans="1:28" ht="36" customHeight="1" x14ac:dyDescent="0.25">
      <c r="F5" s="616" t="s">
        <v>310</v>
      </c>
      <c r="G5" s="617"/>
      <c r="H5" s="618"/>
      <c r="I5" s="181"/>
      <c r="J5" s="634" t="s">
        <v>355</v>
      </c>
      <c r="K5" s="635"/>
      <c r="L5" s="636"/>
      <c r="N5" s="634" t="s">
        <v>351</v>
      </c>
      <c r="O5" s="635"/>
      <c r="P5" s="636"/>
      <c r="Q5" s="503"/>
      <c r="R5" s="634" t="s">
        <v>352</v>
      </c>
      <c r="S5" s="635"/>
      <c r="T5" s="636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1176429.1162956713</v>
      </c>
      <c r="K7" s="370">
        <v>0.17642911629567132</v>
      </c>
      <c r="L7" s="372">
        <v>5736877.6676953258</v>
      </c>
      <c r="M7" s="367"/>
      <c r="N7" s="380">
        <v>1280553.8166407023</v>
      </c>
      <c r="O7" s="370">
        <v>0.28055381664070234</v>
      </c>
      <c r="P7" s="372">
        <v>6124893.4309640741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1486235.6790270803</v>
      </c>
      <c r="W7" s="177">
        <f>(V7-$C7)/$C7</f>
        <v>0.48623567902708031</v>
      </c>
      <c r="X7" s="185">
        <f>VAC_Optim_Scenario!$J51</f>
        <v>4898979.1498100674</v>
      </c>
      <c r="Y7" s="185">
        <f>J7-V7</f>
        <v>-309806.56273140898</v>
      </c>
      <c r="Z7" s="490">
        <f>$F7-'[1]Scenario deep dive'!$F7</f>
        <v>0</v>
      </c>
      <c r="AA7" s="493">
        <f>$J7-'[1]Scenario deep dive'!$J7</f>
        <v>3514.7903857687488</v>
      </c>
      <c r="AB7" s="493">
        <f>$N7-'[1]Scenario deep dive'!$N7</f>
        <v>-374034.8956880942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80687519.073682621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10781490.947601428</v>
      </c>
      <c r="K8" s="370">
        <v>0.38654819461170681</v>
      </c>
      <c r="L8" s="372">
        <v>94764181.268858969</v>
      </c>
      <c r="M8" s="371"/>
      <c r="N8" s="380">
        <v>11092068.118553624</v>
      </c>
      <c r="O8" s="370">
        <v>0.42648981472382874</v>
      </c>
      <c r="P8" s="372">
        <v>95922136.097286731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14043651.326912649</v>
      </c>
      <c r="W8" s="177">
        <f t="shared" ref="W8:W22" si="0">(V8-$C8)/$C8</f>
        <v>0.80607668157612644</v>
      </c>
      <c r="X8" s="185">
        <f>VAC_Optim_Scenario!$J52</f>
        <v>104956912.90580291</v>
      </c>
      <c r="Y8" s="185">
        <f t="shared" ref="Y8:Y25" si="1">J8-V8</f>
        <v>-3262160.3793112207</v>
      </c>
      <c r="Z8" s="491">
        <f>$F8-'[1]Scenario deep dive'!$F8</f>
        <v>-4662.7890975764021</v>
      </c>
      <c r="AA8" s="494">
        <f>$J8-'[1]Scenario deep dive'!$J8</f>
        <v>411.1471988838166</v>
      </c>
      <c r="AB8" s="494">
        <f>$N8-'[1]Scenario deep dive'!$N8</f>
        <v>-907931.88144637644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20811821.049948756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3981710.9863617201</v>
      </c>
      <c r="K9" s="370">
        <v>1.1639733621531088</v>
      </c>
      <c r="L9" s="372">
        <v>25307867.902625494</v>
      </c>
      <c r="M9" s="371"/>
      <c r="N9" s="380">
        <v>4455047.5305201802</v>
      </c>
      <c r="O9" s="370">
        <v>1.4212214839783588</v>
      </c>
      <c r="P9" s="372">
        <v>27072298.129360568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44377967.027515724</v>
      </c>
      <c r="Y9" s="185">
        <f t="shared" si="1"/>
        <v>-2518289.0136382799</v>
      </c>
      <c r="Z9" s="491">
        <f>$F9-'[1]Scenario deep dive'!$F9</f>
        <v>0</v>
      </c>
      <c r="AA9" s="494">
        <f>$J9-'[1]Scenario deep dive'!$J9</f>
        <v>-6207.1108648041263</v>
      </c>
      <c r="AB9" s="494">
        <f>$N9-'[1]Scenario deep dive'!$N9</f>
        <v>-2044952.4694798198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5729843.8063793583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5668483.3276297525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30671602.273905724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5610885.2745636441</v>
      </c>
      <c r="K11" s="370">
        <v>0.16461613263230299</v>
      </c>
      <c r="L11" s="372">
        <v>30546193.408102117</v>
      </c>
      <c r="M11" s="371"/>
      <c r="N11" s="380">
        <v>6494076.6811486697</v>
      </c>
      <c r="O11" s="370">
        <v>0.3479346126900027</v>
      </c>
      <c r="P11" s="372">
        <v>33837425.591033712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58336502.542934552</v>
      </c>
      <c r="Y11" s="185">
        <f t="shared" si="1"/>
        <v>-6459227.7254363559</v>
      </c>
      <c r="Z11" s="491">
        <f>$F11-'[1]Scenario deep dive'!$F11</f>
        <v>0</v>
      </c>
      <c r="AA11" s="494">
        <f>$J11-'[1]Scenario deep dive'!$J11</f>
        <v>1843.8235819619149</v>
      </c>
      <c r="AB11" s="494">
        <f>$N11-'[1]Scenario deep dive'!$N11</f>
        <v>-4278280.2103841985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55720832.469924212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5063060.177244084</v>
      </c>
      <c r="K12" s="370">
        <v>0.43024298792205762</v>
      </c>
      <c r="L12" s="372">
        <v>46724867.304993257</v>
      </c>
      <c r="M12" s="371"/>
      <c r="N12" s="380">
        <v>5202542.954141208</v>
      </c>
      <c r="O12" s="370">
        <v>0.46964490229977629</v>
      </c>
      <c r="P12" s="372">
        <v>47244945.61050126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7000000.0000000009</v>
      </c>
      <c r="W12" s="177">
        <f t="shared" si="0"/>
        <v>0.97740112994350303</v>
      </c>
      <c r="X12" s="185">
        <f>VAC_Optim_Scenario!$J56</f>
        <v>74111465.228846326</v>
      </c>
      <c r="Y12" s="185">
        <f t="shared" si="1"/>
        <v>-1936939.822755917</v>
      </c>
      <c r="Z12" s="491">
        <f>$F12-'[1]Scenario deep dive'!$F12</f>
        <v>4027.4115999196656</v>
      </c>
      <c r="AA12" s="494">
        <f>$J12-'[1]Scenario deep dive'!$J12</f>
        <v>437.7909759702161</v>
      </c>
      <c r="AB12" s="494">
        <f>$N12-'[1]Scenario deep dive'!$N12</f>
        <v>-484087.48229864519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64117823.465933323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16888801</v>
      </c>
      <c r="K15" s="370">
        <v>0</v>
      </c>
      <c r="L15" s="372">
        <v>67034177.652868718</v>
      </c>
      <c r="M15" s="371"/>
      <c r="N15" s="380">
        <v>16888801</v>
      </c>
      <c r="O15" s="370">
        <v>0</v>
      </c>
      <c r="P15" s="372">
        <v>67034177.652868718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64117823.465933323</v>
      </c>
      <c r="Y15" s="185">
        <f t="shared" si="1"/>
        <v>1188801</v>
      </c>
      <c r="Z15" s="492">
        <f>$F15-'[1]Scenario deep dive'!$F15</f>
        <v>0</v>
      </c>
      <c r="AA15" s="494">
        <f>$J15-'[1]Scenario deep dive'!$J15</f>
        <v>0</v>
      </c>
      <c r="AB15" s="494">
        <f>$N15-'[1]Scenario deep dive'!$N15</f>
        <v>0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1410431.7445188572</v>
      </c>
      <c r="M16" s="371"/>
      <c r="N16" s="379">
        <v>900000</v>
      </c>
      <c r="O16" s="366">
        <v>-0.1</v>
      </c>
      <c r="P16" s="368">
        <v>1410431.7445188572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112105753.8405596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21000000</v>
      </c>
      <c r="K17" s="370">
        <v>0.2390842577295256</v>
      </c>
      <c r="L17" s="372">
        <v>105724786.72171538</v>
      </c>
      <c r="M17" s="371"/>
      <c r="N17" s="380">
        <v>21000000.203315023</v>
      </c>
      <c r="O17" s="370">
        <v>0.23908426972592775</v>
      </c>
      <c r="P17" s="372">
        <v>105724787.32592277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132078866.7384024</v>
      </c>
      <c r="Y17" s="185">
        <f t="shared" si="1"/>
        <v>-1050000</v>
      </c>
      <c r="Z17" s="491">
        <f>$F17-'[2]Scenario deep dive'!$F8</f>
        <v>972.85154687613249</v>
      </c>
      <c r="AA17" s="494">
        <f>$J17-'[2]Scenario deep dive'!$J8</f>
        <v>0</v>
      </c>
      <c r="AB17" s="494">
        <f>$N17-'[2]Scenario deep dive'!$N8</f>
        <v>0.20331502333283424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13243840.136854218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4584161.4183054324</v>
      </c>
      <c r="K18" s="370">
        <v>1.0837097355933785</v>
      </c>
      <c r="L18" s="372">
        <v>9587966.168260688</v>
      </c>
      <c r="M18" s="371"/>
      <c r="N18" s="380">
        <v>4154570.9220185205</v>
      </c>
      <c r="O18" s="370">
        <v>0.88844132819023658</v>
      </c>
      <c r="P18" s="372">
        <v>9038289.7156212088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13568721.71934624</v>
      </c>
      <c r="Y18" s="185">
        <f t="shared" si="1"/>
        <v>2293481.7711560065</v>
      </c>
      <c r="Z18" s="491">
        <f>$F18-'[2]Scenario deep dive'!$F9</f>
        <v>0</v>
      </c>
      <c r="AA18" s="494">
        <f>$J18-'[2]Scenario deep dive'!$J9</f>
        <v>-2353.8138572927564</v>
      </c>
      <c r="AB18" s="494">
        <f>$N18-'[2]Scenario deep dive'!$N9</f>
        <v>-2578657.5485720756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10671052.449402977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2539912.7789936913</v>
      </c>
      <c r="K19" s="370">
        <v>0.69327518599579419</v>
      </c>
      <c r="L19" s="372">
        <v>7780362.4969045799</v>
      </c>
      <c r="M19" s="371"/>
      <c r="N19" s="380">
        <v>2469338.7975853113</v>
      </c>
      <c r="O19" s="370">
        <v>0.64622586505687418</v>
      </c>
      <c r="P19" s="372">
        <v>7689906.7353378301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12813292.806834146</v>
      </c>
      <c r="Y19" s="185">
        <f t="shared" si="1"/>
        <v>445696.67300174292</v>
      </c>
      <c r="Z19" s="491">
        <f>$F19-'[2]Scenario deep dive'!$F10</f>
        <v>3206.1157225614879</v>
      </c>
      <c r="AA19" s="494">
        <f>$J19-'[2]Scenario deep dive'!$J10</f>
        <v>1304.4210638059303</v>
      </c>
      <c r="AB19" s="494">
        <f>$N19-'[2]Scenario deep dive'!$N10</f>
        <v>-314809.78586288262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34220018.757868037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11192377.367288953</v>
      </c>
      <c r="K20" s="370">
        <v>8.9977083915759912E-2</v>
      </c>
      <c r="L20" s="372">
        <v>20060449.763434079</v>
      </c>
      <c r="M20" s="371"/>
      <c r="N20" s="380">
        <v>9781828.9864038322</v>
      </c>
      <c r="O20" s="370">
        <v>-4.7390104525605978E-2</v>
      </c>
      <c r="P20" s="372">
        <v>18255304.051492907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29500819.705867045</v>
      </c>
      <c r="Y20" s="185">
        <f t="shared" si="1"/>
        <v>2885476.3672889527</v>
      </c>
      <c r="Z20" s="491">
        <f>$F20-'[2]Scenario deep dive'!$F11</f>
        <v>0</v>
      </c>
      <c r="AA20" s="494">
        <f>$J20-'[2]Scenario deep dive'!$J11</f>
        <v>1049.0135579686612</v>
      </c>
      <c r="AB20" s="494">
        <f>$N20-'[2]Scenario deep dive'!$N11</f>
        <v>-8890647.9194829036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26401195.702321921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30183500.428984575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42182904.802091695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36089210.999896407</v>
      </c>
      <c r="W23" s="177">
        <f>(V23-$C23)/$C23</f>
        <v>0.28480686053789145</v>
      </c>
      <c r="X23" s="185">
        <f>VAC_Optim_Scenario!$J68</f>
        <v>50271631.014643446</v>
      </c>
      <c r="Y23" s="185">
        <f t="shared" si="1"/>
        <v>-7999999.9998964071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240885.75897749746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314816106.27130663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v>49702377.502066545</v>
      </c>
      <c r="K26" s="439">
        <v>0.25187410068839317</v>
      </c>
      <c r="L26" s="368">
        <v>339117251.49007642</v>
      </c>
      <c r="M26" s="371"/>
      <c r="N26" s="379">
        <f>SUM(N7:N15)</f>
        <v>51613090.101004384</v>
      </c>
      <c r="O26" s="439">
        <f>(N26-$C$26)/$C$26</f>
        <v>0.34012718271095843</v>
      </c>
      <c r="P26" s="368">
        <f>SUM(P7:P15)</f>
        <v>346238962.7969476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L26-D26</f>
        <v>24301145.218769789</v>
      </c>
      <c r="V26" s="379">
        <f>SUM(V7:V15)</f>
        <v>63000000.00593973</v>
      </c>
      <c r="W26" s="439">
        <f>(V26-$C$26)/$C$26</f>
        <v>0.63578681984606489</v>
      </c>
      <c r="X26" s="368">
        <f>SUM(X7:X15)</f>
        <v>422113387.06418502</v>
      </c>
      <c r="Y26" s="185">
        <f>V26-F26</f>
        <v>23297623.005939722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270125110.3704347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v>78905662.56458807</v>
      </c>
      <c r="K27" s="440">
        <v>0.1451259465363256</v>
      </c>
      <c r="L27" s="375">
        <v>240521690.82253057</v>
      </c>
      <c r="M27" s="371"/>
      <c r="N27" s="381">
        <f>SUM(N16:N25)</f>
        <v>76994949.909322679</v>
      </c>
      <c r="O27" s="440">
        <f>(N27-$C$27)/$C$27</f>
        <v>0.11739654706352189</v>
      </c>
      <c r="P27" s="375">
        <f>SUM(P16:P25)</f>
        <v>238076413.5005905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L27-D27</f>
        <v>-29603419.547904134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300466563.82585013</v>
      </c>
      <c r="Y27" s="185">
        <f>V27-F27</f>
        <v>13184458.994060278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584941216.64174139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128608040.06665462</v>
      </c>
      <c r="K28" s="444">
        <f>(J28-$C$28)/$C$28</f>
        <v>0.19725331573662166</v>
      </c>
      <c r="L28" s="443">
        <f>SUM(L7:L25)</f>
        <v>579638942.31260693</v>
      </c>
      <c r="M28" s="371"/>
      <c r="N28" s="442">
        <f>SUM(N7:N25)</f>
        <v>128608040.01032709</v>
      </c>
      <c r="O28" s="444">
        <f>(N28-$C$28)/$C$28</f>
        <v>0.19725331521225062</v>
      </c>
      <c r="P28" s="443">
        <f>SUM(P7:P25)</f>
        <v>584315376.29753828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145090122</v>
      </c>
      <c r="W28" s="189">
        <f>(V28-$C$28)/$C$28</f>
        <v>0.35069027997861724</v>
      </c>
      <c r="X28" s="188">
        <f>SUM(X7:X25)</f>
        <v>722579950.89003515</v>
      </c>
    </row>
    <row r="29" spans="1:28" x14ac:dyDescent="0.25">
      <c r="D29" s="382">
        <f>SUM(D7:D15)/D28</f>
        <v>0.53820127102467785</v>
      </c>
      <c r="E29" s="382"/>
      <c r="F29" s="382"/>
      <c r="G29" s="382"/>
      <c r="H29" s="382">
        <f>SUM(H7:H15)/H28</f>
        <v>0.56887185448564404</v>
      </c>
      <c r="I29" s="382"/>
      <c r="J29" s="382"/>
      <c r="K29" s="382"/>
      <c r="L29" s="382">
        <f>SUM(L7:L15)/L28</f>
        <v>0.58504911719196739</v>
      </c>
      <c r="P29" s="382">
        <f>SUM(P7:P15)/P28</f>
        <v>0.59255494009221454</v>
      </c>
      <c r="Q29" s="382"/>
      <c r="T29" s="382"/>
      <c r="U29" s="180"/>
      <c r="X29" s="499">
        <f>X28/VAC_Optim_Scenario!$E$48</f>
        <v>3198105.4744181428</v>
      </c>
    </row>
    <row r="30" spans="1:28" x14ac:dyDescent="0.25">
      <c r="D30" s="382">
        <f>SUM(D16:D25)/D28</f>
        <v>0.46179872897532209</v>
      </c>
      <c r="E30" s="382"/>
      <c r="F30" s="382"/>
      <c r="G30" s="382"/>
      <c r="H30" s="382">
        <f>SUM(H16:H25)/H28</f>
        <v>0.43112814551435585</v>
      </c>
      <c r="I30" s="382"/>
      <c r="J30" s="382"/>
      <c r="K30" s="382"/>
      <c r="L30" s="382">
        <f>SUM(L16:L25)/L28</f>
        <v>0.41495088280803266</v>
      </c>
      <c r="P30" s="382">
        <f>SUM(P16:P25)/P28</f>
        <v>0.40744505990778512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7" t="str">
        <f>F4</f>
        <v>Optimal channel spend allowed to vary based on custom constraints of the 2024 channel spend</v>
      </c>
      <c r="G31" s="638"/>
      <c r="H31" s="638"/>
      <c r="I31" s="638"/>
      <c r="J31" s="638"/>
      <c r="K31" s="638"/>
      <c r="L31" s="638"/>
      <c r="M31" s="638"/>
      <c r="N31" s="638"/>
      <c r="O31" s="638"/>
      <c r="P31" s="638"/>
      <c r="Q31" s="638"/>
      <c r="R31" s="638"/>
      <c r="S31" s="638"/>
      <c r="T31" s="638"/>
    </row>
    <row r="32" spans="1:28" ht="30.4" customHeight="1" x14ac:dyDescent="0.25">
      <c r="A32" s="482"/>
      <c r="B32" s="482"/>
      <c r="C32" s="640" t="s">
        <v>341</v>
      </c>
      <c r="D32" s="641"/>
      <c r="E32" s="543"/>
      <c r="F32" s="642" t="str">
        <f>F5</f>
        <v>Current Optimal ($92MM)</v>
      </c>
      <c r="G32" s="643"/>
      <c r="H32" s="644"/>
      <c r="I32" s="544"/>
      <c r="J32" s="645" t="str">
        <f>J5</f>
        <v>20M increase in total budget (10M increase in adult and adolescent in each)</v>
      </c>
      <c r="K32" s="646"/>
      <c r="L32" s="647"/>
      <c r="M32" s="483"/>
      <c r="N32" s="645" t="str">
        <f>N5</f>
        <v>20M increase in total budget ( Global Max 130%)</v>
      </c>
      <c r="O32" s="646"/>
      <c r="P32" s="647"/>
      <c r="Q32" s="545"/>
      <c r="R32" s="639" t="str">
        <f>R5</f>
        <v>20M increase in total budget ( Global Max 140%)</v>
      </c>
      <c r="S32" s="639"/>
      <c r="T32" s="639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50" si="3">A7</f>
        <v>Gardasil Adolescents</v>
      </c>
      <c r="B34" s="520" t="str">
        <f t="shared" si="3"/>
        <v>HCC In Office</v>
      </c>
      <c r="C34" s="521">
        <f t="shared" ref="C34:D42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1.1764291162956713</v>
      </c>
      <c r="K34" s="525">
        <f t="shared" ref="K34:K50" si="9">K7</f>
        <v>0.17642911629567132</v>
      </c>
      <c r="L34" s="526">
        <f t="shared" ref="L34:L50" si="10">L7/1000000</f>
        <v>5.7368776676953255</v>
      </c>
      <c r="M34" s="527"/>
      <c r="N34" s="524">
        <f t="shared" ref="N34:N50" si="11">N7/1000000</f>
        <v>1.2805538166407022</v>
      </c>
      <c r="O34" s="525">
        <f t="shared" ref="O34:O50" si="12">O7</f>
        <v>0.28055381664070234</v>
      </c>
      <c r="P34" s="528">
        <f t="shared" ref="P34:P50" si="13">P7/1000000</f>
        <v>6.1248934309640743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80.687519073682623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10.781490947601428</v>
      </c>
      <c r="K35" s="525">
        <f t="shared" si="9"/>
        <v>0.38654819461170681</v>
      </c>
      <c r="L35" s="534">
        <f t="shared" si="10"/>
        <v>94.764181268858962</v>
      </c>
      <c r="M35" s="527"/>
      <c r="N35" s="532">
        <f t="shared" si="11"/>
        <v>11.092068118553623</v>
      </c>
      <c r="O35" s="525">
        <f t="shared" si="12"/>
        <v>0.42648981472382874</v>
      </c>
      <c r="P35" s="535">
        <f t="shared" si="13"/>
        <v>95.922136097286725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20.811821049948755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3.9817109863617199</v>
      </c>
      <c r="K36" s="525">
        <f t="shared" si="9"/>
        <v>1.1639733621531088</v>
      </c>
      <c r="L36" s="534">
        <f t="shared" si="10"/>
        <v>25.307867902625492</v>
      </c>
      <c r="M36" s="527"/>
      <c r="N36" s="532">
        <f t="shared" si="11"/>
        <v>4.4550475305201802</v>
      </c>
      <c r="O36" s="525">
        <f t="shared" si="12"/>
        <v>1.4212214839783588</v>
      </c>
      <c r="P36" s="535">
        <f t="shared" si="13"/>
        <v>27.072298129360568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5.7298438063793586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30.671602273905723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5.6108852745636444</v>
      </c>
      <c r="K38" s="525">
        <f t="shared" si="9"/>
        <v>0.16461613263230299</v>
      </c>
      <c r="L38" s="534">
        <f t="shared" si="10"/>
        <v>30.546193408102116</v>
      </c>
      <c r="M38" s="527"/>
      <c r="N38" s="532">
        <f t="shared" si="11"/>
        <v>6.4940766811486696</v>
      </c>
      <c r="O38" s="525">
        <f t="shared" si="12"/>
        <v>0.3479346126900027</v>
      </c>
      <c r="P38" s="535">
        <f t="shared" si="13"/>
        <v>33.837425591033714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55.720832469924211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5.0630601772440835</v>
      </c>
      <c r="K39" s="525">
        <f t="shared" si="9"/>
        <v>0.43024298792205762</v>
      </c>
      <c r="L39" s="534">
        <f t="shared" si="10"/>
        <v>46.724867304993253</v>
      </c>
      <c r="M39" s="527"/>
      <c r="N39" s="532">
        <f t="shared" si="11"/>
        <v>5.202542954141208</v>
      </c>
      <c r="O39" s="525">
        <f t="shared" si="12"/>
        <v>0.46964490229977629</v>
      </c>
      <c r="P39" s="535">
        <f t="shared" si="13"/>
        <v>47.244945610501262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64.117823465933327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16.888801000000001</v>
      </c>
      <c r="K42" s="525">
        <f t="shared" si="9"/>
        <v>0</v>
      </c>
      <c r="L42" s="534">
        <f t="shared" si="10"/>
        <v>67.034177652868721</v>
      </c>
      <c r="M42" s="527"/>
      <c r="N42" s="532">
        <f t="shared" si="11"/>
        <v>16.888801000000001</v>
      </c>
      <c r="O42" s="525">
        <f t="shared" si="12"/>
        <v>0</v>
      </c>
      <c r="P42" s="535">
        <f t="shared" si="13"/>
        <v>67.034177652868721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ref="C43:D43" si="17">C16/1000000</f>
        <v>1</v>
      </c>
      <c r="D43" s="531">
        <f t="shared" si="17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1.4104317445188572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1.4104317445188572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ref="C44:D44" si="18">C17/1000000</f>
        <v>16.948</v>
      </c>
      <c r="D44" s="531">
        <f t="shared" si="18"/>
        <v>112.1057538405596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21</v>
      </c>
      <c r="K44" s="525">
        <f t="shared" si="9"/>
        <v>0.2390842577295256</v>
      </c>
      <c r="L44" s="534">
        <f t="shared" si="10"/>
        <v>105.72478672171538</v>
      </c>
      <c r="M44" s="527"/>
      <c r="N44" s="532">
        <f t="shared" si="11"/>
        <v>21.000000203315022</v>
      </c>
      <c r="O44" s="525">
        <f t="shared" si="12"/>
        <v>0.23908426972592775</v>
      </c>
      <c r="P44" s="535">
        <f t="shared" si="13"/>
        <v>105.72478732592278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ref="C45:D45" si="19">C18/1000000</f>
        <v>2.2000000000000002</v>
      </c>
      <c r="D45" s="531">
        <f t="shared" si="19"/>
        <v>13.243840136854219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4.584161418305432</v>
      </c>
      <c r="K45" s="525">
        <f t="shared" si="9"/>
        <v>1.0837097355933785</v>
      </c>
      <c r="L45" s="534">
        <f t="shared" si="10"/>
        <v>9.5879661682606887</v>
      </c>
      <c r="M45" s="527"/>
      <c r="N45" s="532">
        <f t="shared" si="11"/>
        <v>4.1545709220185207</v>
      </c>
      <c r="O45" s="525">
        <f t="shared" si="12"/>
        <v>0.88844132819023658</v>
      </c>
      <c r="P45" s="535">
        <f t="shared" si="13"/>
        <v>9.0382897156212092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ref="C46:D46" si="20">C19/1000000</f>
        <v>1.5</v>
      </c>
      <c r="D46" s="531">
        <f t="shared" si="20"/>
        <v>10.671052449402977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2.5399127789936915</v>
      </c>
      <c r="K46" s="525">
        <f t="shared" si="9"/>
        <v>0.69327518599579419</v>
      </c>
      <c r="L46" s="534">
        <f t="shared" si="10"/>
        <v>7.7803624969045799</v>
      </c>
      <c r="M46" s="527"/>
      <c r="N46" s="532">
        <f t="shared" si="11"/>
        <v>2.4693387975853112</v>
      </c>
      <c r="O46" s="525">
        <f t="shared" si="12"/>
        <v>0.64622586505687418</v>
      </c>
      <c r="P46" s="535">
        <f t="shared" si="13"/>
        <v>7.6899067353378303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ref="C47:D47" si="21">C20/1000000</f>
        <v>10.268452</v>
      </c>
      <c r="D47" s="531">
        <f t="shared" si="21"/>
        <v>34.22001875786804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11.192377367288953</v>
      </c>
      <c r="K47" s="525">
        <f t="shared" si="9"/>
        <v>8.9977083915759912E-2</v>
      </c>
      <c r="L47" s="534">
        <f t="shared" si="10"/>
        <v>20.060449763434079</v>
      </c>
      <c r="M47" s="527"/>
      <c r="N47" s="532">
        <f t="shared" si="11"/>
        <v>9.7818289864038324</v>
      </c>
      <c r="O47" s="525">
        <f t="shared" si="12"/>
        <v>-4.7390104525605978E-2</v>
      </c>
      <c r="P47" s="535">
        <f t="shared" si="13"/>
        <v>18.255304051492907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ref="C48:D48" si="22">C21/1000000</f>
        <v>4</v>
      </c>
      <c r="D48" s="531">
        <f t="shared" si="22"/>
        <v>26.401195702321921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30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ref="C49:D49" si="23">C22/1000000</f>
        <v>0.2</v>
      </c>
      <c r="D49" s="531">
        <f t="shared" si="23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30" x14ac:dyDescent="0.25">
      <c r="A50" s="520" t="str">
        <f t="shared" si="3"/>
        <v>Gardasil Adults</v>
      </c>
      <c r="B50" s="520" t="str">
        <f t="shared" si="3"/>
        <v>HCC Linear TV</v>
      </c>
      <c r="C50" s="530">
        <f>C23/1000000</f>
        <v>28.089210999999999</v>
      </c>
      <c r="D50" s="531">
        <f>D23/1000000</f>
        <v>42.182904802091699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30" x14ac:dyDescent="0.25">
      <c r="A51" s="520" t="str">
        <f>A24</f>
        <v>Gardasil Adults</v>
      </c>
      <c r="B51" s="520" t="str">
        <f>B24</f>
        <v>HCC Radio</v>
      </c>
      <c r="C51" s="530">
        <f t="shared" ref="C51:D51" si="24">C24/1000000</f>
        <v>1.5</v>
      </c>
      <c r="D51" s="531">
        <f t="shared" si="24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30" x14ac:dyDescent="0.25">
      <c r="A52" s="520" t="str">
        <f>A25</f>
        <v>Gardasil Adults</v>
      </c>
      <c r="B52" s="520" t="str">
        <f>B25</f>
        <v>HCC Pharmacy</v>
      </c>
      <c r="C52" s="530">
        <f t="shared" ref="C52:D52" si="25">C25/1000000</f>
        <v>3.2</v>
      </c>
      <c r="D52" s="531">
        <f t="shared" si="25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30" x14ac:dyDescent="0.25">
      <c r="A53" s="466"/>
      <c r="B53" s="507" t="str">
        <f>B26</f>
        <v>Gardasil Adolescents</v>
      </c>
      <c r="C53" s="508">
        <f t="shared" ref="C53:D53" si="26">C26/1000000</f>
        <v>38.513576</v>
      </c>
      <c r="D53" s="509">
        <f t="shared" si="26"/>
        <v>314.81610627130664</v>
      </c>
      <c r="E53" s="510"/>
      <c r="F53" s="511">
        <f t="shared" ref="F53:F54" si="27">F26/1000000</f>
        <v>39.702377000000006</v>
      </c>
      <c r="G53" s="484">
        <f t="shared" ref="G53:G54" si="28">G26</f>
        <v>1.8766081932383616E-16</v>
      </c>
      <c r="H53" s="512">
        <f t="shared" ref="H53:H54" si="29">H26/1000000</f>
        <v>293.4721594254687</v>
      </c>
      <c r="I53" s="510"/>
      <c r="J53" s="511">
        <f t="shared" ref="J53:J54" si="30">J26/1000000</f>
        <v>49.702377502066547</v>
      </c>
      <c r="K53" s="484">
        <f t="shared" ref="K53:K54" si="31">K26</f>
        <v>0.25187410068839317</v>
      </c>
      <c r="L53" s="512">
        <f t="shared" ref="L53:L54" si="32">L26/1000000</f>
        <v>339.1172514900764</v>
      </c>
      <c r="M53" s="483"/>
      <c r="N53" s="511">
        <f t="shared" ref="N53:N54" si="33">N26/1000000</f>
        <v>51.613090101004381</v>
      </c>
      <c r="O53" s="484">
        <f t="shared" ref="O53:O54" si="34">O26</f>
        <v>0.34012718271095843</v>
      </c>
      <c r="P53" s="512">
        <f t="shared" ref="P53:P54" si="35">P26/1000000</f>
        <v>346.23896279694759</v>
      </c>
      <c r="Q53" s="513"/>
      <c r="R53" s="511">
        <f t="shared" ref="R53:R54" si="36">R26/1000000</f>
        <v>55.583327800000006</v>
      </c>
      <c r="S53" s="484">
        <f t="shared" ref="S53:S54" si="37">S26</f>
        <v>0.40000000000000013</v>
      </c>
      <c r="T53" s="512">
        <f t="shared" ref="T53:T54" si="38">T26/1000000</f>
        <v>360.13986066345348</v>
      </c>
      <c r="U53" s="180">
        <f>L53-D53</f>
        <v>24.301145218769761</v>
      </c>
      <c r="V53" s="180">
        <f>P53-D53</f>
        <v>31.422856525640952</v>
      </c>
      <c r="W53" s="180">
        <f>T53-D53</f>
        <v>45.323754392146839</v>
      </c>
    </row>
    <row r="54" spans="1:30" x14ac:dyDescent="0.25">
      <c r="A54" s="466"/>
      <c r="B54" s="507" t="str">
        <f>B27</f>
        <v>Gardasil Adults</v>
      </c>
      <c r="C54" s="508">
        <f t="shared" ref="C54:D54" si="39">C27/1000000</f>
        <v>68.905663000000004</v>
      </c>
      <c r="D54" s="509">
        <f t="shared" si="39"/>
        <v>270.1251103704347</v>
      </c>
      <c r="E54" s="510"/>
      <c r="F54" s="511">
        <f t="shared" si="27"/>
        <v>68.905663000000004</v>
      </c>
      <c r="G54" s="484">
        <f t="shared" si="28"/>
        <v>0</v>
      </c>
      <c r="H54" s="512">
        <f t="shared" si="29"/>
        <v>222.41231809155829</v>
      </c>
      <c r="I54" s="510"/>
      <c r="J54" s="511">
        <f t="shared" si="30"/>
        <v>78.90566256458807</v>
      </c>
      <c r="K54" s="484">
        <f t="shared" si="31"/>
        <v>0.1451259465363256</v>
      </c>
      <c r="L54" s="512">
        <f t="shared" si="32"/>
        <v>240.52169082253056</v>
      </c>
      <c r="M54" s="483"/>
      <c r="N54" s="511">
        <f t="shared" si="33"/>
        <v>76.994949909322685</v>
      </c>
      <c r="O54" s="484">
        <f t="shared" si="34"/>
        <v>0.11739654706352189</v>
      </c>
      <c r="P54" s="512">
        <f t="shared" si="35"/>
        <v>238.07641350059049</v>
      </c>
      <c r="Q54" s="513"/>
      <c r="R54" s="511">
        <f t="shared" si="36"/>
        <v>73.024712199999996</v>
      </c>
      <c r="S54" s="484">
        <f t="shared" si="37"/>
        <v>5.9778094000779047E-2</v>
      </c>
      <c r="T54" s="512">
        <f t="shared" si="38"/>
        <v>232.42342659668708</v>
      </c>
      <c r="U54" s="180">
        <f>L54-D54</f>
        <v>-29.603419547904139</v>
      </c>
      <c r="V54" s="180">
        <f>P54-D54</f>
        <v>-32.048696869844207</v>
      </c>
      <c r="W54" s="180">
        <f>T54-D54</f>
        <v>-37.701683773747618</v>
      </c>
    </row>
    <row r="55" spans="1:30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584.94121664174145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128.60804006665461</v>
      </c>
      <c r="K55" s="516">
        <f>K28</f>
        <v>0.19725331573662166</v>
      </c>
      <c r="L55" s="512">
        <f>L28/1000000</f>
        <v>579.6389423126069</v>
      </c>
      <c r="M55" s="483"/>
      <c r="N55" s="515">
        <f>N28/1000000</f>
        <v>128.60804001032707</v>
      </c>
      <c r="O55" s="516">
        <f>O28</f>
        <v>0.19725331521225062</v>
      </c>
      <c r="P55" s="512">
        <f>P28/1000000</f>
        <v>584.31537629753825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-37.004274434880173</v>
      </c>
      <c r="V55" s="500">
        <f>V54*1.25</f>
        <v>-40.060871087305259</v>
      </c>
      <c r="W55" s="500">
        <f>W54*1.25</f>
        <v>-47.127104717184523</v>
      </c>
    </row>
    <row r="56" spans="1:30" ht="25.5" x14ac:dyDescent="0.25">
      <c r="A56" s="482"/>
      <c r="B56" s="507" t="s">
        <v>356</v>
      </c>
      <c r="C56" s="511" t="str">
        <f>_xlfn.CONCAT("ROI"," ", ,C61)</f>
        <v>ROI 5.45</v>
      </c>
      <c r="D56" s="517"/>
      <c r="E56" s="510"/>
      <c r="F56" s="511" t="str">
        <f>_xlfn.CONCAT("ROI"," ", ,F61)</f>
        <v>ROI 4.75</v>
      </c>
      <c r="G56" s="516"/>
      <c r="H56" s="518" t="s">
        <v>364</v>
      </c>
      <c r="I56" s="510"/>
      <c r="J56" s="511" t="str">
        <f>_xlfn.CONCAT("ROI"," ", ,J61)</f>
        <v>ROI 4.51</v>
      </c>
      <c r="K56" s="516"/>
      <c r="L56" s="518" t="s">
        <v>361</v>
      </c>
      <c r="M56" s="483"/>
      <c r="N56" s="511" t="str">
        <f>_xlfn.CONCAT("ROI"," ", ,N61)</f>
        <v>ROI 4.54</v>
      </c>
      <c r="O56" s="516"/>
      <c r="P56" s="518" t="s">
        <v>362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30" ht="38.25" x14ac:dyDescent="0.25">
      <c r="A57" s="482"/>
      <c r="B57" s="507" t="s">
        <v>357</v>
      </c>
      <c r="C57" s="511" t="str">
        <f>_xlfn.CONCAT("ROI"," ", ,C63)</f>
        <v>ROI 8.17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6.82</v>
      </c>
      <c r="K57" s="516"/>
      <c r="L57" s="518" t="s">
        <v>369</v>
      </c>
      <c r="M57" s="483"/>
      <c r="N57" s="511" t="str">
        <f>_xlfn.CONCAT("ROI"," ", ,N63)</f>
        <v>ROI 6.71</v>
      </c>
      <c r="O57" s="516"/>
      <c r="P57" s="518" t="s">
        <v>373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30" ht="51" x14ac:dyDescent="0.25">
      <c r="A58" s="482"/>
      <c r="B58" s="507" t="s">
        <v>360</v>
      </c>
      <c r="C58" s="511" t="str">
        <f>_xlfn.CONCAT("ROI"," ", ,C65)</f>
        <v>ROI 3.92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3.05</v>
      </c>
      <c r="K58" s="516"/>
      <c r="L58" s="518" t="s">
        <v>370</v>
      </c>
      <c r="M58" s="483"/>
      <c r="N58" s="511" t="str">
        <f>_xlfn.CONCAT("ROI"," ", ,N65)</f>
        <v>ROI 3.09</v>
      </c>
      <c r="O58" s="516"/>
      <c r="P58" s="518" t="s">
        <v>374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30" ht="38.25" x14ac:dyDescent="0.25">
      <c r="A59" s="482"/>
      <c r="B59" s="507" t="s">
        <v>359</v>
      </c>
      <c r="C59" s="511" t="str">
        <f>_xlfn.CONCAT("ROI"," ", ,C67)</f>
        <v>ROI 4.9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3.81</v>
      </c>
      <c r="K59" s="516"/>
      <c r="L59" s="518" t="s">
        <v>371</v>
      </c>
      <c r="M59" s="483"/>
      <c r="N59" s="511" t="str">
        <f>_xlfn.CONCAT("ROI"," ", ,N67)</f>
        <v>ROI 3.87</v>
      </c>
      <c r="O59" s="516"/>
      <c r="P59" s="518" t="s">
        <v>375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30" ht="38.25" x14ac:dyDescent="0.25">
      <c r="A60" s="482"/>
      <c r="B60" s="507" t="s">
        <v>358</v>
      </c>
      <c r="C60" s="511" t="str">
        <f>_xlfn.CONCAT("ROI"," ", ,C69)</f>
        <v>ROI 3.14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2.44</v>
      </c>
      <c r="K60" s="516"/>
      <c r="L60" s="518" t="s">
        <v>372</v>
      </c>
      <c r="M60" s="483"/>
      <c r="N60" s="511" t="str">
        <f>_xlfn.CONCAT("ROI"," ", ,N69)</f>
        <v>ROI 2.47</v>
      </c>
      <c r="O60" s="516"/>
      <c r="P60" s="518" t="s">
        <v>376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30" x14ac:dyDescent="0.25">
      <c r="C61" s="97">
        <f>ROUND(D55/C55,2)</f>
        <v>5.45</v>
      </c>
      <c r="F61" s="97">
        <f>ROUND(H55/F55,2)</f>
        <v>4.75</v>
      </c>
      <c r="H61" s="216">
        <f>(H55-$D$55)</f>
        <v>-69.056739124714454</v>
      </c>
      <c r="J61" s="97">
        <f>ROUND(L55/J55,2)</f>
        <v>4.51</v>
      </c>
      <c r="L61" s="216">
        <f>(L55-$D$55)</f>
        <v>-5.3022743291345478</v>
      </c>
      <c r="N61" s="97">
        <f>ROUND(P55/N55,2)</f>
        <v>4.54</v>
      </c>
      <c r="P61" s="216">
        <f>(P55-$D$55)</f>
        <v>-0.62584034420319767</v>
      </c>
      <c r="Q61" s="506"/>
      <c r="R61" s="97">
        <f>ROUND(T55/R55,2)</f>
        <v>4.6100000000000003</v>
      </c>
      <c r="T61" s="216">
        <f>(T55-$D$55)</f>
        <v>7.6220706183993343</v>
      </c>
    </row>
    <row r="62" spans="1:30" x14ac:dyDescent="0.25">
      <c r="H62" s="280">
        <f>H61/$D$55</f>
        <v>-0.11805757084649002</v>
      </c>
      <c r="J62" s="248"/>
      <c r="K62" s="248"/>
      <c r="L62" s="329">
        <f>L61/$D$55</f>
        <v>-9.0646276553666555E-3</v>
      </c>
      <c r="M62" s="248"/>
      <c r="N62" s="248"/>
      <c r="O62" s="248"/>
      <c r="P62" s="329">
        <f>P61/$D$55</f>
        <v>-1.0699200644404337E-3</v>
      </c>
      <c r="Q62" s="329"/>
      <c r="R62" s="248"/>
      <c r="S62" s="248"/>
      <c r="T62" s="329">
        <f>T61/$D$55</f>
        <v>1.3030489904881534E-2</v>
      </c>
    </row>
    <row r="63" spans="1:30" x14ac:dyDescent="0.25">
      <c r="C63" s="97">
        <f>ROUND(D53/C53,2)</f>
        <v>8.17</v>
      </c>
      <c r="F63" s="97">
        <f>ROUND(H53/F53,2)</f>
        <v>7.39</v>
      </c>
      <c r="H63" s="216">
        <f>H53-$D$53</f>
        <v>-21.343946845837934</v>
      </c>
      <c r="J63" s="97">
        <f>ROUND(L53/J53,2)</f>
        <v>6.82</v>
      </c>
      <c r="L63" s="216">
        <f>L53-$D$53</f>
        <v>24.301145218769761</v>
      </c>
      <c r="N63" s="97">
        <f>ROUND(P53/N53,2)</f>
        <v>6.71</v>
      </c>
      <c r="P63" s="216">
        <f>P53-$D$53</f>
        <v>31.422856525640952</v>
      </c>
      <c r="R63" s="97">
        <f>ROUND(T53/R53,2)</f>
        <v>6.48</v>
      </c>
      <c r="T63" s="216">
        <f>T53-$D$53</f>
        <v>45.323754392146839</v>
      </c>
    </row>
    <row r="64" spans="1:30" x14ac:dyDescent="0.25">
      <c r="A64"/>
      <c r="B64"/>
      <c r="H64" s="280">
        <f>H63/$D$53</f>
        <v>-6.7798141266139186E-2</v>
      </c>
      <c r="L64" s="329">
        <f>L63/$D$53</f>
        <v>7.719155638697589E-2</v>
      </c>
      <c r="M64" s="248"/>
      <c r="P64" s="329">
        <f>P63/$D$53</f>
        <v>9.9813370090286679E-2</v>
      </c>
      <c r="T64" s="329">
        <f>T63/$D$53</f>
        <v>0.14396898217490531</v>
      </c>
      <c r="U64"/>
      <c r="V64"/>
      <c r="W64"/>
      <c r="X64"/>
      <c r="Y64"/>
      <c r="Z64"/>
      <c r="AA64"/>
      <c r="AB64"/>
      <c r="AC64"/>
      <c r="AD64"/>
    </row>
    <row r="65" spans="1:30" x14ac:dyDescent="0.25">
      <c r="A65"/>
      <c r="B65"/>
      <c r="C65" s="97">
        <f>ROUND(D54/C54,2)</f>
        <v>3.92</v>
      </c>
      <c r="F65" s="97">
        <f>ROUND(H54/F54,2)</f>
        <v>3.23</v>
      </c>
      <c r="H65" s="216">
        <f>H54-$D$54</f>
        <v>-47.712792278876407</v>
      </c>
      <c r="J65" s="97">
        <f>ROUND(L54/J54,2)</f>
        <v>3.05</v>
      </c>
      <c r="L65" s="216">
        <f>L54-$D$54</f>
        <v>-29.603419547904139</v>
      </c>
      <c r="N65" s="97">
        <f>ROUND(P54/N54,2)</f>
        <v>3.09</v>
      </c>
      <c r="P65" s="216">
        <f>P54-$D$54</f>
        <v>-32.048696869844207</v>
      </c>
      <c r="R65" s="97">
        <f>ROUND(T54/R54,2)</f>
        <v>3.18</v>
      </c>
      <c r="T65" s="216">
        <f>T54-$D$54</f>
        <v>-37.701683773747618</v>
      </c>
      <c r="U65"/>
      <c r="V65"/>
      <c r="W65"/>
      <c r="X65"/>
      <c r="Y65"/>
      <c r="Z65"/>
      <c r="AA65"/>
      <c r="AB65"/>
      <c r="AC65"/>
      <c r="AD65"/>
    </row>
    <row r="66" spans="1:30" x14ac:dyDescent="0.25">
      <c r="A66"/>
      <c r="B66"/>
      <c r="H66" s="280">
        <f>H65/$D$54</f>
        <v>-0.17663219910746436</v>
      </c>
      <c r="L66" s="329">
        <f>L65/$D$54</f>
        <v>-0.10959151301153618</v>
      </c>
      <c r="M66" s="248"/>
      <c r="P66" s="329">
        <f>P65/$D$54</f>
        <v>-0.11864390106456371</v>
      </c>
      <c r="T66" s="329">
        <f>T65/$D$54</f>
        <v>-0.13957119248205249</v>
      </c>
      <c r="U66"/>
      <c r="V66"/>
      <c r="W66"/>
      <c r="X66"/>
      <c r="Y66"/>
      <c r="Z66"/>
      <c r="AA66"/>
      <c r="AB66"/>
      <c r="AC66"/>
      <c r="AD66"/>
    </row>
    <row r="67" spans="1:30" x14ac:dyDescent="0.25">
      <c r="A67"/>
      <c r="B67"/>
      <c r="C67" s="97">
        <f>ROUND(D54*1.25/C54,2)</f>
        <v>4.9000000000000004</v>
      </c>
      <c r="F67" s="97">
        <f>ROUND(H54*1.25/F54,2)</f>
        <v>4.03</v>
      </c>
      <c r="H67" s="216">
        <f>H65*1.25</f>
        <v>-59.640990348595508</v>
      </c>
      <c r="J67" s="97">
        <f>ROUND(L54*1.25/J54,2)</f>
        <v>3.81</v>
      </c>
      <c r="L67" s="216">
        <f>L65*1.25</f>
        <v>-37.004274434880173</v>
      </c>
      <c r="N67" s="97">
        <f>ROUND(P54*1.25/N54,2)</f>
        <v>3.87</v>
      </c>
      <c r="P67" s="216">
        <f>P65*1.25</f>
        <v>-40.060871087305259</v>
      </c>
      <c r="R67" s="97">
        <f>ROUND(T54*1.25/R54,2)</f>
        <v>3.98</v>
      </c>
      <c r="T67" s="216">
        <f>T65*1.25</f>
        <v>-47.127104717184523</v>
      </c>
      <c r="U67"/>
      <c r="V67"/>
      <c r="W67"/>
      <c r="X67"/>
      <c r="Y67"/>
      <c r="Z67"/>
      <c r="AA67"/>
      <c r="AB67"/>
      <c r="AC67"/>
      <c r="AD67"/>
    </row>
    <row r="68" spans="1:30" x14ac:dyDescent="0.25">
      <c r="A68"/>
      <c r="B68"/>
      <c r="H68" s="280">
        <f>H67/($D$54*1.25)</f>
        <v>-0.17663219910746436</v>
      </c>
      <c r="L68" s="329">
        <f>L67/($D$54*1.25)</f>
        <v>-0.10959151301153618</v>
      </c>
      <c r="M68" s="248"/>
      <c r="P68" s="329">
        <f>P67/($D$54*1.25)</f>
        <v>-0.11864390106456371</v>
      </c>
      <c r="T68" s="329">
        <f>T67/($D$54*1.25)</f>
        <v>-0.13957119248205252</v>
      </c>
      <c r="U68"/>
      <c r="V68"/>
      <c r="W68"/>
      <c r="X68"/>
      <c r="Y68"/>
      <c r="Z68"/>
      <c r="AA68"/>
      <c r="AB68"/>
      <c r="AC68"/>
      <c r="AD68"/>
    </row>
    <row r="69" spans="1:30" x14ac:dyDescent="0.25">
      <c r="A69"/>
      <c r="B69"/>
      <c r="C69" s="97">
        <f>ROUND(D54*0.8/C54,2)</f>
        <v>3.14</v>
      </c>
      <c r="F69" s="97">
        <f>ROUND(H54*0.8/F54,2)</f>
        <v>2.58</v>
      </c>
      <c r="H69" s="216">
        <f>H65*0.8</f>
        <v>-38.170233823101128</v>
      </c>
      <c r="J69" s="97">
        <f>ROUND(L54*0.8/J54,2)</f>
        <v>2.44</v>
      </c>
      <c r="L69" s="216">
        <f>L65*0.8</f>
        <v>-23.682735638323312</v>
      </c>
      <c r="N69" s="97">
        <f>ROUND(P54*0.8/N54,2)</f>
        <v>2.4700000000000002</v>
      </c>
      <c r="P69" s="216">
        <f>P65*0.8</f>
        <v>-25.638957495875367</v>
      </c>
      <c r="R69" s="97">
        <f>ROUND(T54*0.8/R54,2)</f>
        <v>2.5499999999999998</v>
      </c>
      <c r="T69" s="216">
        <f>T65*0.8</f>
        <v>-30.161347018998097</v>
      </c>
      <c r="U69"/>
      <c r="V69"/>
      <c r="W69"/>
      <c r="X69"/>
      <c r="Y69"/>
      <c r="Z69"/>
      <c r="AA69"/>
      <c r="AB69"/>
      <c r="AC69"/>
      <c r="AD69"/>
    </row>
    <row r="70" spans="1:30" x14ac:dyDescent="0.25">
      <c r="A70"/>
      <c r="B70"/>
      <c r="H70" s="280">
        <f>H69/($D$54*0.8)</f>
        <v>-0.17663219910746436</v>
      </c>
      <c r="L70" s="329">
        <f>L69/($D$54*0.8)</f>
        <v>-0.10959151301153618</v>
      </c>
      <c r="M70" s="248"/>
      <c r="P70" s="329">
        <f>P69/($D$54*0.8)</f>
        <v>-0.11864390106456371</v>
      </c>
      <c r="T70" s="329">
        <f>T69/($D$54*0.8)</f>
        <v>-0.13957119248205252</v>
      </c>
      <c r="U70"/>
      <c r="V70"/>
      <c r="W70"/>
      <c r="X70"/>
      <c r="Y70"/>
      <c r="Z70"/>
      <c r="AA70"/>
      <c r="AB70"/>
      <c r="AC70"/>
      <c r="AD70"/>
    </row>
    <row r="71" spans="1:3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U71"/>
      <c r="V71"/>
      <c r="W71"/>
      <c r="X71"/>
      <c r="Y71"/>
      <c r="Z71"/>
      <c r="AA71"/>
      <c r="AB71"/>
      <c r="AC71"/>
      <c r="AD71"/>
    </row>
    <row r="72" spans="1:3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U72"/>
      <c r="V72"/>
      <c r="W72"/>
      <c r="X72"/>
      <c r="Y72"/>
      <c r="Z72"/>
      <c r="AA72"/>
      <c r="AB72"/>
      <c r="AC72"/>
      <c r="AD72"/>
    </row>
    <row r="73" spans="1:3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U73"/>
      <c r="V73"/>
      <c r="W73"/>
      <c r="X73"/>
      <c r="Y73"/>
      <c r="Z73"/>
      <c r="AA73"/>
      <c r="AB73"/>
      <c r="AC73"/>
      <c r="AD73"/>
    </row>
    <row r="74" spans="1:3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U74"/>
      <c r="V74"/>
      <c r="W74"/>
      <c r="X74"/>
      <c r="Y74"/>
      <c r="Z74"/>
      <c r="AA74"/>
      <c r="AB74"/>
      <c r="AC74"/>
      <c r="AD74"/>
    </row>
    <row r="75" spans="1:3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U75"/>
      <c r="V75"/>
      <c r="W75"/>
      <c r="X75"/>
      <c r="Y75"/>
      <c r="Z75"/>
      <c r="AA75"/>
      <c r="AB75"/>
      <c r="AC75"/>
      <c r="AD75"/>
    </row>
    <row r="76" spans="1:3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U76"/>
      <c r="V76"/>
      <c r="W76"/>
      <c r="X76"/>
      <c r="Y76"/>
      <c r="Z76"/>
      <c r="AA76"/>
      <c r="AB76"/>
      <c r="AC76"/>
      <c r="AD76"/>
    </row>
    <row r="77" spans="1:3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U77"/>
      <c r="V77"/>
      <c r="W77"/>
      <c r="X77"/>
      <c r="Y77"/>
      <c r="Z77"/>
      <c r="AA77"/>
      <c r="AB77"/>
      <c r="AC77"/>
      <c r="AD77"/>
    </row>
    <row r="78" spans="1:3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U78"/>
      <c r="V78"/>
      <c r="W78"/>
      <c r="X78"/>
      <c r="Y78"/>
      <c r="Z78"/>
      <c r="AA78"/>
      <c r="AB78"/>
      <c r="AC78"/>
      <c r="AD78"/>
    </row>
    <row r="79" spans="1:3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U79"/>
      <c r="V79"/>
      <c r="W79"/>
      <c r="X79"/>
      <c r="Y79"/>
      <c r="Z79"/>
      <c r="AA79"/>
      <c r="AB79"/>
      <c r="AC79"/>
      <c r="AD79"/>
    </row>
    <row r="80" spans="1:3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U80"/>
      <c r="V80"/>
      <c r="W80"/>
      <c r="X80"/>
      <c r="Y80"/>
      <c r="Z80"/>
      <c r="AA80"/>
      <c r="AB80"/>
      <c r="AC80"/>
      <c r="AD80"/>
    </row>
    <row r="81" spans="1:30" ht="27.6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U81"/>
      <c r="V81"/>
      <c r="W81"/>
      <c r="X81"/>
      <c r="Y81"/>
      <c r="Z81"/>
      <c r="AA81"/>
      <c r="AB81"/>
      <c r="AC81"/>
      <c r="AD81"/>
    </row>
    <row r="82" spans="1:3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U82"/>
      <c r="V82"/>
      <c r="W82"/>
      <c r="X82"/>
      <c r="Y82"/>
      <c r="Z82"/>
      <c r="AA82"/>
      <c r="AB82"/>
      <c r="AC82"/>
      <c r="AD82"/>
    </row>
    <row r="83" spans="1:3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U83"/>
      <c r="V83"/>
      <c r="W83"/>
      <c r="X83"/>
      <c r="Y83"/>
      <c r="Z83"/>
      <c r="AA83"/>
      <c r="AB83"/>
      <c r="AC83"/>
      <c r="AD83"/>
    </row>
    <row r="84" spans="1:3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U84"/>
      <c r="V84"/>
      <c r="W84"/>
      <c r="X84"/>
      <c r="Y84"/>
      <c r="Z84"/>
      <c r="AA84"/>
      <c r="AB84"/>
      <c r="AC84"/>
      <c r="AD84"/>
    </row>
    <row r="85" spans="1:3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U85"/>
      <c r="V85"/>
      <c r="W85"/>
      <c r="X85"/>
      <c r="Y85"/>
      <c r="Z85"/>
      <c r="AA85"/>
      <c r="AB85"/>
      <c r="AC85"/>
      <c r="AD85"/>
    </row>
    <row r="86" spans="1:3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U86"/>
      <c r="V86"/>
      <c r="W86"/>
      <c r="X86"/>
      <c r="Y86"/>
      <c r="Z86"/>
      <c r="AA86"/>
      <c r="AB86"/>
      <c r="AC86"/>
      <c r="AD86"/>
    </row>
    <row r="87" spans="1:3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U87"/>
      <c r="V87"/>
      <c r="W87"/>
      <c r="X87"/>
      <c r="Y87"/>
      <c r="Z87"/>
      <c r="AA87"/>
      <c r="AB87"/>
      <c r="AC87"/>
      <c r="AD87"/>
    </row>
    <row r="88" spans="1:3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U88"/>
      <c r="V88"/>
      <c r="W88"/>
      <c r="X88"/>
      <c r="Y88"/>
      <c r="Z88"/>
      <c r="AA88"/>
      <c r="AB88"/>
      <c r="AC88"/>
      <c r="AD88"/>
    </row>
    <row r="89" spans="1:3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U89"/>
      <c r="V89"/>
      <c r="W89"/>
      <c r="X89"/>
      <c r="Y89"/>
      <c r="Z89"/>
      <c r="AA89"/>
      <c r="AB89"/>
      <c r="AC89"/>
      <c r="AD89"/>
    </row>
    <row r="90" spans="1:3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U90"/>
      <c r="V90"/>
      <c r="W90"/>
      <c r="X90"/>
      <c r="Y90"/>
      <c r="Z90"/>
      <c r="AA90"/>
      <c r="AB90"/>
      <c r="AC90"/>
      <c r="AD90"/>
    </row>
    <row r="91" spans="1:3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U91"/>
      <c r="V91"/>
      <c r="W91"/>
      <c r="X91"/>
      <c r="Y91"/>
      <c r="Z91"/>
      <c r="AA91"/>
      <c r="AB91"/>
      <c r="AC91"/>
      <c r="AD91"/>
    </row>
    <row r="92" spans="1:3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U92"/>
      <c r="V92"/>
      <c r="W92"/>
      <c r="X92"/>
      <c r="Y92"/>
      <c r="Z92"/>
      <c r="AA92"/>
      <c r="AB92"/>
      <c r="AC92"/>
      <c r="AD92"/>
    </row>
    <row r="93" spans="1:3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U93"/>
      <c r="V93"/>
      <c r="W93"/>
      <c r="X93"/>
      <c r="Y93"/>
      <c r="Z93"/>
      <c r="AA93"/>
      <c r="AB93"/>
      <c r="AC93"/>
      <c r="AD93"/>
    </row>
    <row r="94" spans="1:3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U94"/>
      <c r="V94"/>
      <c r="W94"/>
      <c r="X94"/>
      <c r="Y94"/>
      <c r="Z94"/>
      <c r="AA94"/>
      <c r="AB94"/>
      <c r="AC94"/>
      <c r="AD94"/>
    </row>
    <row r="95" spans="1:3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U95"/>
      <c r="V95"/>
      <c r="W95"/>
      <c r="X95"/>
      <c r="Y95"/>
      <c r="Z95"/>
      <c r="AA95"/>
      <c r="AB95"/>
      <c r="AC95"/>
      <c r="AD95"/>
    </row>
    <row r="96" spans="1:3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U96"/>
      <c r="V96"/>
      <c r="W96"/>
      <c r="X96"/>
      <c r="Y96"/>
      <c r="Z96"/>
      <c r="AA96"/>
      <c r="AB96"/>
      <c r="AC96"/>
      <c r="AD96"/>
    </row>
    <row r="97" spans="1:3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U97"/>
      <c r="V97"/>
      <c r="W97"/>
      <c r="X97"/>
      <c r="Y97"/>
      <c r="Z97"/>
      <c r="AA97"/>
      <c r="AB97"/>
      <c r="AC97"/>
      <c r="AD97"/>
    </row>
    <row r="98" spans="1:3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U98"/>
      <c r="V98"/>
      <c r="W98"/>
      <c r="X98"/>
      <c r="Y98"/>
      <c r="Z98"/>
      <c r="AA98"/>
      <c r="AB98"/>
      <c r="AC98"/>
      <c r="AD98"/>
    </row>
    <row r="99" spans="1:3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U99"/>
      <c r="V99"/>
      <c r="W99"/>
      <c r="X99"/>
      <c r="Y99"/>
      <c r="Z99"/>
      <c r="AA99"/>
      <c r="AB99"/>
      <c r="AC99"/>
      <c r="AD99"/>
    </row>
    <row r="100" spans="1:3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U100"/>
      <c r="V100"/>
      <c r="W100"/>
      <c r="X100"/>
      <c r="Y100"/>
      <c r="Z100"/>
      <c r="AA100"/>
      <c r="AB100"/>
      <c r="AC100"/>
      <c r="AD100"/>
    </row>
    <row r="101" spans="1:3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U101"/>
      <c r="V101"/>
      <c r="W101"/>
      <c r="X101"/>
      <c r="Y101"/>
      <c r="Z101"/>
      <c r="AA101"/>
      <c r="AB101"/>
      <c r="AC101"/>
      <c r="AD101"/>
    </row>
    <row r="102" spans="1:3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U102"/>
      <c r="V102"/>
      <c r="W102"/>
      <c r="X102"/>
      <c r="Y102"/>
      <c r="Z102"/>
      <c r="AA102"/>
      <c r="AB102"/>
      <c r="AC102"/>
      <c r="AD102"/>
    </row>
    <row r="103" spans="1:3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U103"/>
      <c r="V103"/>
      <c r="W103"/>
      <c r="X103"/>
      <c r="Y103"/>
      <c r="Z103"/>
      <c r="AA103"/>
      <c r="AB103"/>
      <c r="AC103"/>
      <c r="AD103"/>
    </row>
    <row r="104" spans="1:3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U104"/>
      <c r="V104"/>
      <c r="W104"/>
      <c r="X104"/>
      <c r="Y104"/>
      <c r="Z104"/>
      <c r="AA104"/>
      <c r="AB104"/>
      <c r="AC104"/>
      <c r="AD104"/>
    </row>
    <row r="105" spans="1:3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U105"/>
      <c r="V105"/>
      <c r="W105"/>
      <c r="X105"/>
      <c r="Y105"/>
      <c r="Z105"/>
      <c r="AA105"/>
      <c r="AB105"/>
      <c r="AC105"/>
      <c r="AD105"/>
    </row>
    <row r="106" spans="1:3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U106"/>
      <c r="V106"/>
      <c r="W106"/>
      <c r="X106"/>
      <c r="Y106"/>
      <c r="Z106"/>
      <c r="AA106"/>
      <c r="AB106"/>
      <c r="AC106"/>
      <c r="AD106"/>
    </row>
    <row r="107" spans="1:3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U107"/>
      <c r="V107"/>
      <c r="W107"/>
      <c r="X107"/>
      <c r="Y107"/>
      <c r="Z107"/>
      <c r="AA107"/>
      <c r="AB107"/>
      <c r="AC107"/>
      <c r="AD107"/>
    </row>
  </sheetData>
  <mergeCells count="11">
    <mergeCell ref="R32:T32"/>
    <mergeCell ref="F31:T31"/>
    <mergeCell ref="C32:D32"/>
    <mergeCell ref="F32:H32"/>
    <mergeCell ref="N32:P32"/>
    <mergeCell ref="J32:L32"/>
    <mergeCell ref="R5:T5"/>
    <mergeCell ref="F4:P4"/>
    <mergeCell ref="N5:P5"/>
    <mergeCell ref="J5:L5"/>
    <mergeCell ref="F5:H5"/>
  </mergeCells>
  <conditionalFormatting sqref="G34:G52">
    <cfRule type="cellIs" dxfId="63" priority="43" operator="lessThan">
      <formula>0</formula>
    </cfRule>
    <cfRule type="cellIs" dxfId="62" priority="44" operator="greaterThan">
      <formula>0</formula>
    </cfRule>
  </conditionalFormatting>
  <conditionalFormatting sqref="O34:O52">
    <cfRule type="cellIs" dxfId="61" priority="27" operator="lessThan">
      <formula>0</formula>
    </cfRule>
    <cfRule type="cellIs" dxfId="60" priority="28" operator="greaterThan">
      <formula>0</formula>
    </cfRule>
  </conditionalFormatting>
  <conditionalFormatting sqref="K34:K52">
    <cfRule type="cellIs" dxfId="59" priority="17" operator="lessThan">
      <formula>0</formula>
    </cfRule>
    <cfRule type="cellIs" dxfId="58" priority="18" operator="greaterThan">
      <formula>0</formula>
    </cfRule>
  </conditionalFormatting>
  <conditionalFormatting sqref="G53:G54">
    <cfRule type="cellIs" dxfId="57" priority="9" operator="lessThan">
      <formula>0</formula>
    </cfRule>
    <cfRule type="cellIs" dxfId="56" priority="10" operator="greaterThan">
      <formula>0</formula>
    </cfRule>
  </conditionalFormatting>
  <conditionalFormatting sqref="K53:K54">
    <cfRule type="cellIs" dxfId="55" priority="7" operator="lessThan">
      <formula>0</formula>
    </cfRule>
    <cfRule type="cellIs" dxfId="54" priority="8" operator="greaterThan">
      <formula>0</formula>
    </cfRule>
  </conditionalFormatting>
  <conditionalFormatting sqref="O53:O54">
    <cfRule type="cellIs" dxfId="53" priority="5" operator="lessThan">
      <formula>0</formula>
    </cfRule>
    <cfRule type="cellIs" dxfId="52" priority="6" operator="greaterThan">
      <formula>0</formula>
    </cfRule>
  </conditionalFormatting>
  <conditionalFormatting sqref="S34:S52">
    <cfRule type="cellIs" dxfId="51" priority="3" operator="lessThan">
      <formula>0</formula>
    </cfRule>
    <cfRule type="cellIs" dxfId="50" priority="4" operator="greaterThan">
      <formula>0</formula>
    </cfRule>
  </conditionalFormatting>
  <conditionalFormatting sqref="S53:S54">
    <cfRule type="cellIs" dxfId="49" priority="1" operator="lessThan">
      <formula>0</formula>
    </cfRule>
    <cfRule type="cellIs" dxfId="4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A8B7-FCF8-4CE4-9985-75787C202868}">
  <sheetPr>
    <pageSetUpPr autoPageBreaks="0"/>
  </sheetPr>
  <dimension ref="A1:AB81"/>
  <sheetViews>
    <sheetView showGridLines="0" topLeftCell="B10" zoomScale="75" zoomScaleNormal="75" workbookViewId="0">
      <selection activeCell="E16" sqref="E16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customWidth="1"/>
    <col min="19" max="19" width="13.28515625" style="97" customWidth="1"/>
    <col min="20" max="20" width="13.8554687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1" spans="1:28" x14ac:dyDescent="0.25">
      <c r="A1" s="97" t="s">
        <v>393</v>
      </c>
    </row>
    <row r="3" spans="1:28" x14ac:dyDescent="0.25">
      <c r="B3" s="180">
        <f>SUM(C9:C13)</f>
        <v>11817798</v>
      </c>
      <c r="C3" s="180">
        <f>SUM(D9:D13)</f>
        <v>145704065.48447829</v>
      </c>
    </row>
    <row r="4" spans="1:28" x14ac:dyDescent="0.25">
      <c r="F4" s="622" t="s">
        <v>350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546"/>
      <c r="R4" s="546"/>
      <c r="S4" s="546"/>
      <c r="T4" s="546"/>
    </row>
    <row r="5" spans="1:28" ht="39.75" customHeight="1" x14ac:dyDescent="0.25">
      <c r="F5" s="616" t="s">
        <v>310</v>
      </c>
      <c r="G5" s="617"/>
      <c r="H5" s="618"/>
      <c r="I5" s="181"/>
      <c r="J5" s="634" t="s">
        <v>395</v>
      </c>
      <c r="K5" s="635"/>
      <c r="L5" s="636"/>
      <c r="N5" s="634" t="s">
        <v>394</v>
      </c>
      <c r="O5" s="635"/>
      <c r="P5" s="636"/>
      <c r="Q5" s="503"/>
      <c r="R5" s="634" t="s">
        <v>351</v>
      </c>
      <c r="S5" s="635"/>
      <c r="T5" s="636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3608306.5090601984</v>
      </c>
      <c r="I7" s="365"/>
      <c r="J7" s="380">
        <v>1312066.2114589978</v>
      </c>
      <c r="K7" s="370">
        <v>0.31206621145899782</v>
      </c>
      <c r="L7" s="372">
        <v>4465700.4117103117</v>
      </c>
      <c r="M7" s="367"/>
      <c r="N7" s="380">
        <v>1312060.6814247447</v>
      </c>
      <c r="O7" s="370">
        <v>0.31206068142474463</v>
      </c>
      <c r="P7" s="372">
        <v>4465686.1616250286</v>
      </c>
      <c r="Q7" s="369"/>
      <c r="R7" s="380">
        <v>1280553.8166407023</v>
      </c>
      <c r="S7" s="370">
        <v>0.28055381664070234</v>
      </c>
      <c r="T7" s="372">
        <v>4383975.1022611018</v>
      </c>
      <c r="U7" s="180"/>
      <c r="V7" s="185">
        <f>VAC_Optim_Scenario!$H51</f>
        <v>1486235.6790270803</v>
      </c>
      <c r="W7" s="177">
        <f>(V7-$C7)/$C7</f>
        <v>0.48623567902708031</v>
      </c>
      <c r="X7" s="185">
        <f>VAC_Optim_Scenario!$J51</f>
        <v>4898979.1498100674</v>
      </c>
      <c r="Y7" s="185">
        <f>J7-V7</f>
        <v>-174169.4675680825</v>
      </c>
      <c r="Z7" s="490">
        <f>$F7-'[1]Scenario deep dive'!$F7</f>
        <v>0</v>
      </c>
      <c r="AA7" s="493">
        <f>$J7-'[1]Scenario deep dive'!$J7</f>
        <v>139151.88554909523</v>
      </c>
      <c r="AB7" s="493">
        <f>$N7-'[1]Scenario deep dive'!$N7</f>
        <v>-342528.03090405185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80687519.073682621</v>
      </c>
      <c r="E8" s="369"/>
      <c r="F8" s="380">
        <v>7998999.8847845653</v>
      </c>
      <c r="G8" s="370">
        <v>2.8707337681781207E-2</v>
      </c>
      <c r="H8" s="372">
        <v>78549789.97385852</v>
      </c>
      <c r="I8" s="369"/>
      <c r="J8" s="380">
        <v>11179757.92883369</v>
      </c>
      <c r="K8" s="370">
        <v>0.4377671184585889</v>
      </c>
      <c r="L8" s="372">
        <v>92434455.601042956</v>
      </c>
      <c r="M8" s="371"/>
      <c r="N8" s="380">
        <v>11179859.254118364</v>
      </c>
      <c r="O8" s="370">
        <v>0.43778014934561715</v>
      </c>
      <c r="P8" s="372">
        <v>92434806.045008063</v>
      </c>
      <c r="Q8" s="369"/>
      <c r="R8" s="380">
        <v>11092068.118553624</v>
      </c>
      <c r="S8" s="370">
        <v>0.42648981472382874</v>
      </c>
      <c r="T8" s="372">
        <v>92129276.914606035</v>
      </c>
      <c r="U8" s="180"/>
      <c r="V8" s="185">
        <f>VAC_Optim_Scenario!$H52</f>
        <v>14043651.326912649</v>
      </c>
      <c r="W8" s="177">
        <f t="shared" ref="W8:W22" si="0">(V8-$C8)/$C8</f>
        <v>0.80607668157612644</v>
      </c>
      <c r="X8" s="185">
        <f>VAC_Optim_Scenario!$J52</f>
        <v>104956912.90580291</v>
      </c>
      <c r="Y8" s="185">
        <f t="shared" ref="Y8:Y25" si="1">J8-V8</f>
        <v>-2863893.3980789594</v>
      </c>
      <c r="Z8" s="491">
        <f>$F8-'[1]Scenario deep dive'!$F8</f>
        <v>-4662.7890975764021</v>
      </c>
      <c r="AA8" s="494">
        <f>$J8-'[1]Scenario deep dive'!$J8</f>
        <v>398678.1284311451</v>
      </c>
      <c r="AB8" s="494">
        <f>$N8-'[1]Scenario deep dive'!$N8</f>
        <v>-820140.7458816357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20811821.049948756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4593290.9936571522</v>
      </c>
      <c r="K9" s="370">
        <v>1.4963538009006261</v>
      </c>
      <c r="L9" s="372">
        <v>27573258.646637142</v>
      </c>
      <c r="M9" s="371"/>
      <c r="N9" s="380">
        <v>4593213.5386903435</v>
      </c>
      <c r="O9" s="370">
        <v>1.4963117058099693</v>
      </c>
      <c r="P9" s="372">
        <v>27572979.671100132</v>
      </c>
      <c r="Q9" s="369"/>
      <c r="R9" s="380">
        <v>4455047.5305201802</v>
      </c>
      <c r="S9" s="370">
        <v>1.4212214839783588</v>
      </c>
      <c r="T9" s="372">
        <v>27072298.129360568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44377967.027515724</v>
      </c>
      <c r="Y9" s="185">
        <f t="shared" si="1"/>
        <v>-1906709.0063428478</v>
      </c>
      <c r="Z9" s="491">
        <f>$F9-'[1]Scenario deep dive'!$F9</f>
        <v>0</v>
      </c>
      <c r="AA9" s="494">
        <f>$J9-'[1]Scenario deep dive'!$J9</f>
        <v>605372.89643062791</v>
      </c>
      <c r="AB9" s="494">
        <f>$N9-'[1]Scenario deep dive'!$N9</f>
        <v>-1906786.4613096565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5729843.8063793583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5668483.3276297525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30671602.273905724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6772175.1052560359</v>
      </c>
      <c r="K11" s="370">
        <v>0.40565775178951791</v>
      </c>
      <c r="L11" s="372">
        <v>34845351.543835871</v>
      </c>
      <c r="M11" s="371"/>
      <c r="N11" s="380">
        <v>6772004.1322160074</v>
      </c>
      <c r="O11" s="370">
        <v>0.40562226399197465</v>
      </c>
      <c r="P11" s="372">
        <v>34844735.737731151</v>
      </c>
      <c r="Q11" s="369"/>
      <c r="R11" s="380">
        <v>6494076.6811486697</v>
      </c>
      <c r="S11" s="370">
        <v>0.3479346126900027</v>
      </c>
      <c r="T11" s="372">
        <v>33837425.591033712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58336502.542934552</v>
      </c>
      <c r="Y11" s="185">
        <f t="shared" si="1"/>
        <v>-5297937.8947439641</v>
      </c>
      <c r="Z11" s="491">
        <f>$F11-'[1]Scenario deep dive'!$F11</f>
        <v>0</v>
      </c>
      <c r="AA11" s="494">
        <f>$J11-'[1]Scenario deep dive'!$J11</f>
        <v>1163133.6542743538</v>
      </c>
      <c r="AB11" s="494">
        <f>$N11-'[1]Scenario deep dive'!$N11</f>
        <v>-4000352.7593168607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55720832.469924212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5242709.7667338559</v>
      </c>
      <c r="K12" s="370">
        <v>0.48099145952933786</v>
      </c>
      <c r="L12" s="372">
        <v>47390542.89394173</v>
      </c>
      <c r="M12" s="371"/>
      <c r="N12" s="380">
        <v>5242862.3994902764</v>
      </c>
      <c r="O12" s="370">
        <v>0.48103457612719669</v>
      </c>
      <c r="P12" s="372">
        <v>47391092.669238076</v>
      </c>
      <c r="Q12" s="369"/>
      <c r="R12" s="380">
        <v>5202542.954141208</v>
      </c>
      <c r="S12" s="370">
        <v>0.46964490229977629</v>
      </c>
      <c r="T12" s="372">
        <v>47244945.61050126</v>
      </c>
      <c r="U12" s="180"/>
      <c r="V12" s="185">
        <f>VAC_Optim_Scenario!$H56</f>
        <v>7000000.0000000009</v>
      </c>
      <c r="W12" s="177">
        <f t="shared" si="0"/>
        <v>0.97740112994350303</v>
      </c>
      <c r="X12" s="185">
        <f>VAC_Optim_Scenario!$J56</f>
        <v>74111465.228846326</v>
      </c>
      <c r="Y12" s="185">
        <f t="shared" si="1"/>
        <v>-1757290.233266145</v>
      </c>
      <c r="Z12" s="491">
        <f>$F12-'[1]Scenario deep dive'!$F12</f>
        <v>4027.4115999196656</v>
      </c>
      <c r="AA12" s="494">
        <f>$J12-'[1]Scenario deep dive'!$J12</f>
        <v>180087.3804657422</v>
      </c>
      <c r="AB12" s="494">
        <f>$N12-'[1]Scenario deep dive'!$N12</f>
        <v>-443768.03694957681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64117823.465933323</v>
      </c>
      <c r="E15" s="373"/>
      <c r="F15" s="381">
        <v>16888801</v>
      </c>
      <c r="G15" s="374">
        <v>7.5719808917197456E-2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7.5719808917197456E-2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64117823.465933323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904451.29161394853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904451.29161394853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112105753.8405596</v>
      </c>
      <c r="E17" s="369"/>
      <c r="F17" s="380">
        <v>20333699.638065696</v>
      </c>
      <c r="G17" s="370">
        <v>0.19976986299655983</v>
      </c>
      <c r="H17" s="372">
        <v>102889675.97024103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21000000.203315023</v>
      </c>
      <c r="S17" s="370">
        <v>0.23908426972592775</v>
      </c>
      <c r="T17" s="372">
        <v>104886219.59510297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132078866.7384024</v>
      </c>
      <c r="Y17" s="185">
        <f t="shared" si="1"/>
        <v>0</v>
      </c>
      <c r="Z17" s="491">
        <f>$F17-'[2]Scenario deep dive'!$F8</f>
        <v>972.85154687613249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13243840.136854218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2290679.6471494259</v>
      </c>
      <c r="K18" s="370">
        <v>4.1218021431557242E-2</v>
      </c>
      <c r="L18" s="372">
        <v>6323378.3241345212</v>
      </c>
      <c r="M18" s="371"/>
      <c r="N18" s="380">
        <v>3753532.7155753803</v>
      </c>
      <c r="O18" s="370">
        <v>0.70615123435244553</v>
      </c>
      <c r="P18" s="372">
        <v>8504223.6926426645</v>
      </c>
      <c r="Q18" s="369"/>
      <c r="R18" s="380">
        <v>4154570.9220185205</v>
      </c>
      <c r="S18" s="370">
        <v>0.88844132819023658</v>
      </c>
      <c r="T18" s="372">
        <v>9038289.7156212088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13568721.71934624</v>
      </c>
      <c r="Y18" s="185">
        <f t="shared" si="1"/>
        <v>0</v>
      </c>
      <c r="Z18" s="491">
        <f>$F18-'[2]Scenario deep dive'!$F9</f>
        <v>0</v>
      </c>
      <c r="AA18" s="494">
        <f>$J18-'[2]Scenario deep dive'!$J9</f>
        <v>-2295835.5850132992</v>
      </c>
      <c r="AB18" s="494">
        <f>$N18-'[2]Scenario deep dive'!$N9</f>
        <v>-2979695.7550152158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10671052.449402977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2094216.1059919484</v>
      </c>
      <c r="K19" s="370">
        <v>0.39614407066129892</v>
      </c>
      <c r="L19" s="372">
        <v>7136031.390660706</v>
      </c>
      <c r="M19" s="371"/>
      <c r="N19" s="380">
        <v>2410373.6146011599</v>
      </c>
      <c r="O19" s="370">
        <v>0.60691574306744001</v>
      </c>
      <c r="P19" s="372">
        <v>7611209.0114466725</v>
      </c>
      <c r="Q19" s="369"/>
      <c r="R19" s="380">
        <v>2469338.7975853113</v>
      </c>
      <c r="S19" s="370">
        <v>0.64622586505687418</v>
      </c>
      <c r="T19" s="372">
        <v>7689906.7353378301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12813292.806834146</v>
      </c>
      <c r="Y19" s="185">
        <f t="shared" si="1"/>
        <v>0</v>
      </c>
      <c r="Z19" s="491">
        <f>$F19-'[2]Scenario deep dive'!$F10</f>
        <v>3206.1157225614879</v>
      </c>
      <c r="AA19" s="494">
        <f>$J19-'[2]Scenario deep dive'!$J10</f>
        <v>-444392.25193793699</v>
      </c>
      <c r="AB19" s="494">
        <f>$N19-'[2]Scenario deep dive'!$N10</f>
        <v>-373774.96884703403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34220018.757868037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16281797.494816165</v>
      </c>
      <c r="M20" s="371"/>
      <c r="N20" s="380">
        <v>8566882.663883714</v>
      </c>
      <c r="O20" s="370">
        <v>-0.16570845694329447</v>
      </c>
      <c r="P20" s="372">
        <v>16636846.042942891</v>
      </c>
      <c r="Q20" s="369"/>
      <c r="R20" s="380">
        <v>9781828.9864038322</v>
      </c>
      <c r="S20" s="370">
        <v>-4.7390104525605978E-2</v>
      </c>
      <c r="T20" s="372">
        <v>18255304.051492907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29500819.705867045</v>
      </c>
      <c r="Y20" s="185">
        <f t="shared" si="1"/>
        <v>0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-10105594.242003022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26401195.702321921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4999999.9998964043</v>
      </c>
      <c r="K21" s="370">
        <v>0.24999999997410108</v>
      </c>
      <c r="L21" s="372">
        <v>24032152.745787345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30183500.428984575</v>
      </c>
      <c r="Y21" s="185">
        <f t="shared" si="1"/>
        <v>-1.0359566658735275E-4</v>
      </c>
      <c r="Z21" s="491">
        <f>$F21-'[2]Scenario deep dive'!$F12</f>
        <v>-6415.2453787680715</v>
      </c>
      <c r="AA21" s="494">
        <f>$J21-'[2]Scenario deep dive'!$J12</f>
        <v>-1.0359566658735275E-4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42182904.802091695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36089210.999896407</v>
      </c>
      <c r="W23" s="177">
        <f>(V23-$C23)/$C23</f>
        <v>0.28480686053789145</v>
      </c>
      <c r="X23" s="185">
        <f>VAC_Optim_Scenario!$J68</f>
        <v>50271631.014643446</v>
      </c>
      <c r="Y23" s="185">
        <f t="shared" si="1"/>
        <v>-7999999.9998964071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1959114.2410225025</v>
      </c>
      <c r="K24" s="370">
        <v>0.30607616068166837</v>
      </c>
      <c r="L24" s="372">
        <v>8112101.8302757163</v>
      </c>
      <c r="M24" s="371"/>
      <c r="N24" s="380">
        <v>2310000</v>
      </c>
      <c r="O24" s="370">
        <v>0.54</v>
      </c>
      <c r="P24" s="372">
        <v>8664714.9708767254</v>
      </c>
      <c r="Q24" s="369"/>
      <c r="R24" s="380">
        <v>2200000</v>
      </c>
      <c r="S24" s="370">
        <v>0.46666666666666667</v>
      </c>
      <c r="T24" s="372">
        <v>8497253.2367697079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0</v>
      </c>
      <c r="Z24" s="491">
        <f>$F24-'[2]Scenario deep dive'!$F14</f>
        <v>2236.2645860570483</v>
      </c>
      <c r="AA24" s="494">
        <f>$J24-'[2]Scenario deep dive'!$J14</f>
        <v>-240885.75897749746</v>
      </c>
      <c r="AB24" s="494">
        <f>$N24-'[2]Scenario deep dive'!$N14</f>
        <v>110000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314816106.27130663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51000000.00593973</v>
      </c>
      <c r="K26" s="439">
        <f>(J26-$F$26)/$C$26</f>
        <v>0.29334131439624622</v>
      </c>
      <c r="L26" s="379">
        <f>SUM(L7:L15)</f>
        <v>339407619.45836365</v>
      </c>
      <c r="M26" s="371"/>
      <c r="N26" s="379">
        <f>SUM(N7:N15)</f>
        <v>51000000.005939737</v>
      </c>
      <c r="O26" s="439">
        <f>(N26-$F$26)/$C$26</f>
        <v>0.29334131439624639</v>
      </c>
      <c r="P26" s="368">
        <f>SUM(P7:P15)</f>
        <v>339407610.6458981</v>
      </c>
      <c r="Q26" s="369"/>
      <c r="R26" s="379">
        <f>SUM(R7:R15)</f>
        <v>51613090.101004384</v>
      </c>
      <c r="S26" s="439">
        <f>(R26-$F$26)/$C$26</f>
        <v>0.30926011910720463</v>
      </c>
      <c r="T26" s="368">
        <f>SUM(T7:T15)</f>
        <v>340705185.28556395</v>
      </c>
      <c r="U26" s="180">
        <f>L26-D26</f>
        <v>24591513.187057018</v>
      </c>
      <c r="V26" s="379">
        <f>SUM(V7:V15)</f>
        <v>63000000.00593973</v>
      </c>
      <c r="W26" s="439">
        <f>(V26-$C$26)/$C$26</f>
        <v>0.63578681984606489</v>
      </c>
      <c r="X26" s="368">
        <f>SUM(X7:X15)</f>
        <v>422113387.06418502</v>
      </c>
      <c r="Y26" s="185">
        <f>V26-F26</f>
        <v>23297623.005939722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270125110.3704347</v>
      </c>
      <c r="E27" s="369"/>
      <c r="F27" s="381">
        <v>68905663</v>
      </c>
      <c r="G27" s="440">
        <v>0</v>
      </c>
      <c r="H27" s="375">
        <v>222412318.09155828</v>
      </c>
      <c r="I27" s="369"/>
      <c r="J27" s="379">
        <f>SUM(J16:J25)</f>
        <v>74090121.994060278</v>
      </c>
      <c r="K27" s="440">
        <f>(J27-$F$27)/$F$27</f>
        <v>7.5239955155213839E-2</v>
      </c>
      <c r="L27" s="379">
        <f>SUM(L16:L25)</f>
        <v>234120550.45249215</v>
      </c>
      <c r="M27" s="371"/>
      <c r="N27" s="381">
        <f>SUM(N16:N25)</f>
        <v>76479999.994060248</v>
      </c>
      <c r="O27" s="440">
        <f>(N27-$F$27)/$F$27</f>
        <v>0.10992328735100115</v>
      </c>
      <c r="P27" s="375">
        <f>SUM(P16:P25)</f>
        <v>237684235.13081276</v>
      </c>
      <c r="Q27" s="369"/>
      <c r="R27" s="381">
        <f>SUM(R16:R25)</f>
        <v>76994949.909322679</v>
      </c>
      <c r="S27" s="440">
        <f>(R27-$F$27)/$F$27</f>
        <v>0.11739654706352189</v>
      </c>
      <c r="T27" s="375">
        <f>SUM(T16:T25)</f>
        <v>236731865.3168658</v>
      </c>
      <c r="U27" s="180">
        <f>L27-D27</f>
        <v>-36004559.917942554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300466563.82585013</v>
      </c>
      <c r="Y27" s="185">
        <f>V27-F27</f>
        <v>13184458.994060278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584941216.64174139</v>
      </c>
      <c r="E28" s="179"/>
      <c r="F28" s="442">
        <f>SUM(F7:F25)</f>
        <v>108608040</v>
      </c>
      <c r="G28" s="444">
        <f>(F28-$F$28)/$F$28</f>
        <v>0</v>
      </c>
      <c r="H28" s="443">
        <f>SUM(H7:H25)</f>
        <v>509895339.33592284</v>
      </c>
      <c r="I28" s="435"/>
      <c r="J28" s="442">
        <f>SUM(J7:J25)</f>
        <v>125090122</v>
      </c>
      <c r="K28" s="444">
        <f>(J28-$F$28)/$F$28</f>
        <v>0.1517574757817193</v>
      </c>
      <c r="L28" s="443">
        <f>SUM(L7:L25)</f>
        <v>573528169.91085589</v>
      </c>
      <c r="M28" s="371"/>
      <c r="N28" s="442">
        <f>SUM(N7:N25)</f>
        <v>127480000</v>
      </c>
      <c r="O28" s="444">
        <f>(N28-$F$28)/$F$28</f>
        <v>0.17376208980476951</v>
      </c>
      <c r="P28" s="443">
        <f>SUM(P7:P25)</f>
        <v>577091845.77671087</v>
      </c>
      <c r="Q28" s="505"/>
      <c r="R28" s="442">
        <f>SUM(R7:R25)</f>
        <v>128608040.01032709</v>
      </c>
      <c r="S28" s="444">
        <f>(R28-$F$28)/$F$28</f>
        <v>0.18414842962203429</v>
      </c>
      <c r="T28" s="443">
        <f>SUM(T7:T25)</f>
        <v>577437050.60242987</v>
      </c>
      <c r="V28" s="188">
        <f>SUM(V7:V25)</f>
        <v>145090122</v>
      </c>
      <c r="W28" s="189">
        <f>(V28-$C$28)/$C$28</f>
        <v>0.35069027997861724</v>
      </c>
      <c r="X28" s="188">
        <f>SUM(X7:X25)</f>
        <v>722579950.89003515</v>
      </c>
    </row>
    <row r="29" spans="1:28" x14ac:dyDescent="0.25">
      <c r="D29" s="382">
        <f>SUM(D7:D15)/D28</f>
        <v>0.53820127102467785</v>
      </c>
      <c r="E29" s="382"/>
      <c r="F29" s="382"/>
      <c r="G29" s="382"/>
      <c r="H29" s="382">
        <f>SUM(H7:H15)/H28</f>
        <v>0.56641268781165977</v>
      </c>
      <c r="I29" s="382"/>
      <c r="J29" s="382"/>
      <c r="K29" s="382"/>
      <c r="L29" s="382">
        <f>SUM(L7:L15)/L28</f>
        <v>0.59178892557468998</v>
      </c>
      <c r="P29" s="382">
        <f>SUM(P7:P15)/P28</f>
        <v>0.58813447656514306</v>
      </c>
      <c r="Q29" s="382"/>
      <c r="T29" s="382"/>
      <c r="U29" s="180"/>
      <c r="X29" s="499">
        <f>X28/VAC_Optim_Scenario!$E$48</f>
        <v>3198105.4744181428</v>
      </c>
    </row>
    <row r="30" spans="1:28" x14ac:dyDescent="0.25">
      <c r="D30" s="382">
        <f>SUM(D16:D25)/D28</f>
        <v>0.46179872897532209</v>
      </c>
      <c r="E30" s="382"/>
      <c r="F30" s="382"/>
      <c r="G30" s="382"/>
      <c r="H30" s="382">
        <f>SUM(H16:H25)/H28</f>
        <v>0.43358731218834023</v>
      </c>
      <c r="I30" s="382"/>
      <c r="J30" s="382"/>
      <c r="K30" s="382"/>
      <c r="L30" s="382">
        <f>SUM(L16:L25)/L28</f>
        <v>0.40821107442530985</v>
      </c>
      <c r="P30" s="382">
        <f>SUM(P16:P25)/P28</f>
        <v>0.41186552343485694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7" t="str">
        <f>F4</f>
        <v>Optimal channel spend allowed to vary based on custom constraints of the 2024 channel spend</v>
      </c>
      <c r="G31" s="638"/>
      <c r="H31" s="638"/>
      <c r="I31" s="638"/>
      <c r="J31" s="638"/>
      <c r="K31" s="638"/>
      <c r="L31" s="638"/>
      <c r="M31" s="638"/>
      <c r="N31" s="638"/>
      <c r="O31" s="638"/>
      <c r="P31" s="638"/>
      <c r="Q31" s="638"/>
      <c r="R31" s="638"/>
      <c r="S31" s="638"/>
      <c r="T31" s="638"/>
    </row>
    <row r="32" spans="1:28" ht="30.4" customHeight="1" x14ac:dyDescent="0.25">
      <c r="A32" s="482"/>
      <c r="B32" s="482"/>
      <c r="C32" s="640" t="s">
        <v>341</v>
      </c>
      <c r="D32" s="641"/>
      <c r="E32" s="543"/>
      <c r="F32" s="642" t="str">
        <f>F5</f>
        <v>Current Optimal ($92MM)</v>
      </c>
      <c r="G32" s="643"/>
      <c r="H32" s="644"/>
      <c r="I32" s="544"/>
      <c r="J32" s="645" t="str">
        <f>J5</f>
        <v>Removed Agency Fees; 
Corrected Adol TV Spend; lowered Adult spend to $74MM</v>
      </c>
      <c r="K32" s="646"/>
      <c r="L32" s="647"/>
      <c r="M32" s="483"/>
      <c r="N32" s="645" t="str">
        <f>N5</f>
        <v>Removed Agency Fees; 
Corrected Adol TV Spend; increased max spend constraint by % for Adult HCP MCM and Adult HCC Radio</v>
      </c>
      <c r="O32" s="646"/>
      <c r="P32" s="647"/>
      <c r="Q32" s="545"/>
      <c r="R32" s="639" t="str">
        <f>R5</f>
        <v>20M increase in total budget ( Global Max 130%)</v>
      </c>
      <c r="S32" s="639"/>
      <c r="T32" s="639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3.6083065090601982</v>
      </c>
      <c r="I34" s="523"/>
      <c r="J34" s="553">
        <f t="shared" ref="J34:J50" si="8">J7/1000000</f>
        <v>1.3120662114589978</v>
      </c>
      <c r="K34" s="554">
        <f t="shared" ref="K34:K50" si="9">K7</f>
        <v>0.31206621145899782</v>
      </c>
      <c r="L34" s="559">
        <f t="shared" ref="L34:L50" si="10">L7/1000000</f>
        <v>4.4657004117103121</v>
      </c>
      <c r="M34" s="527"/>
      <c r="N34" s="553">
        <f t="shared" ref="N34:N50" si="11">N7/1000000</f>
        <v>1.3120606814247446</v>
      </c>
      <c r="O34" s="554">
        <f t="shared" ref="O34:O50" si="12">O7</f>
        <v>0.31206068142474463</v>
      </c>
      <c r="P34" s="555">
        <f t="shared" ref="P34:P50" si="13">P7/1000000</f>
        <v>4.4656861616250287</v>
      </c>
      <c r="Q34" s="529"/>
      <c r="R34" s="553">
        <f t="shared" ref="R34:R50" si="14">R7/1000000</f>
        <v>1.2805538166407022</v>
      </c>
      <c r="S34" s="554">
        <f t="shared" ref="S34:S50" si="15">S7</f>
        <v>0.28055381664070234</v>
      </c>
      <c r="T34" s="555">
        <f t="shared" ref="T34:T50" si="16">T7/1000000</f>
        <v>4.3839751022611022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80.687519073682623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78.549789973858523</v>
      </c>
      <c r="I35" s="523"/>
      <c r="J35" s="556">
        <f t="shared" si="8"/>
        <v>11.179757928833689</v>
      </c>
      <c r="K35" s="554">
        <f t="shared" si="9"/>
        <v>0.4377671184585889</v>
      </c>
      <c r="L35" s="560">
        <f t="shared" si="10"/>
        <v>92.434455601042956</v>
      </c>
      <c r="M35" s="527"/>
      <c r="N35" s="556">
        <f t="shared" si="11"/>
        <v>11.179859254118364</v>
      </c>
      <c r="O35" s="554">
        <f t="shared" si="12"/>
        <v>0.43778014934561715</v>
      </c>
      <c r="P35" s="557">
        <f t="shared" si="13"/>
        <v>92.43480604500806</v>
      </c>
      <c r="Q35" s="529"/>
      <c r="R35" s="556">
        <f t="shared" si="14"/>
        <v>11.092068118553623</v>
      </c>
      <c r="S35" s="554">
        <f t="shared" si="15"/>
        <v>0.42648981472382874</v>
      </c>
      <c r="T35" s="557">
        <f t="shared" si="16"/>
        <v>92.129276914606038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20.811821049948755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56">
        <f t="shared" si="8"/>
        <v>4.5932909936571518</v>
      </c>
      <c r="K36" s="554">
        <f t="shared" si="9"/>
        <v>1.4963538009006261</v>
      </c>
      <c r="L36" s="560">
        <f t="shared" si="10"/>
        <v>27.573258646637143</v>
      </c>
      <c r="M36" s="527"/>
      <c r="N36" s="556">
        <f t="shared" si="11"/>
        <v>4.5932135386903434</v>
      </c>
      <c r="O36" s="554">
        <f t="shared" si="12"/>
        <v>1.4963117058099693</v>
      </c>
      <c r="P36" s="557">
        <f t="shared" si="13"/>
        <v>27.572979671100132</v>
      </c>
      <c r="Q36" s="529"/>
      <c r="R36" s="556">
        <f t="shared" si="14"/>
        <v>4.4550475305201802</v>
      </c>
      <c r="S36" s="554">
        <f t="shared" si="15"/>
        <v>1.4212214839783588</v>
      </c>
      <c r="T36" s="557">
        <f t="shared" si="16"/>
        <v>27.072298129360568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5.7298438063793586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56">
        <f t="shared" si="8"/>
        <v>1</v>
      </c>
      <c r="K37" s="554">
        <f t="shared" si="9"/>
        <v>-0.18032786885245902</v>
      </c>
      <c r="L37" s="560">
        <f t="shared" si="10"/>
        <v>3.3578328692201262</v>
      </c>
      <c r="M37" s="527"/>
      <c r="N37" s="556">
        <f t="shared" si="11"/>
        <v>1</v>
      </c>
      <c r="O37" s="554">
        <f t="shared" si="12"/>
        <v>-0.18032786885245902</v>
      </c>
      <c r="P37" s="557">
        <f t="shared" si="13"/>
        <v>3.3578328692201262</v>
      </c>
      <c r="Q37" s="529"/>
      <c r="R37" s="556">
        <f t="shared" si="14"/>
        <v>1</v>
      </c>
      <c r="S37" s="554">
        <f t="shared" si="15"/>
        <v>-0.18032786885245902</v>
      </c>
      <c r="T37" s="557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30.671602273905723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56">
        <f t="shared" si="8"/>
        <v>6.7721751052560357</v>
      </c>
      <c r="K38" s="554">
        <f t="shared" si="9"/>
        <v>0.40565775178951791</v>
      </c>
      <c r="L38" s="560">
        <f t="shared" si="10"/>
        <v>34.845351543835868</v>
      </c>
      <c r="M38" s="527"/>
      <c r="N38" s="556">
        <f t="shared" si="11"/>
        <v>6.7720041322160078</v>
      </c>
      <c r="O38" s="554">
        <f t="shared" si="12"/>
        <v>0.40562226399197465</v>
      </c>
      <c r="P38" s="557">
        <f t="shared" si="13"/>
        <v>34.844735737731149</v>
      </c>
      <c r="Q38" s="529"/>
      <c r="R38" s="556">
        <f t="shared" si="14"/>
        <v>6.4940766811486696</v>
      </c>
      <c r="S38" s="554">
        <f t="shared" si="15"/>
        <v>0.3479346126900027</v>
      </c>
      <c r="T38" s="557">
        <f t="shared" si="16"/>
        <v>33.837425591033714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55.720832469924211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56">
        <f t="shared" si="8"/>
        <v>5.2427097667338556</v>
      </c>
      <c r="K39" s="554">
        <f t="shared" si="9"/>
        <v>0.48099145952933786</v>
      </c>
      <c r="L39" s="560">
        <f t="shared" si="10"/>
        <v>47.390542893941728</v>
      </c>
      <c r="M39" s="527"/>
      <c r="N39" s="556">
        <f t="shared" si="11"/>
        <v>5.2428623994902761</v>
      </c>
      <c r="O39" s="554">
        <f t="shared" si="12"/>
        <v>0.48103457612719669</v>
      </c>
      <c r="P39" s="557">
        <f t="shared" si="13"/>
        <v>47.391092669238077</v>
      </c>
      <c r="Q39" s="529"/>
      <c r="R39" s="556">
        <f t="shared" si="14"/>
        <v>5.202542954141208</v>
      </c>
      <c r="S39" s="554">
        <f t="shared" si="15"/>
        <v>0.46964490229977629</v>
      </c>
      <c r="T39" s="557">
        <f t="shared" si="16"/>
        <v>47.244945610501262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56">
        <f t="shared" si="8"/>
        <v>0.4</v>
      </c>
      <c r="K40" s="554">
        <f t="shared" si="9"/>
        <v>0</v>
      </c>
      <c r="L40" s="560">
        <f t="shared" si="10"/>
        <v>32.769965884320236</v>
      </c>
      <c r="M40" s="527"/>
      <c r="N40" s="556">
        <f t="shared" si="11"/>
        <v>0.4</v>
      </c>
      <c r="O40" s="554">
        <f t="shared" si="12"/>
        <v>0</v>
      </c>
      <c r="P40" s="557">
        <f t="shared" si="13"/>
        <v>32.769965884320236</v>
      </c>
      <c r="Q40" s="529"/>
      <c r="R40" s="556">
        <f t="shared" si="14"/>
        <v>0.4</v>
      </c>
      <c r="S40" s="554">
        <f t="shared" si="15"/>
        <v>0</v>
      </c>
      <c r="T40" s="557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56">
        <f t="shared" si="8"/>
        <v>4.8</v>
      </c>
      <c r="K41" s="554">
        <f t="shared" si="9"/>
        <v>1.1621621621621621</v>
      </c>
      <c r="L41" s="560">
        <f t="shared" si="10"/>
        <v>32.875287531392161</v>
      </c>
      <c r="M41" s="527"/>
      <c r="N41" s="556">
        <f t="shared" si="11"/>
        <v>4.8</v>
      </c>
      <c r="O41" s="554">
        <f t="shared" si="12"/>
        <v>1.1621621621621621</v>
      </c>
      <c r="P41" s="557">
        <f t="shared" si="13"/>
        <v>32.875287531392161</v>
      </c>
      <c r="Q41" s="529"/>
      <c r="R41" s="556">
        <f t="shared" si="14"/>
        <v>4.8</v>
      </c>
      <c r="S41" s="554">
        <f t="shared" si="15"/>
        <v>1.1621621621621621</v>
      </c>
      <c r="T41" s="557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64.117823465933327</v>
      </c>
      <c r="E42" s="523"/>
      <c r="F42" s="532">
        <f t="shared" si="5"/>
        <v>16.888801000000001</v>
      </c>
      <c r="G42" s="533">
        <f t="shared" si="6"/>
        <v>7.5719808917197456E-2</v>
      </c>
      <c r="H42" s="534">
        <f t="shared" si="7"/>
        <v>67.034177652868721</v>
      </c>
      <c r="I42" s="523"/>
      <c r="J42" s="556">
        <f t="shared" si="8"/>
        <v>15.7</v>
      </c>
      <c r="K42" s="554">
        <f t="shared" si="9"/>
        <v>0</v>
      </c>
      <c r="L42" s="560">
        <f t="shared" si="10"/>
        <v>63.695224076263159</v>
      </c>
      <c r="M42" s="527"/>
      <c r="N42" s="556">
        <f t="shared" si="11"/>
        <v>15.7</v>
      </c>
      <c r="O42" s="554">
        <f t="shared" si="12"/>
        <v>0</v>
      </c>
      <c r="P42" s="557">
        <f t="shared" si="13"/>
        <v>63.695224076263159</v>
      </c>
      <c r="Q42" s="529"/>
      <c r="R42" s="556">
        <f t="shared" si="14"/>
        <v>16.888801000000001</v>
      </c>
      <c r="S42" s="554">
        <f t="shared" si="15"/>
        <v>7.5719808917197456E-2</v>
      </c>
      <c r="T42" s="557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0.90445129161394855</v>
      </c>
      <c r="I43" s="523"/>
      <c r="J43" s="556">
        <f t="shared" si="8"/>
        <v>0.9</v>
      </c>
      <c r="K43" s="554">
        <f t="shared" si="9"/>
        <v>-0.1</v>
      </c>
      <c r="L43" s="560">
        <f t="shared" si="10"/>
        <v>0.90445129161394855</v>
      </c>
      <c r="M43" s="527"/>
      <c r="N43" s="556">
        <f t="shared" si="11"/>
        <v>0.9</v>
      </c>
      <c r="O43" s="554">
        <f t="shared" si="12"/>
        <v>-0.1</v>
      </c>
      <c r="P43" s="557">
        <f t="shared" si="13"/>
        <v>0.90445129161394855</v>
      </c>
      <c r="Q43" s="529"/>
      <c r="R43" s="556">
        <f t="shared" si="14"/>
        <v>0.9</v>
      </c>
      <c r="S43" s="554">
        <f t="shared" si="15"/>
        <v>-0.1</v>
      </c>
      <c r="T43" s="557">
        <f t="shared" si="16"/>
        <v>0.90445129161394855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112.1057538405596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102.88967597024103</v>
      </c>
      <c r="I44" s="523"/>
      <c r="J44" s="556">
        <f t="shared" si="8"/>
        <v>22.05</v>
      </c>
      <c r="K44" s="554">
        <f t="shared" si="9"/>
        <v>0.30103847061600186</v>
      </c>
      <c r="L44" s="560">
        <f t="shared" si="10"/>
        <v>107.90234943036259</v>
      </c>
      <c r="M44" s="527"/>
      <c r="N44" s="556">
        <f t="shared" si="11"/>
        <v>22.05</v>
      </c>
      <c r="O44" s="554">
        <f t="shared" si="12"/>
        <v>0.30103847061600186</v>
      </c>
      <c r="P44" s="557">
        <f t="shared" si="13"/>
        <v>107.90234943036259</v>
      </c>
      <c r="Q44" s="529"/>
      <c r="R44" s="556">
        <f t="shared" si="14"/>
        <v>21.000000203315022</v>
      </c>
      <c r="S44" s="554">
        <f t="shared" si="15"/>
        <v>0.23908426972592775</v>
      </c>
      <c r="T44" s="557">
        <f t="shared" si="16"/>
        <v>104.88621959510297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13.243840136854219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56">
        <f t="shared" si="8"/>
        <v>2.290679647149426</v>
      </c>
      <c r="K45" s="554">
        <f t="shared" si="9"/>
        <v>4.1218021431557242E-2</v>
      </c>
      <c r="L45" s="560">
        <f t="shared" si="10"/>
        <v>6.3233783241345209</v>
      </c>
      <c r="M45" s="527"/>
      <c r="N45" s="556">
        <f t="shared" si="11"/>
        <v>3.7535327155753802</v>
      </c>
      <c r="O45" s="554">
        <f t="shared" si="12"/>
        <v>0.70615123435244553</v>
      </c>
      <c r="P45" s="557">
        <f t="shared" si="13"/>
        <v>8.5042236926426646</v>
      </c>
      <c r="Q45" s="529"/>
      <c r="R45" s="556">
        <f t="shared" si="14"/>
        <v>4.1545709220185207</v>
      </c>
      <c r="S45" s="554">
        <f t="shared" si="15"/>
        <v>0.88844132819023658</v>
      </c>
      <c r="T45" s="557">
        <f t="shared" si="16"/>
        <v>9.0382897156212092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10.671052449402977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56">
        <f t="shared" si="8"/>
        <v>2.0942161059919484</v>
      </c>
      <c r="K46" s="554">
        <f t="shared" si="9"/>
        <v>0.39614407066129892</v>
      </c>
      <c r="L46" s="560">
        <f t="shared" si="10"/>
        <v>7.1360313906607056</v>
      </c>
      <c r="M46" s="527"/>
      <c r="N46" s="556">
        <f t="shared" si="11"/>
        <v>2.4103736146011601</v>
      </c>
      <c r="O46" s="554">
        <f t="shared" si="12"/>
        <v>0.60691574306744001</v>
      </c>
      <c r="P46" s="557">
        <f t="shared" si="13"/>
        <v>7.6112090114466726</v>
      </c>
      <c r="Q46" s="529"/>
      <c r="R46" s="556">
        <f t="shared" si="14"/>
        <v>2.4693387975853112</v>
      </c>
      <c r="S46" s="554">
        <f t="shared" si="15"/>
        <v>0.64622586505687418</v>
      </c>
      <c r="T46" s="557">
        <f t="shared" si="16"/>
        <v>7.6899067353378303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34.22001875786804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56">
        <f t="shared" si="8"/>
        <v>8.3069009999999999</v>
      </c>
      <c r="K47" s="554">
        <f t="shared" si="9"/>
        <v>-0.19102694349644914</v>
      </c>
      <c r="L47" s="560">
        <f t="shared" si="10"/>
        <v>16.281797494816164</v>
      </c>
      <c r="M47" s="527"/>
      <c r="N47" s="556">
        <f t="shared" si="11"/>
        <v>8.5668826638837139</v>
      </c>
      <c r="O47" s="554">
        <f t="shared" si="12"/>
        <v>-0.16570845694329447</v>
      </c>
      <c r="P47" s="557">
        <f t="shared" si="13"/>
        <v>16.636846042942892</v>
      </c>
      <c r="Q47" s="529"/>
      <c r="R47" s="556">
        <f t="shared" si="14"/>
        <v>9.7818289864038324</v>
      </c>
      <c r="S47" s="554">
        <f t="shared" si="15"/>
        <v>-4.7390104525605978E-2</v>
      </c>
      <c r="T47" s="557">
        <f t="shared" si="16"/>
        <v>18.255304051492907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26.401195702321921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56">
        <f t="shared" si="8"/>
        <v>4.9999999998964046</v>
      </c>
      <c r="K48" s="554">
        <f t="shared" si="9"/>
        <v>0.24999999997410108</v>
      </c>
      <c r="L48" s="560">
        <f t="shared" si="10"/>
        <v>24.032152745787347</v>
      </c>
      <c r="M48" s="527"/>
      <c r="N48" s="556">
        <f t="shared" si="11"/>
        <v>5</v>
      </c>
      <c r="O48" s="554">
        <f t="shared" si="12"/>
        <v>0.25</v>
      </c>
      <c r="P48" s="557">
        <f t="shared" si="13"/>
        <v>24.032152746086098</v>
      </c>
      <c r="Q48" s="529"/>
      <c r="R48" s="556">
        <f t="shared" si="14"/>
        <v>5</v>
      </c>
      <c r="S48" s="554">
        <f t="shared" si="15"/>
        <v>0.25</v>
      </c>
      <c r="T48" s="557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56">
        <f t="shared" si="8"/>
        <v>0.2</v>
      </c>
      <c r="K49" s="554">
        <f t="shared" si="9"/>
        <v>0</v>
      </c>
      <c r="L49" s="560">
        <f t="shared" si="10"/>
        <v>17.969341094351833</v>
      </c>
      <c r="M49" s="527"/>
      <c r="N49" s="556">
        <f t="shared" si="11"/>
        <v>0.2</v>
      </c>
      <c r="O49" s="554">
        <f t="shared" si="12"/>
        <v>0</v>
      </c>
      <c r="P49" s="557">
        <f t="shared" si="13"/>
        <v>17.969341094351833</v>
      </c>
      <c r="Q49" s="529"/>
      <c r="R49" s="556">
        <f t="shared" si="14"/>
        <v>0.2</v>
      </c>
      <c r="S49" s="554">
        <f t="shared" si="15"/>
        <v>0</v>
      </c>
      <c r="T49" s="557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42.182904802091699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56">
        <f t="shared" si="8"/>
        <v>28.089210999999999</v>
      </c>
      <c r="K50" s="554">
        <f t="shared" si="9"/>
        <v>0</v>
      </c>
      <c r="L50" s="560">
        <f t="shared" si="10"/>
        <v>40.395109654958588</v>
      </c>
      <c r="M50" s="527"/>
      <c r="N50" s="556">
        <f t="shared" si="11"/>
        <v>28.089210999999999</v>
      </c>
      <c r="O50" s="554">
        <f t="shared" si="12"/>
        <v>0</v>
      </c>
      <c r="P50" s="557">
        <f t="shared" si="13"/>
        <v>40.395109654958588</v>
      </c>
      <c r="Q50" s="529"/>
      <c r="R50" s="556">
        <f t="shared" si="14"/>
        <v>28.089210999999999</v>
      </c>
      <c r="S50" s="554">
        <f t="shared" si="15"/>
        <v>0</v>
      </c>
      <c r="T50" s="557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56">
        <f>J24/1000000</f>
        <v>1.9591142410225026</v>
      </c>
      <c r="K51" s="554">
        <f>K24</f>
        <v>0.30607616068166837</v>
      </c>
      <c r="L51" s="560">
        <f>L24/1000000</f>
        <v>8.1121018302757157</v>
      </c>
      <c r="M51" s="527"/>
      <c r="N51" s="556">
        <f>N24/1000000</f>
        <v>2.31</v>
      </c>
      <c r="O51" s="554">
        <f>O24</f>
        <v>0.54</v>
      </c>
      <c r="P51" s="557">
        <f>P24/1000000</f>
        <v>8.6647149708767248</v>
      </c>
      <c r="Q51" s="529"/>
      <c r="R51" s="556">
        <f>R24/1000000</f>
        <v>2.2000000000000002</v>
      </c>
      <c r="S51" s="554">
        <f>S24</f>
        <v>0.46666666666666667</v>
      </c>
      <c r="T51" s="557">
        <f>T24/1000000</f>
        <v>8.4972532367697085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56">
        <f>J25/1000000</f>
        <v>3.2</v>
      </c>
      <c r="K52" s="554">
        <f>K25</f>
        <v>0</v>
      </c>
      <c r="L52" s="560">
        <f>L25/1000000</f>
        <v>5.0638371955307466</v>
      </c>
      <c r="M52" s="527"/>
      <c r="N52" s="556">
        <f>N25/1000000</f>
        <v>3.2</v>
      </c>
      <c r="O52" s="554">
        <f>O25</f>
        <v>0</v>
      </c>
      <c r="P52" s="557">
        <f>P25/1000000</f>
        <v>5.0638371955307466</v>
      </c>
      <c r="Q52" s="529"/>
      <c r="R52" s="556">
        <f>R25/1000000</f>
        <v>3.2</v>
      </c>
      <c r="S52" s="554">
        <f>S25</f>
        <v>0</v>
      </c>
      <c r="T52" s="557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314.81610627130664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47">
        <f t="shared" ref="J53:J54" si="22">J26/1000000</f>
        <v>51.000000005939732</v>
      </c>
      <c r="K53" s="533">
        <f t="shared" ref="K53:K54" si="23">K26</f>
        <v>0.29334131439624622</v>
      </c>
      <c r="L53" s="558">
        <f t="shared" ref="L53:L54" si="24">L26/1000000</f>
        <v>339.40761945836363</v>
      </c>
      <c r="M53" s="483"/>
      <c r="N53" s="547">
        <f t="shared" ref="N53:N54" si="25">N26/1000000</f>
        <v>51.000000005939739</v>
      </c>
      <c r="O53" s="533">
        <f t="shared" ref="O53:O54" si="26">O26</f>
        <v>0.29334131439624639</v>
      </c>
      <c r="P53" s="558">
        <f t="shared" ref="P53:P54" si="27">P26/1000000</f>
        <v>339.4076106458981</v>
      </c>
      <c r="Q53" s="513"/>
      <c r="R53" s="547">
        <f t="shared" ref="R53:R54" si="28">R26/1000000</f>
        <v>51.613090101004381</v>
      </c>
      <c r="S53" s="533">
        <f t="shared" ref="S53:S54" si="29">S26</f>
        <v>0.30926011910720463</v>
      </c>
      <c r="T53" s="548">
        <f t="shared" ref="T53:T54" si="30">T26/1000000</f>
        <v>340.70518528556397</v>
      </c>
      <c r="U53" s="180">
        <f>L53-D53</f>
        <v>24.591513187056989</v>
      </c>
      <c r="V53" s="180">
        <f>P53-D53</f>
        <v>24.591504374591466</v>
      </c>
      <c r="W53" s="180">
        <f>T53-D53</f>
        <v>25.889079014257334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270.1251103704347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47">
        <f t="shared" si="22"/>
        <v>74.090121994060283</v>
      </c>
      <c r="K54" s="533">
        <f t="shared" si="23"/>
        <v>7.5239955155213839E-2</v>
      </c>
      <c r="L54" s="558">
        <f t="shared" si="24"/>
        <v>234.12055045249215</v>
      </c>
      <c r="M54" s="483"/>
      <c r="N54" s="547">
        <f t="shared" si="25"/>
        <v>76.47999999406025</v>
      </c>
      <c r="O54" s="533">
        <f t="shared" si="26"/>
        <v>0.10992328735100115</v>
      </c>
      <c r="P54" s="558">
        <f t="shared" si="27"/>
        <v>237.68423513081277</v>
      </c>
      <c r="Q54" s="513"/>
      <c r="R54" s="547">
        <f t="shared" si="28"/>
        <v>76.994949909322685</v>
      </c>
      <c r="S54" s="533">
        <f t="shared" si="29"/>
        <v>0.11739654706352189</v>
      </c>
      <c r="T54" s="548">
        <f t="shared" si="30"/>
        <v>236.73186531686579</v>
      </c>
      <c r="U54" s="180">
        <f>L54-D54</f>
        <v>-36.004559917942544</v>
      </c>
      <c r="V54" s="180">
        <f>P54-D54</f>
        <v>-32.440875239621931</v>
      </c>
      <c r="W54" s="180">
        <f>T54-D54</f>
        <v>-33.393245053568904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584.94121664174145</v>
      </c>
      <c r="E55" s="510"/>
      <c r="F55" s="511">
        <f>F28/1000000</f>
        <v>108.60804</v>
      </c>
      <c r="G55" s="516">
        <f>G28</f>
        <v>0</v>
      </c>
      <c r="H55" s="511">
        <f>H28/1000000</f>
        <v>509.89533933592281</v>
      </c>
      <c r="I55" s="510"/>
      <c r="J55" s="547">
        <f>J28/1000000</f>
        <v>125.09012199999999</v>
      </c>
      <c r="K55" s="549">
        <f>K28</f>
        <v>0.1517574757817193</v>
      </c>
      <c r="L55" s="547">
        <f>L28/1000000</f>
        <v>573.52816991085592</v>
      </c>
      <c r="M55" s="483"/>
      <c r="N55" s="547">
        <f>N28/1000000</f>
        <v>127.48</v>
      </c>
      <c r="O55" s="549">
        <f>O28</f>
        <v>0.17376208980476951</v>
      </c>
      <c r="P55" s="547">
        <f>P28/1000000</f>
        <v>577.0918457767109</v>
      </c>
      <c r="Q55" s="513"/>
      <c r="R55" s="547">
        <f>R28/1000000</f>
        <v>128.60804001032707</v>
      </c>
      <c r="S55" s="549">
        <f>S28</f>
        <v>0.18414842962203429</v>
      </c>
      <c r="T55" s="547">
        <f>T28/1000000</f>
        <v>577.43705060242985</v>
      </c>
      <c r="U55" s="500">
        <f>U54*1.25</f>
        <v>-45.00569989742818</v>
      </c>
      <c r="V55" s="500">
        <f>V54*1.25</f>
        <v>-40.551094049527414</v>
      </c>
      <c r="W55" s="500">
        <f>W54*1.25</f>
        <v>-41.74155631696113</v>
      </c>
    </row>
    <row r="56" spans="1:23" ht="25.5" x14ac:dyDescent="0.25">
      <c r="A56" s="482"/>
      <c r="B56" s="507" t="s">
        <v>356</v>
      </c>
      <c r="C56" s="511" t="str">
        <f>_xlfn.CONCAT("ROI"," ", ,C61)</f>
        <v>ROI 5.45</v>
      </c>
      <c r="D56" s="517"/>
      <c r="E56" s="510"/>
      <c r="F56" s="511" t="str">
        <f>_xlfn.CONCAT("ROI"," ", ,F61)</f>
        <v>ROI 4.69</v>
      </c>
      <c r="G56" s="516"/>
      <c r="H56" s="518" t="s">
        <v>364</v>
      </c>
      <c r="I56" s="510"/>
      <c r="J56" s="511" t="str">
        <f>_xlfn.CONCAT("ROI"," ", ,J61)</f>
        <v>ROI 4.58</v>
      </c>
      <c r="K56" s="516"/>
      <c r="L56" s="518" t="s">
        <v>361</v>
      </c>
      <c r="M56" s="483"/>
      <c r="N56" s="511" t="str">
        <f>_xlfn.CONCAT("ROI"," ", ,N61)</f>
        <v>ROI 4.53</v>
      </c>
      <c r="O56" s="516"/>
      <c r="P56" s="518" t="s">
        <v>362</v>
      </c>
      <c r="Q56" s="519"/>
      <c r="R56" s="511" t="str">
        <f>_xlfn.CONCAT("ROI"," ", ,R61)</f>
        <v>ROI 4.49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8.17</v>
      </c>
      <c r="D57" s="517"/>
      <c r="E57" s="510"/>
      <c r="F57" s="511" t="str">
        <f>_xlfn.CONCAT("ROI"," ", ,F63)</f>
        <v>ROI 7.39</v>
      </c>
      <c r="G57" s="516"/>
      <c r="H57" s="518" t="s">
        <v>365</v>
      </c>
      <c r="I57" s="510"/>
      <c r="J57" s="511" t="str">
        <f>_xlfn.CONCAT("ROI"," ", ,J63)</f>
        <v>ROI 6.66</v>
      </c>
      <c r="K57" s="516"/>
      <c r="L57" s="518" t="s">
        <v>369</v>
      </c>
      <c r="M57" s="483"/>
      <c r="N57" s="511" t="str">
        <f>_xlfn.CONCAT("ROI"," ", ,N63)</f>
        <v>ROI 6.66</v>
      </c>
      <c r="O57" s="516"/>
      <c r="P57" s="518" t="s">
        <v>373</v>
      </c>
      <c r="Q57" s="519"/>
      <c r="R57" s="511" t="str">
        <f>_xlfn.CONCAT("ROI"," ", ,R63)</f>
        <v>ROI 6.6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3.92</v>
      </c>
      <c r="D58" s="517"/>
      <c r="E58" s="510"/>
      <c r="F58" s="511" t="str">
        <f>_xlfn.CONCAT("ROI"," ", ,F65)</f>
        <v>ROI 3.23</v>
      </c>
      <c r="G58" s="516"/>
      <c r="H58" s="518" t="s">
        <v>366</v>
      </c>
      <c r="I58" s="510"/>
      <c r="J58" s="511" t="str">
        <f>_xlfn.CONCAT("ROI"," ", ,J65)</f>
        <v>ROI 3.16</v>
      </c>
      <c r="K58" s="516"/>
      <c r="L58" s="518" t="s">
        <v>370</v>
      </c>
      <c r="M58" s="483"/>
      <c r="N58" s="511" t="str">
        <f>_xlfn.CONCAT("ROI"," ", ,N65)</f>
        <v>ROI 3.11</v>
      </c>
      <c r="O58" s="516"/>
      <c r="P58" s="518" t="s">
        <v>374</v>
      </c>
      <c r="Q58" s="519"/>
      <c r="R58" s="511" t="str">
        <f>_xlfn.CONCAT("ROI"," ", ,R65)</f>
        <v>ROI 3.07</v>
      </c>
      <c r="S58" s="516"/>
      <c r="T58" s="518" t="s">
        <v>378</v>
      </c>
    </row>
    <row r="59" spans="1:23" ht="38.25" x14ac:dyDescent="0.25">
      <c r="A59" s="482"/>
      <c r="B59" s="507" t="s">
        <v>359</v>
      </c>
      <c r="C59" s="511" t="str">
        <f>_xlfn.CONCAT("ROI"," ", ,C67)</f>
        <v>ROI 4.9</v>
      </c>
      <c r="D59" s="517"/>
      <c r="E59" s="510"/>
      <c r="F59" s="511" t="str">
        <f>_xlfn.CONCAT("ROI"," ", ,F67)</f>
        <v>ROI 4.03</v>
      </c>
      <c r="G59" s="516"/>
      <c r="H59" s="518" t="s">
        <v>367</v>
      </c>
      <c r="I59" s="510"/>
      <c r="J59" s="511" t="str">
        <f>_xlfn.CONCAT("ROI"," ", ,J67)</f>
        <v>ROI 3.95</v>
      </c>
      <c r="K59" s="516"/>
      <c r="L59" s="518" t="s">
        <v>371</v>
      </c>
      <c r="M59" s="483"/>
      <c r="N59" s="511" t="str">
        <f>_xlfn.CONCAT("ROI"," ", ,N67)</f>
        <v>ROI 3.88</v>
      </c>
      <c r="O59" s="516"/>
      <c r="P59" s="518" t="s">
        <v>375</v>
      </c>
      <c r="Q59" s="519"/>
      <c r="R59" s="511" t="str">
        <f>_xlfn.CONCAT("ROI"," ", ,R67)</f>
        <v>ROI 3.84</v>
      </c>
      <c r="S59" s="516"/>
      <c r="T59" s="518" t="s">
        <v>379</v>
      </c>
    </row>
    <row r="60" spans="1:23" ht="38.25" x14ac:dyDescent="0.25">
      <c r="A60" s="482"/>
      <c r="B60" s="507" t="s">
        <v>358</v>
      </c>
      <c r="C60" s="511" t="str">
        <f>_xlfn.CONCAT("ROI"," ", ,C69)</f>
        <v>ROI 3.14</v>
      </c>
      <c r="D60" s="517"/>
      <c r="E60" s="510"/>
      <c r="F60" s="511" t="str">
        <f>_xlfn.CONCAT("ROI"," ", ,F69)</f>
        <v>ROI 2.58</v>
      </c>
      <c r="G60" s="516"/>
      <c r="H60" s="518" t="s">
        <v>368</v>
      </c>
      <c r="I60" s="510"/>
      <c r="J60" s="511" t="str">
        <f>_xlfn.CONCAT("ROI"," ", ,J69)</f>
        <v>ROI 2.53</v>
      </c>
      <c r="K60" s="516"/>
      <c r="L60" s="518" t="s">
        <v>372</v>
      </c>
      <c r="M60" s="483"/>
      <c r="N60" s="511" t="str">
        <f>_xlfn.CONCAT("ROI"," ", ,N69)</f>
        <v>ROI 2.49</v>
      </c>
      <c r="O60" s="516"/>
      <c r="P60" s="518" t="s">
        <v>376</v>
      </c>
      <c r="Q60" s="519"/>
      <c r="R60" s="511" t="str">
        <f>_xlfn.CONCAT("ROI"," ", ,R69)</f>
        <v>ROI 2.46</v>
      </c>
      <c r="S60" s="516"/>
      <c r="T60" s="518" t="s">
        <v>380</v>
      </c>
    </row>
    <row r="61" spans="1:23" x14ac:dyDescent="0.25">
      <c r="C61" s="97">
        <f>ROUND(D55/C55,2)</f>
        <v>5.45</v>
      </c>
      <c r="F61" s="97">
        <f>ROUND(H55/F55,2)</f>
        <v>4.6900000000000004</v>
      </c>
      <c r="H61" s="216">
        <f>(H55-$D$55)</f>
        <v>-75.045877305818635</v>
      </c>
      <c r="J61" s="97">
        <f>ROUND(L55/J55,2)</f>
        <v>4.58</v>
      </c>
      <c r="L61" s="216">
        <f>(L55-$D$55)</f>
        <v>-11.413046730885526</v>
      </c>
      <c r="N61" s="97">
        <f>ROUND(P55/N55,2)</f>
        <v>4.53</v>
      </c>
      <c r="P61" s="216">
        <f>(P55-$D$55)</f>
        <v>-7.8493708650305507</v>
      </c>
      <c r="Q61" s="506"/>
      <c r="R61" s="97">
        <f>ROUND(T55/R55,2)</f>
        <v>4.49</v>
      </c>
      <c r="T61" s="216">
        <f>(T55-$D$55)</f>
        <v>-7.504166039311599</v>
      </c>
    </row>
    <row r="62" spans="1:23" x14ac:dyDescent="0.25">
      <c r="H62" s="280">
        <f>H61/$D$55</f>
        <v>-0.12829644273773569</v>
      </c>
      <c r="J62" s="248"/>
      <c r="K62" s="248"/>
      <c r="L62" s="329">
        <f>L61/$D$55</f>
        <v>-1.9511442186293512E-2</v>
      </c>
      <c r="M62" s="248"/>
      <c r="N62" s="248"/>
      <c r="O62" s="248"/>
      <c r="P62" s="329">
        <f>P61/$D$55</f>
        <v>-1.3419076381888899E-2</v>
      </c>
      <c r="Q62" s="329"/>
      <c r="R62" s="248"/>
      <c r="S62" s="248"/>
      <c r="T62" s="329">
        <f>T61/$D$55</f>
        <v>-1.2828923361554927E-2</v>
      </c>
    </row>
    <row r="63" spans="1:23" x14ac:dyDescent="0.25">
      <c r="C63" s="97">
        <f>ROUND(D53/C53,2)</f>
        <v>8.17</v>
      </c>
      <c r="F63" s="97">
        <f>ROUND(H53/F53,2)</f>
        <v>7.39</v>
      </c>
      <c r="H63" s="216">
        <f>H53-$D$53</f>
        <v>-21.343946845837934</v>
      </c>
      <c r="J63" s="97">
        <f>ROUND(L53/J53,2)</f>
        <v>6.66</v>
      </c>
      <c r="L63" s="216">
        <f>L53-$D$53</f>
        <v>24.591513187056989</v>
      </c>
      <c r="N63" s="97">
        <f>ROUND(P53/N53,2)</f>
        <v>6.66</v>
      </c>
      <c r="P63" s="216">
        <f>P53-$D$53</f>
        <v>24.591504374591466</v>
      </c>
      <c r="R63" s="97">
        <f>ROUND(T53/R53,2)</f>
        <v>6.6</v>
      </c>
      <c r="T63" s="216">
        <f>T53-$D$53</f>
        <v>25.889079014257334</v>
      </c>
    </row>
    <row r="64" spans="1:23" x14ac:dyDescent="0.25">
      <c r="H64" s="280">
        <f>H63/$D$53</f>
        <v>-6.7798141266139186E-2</v>
      </c>
      <c r="L64" s="329">
        <f>L63/$D$53</f>
        <v>7.8113897914308644E-2</v>
      </c>
      <c r="M64" s="248"/>
      <c r="P64" s="329">
        <f>P63/$D$53</f>
        <v>7.8113869921885931E-2</v>
      </c>
      <c r="T64" s="329">
        <f>T63/$D$53</f>
        <v>8.2235560692521498E-2</v>
      </c>
    </row>
    <row r="65" spans="3:20" x14ac:dyDescent="0.25">
      <c r="C65" s="97">
        <f>ROUND(D54/C54,2)</f>
        <v>3.92</v>
      </c>
      <c r="F65" s="97">
        <f>ROUND(H54/F54,2)</f>
        <v>3.23</v>
      </c>
      <c r="H65" s="216">
        <f>H54-$D$54</f>
        <v>-47.712792278876407</v>
      </c>
      <c r="J65" s="97">
        <f>ROUND(L54/J54,2)</f>
        <v>3.16</v>
      </c>
      <c r="L65" s="216">
        <f>L54-$D$54</f>
        <v>-36.004559917942544</v>
      </c>
      <c r="N65" s="97">
        <f>ROUND(P54/N54,2)</f>
        <v>3.11</v>
      </c>
      <c r="P65" s="216">
        <f>P54-$D$54</f>
        <v>-32.440875239621931</v>
      </c>
      <c r="R65" s="97">
        <f>ROUND(T54/R54,2)</f>
        <v>3.07</v>
      </c>
      <c r="T65" s="216">
        <f>T54-$D$54</f>
        <v>-33.393245053568904</v>
      </c>
    </row>
    <row r="66" spans="3:20" x14ac:dyDescent="0.25">
      <c r="H66" s="280">
        <f>H65/$D$54</f>
        <v>-0.17663219910746436</v>
      </c>
      <c r="L66" s="329">
        <f>L65/$D$54</f>
        <v>-0.13328845981244719</v>
      </c>
      <c r="M66" s="248"/>
      <c r="P66" s="329">
        <f>P65/$D$54</f>
        <v>-0.12009574080371241</v>
      </c>
      <c r="T66" s="329">
        <f>T65/$D$54</f>
        <v>-0.12362140271881887</v>
      </c>
    </row>
    <row r="67" spans="3:20" x14ac:dyDescent="0.25">
      <c r="C67" s="97">
        <f>ROUND(D54*1.25/C54,2)</f>
        <v>4.9000000000000004</v>
      </c>
      <c r="F67" s="97">
        <f>ROUND(H54*1.25/F54,2)</f>
        <v>4.03</v>
      </c>
      <c r="H67" s="216">
        <f>H65*1.25</f>
        <v>-59.640990348595508</v>
      </c>
      <c r="J67" s="97">
        <f>ROUND(L54*1.25/J54,2)</f>
        <v>3.95</v>
      </c>
      <c r="L67" s="216">
        <f>L65*1.25</f>
        <v>-45.00569989742818</v>
      </c>
      <c r="N67" s="97">
        <f>ROUND(P54*1.25/N54,2)</f>
        <v>3.88</v>
      </c>
      <c r="P67" s="216">
        <f>P65*1.25</f>
        <v>-40.551094049527414</v>
      </c>
      <c r="R67" s="97">
        <f>ROUND(T54*1.25/R54,2)</f>
        <v>3.84</v>
      </c>
      <c r="T67" s="216">
        <f>T65*1.25</f>
        <v>-41.74155631696113</v>
      </c>
    </row>
    <row r="68" spans="3:20" x14ac:dyDescent="0.25">
      <c r="H68" s="280">
        <f>H67/($D$54*1.25)</f>
        <v>-0.17663219910746436</v>
      </c>
      <c r="L68" s="329">
        <f>L67/($D$54*1.25)</f>
        <v>-0.13328845981244719</v>
      </c>
      <c r="M68" s="248"/>
      <c r="P68" s="329">
        <f>P67/($D$54*1.25)</f>
        <v>-0.12009574080371241</v>
      </c>
      <c r="T68" s="329">
        <f>T67/($D$54*1.25)</f>
        <v>-0.12362140271881888</v>
      </c>
    </row>
    <row r="69" spans="3:20" x14ac:dyDescent="0.25">
      <c r="C69" s="97">
        <f>ROUND(D54*0.8/C54,2)</f>
        <v>3.14</v>
      </c>
      <c r="F69" s="97">
        <f>ROUND(H54*0.8/F54,2)</f>
        <v>2.58</v>
      </c>
      <c r="H69" s="216">
        <f>H65*0.8</f>
        <v>-38.170233823101128</v>
      </c>
      <c r="J69" s="97">
        <f>ROUND(L54*0.8/J54,2)</f>
        <v>2.5299999999999998</v>
      </c>
      <c r="L69" s="216">
        <f>L65*0.8</f>
        <v>-28.803647934354036</v>
      </c>
      <c r="N69" s="97">
        <f>ROUND(P54*0.8/N54,2)</f>
        <v>2.4900000000000002</v>
      </c>
      <c r="P69" s="216">
        <f>P65*0.8</f>
        <v>-25.952700191697545</v>
      </c>
      <c r="R69" s="97">
        <f>ROUND(T54*0.8/R54,2)</f>
        <v>2.46</v>
      </c>
      <c r="T69" s="216">
        <f>T65*0.8</f>
        <v>-26.714596042855124</v>
      </c>
    </row>
    <row r="70" spans="3:20" x14ac:dyDescent="0.25">
      <c r="H70" s="280">
        <f>H69/($D$54*0.8)</f>
        <v>-0.17663219910746436</v>
      </c>
      <c r="L70" s="329">
        <f>L69/($D$54*0.8)</f>
        <v>-0.13328845981244719</v>
      </c>
      <c r="M70" s="248"/>
      <c r="P70" s="329">
        <f>P69/($D$54*0.8)</f>
        <v>-0.12009574080371241</v>
      </c>
      <c r="T70" s="329">
        <f>T69/($D$54*0.8)</f>
        <v>-0.12362140271881887</v>
      </c>
    </row>
    <row r="81" ht="27.6" customHeight="1" x14ac:dyDescent="0.25"/>
  </sheetData>
  <mergeCells count="11">
    <mergeCell ref="F31:T31"/>
    <mergeCell ref="F4:P4"/>
    <mergeCell ref="F5:H5"/>
    <mergeCell ref="J5:L5"/>
    <mergeCell ref="N5:P5"/>
    <mergeCell ref="R5:T5"/>
    <mergeCell ref="C32:D32"/>
    <mergeCell ref="F32:H32"/>
    <mergeCell ref="J32:L32"/>
    <mergeCell ref="N32:P32"/>
    <mergeCell ref="R32:T32"/>
  </mergeCells>
  <conditionalFormatting sqref="G34:G52">
    <cfRule type="cellIs" dxfId="47" priority="15" operator="lessThan">
      <formula>0</formula>
    </cfRule>
    <cfRule type="cellIs" dxfId="46" priority="16" operator="greaterThan">
      <formula>0</formula>
    </cfRule>
  </conditionalFormatting>
  <conditionalFormatting sqref="O34:O52">
    <cfRule type="cellIs" dxfId="45" priority="13" operator="lessThan">
      <formula>0</formula>
    </cfRule>
    <cfRule type="cellIs" dxfId="44" priority="14" operator="greaterThan">
      <formula>0</formula>
    </cfRule>
  </conditionalFormatting>
  <conditionalFormatting sqref="K34:K52">
    <cfRule type="cellIs" dxfId="43" priority="11" operator="lessThan">
      <formula>0</formula>
    </cfRule>
    <cfRule type="cellIs" dxfId="42" priority="12" operator="greaterThan">
      <formula>0</formula>
    </cfRule>
  </conditionalFormatting>
  <conditionalFormatting sqref="G53:G54">
    <cfRule type="cellIs" dxfId="41" priority="9" operator="lessThan">
      <formula>0</formula>
    </cfRule>
    <cfRule type="cellIs" dxfId="40" priority="10" operator="greaterThan">
      <formula>0</formula>
    </cfRule>
  </conditionalFormatting>
  <conditionalFormatting sqref="K53:K54">
    <cfRule type="cellIs" dxfId="39" priority="7" operator="lessThan">
      <formula>0</formula>
    </cfRule>
    <cfRule type="cellIs" dxfId="38" priority="8" operator="greaterThan">
      <formula>0</formula>
    </cfRule>
  </conditionalFormatting>
  <conditionalFormatting sqref="O53:O54">
    <cfRule type="cellIs" dxfId="37" priority="5" operator="lessThan">
      <formula>0</formula>
    </cfRule>
    <cfRule type="cellIs" dxfId="36" priority="6" operator="greaterThan">
      <formula>0</formula>
    </cfRule>
  </conditionalFormatting>
  <conditionalFormatting sqref="S34:S52">
    <cfRule type="cellIs" dxfId="35" priority="3" operator="lessThan">
      <formula>0</formula>
    </cfRule>
    <cfRule type="cellIs" dxfId="34" priority="4" operator="greaterThan">
      <formula>0</formula>
    </cfRule>
  </conditionalFormatting>
  <conditionalFormatting sqref="S53:S54">
    <cfRule type="cellIs" dxfId="33" priority="1" operator="lessThan">
      <formula>0</formula>
    </cfRule>
    <cfRule type="cellIs" dxfId="3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B5B10-1BCD-4937-ABDA-63CD8C48E5C9}">
  <dimension ref="B2:N35"/>
  <sheetViews>
    <sheetView showGridLines="0" zoomScale="75" zoomScaleNormal="75" workbookViewId="0">
      <selection activeCell="G14" sqref="G14"/>
    </sheetView>
  </sheetViews>
  <sheetFormatPr defaultColWidth="8.7109375" defaultRowHeight="15" x14ac:dyDescent="0.25"/>
  <cols>
    <col min="1" max="1" width="8.7109375" style="97"/>
    <col min="2" max="2" width="20.28515625" style="97" customWidth="1"/>
    <col min="3" max="3" width="22.42578125" style="97" bestFit="1" customWidth="1"/>
    <col min="4" max="4" width="19.140625" style="97" bestFit="1" customWidth="1"/>
    <col min="5" max="5" width="24.28515625" style="97" bestFit="1" customWidth="1"/>
    <col min="6" max="6" width="15.42578125" style="97" bestFit="1" customWidth="1"/>
    <col min="7" max="7" width="16.7109375" style="97" bestFit="1" customWidth="1"/>
    <col min="8" max="8" width="18.7109375" style="97" customWidth="1"/>
    <col min="9" max="9" width="11.85546875" style="97" bestFit="1" customWidth="1"/>
    <col min="10" max="10" width="20.28515625" style="97" bestFit="1" customWidth="1"/>
    <col min="11" max="11" width="22.42578125" style="97" bestFit="1" customWidth="1"/>
    <col min="12" max="12" width="24.28515625" style="97" bestFit="1" customWidth="1"/>
    <col min="13" max="13" width="15.42578125" style="97" bestFit="1" customWidth="1"/>
    <col min="14" max="14" width="16.7109375" style="97" bestFit="1" customWidth="1"/>
    <col min="15" max="16384" width="8.7109375" style="97"/>
  </cols>
  <sheetData>
    <row r="2" spans="2:14" ht="15" customHeight="1" x14ac:dyDescent="0.25">
      <c r="B2" s="566" t="s">
        <v>338</v>
      </c>
      <c r="C2" s="566" t="s">
        <v>339</v>
      </c>
      <c r="D2" s="567" t="s">
        <v>396</v>
      </c>
      <c r="E2" s="567" t="s">
        <v>397</v>
      </c>
      <c r="F2" s="567" t="s">
        <v>398</v>
      </c>
      <c r="G2" s="567" t="s">
        <v>399</v>
      </c>
      <c r="H2"/>
      <c r="I2"/>
      <c r="J2"/>
      <c r="K2"/>
      <c r="L2"/>
      <c r="M2"/>
      <c r="N2"/>
    </row>
    <row r="3" spans="2:14" x14ac:dyDescent="0.25">
      <c r="B3" s="563" t="s">
        <v>175</v>
      </c>
      <c r="C3" s="562" t="s">
        <v>225</v>
      </c>
      <c r="D3" s="561">
        <v>1800000</v>
      </c>
      <c r="E3" s="561">
        <v>1000000</v>
      </c>
      <c r="F3" s="561">
        <v>1000000</v>
      </c>
      <c r="G3" s="561">
        <v>7500000</v>
      </c>
      <c r="H3"/>
      <c r="I3"/>
      <c r="J3"/>
      <c r="K3"/>
      <c r="L3"/>
      <c r="M3"/>
      <c r="N3"/>
    </row>
    <row r="4" spans="2:14" x14ac:dyDescent="0.25">
      <c r="B4" s="563" t="s">
        <v>175</v>
      </c>
      <c r="C4" s="562" t="s">
        <v>226</v>
      </c>
      <c r="D4" s="561">
        <v>5400000</v>
      </c>
      <c r="E4" s="561">
        <v>7775778</v>
      </c>
      <c r="F4" s="561">
        <v>5400000</v>
      </c>
      <c r="G4" s="561">
        <v>12000000</v>
      </c>
      <c r="H4"/>
      <c r="I4"/>
      <c r="J4"/>
      <c r="K4"/>
      <c r="L4"/>
      <c r="M4"/>
      <c r="N4"/>
    </row>
    <row r="5" spans="2:14" x14ac:dyDescent="0.25">
      <c r="B5" s="563" t="s">
        <v>175</v>
      </c>
      <c r="C5" s="562" t="s">
        <v>227</v>
      </c>
      <c r="D5" s="561">
        <v>1900000</v>
      </c>
      <c r="E5" s="561">
        <v>1840000</v>
      </c>
      <c r="F5" s="561">
        <v>1599500</v>
      </c>
      <c r="G5" s="561">
        <v>6500000</v>
      </c>
      <c r="H5"/>
      <c r="I5"/>
      <c r="J5"/>
      <c r="K5"/>
      <c r="L5"/>
      <c r="M5"/>
      <c r="N5"/>
    </row>
    <row r="6" spans="2:14" x14ac:dyDescent="0.25">
      <c r="B6" s="563" t="s">
        <v>175</v>
      </c>
      <c r="C6" s="562" t="s">
        <v>245</v>
      </c>
      <c r="D6" s="561">
        <v>200000</v>
      </c>
      <c r="E6" s="561">
        <v>1220000</v>
      </c>
      <c r="F6" s="561">
        <v>1000000</v>
      </c>
      <c r="G6" s="561">
        <v>3500000</v>
      </c>
      <c r="H6"/>
      <c r="I6"/>
      <c r="J6"/>
      <c r="K6"/>
      <c r="L6"/>
      <c r="M6"/>
      <c r="N6"/>
    </row>
    <row r="7" spans="2:14" x14ac:dyDescent="0.25">
      <c r="B7" s="563" t="s">
        <v>175</v>
      </c>
      <c r="C7" s="562" t="s">
        <v>247</v>
      </c>
      <c r="D7" s="561">
        <v>6200000</v>
      </c>
      <c r="E7" s="561">
        <v>4817798</v>
      </c>
      <c r="F7" s="561">
        <v>4817798</v>
      </c>
      <c r="G7" s="561">
        <v>12070113</v>
      </c>
      <c r="H7"/>
      <c r="I7"/>
      <c r="J7"/>
      <c r="K7"/>
      <c r="L7"/>
      <c r="M7"/>
      <c r="N7"/>
    </row>
    <row r="8" spans="2:14" x14ac:dyDescent="0.25">
      <c r="B8" s="563" t="s">
        <v>175</v>
      </c>
      <c r="C8" s="562" t="s">
        <v>228</v>
      </c>
      <c r="D8" s="561">
        <v>1600000</v>
      </c>
      <c r="E8" s="561">
        <v>3540000</v>
      </c>
      <c r="F8" s="561">
        <v>1600000</v>
      </c>
      <c r="G8" s="561">
        <v>7000000</v>
      </c>
      <c r="H8"/>
      <c r="I8"/>
      <c r="J8"/>
      <c r="K8"/>
      <c r="L8"/>
      <c r="M8"/>
      <c r="N8"/>
    </row>
    <row r="9" spans="2:14" x14ac:dyDescent="0.25">
      <c r="B9" s="563" t="s">
        <v>175</v>
      </c>
      <c r="C9" s="562" t="s">
        <v>229</v>
      </c>
      <c r="D9" s="561">
        <v>300000</v>
      </c>
      <c r="E9" s="561">
        <v>400000</v>
      </c>
      <c r="F9" s="561">
        <v>300000</v>
      </c>
      <c r="G9" s="561">
        <v>400000</v>
      </c>
      <c r="H9"/>
      <c r="I9"/>
      <c r="J9"/>
      <c r="K9"/>
      <c r="L9"/>
      <c r="M9"/>
      <c r="N9"/>
    </row>
    <row r="10" spans="2:14" x14ac:dyDescent="0.25">
      <c r="B10" s="563" t="s">
        <v>175</v>
      </c>
      <c r="C10" s="562" t="s">
        <v>284</v>
      </c>
      <c r="D10" s="561">
        <v>1400000</v>
      </c>
      <c r="E10" s="561">
        <v>2220000</v>
      </c>
      <c r="F10" s="561">
        <v>1400000</v>
      </c>
      <c r="G10" s="561">
        <v>4800000</v>
      </c>
      <c r="H10"/>
      <c r="I10"/>
      <c r="J10"/>
      <c r="K10"/>
      <c r="L10"/>
      <c r="M10"/>
      <c r="N10"/>
    </row>
    <row r="11" spans="2:14" x14ac:dyDescent="0.25">
      <c r="B11" s="563" t="s">
        <v>175</v>
      </c>
      <c r="C11" s="562" t="s">
        <v>287</v>
      </c>
      <c r="D11" s="561">
        <v>13500000</v>
      </c>
      <c r="E11" s="561">
        <v>15700000</v>
      </c>
      <c r="F11" s="561">
        <v>15700000</v>
      </c>
      <c r="G11" s="561">
        <f>E11</f>
        <v>15700000</v>
      </c>
      <c r="H11"/>
      <c r="I11"/>
      <c r="J11"/>
      <c r="K11"/>
      <c r="L11"/>
      <c r="M11"/>
      <c r="N11"/>
    </row>
    <row r="12" spans="2:14" x14ac:dyDescent="0.25">
      <c r="B12" s="648" t="s">
        <v>401</v>
      </c>
      <c r="C12" s="648"/>
      <c r="D12" s="568">
        <f>SUM(D3:D11)</f>
        <v>32300000</v>
      </c>
      <c r="E12" s="568">
        <f>SUM(E3:E11)</f>
        <v>38513576</v>
      </c>
      <c r="F12" s="568">
        <f>SUM(F3:F11)</f>
        <v>32817298</v>
      </c>
      <c r="G12" s="568">
        <f>SUM(G3:G11)</f>
        <v>69470113</v>
      </c>
      <c r="H12"/>
      <c r="I12"/>
      <c r="J12"/>
      <c r="K12"/>
      <c r="L12"/>
      <c r="M12"/>
      <c r="N12"/>
    </row>
    <row r="13" spans="2:14" x14ac:dyDescent="0.25">
      <c r="B13" s="564" t="s">
        <v>285</v>
      </c>
      <c r="C13" s="565" t="s">
        <v>400</v>
      </c>
      <c r="D13" s="561">
        <v>1134710</v>
      </c>
      <c r="E13" s="561">
        <v>1000000</v>
      </c>
      <c r="F13" s="561">
        <v>900000</v>
      </c>
      <c r="G13" s="561">
        <v>6500000</v>
      </c>
      <c r="H13"/>
      <c r="I13"/>
      <c r="J13"/>
      <c r="K13"/>
      <c r="L13"/>
      <c r="M13"/>
      <c r="N13"/>
    </row>
    <row r="14" spans="2:14" x14ac:dyDescent="0.25">
      <c r="B14" s="564" t="s">
        <v>285</v>
      </c>
      <c r="C14" s="565" t="s">
        <v>226</v>
      </c>
      <c r="D14" s="561">
        <v>10503728.719999999</v>
      </c>
      <c r="E14" s="561">
        <v>16948000</v>
      </c>
      <c r="F14" s="561">
        <v>10500000</v>
      </c>
      <c r="G14" s="561">
        <v>22050000</v>
      </c>
      <c r="H14"/>
      <c r="I14"/>
      <c r="J14"/>
      <c r="K14"/>
      <c r="L14"/>
      <c r="M14"/>
      <c r="N14"/>
    </row>
    <row r="15" spans="2:14" x14ac:dyDescent="0.25">
      <c r="B15" s="564" t="s">
        <v>285</v>
      </c>
      <c r="C15" s="565" t="s">
        <v>227</v>
      </c>
      <c r="D15" s="561">
        <v>1751000</v>
      </c>
      <c r="E15" s="561">
        <v>2200000</v>
      </c>
      <c r="F15" s="561">
        <v>1800000</v>
      </c>
      <c r="G15" s="561">
        <v>7000000</v>
      </c>
      <c r="H15"/>
      <c r="I15"/>
      <c r="J15"/>
      <c r="K15"/>
      <c r="L15"/>
      <c r="M15"/>
      <c r="N15"/>
    </row>
    <row r="16" spans="2:14" x14ac:dyDescent="0.25">
      <c r="B16" s="564" t="s">
        <v>285</v>
      </c>
      <c r="C16" s="565" t="s">
        <v>245</v>
      </c>
      <c r="D16" s="561">
        <v>1111779.04</v>
      </c>
      <c r="E16" s="561">
        <v>1500000</v>
      </c>
      <c r="F16" s="561">
        <v>1100000</v>
      </c>
      <c r="G16" s="561">
        <v>3500000</v>
      </c>
      <c r="H16"/>
      <c r="I16"/>
      <c r="J16"/>
      <c r="K16"/>
      <c r="L16"/>
      <c r="M16"/>
      <c r="N16"/>
    </row>
    <row r="17" spans="2:14" x14ac:dyDescent="0.25">
      <c r="B17" s="564" t="s">
        <v>285</v>
      </c>
      <c r="C17" s="565" t="s">
        <v>247</v>
      </c>
      <c r="D17" s="561">
        <v>13418576</v>
      </c>
      <c r="E17" s="561">
        <v>10268452</v>
      </c>
      <c r="F17" s="561">
        <v>8306901</v>
      </c>
      <c r="G17" s="561">
        <v>27304858</v>
      </c>
      <c r="H17"/>
      <c r="I17"/>
      <c r="J17"/>
      <c r="K17"/>
      <c r="L17"/>
      <c r="M17"/>
      <c r="N17"/>
    </row>
    <row r="18" spans="2:14" x14ac:dyDescent="0.25">
      <c r="B18" s="564" t="s">
        <v>285</v>
      </c>
      <c r="C18" s="565" t="s">
        <v>228</v>
      </c>
      <c r="D18" s="561">
        <v>2859426.82</v>
      </c>
      <c r="E18" s="561">
        <v>4000000</v>
      </c>
      <c r="F18" s="561">
        <v>2900000</v>
      </c>
      <c r="G18" s="561">
        <v>5000000</v>
      </c>
      <c r="H18"/>
      <c r="I18"/>
      <c r="J18"/>
      <c r="K18"/>
      <c r="L18"/>
      <c r="M18"/>
      <c r="N18"/>
    </row>
    <row r="19" spans="2:14" x14ac:dyDescent="0.25">
      <c r="B19" s="564" t="s">
        <v>285</v>
      </c>
      <c r="C19" s="565" t="s">
        <v>229</v>
      </c>
      <c r="D19" s="561">
        <v>50000</v>
      </c>
      <c r="E19" s="561">
        <v>200000</v>
      </c>
      <c r="F19" s="561">
        <v>100000</v>
      </c>
      <c r="G19" s="561">
        <v>200000</v>
      </c>
      <c r="H19"/>
      <c r="I19"/>
      <c r="J19"/>
      <c r="K19"/>
      <c r="L19"/>
      <c r="M19"/>
      <c r="N19"/>
    </row>
    <row r="20" spans="2:14" x14ac:dyDescent="0.25">
      <c r="B20" s="564" t="s">
        <v>285</v>
      </c>
      <c r="C20" s="565" t="s">
        <v>287</v>
      </c>
      <c r="D20" s="561">
        <v>25810928.600000001</v>
      </c>
      <c r="E20" s="561">
        <v>28089211</v>
      </c>
      <c r="F20" s="561">
        <v>28089211</v>
      </c>
      <c r="G20" s="561">
        <v>28089211</v>
      </c>
      <c r="H20"/>
      <c r="I20"/>
      <c r="J20"/>
      <c r="K20"/>
      <c r="L20"/>
      <c r="M20"/>
      <c r="N20"/>
    </row>
    <row r="21" spans="2:14" x14ac:dyDescent="0.25">
      <c r="B21" s="564" t="s">
        <v>285</v>
      </c>
      <c r="C21" s="565" t="s">
        <v>192</v>
      </c>
      <c r="D21" s="561">
        <v>923975</v>
      </c>
      <c r="E21" s="561">
        <v>1500000</v>
      </c>
      <c r="F21" s="561">
        <v>500000</v>
      </c>
      <c r="G21" s="561">
        <v>2200000</v>
      </c>
      <c r="H21"/>
      <c r="I21"/>
      <c r="J21"/>
      <c r="K21"/>
      <c r="L21"/>
      <c r="M21"/>
      <c r="N21"/>
    </row>
    <row r="22" spans="2:14" x14ac:dyDescent="0.25">
      <c r="B22" s="564" t="s">
        <v>285</v>
      </c>
      <c r="C22" s="565" t="s">
        <v>304</v>
      </c>
      <c r="D22" s="561">
        <v>2411968</v>
      </c>
      <c r="E22" s="561">
        <v>3200000</v>
      </c>
      <c r="F22" s="561">
        <v>3200000</v>
      </c>
      <c r="G22" s="561">
        <v>3200000</v>
      </c>
      <c r="H22"/>
      <c r="I22"/>
      <c r="J22"/>
      <c r="K22"/>
      <c r="L22"/>
      <c r="M22"/>
      <c r="N22"/>
    </row>
    <row r="23" spans="2:14" x14ac:dyDescent="0.25">
      <c r="B23" s="648" t="s">
        <v>402</v>
      </c>
      <c r="C23" s="648"/>
      <c r="D23" s="568">
        <f>SUM(D13:D22)</f>
        <v>59976092.18</v>
      </c>
      <c r="E23" s="568">
        <f t="shared" ref="E23:G23" si="0">SUM(E13:E22)</f>
        <v>68905663</v>
      </c>
      <c r="F23" s="568">
        <f t="shared" si="0"/>
        <v>57396112</v>
      </c>
      <c r="G23" s="568">
        <f t="shared" si="0"/>
        <v>105044069</v>
      </c>
      <c r="H23"/>
      <c r="I23"/>
      <c r="J23"/>
      <c r="K23"/>
      <c r="L23"/>
      <c r="M23"/>
      <c r="N23"/>
    </row>
    <row r="24" spans="2:14" ht="15.75" x14ac:dyDescent="0.25">
      <c r="B24" s="649" t="s">
        <v>159</v>
      </c>
      <c r="C24" s="649"/>
      <c r="D24" s="569">
        <f>D12+D23</f>
        <v>92276092.180000007</v>
      </c>
      <c r="E24" s="569">
        <f t="shared" ref="E24:G24" si="1">E12+E23</f>
        <v>107419239</v>
      </c>
      <c r="F24" s="569">
        <f t="shared" si="1"/>
        <v>90213410</v>
      </c>
      <c r="G24" s="569">
        <f t="shared" si="1"/>
        <v>174514182</v>
      </c>
      <c r="H24"/>
      <c r="I24"/>
      <c r="J24"/>
      <c r="K24"/>
      <c r="L24"/>
      <c r="M24"/>
      <c r="N24"/>
    </row>
    <row r="26" spans="2:14" x14ac:dyDescent="0.25">
      <c r="C26"/>
      <c r="D26"/>
      <c r="E26"/>
      <c r="F26"/>
    </row>
    <row r="27" spans="2:14" x14ac:dyDescent="0.25">
      <c r="C27"/>
      <c r="D27"/>
      <c r="E27"/>
      <c r="F27"/>
    </row>
    <row r="28" spans="2:14" x14ac:dyDescent="0.25">
      <c r="C28"/>
      <c r="D28"/>
      <c r="E28"/>
      <c r="F28"/>
    </row>
    <row r="29" spans="2:14" x14ac:dyDescent="0.25">
      <c r="C29"/>
      <c r="D29"/>
      <c r="E29"/>
      <c r="F29"/>
    </row>
    <row r="30" spans="2:14" x14ac:dyDescent="0.25">
      <c r="C30"/>
      <c r="D30"/>
      <c r="E30"/>
      <c r="F30"/>
    </row>
    <row r="31" spans="2:14" x14ac:dyDescent="0.25">
      <c r="C31"/>
      <c r="D31"/>
      <c r="E31"/>
      <c r="F31"/>
    </row>
    <row r="32" spans="2:14" x14ac:dyDescent="0.25">
      <c r="C32"/>
      <c r="D32"/>
      <c r="E32"/>
      <c r="F32"/>
    </row>
    <row r="33" spans="3:6" x14ac:dyDescent="0.25">
      <c r="C33"/>
      <c r="D33"/>
      <c r="E33"/>
      <c r="F33"/>
    </row>
    <row r="34" spans="3:6" x14ac:dyDescent="0.25">
      <c r="C34"/>
      <c r="D34"/>
      <c r="E34"/>
      <c r="F34"/>
    </row>
    <row r="35" spans="3:6" x14ac:dyDescent="0.25">
      <c r="C35"/>
      <c r="D35"/>
      <c r="E35"/>
      <c r="F35"/>
    </row>
  </sheetData>
  <mergeCells count="3">
    <mergeCell ref="B12:C12"/>
    <mergeCell ref="B23:C23"/>
    <mergeCell ref="B24:C2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7A72A-236A-42EF-BB9F-36257E2B163E}">
  <dimension ref="B2:K25"/>
  <sheetViews>
    <sheetView showGridLines="0" zoomScale="75" zoomScaleNormal="75" workbookViewId="0">
      <selection activeCell="G13" sqref="G13"/>
    </sheetView>
  </sheetViews>
  <sheetFormatPr defaultColWidth="8.7109375" defaultRowHeight="15" x14ac:dyDescent="0.25"/>
  <cols>
    <col min="1" max="1" width="8.7109375" style="97"/>
    <col min="2" max="2" width="20.28515625" style="97" customWidth="1"/>
    <col min="3" max="3" width="22.42578125" style="97" bestFit="1" customWidth="1"/>
    <col min="4" max="4" width="19.140625" style="97" bestFit="1" customWidth="1"/>
    <col min="5" max="5" width="24.28515625" style="97" bestFit="1" customWidth="1"/>
    <col min="6" max="7" width="16.7109375" style="97" bestFit="1" customWidth="1"/>
    <col min="8" max="8" width="18.7109375" style="97" customWidth="1"/>
    <col min="9" max="9" width="11.85546875" style="97" bestFit="1" customWidth="1"/>
    <col min="10" max="11" width="15.42578125" style="97" bestFit="1" customWidth="1"/>
    <col min="12" max="16384" width="8.7109375" style="97"/>
  </cols>
  <sheetData>
    <row r="2" spans="2:11" ht="15" customHeight="1" x14ac:dyDescent="0.25">
      <c r="B2" s="566" t="s">
        <v>338</v>
      </c>
      <c r="C2" s="566" t="s">
        <v>339</v>
      </c>
      <c r="D2" s="567" t="s">
        <v>396</v>
      </c>
      <c r="E2" s="567" t="s">
        <v>397</v>
      </c>
      <c r="F2" s="567" t="s">
        <v>398</v>
      </c>
      <c r="G2" s="567" t="s">
        <v>399</v>
      </c>
    </row>
    <row r="3" spans="2:11" x14ac:dyDescent="0.25">
      <c r="B3" s="563" t="s">
        <v>175</v>
      </c>
      <c r="C3" s="570" t="s">
        <v>225</v>
      </c>
      <c r="D3" s="571">
        <v>1800000</v>
      </c>
      <c r="E3" s="571">
        <v>1000000</v>
      </c>
      <c r="F3" s="571">
        <f>E3</f>
        <v>1000000</v>
      </c>
      <c r="G3" s="571">
        <v>7500000</v>
      </c>
    </row>
    <row r="4" spans="2:11" x14ac:dyDescent="0.25">
      <c r="B4" s="563" t="s">
        <v>175</v>
      </c>
      <c r="C4" s="570" t="s">
        <v>226</v>
      </c>
      <c r="D4" s="571">
        <v>5400000</v>
      </c>
      <c r="E4" s="571">
        <v>7775778</v>
      </c>
      <c r="F4" s="571">
        <f>D4</f>
        <v>5400000</v>
      </c>
      <c r="G4" s="571">
        <v>16000000</v>
      </c>
    </row>
    <row r="5" spans="2:11" x14ac:dyDescent="0.25">
      <c r="B5" s="563" t="s">
        <v>175</v>
      </c>
      <c r="C5" s="570" t="s">
        <v>227</v>
      </c>
      <c r="D5" s="571">
        <v>1900000</v>
      </c>
      <c r="E5" s="571">
        <v>1840000</v>
      </c>
      <c r="F5" s="571">
        <v>1599500</v>
      </c>
      <c r="G5" s="571">
        <v>6500000</v>
      </c>
    </row>
    <row r="6" spans="2:11" x14ac:dyDescent="0.25">
      <c r="B6" s="563" t="s">
        <v>175</v>
      </c>
      <c r="C6" s="570" t="s">
        <v>245</v>
      </c>
      <c r="D6" s="571">
        <v>200000</v>
      </c>
      <c r="E6" s="571">
        <v>1220000</v>
      </c>
      <c r="F6" s="571">
        <v>1000000</v>
      </c>
      <c r="G6" s="571">
        <v>3500000</v>
      </c>
    </row>
    <row r="7" spans="2:11" x14ac:dyDescent="0.25">
      <c r="B7" s="563" t="s">
        <v>175</v>
      </c>
      <c r="C7" s="570" t="s">
        <v>247</v>
      </c>
      <c r="D7" s="571">
        <v>6200000</v>
      </c>
      <c r="E7" s="571">
        <v>4817798</v>
      </c>
      <c r="F7" s="571">
        <f>E7</f>
        <v>4817798</v>
      </c>
      <c r="G7" s="571">
        <v>12070113</v>
      </c>
    </row>
    <row r="8" spans="2:11" x14ac:dyDescent="0.25">
      <c r="B8" s="563" t="s">
        <v>175</v>
      </c>
      <c r="C8" s="570" t="s">
        <v>228</v>
      </c>
      <c r="D8" s="571">
        <v>1600000</v>
      </c>
      <c r="E8" s="571">
        <v>3540000</v>
      </c>
      <c r="F8" s="571">
        <f>D8</f>
        <v>1600000</v>
      </c>
      <c r="G8" s="571">
        <v>7000000</v>
      </c>
    </row>
    <row r="9" spans="2:11" x14ac:dyDescent="0.25">
      <c r="B9" s="563" t="s">
        <v>175</v>
      </c>
      <c r="C9" s="570" t="s">
        <v>229</v>
      </c>
      <c r="D9" s="571">
        <v>300000</v>
      </c>
      <c r="E9" s="571">
        <v>400000</v>
      </c>
      <c r="F9" s="571">
        <v>300000</v>
      </c>
      <c r="G9" s="571">
        <v>400000</v>
      </c>
    </row>
    <row r="10" spans="2:11" x14ac:dyDescent="0.25">
      <c r="B10" s="563" t="s">
        <v>175</v>
      </c>
      <c r="C10" s="570" t="s">
        <v>284</v>
      </c>
      <c r="D10" s="571">
        <v>1400000</v>
      </c>
      <c r="E10" s="571">
        <v>2220000</v>
      </c>
      <c r="F10" s="571">
        <f>D10</f>
        <v>1400000</v>
      </c>
      <c r="G10" s="571">
        <v>4800000</v>
      </c>
    </row>
    <row r="11" spans="2:11" x14ac:dyDescent="0.25">
      <c r="B11" s="563" t="s">
        <v>175</v>
      </c>
      <c r="C11" s="570" t="s">
        <v>287</v>
      </c>
      <c r="D11" s="571">
        <v>13500000</v>
      </c>
      <c r="E11" s="571">
        <v>15700000</v>
      </c>
      <c r="F11" s="571">
        <f>E11</f>
        <v>15700000</v>
      </c>
      <c r="G11" s="571">
        <f>E11</f>
        <v>15700000</v>
      </c>
    </row>
    <row r="12" spans="2:11" ht="15.75" thickBot="1" x14ac:dyDescent="0.3">
      <c r="B12" s="648" t="s">
        <v>401</v>
      </c>
      <c r="C12" s="648"/>
      <c r="D12" s="568">
        <f>SUM(D3:D11)</f>
        <v>32300000</v>
      </c>
      <c r="E12" s="568">
        <f>SUM(E3:E11)</f>
        <v>38513576</v>
      </c>
      <c r="F12" s="568">
        <f>SUM(F3:F11)</f>
        <v>32817298</v>
      </c>
      <c r="G12" s="568">
        <f>SUM(G3:G11)</f>
        <v>73470113</v>
      </c>
    </row>
    <row r="13" spans="2:11" x14ac:dyDescent="0.25">
      <c r="B13" s="564" t="s">
        <v>285</v>
      </c>
      <c r="C13" s="572" t="s">
        <v>400</v>
      </c>
      <c r="D13" s="571">
        <v>1134710</v>
      </c>
      <c r="E13" s="571">
        <v>1000000</v>
      </c>
      <c r="F13" s="599">
        <v>900000</v>
      </c>
      <c r="G13" s="599">
        <v>900000</v>
      </c>
      <c r="H13" s="596">
        <v>0.9</v>
      </c>
      <c r="I13"/>
      <c r="J13" s="603">
        <v>900000</v>
      </c>
      <c r="K13" s="603">
        <v>900000</v>
      </c>
    </row>
    <row r="14" spans="2:11" x14ac:dyDescent="0.25">
      <c r="B14" s="564" t="s">
        <v>285</v>
      </c>
      <c r="C14" s="572" t="s">
        <v>226</v>
      </c>
      <c r="D14" s="571">
        <v>10503728.719999999</v>
      </c>
      <c r="E14" s="571">
        <v>16948000</v>
      </c>
      <c r="F14" s="601">
        <v>22050000</v>
      </c>
      <c r="G14" s="601">
        <v>22050000</v>
      </c>
      <c r="H14" s="600">
        <v>22.1</v>
      </c>
      <c r="I14"/>
      <c r="J14" s="604">
        <v>22050000</v>
      </c>
      <c r="K14" s="604">
        <v>22050000</v>
      </c>
    </row>
    <row r="15" spans="2:11" x14ac:dyDescent="0.25">
      <c r="B15" s="564" t="s">
        <v>285</v>
      </c>
      <c r="C15" s="572" t="s">
        <v>227</v>
      </c>
      <c r="D15" s="571">
        <v>1751000</v>
      </c>
      <c r="E15" s="571">
        <v>2200000</v>
      </c>
      <c r="F15" s="599">
        <v>2290679.6471494259</v>
      </c>
      <c r="G15" s="599">
        <v>2290679.6471494259</v>
      </c>
      <c r="H15" s="600">
        <v>2.2999999999999998</v>
      </c>
      <c r="I15"/>
      <c r="J15" s="603">
        <v>2290679.6471494259</v>
      </c>
      <c r="K15" s="603">
        <v>2290679.6471494259</v>
      </c>
    </row>
    <row r="16" spans="2:11" x14ac:dyDescent="0.25">
      <c r="B16" s="564" t="s">
        <v>285</v>
      </c>
      <c r="C16" s="572" t="s">
        <v>245</v>
      </c>
      <c r="D16" s="571">
        <v>1111779.04</v>
      </c>
      <c r="E16" s="571">
        <v>1500000</v>
      </c>
      <c r="F16" s="599">
        <v>2094216.1059919484</v>
      </c>
      <c r="G16" s="599">
        <v>2094216.1059919484</v>
      </c>
      <c r="H16" s="600">
        <v>2.1</v>
      </c>
      <c r="I16"/>
      <c r="J16" s="603">
        <v>2094216.1059919484</v>
      </c>
      <c r="K16" s="603">
        <v>2094216.1059919484</v>
      </c>
    </row>
    <row r="17" spans="2:11" x14ac:dyDescent="0.25">
      <c r="B17" s="564" t="s">
        <v>285</v>
      </c>
      <c r="C17" s="572" t="s">
        <v>247</v>
      </c>
      <c r="D17" s="571">
        <v>13418576</v>
      </c>
      <c r="E17" s="571">
        <v>10268452</v>
      </c>
      <c r="F17" s="599">
        <v>8306901</v>
      </c>
      <c r="G17" s="599">
        <v>8306901</v>
      </c>
      <c r="H17" s="600">
        <v>8.3000000000000007</v>
      </c>
      <c r="I17"/>
      <c r="J17" s="603">
        <v>8306901</v>
      </c>
      <c r="K17" s="603">
        <v>8306901</v>
      </c>
    </row>
    <row r="18" spans="2:11" x14ac:dyDescent="0.25">
      <c r="B18" s="564" t="s">
        <v>285</v>
      </c>
      <c r="C18" s="572" t="s">
        <v>228</v>
      </c>
      <c r="D18" s="571">
        <v>2859426.82</v>
      </c>
      <c r="E18" s="571">
        <v>4000000</v>
      </c>
      <c r="F18" s="599">
        <v>5000000</v>
      </c>
      <c r="G18" s="599">
        <v>5000000</v>
      </c>
      <c r="H18" s="597">
        <v>5</v>
      </c>
      <c r="I18"/>
      <c r="J18" s="603">
        <v>5000000</v>
      </c>
      <c r="K18" s="603">
        <v>5000000</v>
      </c>
    </row>
    <row r="19" spans="2:11" x14ac:dyDescent="0.25">
      <c r="B19" s="564" t="s">
        <v>285</v>
      </c>
      <c r="C19" s="572" t="s">
        <v>229</v>
      </c>
      <c r="D19" s="571">
        <v>50000</v>
      </c>
      <c r="E19" s="571">
        <v>200000</v>
      </c>
      <c r="F19" s="599">
        <v>200000</v>
      </c>
      <c r="G19" s="599">
        <v>200000</v>
      </c>
      <c r="H19" s="597">
        <v>0.2</v>
      </c>
      <c r="I19"/>
      <c r="J19" s="603">
        <v>200000</v>
      </c>
      <c r="K19" s="603">
        <v>200000</v>
      </c>
    </row>
    <row r="20" spans="2:11" x14ac:dyDescent="0.25">
      <c r="B20" s="564" t="s">
        <v>285</v>
      </c>
      <c r="C20" s="572" t="s">
        <v>287</v>
      </c>
      <c r="D20" s="571">
        <v>25810928.600000001</v>
      </c>
      <c r="E20" s="571">
        <v>28089211</v>
      </c>
      <c r="F20" s="571">
        <v>28089211</v>
      </c>
      <c r="G20" s="571">
        <f>28089211+20000000</f>
        <v>48089211</v>
      </c>
      <c r="H20" s="597">
        <v>28.1</v>
      </c>
      <c r="I20"/>
      <c r="J20" s="605">
        <v>28089211</v>
      </c>
      <c r="K20" s="605">
        <f>28089211+20000000</f>
        <v>48089211</v>
      </c>
    </row>
    <row r="21" spans="2:11" x14ac:dyDescent="0.25">
      <c r="B21" s="564" t="s">
        <v>285</v>
      </c>
      <c r="C21" s="572" t="s">
        <v>192</v>
      </c>
      <c r="D21" s="571">
        <v>923975</v>
      </c>
      <c r="E21" s="571">
        <v>1500000</v>
      </c>
      <c r="F21" s="599">
        <v>1959114.2410225025</v>
      </c>
      <c r="G21" s="599">
        <v>1959114.2410225025</v>
      </c>
      <c r="H21" s="597">
        <v>2</v>
      </c>
      <c r="I21"/>
      <c r="J21" s="603">
        <v>1959114.2410225025</v>
      </c>
      <c r="K21" s="603">
        <v>1959114.2410225025</v>
      </c>
    </row>
    <row r="22" spans="2:11" ht="15.75" thickBot="1" x14ac:dyDescent="0.3">
      <c r="B22" s="564" t="s">
        <v>285</v>
      </c>
      <c r="C22" s="572" t="s">
        <v>304</v>
      </c>
      <c r="D22" s="571">
        <v>2411968</v>
      </c>
      <c r="E22" s="571">
        <v>3200000</v>
      </c>
      <c r="F22" s="599">
        <v>3200000</v>
      </c>
      <c r="G22" s="599">
        <v>3200000</v>
      </c>
      <c r="H22" s="598">
        <v>3.2</v>
      </c>
      <c r="I22"/>
      <c r="J22" s="603">
        <v>3200000</v>
      </c>
      <c r="K22" s="603">
        <v>3200000</v>
      </c>
    </row>
    <row r="23" spans="2:11" x14ac:dyDescent="0.25">
      <c r="B23" s="648" t="s">
        <v>402</v>
      </c>
      <c r="C23" s="648"/>
      <c r="D23" s="568">
        <f>SUM(D13:D22)</f>
        <v>59976092.18</v>
      </c>
      <c r="E23" s="568">
        <f t="shared" ref="E23:G23" si="0">SUM(E13:E22)</f>
        <v>68905663</v>
      </c>
      <c r="F23" s="568">
        <f t="shared" si="0"/>
        <v>74090121.994163871</v>
      </c>
      <c r="G23" s="568">
        <f t="shared" si="0"/>
        <v>94090121.994163871</v>
      </c>
      <c r="J23" s="606">
        <f t="shared" ref="J23:K23" si="1">SUM(J13:J22)</f>
        <v>74090121.994163871</v>
      </c>
      <c r="K23" s="606">
        <f t="shared" si="1"/>
        <v>94090121.994163871</v>
      </c>
    </row>
    <row r="24" spans="2:11" ht="15.75" x14ac:dyDescent="0.25">
      <c r="B24" s="649" t="s">
        <v>159</v>
      </c>
      <c r="C24" s="649"/>
      <c r="D24" s="569">
        <f>D12+D23</f>
        <v>92276092.180000007</v>
      </c>
      <c r="E24" s="569">
        <f t="shared" ref="E24:G24" si="2">E12+E23</f>
        <v>107419239</v>
      </c>
      <c r="F24" s="569">
        <f t="shared" si="2"/>
        <v>106907419.99416387</v>
      </c>
      <c r="G24" s="569">
        <f t="shared" si="2"/>
        <v>167560234.99416387</v>
      </c>
      <c r="J24" s="607">
        <f t="shared" ref="J24:K24" si="3">J12+J23</f>
        <v>74090121.994163871</v>
      </c>
      <c r="K24" s="607">
        <f t="shared" si="3"/>
        <v>94090121.994163871</v>
      </c>
    </row>
    <row r="25" spans="2:11" x14ac:dyDescent="0.25">
      <c r="G25" s="602">
        <f>G23-G20</f>
        <v>46000910.994163871</v>
      </c>
    </row>
  </sheetData>
  <mergeCells count="3">
    <mergeCell ref="B12:C12"/>
    <mergeCell ref="B23:C23"/>
    <mergeCell ref="B24:C24"/>
  </mergeCells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37C6-B9C3-4F5E-A7A0-0F04BD610DFA}">
  <sheetPr>
    <pageSetUpPr autoPageBreaks="0"/>
  </sheetPr>
  <dimension ref="A3:AB81"/>
  <sheetViews>
    <sheetView showGridLines="0" topLeftCell="B1" zoomScale="75" zoomScaleNormal="75" workbookViewId="0">
      <selection activeCell="P57" sqref="P57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hidden="1" customWidth="1"/>
    <col min="19" max="19" width="13.28515625" style="97" hidden="1" customWidth="1"/>
    <col min="20" max="20" width="13.85546875" style="97" hidden="1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145704065.48447829</v>
      </c>
    </row>
    <row r="4" spans="1:28" x14ac:dyDescent="0.25">
      <c r="F4" s="622" t="s">
        <v>350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550"/>
      <c r="R4" s="550"/>
      <c r="S4" s="550"/>
      <c r="T4" s="550"/>
    </row>
    <row r="5" spans="1:28" ht="36" customHeight="1" x14ac:dyDescent="0.25">
      <c r="F5" s="616" t="s">
        <v>310</v>
      </c>
      <c r="G5" s="617"/>
      <c r="H5" s="618"/>
      <c r="I5" s="181"/>
      <c r="J5" s="634" t="s">
        <v>427</v>
      </c>
      <c r="K5" s="635"/>
      <c r="L5" s="636"/>
      <c r="N5" s="634" t="s">
        <v>428</v>
      </c>
      <c r="O5" s="635"/>
      <c r="P5" s="636"/>
      <c r="Q5" s="503"/>
      <c r="R5" s="634" t="s">
        <v>352</v>
      </c>
      <c r="S5" s="635"/>
      <c r="T5" s="636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1000000</v>
      </c>
      <c r="G7" s="366">
        <v>0</v>
      </c>
      <c r="H7" s="368">
        <v>5040789.0644048415</v>
      </c>
      <c r="I7" s="365"/>
      <c r="J7" s="380">
        <v>1000000</v>
      </c>
      <c r="K7" s="370">
        <v>0</v>
      </c>
      <c r="L7" s="372">
        <v>3608306.5090601984</v>
      </c>
      <c r="M7" s="367"/>
      <c r="N7" s="380">
        <v>3043462.9999999995</v>
      </c>
      <c r="O7" s="370">
        <v>2.0434629999999996</v>
      </c>
      <c r="P7" s="372">
        <v>7667128.4798888173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1486235.6790270803</v>
      </c>
      <c r="W7" s="177">
        <f>(V7-$C7)/$C7</f>
        <v>0.48623567902708031</v>
      </c>
      <c r="X7" s="185">
        <f>VAC_Optim_Scenario!$J51</f>
        <v>4898979.1498100674</v>
      </c>
      <c r="Y7" s="185">
        <f>J7-V7</f>
        <v>-486235.6790270803</v>
      </c>
      <c r="Z7" s="490">
        <f>$F7-'[1]Scenario deep dive'!$F7</f>
        <v>0</v>
      </c>
      <c r="AA7" s="493">
        <f>$J7-'[1]Scenario deep dive'!$J7</f>
        <v>-172914.32590990257</v>
      </c>
      <c r="AB7" s="493">
        <f>$N7-'[1]Scenario deep dive'!$N7</f>
        <v>1388874.287671203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80687519.073682621</v>
      </c>
      <c r="E8" s="369"/>
      <c r="F8" s="380">
        <v>7998999.8847845653</v>
      </c>
      <c r="G8" s="370">
        <v>2.8707337681781207E-2</v>
      </c>
      <c r="H8" s="372">
        <v>81778277.188084155</v>
      </c>
      <c r="I8" s="369"/>
      <c r="J8" s="380">
        <v>11993030.54694166</v>
      </c>
      <c r="K8" s="370">
        <v>0.54235763250206737</v>
      </c>
      <c r="L8" s="372">
        <v>95091073.361569613</v>
      </c>
      <c r="M8" s="371"/>
      <c r="N8" s="380">
        <v>12000000.000000002</v>
      </c>
      <c r="O8" s="370">
        <v>0.54325393549044243</v>
      </c>
      <c r="P8" s="372">
        <v>95112539.846490338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14043651.326912649</v>
      </c>
      <c r="W8" s="177">
        <f t="shared" ref="W8:W22" si="0">(V8-$C8)/$C8</f>
        <v>0.80607668157612644</v>
      </c>
      <c r="X8" s="185">
        <f>VAC_Optim_Scenario!$J52</f>
        <v>104956912.90580291</v>
      </c>
      <c r="Y8" s="185">
        <f t="shared" ref="Y8:Y25" si="1">J8-V8</f>
        <v>-2050620.7799709886</v>
      </c>
      <c r="Z8" s="491">
        <f>$F8-'[1]Scenario deep dive'!$F8</f>
        <v>-4662.7890975764021</v>
      </c>
      <c r="AA8" s="494">
        <f>$J8-'[1]Scenario deep dive'!$J8</f>
        <v>1211950.7465391159</v>
      </c>
      <c r="AB8" s="494">
        <f>$N8-'[1]Scenario deep dive'!$N8</f>
        <v>0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20811821.049948756</v>
      </c>
      <c r="E9" s="369"/>
      <c r="F9" s="380">
        <v>1599500</v>
      </c>
      <c r="G9" s="370">
        <v>-0.13070652173913044</v>
      </c>
      <c r="H9" s="372">
        <v>14642130.239828272</v>
      </c>
      <c r="I9" s="369"/>
      <c r="J9" s="380">
        <v>6500000</v>
      </c>
      <c r="K9" s="370">
        <v>2.5326086956521738</v>
      </c>
      <c r="L9" s="372">
        <v>33959534.839013599</v>
      </c>
      <c r="M9" s="371"/>
      <c r="N9" s="380">
        <v>6500000</v>
      </c>
      <c r="O9" s="370">
        <v>2.5326086956521738</v>
      </c>
      <c r="P9" s="372">
        <v>33959534.839013599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44377967.027515724</v>
      </c>
      <c r="Y9" s="185">
        <f t="shared" si="1"/>
        <v>0</v>
      </c>
      <c r="Z9" s="491">
        <f>$F9-'[1]Scenario deep dive'!$F9</f>
        <v>0</v>
      </c>
      <c r="AA9" s="494">
        <f>$J9-'[1]Scenario deep dive'!$J9</f>
        <v>2512081.9027734757</v>
      </c>
      <c r="AB9" s="494">
        <f>$N9-'[1]Scenario deep dive'!$N9</f>
        <v>0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5729843.8063793583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3357832.8692201264</v>
      </c>
      <c r="M10" s="371"/>
      <c r="N10" s="380">
        <v>1000000</v>
      </c>
      <c r="O10" s="370">
        <v>-0.18032786885245902</v>
      </c>
      <c r="P10" s="372">
        <v>3357832.8692201264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5668483.3276297525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30671602.273905724</v>
      </c>
      <c r="E11" s="369"/>
      <c r="F11" s="380">
        <v>4817798</v>
      </c>
      <c r="G11" s="370">
        <v>0</v>
      </c>
      <c r="H11" s="372">
        <v>27455486.015820313</v>
      </c>
      <c r="I11" s="369"/>
      <c r="J11" s="380">
        <v>11381455.378347313</v>
      </c>
      <c r="K11" s="370">
        <v>1.3623770399562856</v>
      </c>
      <c r="L11" s="372">
        <v>50115675.107901268</v>
      </c>
      <c r="M11" s="371"/>
      <c r="N11" s="380">
        <v>12070113</v>
      </c>
      <c r="O11" s="370">
        <v>1.5053173669796867</v>
      </c>
      <c r="P11" s="372">
        <v>52219542.21615728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58336502.542934552</v>
      </c>
      <c r="Y11" s="185">
        <f t="shared" si="1"/>
        <v>-688657.62165268697</v>
      </c>
      <c r="Z11" s="491">
        <f>$F11-'[1]Scenario deep dive'!$F11</f>
        <v>0</v>
      </c>
      <c r="AA11" s="494">
        <f>$J11-'[1]Scenario deep dive'!$J11</f>
        <v>5772413.9273656309</v>
      </c>
      <c r="AB11" s="494">
        <f>$N11-'[1]Scenario deep dive'!$N11</f>
        <v>1297756.1084671319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55720832.469924212</v>
      </c>
      <c r="E12" s="369"/>
      <c r="F12" s="380">
        <v>3815866.8367254268</v>
      </c>
      <c r="G12" s="370">
        <v>7.792848495068555E-2</v>
      </c>
      <c r="H12" s="372">
        <v>40911736.873087771</v>
      </c>
      <c r="I12" s="369"/>
      <c r="J12" s="380">
        <v>5739090.0811181637</v>
      </c>
      <c r="K12" s="370">
        <v>0.62121188732151511</v>
      </c>
      <c r="L12" s="372">
        <v>49046233.328135483</v>
      </c>
      <c r="M12" s="371"/>
      <c r="N12" s="380">
        <v>7000000</v>
      </c>
      <c r="O12" s="370">
        <v>0.97740112994350281</v>
      </c>
      <c r="P12" s="372">
        <v>52254717.406990029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7000000.0000000009</v>
      </c>
      <c r="W12" s="177">
        <f t="shared" si="0"/>
        <v>0.97740112994350303</v>
      </c>
      <c r="X12" s="185">
        <f>VAC_Optim_Scenario!$J56</f>
        <v>74111465.228846326</v>
      </c>
      <c r="Y12" s="185">
        <f t="shared" si="1"/>
        <v>-1260909.9188818373</v>
      </c>
      <c r="Z12" s="491">
        <f>$F12-'[1]Scenario deep dive'!$F12</f>
        <v>4027.4115999196656</v>
      </c>
      <c r="AA12" s="494">
        <f>$J12-'[1]Scenario deep dive'!$J12</f>
        <v>676467.69485004991</v>
      </c>
      <c r="AB12" s="494">
        <f>$N12-'[1]Scenario deep dive'!$N12</f>
        <v>1313369.5635601468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2181411.278490013</v>
      </c>
      <c r="G14" s="370">
        <v>-1.738230698648064E-2</v>
      </c>
      <c r="H14" s="372">
        <v>20481763.637834262</v>
      </c>
      <c r="I14" s="369"/>
      <c r="J14" s="380">
        <v>4800000</v>
      </c>
      <c r="K14" s="370">
        <v>1.1621621621621621</v>
      </c>
      <c r="L14" s="372">
        <v>32875287.531392161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0</v>
      </c>
      <c r="Z14" s="491">
        <f>$F14-'[1]Scenario deep dive'!$F14</f>
        <v>635.37749766232446</v>
      </c>
      <c r="AA14" s="494">
        <f>$J14-'[1]Scenario deep dive'!$J14</f>
        <v>0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434" t="str">
        <f>VAC_Optim_Scenario!B29</f>
        <v>HCC TV</v>
      </c>
      <c r="C15" s="380">
        <f>VAC_Optim_Scenario!E29</f>
        <v>15700000</v>
      </c>
      <c r="D15" s="372">
        <f>VAC_Optim_Scenario!G59</f>
        <v>64117823.465933323</v>
      </c>
      <c r="E15" s="373"/>
      <c r="F15" s="381">
        <v>16888801</v>
      </c>
      <c r="G15" s="374">
        <v>0</v>
      </c>
      <c r="H15" s="375">
        <v>67034177.652868718</v>
      </c>
      <c r="I15" s="369"/>
      <c r="J15" s="380">
        <v>15700000</v>
      </c>
      <c r="K15" s="370">
        <v>0</v>
      </c>
      <c r="L15" s="372">
        <v>63695224.07626316</v>
      </c>
      <c r="M15" s="371"/>
      <c r="N15" s="380">
        <v>15700000</v>
      </c>
      <c r="O15" s="370">
        <v>0</v>
      </c>
      <c r="P15" s="372">
        <v>63695224.07626316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64117823.465933323</v>
      </c>
      <c r="Y15" s="185">
        <f t="shared" si="1"/>
        <v>0</v>
      </c>
      <c r="Z15" s="492">
        <f>$F15-'[1]Scenario deep dive'!$F15</f>
        <v>0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1410431.7445188572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112105753.8405596</v>
      </c>
      <c r="E17" s="369"/>
      <c r="F17" s="380">
        <v>20333699.638065696</v>
      </c>
      <c r="G17" s="370">
        <v>0.19976986299655983</v>
      </c>
      <c r="H17" s="372">
        <v>103711863.92886993</v>
      </c>
      <c r="I17" s="369"/>
      <c r="J17" s="380">
        <v>22050000</v>
      </c>
      <c r="K17" s="370">
        <v>0.30103847061600186</v>
      </c>
      <c r="L17" s="372">
        <v>107902349.4303626</v>
      </c>
      <c r="M17" s="371"/>
      <c r="N17" s="380">
        <v>22050000</v>
      </c>
      <c r="O17" s="370">
        <v>0.30103847061600186</v>
      </c>
      <c r="P17" s="372">
        <v>107902349.4303626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132078866.7384024</v>
      </c>
      <c r="Y17" s="185">
        <f t="shared" si="1"/>
        <v>0</v>
      </c>
      <c r="Z17" s="491">
        <f>$F17-'[2]Scenario deep dive'!$F8</f>
        <v>972.85154687613249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13243840.136854218</v>
      </c>
      <c r="E18" s="369"/>
      <c r="F18" s="380">
        <v>1800000</v>
      </c>
      <c r="G18" s="370">
        <v>-0.18181818181818182</v>
      </c>
      <c r="H18" s="372">
        <v>5471848.3801533533</v>
      </c>
      <c r="I18" s="369"/>
      <c r="J18" s="380">
        <v>6033284.4160682932</v>
      </c>
      <c r="K18" s="370">
        <v>1.7424020073037696</v>
      </c>
      <c r="L18" s="372">
        <v>11305839.902280608</v>
      </c>
      <c r="M18" s="371"/>
      <c r="N18" s="380">
        <v>5155163.6098676501</v>
      </c>
      <c r="O18" s="370">
        <v>1.3432561863034773</v>
      </c>
      <c r="P18" s="372">
        <v>10287646.28642359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13568721.71934624</v>
      </c>
      <c r="Y18" s="185">
        <f t="shared" si="1"/>
        <v>3742604.7689188672</v>
      </c>
      <c r="Z18" s="491">
        <f>$F18-'[2]Scenario deep dive'!$F9</f>
        <v>0</v>
      </c>
      <c r="AA18" s="494">
        <f>$J18-'[2]Scenario deep dive'!$J9</f>
        <v>1446769.183905568</v>
      </c>
      <c r="AB18" s="494">
        <f>$N18-'[2]Scenario deep dive'!$N9</f>
        <v>-1578064.860722946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10671052.449402977</v>
      </c>
      <c r="E19" s="369"/>
      <c r="F19" s="380">
        <v>1106817.9535387796</v>
      </c>
      <c r="G19" s="370">
        <v>-0.26212136430748023</v>
      </c>
      <c r="H19" s="372">
        <v>4875568.5712330546</v>
      </c>
      <c r="I19" s="369"/>
      <c r="J19" s="380">
        <v>2713819.7525883126</v>
      </c>
      <c r="K19" s="370">
        <v>0.80921316839220836</v>
      </c>
      <c r="L19" s="372">
        <v>7986943.2849287968</v>
      </c>
      <c r="M19" s="371"/>
      <c r="N19" s="380">
        <v>2613379.0241178665</v>
      </c>
      <c r="O19" s="370">
        <v>0.74225268274524436</v>
      </c>
      <c r="P19" s="372">
        <v>7870379.6057936177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12813292.806834146</v>
      </c>
      <c r="Y19" s="185">
        <f t="shared" si="1"/>
        <v>619603.64659636421</v>
      </c>
      <c r="Z19" s="491">
        <f>$F19-'[2]Scenario deep dive'!$F10</f>
        <v>3206.1157225614879</v>
      </c>
      <c r="AA19" s="494">
        <f>$J19-'[2]Scenario deep dive'!$J10</f>
        <v>175211.39465842722</v>
      </c>
      <c r="AB19" s="494">
        <f>$N19-'[2]Scenario deep dive'!$N10</f>
        <v>-170769.55933032744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34220018.757868037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16100108.819007277</v>
      </c>
      <c r="K20" s="370">
        <v>0.56791976229788843</v>
      </c>
      <c r="L20" s="372">
        <v>25874692.2231998</v>
      </c>
      <c r="M20" s="371"/>
      <c r="N20" s="380">
        <v>13078670.366014469</v>
      </c>
      <c r="O20" s="370">
        <v>0.27367497710603989</v>
      </c>
      <c r="P20" s="372">
        <v>22371213.39154895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29500819.705867045</v>
      </c>
      <c r="Y20" s="185">
        <f t="shared" si="1"/>
        <v>7793207.8190072775</v>
      </c>
      <c r="Z20" s="491">
        <f>$F20-'[2]Scenario deep dive'!$F11</f>
        <v>0</v>
      </c>
      <c r="AA20" s="494">
        <f>$J20-'[2]Scenario deep dive'!$J11</f>
        <v>4908780.4652762935</v>
      </c>
      <c r="AB20" s="494">
        <f>$N20-'[2]Scenario deep dive'!$N11</f>
        <v>-5593806.5398722664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26401195.702321921</v>
      </c>
      <c r="E21" s="369"/>
      <c r="F21" s="380">
        <v>4266670.9673053306</v>
      </c>
      <c r="G21" s="370">
        <v>6.6667741826332644E-2</v>
      </c>
      <c r="H21" s="372">
        <v>21850640.140886877</v>
      </c>
      <c r="I21" s="369"/>
      <c r="J21" s="380">
        <v>5000000</v>
      </c>
      <c r="K21" s="370">
        <v>0.25</v>
      </c>
      <c r="L21" s="372">
        <v>24032152.746086098</v>
      </c>
      <c r="M21" s="371"/>
      <c r="N21" s="380">
        <v>5000000</v>
      </c>
      <c r="O21" s="370">
        <v>0.25</v>
      </c>
      <c r="P21" s="372">
        <v>24032152.746086098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30183500.428984575</v>
      </c>
      <c r="Y21" s="185">
        <f t="shared" si="1"/>
        <v>0</v>
      </c>
      <c r="Z21" s="491">
        <f>$F21-'[2]Scenario deep dive'!$F12</f>
        <v>-6415.2453787680715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42182904.802091695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28089211</v>
      </c>
      <c r="K23" s="370">
        <v>0</v>
      </c>
      <c r="L23" s="372">
        <v>40395109.654958591</v>
      </c>
      <c r="M23" s="371"/>
      <c r="N23" s="380">
        <v>28089211</v>
      </c>
      <c r="O23" s="370">
        <v>0</v>
      </c>
      <c r="P23" s="372">
        <v>40395109.654958591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36089210.999896407</v>
      </c>
      <c r="W23" s="177">
        <f>(V23-$C23)/$C23</f>
        <v>0.28480686053789145</v>
      </c>
      <c r="X23" s="185">
        <f>VAC_Optim_Scenario!$J68</f>
        <v>50271631.014643446</v>
      </c>
      <c r="Y23" s="185">
        <f t="shared" si="1"/>
        <v>-7999999.9998964071</v>
      </c>
      <c r="Z23" s="491">
        <f>$F23-'[2]Scenario deep dive'!$F15</f>
        <v>0</v>
      </c>
      <c r="AA23" s="494">
        <f>$J23-'[2]Scenario deep dive'!$J15</f>
        <v>0</v>
      </c>
      <c r="AB23" s="494">
        <f>$N23-'[2]Scenario deep dive'!$N15</f>
        <v>0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702362.44109018752</v>
      </c>
      <c r="G24" s="370">
        <v>-0.53175837260654168</v>
      </c>
      <c r="H24" s="372">
        <v>5381879.8862388413</v>
      </c>
      <c r="I24" s="369"/>
      <c r="J24" s="380">
        <v>2200000</v>
      </c>
      <c r="K24" s="370">
        <v>0.46666666666666667</v>
      </c>
      <c r="L24" s="372">
        <v>8497253.2367697079</v>
      </c>
      <c r="M24" s="371"/>
      <c r="N24" s="380">
        <v>2200000</v>
      </c>
      <c r="O24" s="370">
        <v>0.46666666666666667</v>
      </c>
      <c r="P24" s="372">
        <v>8497253.2367697079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240885.75897749746</v>
      </c>
      <c r="Z24" s="491">
        <f>$F24-'[2]Scenario deep dive'!$F14</f>
        <v>2236.2645860570483</v>
      </c>
      <c r="AA24" s="494">
        <f>$J24-'[2]Scenario deep dive'!$J14</f>
        <v>0</v>
      </c>
      <c r="AB24" s="494">
        <f>$N24-'[2]Scenario deep dive'!$N14</f>
        <v>0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314816106.27130663</v>
      </c>
      <c r="E26" s="369"/>
      <c r="F26" s="379">
        <v>39702377.000000007</v>
      </c>
      <c r="G26" s="439">
        <v>1.8766081932383616E-16</v>
      </c>
      <c r="H26" s="368">
        <v>293472159.42546868</v>
      </c>
      <c r="I26" s="369"/>
      <c r="J26" s="379">
        <f>SUM(J7:J15)</f>
        <v>58513576.006407142</v>
      </c>
      <c r="K26" s="439">
        <f>(J26-$C$26)/$C$26</f>
        <v>0.51929740324313545</v>
      </c>
      <c r="L26" s="368">
        <f>SUM(L7:L15)</f>
        <v>364519133.50687587</v>
      </c>
      <c r="M26" s="371"/>
      <c r="N26" s="379">
        <f>SUM(N7:N15)</f>
        <v>62513576</v>
      </c>
      <c r="O26" s="439">
        <f>(N26-$C$26)/$C$26</f>
        <v>0.62315688369212974</v>
      </c>
      <c r="P26" s="368">
        <f>SUM(P7:P15)</f>
        <v>373911773.14973581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V26-C26</f>
        <v>24486424.00593973</v>
      </c>
      <c r="V26" s="379">
        <f>SUM(V7:V15)</f>
        <v>63000000.00593973</v>
      </c>
      <c r="W26" s="439">
        <f>(V26-$C$26)/$C$26</f>
        <v>0.63578681984606489</v>
      </c>
      <c r="X26" s="368">
        <f>SUM(X7:X15)</f>
        <v>422113387.06418502</v>
      </c>
      <c r="Y26" s="185">
        <f>V26-F26</f>
        <v>23297623.005939722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270125110.3704347</v>
      </c>
      <c r="E27" s="369"/>
      <c r="F27" s="381">
        <v>68905663</v>
      </c>
      <c r="G27" s="440">
        <v>0</v>
      </c>
      <c r="H27" s="375">
        <v>222412318.09155828</v>
      </c>
      <c r="I27" s="369"/>
      <c r="J27" s="381">
        <f>SUM(J16:J25)</f>
        <v>86486423.98766388</v>
      </c>
      <c r="K27" s="440">
        <f>(J27-$C$27)/$C$27</f>
        <v>0.2551424690255702</v>
      </c>
      <c r="L27" s="375">
        <f>SUM(L16:L25)</f>
        <v>249931970.06008273</v>
      </c>
      <c r="M27" s="371"/>
      <c r="N27" s="381">
        <f>SUM(N16:N25)</f>
        <v>82486423.999999985</v>
      </c>
      <c r="O27" s="440">
        <f>(N27-$C$27)/$C$27</f>
        <v>0.19709208806248601</v>
      </c>
      <c r="P27" s="375">
        <f>SUM(P16:P25)</f>
        <v>245293733.93343967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V27-C27</f>
        <v>13184458.994060278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300466563.82585013</v>
      </c>
      <c r="Y27" s="185">
        <f>V27-F27</f>
        <v>13184458.994060278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584941216.64174139</v>
      </c>
      <c r="E28" s="179"/>
      <c r="F28" s="442">
        <f>SUM(F7:F25)</f>
        <v>108608040</v>
      </c>
      <c r="G28" s="444">
        <f>(F28-$C$28)/$C$28</f>
        <v>1.106692815055225E-2</v>
      </c>
      <c r="H28" s="443">
        <f>SUM(H7:H25)</f>
        <v>515884477.51702702</v>
      </c>
      <c r="I28" s="435"/>
      <c r="J28" s="442">
        <f>SUM(J7:J25)</f>
        <v>144999999.99407101</v>
      </c>
      <c r="K28" s="444">
        <f>(J28-$C$28)/$C$28</f>
        <v>0.34985130544511683</v>
      </c>
      <c r="L28" s="443">
        <f>SUM(L7:L25)</f>
        <v>614451103.56695867</v>
      </c>
      <c r="M28" s="371"/>
      <c r="N28" s="442">
        <f>SUM(N7:N25)</f>
        <v>145000000</v>
      </c>
      <c r="O28" s="444">
        <f>(N28-$C$28)/$C$28</f>
        <v>0.34985130550031174</v>
      </c>
      <c r="P28" s="443">
        <f>SUM(P7:P25)</f>
        <v>619205507.08317542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145090122</v>
      </c>
      <c r="W28" s="189">
        <f>(V28-$C$28)/$C$28</f>
        <v>0.35069027997861724</v>
      </c>
      <c r="X28" s="188">
        <f>SUM(X7:X25)</f>
        <v>722579950.89003515</v>
      </c>
    </row>
    <row r="29" spans="1:28" x14ac:dyDescent="0.25">
      <c r="D29" s="382">
        <f>SUM(D7:D15)/D28</f>
        <v>0.53820127102467785</v>
      </c>
      <c r="E29" s="382"/>
      <c r="F29" s="382"/>
      <c r="G29" s="382"/>
      <c r="H29" s="382">
        <f>SUM(H7:H15)/H28</f>
        <v>0.56887185448564404</v>
      </c>
      <c r="I29" s="382"/>
      <c r="J29" s="595"/>
      <c r="K29" s="382"/>
      <c r="L29" s="382">
        <f>SUM(L7:L15)/L28</f>
        <v>0.59324351667822028</v>
      </c>
      <c r="P29" s="382">
        <f>SUM(P7:P15)/P28</f>
        <v>0.60385731210802962</v>
      </c>
      <c r="Q29" s="382"/>
      <c r="T29" s="382"/>
      <c r="U29" s="180"/>
      <c r="X29" s="499">
        <f>X28/VAC_Optim_Scenario!$E$48</f>
        <v>3198105.4744181428</v>
      </c>
    </row>
    <row r="30" spans="1:28" x14ac:dyDescent="0.25">
      <c r="D30" s="382">
        <f>SUM(D16:D25)/D28</f>
        <v>0.46179872897532209</v>
      </c>
      <c r="E30" s="382"/>
      <c r="F30" s="382"/>
      <c r="G30" s="382"/>
      <c r="H30" s="382">
        <f>SUM(H16:H25)/H28</f>
        <v>0.43112814551435585</v>
      </c>
      <c r="I30" s="382"/>
      <c r="J30" s="595"/>
      <c r="K30" s="382"/>
      <c r="L30" s="382">
        <f>SUM(L16:L25)/L28</f>
        <v>0.40675648332177966</v>
      </c>
      <c r="P30" s="382">
        <f>SUM(P16:P25)/P28</f>
        <v>0.39614268789197049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7" t="str">
        <f>F4</f>
        <v>Optimal channel spend allowed to vary based on custom constraints of the 2024 channel spend</v>
      </c>
      <c r="G31" s="638"/>
      <c r="H31" s="638"/>
      <c r="I31" s="638"/>
      <c r="J31" s="638"/>
      <c r="K31" s="638"/>
      <c r="L31" s="638"/>
      <c r="M31" s="638"/>
      <c r="N31" s="638"/>
      <c r="O31" s="638"/>
      <c r="P31" s="638"/>
      <c r="Q31" s="638"/>
      <c r="R31" s="638"/>
      <c r="S31" s="638"/>
      <c r="T31" s="638"/>
    </row>
    <row r="32" spans="1:28" ht="30.4" customHeight="1" x14ac:dyDescent="0.25">
      <c r="A32" s="482"/>
      <c r="B32" s="482"/>
      <c r="C32" s="640" t="s">
        <v>341</v>
      </c>
      <c r="D32" s="641"/>
      <c r="E32" s="543"/>
      <c r="F32" s="642" t="str">
        <f>F5</f>
        <v>Current Optimal ($92MM)</v>
      </c>
      <c r="G32" s="643"/>
      <c r="H32" s="644"/>
      <c r="I32" s="544"/>
      <c r="J32" s="645" t="str">
        <f>J5</f>
        <v>40M increase in total budget (Adol/Adult split: $20MM/$20MM)</v>
      </c>
      <c r="K32" s="646"/>
      <c r="L32" s="647"/>
      <c r="M32" s="483"/>
      <c r="N32" s="645" t="str">
        <f>N5</f>
        <v>40M increase in total budget (Adol/Adult split: $24MM/$16MM)</v>
      </c>
      <c r="O32" s="646"/>
      <c r="P32" s="647"/>
      <c r="Q32" s="545"/>
      <c r="R32" s="639" t="str">
        <f>R5</f>
        <v>20M increase in total budget ( Global Max 140%)</v>
      </c>
      <c r="S32" s="639"/>
      <c r="T32" s="639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</v>
      </c>
      <c r="G34" s="525">
        <f t="shared" ref="G34:G50" si="6">G7</f>
        <v>0</v>
      </c>
      <c r="H34" s="526">
        <f t="shared" ref="H34:H50" si="7">H7/1000000</f>
        <v>5.0407890644048416</v>
      </c>
      <c r="I34" s="523"/>
      <c r="J34" s="524">
        <f t="shared" ref="J34:J50" si="8">J7/1000000</f>
        <v>1</v>
      </c>
      <c r="K34" s="525">
        <f t="shared" ref="K34:K50" si="9">K7</f>
        <v>0</v>
      </c>
      <c r="L34" s="526">
        <f t="shared" ref="L34:L50" si="10">L7/1000000</f>
        <v>3.6083065090601982</v>
      </c>
      <c r="M34" s="527"/>
      <c r="N34" s="524">
        <f t="shared" ref="N34:N50" si="11">N7/1000000</f>
        <v>3.0434629999999996</v>
      </c>
      <c r="O34" s="525">
        <f t="shared" ref="O34:O50" si="12">O7</f>
        <v>2.0434629999999996</v>
      </c>
      <c r="P34" s="528">
        <f t="shared" ref="P34:P50" si="13">P7/1000000</f>
        <v>7.6671284798888175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80.687519073682623</v>
      </c>
      <c r="E35" s="523"/>
      <c r="F35" s="532">
        <f t="shared" si="5"/>
        <v>7.9989998847845651</v>
      </c>
      <c r="G35" s="533">
        <f t="shared" si="6"/>
        <v>2.8707337681781207E-2</v>
      </c>
      <c r="H35" s="534">
        <f t="shared" si="7"/>
        <v>81.778277188084161</v>
      </c>
      <c r="I35" s="523"/>
      <c r="J35" s="532">
        <f t="shared" si="8"/>
        <v>11.993030546941661</v>
      </c>
      <c r="K35" s="525">
        <f t="shared" si="9"/>
        <v>0.54235763250206737</v>
      </c>
      <c r="L35" s="534">
        <f t="shared" si="10"/>
        <v>95.091073361569613</v>
      </c>
      <c r="M35" s="527"/>
      <c r="N35" s="532">
        <f t="shared" si="11"/>
        <v>12.000000000000002</v>
      </c>
      <c r="O35" s="525">
        <f t="shared" si="12"/>
        <v>0.54325393549044243</v>
      </c>
      <c r="P35" s="535">
        <f t="shared" si="13"/>
        <v>95.112539846490336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20.811821049948755</v>
      </c>
      <c r="E36" s="523"/>
      <c r="F36" s="532">
        <f t="shared" si="5"/>
        <v>1.5994999999999999</v>
      </c>
      <c r="G36" s="533">
        <f t="shared" si="6"/>
        <v>-0.13070652173913044</v>
      </c>
      <c r="H36" s="534">
        <f t="shared" si="7"/>
        <v>14.642130239828273</v>
      </c>
      <c r="I36" s="523"/>
      <c r="J36" s="532">
        <f t="shared" si="8"/>
        <v>6.5</v>
      </c>
      <c r="K36" s="525">
        <f t="shared" si="9"/>
        <v>2.5326086956521738</v>
      </c>
      <c r="L36" s="534">
        <f t="shared" si="10"/>
        <v>33.9595348390136</v>
      </c>
      <c r="M36" s="527"/>
      <c r="N36" s="532">
        <f t="shared" si="11"/>
        <v>6.5</v>
      </c>
      <c r="O36" s="525">
        <f t="shared" si="12"/>
        <v>2.5326086956521738</v>
      </c>
      <c r="P36" s="535">
        <f t="shared" si="13"/>
        <v>33.9595348390136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5.7298438063793586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32">
        <f t="shared" si="8"/>
        <v>1</v>
      </c>
      <c r="K37" s="525">
        <f t="shared" si="9"/>
        <v>-0.18032786885245902</v>
      </c>
      <c r="L37" s="534">
        <f t="shared" si="10"/>
        <v>3.3578328692201262</v>
      </c>
      <c r="M37" s="527"/>
      <c r="N37" s="532">
        <f t="shared" si="11"/>
        <v>1</v>
      </c>
      <c r="O37" s="525">
        <f t="shared" si="12"/>
        <v>-0.18032786885245902</v>
      </c>
      <c r="P37" s="535">
        <f t="shared" si="13"/>
        <v>3.3578328692201262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30.671602273905723</v>
      </c>
      <c r="E38" s="523"/>
      <c r="F38" s="532">
        <f t="shared" si="5"/>
        <v>4.8177979999999998</v>
      </c>
      <c r="G38" s="533">
        <f t="shared" si="6"/>
        <v>0</v>
      </c>
      <c r="H38" s="534">
        <f t="shared" si="7"/>
        <v>27.455486015820313</v>
      </c>
      <c r="I38" s="523"/>
      <c r="J38" s="532">
        <f t="shared" si="8"/>
        <v>11.381455378347313</v>
      </c>
      <c r="K38" s="525">
        <f t="shared" si="9"/>
        <v>1.3623770399562856</v>
      </c>
      <c r="L38" s="534">
        <f t="shared" si="10"/>
        <v>50.115675107901268</v>
      </c>
      <c r="M38" s="527"/>
      <c r="N38" s="532">
        <f t="shared" si="11"/>
        <v>12.070112999999999</v>
      </c>
      <c r="O38" s="525">
        <f t="shared" si="12"/>
        <v>1.5053173669796867</v>
      </c>
      <c r="P38" s="535">
        <f t="shared" si="13"/>
        <v>52.219542216157279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55.720832469924211</v>
      </c>
      <c r="E39" s="523"/>
      <c r="F39" s="532">
        <f t="shared" si="5"/>
        <v>3.8158668367254269</v>
      </c>
      <c r="G39" s="533">
        <f t="shared" si="6"/>
        <v>7.792848495068555E-2</v>
      </c>
      <c r="H39" s="534">
        <f t="shared" si="7"/>
        <v>40.911736873087769</v>
      </c>
      <c r="I39" s="523"/>
      <c r="J39" s="532">
        <f t="shared" si="8"/>
        <v>5.7390900811181638</v>
      </c>
      <c r="K39" s="525">
        <f t="shared" si="9"/>
        <v>0.62121188732151511</v>
      </c>
      <c r="L39" s="534">
        <f t="shared" si="10"/>
        <v>49.046233328135486</v>
      </c>
      <c r="M39" s="527"/>
      <c r="N39" s="532">
        <f t="shared" si="11"/>
        <v>7</v>
      </c>
      <c r="O39" s="525">
        <f t="shared" si="12"/>
        <v>0.97740112994350281</v>
      </c>
      <c r="P39" s="535">
        <f t="shared" si="13"/>
        <v>52.254717406990032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32">
        <f t="shared" si="8"/>
        <v>0.4</v>
      </c>
      <c r="K40" s="525">
        <f t="shared" si="9"/>
        <v>0</v>
      </c>
      <c r="L40" s="534">
        <f t="shared" si="10"/>
        <v>32.769965884320236</v>
      </c>
      <c r="M40" s="527"/>
      <c r="N40" s="532">
        <f t="shared" si="11"/>
        <v>0.4</v>
      </c>
      <c r="O40" s="525">
        <f t="shared" si="12"/>
        <v>0</v>
      </c>
      <c r="P40" s="535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2.181411278490013</v>
      </c>
      <c r="G41" s="533">
        <f t="shared" si="6"/>
        <v>-1.738230698648064E-2</v>
      </c>
      <c r="H41" s="534">
        <f t="shared" si="7"/>
        <v>20.481763637834263</v>
      </c>
      <c r="I41" s="523"/>
      <c r="J41" s="532">
        <f t="shared" si="8"/>
        <v>4.8</v>
      </c>
      <c r="K41" s="525">
        <f t="shared" si="9"/>
        <v>1.1621621621621621</v>
      </c>
      <c r="L41" s="534">
        <f t="shared" si="10"/>
        <v>32.875287531392161</v>
      </c>
      <c r="M41" s="527"/>
      <c r="N41" s="532">
        <f t="shared" si="11"/>
        <v>4.8</v>
      </c>
      <c r="O41" s="525">
        <f t="shared" si="12"/>
        <v>1.1621621621621621</v>
      </c>
      <c r="P41" s="535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 t="str">
        <f t="shared" si="3"/>
        <v>HCC TV</v>
      </c>
      <c r="C42" s="530">
        <f t="shared" si="4"/>
        <v>15.7</v>
      </c>
      <c r="D42" s="531">
        <f t="shared" si="4"/>
        <v>64.117823465933327</v>
      </c>
      <c r="E42" s="523"/>
      <c r="F42" s="532">
        <f t="shared" si="5"/>
        <v>16.888801000000001</v>
      </c>
      <c r="G42" s="533">
        <f t="shared" si="6"/>
        <v>0</v>
      </c>
      <c r="H42" s="534">
        <f t="shared" si="7"/>
        <v>67.034177652868721</v>
      </c>
      <c r="I42" s="523"/>
      <c r="J42" s="532">
        <f t="shared" si="8"/>
        <v>15.7</v>
      </c>
      <c r="K42" s="525">
        <f t="shared" si="9"/>
        <v>0</v>
      </c>
      <c r="L42" s="534">
        <f t="shared" si="10"/>
        <v>63.695224076263159</v>
      </c>
      <c r="M42" s="527"/>
      <c r="N42" s="532">
        <f t="shared" si="11"/>
        <v>15.7</v>
      </c>
      <c r="O42" s="525">
        <f t="shared" si="12"/>
        <v>0</v>
      </c>
      <c r="P42" s="535">
        <f t="shared" si="13"/>
        <v>63.695224076263159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1.4104317445188572</v>
      </c>
      <c r="I43" s="523"/>
      <c r="J43" s="532">
        <f t="shared" si="8"/>
        <v>0.9</v>
      </c>
      <c r="K43" s="525">
        <f t="shared" si="9"/>
        <v>-0.1</v>
      </c>
      <c r="L43" s="534">
        <f t="shared" si="10"/>
        <v>0.90445129161394855</v>
      </c>
      <c r="M43" s="527"/>
      <c r="N43" s="532">
        <f t="shared" si="11"/>
        <v>0.9</v>
      </c>
      <c r="O43" s="525">
        <f t="shared" si="12"/>
        <v>-0.1</v>
      </c>
      <c r="P43" s="535">
        <f t="shared" si="13"/>
        <v>0.90445129161394855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112.1057538405596</v>
      </c>
      <c r="E44" s="523"/>
      <c r="F44" s="532">
        <f t="shared" si="5"/>
        <v>20.333699638065696</v>
      </c>
      <c r="G44" s="533">
        <f t="shared" si="6"/>
        <v>0.19976986299655983</v>
      </c>
      <c r="H44" s="534">
        <f t="shared" si="7"/>
        <v>103.71186392886993</v>
      </c>
      <c r="I44" s="523"/>
      <c r="J44" s="532">
        <f t="shared" si="8"/>
        <v>22.05</v>
      </c>
      <c r="K44" s="525">
        <f t="shared" si="9"/>
        <v>0.30103847061600186</v>
      </c>
      <c r="L44" s="534">
        <f t="shared" si="10"/>
        <v>107.90234943036259</v>
      </c>
      <c r="M44" s="527"/>
      <c r="N44" s="532">
        <f t="shared" si="11"/>
        <v>22.05</v>
      </c>
      <c r="O44" s="525">
        <f t="shared" si="12"/>
        <v>0.30103847061600186</v>
      </c>
      <c r="P44" s="535">
        <f t="shared" si="13"/>
        <v>107.90234943036259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13.243840136854219</v>
      </c>
      <c r="E45" s="523"/>
      <c r="F45" s="532">
        <f t="shared" si="5"/>
        <v>1.8</v>
      </c>
      <c r="G45" s="533">
        <f t="shared" si="6"/>
        <v>-0.18181818181818182</v>
      </c>
      <c r="H45" s="534">
        <f t="shared" si="7"/>
        <v>5.4718483801533537</v>
      </c>
      <c r="I45" s="523"/>
      <c r="J45" s="532">
        <f t="shared" si="8"/>
        <v>6.0332844160682928</v>
      </c>
      <c r="K45" s="525">
        <f t="shared" si="9"/>
        <v>1.7424020073037696</v>
      </c>
      <c r="L45" s="534">
        <f t="shared" si="10"/>
        <v>11.305839902280608</v>
      </c>
      <c r="M45" s="527"/>
      <c r="N45" s="532">
        <f t="shared" si="11"/>
        <v>5.1551636098676497</v>
      </c>
      <c r="O45" s="525">
        <f t="shared" si="12"/>
        <v>1.3432561863034773</v>
      </c>
      <c r="P45" s="535">
        <f t="shared" si="13"/>
        <v>10.287646286423589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10.671052449402977</v>
      </c>
      <c r="E46" s="523"/>
      <c r="F46" s="532">
        <f t="shared" si="5"/>
        <v>1.1068179535387797</v>
      </c>
      <c r="G46" s="533">
        <f t="shared" si="6"/>
        <v>-0.26212136430748023</v>
      </c>
      <c r="H46" s="534">
        <f t="shared" si="7"/>
        <v>4.875568571233055</v>
      </c>
      <c r="I46" s="523"/>
      <c r="J46" s="532">
        <f t="shared" si="8"/>
        <v>2.7138197525883125</v>
      </c>
      <c r="K46" s="525">
        <f t="shared" si="9"/>
        <v>0.80921316839220836</v>
      </c>
      <c r="L46" s="534">
        <f t="shared" si="10"/>
        <v>7.9869432849287971</v>
      </c>
      <c r="M46" s="527"/>
      <c r="N46" s="532">
        <f t="shared" si="11"/>
        <v>2.6133790241178665</v>
      </c>
      <c r="O46" s="525">
        <f t="shared" si="12"/>
        <v>0.74225268274524436</v>
      </c>
      <c r="P46" s="535">
        <f t="shared" si="13"/>
        <v>7.8703796057936177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34.22001875786804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32">
        <f t="shared" si="8"/>
        <v>16.100108819007279</v>
      </c>
      <c r="K47" s="525">
        <f t="shared" si="9"/>
        <v>0.56791976229788843</v>
      </c>
      <c r="L47" s="534">
        <f t="shared" si="10"/>
        <v>25.874692223199801</v>
      </c>
      <c r="M47" s="527"/>
      <c r="N47" s="532">
        <f t="shared" si="11"/>
        <v>13.078670366014469</v>
      </c>
      <c r="O47" s="525">
        <f t="shared" si="12"/>
        <v>0.27367497710603989</v>
      </c>
      <c r="P47" s="535">
        <f t="shared" si="13"/>
        <v>22.371213391548949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26.401195702321921</v>
      </c>
      <c r="E48" s="523"/>
      <c r="F48" s="532">
        <f t="shared" si="5"/>
        <v>4.2666709673053305</v>
      </c>
      <c r="G48" s="533">
        <f t="shared" si="6"/>
        <v>6.6667741826332644E-2</v>
      </c>
      <c r="H48" s="534">
        <f t="shared" si="7"/>
        <v>21.850640140886878</v>
      </c>
      <c r="I48" s="523"/>
      <c r="J48" s="532">
        <f t="shared" si="8"/>
        <v>5</v>
      </c>
      <c r="K48" s="525">
        <f t="shared" si="9"/>
        <v>0.25</v>
      </c>
      <c r="L48" s="534">
        <f t="shared" si="10"/>
        <v>24.032152746086098</v>
      </c>
      <c r="M48" s="527"/>
      <c r="N48" s="532">
        <f t="shared" si="11"/>
        <v>5</v>
      </c>
      <c r="O48" s="525">
        <f t="shared" si="12"/>
        <v>0.25</v>
      </c>
      <c r="P48" s="535">
        <f t="shared" si="13"/>
        <v>24.032152746086098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32">
        <f t="shared" si="8"/>
        <v>0.2</v>
      </c>
      <c r="K49" s="525">
        <f t="shared" si="9"/>
        <v>0</v>
      </c>
      <c r="L49" s="534">
        <f t="shared" si="10"/>
        <v>17.969341094351833</v>
      </c>
      <c r="M49" s="527"/>
      <c r="N49" s="532">
        <f t="shared" si="11"/>
        <v>0.2</v>
      </c>
      <c r="O49" s="525">
        <f t="shared" si="12"/>
        <v>0</v>
      </c>
      <c r="P49" s="535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42.182904802091699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32">
        <f t="shared" si="8"/>
        <v>28.089210999999999</v>
      </c>
      <c r="K50" s="525">
        <f t="shared" si="9"/>
        <v>0</v>
      </c>
      <c r="L50" s="534">
        <f t="shared" si="10"/>
        <v>40.395109654958588</v>
      </c>
      <c r="M50" s="527"/>
      <c r="N50" s="532">
        <f t="shared" si="11"/>
        <v>28.089210999999999</v>
      </c>
      <c r="O50" s="525">
        <f t="shared" si="12"/>
        <v>0</v>
      </c>
      <c r="P50" s="535">
        <f t="shared" si="13"/>
        <v>40.395109654958588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0.70236244109018753</v>
      </c>
      <c r="G51" s="533">
        <f>G24</f>
        <v>-0.53175837260654168</v>
      </c>
      <c r="H51" s="534">
        <f>H24/1000000</f>
        <v>5.3818798862388411</v>
      </c>
      <c r="I51" s="523"/>
      <c r="J51" s="532">
        <f>J24/1000000</f>
        <v>2.2000000000000002</v>
      </c>
      <c r="K51" s="525">
        <f>K24</f>
        <v>0.46666666666666667</v>
      </c>
      <c r="L51" s="534">
        <f>L24/1000000</f>
        <v>8.4972532367697085</v>
      </c>
      <c r="M51" s="527"/>
      <c r="N51" s="532">
        <f>N24/1000000</f>
        <v>2.2000000000000002</v>
      </c>
      <c r="O51" s="525">
        <f>O24</f>
        <v>0.46666666666666667</v>
      </c>
      <c r="P51" s="535">
        <f>P24/1000000</f>
        <v>8.4972532367697085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32">
        <f>J25/1000000</f>
        <v>3.2</v>
      </c>
      <c r="K52" s="525">
        <f>K25</f>
        <v>0</v>
      </c>
      <c r="L52" s="534">
        <f>L25/1000000</f>
        <v>5.0638371955307466</v>
      </c>
      <c r="M52" s="527"/>
      <c r="N52" s="532">
        <f>N25/1000000</f>
        <v>3.2</v>
      </c>
      <c r="O52" s="525">
        <f>O25</f>
        <v>0</v>
      </c>
      <c r="P52" s="535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314.81610627130664</v>
      </c>
      <c r="E53" s="510"/>
      <c r="F53" s="511">
        <f t="shared" ref="F53:F54" si="19">F26/1000000</f>
        <v>39.702377000000006</v>
      </c>
      <c r="G53" s="484">
        <f t="shared" ref="G53:G54" si="20">G26</f>
        <v>1.8766081932383616E-16</v>
      </c>
      <c r="H53" s="512">
        <f t="shared" ref="H53:H54" si="21">H26/1000000</f>
        <v>293.4721594254687</v>
      </c>
      <c r="I53" s="510"/>
      <c r="J53" s="511">
        <f t="shared" ref="J53:J54" si="22">J26/1000000</f>
        <v>58.513576006407142</v>
      </c>
      <c r="K53" s="484">
        <f t="shared" ref="K53:K54" si="23">K26</f>
        <v>0.51929740324313545</v>
      </c>
      <c r="L53" s="512">
        <f t="shared" ref="L53:L54" si="24">L26/1000000</f>
        <v>364.51913350687585</v>
      </c>
      <c r="M53" s="483"/>
      <c r="N53" s="511">
        <f t="shared" ref="N53:N54" si="25">N26/1000000</f>
        <v>62.513576</v>
      </c>
      <c r="O53" s="484">
        <f t="shared" ref="O53:O54" si="26">O26</f>
        <v>0.62315688369212974</v>
      </c>
      <c r="P53" s="512">
        <f t="shared" ref="P53:P54" si="27">P26/1000000</f>
        <v>373.91177314973584</v>
      </c>
      <c r="Q53" s="513"/>
      <c r="R53" s="511">
        <f t="shared" ref="R53:R54" si="28">R26/1000000</f>
        <v>55.583327800000006</v>
      </c>
      <c r="S53" s="484">
        <f t="shared" ref="S53:S54" si="29">S26</f>
        <v>0.40000000000000013</v>
      </c>
      <c r="T53" s="512">
        <f t="shared" ref="T53:T54" si="30">T26/1000000</f>
        <v>360.13986066345348</v>
      </c>
      <c r="U53" s="180">
        <f>L53-D53</f>
        <v>49.703027235569209</v>
      </c>
      <c r="V53" s="180">
        <f>P53-D53</f>
        <v>59.095666878429199</v>
      </c>
      <c r="W53" s="180">
        <f>T53-D53</f>
        <v>45.323754392146839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270.1251103704347</v>
      </c>
      <c r="E54" s="510"/>
      <c r="F54" s="511">
        <f t="shared" si="19"/>
        <v>68.905663000000004</v>
      </c>
      <c r="G54" s="484">
        <f t="shared" si="20"/>
        <v>0</v>
      </c>
      <c r="H54" s="512">
        <f t="shared" si="21"/>
        <v>222.41231809155829</v>
      </c>
      <c r="I54" s="510"/>
      <c r="J54" s="511">
        <f t="shared" si="22"/>
        <v>86.486423987663883</v>
      </c>
      <c r="K54" s="484">
        <f t="shared" si="23"/>
        <v>0.2551424690255702</v>
      </c>
      <c r="L54" s="512">
        <f t="shared" si="24"/>
        <v>249.93197006008273</v>
      </c>
      <c r="M54" s="483"/>
      <c r="N54" s="511">
        <f t="shared" si="25"/>
        <v>82.486423999999985</v>
      </c>
      <c r="O54" s="484">
        <f t="shared" si="26"/>
        <v>0.19709208806248601</v>
      </c>
      <c r="P54" s="512">
        <f t="shared" si="27"/>
        <v>245.29373393343968</v>
      </c>
      <c r="Q54" s="513"/>
      <c r="R54" s="511">
        <f t="shared" si="28"/>
        <v>73.024712199999996</v>
      </c>
      <c r="S54" s="484">
        <f t="shared" si="29"/>
        <v>5.9778094000779047E-2</v>
      </c>
      <c r="T54" s="512">
        <f t="shared" si="30"/>
        <v>232.42342659668708</v>
      </c>
      <c r="U54" s="180">
        <f>L54-D54</f>
        <v>-20.193140310351964</v>
      </c>
      <c r="V54" s="180">
        <f>P54-D54</f>
        <v>-24.831376436995015</v>
      </c>
      <c r="W54" s="180">
        <f>T54-D54</f>
        <v>-37.701683773747618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584.94121664174145</v>
      </c>
      <c r="E55" s="510"/>
      <c r="F55" s="515">
        <f>F28/1000000</f>
        <v>108.60804</v>
      </c>
      <c r="G55" s="516">
        <f>G28</f>
        <v>1.106692815055225E-2</v>
      </c>
      <c r="H55" s="512">
        <f>H28/1000000</f>
        <v>515.88447751702699</v>
      </c>
      <c r="I55" s="510"/>
      <c r="J55" s="515">
        <f>J28/1000000</f>
        <v>144.999999994071</v>
      </c>
      <c r="K55" s="516">
        <f>K28</f>
        <v>0.34985130544511683</v>
      </c>
      <c r="L55" s="512">
        <f>L28/1000000</f>
        <v>614.45110356695864</v>
      </c>
      <c r="M55" s="483"/>
      <c r="N55" s="515">
        <f>N28/1000000</f>
        <v>145</v>
      </c>
      <c r="O55" s="516">
        <f>O28</f>
        <v>0.34985130550031174</v>
      </c>
      <c r="P55" s="512">
        <f>P28/1000000</f>
        <v>619.20550708317546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-25.241425387939955</v>
      </c>
      <c r="V55" s="500">
        <f>V54*1.25</f>
        <v>-31.039220546243769</v>
      </c>
      <c r="W55" s="500">
        <f>W54*1.25</f>
        <v>-47.127104717184523</v>
      </c>
    </row>
    <row r="56" spans="1:23" ht="25.5" x14ac:dyDescent="0.25">
      <c r="A56" s="482"/>
      <c r="B56" s="507" t="s">
        <v>356</v>
      </c>
      <c r="C56" s="511" t="str">
        <f>_xlfn.CONCAT("ROI"," ", ,C61)</f>
        <v>ROI 5.45</v>
      </c>
      <c r="D56" s="517"/>
      <c r="E56" s="510"/>
      <c r="F56" s="511" t="str">
        <f>_xlfn.CONCAT("ROI"," ", ,F61)</f>
        <v>ROI 4.75</v>
      </c>
      <c r="G56" s="516"/>
      <c r="H56" s="518" t="s">
        <v>429</v>
      </c>
      <c r="I56" s="510"/>
      <c r="J56" s="511" t="str">
        <f>_xlfn.CONCAT("ROI"," ", ,J61)</f>
        <v>ROI 4.24</v>
      </c>
      <c r="K56" s="516"/>
      <c r="L56" s="518" t="s">
        <v>436</v>
      </c>
      <c r="M56" s="483"/>
      <c r="N56" s="511" t="str">
        <f>_xlfn.CONCAT("ROI"," ", ,N61)</f>
        <v>ROI 4.27</v>
      </c>
      <c r="O56" s="516"/>
      <c r="P56" s="518" t="s">
        <v>443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8.17</v>
      </c>
      <c r="D57" s="517"/>
      <c r="E57" s="510"/>
      <c r="F57" s="511" t="str">
        <f>_xlfn.CONCAT("ROI"," ", ,F63)</f>
        <v>ROI 7.39</v>
      </c>
      <c r="G57" s="516"/>
      <c r="H57" s="518" t="s">
        <v>430</v>
      </c>
      <c r="I57" s="510"/>
      <c r="J57" s="511" t="str">
        <f>_xlfn.CONCAT("ROI"," ", ,J63)</f>
        <v>ROI 6.23</v>
      </c>
      <c r="K57" s="516"/>
      <c r="L57" s="518" t="s">
        <v>433</v>
      </c>
      <c r="M57" s="483"/>
      <c r="N57" s="511" t="str">
        <f>_xlfn.CONCAT("ROI"," ", ,N63)</f>
        <v>ROI 5.98</v>
      </c>
      <c r="O57" s="516"/>
      <c r="P57" s="518" t="s">
        <v>434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3.92</v>
      </c>
      <c r="D58" s="517"/>
      <c r="E58" s="510"/>
      <c r="F58" s="511" t="str">
        <f>_xlfn.CONCAT("ROI"," ", ,F65)</f>
        <v>ROI 3.23</v>
      </c>
      <c r="G58" s="516"/>
      <c r="H58" s="518" t="s">
        <v>431</v>
      </c>
      <c r="I58" s="510"/>
      <c r="J58" s="511" t="str">
        <f>_xlfn.CONCAT("ROI"," ", ,J65)</f>
        <v>ROI 2.89</v>
      </c>
      <c r="K58" s="516"/>
      <c r="L58" s="518" t="s">
        <v>437</v>
      </c>
      <c r="M58" s="483"/>
      <c r="N58" s="511" t="str">
        <f>_xlfn.CONCAT("ROI"," ", ,N65)</f>
        <v>ROI 2.97</v>
      </c>
      <c r="O58" s="516"/>
      <c r="P58" s="518" t="s">
        <v>442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23" ht="38.25" x14ac:dyDescent="0.25">
      <c r="A59" s="482">
        <v>1.25</v>
      </c>
      <c r="B59" s="507" t="s">
        <v>359</v>
      </c>
      <c r="C59" s="511" t="str">
        <f>_xlfn.CONCAT("ROI"," ", ,C67)</f>
        <v>ROI 4.9</v>
      </c>
      <c r="D59" s="517"/>
      <c r="E59" s="510"/>
      <c r="F59" s="511" t="str">
        <f>_xlfn.CONCAT("ROI"," ", ,F67)</f>
        <v>ROI 4.03</v>
      </c>
      <c r="G59" s="516"/>
      <c r="H59" s="518" t="s">
        <v>430</v>
      </c>
      <c r="I59" s="510"/>
      <c r="J59" s="511" t="str">
        <f>_xlfn.CONCAT("ROI"," ", ,J67)</f>
        <v>ROI 3.61</v>
      </c>
      <c r="K59" s="516"/>
      <c r="L59" s="518" t="s">
        <v>438</v>
      </c>
      <c r="M59" s="483"/>
      <c r="N59" s="511" t="str">
        <f>_xlfn.CONCAT("ROI"," ", ,N67)</f>
        <v>ROI 3.72</v>
      </c>
      <c r="O59" s="516"/>
      <c r="P59" s="518" t="s">
        <v>441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23" ht="38.25" x14ac:dyDescent="0.25">
      <c r="A60" s="482">
        <v>0.8</v>
      </c>
      <c r="B60" s="507" t="s">
        <v>358</v>
      </c>
      <c r="C60" s="511" t="str">
        <f>_xlfn.CONCAT("ROI"," ", ,C69)</f>
        <v>ROI 3.14</v>
      </c>
      <c r="D60" s="517"/>
      <c r="E60" s="510"/>
      <c r="F60" s="511" t="str">
        <f>_xlfn.CONCAT("ROI"," ", ,F69)</f>
        <v>ROI 2.58</v>
      </c>
      <c r="G60" s="516"/>
      <c r="H60" s="518" t="s">
        <v>432</v>
      </c>
      <c r="I60" s="510"/>
      <c r="J60" s="511" t="str">
        <f>_xlfn.CONCAT("ROI"," ", ,J69)</f>
        <v>ROI 2.31</v>
      </c>
      <c r="K60" s="516"/>
      <c r="L60" s="518" t="s">
        <v>439</v>
      </c>
      <c r="M60" s="483"/>
      <c r="N60" s="511" t="str">
        <f>_xlfn.CONCAT("ROI"," ", ,N69)</f>
        <v>ROI 2.38</v>
      </c>
      <c r="O60" s="516"/>
      <c r="P60" s="518" t="s">
        <v>440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23" x14ac:dyDescent="0.25">
      <c r="C61" s="97">
        <f>ROUND(D55/C55,2)</f>
        <v>5.45</v>
      </c>
      <c r="F61" s="97">
        <f>ROUND(H55/F55,2)</f>
        <v>4.75</v>
      </c>
      <c r="H61" s="216">
        <f>(H55-$D$55)</f>
        <v>-69.056739124714454</v>
      </c>
      <c r="J61" s="97">
        <f>ROUND(L55/J55,2)</f>
        <v>4.24</v>
      </c>
      <c r="L61" s="216">
        <f>(L55-$D$55)</f>
        <v>29.509886925217188</v>
      </c>
      <c r="N61" s="97">
        <f>ROUND(P55/N55,2)</f>
        <v>4.2699999999999996</v>
      </c>
      <c r="P61" s="216">
        <f>(P55-$D$55)</f>
        <v>34.264290441434014</v>
      </c>
      <c r="Q61" s="506"/>
      <c r="R61" s="97">
        <f>ROUND(T55/R55,2)</f>
        <v>4.6100000000000003</v>
      </c>
      <c r="T61" s="216">
        <f>(T55-$D$55)</f>
        <v>7.6220706183993343</v>
      </c>
    </row>
    <row r="62" spans="1:23" x14ac:dyDescent="0.25">
      <c r="H62" s="280">
        <f>H61/$D$55</f>
        <v>-0.11805757084649002</v>
      </c>
      <c r="J62" s="248"/>
      <c r="K62" s="248"/>
      <c r="L62" s="329">
        <f>L61/$D$55</f>
        <v>5.044932052256302E-2</v>
      </c>
      <c r="M62" s="248"/>
      <c r="N62" s="248"/>
      <c r="O62" s="248"/>
      <c r="P62" s="329">
        <f>P61/$D$55</f>
        <v>5.8577322757578633E-2</v>
      </c>
      <c r="Q62" s="329"/>
      <c r="R62" s="248"/>
      <c r="S62" s="248"/>
      <c r="T62" s="329">
        <f>T61/$D$55</f>
        <v>1.3030489904881534E-2</v>
      </c>
    </row>
    <row r="63" spans="1:23" x14ac:dyDescent="0.25">
      <c r="C63" s="97">
        <f>ROUND(D53/C53,2)</f>
        <v>8.17</v>
      </c>
      <c r="F63" s="97">
        <f>ROUND(H53/F53,2)</f>
        <v>7.39</v>
      </c>
      <c r="H63" s="216">
        <f>H53-$D$53</f>
        <v>-21.343946845837934</v>
      </c>
      <c r="J63" s="97">
        <f>ROUND(L53/J53,2)</f>
        <v>6.23</v>
      </c>
      <c r="L63" s="216">
        <f>L53-$D$53</f>
        <v>49.703027235569209</v>
      </c>
      <c r="N63" s="97">
        <f>ROUND(P53/N53,2)</f>
        <v>5.98</v>
      </c>
      <c r="P63" s="216">
        <f>P53-$D$53</f>
        <v>59.095666878429199</v>
      </c>
      <c r="R63" s="97">
        <f>ROUND(T53/R53,2)</f>
        <v>6.48</v>
      </c>
      <c r="T63" s="216">
        <f>T53-$D$53</f>
        <v>45.323754392146839</v>
      </c>
    </row>
    <row r="64" spans="1:23" x14ac:dyDescent="0.25">
      <c r="H64" s="280">
        <f>H63/$D$53</f>
        <v>-6.7798141266139186E-2</v>
      </c>
      <c r="L64" s="329">
        <f>L63/$D$53</f>
        <v>0.15787955649491273</v>
      </c>
      <c r="M64" s="248"/>
      <c r="P64" s="329">
        <f>P63/$D$53</f>
        <v>0.18771487767370107</v>
      </c>
      <c r="T64" s="329">
        <f>T63/$D$53</f>
        <v>0.14396898217490531</v>
      </c>
    </row>
    <row r="65" spans="3:20" x14ac:dyDescent="0.25">
      <c r="C65" s="97">
        <f>ROUND(D54/C54,2)</f>
        <v>3.92</v>
      </c>
      <c r="F65" s="97">
        <f>ROUND(H54/F54,2)</f>
        <v>3.23</v>
      </c>
      <c r="H65" s="216">
        <f>H54-$D$54</f>
        <v>-47.712792278876407</v>
      </c>
      <c r="J65" s="97">
        <f>ROUND(L54/J54,2)</f>
        <v>2.89</v>
      </c>
      <c r="L65" s="216">
        <f>L54-$D$54</f>
        <v>-20.193140310351964</v>
      </c>
      <c r="N65" s="97">
        <f>ROUND(P54/N54,2)</f>
        <v>2.97</v>
      </c>
      <c r="P65" s="216">
        <f>P54-$D$54</f>
        <v>-24.831376436995015</v>
      </c>
      <c r="R65" s="97">
        <f>ROUND(T54/R54,2)</f>
        <v>3.18</v>
      </c>
      <c r="T65" s="216">
        <f>T54-$D$54</f>
        <v>-37.701683773747618</v>
      </c>
    </row>
    <row r="66" spans="3:20" x14ac:dyDescent="0.25">
      <c r="H66" s="280">
        <f>H65/$D$54</f>
        <v>-0.17663219910746436</v>
      </c>
      <c r="L66" s="329">
        <f>L65/$D$54</f>
        <v>-7.4754769309155311E-2</v>
      </c>
      <c r="M66" s="248"/>
      <c r="P66" s="329">
        <f>P65/$D$54</f>
        <v>-9.1925465214776347E-2</v>
      </c>
      <c r="T66" s="329">
        <f>T65/$D$54</f>
        <v>-0.13957119248205249</v>
      </c>
    </row>
    <row r="67" spans="3:20" x14ac:dyDescent="0.25">
      <c r="C67" s="97">
        <f>ROUND(D54*1.25/C54,2)</f>
        <v>4.9000000000000004</v>
      </c>
      <c r="F67" s="97">
        <f>ROUND(H54*1.25/F54,2)</f>
        <v>4.03</v>
      </c>
      <c r="H67" s="216">
        <f>H65*1.25</f>
        <v>-59.640990348595508</v>
      </c>
      <c r="J67" s="97">
        <f>ROUND(L54*1.25/J54,2)</f>
        <v>3.61</v>
      </c>
      <c r="L67" s="216">
        <f>L65*1.25</f>
        <v>-25.241425387939955</v>
      </c>
      <c r="N67" s="97">
        <f>ROUND(P54*1.25/N54,2)</f>
        <v>3.72</v>
      </c>
      <c r="P67" s="216">
        <f>P65*1.25</f>
        <v>-31.039220546243769</v>
      </c>
      <c r="R67" s="97">
        <f>ROUND(T54*1.25/R54,2)</f>
        <v>3.98</v>
      </c>
      <c r="T67" s="216">
        <f>T65*1.25</f>
        <v>-47.127104717184523</v>
      </c>
    </row>
    <row r="68" spans="3:20" x14ac:dyDescent="0.25">
      <c r="H68" s="280">
        <f>H67/($D$54*1.25)</f>
        <v>-0.17663219910746436</v>
      </c>
      <c r="L68" s="329">
        <f>L67/($D$54*1.25)</f>
        <v>-7.4754769309155325E-2</v>
      </c>
      <c r="M68" s="248"/>
      <c r="P68" s="329">
        <f>P67/($D$54*1.25)</f>
        <v>-9.1925465214776347E-2</v>
      </c>
      <c r="T68" s="329">
        <f>T67/($D$54*1.25)</f>
        <v>-0.13957119248205252</v>
      </c>
    </row>
    <row r="69" spans="3:20" x14ac:dyDescent="0.25">
      <c r="C69" s="97">
        <f>ROUND(D54*0.8/C54,2)</f>
        <v>3.14</v>
      </c>
      <c r="F69" s="97">
        <f>ROUND(H54*0.8/F54,2)</f>
        <v>2.58</v>
      </c>
      <c r="H69" s="216">
        <f>H65*0.8</f>
        <v>-38.170233823101128</v>
      </c>
      <c r="J69" s="97">
        <f>ROUND(L54*0.8/J54,2)</f>
        <v>2.31</v>
      </c>
      <c r="L69" s="216">
        <f>L65*0.8</f>
        <v>-16.154512248281574</v>
      </c>
      <c r="N69" s="97">
        <f>ROUND(P54*0.8/N54,2)</f>
        <v>2.38</v>
      </c>
      <c r="P69" s="216">
        <f>P65*0.8</f>
        <v>-19.865101149596015</v>
      </c>
      <c r="R69" s="97">
        <f>ROUND(T54*0.8/R54,2)</f>
        <v>2.5499999999999998</v>
      </c>
      <c r="T69" s="216">
        <f>T65*0.8</f>
        <v>-30.161347018998097</v>
      </c>
    </row>
    <row r="70" spans="3:20" x14ac:dyDescent="0.25">
      <c r="H70" s="280">
        <f>H69/($D$54*0.8)</f>
        <v>-0.17663219910746436</v>
      </c>
      <c r="L70" s="329">
        <f>L69/($D$54*0.8)</f>
        <v>-7.4754769309155325E-2</v>
      </c>
      <c r="M70" s="248"/>
      <c r="P70" s="329">
        <f>P69/($D$54*0.8)</f>
        <v>-9.1925465214776347E-2</v>
      </c>
      <c r="T70" s="329">
        <f>T69/($D$54*0.8)</f>
        <v>-0.13957119248205252</v>
      </c>
    </row>
    <row r="81" ht="27.6" customHeight="1" x14ac:dyDescent="0.25"/>
  </sheetData>
  <mergeCells count="11">
    <mergeCell ref="F31:T31"/>
    <mergeCell ref="F4:P4"/>
    <mergeCell ref="F5:H5"/>
    <mergeCell ref="J5:L5"/>
    <mergeCell ref="N5:P5"/>
    <mergeCell ref="R5:T5"/>
    <mergeCell ref="C32:D32"/>
    <mergeCell ref="F32:H32"/>
    <mergeCell ref="J32:L32"/>
    <mergeCell ref="N32:P32"/>
    <mergeCell ref="R32:T32"/>
  </mergeCells>
  <conditionalFormatting sqref="G34:G52">
    <cfRule type="cellIs" dxfId="31" priority="15" operator="lessThan">
      <formula>0</formula>
    </cfRule>
    <cfRule type="cellIs" dxfId="30" priority="16" operator="greaterThan">
      <formula>0</formula>
    </cfRule>
  </conditionalFormatting>
  <conditionalFormatting sqref="O34:O52">
    <cfRule type="cellIs" dxfId="29" priority="13" operator="lessThan">
      <formula>0</formula>
    </cfRule>
    <cfRule type="cellIs" dxfId="28" priority="14" operator="greaterThan">
      <formula>0</formula>
    </cfRule>
  </conditionalFormatting>
  <conditionalFormatting sqref="K34:K52">
    <cfRule type="cellIs" dxfId="27" priority="11" operator="lessThan">
      <formula>0</formula>
    </cfRule>
    <cfRule type="cellIs" dxfId="26" priority="12" operator="greaterThan">
      <formula>0</formula>
    </cfRule>
  </conditionalFormatting>
  <conditionalFormatting sqref="G53:G54">
    <cfRule type="cellIs" dxfId="25" priority="9" operator="lessThan">
      <formula>0</formula>
    </cfRule>
    <cfRule type="cellIs" dxfId="24" priority="10" operator="greaterThan">
      <formula>0</formula>
    </cfRule>
  </conditionalFormatting>
  <conditionalFormatting sqref="K53:K54">
    <cfRule type="cellIs" dxfId="23" priority="7" operator="lessThan">
      <formula>0</formula>
    </cfRule>
    <cfRule type="cellIs" dxfId="22" priority="8" operator="greaterThan">
      <formula>0</formula>
    </cfRule>
  </conditionalFormatting>
  <conditionalFormatting sqref="O53:O54">
    <cfRule type="cellIs" dxfId="21" priority="5" operator="lessThan">
      <formula>0</formula>
    </cfRule>
    <cfRule type="cellIs" dxfId="20" priority="6" operator="greaterThan">
      <formula>0</formula>
    </cfRule>
  </conditionalFormatting>
  <conditionalFormatting sqref="S34:S52">
    <cfRule type="cellIs" dxfId="19" priority="3" operator="lessThan">
      <formula>0</formula>
    </cfRule>
    <cfRule type="cellIs" dxfId="18" priority="4" operator="greaterThan">
      <formula>0</formula>
    </cfRule>
  </conditionalFormatting>
  <conditionalFormatting sqref="S53:S54">
    <cfRule type="cellIs" dxfId="17" priority="1" operator="lessThan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AF120-60B4-4DC0-9D11-6E772350D316}">
  <sheetPr>
    <pageSetUpPr autoPageBreaks="0"/>
  </sheetPr>
  <dimension ref="A3:AB81"/>
  <sheetViews>
    <sheetView showGridLines="0" topLeftCell="B28" zoomScale="75" zoomScaleNormal="75" workbookViewId="0">
      <selection activeCell="W28" sqref="W28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hidden="1" customWidth="1"/>
    <col min="6" max="6" width="13.85546875" style="97" hidden="1" customWidth="1"/>
    <col min="7" max="7" width="14.28515625" style="97" hidden="1" customWidth="1"/>
    <col min="8" max="8" width="14.7109375" style="97" hidden="1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8" width="13.42578125" style="97" hidden="1" customWidth="1"/>
    <col min="19" max="19" width="13.28515625" style="97" hidden="1" customWidth="1"/>
    <col min="20" max="20" width="13.85546875" style="97" hidden="1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145704065.48447829</v>
      </c>
    </row>
    <row r="4" spans="1:28" x14ac:dyDescent="0.25">
      <c r="F4" s="622" t="s">
        <v>350</v>
      </c>
      <c r="G4" s="622"/>
      <c r="H4" s="622"/>
      <c r="I4" s="622"/>
      <c r="J4" s="622"/>
      <c r="K4" s="622"/>
      <c r="L4" s="622"/>
      <c r="M4" s="622"/>
      <c r="N4" s="622"/>
      <c r="O4" s="622"/>
      <c r="P4" s="622"/>
      <c r="Q4" s="550"/>
      <c r="R4" s="550"/>
      <c r="S4" s="550"/>
      <c r="T4" s="550"/>
    </row>
    <row r="5" spans="1:28" ht="45" customHeight="1" x14ac:dyDescent="0.25">
      <c r="F5" s="634" t="s">
        <v>395</v>
      </c>
      <c r="G5" s="635"/>
      <c r="H5" s="636"/>
      <c r="I5" s="181"/>
      <c r="J5" s="634" t="s">
        <v>451</v>
      </c>
      <c r="K5" s="635"/>
      <c r="L5" s="636"/>
      <c r="N5" s="634" t="s">
        <v>452</v>
      </c>
      <c r="O5" s="635"/>
      <c r="P5" s="636"/>
      <c r="Q5" s="503"/>
      <c r="R5" s="634" t="s">
        <v>352</v>
      </c>
      <c r="S5" s="635"/>
      <c r="T5" s="636"/>
      <c r="V5" s="97" t="s">
        <v>249</v>
      </c>
    </row>
    <row r="6" spans="1:28" ht="30.75" customHeight="1" x14ac:dyDescent="0.25">
      <c r="B6" s="383" t="s">
        <v>212</v>
      </c>
      <c r="C6" s="385" t="s">
        <v>213</v>
      </c>
      <c r="D6" s="384" t="s">
        <v>214</v>
      </c>
      <c r="E6" s="386"/>
      <c r="F6" s="387" t="s">
        <v>222</v>
      </c>
      <c r="G6" s="386" t="s">
        <v>215</v>
      </c>
      <c r="H6" s="384" t="s">
        <v>216</v>
      </c>
      <c r="I6" s="386"/>
      <c r="J6" s="387" t="s">
        <v>222</v>
      </c>
      <c r="K6" s="386" t="s">
        <v>215</v>
      </c>
      <c r="L6" s="384" t="s">
        <v>216</v>
      </c>
      <c r="M6" s="388"/>
      <c r="N6" s="387" t="s">
        <v>222</v>
      </c>
      <c r="O6" s="386" t="s">
        <v>215</v>
      </c>
      <c r="P6" s="384" t="s">
        <v>216</v>
      </c>
      <c r="Q6" s="504"/>
      <c r="R6" s="387" t="s">
        <v>222</v>
      </c>
      <c r="S6" s="386" t="s">
        <v>215</v>
      </c>
      <c r="T6" s="384" t="s">
        <v>216</v>
      </c>
      <c r="V6" s="183" t="s">
        <v>222</v>
      </c>
      <c r="W6" s="183" t="s">
        <v>215</v>
      </c>
      <c r="X6" s="183" t="s">
        <v>216</v>
      </c>
      <c r="Z6" s="497" t="s">
        <v>343</v>
      </c>
      <c r="AA6" s="496" t="s">
        <v>344</v>
      </c>
      <c r="AB6" s="496" t="s">
        <v>345</v>
      </c>
    </row>
    <row r="7" spans="1:28" x14ac:dyDescent="0.25">
      <c r="A7" s="376" t="str">
        <f>VAC_Optim_Scenario!A51</f>
        <v>Gardasil Adolescents</v>
      </c>
      <c r="B7" s="376" t="str">
        <f>VAC_Optim_Scenario!B21</f>
        <v>HCC In Office</v>
      </c>
      <c r="C7" s="380">
        <f>VAC_Optim_Scenario!E21</f>
        <v>1000000</v>
      </c>
      <c r="D7" s="372">
        <f>VAC_Optim_Scenario!G51</f>
        <v>3608306.5090601984</v>
      </c>
      <c r="E7" s="365"/>
      <c r="F7" s="379">
        <v>1312066.2114589978</v>
      </c>
      <c r="G7" s="366">
        <v>0.31206621145899782</v>
      </c>
      <c r="H7" s="368">
        <v>4465700.4117103117</v>
      </c>
      <c r="I7" s="365"/>
      <c r="J7" s="380">
        <v>1622929.8707509181</v>
      </c>
      <c r="K7" s="370">
        <v>0.6229298707509181</v>
      </c>
      <c r="L7" s="372">
        <v>5218165.5382890077</v>
      </c>
      <c r="M7" s="367"/>
      <c r="N7" s="380">
        <v>1486235.6790270803</v>
      </c>
      <c r="O7" s="370">
        <v>0.48623567902708031</v>
      </c>
      <c r="P7" s="372">
        <v>4898979.1498100674</v>
      </c>
      <c r="Q7" s="369"/>
      <c r="R7" s="380">
        <v>1477446.4670283725</v>
      </c>
      <c r="S7" s="370">
        <v>0.47744646702837246</v>
      </c>
      <c r="T7" s="372">
        <v>6815212.4286170546</v>
      </c>
      <c r="U7" s="180"/>
      <c r="V7" s="185">
        <f>VAC_Optim_Scenario!$H51</f>
        <v>1486235.6790270803</v>
      </c>
      <c r="W7" s="177">
        <f>(V7-$C7)/$C7</f>
        <v>0.48623567902708031</v>
      </c>
      <c r="X7" s="185">
        <f>VAC_Optim_Scenario!$J51</f>
        <v>4898979.1498100674</v>
      </c>
      <c r="Y7" s="185">
        <f>J7-V7</f>
        <v>136694.19172383775</v>
      </c>
      <c r="Z7" s="490">
        <f>$F7-'[1]Scenario deep dive'!$F7</f>
        <v>312066.2114589978</v>
      </c>
      <c r="AA7" s="493">
        <f>$J7-'[1]Scenario deep dive'!$J7</f>
        <v>450015.54484101548</v>
      </c>
      <c r="AB7" s="493">
        <f>$N7-'[1]Scenario deep dive'!$N7</f>
        <v>-168353.0333017162</v>
      </c>
    </row>
    <row r="8" spans="1:28" x14ac:dyDescent="0.25">
      <c r="A8" s="377" t="str">
        <f>VAC_Optim_Scenario!A52</f>
        <v>Gardasil Adolescents</v>
      </c>
      <c r="B8" s="377" t="str">
        <f>VAC_Optim_Scenario!B22</f>
        <v>HCP MCM</v>
      </c>
      <c r="C8" s="380">
        <f>VAC_Optim_Scenario!E22</f>
        <v>7775778</v>
      </c>
      <c r="D8" s="372">
        <f>VAC_Optim_Scenario!G52</f>
        <v>80687519.073682621</v>
      </c>
      <c r="E8" s="369"/>
      <c r="F8" s="380">
        <v>11179757.92883369</v>
      </c>
      <c r="G8" s="370">
        <v>0.4377671184585889</v>
      </c>
      <c r="H8" s="372">
        <v>92434455.601042956</v>
      </c>
      <c r="I8" s="369"/>
      <c r="J8" s="380">
        <v>13277821.722100426</v>
      </c>
      <c r="K8" s="370">
        <v>0.7075875522809969</v>
      </c>
      <c r="L8" s="372">
        <v>103014046.81703715</v>
      </c>
      <c r="M8" s="371"/>
      <c r="N8" s="380">
        <v>14043651.326912649</v>
      </c>
      <c r="O8" s="370">
        <v>0.80607668157612644</v>
      </c>
      <c r="P8" s="372">
        <v>104956912.90580291</v>
      </c>
      <c r="Q8" s="369"/>
      <c r="R8" s="380">
        <v>11653434.194842588</v>
      </c>
      <c r="S8" s="370">
        <v>0.49868401526414313</v>
      </c>
      <c r="T8" s="372">
        <v>97889996.867404997</v>
      </c>
      <c r="U8" s="180"/>
      <c r="V8" s="185">
        <f>VAC_Optim_Scenario!$H52</f>
        <v>14043651.326912649</v>
      </c>
      <c r="W8" s="177">
        <f t="shared" ref="W8:W22" si="0">(V8-$C8)/$C8</f>
        <v>0.80607668157612644</v>
      </c>
      <c r="X8" s="185">
        <f>VAC_Optim_Scenario!$J52</f>
        <v>104956912.90580291</v>
      </c>
      <c r="Y8" s="185">
        <f t="shared" ref="Y8:Y25" si="1">J8-V8</f>
        <v>-765829.60481222346</v>
      </c>
      <c r="Z8" s="491">
        <f>$F8-'[1]Scenario deep dive'!$F8</f>
        <v>3176095.2549515478</v>
      </c>
      <c r="AA8" s="494">
        <f>$J8-'[1]Scenario deep dive'!$J8</f>
        <v>2496741.9216978811</v>
      </c>
      <c r="AB8" s="494">
        <f>$N8-'[1]Scenario deep dive'!$N8</f>
        <v>2043651.326912649</v>
      </c>
    </row>
    <row r="9" spans="1:28" x14ac:dyDescent="0.25">
      <c r="A9" s="377" t="str">
        <f>VAC_Optim_Scenario!A53</f>
        <v>Gardasil Adolescents</v>
      </c>
      <c r="B9" s="377" t="str">
        <f>VAC_Optim_Scenario!B23</f>
        <v>HCC Social</v>
      </c>
      <c r="C9" s="380">
        <f>VAC_Optim_Scenario!E23</f>
        <v>1840000</v>
      </c>
      <c r="D9" s="372">
        <f>VAC_Optim_Scenario!G53</f>
        <v>20811821.049948756</v>
      </c>
      <c r="E9" s="369"/>
      <c r="F9" s="380">
        <v>4593290.9936571522</v>
      </c>
      <c r="G9" s="370">
        <v>1.4963538009006261</v>
      </c>
      <c r="H9" s="372">
        <v>27573258.646637142</v>
      </c>
      <c r="I9" s="369"/>
      <c r="J9" s="380">
        <v>6312429.2228504503</v>
      </c>
      <c r="K9" s="370">
        <v>2.4306680558969838</v>
      </c>
      <c r="L9" s="372">
        <v>43605101.544063814</v>
      </c>
      <c r="M9" s="371"/>
      <c r="N9" s="380">
        <v>6500000</v>
      </c>
      <c r="O9" s="370">
        <v>2.5326086956521738</v>
      </c>
      <c r="P9" s="372">
        <v>44377967.027515724</v>
      </c>
      <c r="Q9" s="369"/>
      <c r="R9" s="380">
        <v>5433719.4069541646</v>
      </c>
      <c r="S9" s="370">
        <v>1.9531083733446546</v>
      </c>
      <c r="T9" s="372">
        <v>30498048.005856685</v>
      </c>
      <c r="U9" s="180"/>
      <c r="V9" s="185">
        <f>VAC_Optim_Scenario!$H53</f>
        <v>6500000</v>
      </c>
      <c r="W9" s="177">
        <f t="shared" si="0"/>
        <v>2.5326086956521738</v>
      </c>
      <c r="X9" s="185">
        <f>VAC_Optim_Scenario!$J53</f>
        <v>44377967.027515724</v>
      </c>
      <c r="Y9" s="185">
        <f t="shared" si="1"/>
        <v>-187570.77714954969</v>
      </c>
      <c r="Z9" s="491">
        <f>$F9-'[1]Scenario deep dive'!$F9</f>
        <v>2993790.9936571522</v>
      </c>
      <c r="AA9" s="494">
        <f>$J9-'[1]Scenario deep dive'!$J9</f>
        <v>2324511.1256239261</v>
      </c>
      <c r="AB9" s="494">
        <f>$N9-'[1]Scenario deep dive'!$N9</f>
        <v>0</v>
      </c>
    </row>
    <row r="10" spans="1:28" x14ac:dyDescent="0.25">
      <c r="A10" s="377" t="str">
        <f>VAC_Optim_Scenario!A54</f>
        <v>Gardasil Adolescents</v>
      </c>
      <c r="B10" s="377" t="str">
        <f>VAC_Optim_Scenario!B24</f>
        <v>HCC Online Video</v>
      </c>
      <c r="C10" s="380">
        <f>VAC_Optim_Scenario!E24</f>
        <v>1220000</v>
      </c>
      <c r="D10" s="372">
        <f>VAC_Optim_Scenario!G54</f>
        <v>5729843.8063793583</v>
      </c>
      <c r="E10" s="369"/>
      <c r="F10" s="380">
        <v>1000000</v>
      </c>
      <c r="G10" s="370">
        <v>-0.18032786885245902</v>
      </c>
      <c r="H10" s="372">
        <v>3357832.8692201264</v>
      </c>
      <c r="I10" s="369"/>
      <c r="J10" s="380">
        <v>1000000</v>
      </c>
      <c r="K10" s="370">
        <v>-0.18032786885245902</v>
      </c>
      <c r="L10" s="372">
        <v>5668483.3276297525</v>
      </c>
      <c r="M10" s="371"/>
      <c r="N10" s="380">
        <v>1000000</v>
      </c>
      <c r="O10" s="370">
        <v>-0.18032786885245902</v>
      </c>
      <c r="P10" s="372">
        <v>5668483.3276297525</v>
      </c>
      <c r="Q10" s="369"/>
      <c r="R10" s="380">
        <v>1000000</v>
      </c>
      <c r="S10" s="370">
        <v>-0.18032786885245902</v>
      </c>
      <c r="T10" s="372">
        <v>3357832.8692201264</v>
      </c>
      <c r="U10" s="180"/>
      <c r="V10" s="185">
        <f>VAC_Optim_Scenario!$H54</f>
        <v>1000000</v>
      </c>
      <c r="W10" s="177">
        <f t="shared" si="0"/>
        <v>-0.18032786885245902</v>
      </c>
      <c r="X10" s="185">
        <f>VAC_Optim_Scenario!$J54</f>
        <v>5668483.3276297525</v>
      </c>
      <c r="Y10" s="185">
        <f t="shared" si="1"/>
        <v>0</v>
      </c>
      <c r="Z10" s="491">
        <f>$F10-'[1]Scenario deep dive'!$F10</f>
        <v>0</v>
      </c>
      <c r="AA10" s="494">
        <f>$J10-'[1]Scenario deep dive'!$J10</f>
        <v>0</v>
      </c>
      <c r="AB10" s="494">
        <f>$N10-'[1]Scenario deep dive'!$N10</f>
        <v>0</v>
      </c>
    </row>
    <row r="11" spans="1:28" x14ac:dyDescent="0.25">
      <c r="A11" s="377" t="str">
        <f>VAC_Optim_Scenario!A55</f>
        <v>Gardasil Adolescents</v>
      </c>
      <c r="B11" s="377" t="str">
        <f>VAC_Optim_Scenario!B25</f>
        <v>HCC Streaming Video</v>
      </c>
      <c r="C11" s="380">
        <f>VAC_Optim_Scenario!E25</f>
        <v>4817798</v>
      </c>
      <c r="D11" s="372">
        <f>VAC_Optim_Scenario!G55</f>
        <v>30671602.273905724</v>
      </c>
      <c r="E11" s="369"/>
      <c r="F11" s="380">
        <v>6772175.1052560359</v>
      </c>
      <c r="G11" s="370">
        <v>0.40565775178951791</v>
      </c>
      <c r="H11" s="372">
        <v>34845351.543835871</v>
      </c>
      <c r="I11" s="369"/>
      <c r="J11" s="380">
        <v>11423325.25410828</v>
      </c>
      <c r="K11" s="370">
        <v>1.3710677064726002</v>
      </c>
      <c r="L11" s="372">
        <v>56130283.127282962</v>
      </c>
      <c r="M11" s="371"/>
      <c r="N11" s="380">
        <v>12070113</v>
      </c>
      <c r="O11" s="370">
        <v>1.5053173669796867</v>
      </c>
      <c r="P11" s="372">
        <v>58336502.542934552</v>
      </c>
      <c r="Q11" s="369"/>
      <c r="R11" s="380">
        <v>8472745.2524451073</v>
      </c>
      <c r="S11" s="370">
        <v>0.75863439115652154</v>
      </c>
      <c r="T11" s="372">
        <v>40761675.682919972</v>
      </c>
      <c r="U11" s="180"/>
      <c r="V11" s="185">
        <f>VAC_Optim_Scenario!$H55</f>
        <v>12070113</v>
      </c>
      <c r="W11" s="177">
        <f t="shared" si="0"/>
        <v>1.5053173669796867</v>
      </c>
      <c r="X11" s="185">
        <f>VAC_Optim_Scenario!$J55</f>
        <v>58336502.542934552</v>
      </c>
      <c r="Y11" s="185">
        <f t="shared" si="1"/>
        <v>-646787.74589172006</v>
      </c>
      <c r="Z11" s="491">
        <f>$F11-'[1]Scenario deep dive'!$F11</f>
        <v>1954377.1052560359</v>
      </c>
      <c r="AA11" s="494">
        <f>$J11-'[1]Scenario deep dive'!$J11</f>
        <v>5814283.8031265978</v>
      </c>
      <c r="AB11" s="494">
        <f>$N11-'[1]Scenario deep dive'!$N11</f>
        <v>1297756.1084671319</v>
      </c>
    </row>
    <row r="12" spans="1:28" x14ac:dyDescent="0.25">
      <c r="A12" s="377" t="str">
        <f>VAC_Optim_Scenario!A56</f>
        <v>Gardasil Adolescents</v>
      </c>
      <c r="B12" s="377" t="str">
        <f>VAC_Optim_Scenario!B26</f>
        <v>HCC Display</v>
      </c>
      <c r="C12" s="380">
        <f>VAC_Optim_Scenario!E26</f>
        <v>3540000</v>
      </c>
      <c r="D12" s="372">
        <f>VAC_Optim_Scenario!G56</f>
        <v>55720832.469924212</v>
      </c>
      <c r="E12" s="369"/>
      <c r="F12" s="380">
        <v>5242709.7667338559</v>
      </c>
      <c r="G12" s="370">
        <v>0.48099145952933786</v>
      </c>
      <c r="H12" s="372">
        <v>47390542.89394173</v>
      </c>
      <c r="I12" s="369"/>
      <c r="J12" s="380">
        <v>6525128.9678753205</v>
      </c>
      <c r="K12" s="370">
        <v>0.84325677058624871</v>
      </c>
      <c r="L12" s="372">
        <v>72609845.589804187</v>
      </c>
      <c r="M12" s="371"/>
      <c r="N12" s="380">
        <v>7000000.0000000009</v>
      </c>
      <c r="O12" s="370">
        <v>0.97740112994350303</v>
      </c>
      <c r="P12" s="372">
        <v>74111465.228846326</v>
      </c>
      <c r="Q12" s="369"/>
      <c r="R12" s="380">
        <v>5457181.4787297705</v>
      </c>
      <c r="S12" s="370">
        <v>0.54157668890671484</v>
      </c>
      <c r="T12" s="372">
        <v>48137663.740853444</v>
      </c>
      <c r="U12" s="180"/>
      <c r="V12" s="185">
        <f>VAC_Optim_Scenario!$H56</f>
        <v>7000000.0000000009</v>
      </c>
      <c r="W12" s="177">
        <f t="shared" si="0"/>
        <v>0.97740112994350303</v>
      </c>
      <c r="X12" s="185">
        <f>VAC_Optim_Scenario!$J56</f>
        <v>74111465.228846326</v>
      </c>
      <c r="Y12" s="185">
        <f t="shared" si="1"/>
        <v>-474871.03212468047</v>
      </c>
      <c r="Z12" s="491">
        <f>$F12-'[1]Scenario deep dive'!$F12</f>
        <v>1430870.3416083488</v>
      </c>
      <c r="AA12" s="494">
        <f>$J12-'[1]Scenario deep dive'!$J12</f>
        <v>1462506.5816072067</v>
      </c>
      <c r="AB12" s="494">
        <f>$N12-'[1]Scenario deep dive'!$N12</f>
        <v>1313369.5635601478</v>
      </c>
    </row>
    <row r="13" spans="1:28" x14ac:dyDescent="0.25">
      <c r="A13" s="377" t="str">
        <f>VAC_Optim_Scenario!A57</f>
        <v>Gardasil Adolescents</v>
      </c>
      <c r="B13" s="377" t="str">
        <f>VAC_Optim_Scenario!B27</f>
        <v>HCC Paid Search</v>
      </c>
      <c r="C13" s="380">
        <f>VAC_Optim_Scenario!E27</f>
        <v>400000</v>
      </c>
      <c r="D13" s="372">
        <f>VAC_Optim_Scenario!G57</f>
        <v>32769965.884320233</v>
      </c>
      <c r="E13" s="369"/>
      <c r="F13" s="380">
        <v>400000</v>
      </c>
      <c r="G13" s="370">
        <v>0</v>
      </c>
      <c r="H13" s="372">
        <v>32769965.884320233</v>
      </c>
      <c r="I13" s="369"/>
      <c r="J13" s="380">
        <v>400000</v>
      </c>
      <c r="K13" s="370">
        <v>0</v>
      </c>
      <c r="L13" s="372">
        <v>32769965.884320233</v>
      </c>
      <c r="M13" s="371"/>
      <c r="N13" s="380">
        <v>400000</v>
      </c>
      <c r="O13" s="370">
        <v>0</v>
      </c>
      <c r="P13" s="372">
        <v>32769965.884320233</v>
      </c>
      <c r="Q13" s="369"/>
      <c r="R13" s="380">
        <v>400000</v>
      </c>
      <c r="S13" s="370">
        <v>0</v>
      </c>
      <c r="T13" s="372">
        <v>32769965.884320233</v>
      </c>
      <c r="U13" s="180"/>
      <c r="V13" s="185">
        <f>VAC_Optim_Scenario!$H57</f>
        <v>400000</v>
      </c>
      <c r="W13" s="177">
        <f t="shared" si="0"/>
        <v>0</v>
      </c>
      <c r="X13" s="185">
        <f>VAC_Optim_Scenario!$J57</f>
        <v>32769965.884320233</v>
      </c>
      <c r="Y13" s="185">
        <f t="shared" si="1"/>
        <v>0</v>
      </c>
      <c r="Z13" s="491">
        <f>$F13-'[1]Scenario deep dive'!$F13</f>
        <v>0</v>
      </c>
      <c r="AA13" s="494">
        <f>$J13-'[1]Scenario deep dive'!$J13</f>
        <v>0</v>
      </c>
      <c r="AB13" s="494">
        <f>$N13-'[1]Scenario deep dive'!$N13</f>
        <v>0</v>
      </c>
    </row>
    <row r="14" spans="1:28" x14ac:dyDescent="0.25">
      <c r="A14" s="377" t="str">
        <f>VAC_Optim_Scenario!A58</f>
        <v>Gardasil Adolescents</v>
      </c>
      <c r="B14" s="377" t="str">
        <f>VAC_Optim_Scenario!B28</f>
        <v>HCC Audio</v>
      </c>
      <c r="C14" s="380">
        <f>VAC_Optim_Scenario!E28</f>
        <v>2220000</v>
      </c>
      <c r="D14" s="372">
        <f>VAC_Optim_Scenario!G58</f>
        <v>20698391.738152172</v>
      </c>
      <c r="E14" s="369"/>
      <c r="F14" s="380">
        <v>4800000</v>
      </c>
      <c r="G14" s="370">
        <v>1.1621621621621621</v>
      </c>
      <c r="H14" s="372">
        <v>32875287.531392161</v>
      </c>
      <c r="I14" s="369"/>
      <c r="J14" s="380">
        <v>4738364.6072586309</v>
      </c>
      <c r="K14" s="370">
        <v>1.1343984717381221</v>
      </c>
      <c r="L14" s="372">
        <v>32621347.973853715</v>
      </c>
      <c r="M14" s="371"/>
      <c r="N14" s="380">
        <v>4800000</v>
      </c>
      <c r="O14" s="370">
        <v>1.1621621621621621</v>
      </c>
      <c r="P14" s="372">
        <v>32875287.531392161</v>
      </c>
      <c r="Q14" s="369"/>
      <c r="R14" s="380">
        <v>4800000</v>
      </c>
      <c r="S14" s="370">
        <v>1.1621621621621621</v>
      </c>
      <c r="T14" s="372">
        <v>32875287.531392161</v>
      </c>
      <c r="U14" s="180"/>
      <c r="V14" s="185">
        <f>VAC_Optim_Scenario!$H58</f>
        <v>4800000</v>
      </c>
      <c r="W14" s="177">
        <f t="shared" si="0"/>
        <v>1.1621621621621621</v>
      </c>
      <c r="X14" s="185">
        <f>VAC_Optim_Scenario!$J58</f>
        <v>32875287.531392161</v>
      </c>
      <c r="Y14" s="185">
        <f t="shared" si="1"/>
        <v>-61635.392741369084</v>
      </c>
      <c r="Z14" s="491">
        <f>$F14-'[1]Scenario deep dive'!$F14</f>
        <v>2619224.0990076493</v>
      </c>
      <c r="AA14" s="494">
        <f>$J14-'[1]Scenario deep dive'!$J14</f>
        <v>-61635.392741369084</v>
      </c>
      <c r="AB14" s="494">
        <f>$N14-'[1]Scenario deep dive'!$N14</f>
        <v>0</v>
      </c>
    </row>
    <row r="15" spans="1:28" x14ac:dyDescent="0.25">
      <c r="A15" s="434" t="str">
        <f>VAC_Optim_Scenario!A59</f>
        <v>Gardasil Adolescents</v>
      </c>
      <c r="B15" s="608">
        <f>SUM(E31:E40,E10)</f>
        <v>0</v>
      </c>
      <c r="C15" s="380">
        <f>VAC_Optim_Scenario!E29</f>
        <v>15700000</v>
      </c>
      <c r="D15" s="372">
        <f>VAC_Optim_Scenario!G59</f>
        <v>64117823.465933323</v>
      </c>
      <c r="E15" s="373"/>
      <c r="F15" s="381">
        <v>15700000</v>
      </c>
      <c r="G15" s="374">
        <v>0</v>
      </c>
      <c r="H15" s="375">
        <v>63695224.07626316</v>
      </c>
      <c r="I15" s="369"/>
      <c r="J15" s="380">
        <v>15700000</v>
      </c>
      <c r="K15" s="370">
        <v>0</v>
      </c>
      <c r="L15" s="372">
        <v>64117823.465933323</v>
      </c>
      <c r="M15" s="371"/>
      <c r="N15" s="380">
        <v>15700000</v>
      </c>
      <c r="O15" s="370">
        <v>0</v>
      </c>
      <c r="P15" s="372">
        <v>64117823.465933323</v>
      </c>
      <c r="Q15" s="369"/>
      <c r="R15" s="380">
        <v>16888801</v>
      </c>
      <c r="S15" s="370">
        <v>0</v>
      </c>
      <c r="T15" s="372">
        <v>67034177.652868718</v>
      </c>
      <c r="U15" s="180"/>
      <c r="V15" s="185">
        <f>VAC_Optim_Scenario!$H59</f>
        <v>15700000</v>
      </c>
      <c r="W15" s="177">
        <f t="shared" si="0"/>
        <v>0</v>
      </c>
      <c r="X15" s="185">
        <f>VAC_Optim_Scenario!$J59</f>
        <v>64117823.465933323</v>
      </c>
      <c r="Y15" s="185">
        <f t="shared" si="1"/>
        <v>0</v>
      </c>
      <c r="Z15" s="492">
        <f>$F15-'[1]Scenario deep dive'!$F15</f>
        <v>-1188801</v>
      </c>
      <c r="AA15" s="494">
        <f>$J15-'[1]Scenario deep dive'!$J15</f>
        <v>-1188801</v>
      </c>
      <c r="AB15" s="494">
        <f>$N15-'[1]Scenario deep dive'!$N15</f>
        <v>-1188801</v>
      </c>
    </row>
    <row r="16" spans="1:28" x14ac:dyDescent="0.25">
      <c r="A16" s="376" t="str">
        <f>VAC_Optim_Scenario!A61</f>
        <v>Gardasil Adults</v>
      </c>
      <c r="B16" s="376" t="str">
        <f>VAC_Optim_Scenario!B31</f>
        <v>HCC InOffice</v>
      </c>
      <c r="C16" s="379">
        <f>VAC_Optim_Scenario!E31</f>
        <v>1000000</v>
      </c>
      <c r="D16" s="368">
        <f>VAC_Optim_Scenario!G61</f>
        <v>976856.44516278384</v>
      </c>
      <c r="E16" s="365"/>
      <c r="F16" s="379">
        <v>900000</v>
      </c>
      <c r="G16" s="366">
        <v>-0.1</v>
      </c>
      <c r="H16" s="368">
        <v>904451.29161394853</v>
      </c>
      <c r="I16" s="369"/>
      <c r="J16" s="379">
        <v>900000</v>
      </c>
      <c r="K16" s="366">
        <v>-0.1</v>
      </c>
      <c r="L16" s="368">
        <v>904451.29161394853</v>
      </c>
      <c r="M16" s="371"/>
      <c r="N16" s="379">
        <v>900000</v>
      </c>
      <c r="O16" s="366">
        <v>-0.1</v>
      </c>
      <c r="P16" s="368">
        <v>904451.29161394853</v>
      </c>
      <c r="Q16" s="369"/>
      <c r="R16" s="379">
        <v>900000</v>
      </c>
      <c r="S16" s="366">
        <v>-0.1</v>
      </c>
      <c r="T16" s="368">
        <v>1410431.7445188572</v>
      </c>
      <c r="U16" s="180"/>
      <c r="V16" s="185">
        <f>VAC_Optim_Scenario!$H61</f>
        <v>900000</v>
      </c>
      <c r="W16" s="177">
        <f t="shared" si="0"/>
        <v>-0.1</v>
      </c>
      <c r="X16" s="185">
        <f>VAC_Optim_Scenario!$J61</f>
        <v>904451.29161394853</v>
      </c>
      <c r="Y16" s="185">
        <f t="shared" si="1"/>
        <v>0</v>
      </c>
      <c r="Z16" s="490">
        <f>$F16-'[2]Scenario deep dive'!$F7</f>
        <v>0</v>
      </c>
      <c r="AA16" s="493">
        <f>$J16-'[2]Scenario deep dive'!$J7</f>
        <v>0</v>
      </c>
      <c r="AB16" s="493">
        <f>$N16-'[2]Scenario deep dive'!$N7</f>
        <v>-126598.07612722274</v>
      </c>
    </row>
    <row r="17" spans="1:28" x14ac:dyDescent="0.25">
      <c r="A17" s="377" t="str">
        <f>VAC_Optim_Scenario!A62</f>
        <v>Gardasil Adults</v>
      </c>
      <c r="B17" s="377" t="str">
        <f>VAC_Optim_Scenario!B32</f>
        <v>HCP MCM</v>
      </c>
      <c r="C17" s="380">
        <f>VAC_Optim_Scenario!E32</f>
        <v>16948000</v>
      </c>
      <c r="D17" s="372">
        <f>VAC_Optim_Scenario!G62</f>
        <v>112105753.8405596</v>
      </c>
      <c r="E17" s="369"/>
      <c r="F17" s="380">
        <v>22050000</v>
      </c>
      <c r="G17" s="370">
        <v>0.30103847061600186</v>
      </c>
      <c r="H17" s="372">
        <v>107902349.4303626</v>
      </c>
      <c r="I17" s="369"/>
      <c r="J17" s="380">
        <v>22050000</v>
      </c>
      <c r="K17" s="370">
        <v>0.30103847061600186</v>
      </c>
      <c r="L17" s="372">
        <v>132078866.7384024</v>
      </c>
      <c r="M17" s="371"/>
      <c r="N17" s="380">
        <v>22050000</v>
      </c>
      <c r="O17" s="370">
        <v>0.30103847061600186</v>
      </c>
      <c r="P17" s="372">
        <v>132078866.7384024</v>
      </c>
      <c r="Q17" s="369"/>
      <c r="R17" s="380">
        <v>21000000</v>
      </c>
      <c r="S17" s="370">
        <v>0.2390842577295256</v>
      </c>
      <c r="T17" s="372">
        <v>105724786.72171538</v>
      </c>
      <c r="U17" s="180"/>
      <c r="V17" s="185">
        <f>VAC_Optim_Scenario!$H62</f>
        <v>22050000</v>
      </c>
      <c r="W17" s="177">
        <f t="shared" si="0"/>
        <v>0.30103847061600186</v>
      </c>
      <c r="X17" s="185">
        <f>VAC_Optim_Scenario!$J62</f>
        <v>132078866.7384024</v>
      </c>
      <c r="Y17" s="185">
        <f t="shared" si="1"/>
        <v>0</v>
      </c>
      <c r="Z17" s="491">
        <f>$F17-'[2]Scenario deep dive'!$F8</f>
        <v>1717273.2134811804</v>
      </c>
      <c r="AA17" s="494">
        <f>$J17-'[2]Scenario deep dive'!$J8</f>
        <v>1050000</v>
      </c>
      <c r="AB17" s="494">
        <f>$N17-'[2]Scenario deep dive'!$N8</f>
        <v>1050000</v>
      </c>
    </row>
    <row r="18" spans="1:28" x14ac:dyDescent="0.25">
      <c r="A18" s="377" t="str">
        <f>VAC_Optim_Scenario!A63</f>
        <v>Gardasil Adults</v>
      </c>
      <c r="B18" s="377" t="str">
        <f>VAC_Optim_Scenario!B33</f>
        <v>HCC Social</v>
      </c>
      <c r="C18" s="380">
        <f>VAC_Optim_Scenario!E33</f>
        <v>2200000</v>
      </c>
      <c r="D18" s="372">
        <f>VAC_Optim_Scenario!G63</f>
        <v>13243840.136854218</v>
      </c>
      <c r="E18" s="369"/>
      <c r="F18" s="380">
        <v>2290679.6471494259</v>
      </c>
      <c r="G18" s="370">
        <v>4.1218021431557242E-2</v>
      </c>
      <c r="H18" s="372">
        <v>6323378.3241345212</v>
      </c>
      <c r="I18" s="369"/>
      <c r="J18" s="380">
        <v>2290679.6471494259</v>
      </c>
      <c r="K18" s="370">
        <v>4.1218021431557242E-2</v>
      </c>
      <c r="L18" s="372">
        <v>13568721.71934624</v>
      </c>
      <c r="M18" s="371"/>
      <c r="N18" s="380">
        <v>2290679.6471494259</v>
      </c>
      <c r="O18" s="370">
        <v>4.1218021431557242E-2</v>
      </c>
      <c r="P18" s="372">
        <v>13568721.71934624</v>
      </c>
      <c r="Q18" s="369"/>
      <c r="R18" s="380">
        <v>2282368.4526044191</v>
      </c>
      <c r="S18" s="370">
        <v>3.7440205729281403E-2</v>
      </c>
      <c r="T18" s="372">
        <v>6309602.5797727108</v>
      </c>
      <c r="U18" s="180"/>
      <c r="V18" s="185">
        <f>VAC_Optim_Scenario!$H63</f>
        <v>2290679.6471494259</v>
      </c>
      <c r="W18" s="177">
        <f t="shared" si="0"/>
        <v>4.1218021431557242E-2</v>
      </c>
      <c r="X18" s="185">
        <f>VAC_Optim_Scenario!$J63</f>
        <v>13568721.71934624</v>
      </c>
      <c r="Y18" s="185">
        <f t="shared" si="1"/>
        <v>0</v>
      </c>
      <c r="Z18" s="491">
        <f>$F18-'[2]Scenario deep dive'!$F9</f>
        <v>490679.64714942593</v>
      </c>
      <c r="AA18" s="494">
        <f>$J18-'[2]Scenario deep dive'!$J9</f>
        <v>-2295835.5850132992</v>
      </c>
      <c r="AB18" s="494">
        <f>$N18-'[2]Scenario deep dive'!$N9</f>
        <v>-4442548.8234411702</v>
      </c>
    </row>
    <row r="19" spans="1:28" x14ac:dyDescent="0.25">
      <c r="A19" s="377" t="str">
        <f>VAC_Optim_Scenario!A64</f>
        <v>Gardasil Adults</v>
      </c>
      <c r="B19" s="377" t="str">
        <f>VAC_Optim_Scenario!B34</f>
        <v>HCC Online Video</v>
      </c>
      <c r="C19" s="380">
        <f>VAC_Optim_Scenario!E34</f>
        <v>1500000</v>
      </c>
      <c r="D19" s="372">
        <f>VAC_Optim_Scenario!G64</f>
        <v>10671052.449402977</v>
      </c>
      <c r="E19" s="369"/>
      <c r="F19" s="380">
        <v>2094216.1059919484</v>
      </c>
      <c r="G19" s="370">
        <v>0.39614407066129892</v>
      </c>
      <c r="H19" s="372">
        <v>7136031.390660706</v>
      </c>
      <c r="I19" s="369"/>
      <c r="J19" s="380">
        <v>2094216.1059919484</v>
      </c>
      <c r="K19" s="370">
        <v>0.39614407066129892</v>
      </c>
      <c r="L19" s="372">
        <v>12813292.806834146</v>
      </c>
      <c r="M19" s="371"/>
      <c r="N19" s="380">
        <v>2094216.1059919484</v>
      </c>
      <c r="O19" s="370">
        <v>0.39614407066129892</v>
      </c>
      <c r="P19" s="372">
        <v>12813292.806834146</v>
      </c>
      <c r="Q19" s="369"/>
      <c r="R19" s="380">
        <v>2091880.7528473777</v>
      </c>
      <c r="S19" s="370">
        <v>0.39458716856491843</v>
      </c>
      <c r="T19" s="372">
        <v>7132160.5639820658</v>
      </c>
      <c r="U19" s="180"/>
      <c r="V19" s="185">
        <f>VAC_Optim_Scenario!$H64</f>
        <v>2094216.1059919484</v>
      </c>
      <c r="W19" s="177">
        <f t="shared" si="0"/>
        <v>0.39614407066129892</v>
      </c>
      <c r="X19" s="185">
        <f>VAC_Optim_Scenario!$J64</f>
        <v>12813292.806834146</v>
      </c>
      <c r="Y19" s="185">
        <f t="shared" si="1"/>
        <v>0</v>
      </c>
      <c r="Z19" s="491">
        <f>$F19-'[2]Scenario deep dive'!$F10</f>
        <v>990604.26817573025</v>
      </c>
      <c r="AA19" s="494">
        <f>$J19-'[2]Scenario deep dive'!$J10</f>
        <v>-444392.25193793699</v>
      </c>
      <c r="AB19" s="494">
        <f>$N19-'[2]Scenario deep dive'!$N10</f>
        <v>-689932.47745624557</v>
      </c>
    </row>
    <row r="20" spans="1:28" x14ac:dyDescent="0.25">
      <c r="A20" s="377" t="str">
        <f>VAC_Optim_Scenario!A65</f>
        <v>Gardasil Adults</v>
      </c>
      <c r="B20" s="377" t="str">
        <f>VAC_Optim_Scenario!B35</f>
        <v>HCC Streaming Video</v>
      </c>
      <c r="C20" s="380">
        <f>VAC_Optim_Scenario!E35</f>
        <v>10268452</v>
      </c>
      <c r="D20" s="372">
        <f>VAC_Optim_Scenario!G65</f>
        <v>34220018.757868037</v>
      </c>
      <c r="E20" s="369"/>
      <c r="F20" s="380">
        <v>8306901</v>
      </c>
      <c r="G20" s="370">
        <v>-0.19102694349644914</v>
      </c>
      <c r="H20" s="372">
        <v>16281797.494816165</v>
      </c>
      <c r="I20" s="369"/>
      <c r="J20" s="380">
        <v>8306901</v>
      </c>
      <c r="K20" s="370">
        <v>-0.19102694349644914</v>
      </c>
      <c r="L20" s="372">
        <v>29500819.705867045</v>
      </c>
      <c r="M20" s="371"/>
      <c r="N20" s="380">
        <v>8306901</v>
      </c>
      <c r="O20" s="370">
        <v>-0.19102694349644914</v>
      </c>
      <c r="P20" s="372">
        <v>29500819.705867045</v>
      </c>
      <c r="Q20" s="369"/>
      <c r="R20" s="380">
        <v>8306901</v>
      </c>
      <c r="S20" s="370">
        <v>-0.19102694349644914</v>
      </c>
      <c r="T20" s="372">
        <v>16281797.494816165</v>
      </c>
      <c r="U20" s="180"/>
      <c r="V20" s="185">
        <f>VAC_Optim_Scenario!$H65</f>
        <v>8306901</v>
      </c>
      <c r="W20" s="177">
        <f t="shared" si="0"/>
        <v>-0.19102694349644914</v>
      </c>
      <c r="X20" s="185">
        <f>VAC_Optim_Scenario!$J65</f>
        <v>29500819.705867045</v>
      </c>
      <c r="Y20" s="185">
        <f t="shared" si="1"/>
        <v>0</v>
      </c>
      <c r="Z20" s="491">
        <f>$F20-'[2]Scenario deep dive'!$F11</f>
        <v>0</v>
      </c>
      <c r="AA20" s="494">
        <f>$J20-'[2]Scenario deep dive'!$J11</f>
        <v>-2884427.353730984</v>
      </c>
      <c r="AB20" s="494">
        <f>$N20-'[2]Scenario deep dive'!$N11</f>
        <v>-10365575.905886736</v>
      </c>
    </row>
    <row r="21" spans="1:28" x14ac:dyDescent="0.25">
      <c r="A21" s="377" t="str">
        <f>VAC_Optim_Scenario!A66</f>
        <v>Gardasil Adults</v>
      </c>
      <c r="B21" s="377" t="str">
        <f>VAC_Optim_Scenario!B36</f>
        <v>HCC Display</v>
      </c>
      <c r="C21" s="380">
        <f>VAC_Optim_Scenario!E36</f>
        <v>4000000</v>
      </c>
      <c r="D21" s="372">
        <f>VAC_Optim_Scenario!G66</f>
        <v>26401195.702321921</v>
      </c>
      <c r="E21" s="369"/>
      <c r="F21" s="380">
        <v>4999999.9998964043</v>
      </c>
      <c r="G21" s="370">
        <v>0.24999999997410108</v>
      </c>
      <c r="H21" s="372">
        <v>24032152.745787345</v>
      </c>
      <c r="I21" s="369"/>
      <c r="J21" s="380">
        <v>5000000</v>
      </c>
      <c r="K21" s="370">
        <v>0.25</v>
      </c>
      <c r="L21" s="372">
        <v>30183500.428984575</v>
      </c>
      <c r="M21" s="371"/>
      <c r="N21" s="380">
        <v>5000000</v>
      </c>
      <c r="O21" s="370">
        <v>0.25</v>
      </c>
      <c r="P21" s="372">
        <v>30183500.428984575</v>
      </c>
      <c r="Q21" s="369"/>
      <c r="R21" s="380">
        <v>5000000</v>
      </c>
      <c r="S21" s="370">
        <v>0.25</v>
      </c>
      <c r="T21" s="372">
        <v>24032152.746086098</v>
      </c>
      <c r="U21" s="180"/>
      <c r="V21" s="185">
        <f>VAC_Optim_Scenario!$H66</f>
        <v>5000000</v>
      </c>
      <c r="W21" s="177">
        <f t="shared" si="0"/>
        <v>0.25</v>
      </c>
      <c r="X21" s="185">
        <f>VAC_Optim_Scenario!$J66</f>
        <v>30183500.428984575</v>
      </c>
      <c r="Y21" s="185">
        <f t="shared" si="1"/>
        <v>0</v>
      </c>
      <c r="Z21" s="491">
        <f>$F21-'[2]Scenario deep dive'!$F12</f>
        <v>726913.7872123057</v>
      </c>
      <c r="AA21" s="494">
        <f>$J21-'[2]Scenario deep dive'!$J12</f>
        <v>0</v>
      </c>
      <c r="AB21" s="494">
        <f>$N21-'[2]Scenario deep dive'!$N12</f>
        <v>0</v>
      </c>
    </row>
    <row r="22" spans="1:28" x14ac:dyDescent="0.25">
      <c r="A22" s="377" t="str">
        <f>VAC_Optim_Scenario!A67</f>
        <v>Gardasil Adults</v>
      </c>
      <c r="B22" s="377" t="str">
        <f>VAC_Optim_Scenario!B37</f>
        <v>HCC Paid Search</v>
      </c>
      <c r="C22" s="380">
        <f>VAC_Optim_Scenario!E37</f>
        <v>200000</v>
      </c>
      <c r="D22" s="372">
        <f>VAC_Optim_Scenario!G67</f>
        <v>17969341.094351832</v>
      </c>
      <c r="E22" s="369"/>
      <c r="F22" s="380">
        <v>200000</v>
      </c>
      <c r="G22" s="370">
        <v>0</v>
      </c>
      <c r="H22" s="372">
        <v>17969341.094351832</v>
      </c>
      <c r="I22" s="369"/>
      <c r="J22" s="380">
        <v>200000</v>
      </c>
      <c r="K22" s="370">
        <v>0</v>
      </c>
      <c r="L22" s="372">
        <v>17969341.094351832</v>
      </c>
      <c r="M22" s="371"/>
      <c r="N22" s="380">
        <v>200000</v>
      </c>
      <c r="O22" s="370">
        <v>0</v>
      </c>
      <c r="P22" s="372">
        <v>17969341.094351832</v>
      </c>
      <c r="Q22" s="369"/>
      <c r="R22" s="380">
        <v>200000</v>
      </c>
      <c r="S22" s="370">
        <v>0</v>
      </c>
      <c r="T22" s="372">
        <v>17969341.094351832</v>
      </c>
      <c r="U22" s="180"/>
      <c r="V22" s="185">
        <f>VAC_Optim_Scenario!$H67</f>
        <v>200000</v>
      </c>
      <c r="W22" s="177">
        <f t="shared" si="0"/>
        <v>0</v>
      </c>
      <c r="X22" s="185">
        <f>VAC_Optim_Scenario!$J67</f>
        <v>17969341.094351832</v>
      </c>
      <c r="Y22" s="185">
        <f t="shared" si="1"/>
        <v>0</v>
      </c>
      <c r="Z22" s="491">
        <f>$F22-'[2]Scenario deep dive'!$F13</f>
        <v>0</v>
      </c>
      <c r="AA22" s="494">
        <f>$J22-'[2]Scenario deep dive'!$J13</f>
        <v>0</v>
      </c>
      <c r="AB22" s="494">
        <f>$N22-'[2]Scenario deep dive'!$N13</f>
        <v>0</v>
      </c>
    </row>
    <row r="23" spans="1:28" x14ac:dyDescent="0.25">
      <c r="A23" s="377" t="str">
        <f>VAC_Optim_Scenario!A68</f>
        <v>Gardasil Adults</v>
      </c>
      <c r="B23" s="377" t="str">
        <f>VAC_Optim_Scenario!B38</f>
        <v>HCC Linear TV</v>
      </c>
      <c r="C23" s="380">
        <f>VAC_Optim_Scenario!E38</f>
        <v>28089211</v>
      </c>
      <c r="D23" s="372">
        <f>VAC_Optim_Scenario!G68</f>
        <v>42182904.802091695</v>
      </c>
      <c r="E23" s="369"/>
      <c r="F23" s="380">
        <v>28089211</v>
      </c>
      <c r="G23" s="370">
        <v>0</v>
      </c>
      <c r="H23" s="372">
        <v>40395109.654958591</v>
      </c>
      <c r="I23" s="369"/>
      <c r="J23" s="380">
        <v>38089211.36089211</v>
      </c>
      <c r="K23" s="370">
        <v>0.35600858852504291</v>
      </c>
      <c r="L23" s="372">
        <v>52205972.588288382</v>
      </c>
      <c r="M23" s="371"/>
      <c r="N23" s="380">
        <v>36089210.999896407</v>
      </c>
      <c r="O23" s="370">
        <v>0.28480686053789145</v>
      </c>
      <c r="P23" s="372">
        <v>50271631.014643446</v>
      </c>
      <c r="Q23" s="369"/>
      <c r="R23" s="380">
        <v>28089211</v>
      </c>
      <c r="S23" s="370">
        <v>0</v>
      </c>
      <c r="T23" s="372">
        <v>40395109.654958591</v>
      </c>
      <c r="U23" s="180"/>
      <c r="V23" s="185">
        <f>VAC_Optim_Scenario!$H68</f>
        <v>36089210.999896407</v>
      </c>
      <c r="W23" s="177">
        <f>(V23-$C23)/$C23</f>
        <v>0.28480686053789145</v>
      </c>
      <c r="X23" s="185">
        <f>VAC_Optim_Scenario!$J68</f>
        <v>50271631.014643446</v>
      </c>
      <c r="Y23" s="185">
        <f t="shared" si="1"/>
        <v>2000000.3609957024</v>
      </c>
      <c r="Z23" s="491">
        <f>$F23-'[2]Scenario deep dive'!$F15</f>
        <v>0</v>
      </c>
      <c r="AA23" s="494">
        <f>$J23-'[2]Scenario deep dive'!$J15</f>
        <v>10000000.36089211</v>
      </c>
      <c r="AB23" s="494">
        <f>$N23-'[2]Scenario deep dive'!$N15</f>
        <v>7999999.9998964071</v>
      </c>
    </row>
    <row r="24" spans="1:28" x14ac:dyDescent="0.25">
      <c r="A24" s="434" t="str">
        <f>VAC_Optim_Scenario!A69</f>
        <v>Gardasil Adults</v>
      </c>
      <c r="B24" s="434" t="str">
        <f>VAC_Optim_Scenario!B39</f>
        <v>HCC Radio</v>
      </c>
      <c r="C24" s="380">
        <f>VAC_Optim_Scenario!E39</f>
        <v>1500000</v>
      </c>
      <c r="D24" s="372">
        <f>VAC_Optim_Scenario!G69</f>
        <v>7290309.9462908376</v>
      </c>
      <c r="E24" s="369"/>
      <c r="F24" s="380">
        <v>1959114.2410225025</v>
      </c>
      <c r="G24" s="370">
        <v>0.30607616068166837</v>
      </c>
      <c r="H24" s="372">
        <v>8112101.8302757163</v>
      </c>
      <c r="I24" s="369"/>
      <c r="J24" s="380">
        <v>1959114.2410225025</v>
      </c>
      <c r="K24" s="370">
        <v>0.30607616068166837</v>
      </c>
      <c r="L24" s="372">
        <v>8112101.8302757163</v>
      </c>
      <c r="M24" s="371"/>
      <c r="N24" s="380">
        <v>1959114.2410225025</v>
      </c>
      <c r="O24" s="370">
        <v>0.30607616068166837</v>
      </c>
      <c r="P24" s="372">
        <v>8112101.8302757163</v>
      </c>
      <c r="Q24" s="369"/>
      <c r="R24" s="380">
        <v>1954350.9945481978</v>
      </c>
      <c r="S24" s="370">
        <v>0.30290066303213187</v>
      </c>
      <c r="T24" s="372">
        <v>8104206.8009546781</v>
      </c>
      <c r="U24" s="180"/>
      <c r="V24" s="185">
        <f>VAC_Optim_Scenario!$H69</f>
        <v>1959114.2410225025</v>
      </c>
      <c r="W24" s="177">
        <f t="shared" ref="W24:W25" si="2">(V24-$C24)/$C24</f>
        <v>0.30607616068166837</v>
      </c>
      <c r="X24" s="488">
        <f>VAC_Optim_Scenario!$J69</f>
        <v>8112101.8302757163</v>
      </c>
      <c r="Y24" s="185">
        <f t="shared" si="1"/>
        <v>0</v>
      </c>
      <c r="Z24" s="491">
        <f>$F24-'[2]Scenario deep dive'!$F14</f>
        <v>1258988.0645183721</v>
      </c>
      <c r="AA24" s="494">
        <f>$J24-'[2]Scenario deep dive'!$J14</f>
        <v>-240885.75897749746</v>
      </c>
      <c r="AB24" s="494">
        <f>$N24-'[2]Scenario deep dive'!$N14</f>
        <v>-240885.75897749746</v>
      </c>
    </row>
    <row r="25" spans="1:28" x14ac:dyDescent="0.25">
      <c r="A25" s="378" t="str">
        <f>VAC_Optim_Scenario!A70</f>
        <v>Gardasil Adults</v>
      </c>
      <c r="B25" s="434" t="str">
        <f>VAC_Optim_Scenario!B40</f>
        <v>HCC Pharmacy</v>
      </c>
      <c r="C25" s="381">
        <f>VAC_Optim_Scenario!E40</f>
        <v>3200000</v>
      </c>
      <c r="D25" s="375">
        <f>VAC_Optim_Scenario!G70</f>
        <v>5063837.1955307471</v>
      </c>
      <c r="E25" s="369"/>
      <c r="F25" s="380">
        <v>3200000</v>
      </c>
      <c r="G25" s="370">
        <v>0</v>
      </c>
      <c r="H25" s="372">
        <v>5063837.1955307471</v>
      </c>
      <c r="I25" s="369"/>
      <c r="J25" s="380">
        <v>3200000</v>
      </c>
      <c r="K25" s="370">
        <v>0</v>
      </c>
      <c r="L25" s="372">
        <v>5063837.1955307471</v>
      </c>
      <c r="M25" s="371"/>
      <c r="N25" s="380">
        <v>3200000</v>
      </c>
      <c r="O25" s="370">
        <v>0</v>
      </c>
      <c r="P25" s="372">
        <v>5063837.1955307471</v>
      </c>
      <c r="Q25" s="369"/>
      <c r="R25" s="380">
        <v>3200000</v>
      </c>
      <c r="S25" s="370">
        <v>0</v>
      </c>
      <c r="T25" s="372">
        <v>5063837.1955307471</v>
      </c>
      <c r="U25" s="180"/>
      <c r="V25" s="185">
        <f>VAC_Optim_Scenario!$H70</f>
        <v>3200000</v>
      </c>
      <c r="W25" s="177">
        <f t="shared" si="2"/>
        <v>0</v>
      </c>
      <c r="X25" s="185">
        <f>VAC_Optim_Scenario!$J70</f>
        <v>5063837.1955307471</v>
      </c>
      <c r="Y25" s="185">
        <f t="shared" si="1"/>
        <v>0</v>
      </c>
      <c r="Z25" s="492">
        <f>$F25-'[2]Scenario deep dive'!$F16</f>
        <v>0</v>
      </c>
      <c r="AA25" s="495">
        <f>$J25-'[2]Scenario deep dive'!$J16</f>
        <v>0</v>
      </c>
      <c r="AB25" s="495">
        <f>$N25-'[2]Scenario deep dive'!$N16</f>
        <v>0</v>
      </c>
    </row>
    <row r="26" spans="1:28" x14ac:dyDescent="0.25">
      <c r="A26" s="436"/>
      <c r="B26" s="437" t="s">
        <v>175</v>
      </c>
      <c r="C26" s="379">
        <f>SUM(C7:C15)</f>
        <v>38513576</v>
      </c>
      <c r="D26" s="368">
        <f>SUM(D7:D15)</f>
        <v>314816106.27130663</v>
      </c>
      <c r="E26" s="369"/>
      <c r="F26" s="379">
        <f>SUM(F7:F15)</f>
        <v>51000000.00593973</v>
      </c>
      <c r="G26" s="439">
        <f>(F26-$C$26)/$C$26</f>
        <v>0.32420837800000002</v>
      </c>
      <c r="H26" s="368">
        <f>SUM(H7:H15)</f>
        <v>339407619.45836365</v>
      </c>
      <c r="I26" s="369"/>
      <c r="J26" s="379">
        <f>SUM(J7:J15)</f>
        <v>60999999.644944027</v>
      </c>
      <c r="K26" s="439">
        <f>(J26-$C$26)/$C$26</f>
        <v>0.58385707016518085</v>
      </c>
      <c r="L26" s="368">
        <f>SUM(L7:L15)</f>
        <v>415755063.26821417</v>
      </c>
      <c r="M26" s="371"/>
      <c r="N26" s="379">
        <f>SUM(N7:N15)</f>
        <v>63000000.00593973</v>
      </c>
      <c r="O26" s="439">
        <f>(N26-$C$26)/$C$26</f>
        <v>0.63578681984606489</v>
      </c>
      <c r="P26" s="368">
        <f>SUM(P7:P15)</f>
        <v>422113387.06418502</v>
      </c>
      <c r="Q26" s="369"/>
      <c r="R26" s="379">
        <v>55583327.800000004</v>
      </c>
      <c r="S26" s="439">
        <v>0.40000000000000013</v>
      </c>
      <c r="T26" s="368">
        <v>360139860.66345346</v>
      </c>
      <c r="U26" s="180">
        <f>V26-C26</f>
        <v>24486424.00593973</v>
      </c>
      <c r="V26" s="379">
        <f>SUM(V7:V15)</f>
        <v>63000000.00593973</v>
      </c>
      <c r="W26" s="439">
        <f>(V26-$C$26)/$C$26</f>
        <v>0.63578681984606489</v>
      </c>
      <c r="X26" s="368">
        <f>SUM(X7:X15)</f>
        <v>422113387.06418502</v>
      </c>
      <c r="Y26" s="185">
        <f>V26-F26</f>
        <v>12000000</v>
      </c>
      <c r="Z26" s="180"/>
    </row>
    <row r="27" spans="1:28" x14ac:dyDescent="0.25">
      <c r="A27" s="436"/>
      <c r="B27" s="438" t="s">
        <v>285</v>
      </c>
      <c r="C27" s="381">
        <f>SUM(C16:C25)</f>
        <v>68905663</v>
      </c>
      <c r="D27" s="375">
        <f>SUM(D16:D25)</f>
        <v>270125110.3704347</v>
      </c>
      <c r="E27" s="369"/>
      <c r="F27" s="381">
        <f>SUM(F16:F25)</f>
        <v>74090121.994060278</v>
      </c>
      <c r="G27" s="440">
        <f>(F27-$C$27)/$C$27</f>
        <v>7.5239955155213839E-2</v>
      </c>
      <c r="H27" s="375">
        <f>SUM(H16:H25)</f>
        <v>234120550.45249215</v>
      </c>
      <c r="I27" s="369"/>
      <c r="J27" s="381">
        <f>SUM(J16:J25)</f>
        <v>84090122.355055988</v>
      </c>
      <c r="K27" s="440">
        <f>(J27-$C$27)/$C$27</f>
        <v>0.22036591324948121</v>
      </c>
      <c r="L27" s="375">
        <f>SUM(L16:L25)</f>
        <v>302400905.39949507</v>
      </c>
      <c r="M27" s="371"/>
      <c r="N27" s="381">
        <f>SUM(N16:N25)</f>
        <v>82090121.994060278</v>
      </c>
      <c r="O27" s="440">
        <f>(N27-$C$27)/$C$27</f>
        <v>0.19134071743944003</v>
      </c>
      <c r="P27" s="375">
        <f>SUM(P16:P25)</f>
        <v>300466563.82585013</v>
      </c>
      <c r="Q27" s="369"/>
      <c r="R27" s="381">
        <v>73024712.200000003</v>
      </c>
      <c r="S27" s="440">
        <v>5.9778094000779047E-2</v>
      </c>
      <c r="T27" s="375">
        <v>232423426.59668708</v>
      </c>
      <c r="U27" s="180">
        <f>V27-C27</f>
        <v>13184458.994060278</v>
      </c>
      <c r="V27" s="381">
        <f>SUM(V16:V25)</f>
        <v>82090121.994060278</v>
      </c>
      <c r="W27" s="440">
        <f>(V27-$C$27)/$C$27</f>
        <v>0.19134071743944003</v>
      </c>
      <c r="X27" s="375">
        <f>SUM(X16:X25)</f>
        <v>300466563.82585013</v>
      </c>
      <c r="Y27" s="185">
        <f>V27-F27</f>
        <v>8000000</v>
      </c>
      <c r="Z27" s="180"/>
    </row>
    <row r="28" spans="1:28" ht="34.35" customHeight="1" x14ac:dyDescent="0.25">
      <c r="B28" s="441" t="s">
        <v>218</v>
      </c>
      <c r="C28" s="442">
        <f>SUM(C7:C25)</f>
        <v>107419239</v>
      </c>
      <c r="D28" s="443">
        <f>SUM(D7:D25)</f>
        <v>584941216.64174139</v>
      </c>
      <c r="E28" s="179"/>
      <c r="F28" s="442">
        <f>SUM(F7:F25)</f>
        <v>125090122</v>
      </c>
      <c r="G28" s="444">
        <f>(F28-$C$28)/$C$28</f>
        <v>0.16450389301305701</v>
      </c>
      <c r="H28" s="443">
        <f>SUM(H7:H25)</f>
        <v>573528169.91085589</v>
      </c>
      <c r="I28" s="435"/>
      <c r="J28" s="442">
        <f>SUM(J7:J25)</f>
        <v>145090122</v>
      </c>
      <c r="K28" s="444">
        <f>(J28-$C$28)/$C$28</f>
        <v>0.35069027997861724</v>
      </c>
      <c r="L28" s="443">
        <f>SUM(L7:L25)</f>
        <v>718155968.66770935</v>
      </c>
      <c r="M28" s="371"/>
      <c r="N28" s="442">
        <f>SUM(N7:N25)</f>
        <v>145090122</v>
      </c>
      <c r="O28" s="444">
        <f>(N28-$C$28)/$C$28</f>
        <v>0.35069027997861724</v>
      </c>
      <c r="P28" s="443">
        <f>SUM(P7:P25)</f>
        <v>722579950.89003515</v>
      </c>
      <c r="Q28" s="505"/>
      <c r="R28" s="442">
        <f>SUM(R7:R25)</f>
        <v>128608040</v>
      </c>
      <c r="S28" s="444">
        <f>(R28-$C$28)/$C$28</f>
        <v>0.19725331511611249</v>
      </c>
      <c r="T28" s="443">
        <f>SUM(T7:T25)</f>
        <v>592563287.26014078</v>
      </c>
      <c r="V28" s="188">
        <f>SUM(V7:V25)</f>
        <v>145090122</v>
      </c>
      <c r="W28" s="189">
        <f>(V28-$C$28)/$C$28</f>
        <v>0.35069027997861724</v>
      </c>
      <c r="X28" s="188">
        <f>SUM(X7:X25)</f>
        <v>722579950.89003515</v>
      </c>
    </row>
    <row r="29" spans="1:28" x14ac:dyDescent="0.25">
      <c r="D29" s="382">
        <f>SUM(D7:D15)/D28</f>
        <v>0.53820127102467785</v>
      </c>
      <c r="E29" s="382"/>
      <c r="F29" s="382"/>
      <c r="G29" s="382"/>
      <c r="H29" s="382">
        <f>SUM(H7:H15)/H28</f>
        <v>0.59178892557468998</v>
      </c>
      <c r="I29" s="382"/>
      <c r="J29" s="382"/>
      <c r="K29" s="382"/>
      <c r="L29" s="382">
        <f>SUM(L7:L15)/L28</f>
        <v>0.57892029225838537</v>
      </c>
      <c r="P29" s="382">
        <f>SUM(P7:P15)/P28</f>
        <v>0.58417533802902843</v>
      </c>
      <c r="Q29" s="382"/>
      <c r="T29" s="382"/>
      <c r="U29" s="180"/>
      <c r="X29" s="499">
        <f>X28/VAC_Optim_Scenario!$E$48</f>
        <v>3198105.4744181428</v>
      </c>
    </row>
    <row r="30" spans="1:28" x14ac:dyDescent="0.25">
      <c r="D30" s="382">
        <f>SUM(D16:D25)/D28</f>
        <v>0.46179872897532209</v>
      </c>
      <c r="E30" s="382"/>
      <c r="F30" s="382"/>
      <c r="G30" s="382"/>
      <c r="H30" s="382">
        <f>SUM(H16:H25)/H28</f>
        <v>0.40821107442530985</v>
      </c>
      <c r="I30" s="382"/>
      <c r="J30" s="382"/>
      <c r="K30" s="382"/>
      <c r="L30" s="382">
        <f>SUM(L16:L25)/L28</f>
        <v>0.42107970774161441</v>
      </c>
      <c r="P30" s="382">
        <f>SUM(P16:P25)/P28</f>
        <v>0.41582466197097162</v>
      </c>
      <c r="Q30" s="382"/>
      <c r="T30" s="382"/>
    </row>
    <row r="31" spans="1:28" ht="15" customHeight="1" x14ac:dyDescent="0.25">
      <c r="A31" s="482"/>
      <c r="B31" s="482"/>
      <c r="C31" s="483"/>
      <c r="D31" s="483"/>
      <c r="E31" s="483"/>
      <c r="F31" s="637" t="str">
        <f>F4</f>
        <v>Optimal channel spend allowed to vary based on custom constraints of the 2024 channel spend</v>
      </c>
      <c r="G31" s="638"/>
      <c r="H31" s="638"/>
      <c r="I31" s="638"/>
      <c r="J31" s="638"/>
      <c r="K31" s="638"/>
      <c r="L31" s="638"/>
      <c r="M31" s="638"/>
      <c r="N31" s="638"/>
      <c r="O31" s="638"/>
      <c r="P31" s="638"/>
      <c r="Q31" s="638"/>
      <c r="R31" s="638"/>
      <c r="S31" s="638"/>
      <c r="T31" s="638"/>
    </row>
    <row r="32" spans="1:28" ht="39.75" customHeight="1" x14ac:dyDescent="0.25">
      <c r="A32" s="482"/>
      <c r="B32" s="482"/>
      <c r="C32" s="640" t="s">
        <v>341</v>
      </c>
      <c r="D32" s="641"/>
      <c r="E32" s="543"/>
      <c r="F32" s="650" t="str">
        <f>F5</f>
        <v>Removed Agency Fees; 
Corrected Adol TV Spend; lowered Adult spend to $74MM</v>
      </c>
      <c r="G32" s="651"/>
      <c r="H32" s="652"/>
      <c r="I32" s="544"/>
      <c r="J32" s="645" t="str">
        <f>J5</f>
        <v>20M increase in total budget (Adol/Adult split: $10MM/$10MM)</v>
      </c>
      <c r="K32" s="646"/>
      <c r="L32" s="647"/>
      <c r="M32" s="483"/>
      <c r="N32" s="645" t="str">
        <f>N5</f>
        <v>20M increase in total budget (Adol/Adult split: $12MM/$8MM)</v>
      </c>
      <c r="O32" s="646"/>
      <c r="P32" s="647"/>
      <c r="Q32" s="545"/>
      <c r="R32" s="639" t="str">
        <f>R5</f>
        <v>20M increase in total budget ( Global Max 140%)</v>
      </c>
      <c r="S32" s="639"/>
      <c r="T32" s="639"/>
    </row>
    <row r="33" spans="1:20" ht="25.5" x14ac:dyDescent="0.25">
      <c r="A33" s="536" t="s">
        <v>338</v>
      </c>
      <c r="B33" s="536" t="s">
        <v>339</v>
      </c>
      <c r="C33" s="537" t="s">
        <v>219</v>
      </c>
      <c r="D33" s="538" t="s">
        <v>220</v>
      </c>
      <c r="E33" s="539"/>
      <c r="F33" s="540" t="s">
        <v>222</v>
      </c>
      <c r="G33" s="538" t="s">
        <v>215</v>
      </c>
      <c r="H33" s="541" t="s">
        <v>216</v>
      </c>
      <c r="I33" s="539"/>
      <c r="J33" s="540" t="s">
        <v>222</v>
      </c>
      <c r="K33" s="538" t="s">
        <v>215</v>
      </c>
      <c r="L33" s="541" t="s">
        <v>216</v>
      </c>
      <c r="M33" s="483"/>
      <c r="N33" s="540" t="s">
        <v>222</v>
      </c>
      <c r="O33" s="538" t="s">
        <v>215</v>
      </c>
      <c r="P33" s="541" t="s">
        <v>216</v>
      </c>
      <c r="Q33" s="542"/>
      <c r="R33" s="540" t="s">
        <v>222</v>
      </c>
      <c r="S33" s="538" t="s">
        <v>215</v>
      </c>
      <c r="T33" s="541" t="s">
        <v>216</v>
      </c>
    </row>
    <row r="34" spans="1:20" x14ac:dyDescent="0.25">
      <c r="A34" s="520" t="str">
        <f t="shared" ref="A34:B49" si="3">A7</f>
        <v>Gardasil Adolescents</v>
      </c>
      <c r="B34" s="520" t="str">
        <f t="shared" si="3"/>
        <v>HCC In Office</v>
      </c>
      <c r="C34" s="521">
        <f t="shared" ref="C34:D49" si="4">C7/1000000</f>
        <v>1</v>
      </c>
      <c r="D34" s="522">
        <f t="shared" si="4"/>
        <v>3.6083065090601982</v>
      </c>
      <c r="E34" s="523"/>
      <c r="F34" s="524">
        <f t="shared" ref="F34:F50" si="5">F7/1000000</f>
        <v>1.3120662114589978</v>
      </c>
      <c r="G34" s="525">
        <f t="shared" ref="G34:G50" si="6">G7</f>
        <v>0.31206621145899782</v>
      </c>
      <c r="H34" s="526">
        <f t="shared" ref="H34:H50" si="7">H7/1000000</f>
        <v>4.4657004117103121</v>
      </c>
      <c r="I34" s="523"/>
      <c r="J34" s="553">
        <f t="shared" ref="J34:J50" si="8">J7/1000000</f>
        <v>1.6229298707509181</v>
      </c>
      <c r="K34" s="554">
        <f t="shared" ref="K34:K50" si="9">K7</f>
        <v>0.6229298707509181</v>
      </c>
      <c r="L34" s="555">
        <f t="shared" ref="L34:L50" si="10">L7/1000000</f>
        <v>5.218165538289008</v>
      </c>
      <c r="M34" s="527"/>
      <c r="N34" s="553">
        <f t="shared" ref="N34:N50" si="11">N7/1000000</f>
        <v>1.4862356790270803</v>
      </c>
      <c r="O34" s="554">
        <f t="shared" ref="O34:O50" si="12">O7</f>
        <v>0.48623567902708031</v>
      </c>
      <c r="P34" s="555">
        <f t="shared" ref="P34:P50" si="13">P7/1000000</f>
        <v>4.8989791498100672</v>
      </c>
      <c r="Q34" s="529"/>
      <c r="R34" s="524">
        <f t="shared" ref="R34:R50" si="14">R7/1000000</f>
        <v>1.4774464670283725</v>
      </c>
      <c r="S34" s="525">
        <f t="shared" ref="S34:S50" si="15">S7</f>
        <v>0.47744646702837246</v>
      </c>
      <c r="T34" s="528">
        <f t="shared" ref="T34:T50" si="16">T7/1000000</f>
        <v>6.8152124286170546</v>
      </c>
    </row>
    <row r="35" spans="1:20" x14ac:dyDescent="0.25">
      <c r="A35" s="520" t="str">
        <f t="shared" si="3"/>
        <v>Gardasil Adolescents</v>
      </c>
      <c r="B35" s="520" t="str">
        <f t="shared" si="3"/>
        <v>HCP MCM</v>
      </c>
      <c r="C35" s="530">
        <f t="shared" si="4"/>
        <v>7.7757779999999999</v>
      </c>
      <c r="D35" s="531">
        <f t="shared" si="4"/>
        <v>80.687519073682623</v>
      </c>
      <c r="E35" s="523"/>
      <c r="F35" s="532">
        <f t="shared" si="5"/>
        <v>11.179757928833689</v>
      </c>
      <c r="G35" s="533">
        <f t="shared" si="6"/>
        <v>0.4377671184585889</v>
      </c>
      <c r="H35" s="534">
        <f t="shared" si="7"/>
        <v>92.434455601042956</v>
      </c>
      <c r="I35" s="523"/>
      <c r="J35" s="556">
        <f t="shared" si="8"/>
        <v>13.277821722100425</v>
      </c>
      <c r="K35" s="554">
        <f t="shared" si="9"/>
        <v>0.7075875522809969</v>
      </c>
      <c r="L35" s="557">
        <f t="shared" si="10"/>
        <v>103.01404681703715</v>
      </c>
      <c r="M35" s="527"/>
      <c r="N35" s="556">
        <f t="shared" si="11"/>
        <v>14.043651326912649</v>
      </c>
      <c r="O35" s="554">
        <f t="shared" si="12"/>
        <v>0.80607668157612644</v>
      </c>
      <c r="P35" s="557">
        <f t="shared" si="13"/>
        <v>104.95691290580291</v>
      </c>
      <c r="Q35" s="529"/>
      <c r="R35" s="532">
        <f t="shared" si="14"/>
        <v>11.653434194842589</v>
      </c>
      <c r="S35" s="525">
        <f t="shared" si="15"/>
        <v>0.49868401526414313</v>
      </c>
      <c r="T35" s="535">
        <f t="shared" si="16"/>
        <v>97.889996867405003</v>
      </c>
    </row>
    <row r="36" spans="1:20" x14ac:dyDescent="0.25">
      <c r="A36" s="520" t="str">
        <f t="shared" si="3"/>
        <v>Gardasil Adolescents</v>
      </c>
      <c r="B36" s="520" t="str">
        <f t="shared" si="3"/>
        <v>HCC Social</v>
      </c>
      <c r="C36" s="530">
        <f t="shared" si="4"/>
        <v>1.84</v>
      </c>
      <c r="D36" s="531">
        <f t="shared" si="4"/>
        <v>20.811821049948755</v>
      </c>
      <c r="E36" s="523"/>
      <c r="F36" s="532">
        <f t="shared" si="5"/>
        <v>4.5932909936571518</v>
      </c>
      <c r="G36" s="533">
        <f t="shared" si="6"/>
        <v>1.4963538009006261</v>
      </c>
      <c r="H36" s="534">
        <f t="shared" si="7"/>
        <v>27.573258646637143</v>
      </c>
      <c r="I36" s="523"/>
      <c r="J36" s="556">
        <f t="shared" si="8"/>
        <v>6.3124292228504499</v>
      </c>
      <c r="K36" s="554">
        <f t="shared" si="9"/>
        <v>2.4306680558969838</v>
      </c>
      <c r="L36" s="557">
        <f t="shared" si="10"/>
        <v>43.605101544063814</v>
      </c>
      <c r="M36" s="527"/>
      <c r="N36" s="556">
        <f t="shared" si="11"/>
        <v>6.5</v>
      </c>
      <c r="O36" s="554">
        <f t="shared" si="12"/>
        <v>2.5326086956521738</v>
      </c>
      <c r="P36" s="557">
        <f t="shared" si="13"/>
        <v>44.377967027515723</v>
      </c>
      <c r="Q36" s="529"/>
      <c r="R36" s="532">
        <f t="shared" si="14"/>
        <v>5.4337194069541646</v>
      </c>
      <c r="S36" s="525">
        <f t="shared" si="15"/>
        <v>1.9531083733446546</v>
      </c>
      <c r="T36" s="535">
        <f t="shared" si="16"/>
        <v>30.498048005856685</v>
      </c>
    </row>
    <row r="37" spans="1:20" x14ac:dyDescent="0.25">
      <c r="A37" s="520" t="str">
        <f t="shared" si="3"/>
        <v>Gardasil Adolescents</v>
      </c>
      <c r="B37" s="520" t="str">
        <f t="shared" si="3"/>
        <v>HCC Online Video</v>
      </c>
      <c r="C37" s="530">
        <f t="shared" si="4"/>
        <v>1.22</v>
      </c>
      <c r="D37" s="531">
        <f t="shared" si="4"/>
        <v>5.7298438063793586</v>
      </c>
      <c r="E37" s="523"/>
      <c r="F37" s="532">
        <f t="shared" si="5"/>
        <v>1</v>
      </c>
      <c r="G37" s="533">
        <f t="shared" si="6"/>
        <v>-0.18032786885245902</v>
      </c>
      <c r="H37" s="534">
        <f t="shared" si="7"/>
        <v>3.3578328692201262</v>
      </c>
      <c r="I37" s="523"/>
      <c r="J37" s="556">
        <f t="shared" si="8"/>
        <v>1</v>
      </c>
      <c r="K37" s="554">
        <f t="shared" si="9"/>
        <v>-0.18032786885245902</v>
      </c>
      <c r="L37" s="557">
        <f t="shared" si="10"/>
        <v>5.6684833276297528</v>
      </c>
      <c r="M37" s="527"/>
      <c r="N37" s="556">
        <f t="shared" si="11"/>
        <v>1</v>
      </c>
      <c r="O37" s="554">
        <f t="shared" si="12"/>
        <v>-0.18032786885245902</v>
      </c>
      <c r="P37" s="557">
        <f t="shared" si="13"/>
        <v>5.6684833276297528</v>
      </c>
      <c r="Q37" s="529"/>
      <c r="R37" s="532">
        <f t="shared" si="14"/>
        <v>1</v>
      </c>
      <c r="S37" s="525">
        <f t="shared" si="15"/>
        <v>-0.18032786885245902</v>
      </c>
      <c r="T37" s="535">
        <f t="shared" si="16"/>
        <v>3.3578328692201262</v>
      </c>
    </row>
    <row r="38" spans="1:20" x14ac:dyDescent="0.25">
      <c r="A38" s="520" t="str">
        <f t="shared" si="3"/>
        <v>Gardasil Adolescents</v>
      </c>
      <c r="B38" s="520" t="str">
        <f t="shared" si="3"/>
        <v>HCC Streaming Video</v>
      </c>
      <c r="C38" s="530">
        <f t="shared" si="4"/>
        <v>4.8177979999999998</v>
      </c>
      <c r="D38" s="531">
        <f t="shared" si="4"/>
        <v>30.671602273905723</v>
      </c>
      <c r="E38" s="523"/>
      <c r="F38" s="532">
        <f t="shared" si="5"/>
        <v>6.7721751052560357</v>
      </c>
      <c r="G38" s="533">
        <f t="shared" si="6"/>
        <v>0.40565775178951791</v>
      </c>
      <c r="H38" s="534">
        <f t="shared" si="7"/>
        <v>34.845351543835868</v>
      </c>
      <c r="I38" s="523"/>
      <c r="J38" s="556">
        <f t="shared" si="8"/>
        <v>11.423325254108279</v>
      </c>
      <c r="K38" s="554">
        <f t="shared" si="9"/>
        <v>1.3710677064726002</v>
      </c>
      <c r="L38" s="557">
        <f t="shared" si="10"/>
        <v>56.130283127282965</v>
      </c>
      <c r="M38" s="527"/>
      <c r="N38" s="556">
        <f t="shared" si="11"/>
        <v>12.070112999999999</v>
      </c>
      <c r="O38" s="554">
        <f t="shared" si="12"/>
        <v>1.5053173669796867</v>
      </c>
      <c r="P38" s="557">
        <f t="shared" si="13"/>
        <v>58.336502542934554</v>
      </c>
      <c r="Q38" s="529"/>
      <c r="R38" s="532">
        <f t="shared" si="14"/>
        <v>8.4727452524451081</v>
      </c>
      <c r="S38" s="525">
        <f t="shared" si="15"/>
        <v>0.75863439115652154</v>
      </c>
      <c r="T38" s="535">
        <f t="shared" si="16"/>
        <v>40.761675682919972</v>
      </c>
    </row>
    <row r="39" spans="1:20" x14ac:dyDescent="0.25">
      <c r="A39" s="520" t="str">
        <f t="shared" si="3"/>
        <v>Gardasil Adolescents</v>
      </c>
      <c r="B39" s="520" t="str">
        <f t="shared" si="3"/>
        <v>HCC Display</v>
      </c>
      <c r="C39" s="530">
        <f t="shared" si="4"/>
        <v>3.54</v>
      </c>
      <c r="D39" s="531">
        <f t="shared" si="4"/>
        <v>55.720832469924211</v>
      </c>
      <c r="E39" s="523"/>
      <c r="F39" s="532">
        <f t="shared" si="5"/>
        <v>5.2427097667338556</v>
      </c>
      <c r="G39" s="533">
        <f t="shared" si="6"/>
        <v>0.48099145952933786</v>
      </c>
      <c r="H39" s="534">
        <f t="shared" si="7"/>
        <v>47.390542893941728</v>
      </c>
      <c r="I39" s="523"/>
      <c r="J39" s="556">
        <f t="shared" si="8"/>
        <v>6.5251289678753208</v>
      </c>
      <c r="K39" s="554">
        <f t="shared" si="9"/>
        <v>0.84325677058624871</v>
      </c>
      <c r="L39" s="557">
        <f t="shared" si="10"/>
        <v>72.609845589804181</v>
      </c>
      <c r="M39" s="527"/>
      <c r="N39" s="556">
        <f t="shared" si="11"/>
        <v>7.0000000000000009</v>
      </c>
      <c r="O39" s="554">
        <f t="shared" si="12"/>
        <v>0.97740112994350303</v>
      </c>
      <c r="P39" s="557">
        <f t="shared" si="13"/>
        <v>74.111465228846328</v>
      </c>
      <c r="Q39" s="529"/>
      <c r="R39" s="532">
        <f t="shared" si="14"/>
        <v>5.4571814787297708</v>
      </c>
      <c r="S39" s="525">
        <f t="shared" si="15"/>
        <v>0.54157668890671484</v>
      </c>
      <c r="T39" s="535">
        <f t="shared" si="16"/>
        <v>48.137663740853441</v>
      </c>
    </row>
    <row r="40" spans="1:20" x14ac:dyDescent="0.25">
      <c r="A40" s="520" t="str">
        <f t="shared" si="3"/>
        <v>Gardasil Adolescents</v>
      </c>
      <c r="B40" s="520" t="str">
        <f t="shared" si="3"/>
        <v>HCC Paid Search</v>
      </c>
      <c r="C40" s="530">
        <f t="shared" si="4"/>
        <v>0.4</v>
      </c>
      <c r="D40" s="531">
        <f t="shared" si="4"/>
        <v>32.769965884320236</v>
      </c>
      <c r="E40" s="523"/>
      <c r="F40" s="532">
        <f t="shared" si="5"/>
        <v>0.4</v>
      </c>
      <c r="G40" s="533">
        <f t="shared" si="6"/>
        <v>0</v>
      </c>
      <c r="H40" s="534">
        <f t="shared" si="7"/>
        <v>32.769965884320236</v>
      </c>
      <c r="I40" s="523"/>
      <c r="J40" s="556">
        <f t="shared" si="8"/>
        <v>0.4</v>
      </c>
      <c r="K40" s="554">
        <f t="shared" si="9"/>
        <v>0</v>
      </c>
      <c r="L40" s="557">
        <f t="shared" si="10"/>
        <v>32.769965884320236</v>
      </c>
      <c r="M40" s="527"/>
      <c r="N40" s="556">
        <f t="shared" si="11"/>
        <v>0.4</v>
      </c>
      <c r="O40" s="554">
        <f t="shared" si="12"/>
        <v>0</v>
      </c>
      <c r="P40" s="557">
        <f t="shared" si="13"/>
        <v>32.769965884320236</v>
      </c>
      <c r="Q40" s="529"/>
      <c r="R40" s="532">
        <f t="shared" si="14"/>
        <v>0.4</v>
      </c>
      <c r="S40" s="525">
        <f t="shared" si="15"/>
        <v>0</v>
      </c>
      <c r="T40" s="535">
        <f t="shared" si="16"/>
        <v>32.769965884320236</v>
      </c>
    </row>
    <row r="41" spans="1:20" x14ac:dyDescent="0.25">
      <c r="A41" s="520" t="str">
        <f t="shared" si="3"/>
        <v>Gardasil Adolescents</v>
      </c>
      <c r="B41" s="520" t="str">
        <f t="shared" si="3"/>
        <v>HCC Audio</v>
      </c>
      <c r="C41" s="530">
        <f t="shared" si="4"/>
        <v>2.2200000000000002</v>
      </c>
      <c r="D41" s="531">
        <f t="shared" si="4"/>
        <v>20.698391738152171</v>
      </c>
      <c r="E41" s="523"/>
      <c r="F41" s="532">
        <f t="shared" si="5"/>
        <v>4.8</v>
      </c>
      <c r="G41" s="533">
        <f t="shared" si="6"/>
        <v>1.1621621621621621</v>
      </c>
      <c r="H41" s="534">
        <f t="shared" si="7"/>
        <v>32.875287531392161</v>
      </c>
      <c r="I41" s="523"/>
      <c r="J41" s="556">
        <f t="shared" si="8"/>
        <v>4.7383646072586307</v>
      </c>
      <c r="K41" s="554">
        <f t="shared" si="9"/>
        <v>1.1343984717381221</v>
      </c>
      <c r="L41" s="557">
        <f t="shared" si="10"/>
        <v>32.621347973853716</v>
      </c>
      <c r="M41" s="527"/>
      <c r="N41" s="556">
        <f t="shared" si="11"/>
        <v>4.8</v>
      </c>
      <c r="O41" s="554">
        <f t="shared" si="12"/>
        <v>1.1621621621621621</v>
      </c>
      <c r="P41" s="557">
        <f t="shared" si="13"/>
        <v>32.875287531392161</v>
      </c>
      <c r="Q41" s="529"/>
      <c r="R41" s="532">
        <f t="shared" si="14"/>
        <v>4.8</v>
      </c>
      <c r="S41" s="525">
        <f t="shared" si="15"/>
        <v>1.1621621621621621</v>
      </c>
      <c r="T41" s="535">
        <f t="shared" si="16"/>
        <v>32.875287531392161</v>
      </c>
    </row>
    <row r="42" spans="1:20" x14ac:dyDescent="0.25">
      <c r="A42" s="520" t="str">
        <f t="shared" si="3"/>
        <v>Gardasil Adolescents</v>
      </c>
      <c r="B42" s="520">
        <f t="shared" si="3"/>
        <v>0</v>
      </c>
      <c r="C42" s="530">
        <f t="shared" si="4"/>
        <v>15.7</v>
      </c>
      <c r="D42" s="531">
        <f t="shared" si="4"/>
        <v>64.117823465933327</v>
      </c>
      <c r="E42" s="523"/>
      <c r="F42" s="532">
        <f t="shared" si="5"/>
        <v>15.7</v>
      </c>
      <c r="G42" s="533">
        <f t="shared" si="6"/>
        <v>0</v>
      </c>
      <c r="H42" s="534">
        <f t="shared" si="7"/>
        <v>63.695224076263159</v>
      </c>
      <c r="I42" s="523"/>
      <c r="J42" s="556">
        <f t="shared" si="8"/>
        <v>15.7</v>
      </c>
      <c r="K42" s="554">
        <f t="shared" si="9"/>
        <v>0</v>
      </c>
      <c r="L42" s="557">
        <f t="shared" si="10"/>
        <v>64.117823465933327</v>
      </c>
      <c r="M42" s="527"/>
      <c r="N42" s="556">
        <f t="shared" si="11"/>
        <v>15.7</v>
      </c>
      <c r="O42" s="554">
        <f t="shared" si="12"/>
        <v>0</v>
      </c>
      <c r="P42" s="557">
        <f t="shared" si="13"/>
        <v>64.117823465933327</v>
      </c>
      <c r="Q42" s="529"/>
      <c r="R42" s="532">
        <f t="shared" si="14"/>
        <v>16.888801000000001</v>
      </c>
      <c r="S42" s="525">
        <f t="shared" si="15"/>
        <v>0</v>
      </c>
      <c r="T42" s="535">
        <f t="shared" si="16"/>
        <v>67.034177652868721</v>
      </c>
    </row>
    <row r="43" spans="1:20" x14ac:dyDescent="0.25">
      <c r="A43" s="520" t="str">
        <f t="shared" si="3"/>
        <v>Gardasil Adults</v>
      </c>
      <c r="B43" s="520" t="str">
        <f t="shared" si="3"/>
        <v>HCC InOffice</v>
      </c>
      <c r="C43" s="530">
        <f t="shared" si="4"/>
        <v>1</v>
      </c>
      <c r="D43" s="531">
        <f t="shared" si="4"/>
        <v>0.9768564451627838</v>
      </c>
      <c r="E43" s="523"/>
      <c r="F43" s="532">
        <f t="shared" si="5"/>
        <v>0.9</v>
      </c>
      <c r="G43" s="533">
        <f t="shared" si="6"/>
        <v>-0.1</v>
      </c>
      <c r="H43" s="534">
        <f t="shared" si="7"/>
        <v>0.90445129161394855</v>
      </c>
      <c r="I43" s="523"/>
      <c r="J43" s="556">
        <f t="shared" si="8"/>
        <v>0.9</v>
      </c>
      <c r="K43" s="554">
        <f t="shared" si="9"/>
        <v>-0.1</v>
      </c>
      <c r="L43" s="557">
        <f t="shared" si="10"/>
        <v>0.90445129161394855</v>
      </c>
      <c r="M43" s="527"/>
      <c r="N43" s="556">
        <f t="shared" si="11"/>
        <v>0.9</v>
      </c>
      <c r="O43" s="554">
        <f t="shared" si="12"/>
        <v>-0.1</v>
      </c>
      <c r="P43" s="557">
        <f t="shared" si="13"/>
        <v>0.90445129161394855</v>
      </c>
      <c r="Q43" s="529"/>
      <c r="R43" s="532">
        <f t="shared" si="14"/>
        <v>0.9</v>
      </c>
      <c r="S43" s="525">
        <f t="shared" si="15"/>
        <v>-0.1</v>
      </c>
      <c r="T43" s="535">
        <f t="shared" si="16"/>
        <v>1.4104317445188572</v>
      </c>
    </row>
    <row r="44" spans="1:20" x14ac:dyDescent="0.25">
      <c r="A44" s="520" t="str">
        <f t="shared" si="3"/>
        <v>Gardasil Adults</v>
      </c>
      <c r="B44" s="520" t="str">
        <f t="shared" si="3"/>
        <v>HCP MCM</v>
      </c>
      <c r="C44" s="530">
        <f t="shared" si="4"/>
        <v>16.948</v>
      </c>
      <c r="D44" s="531">
        <f t="shared" si="4"/>
        <v>112.1057538405596</v>
      </c>
      <c r="E44" s="523"/>
      <c r="F44" s="532">
        <f t="shared" si="5"/>
        <v>22.05</v>
      </c>
      <c r="G44" s="533">
        <f t="shared" si="6"/>
        <v>0.30103847061600186</v>
      </c>
      <c r="H44" s="534">
        <f t="shared" si="7"/>
        <v>107.90234943036259</v>
      </c>
      <c r="I44" s="523"/>
      <c r="J44" s="556">
        <f t="shared" si="8"/>
        <v>22.05</v>
      </c>
      <c r="K44" s="554">
        <f t="shared" si="9"/>
        <v>0.30103847061600186</v>
      </c>
      <c r="L44" s="557">
        <f t="shared" si="10"/>
        <v>132.07886673840238</v>
      </c>
      <c r="M44" s="527"/>
      <c r="N44" s="556">
        <f t="shared" si="11"/>
        <v>22.05</v>
      </c>
      <c r="O44" s="554">
        <f t="shared" si="12"/>
        <v>0.30103847061600186</v>
      </c>
      <c r="P44" s="557">
        <f t="shared" si="13"/>
        <v>132.07886673840238</v>
      </c>
      <c r="Q44" s="529"/>
      <c r="R44" s="532">
        <f t="shared" si="14"/>
        <v>21</v>
      </c>
      <c r="S44" s="525">
        <f t="shared" si="15"/>
        <v>0.2390842577295256</v>
      </c>
      <c r="T44" s="535">
        <f t="shared" si="16"/>
        <v>105.72478672171538</v>
      </c>
    </row>
    <row r="45" spans="1:20" x14ac:dyDescent="0.25">
      <c r="A45" s="520" t="str">
        <f t="shared" si="3"/>
        <v>Gardasil Adults</v>
      </c>
      <c r="B45" s="520" t="str">
        <f t="shared" si="3"/>
        <v>HCC Social</v>
      </c>
      <c r="C45" s="530">
        <f t="shared" si="4"/>
        <v>2.2000000000000002</v>
      </c>
      <c r="D45" s="531">
        <f t="shared" si="4"/>
        <v>13.243840136854219</v>
      </c>
      <c r="E45" s="523"/>
      <c r="F45" s="532">
        <f t="shared" si="5"/>
        <v>2.290679647149426</v>
      </c>
      <c r="G45" s="533">
        <f t="shared" si="6"/>
        <v>4.1218021431557242E-2</v>
      </c>
      <c r="H45" s="534">
        <f t="shared" si="7"/>
        <v>6.3233783241345209</v>
      </c>
      <c r="I45" s="523"/>
      <c r="J45" s="556">
        <f t="shared" si="8"/>
        <v>2.290679647149426</v>
      </c>
      <c r="K45" s="554">
        <f t="shared" si="9"/>
        <v>4.1218021431557242E-2</v>
      </c>
      <c r="L45" s="557">
        <f t="shared" si="10"/>
        <v>13.568721719346239</v>
      </c>
      <c r="M45" s="527"/>
      <c r="N45" s="556">
        <f t="shared" si="11"/>
        <v>2.290679647149426</v>
      </c>
      <c r="O45" s="554">
        <f t="shared" si="12"/>
        <v>4.1218021431557242E-2</v>
      </c>
      <c r="P45" s="557">
        <f t="shared" si="13"/>
        <v>13.568721719346239</v>
      </c>
      <c r="Q45" s="529"/>
      <c r="R45" s="532">
        <f t="shared" si="14"/>
        <v>2.2823684526044192</v>
      </c>
      <c r="S45" s="525">
        <f t="shared" si="15"/>
        <v>3.7440205729281403E-2</v>
      </c>
      <c r="T45" s="535">
        <f t="shared" si="16"/>
        <v>6.3096025797727107</v>
      </c>
    </row>
    <row r="46" spans="1:20" x14ac:dyDescent="0.25">
      <c r="A46" s="520" t="str">
        <f t="shared" si="3"/>
        <v>Gardasil Adults</v>
      </c>
      <c r="B46" s="520" t="str">
        <f t="shared" si="3"/>
        <v>HCC Online Video</v>
      </c>
      <c r="C46" s="530">
        <f t="shared" si="4"/>
        <v>1.5</v>
      </c>
      <c r="D46" s="531">
        <f t="shared" si="4"/>
        <v>10.671052449402977</v>
      </c>
      <c r="E46" s="523"/>
      <c r="F46" s="532">
        <f t="shared" si="5"/>
        <v>2.0942161059919484</v>
      </c>
      <c r="G46" s="533">
        <f t="shared" si="6"/>
        <v>0.39614407066129892</v>
      </c>
      <c r="H46" s="534">
        <f t="shared" si="7"/>
        <v>7.1360313906607056</v>
      </c>
      <c r="I46" s="523"/>
      <c r="J46" s="556">
        <f t="shared" si="8"/>
        <v>2.0942161059919484</v>
      </c>
      <c r="K46" s="554">
        <f t="shared" si="9"/>
        <v>0.39614407066129892</v>
      </c>
      <c r="L46" s="557">
        <f t="shared" si="10"/>
        <v>12.813292806834147</v>
      </c>
      <c r="M46" s="527"/>
      <c r="N46" s="556">
        <f t="shared" si="11"/>
        <v>2.0942161059919484</v>
      </c>
      <c r="O46" s="554">
        <f t="shared" si="12"/>
        <v>0.39614407066129892</v>
      </c>
      <c r="P46" s="557">
        <f t="shared" si="13"/>
        <v>12.813292806834147</v>
      </c>
      <c r="Q46" s="529"/>
      <c r="R46" s="532">
        <f t="shared" si="14"/>
        <v>2.0918807528473775</v>
      </c>
      <c r="S46" s="525">
        <f t="shared" si="15"/>
        <v>0.39458716856491843</v>
      </c>
      <c r="T46" s="535">
        <f t="shared" si="16"/>
        <v>7.1321605639820653</v>
      </c>
    </row>
    <row r="47" spans="1:20" x14ac:dyDescent="0.25">
      <c r="A47" s="520" t="str">
        <f t="shared" si="3"/>
        <v>Gardasil Adults</v>
      </c>
      <c r="B47" s="520" t="str">
        <f t="shared" si="3"/>
        <v>HCC Streaming Video</v>
      </c>
      <c r="C47" s="530">
        <f t="shared" si="4"/>
        <v>10.268452</v>
      </c>
      <c r="D47" s="531">
        <f t="shared" si="4"/>
        <v>34.22001875786804</v>
      </c>
      <c r="E47" s="523"/>
      <c r="F47" s="532">
        <f t="shared" si="5"/>
        <v>8.3069009999999999</v>
      </c>
      <c r="G47" s="533">
        <f t="shared" si="6"/>
        <v>-0.19102694349644914</v>
      </c>
      <c r="H47" s="534">
        <f t="shared" si="7"/>
        <v>16.281797494816164</v>
      </c>
      <c r="I47" s="523"/>
      <c r="J47" s="556">
        <f t="shared" si="8"/>
        <v>8.3069009999999999</v>
      </c>
      <c r="K47" s="554">
        <f t="shared" si="9"/>
        <v>-0.19102694349644914</v>
      </c>
      <c r="L47" s="557">
        <f t="shared" si="10"/>
        <v>29.500819705867045</v>
      </c>
      <c r="M47" s="527"/>
      <c r="N47" s="556">
        <f t="shared" si="11"/>
        <v>8.3069009999999999</v>
      </c>
      <c r="O47" s="554">
        <f t="shared" si="12"/>
        <v>-0.19102694349644914</v>
      </c>
      <c r="P47" s="557">
        <f t="shared" si="13"/>
        <v>29.500819705867045</v>
      </c>
      <c r="Q47" s="529"/>
      <c r="R47" s="532">
        <f t="shared" si="14"/>
        <v>8.3069009999999999</v>
      </c>
      <c r="S47" s="525">
        <f t="shared" si="15"/>
        <v>-0.19102694349644914</v>
      </c>
      <c r="T47" s="535">
        <f t="shared" si="16"/>
        <v>16.281797494816164</v>
      </c>
    </row>
    <row r="48" spans="1:20" x14ac:dyDescent="0.25">
      <c r="A48" s="520" t="str">
        <f t="shared" si="3"/>
        <v>Gardasil Adults</v>
      </c>
      <c r="B48" s="520" t="str">
        <f t="shared" si="3"/>
        <v>HCC Display</v>
      </c>
      <c r="C48" s="530">
        <f t="shared" si="4"/>
        <v>4</v>
      </c>
      <c r="D48" s="531">
        <f t="shared" si="4"/>
        <v>26.401195702321921</v>
      </c>
      <c r="E48" s="523"/>
      <c r="F48" s="532">
        <f t="shared" si="5"/>
        <v>4.9999999998964046</v>
      </c>
      <c r="G48" s="533">
        <f t="shared" si="6"/>
        <v>0.24999999997410108</v>
      </c>
      <c r="H48" s="534">
        <f t="shared" si="7"/>
        <v>24.032152745787347</v>
      </c>
      <c r="I48" s="523"/>
      <c r="J48" s="556">
        <f t="shared" si="8"/>
        <v>5</v>
      </c>
      <c r="K48" s="554">
        <f t="shared" si="9"/>
        <v>0.25</v>
      </c>
      <c r="L48" s="557">
        <f t="shared" si="10"/>
        <v>30.183500428984576</v>
      </c>
      <c r="M48" s="527"/>
      <c r="N48" s="556">
        <f t="shared" si="11"/>
        <v>5</v>
      </c>
      <c r="O48" s="554">
        <f t="shared" si="12"/>
        <v>0.25</v>
      </c>
      <c r="P48" s="557">
        <f t="shared" si="13"/>
        <v>30.183500428984576</v>
      </c>
      <c r="Q48" s="529"/>
      <c r="R48" s="532">
        <f t="shared" si="14"/>
        <v>5</v>
      </c>
      <c r="S48" s="525">
        <f t="shared" si="15"/>
        <v>0.25</v>
      </c>
      <c r="T48" s="535">
        <f t="shared" si="16"/>
        <v>24.032152746086098</v>
      </c>
    </row>
    <row r="49" spans="1:23" x14ac:dyDescent="0.25">
      <c r="A49" s="520" t="str">
        <f t="shared" si="3"/>
        <v>Gardasil Adults</v>
      </c>
      <c r="B49" s="520" t="str">
        <f t="shared" si="3"/>
        <v>HCC Paid Search</v>
      </c>
      <c r="C49" s="530">
        <f t="shared" si="4"/>
        <v>0.2</v>
      </c>
      <c r="D49" s="531">
        <f t="shared" si="4"/>
        <v>17.969341094351833</v>
      </c>
      <c r="E49" s="523"/>
      <c r="F49" s="532">
        <f t="shared" si="5"/>
        <v>0.2</v>
      </c>
      <c r="G49" s="533">
        <f t="shared" si="6"/>
        <v>0</v>
      </c>
      <c r="H49" s="534">
        <f t="shared" si="7"/>
        <v>17.969341094351833</v>
      </c>
      <c r="I49" s="523"/>
      <c r="J49" s="556">
        <f t="shared" si="8"/>
        <v>0.2</v>
      </c>
      <c r="K49" s="554">
        <f t="shared" si="9"/>
        <v>0</v>
      </c>
      <c r="L49" s="557">
        <f t="shared" si="10"/>
        <v>17.969341094351833</v>
      </c>
      <c r="M49" s="527"/>
      <c r="N49" s="556">
        <f t="shared" si="11"/>
        <v>0.2</v>
      </c>
      <c r="O49" s="554">
        <f t="shared" si="12"/>
        <v>0</v>
      </c>
      <c r="P49" s="557">
        <f t="shared" si="13"/>
        <v>17.969341094351833</v>
      </c>
      <c r="Q49" s="529"/>
      <c r="R49" s="532">
        <f t="shared" si="14"/>
        <v>0.2</v>
      </c>
      <c r="S49" s="525">
        <f t="shared" si="15"/>
        <v>0</v>
      </c>
      <c r="T49" s="535">
        <f t="shared" si="16"/>
        <v>17.969341094351833</v>
      </c>
    </row>
    <row r="50" spans="1:23" x14ac:dyDescent="0.25">
      <c r="A50" s="520" t="str">
        <f t="shared" ref="A50:B50" si="17">A23</f>
        <v>Gardasil Adults</v>
      </c>
      <c r="B50" s="520" t="str">
        <f t="shared" si="17"/>
        <v>HCC Linear TV</v>
      </c>
      <c r="C50" s="530">
        <f>C23/1000000</f>
        <v>28.089210999999999</v>
      </c>
      <c r="D50" s="531">
        <f>D23/1000000</f>
        <v>42.182904802091699</v>
      </c>
      <c r="E50" s="523"/>
      <c r="F50" s="532">
        <f t="shared" si="5"/>
        <v>28.089210999999999</v>
      </c>
      <c r="G50" s="533">
        <f t="shared" si="6"/>
        <v>0</v>
      </c>
      <c r="H50" s="534">
        <f t="shared" si="7"/>
        <v>40.395109654958588</v>
      </c>
      <c r="I50" s="523"/>
      <c r="J50" s="556">
        <f t="shared" si="8"/>
        <v>38.089211360892108</v>
      </c>
      <c r="K50" s="554">
        <f t="shared" si="9"/>
        <v>0.35600858852504291</v>
      </c>
      <c r="L50" s="557">
        <f t="shared" si="10"/>
        <v>52.205972588288382</v>
      </c>
      <c r="M50" s="527"/>
      <c r="N50" s="556">
        <f t="shared" si="11"/>
        <v>36.089210999896409</v>
      </c>
      <c r="O50" s="554">
        <f t="shared" si="12"/>
        <v>0.28480686053789145</v>
      </c>
      <c r="P50" s="557">
        <f t="shared" si="13"/>
        <v>50.271631014643447</v>
      </c>
      <c r="Q50" s="529"/>
      <c r="R50" s="532">
        <f t="shared" si="14"/>
        <v>28.089210999999999</v>
      </c>
      <c r="S50" s="525">
        <f t="shared" si="15"/>
        <v>0</v>
      </c>
      <c r="T50" s="535">
        <f t="shared" si="16"/>
        <v>40.395109654958588</v>
      </c>
    </row>
    <row r="51" spans="1:23" x14ac:dyDescent="0.25">
      <c r="A51" s="520" t="str">
        <f>A24</f>
        <v>Gardasil Adults</v>
      </c>
      <c r="B51" s="520" t="str">
        <f>B24</f>
        <v>HCC Radio</v>
      </c>
      <c r="C51" s="530">
        <f t="shared" ref="C51:D54" si="18">C24/1000000</f>
        <v>1.5</v>
      </c>
      <c r="D51" s="531">
        <f t="shared" si="18"/>
        <v>7.2903099462908374</v>
      </c>
      <c r="E51" s="523"/>
      <c r="F51" s="532">
        <f>F24/1000000</f>
        <v>1.9591142410225026</v>
      </c>
      <c r="G51" s="533">
        <f>G24</f>
        <v>0.30607616068166837</v>
      </c>
      <c r="H51" s="534">
        <f>H24/1000000</f>
        <v>8.1121018302757157</v>
      </c>
      <c r="I51" s="523"/>
      <c r="J51" s="556">
        <f>J24/1000000</f>
        <v>1.9591142410225026</v>
      </c>
      <c r="K51" s="554">
        <f>K24</f>
        <v>0.30607616068166837</v>
      </c>
      <c r="L51" s="557">
        <f>L24/1000000</f>
        <v>8.1121018302757157</v>
      </c>
      <c r="M51" s="527"/>
      <c r="N51" s="556">
        <f>N24/1000000</f>
        <v>1.9591142410225026</v>
      </c>
      <c r="O51" s="554">
        <f>O24</f>
        <v>0.30607616068166837</v>
      </c>
      <c r="P51" s="557">
        <f>P24/1000000</f>
        <v>8.1121018302757157</v>
      </c>
      <c r="Q51" s="529"/>
      <c r="R51" s="532">
        <f>R24/1000000</f>
        <v>1.9543509945481978</v>
      </c>
      <c r="S51" s="525">
        <f>S24</f>
        <v>0.30290066303213187</v>
      </c>
      <c r="T51" s="535">
        <f>T24/1000000</f>
        <v>8.1042068009546782</v>
      </c>
    </row>
    <row r="52" spans="1:23" x14ac:dyDescent="0.25">
      <c r="A52" s="520" t="str">
        <f>A25</f>
        <v>Gardasil Adults</v>
      </c>
      <c r="B52" s="520" t="str">
        <f>B25</f>
        <v>HCC Pharmacy</v>
      </c>
      <c r="C52" s="530">
        <f t="shared" si="18"/>
        <v>3.2</v>
      </c>
      <c r="D52" s="531">
        <f t="shared" si="18"/>
        <v>5.0638371955307466</v>
      </c>
      <c r="E52" s="523"/>
      <c r="F52" s="532">
        <f>F25/1000000</f>
        <v>3.2</v>
      </c>
      <c r="G52" s="533">
        <f>G25</f>
        <v>0</v>
      </c>
      <c r="H52" s="534">
        <f>H25/1000000</f>
        <v>5.0638371955307466</v>
      </c>
      <c r="I52" s="523"/>
      <c r="J52" s="556">
        <f>J25/1000000</f>
        <v>3.2</v>
      </c>
      <c r="K52" s="554">
        <f>K25</f>
        <v>0</v>
      </c>
      <c r="L52" s="557">
        <f>L25/1000000</f>
        <v>5.0638371955307466</v>
      </c>
      <c r="M52" s="527"/>
      <c r="N52" s="556">
        <f>N25/1000000</f>
        <v>3.2</v>
      </c>
      <c r="O52" s="554">
        <f>O25</f>
        <v>0</v>
      </c>
      <c r="P52" s="557">
        <f>P25/1000000</f>
        <v>5.0638371955307466</v>
      </c>
      <c r="Q52" s="529"/>
      <c r="R52" s="532">
        <f>R25/1000000</f>
        <v>3.2</v>
      </c>
      <c r="S52" s="525">
        <f>S25</f>
        <v>0</v>
      </c>
      <c r="T52" s="535">
        <f>T25/1000000</f>
        <v>5.0638371955307466</v>
      </c>
    </row>
    <row r="53" spans="1:23" x14ac:dyDescent="0.25">
      <c r="A53" s="466"/>
      <c r="B53" s="507" t="str">
        <f>B26</f>
        <v>Gardasil Adolescents</v>
      </c>
      <c r="C53" s="508">
        <f t="shared" si="18"/>
        <v>38.513576</v>
      </c>
      <c r="D53" s="509">
        <f t="shared" si="18"/>
        <v>314.81610627130664</v>
      </c>
      <c r="E53" s="510"/>
      <c r="F53" s="511">
        <f t="shared" ref="F53:F54" si="19">F26/1000000</f>
        <v>51.000000005939732</v>
      </c>
      <c r="G53" s="484">
        <f t="shared" ref="G53:G54" si="20">G26</f>
        <v>0.32420837800000002</v>
      </c>
      <c r="H53" s="512">
        <f t="shared" ref="H53:H54" si="21">H26/1000000</f>
        <v>339.40761945836363</v>
      </c>
      <c r="I53" s="510"/>
      <c r="J53" s="547">
        <f t="shared" ref="J53:J54" si="22">J26/1000000</f>
        <v>60.999999644944026</v>
      </c>
      <c r="K53" s="533">
        <f t="shared" ref="K53:K54" si="23">K26</f>
        <v>0.58385707016518085</v>
      </c>
      <c r="L53" s="558">
        <f t="shared" ref="L53:L54" si="24">L26/1000000</f>
        <v>415.75506326821414</v>
      </c>
      <c r="M53" s="527"/>
      <c r="N53" s="547">
        <f t="shared" ref="N53:N54" si="25">N26/1000000</f>
        <v>63.000000005939732</v>
      </c>
      <c r="O53" s="533">
        <f t="shared" ref="O53:O54" si="26">O26</f>
        <v>0.63578681984606489</v>
      </c>
      <c r="P53" s="558">
        <f t="shared" ref="P53:P54" si="27">P26/1000000</f>
        <v>422.11338706418502</v>
      </c>
      <c r="Q53" s="513"/>
      <c r="R53" s="511">
        <f t="shared" ref="R53:R54" si="28">R26/1000000</f>
        <v>55.583327800000006</v>
      </c>
      <c r="S53" s="484">
        <f t="shared" ref="S53:S54" si="29">S26</f>
        <v>0.40000000000000013</v>
      </c>
      <c r="T53" s="512">
        <f t="shared" ref="T53:T54" si="30">T26/1000000</f>
        <v>360.13986066345348</v>
      </c>
      <c r="U53" s="180">
        <f>L53-D53</f>
        <v>100.93895699690751</v>
      </c>
      <c r="V53" s="180">
        <f>P53-D53</f>
        <v>107.29728079287838</v>
      </c>
      <c r="W53" s="180">
        <f>T53-D53</f>
        <v>45.323754392146839</v>
      </c>
    </row>
    <row r="54" spans="1:23" x14ac:dyDescent="0.25">
      <c r="A54" s="466"/>
      <c r="B54" s="507" t="str">
        <f>B27</f>
        <v>Gardasil Adults</v>
      </c>
      <c r="C54" s="508">
        <f t="shared" si="18"/>
        <v>68.905663000000004</v>
      </c>
      <c r="D54" s="509">
        <f t="shared" si="18"/>
        <v>270.1251103704347</v>
      </c>
      <c r="E54" s="510"/>
      <c r="F54" s="511">
        <f t="shared" si="19"/>
        <v>74.090121994060283</v>
      </c>
      <c r="G54" s="484">
        <f t="shared" si="20"/>
        <v>7.5239955155213839E-2</v>
      </c>
      <c r="H54" s="512">
        <f t="shared" si="21"/>
        <v>234.12055045249215</v>
      </c>
      <c r="I54" s="510"/>
      <c r="J54" s="547">
        <f t="shared" si="22"/>
        <v>84.090122355055982</v>
      </c>
      <c r="K54" s="533">
        <f t="shared" si="23"/>
        <v>0.22036591324948121</v>
      </c>
      <c r="L54" s="558">
        <f t="shared" si="24"/>
        <v>302.40090539949506</v>
      </c>
      <c r="M54" s="527"/>
      <c r="N54" s="547">
        <f t="shared" si="25"/>
        <v>82.090121994060283</v>
      </c>
      <c r="O54" s="533">
        <f t="shared" si="26"/>
        <v>0.19134071743944003</v>
      </c>
      <c r="P54" s="558">
        <f t="shared" si="27"/>
        <v>300.46656382585013</v>
      </c>
      <c r="Q54" s="513"/>
      <c r="R54" s="511">
        <f t="shared" si="28"/>
        <v>73.024712199999996</v>
      </c>
      <c r="S54" s="484">
        <f t="shared" si="29"/>
        <v>5.9778094000779047E-2</v>
      </c>
      <c r="T54" s="512">
        <f t="shared" si="30"/>
        <v>232.42342659668708</v>
      </c>
      <c r="U54" s="180">
        <f>L54-D54</f>
        <v>32.275795029060362</v>
      </c>
      <c r="V54" s="180">
        <f>P54-D54</f>
        <v>30.341453455415433</v>
      </c>
      <c r="W54" s="180">
        <f>T54-D54</f>
        <v>-37.701683773747618</v>
      </c>
    </row>
    <row r="55" spans="1:23" ht="29.65" customHeight="1" x14ac:dyDescent="0.25">
      <c r="A55" s="482"/>
      <c r="B55" s="507" t="s">
        <v>218</v>
      </c>
      <c r="C55" s="514">
        <f>C28/1000000</f>
        <v>107.419239</v>
      </c>
      <c r="D55" s="509">
        <f>D28/1000000</f>
        <v>584.94121664174145</v>
      </c>
      <c r="E55" s="510"/>
      <c r="F55" s="515">
        <f>F28/1000000</f>
        <v>125.09012199999999</v>
      </c>
      <c r="G55" s="516">
        <f>G28</f>
        <v>0.16450389301305701</v>
      </c>
      <c r="H55" s="512">
        <f>H28/1000000</f>
        <v>573.52816991085592</v>
      </c>
      <c r="I55" s="510"/>
      <c r="J55" s="547">
        <f>J28/1000000</f>
        <v>145.09012200000001</v>
      </c>
      <c r="K55" s="549">
        <f>K28</f>
        <v>0.35069027997861724</v>
      </c>
      <c r="L55" s="558">
        <f>L28/1000000</f>
        <v>718.15596866770932</v>
      </c>
      <c r="M55" s="527"/>
      <c r="N55" s="547">
        <f>N28/1000000</f>
        <v>145.09012200000001</v>
      </c>
      <c r="O55" s="549">
        <f>O28</f>
        <v>0.35069027997861724</v>
      </c>
      <c r="P55" s="558">
        <f>P28/1000000</f>
        <v>722.57995089003521</v>
      </c>
      <c r="Q55" s="513"/>
      <c r="R55" s="515">
        <f>R28/1000000</f>
        <v>128.60803999999999</v>
      </c>
      <c r="S55" s="516">
        <f>S28</f>
        <v>0.19725331511611249</v>
      </c>
      <c r="T55" s="512">
        <f>T28/1000000</f>
        <v>592.56328726014078</v>
      </c>
      <c r="U55" s="500">
        <f>U54*1.25</f>
        <v>40.344743786325452</v>
      </c>
      <c r="V55" s="500">
        <f>V54*1.25</f>
        <v>37.926816819269291</v>
      </c>
      <c r="W55" s="500">
        <f>W54*1.25</f>
        <v>-47.127104717184523</v>
      </c>
    </row>
    <row r="56" spans="1:23" ht="25.5" x14ac:dyDescent="0.25">
      <c r="A56" s="482"/>
      <c r="B56" s="507" t="s">
        <v>356</v>
      </c>
      <c r="C56" s="511" t="str">
        <f>_xlfn.CONCAT("ROI"," ", ,C61)</f>
        <v>ROI 5.45</v>
      </c>
      <c r="D56" s="517"/>
      <c r="E56" s="510"/>
      <c r="F56" s="511" t="str">
        <f>_xlfn.CONCAT("ROI"," ", ,F61)</f>
        <v>ROI 4.58</v>
      </c>
      <c r="G56" s="516"/>
      <c r="H56" s="518" t="s">
        <v>455</v>
      </c>
      <c r="I56" s="510"/>
      <c r="J56" s="511" t="str">
        <f>_xlfn.CONCAT("ROI"," ", ,J61)</f>
        <v>ROI 4.95</v>
      </c>
      <c r="K56" s="516"/>
      <c r="L56" s="518" t="s">
        <v>453</v>
      </c>
      <c r="M56" s="483"/>
      <c r="N56" s="511" t="str">
        <f>_xlfn.CONCAT("ROI"," ", ,N61)</f>
        <v>ROI 4.98</v>
      </c>
      <c r="O56" s="516"/>
      <c r="P56" s="518" t="s">
        <v>463</v>
      </c>
      <c r="Q56" s="519"/>
      <c r="R56" s="511" t="str">
        <f>_xlfn.CONCAT("ROI"," ", ,R61)</f>
        <v>ROI 4.61</v>
      </c>
      <c r="S56" s="516"/>
      <c r="T56" s="518" t="s">
        <v>363</v>
      </c>
    </row>
    <row r="57" spans="1:23" ht="38.25" x14ac:dyDescent="0.25">
      <c r="A57" s="482"/>
      <c r="B57" s="507" t="s">
        <v>357</v>
      </c>
      <c r="C57" s="511" t="str">
        <f>_xlfn.CONCAT("ROI"," ", ,C63)</f>
        <v>ROI 8.17</v>
      </c>
      <c r="D57" s="517"/>
      <c r="E57" s="510"/>
      <c r="F57" s="511" t="str">
        <f>_xlfn.CONCAT("ROI"," ", ,F63)</f>
        <v>ROI 6.66</v>
      </c>
      <c r="G57" s="516"/>
      <c r="H57" s="518" t="s">
        <v>456</v>
      </c>
      <c r="I57" s="510"/>
      <c r="J57" s="511" t="str">
        <f>_xlfn.CONCAT("ROI"," ", ,J63)</f>
        <v>ROI 6.82</v>
      </c>
      <c r="K57" s="516"/>
      <c r="L57" s="518" t="s">
        <v>454</v>
      </c>
      <c r="M57" s="483"/>
      <c r="N57" s="511" t="str">
        <f>_xlfn.CONCAT("ROI"," ", ,N63)</f>
        <v>ROI 6.7</v>
      </c>
      <c r="O57" s="516"/>
      <c r="P57" s="518" t="s">
        <v>464</v>
      </c>
      <c r="Q57" s="519"/>
      <c r="R57" s="511" t="str">
        <f>_xlfn.CONCAT("ROI"," ", ,R63)</f>
        <v>ROI 6.48</v>
      </c>
      <c r="S57" s="516"/>
      <c r="T57" s="518" t="s">
        <v>377</v>
      </c>
    </row>
    <row r="58" spans="1:23" ht="51" x14ac:dyDescent="0.25">
      <c r="A58" s="482"/>
      <c r="B58" s="507" t="s">
        <v>360</v>
      </c>
      <c r="C58" s="511" t="str">
        <f>_xlfn.CONCAT("ROI"," ", ,C65)</f>
        <v>ROI 3.92</v>
      </c>
      <c r="D58" s="517"/>
      <c r="E58" s="510"/>
      <c r="F58" s="511" t="str">
        <f>_xlfn.CONCAT("ROI"," ", ,F65)</f>
        <v>ROI 3.16</v>
      </c>
      <c r="G58" s="516"/>
      <c r="H58" s="518" t="s">
        <v>457</v>
      </c>
      <c r="I58" s="510"/>
      <c r="J58" s="511" t="str">
        <f>_xlfn.CONCAT("ROI"," ", ,J65)</f>
        <v>ROI 3.6</v>
      </c>
      <c r="K58" s="516"/>
      <c r="L58" s="518" t="s">
        <v>462</v>
      </c>
      <c r="M58" s="483"/>
      <c r="N58" s="511" t="str">
        <f>_xlfn.CONCAT("ROI"," ", ,N65)</f>
        <v>ROI 3.66</v>
      </c>
      <c r="O58" s="516"/>
      <c r="P58" s="518" t="s">
        <v>465</v>
      </c>
      <c r="Q58" s="519"/>
      <c r="R58" s="511" t="str">
        <f>_xlfn.CONCAT("ROI"," ", ,R65)</f>
        <v>ROI 3.18</v>
      </c>
      <c r="S58" s="516"/>
      <c r="T58" s="518" t="s">
        <v>378</v>
      </c>
    </row>
    <row r="59" spans="1:23" ht="38.25" x14ac:dyDescent="0.25">
      <c r="A59" s="482"/>
      <c r="B59" s="507" t="s">
        <v>359</v>
      </c>
      <c r="C59" s="511" t="str">
        <f>_xlfn.CONCAT("ROI"," ", ,C67)</f>
        <v>ROI 4.9</v>
      </c>
      <c r="D59" s="517"/>
      <c r="E59" s="510"/>
      <c r="F59" s="511" t="str">
        <f>_xlfn.CONCAT("ROI"," ", ,F67)</f>
        <v>ROI 3.95</v>
      </c>
      <c r="G59" s="516"/>
      <c r="H59" s="518" t="s">
        <v>458</v>
      </c>
      <c r="I59" s="510"/>
      <c r="J59" s="511" t="str">
        <f>_xlfn.CONCAT("ROI"," ", ,J67)</f>
        <v>ROI 4.5</v>
      </c>
      <c r="K59" s="516"/>
      <c r="L59" s="518" t="s">
        <v>461</v>
      </c>
      <c r="M59" s="483"/>
      <c r="N59" s="511" t="str">
        <f>_xlfn.CONCAT("ROI"," ", ,N67)</f>
        <v>ROI 4.58</v>
      </c>
      <c r="O59" s="516"/>
      <c r="P59" s="518" t="s">
        <v>466</v>
      </c>
      <c r="Q59" s="519"/>
      <c r="R59" s="511" t="str">
        <f>_xlfn.CONCAT("ROI"," ", ,R67)</f>
        <v>ROI 3.98</v>
      </c>
      <c r="S59" s="516"/>
      <c r="T59" s="518" t="s">
        <v>379</v>
      </c>
    </row>
    <row r="60" spans="1:23" ht="38.25" x14ac:dyDescent="0.25">
      <c r="A60" s="482"/>
      <c r="B60" s="507" t="s">
        <v>358</v>
      </c>
      <c r="C60" s="511" t="str">
        <f>_xlfn.CONCAT("ROI"," ", ,C69)</f>
        <v>ROI 3.14</v>
      </c>
      <c r="D60" s="517"/>
      <c r="E60" s="510"/>
      <c r="F60" s="511" t="str">
        <f>_xlfn.CONCAT("ROI"," ", ,F69)</f>
        <v>ROI 2.53</v>
      </c>
      <c r="G60" s="516"/>
      <c r="H60" s="518" t="s">
        <v>459</v>
      </c>
      <c r="I60" s="510"/>
      <c r="J60" s="511" t="str">
        <f>_xlfn.CONCAT("ROI"," ", ,J69)</f>
        <v>ROI 2.88</v>
      </c>
      <c r="K60" s="516"/>
      <c r="L60" s="518" t="s">
        <v>460</v>
      </c>
      <c r="M60" s="483"/>
      <c r="N60" s="511" t="str">
        <f>_xlfn.CONCAT("ROI"," ", ,N69)</f>
        <v>ROI 2.93</v>
      </c>
      <c r="O60" s="516"/>
      <c r="P60" s="518" t="s">
        <v>444</v>
      </c>
      <c r="Q60" s="519"/>
      <c r="R60" s="511" t="str">
        <f>_xlfn.CONCAT("ROI"," ", ,R69)</f>
        <v>ROI 2.55</v>
      </c>
      <c r="S60" s="516"/>
      <c r="T60" s="518" t="s">
        <v>380</v>
      </c>
    </row>
    <row r="61" spans="1:23" x14ac:dyDescent="0.25">
      <c r="C61" s="97">
        <f>ROUND(D55/C55,2)</f>
        <v>5.45</v>
      </c>
      <c r="F61" s="97">
        <f>ROUND(H55/F55,2)</f>
        <v>4.58</v>
      </c>
      <c r="H61" s="216">
        <f>(H55-$D$55)</f>
        <v>-11.413046730885526</v>
      </c>
      <c r="J61" s="97">
        <f>ROUND(L55/J55,2)</f>
        <v>4.95</v>
      </c>
      <c r="L61" s="216">
        <f>(L55-$D$55)</f>
        <v>133.21475202596787</v>
      </c>
      <c r="N61" s="97">
        <f>ROUND(P55/N55,2)</f>
        <v>4.9800000000000004</v>
      </c>
      <c r="P61" s="216">
        <f>(P55-$D$55)</f>
        <v>137.63873424829376</v>
      </c>
      <c r="Q61" s="506"/>
      <c r="R61" s="97">
        <f>ROUND(T55/R55,2)</f>
        <v>4.6100000000000003</v>
      </c>
      <c r="T61" s="216">
        <f>(T55-$D$55)</f>
        <v>7.6220706183993343</v>
      </c>
    </row>
    <row r="62" spans="1:23" x14ac:dyDescent="0.25">
      <c r="H62" s="280">
        <f>H61/$D$55</f>
        <v>-1.9511442186293512E-2</v>
      </c>
      <c r="J62" s="248"/>
      <c r="K62" s="248"/>
      <c r="L62" s="329">
        <f>L61/$D$55</f>
        <v>0.22774040918295865</v>
      </c>
      <c r="M62" s="248"/>
      <c r="N62" s="248"/>
      <c r="O62" s="248"/>
      <c r="P62" s="329">
        <f>P61/$D$55</f>
        <v>0.23530353193181336</v>
      </c>
      <c r="Q62" s="329"/>
      <c r="R62" s="248"/>
      <c r="S62" s="248"/>
      <c r="T62" s="329">
        <f>T61/$D$55</f>
        <v>1.3030489904881534E-2</v>
      </c>
    </row>
    <row r="63" spans="1:23" x14ac:dyDescent="0.25">
      <c r="C63" s="97">
        <f>ROUND(D53/C53,2)</f>
        <v>8.17</v>
      </c>
      <c r="F63" s="97">
        <f>ROUND(H53/F53,2)</f>
        <v>6.66</v>
      </c>
      <c r="H63" s="216">
        <f>H53-$D$53</f>
        <v>24.591513187056989</v>
      </c>
      <c r="J63" s="97">
        <f>ROUND(L53/J53,2)</f>
        <v>6.82</v>
      </c>
      <c r="L63" s="216">
        <f>L53-$D$53</f>
        <v>100.93895699690751</v>
      </c>
      <c r="N63" s="97">
        <f>ROUND(P53/N53,2)</f>
        <v>6.7</v>
      </c>
      <c r="P63" s="216">
        <f>P53-$D$53</f>
        <v>107.29728079287838</v>
      </c>
      <c r="R63" s="97">
        <f>ROUND(T53/R53,2)</f>
        <v>6.48</v>
      </c>
      <c r="T63" s="216">
        <f>T53-$D$53</f>
        <v>45.323754392146839</v>
      </c>
    </row>
    <row r="64" spans="1:23" x14ac:dyDescent="0.25">
      <c r="H64" s="280">
        <f>H63/$D$53</f>
        <v>7.8113897914308644E-2</v>
      </c>
      <c r="L64" s="329">
        <f>L63/$D$53</f>
        <v>0.32062831280277293</v>
      </c>
      <c r="M64" s="248"/>
      <c r="P64" s="329">
        <f>P63/$D$53</f>
        <v>0.34082525847775469</v>
      </c>
      <c r="T64" s="329">
        <f>T63/$D$53</f>
        <v>0.14396898217490531</v>
      </c>
    </row>
    <row r="65" spans="3:20" x14ac:dyDescent="0.25">
      <c r="C65" s="97">
        <f>ROUND(D54/C54,2)</f>
        <v>3.92</v>
      </c>
      <c r="F65" s="97">
        <f>ROUND(H54/F54,2)</f>
        <v>3.16</v>
      </c>
      <c r="H65" s="216">
        <f>H54-$D$54</f>
        <v>-36.004559917942544</v>
      </c>
      <c r="J65" s="97">
        <f>ROUND(L54/J54,2)</f>
        <v>3.6</v>
      </c>
      <c r="L65" s="216">
        <f>L54-$D$54</f>
        <v>32.275795029060362</v>
      </c>
      <c r="N65" s="97">
        <f>ROUND(P54/N54,2)</f>
        <v>3.66</v>
      </c>
      <c r="P65" s="216">
        <f>P54-$D$54</f>
        <v>30.341453455415433</v>
      </c>
      <c r="R65" s="97">
        <f>ROUND(T54/R54,2)</f>
        <v>3.18</v>
      </c>
      <c r="T65" s="216">
        <f>T54-$D$54</f>
        <v>-37.701683773747618</v>
      </c>
    </row>
    <row r="66" spans="3:20" x14ac:dyDescent="0.25">
      <c r="H66" s="280">
        <f>H65/$D$54</f>
        <v>-0.13328845981244719</v>
      </c>
      <c r="L66" s="329">
        <f>L65/$D$54</f>
        <v>0.11948461579450764</v>
      </c>
      <c r="M66" s="248"/>
      <c r="P66" s="329">
        <f>P65/$D$54</f>
        <v>0.11232370590726214</v>
      </c>
      <c r="T66" s="329">
        <f>T65/$D$54</f>
        <v>-0.13957119248205249</v>
      </c>
    </row>
    <row r="67" spans="3:20" x14ac:dyDescent="0.25">
      <c r="C67" s="97">
        <f>ROUND(D54*1.25/C54,2)</f>
        <v>4.9000000000000004</v>
      </c>
      <c r="F67" s="97">
        <f>ROUND(H54*1.25/F54,2)</f>
        <v>3.95</v>
      </c>
      <c r="H67" s="216">
        <f>H65*1.25</f>
        <v>-45.00569989742818</v>
      </c>
      <c r="J67" s="97">
        <f>ROUND(L54*1.25/J54,2)</f>
        <v>4.5</v>
      </c>
      <c r="L67" s="216">
        <f>L65*1.25</f>
        <v>40.344743786325452</v>
      </c>
      <c r="N67" s="97">
        <f>ROUND(P54*1.25/N54,2)</f>
        <v>4.58</v>
      </c>
      <c r="P67" s="216">
        <f>P65*1.25</f>
        <v>37.926816819269291</v>
      </c>
      <c r="R67" s="97">
        <f>ROUND(T54*1.25/R54,2)</f>
        <v>3.98</v>
      </c>
      <c r="T67" s="216">
        <f>T65*1.25</f>
        <v>-47.127104717184523</v>
      </c>
    </row>
    <row r="68" spans="3:20" x14ac:dyDescent="0.25">
      <c r="H68" s="280">
        <f>H67/($D$54*1.25)</f>
        <v>-0.13328845981244719</v>
      </c>
      <c r="L68" s="329">
        <f>L67/($D$54*1.25)</f>
        <v>0.11948461579450764</v>
      </c>
      <c r="M68" s="248"/>
      <c r="P68" s="329">
        <f>P67/($D$54*1.25)</f>
        <v>0.11232370590726214</v>
      </c>
      <c r="T68" s="329">
        <f>T67/($D$54*1.25)</f>
        <v>-0.13957119248205252</v>
      </c>
    </row>
    <row r="69" spans="3:20" x14ac:dyDescent="0.25">
      <c r="C69" s="97">
        <f>ROUND(D54*0.8/C54,2)</f>
        <v>3.14</v>
      </c>
      <c r="F69" s="97">
        <f>ROUND(H54*0.8/F54,2)</f>
        <v>2.5299999999999998</v>
      </c>
      <c r="H69" s="216">
        <f>H65*0.8</f>
        <v>-28.803647934354036</v>
      </c>
      <c r="J69" s="97">
        <f>ROUND(L54*0.8/J54,2)</f>
        <v>2.88</v>
      </c>
      <c r="L69" s="216">
        <f>L65*0.8</f>
        <v>25.820636023248291</v>
      </c>
      <c r="N69" s="97">
        <f>ROUND(P54*0.8/N54,2)</f>
        <v>2.93</v>
      </c>
      <c r="P69" s="216">
        <f>P65*0.8</f>
        <v>24.273162764332348</v>
      </c>
      <c r="R69" s="97">
        <f>ROUND(T54*0.8/R54,2)</f>
        <v>2.5499999999999998</v>
      </c>
      <c r="T69" s="216">
        <f>T65*0.8</f>
        <v>-30.161347018998097</v>
      </c>
    </row>
    <row r="70" spans="3:20" x14ac:dyDescent="0.25">
      <c r="H70" s="280">
        <f>H69/($D$54*0.8)</f>
        <v>-0.13328845981244719</v>
      </c>
      <c r="L70" s="329">
        <f>L69/($D$54*0.8)</f>
        <v>0.11948461579450764</v>
      </c>
      <c r="M70" s="248"/>
      <c r="P70" s="329">
        <f>P69/($D$54*0.8)</f>
        <v>0.11232370590726214</v>
      </c>
      <c r="T70" s="329">
        <f>T69/($D$54*0.8)</f>
        <v>-0.13957119248205252</v>
      </c>
    </row>
    <row r="81" ht="27.6" customHeight="1" x14ac:dyDescent="0.25"/>
  </sheetData>
  <mergeCells count="11">
    <mergeCell ref="F31:T31"/>
    <mergeCell ref="F4:P4"/>
    <mergeCell ref="F5:H5"/>
    <mergeCell ref="J5:L5"/>
    <mergeCell ref="N5:P5"/>
    <mergeCell ref="R5:T5"/>
    <mergeCell ref="C32:D32"/>
    <mergeCell ref="F32:H32"/>
    <mergeCell ref="J32:L32"/>
    <mergeCell ref="N32:P32"/>
    <mergeCell ref="R32:T32"/>
  </mergeCells>
  <conditionalFormatting sqref="G34:G52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O34:O52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K34:K52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G53:G54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K53:K54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O53:O5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S34:S52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S53:S54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J26:L27" formulaRange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3"/>
  <sheetViews>
    <sheetView tabSelected="1" zoomScale="90" zoomScaleNormal="90" workbookViewId="0">
      <selection activeCell="H30" sqref="H30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25.28515625" style="1" customWidth="1"/>
    <col min="4" max="4" width="22.42578125" style="1" bestFit="1" customWidth="1"/>
    <col min="5" max="5" width="22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657" t="s">
        <v>342</v>
      </c>
      <c r="C4" s="658"/>
      <c r="D4" s="658"/>
      <c r="E4" s="658"/>
      <c r="F4" s="658"/>
      <c r="G4" s="658"/>
      <c r="H4" s="658"/>
      <c r="I4" s="658"/>
      <c r="N4" s="1" t="s">
        <v>270</v>
      </c>
    </row>
    <row r="5" spans="1:14" x14ac:dyDescent="0.2">
      <c r="A5" s="48" t="s">
        <v>79</v>
      </c>
      <c r="B5" s="1" t="s">
        <v>127</v>
      </c>
      <c r="E5" s="659" t="s">
        <v>50</v>
      </c>
      <c r="F5" s="660"/>
      <c r="G5" s="660"/>
      <c r="H5" s="660"/>
      <c r="I5" s="661"/>
      <c r="N5" s="1" t="s">
        <v>271</v>
      </c>
    </row>
    <row r="6" spans="1:14" x14ac:dyDescent="0.2">
      <c r="A6" s="48" t="s">
        <v>80</v>
      </c>
      <c r="B6" s="1" t="s">
        <v>195</v>
      </c>
      <c r="E6" s="662" t="s">
        <v>51</v>
      </c>
      <c r="F6" s="663"/>
      <c r="G6" s="663"/>
      <c r="H6" s="663"/>
      <c r="I6" s="664"/>
    </row>
    <row r="7" spans="1:14" s="98" customFormat="1" x14ac:dyDescent="0.2">
      <c r="A7" s="580"/>
      <c r="E7" s="673" t="s">
        <v>426</v>
      </c>
      <c r="F7" s="673"/>
      <c r="G7" s="673"/>
      <c r="H7" s="673"/>
      <c r="I7" s="673"/>
    </row>
    <row r="8" spans="1:14" s="98" customFormat="1" ht="15" x14ac:dyDescent="0.25">
      <c r="A8" s="117"/>
      <c r="B8" s="117"/>
      <c r="E8" s="593" t="s">
        <v>406</v>
      </c>
      <c r="F8"/>
      <c r="G8"/>
      <c r="H8"/>
      <c r="I8"/>
    </row>
    <row r="9" spans="1:14" ht="15.75" thickBot="1" x14ac:dyDescent="0.3">
      <c r="C9"/>
      <c r="D9" s="485" t="s">
        <v>348</v>
      </c>
      <c r="E9" s="589">
        <f>INDEX(Case_Constraints!$C$2:$G$23,MATCH($D9,Case_Constraints!$C$2:$C$23,0),MATCH($E$8,Case_Constraints!$C$2:$G$2,0))</f>
        <v>24486424.00593973</v>
      </c>
    </row>
    <row r="10" spans="1:14" ht="13.5" thickBot="1" x14ac:dyDescent="0.25">
      <c r="A10" s="51" t="s">
        <v>81</v>
      </c>
      <c r="D10" s="485" t="s">
        <v>349</v>
      </c>
      <c r="E10" s="589">
        <f>INDEX(Case_Constraints!$C$2:$G$23,MATCH($D10,Case_Constraints!$C$2:$C$23,0),MATCH($E$8,Case_Constraints!$C$2:$G$2,0))</f>
        <v>13184458.994060278</v>
      </c>
    </row>
    <row r="11" spans="1:14" ht="13.5" thickBot="1" x14ac:dyDescent="0.25">
      <c r="A11" s="29" t="s">
        <v>83</v>
      </c>
      <c r="B11" s="57">
        <f>J42</f>
        <v>3198105.4744181428</v>
      </c>
      <c r="C11" s="489"/>
      <c r="K11" s="1">
        <f>G51/D51</f>
        <v>3.6083065090601982</v>
      </c>
    </row>
    <row r="12" spans="1:14" ht="13.5" thickBot="1" x14ac:dyDescent="0.25">
      <c r="A12" s="50"/>
      <c r="E12" s="1" t="s">
        <v>94</v>
      </c>
      <c r="K12" s="98">
        <f t="shared" ref="K12:K13" si="0">G52/D52</f>
        <v>10.376777612951736</v>
      </c>
    </row>
    <row r="13" spans="1:14" x14ac:dyDescent="0.2">
      <c r="A13" s="400" t="s">
        <v>82</v>
      </c>
      <c r="B13" s="395" t="s">
        <v>84</v>
      </c>
      <c r="C13" s="395" t="s">
        <v>97</v>
      </c>
      <c r="D13" s="395" t="s">
        <v>98</v>
      </c>
      <c r="E13" s="395" t="s">
        <v>160</v>
      </c>
      <c r="F13" s="395" t="s">
        <v>161</v>
      </c>
      <c r="G13" s="396" t="s">
        <v>302</v>
      </c>
      <c r="K13" s="98">
        <f t="shared" si="0"/>
        <v>11.310772309754759</v>
      </c>
    </row>
    <row r="14" spans="1:14" s="98" customFormat="1" x14ac:dyDescent="0.2">
      <c r="A14" s="401" t="s">
        <v>300</v>
      </c>
      <c r="B14" s="397">
        <f>SUM(E21:E29,E9)</f>
        <v>63000000.00593973</v>
      </c>
      <c r="C14" s="398">
        <f>SUM(E21:E29)*E14</f>
        <v>38513576</v>
      </c>
      <c r="D14" s="398">
        <f>B14*F14</f>
        <v>63000000.00593973</v>
      </c>
      <c r="E14" s="399">
        <v>1</v>
      </c>
      <c r="F14" s="399">
        <v>1</v>
      </c>
      <c r="G14" s="415">
        <f>I30</f>
        <v>63000000.00593973</v>
      </c>
      <c r="H14" s="501">
        <f>D14-C14</f>
        <v>24486424.00593973</v>
      </c>
      <c r="I14" s="98">
        <f>(C14+5000000)/C14</f>
        <v>1.1298243507691936</v>
      </c>
    </row>
    <row r="15" spans="1:14" s="98" customFormat="1" x14ac:dyDescent="0.2">
      <c r="A15" s="401" t="s">
        <v>301</v>
      </c>
      <c r="B15" s="397">
        <f>SUM(E31:E40,E10)</f>
        <v>82090121.994060278</v>
      </c>
      <c r="C15" s="398">
        <f>SUM(E31:E40)*E15</f>
        <v>68905663</v>
      </c>
      <c r="D15" s="398">
        <f>B15*F15</f>
        <v>82090121.994060278</v>
      </c>
      <c r="E15" s="399">
        <v>1</v>
      </c>
      <c r="F15" s="399">
        <v>1</v>
      </c>
      <c r="G15" s="415">
        <f>I41</f>
        <v>82090121.994060278</v>
      </c>
      <c r="H15" s="501">
        <f>D15-C15</f>
        <v>13184458.994060278</v>
      </c>
      <c r="I15" s="98">
        <f>(C15+5000000)/C15</f>
        <v>1.0725629764276414</v>
      </c>
    </row>
    <row r="16" spans="1:14" s="251" customFormat="1" ht="13.5" thickBot="1" x14ac:dyDescent="0.25">
      <c r="A16" s="402" t="s">
        <v>159</v>
      </c>
      <c r="B16" s="95">
        <v>145090122</v>
      </c>
      <c r="C16" s="502">
        <f>SUM(C14:C15)</f>
        <v>107419239</v>
      </c>
      <c r="D16" s="502">
        <f>SUM(D14:D15)</f>
        <v>145090122</v>
      </c>
      <c r="E16" s="403">
        <v>1</v>
      </c>
      <c r="F16" s="403">
        <v>1</v>
      </c>
      <c r="G16" s="416">
        <f>I42</f>
        <v>145090122</v>
      </c>
      <c r="I16" s="486">
        <f>E42+20000000</f>
        <v>127419239</v>
      </c>
      <c r="J16" s="251">
        <f>I16/E42</f>
        <v>1.1861863869655602</v>
      </c>
      <c r="K16" s="265"/>
      <c r="L16" s="265"/>
    </row>
    <row r="17" spans="1:17" ht="13.5" thickBot="1" x14ac:dyDescent="0.25">
      <c r="B17" s="594" t="s">
        <v>435</v>
      </c>
      <c r="L17" s="143">
        <f>G72</f>
        <v>584941216.64174139</v>
      </c>
      <c r="M17" s="113">
        <f>J72</f>
        <v>722579950.89003515</v>
      </c>
    </row>
    <row r="18" spans="1:17" ht="60.6" customHeight="1" thickBot="1" x14ac:dyDescent="0.25">
      <c r="A18" s="52" t="s">
        <v>85</v>
      </c>
      <c r="D18" s="96" t="s">
        <v>95</v>
      </c>
      <c r="E18" s="96" t="s">
        <v>95</v>
      </c>
      <c r="F18" s="96" t="s">
        <v>96</v>
      </c>
      <c r="G18" s="274"/>
      <c r="H18" s="274"/>
      <c r="I18" s="56" t="s">
        <v>95</v>
      </c>
      <c r="J18" s="56" t="s">
        <v>96</v>
      </c>
    </row>
    <row r="19" spans="1:17" ht="27.75" customHeight="1" x14ac:dyDescent="0.2">
      <c r="A19" s="632" t="s">
        <v>2</v>
      </c>
      <c r="B19" s="630" t="s">
        <v>3</v>
      </c>
      <c r="C19" s="630" t="s">
        <v>38</v>
      </c>
      <c r="D19" s="630" t="s">
        <v>128</v>
      </c>
      <c r="E19" s="665" t="s">
        <v>86</v>
      </c>
      <c r="F19" s="667"/>
      <c r="G19" s="628" t="s">
        <v>131</v>
      </c>
      <c r="H19" s="629"/>
      <c r="I19" s="628" t="s">
        <v>89</v>
      </c>
      <c r="J19" s="629"/>
      <c r="K19" s="665" t="s">
        <v>90</v>
      </c>
      <c r="L19" s="666"/>
      <c r="M19" s="666"/>
      <c r="N19" s="667"/>
    </row>
    <row r="20" spans="1:17" ht="25.5" x14ac:dyDescent="0.2">
      <c r="A20" s="631"/>
      <c r="B20" s="631"/>
      <c r="C20" s="631"/>
      <c r="D20" s="631"/>
      <c r="E20" s="78" t="s">
        <v>149</v>
      </c>
      <c r="F20" s="78" t="s">
        <v>193</v>
      </c>
      <c r="G20" s="78" t="s">
        <v>87</v>
      </c>
      <c r="H20" s="551" t="s">
        <v>88</v>
      </c>
      <c r="I20" s="55" t="s">
        <v>148</v>
      </c>
      <c r="J20" s="55" t="s">
        <v>196</v>
      </c>
      <c r="K20" s="78" t="s">
        <v>130</v>
      </c>
      <c r="L20" s="78" t="s">
        <v>197</v>
      </c>
      <c r="M20" s="78" t="s">
        <v>91</v>
      </c>
      <c r="N20" s="78" t="s">
        <v>92</v>
      </c>
    </row>
    <row r="21" spans="1:17" x14ac:dyDescent="0.2">
      <c r="A21" s="267" t="s">
        <v>175</v>
      </c>
      <c r="B21" s="285" t="s">
        <v>225</v>
      </c>
      <c r="C21" s="53" t="s">
        <v>129</v>
      </c>
      <c r="D21" s="296">
        <v>1</v>
      </c>
      <c r="E21" s="340">
        <v>1000000</v>
      </c>
      <c r="F21" s="297">
        <f>GINOFF!I9</f>
        <v>15970.197880234569</v>
      </c>
      <c r="G21" s="581">
        <v>1000000</v>
      </c>
      <c r="H21" s="590">
        <f>INDEX(Case_Constraints!$C$2:$G$23,MATCH(_xlfn.CONCAT(A21," ",B21),Case_Constraints!$C$2:$C$23,0),MATCH($E$8,Case_Constraints!$C$2:$G$2,0))</f>
        <v>7500000</v>
      </c>
      <c r="I21" s="584">
        <v>1486235.6790270803</v>
      </c>
      <c r="J21" s="298">
        <f>GINOFF!F9</f>
        <v>21682.655350137502</v>
      </c>
      <c r="K21" s="299">
        <f>I21-E21</f>
        <v>486235.6790270803</v>
      </c>
      <c r="L21" s="299">
        <f>J21-F21</f>
        <v>5712.4574699029326</v>
      </c>
      <c r="M21" s="300">
        <f>K21/E21</f>
        <v>0.48623567902708031</v>
      </c>
      <c r="N21" s="300">
        <f>L21/F21</f>
        <v>0.35769484590876144</v>
      </c>
      <c r="O21" s="323">
        <f>E21/F21</f>
        <v>62.616631772461922</v>
      </c>
      <c r="P21" s="287">
        <f>G21/1000000</f>
        <v>1</v>
      </c>
      <c r="Q21" s="287">
        <f>H21/1000000</f>
        <v>7.5</v>
      </c>
    </row>
    <row r="22" spans="1:17" x14ac:dyDescent="0.2">
      <c r="A22" s="268" t="s">
        <v>175</v>
      </c>
      <c r="B22" s="286" t="s">
        <v>226</v>
      </c>
      <c r="C22" s="54" t="s">
        <v>129</v>
      </c>
      <c r="D22" s="301">
        <v>1</v>
      </c>
      <c r="E22" s="306">
        <v>7775778</v>
      </c>
      <c r="F22" s="302">
        <f>GMCM!I9</f>
        <v>357119.23109534662</v>
      </c>
      <c r="G22" s="582">
        <v>5400000</v>
      </c>
      <c r="H22" s="591">
        <f>INDEX(Case_Constraints!$C$2:$G$23,MATCH(_xlfn.CONCAT(A22," ",B22),Case_Constraints!$C$2:$C$23,0),MATCH($E$8,Case_Constraints!$C$2:$G$2,0))</f>
        <v>16000000</v>
      </c>
      <c r="I22" s="585">
        <v>14043651.326912649</v>
      </c>
      <c r="J22" s="303">
        <f>GMCM!F9</f>
        <v>464534.44678145926</v>
      </c>
      <c r="K22" s="304">
        <f>I22-E22</f>
        <v>6267873.326912649</v>
      </c>
      <c r="L22" s="304">
        <f t="shared" ref="L22" si="1">J22-F22</f>
        <v>107415.21568611264</v>
      </c>
      <c r="M22" s="305">
        <f>K22/E22</f>
        <v>0.80607668157612644</v>
      </c>
      <c r="N22" s="305">
        <f t="shared" ref="N22:N40" si="2">L22/F22</f>
        <v>0.30078250156579789</v>
      </c>
      <c r="O22" s="323">
        <f t="shared" ref="O22:O38" si="3">E22/F22</f>
        <v>21.773618788745541</v>
      </c>
      <c r="P22" s="287">
        <f t="shared" ref="P22:Q30" si="4">G22/1000000</f>
        <v>5.4</v>
      </c>
      <c r="Q22" s="287">
        <f t="shared" si="4"/>
        <v>16</v>
      </c>
    </row>
    <row r="23" spans="1:17" s="98" customFormat="1" x14ac:dyDescent="0.2">
      <c r="A23" s="268" t="s">
        <v>175</v>
      </c>
      <c r="B23" s="286" t="s">
        <v>227</v>
      </c>
      <c r="C23" s="54" t="s">
        <v>169</v>
      </c>
      <c r="D23" s="301">
        <v>1</v>
      </c>
      <c r="E23" s="306">
        <v>1840000</v>
      </c>
      <c r="F23" s="302">
        <f>GSOC!I9</f>
        <v>92112.158316140369</v>
      </c>
      <c r="G23" s="582">
        <v>1599500</v>
      </c>
      <c r="H23" s="591">
        <f>INDEX(Case_Constraints!$C$2:$G$23,MATCH(_xlfn.CONCAT(A23," ",B23),Case_Constraints!$C$2:$C$23,0),MATCH($E$8,Case_Constraints!$C$2:$G$2,0))</f>
        <v>6500000</v>
      </c>
      <c r="I23" s="585">
        <v>6500000</v>
      </c>
      <c r="J23" s="303">
        <f>GSOC!F9</f>
        <v>196414.83149294381</v>
      </c>
      <c r="K23" s="304">
        <f t="shared" ref="K23:K40" si="5">I23-E23</f>
        <v>4660000</v>
      </c>
      <c r="L23" s="304">
        <f t="shared" ref="L23:L40" si="6">J23-F23</f>
        <v>104302.67317680344</v>
      </c>
      <c r="M23" s="305">
        <f t="shared" ref="M23:M40" si="7">K23/E23</f>
        <v>2.5326086956521738</v>
      </c>
      <c r="N23" s="305">
        <f t="shared" si="2"/>
        <v>1.1323442538261204</v>
      </c>
      <c r="O23" s="323">
        <f t="shared" si="3"/>
        <v>19.975647445854992</v>
      </c>
      <c r="P23" s="287">
        <f t="shared" si="4"/>
        <v>1.5994999999999999</v>
      </c>
      <c r="Q23" s="287">
        <f t="shared" si="4"/>
        <v>6.5</v>
      </c>
    </row>
    <row r="24" spans="1:17" s="98" customFormat="1" x14ac:dyDescent="0.2">
      <c r="A24" s="268" t="s">
        <v>175</v>
      </c>
      <c r="B24" s="286" t="s">
        <v>245</v>
      </c>
      <c r="C24" s="54" t="s">
        <v>129</v>
      </c>
      <c r="D24" s="301">
        <v>1</v>
      </c>
      <c r="E24" s="306">
        <v>1220000</v>
      </c>
      <c r="F24" s="302">
        <f>GOLV!I9</f>
        <v>25360.023928385228</v>
      </c>
      <c r="G24" s="582">
        <v>1000000</v>
      </c>
      <c r="H24" s="591">
        <f>INDEX(Case_Constraints!$C$2:$G$23,MATCH(_xlfn.CONCAT(A24," ",B24),Case_Constraints!$C$2:$C$23,0),MATCH($E$8,Case_Constraints!$C$2:$G$2,0))</f>
        <v>3500000</v>
      </c>
      <c r="I24" s="585">
        <v>1000000</v>
      </c>
      <c r="J24" s="303">
        <f>GOLV!F9</f>
        <v>25088.44528472051</v>
      </c>
      <c r="K24" s="304">
        <f t="shared" si="5"/>
        <v>-220000</v>
      </c>
      <c r="L24" s="304">
        <f t="shared" si="6"/>
        <v>-271.57864366471767</v>
      </c>
      <c r="M24" s="305">
        <f t="shared" si="7"/>
        <v>-0.18032786885245902</v>
      </c>
      <c r="N24" s="305">
        <f t="shared" si="2"/>
        <v>-1.0708926948635185E-2</v>
      </c>
      <c r="O24" s="323">
        <f t="shared" si="3"/>
        <v>48.107210129027749</v>
      </c>
      <c r="P24" s="287">
        <f t="shared" si="4"/>
        <v>1</v>
      </c>
      <c r="Q24" s="287">
        <f t="shared" si="4"/>
        <v>3.5</v>
      </c>
    </row>
    <row r="25" spans="1:17" s="98" customFormat="1" x14ac:dyDescent="0.2">
      <c r="A25" s="268" t="s">
        <v>175</v>
      </c>
      <c r="B25" s="286" t="s">
        <v>247</v>
      </c>
      <c r="C25" s="54" t="s">
        <v>169</v>
      </c>
      <c r="D25" s="301">
        <v>1</v>
      </c>
      <c r="E25" s="306">
        <v>4817798</v>
      </c>
      <c r="F25" s="302">
        <f>GSTRV!I9</f>
        <v>135751.09442288097</v>
      </c>
      <c r="G25" s="582">
        <v>4817798</v>
      </c>
      <c r="H25" s="591">
        <f>INDEX(Case_Constraints!$C$2:$G$23,MATCH(_xlfn.CONCAT(A25," ",B25),Case_Constraints!$C$2:$C$23,0),MATCH($E$8,Case_Constraints!$C$2:$G$2,0))</f>
        <v>12070113</v>
      </c>
      <c r="I25" s="585">
        <v>12070113</v>
      </c>
      <c r="J25" s="303">
        <f>GSTRV!F9</f>
        <v>258194.66470272883</v>
      </c>
      <c r="K25" s="304">
        <f t="shared" si="5"/>
        <v>7252315</v>
      </c>
      <c r="L25" s="304">
        <f t="shared" si="6"/>
        <v>122443.57027984786</v>
      </c>
      <c r="M25" s="305">
        <f t="shared" si="7"/>
        <v>1.5053173669796867</v>
      </c>
      <c r="N25" s="305">
        <f t="shared" si="2"/>
        <v>0.90197114653397514</v>
      </c>
      <c r="O25" s="323">
        <f t="shared" si="3"/>
        <v>35.489938556163537</v>
      </c>
      <c r="P25" s="287">
        <f t="shared" si="4"/>
        <v>4.8177979999999998</v>
      </c>
      <c r="Q25" s="287">
        <f t="shared" si="4"/>
        <v>12.070112999999999</v>
      </c>
    </row>
    <row r="26" spans="1:17" s="98" customFormat="1" x14ac:dyDescent="0.2">
      <c r="A26" s="268" t="s">
        <v>175</v>
      </c>
      <c r="B26" s="286" t="s">
        <v>228</v>
      </c>
      <c r="C26" s="54" t="s">
        <v>169</v>
      </c>
      <c r="D26" s="301">
        <v>1</v>
      </c>
      <c r="E26" s="306">
        <v>3540000</v>
      </c>
      <c r="F26" s="302">
        <f>GDISP!I9</f>
        <v>246617.82982174121</v>
      </c>
      <c r="G26" s="582">
        <v>1600000</v>
      </c>
      <c r="H26" s="591">
        <f>INDEX(Case_Constraints!$C$2:$G$23,MATCH(_xlfn.CONCAT(A26," ",B26),Case_Constraints!$C$2:$C$23,0),MATCH($E$8,Case_Constraints!$C$2:$G$2,0))</f>
        <v>7000000</v>
      </c>
      <c r="I26" s="585">
        <v>7000000.0000000009</v>
      </c>
      <c r="J26" s="303">
        <f>GDISP!F9</f>
        <v>328013.92063754238</v>
      </c>
      <c r="K26" s="304">
        <f t="shared" si="5"/>
        <v>3460000.0000000009</v>
      </c>
      <c r="L26" s="304">
        <f t="shared" si="6"/>
        <v>81396.090815801173</v>
      </c>
      <c r="M26" s="305">
        <f t="shared" si="7"/>
        <v>0.97740112994350303</v>
      </c>
      <c r="N26" s="305">
        <f t="shared" si="2"/>
        <v>0.33004949753485141</v>
      </c>
      <c r="O26" s="323">
        <f t="shared" si="3"/>
        <v>14.35419329802213</v>
      </c>
      <c r="P26" s="287">
        <f t="shared" si="4"/>
        <v>1.6</v>
      </c>
      <c r="Q26" s="287">
        <f t="shared" si="4"/>
        <v>7</v>
      </c>
    </row>
    <row r="27" spans="1:17" s="98" customFormat="1" x14ac:dyDescent="0.2">
      <c r="A27" s="268" t="s">
        <v>175</v>
      </c>
      <c r="B27" s="286" t="s">
        <v>229</v>
      </c>
      <c r="C27" s="54" t="s">
        <v>169</v>
      </c>
      <c r="D27" s="301">
        <v>1</v>
      </c>
      <c r="E27" s="306">
        <v>400000</v>
      </c>
      <c r="F27" s="302">
        <f>GSEARCH!I9</f>
        <v>145038.35480357721</v>
      </c>
      <c r="G27" s="582">
        <v>300000</v>
      </c>
      <c r="H27" s="591">
        <f>INDEX(Case_Constraints!$C$2:$G$23,MATCH(_xlfn.CONCAT(A27," ",B27),Case_Constraints!$C$2:$C$23,0),MATCH($E$8,Case_Constraints!$C$2:$G$2,0))</f>
        <v>400000</v>
      </c>
      <c r="I27" s="585">
        <v>400000</v>
      </c>
      <c r="J27" s="303">
        <f>GSEARCH!F9</f>
        <v>145038.35480357721</v>
      </c>
      <c r="K27" s="304">
        <f t="shared" si="5"/>
        <v>0</v>
      </c>
      <c r="L27" s="304">
        <f t="shared" si="6"/>
        <v>0</v>
      </c>
      <c r="M27" s="305">
        <f t="shared" si="7"/>
        <v>0</v>
      </c>
      <c r="N27" s="305">
        <f t="shared" si="2"/>
        <v>0</v>
      </c>
      <c r="O27" s="323">
        <f t="shared" si="3"/>
        <v>2.7578911836232054</v>
      </c>
      <c r="P27" s="287">
        <f t="shared" si="4"/>
        <v>0.3</v>
      </c>
      <c r="Q27" s="287">
        <f t="shared" si="4"/>
        <v>0.4</v>
      </c>
    </row>
    <row r="28" spans="1:17" x14ac:dyDescent="0.2">
      <c r="A28" s="268" t="s">
        <v>175</v>
      </c>
      <c r="B28" s="286" t="s">
        <v>284</v>
      </c>
      <c r="C28" s="54" t="s">
        <v>169</v>
      </c>
      <c r="D28" s="301">
        <v>1</v>
      </c>
      <c r="E28" s="306">
        <v>2220000</v>
      </c>
      <c r="F28" s="302">
        <f>GRADIO!I9</f>
        <v>91610.125423352103</v>
      </c>
      <c r="G28" s="582">
        <v>1400000</v>
      </c>
      <c r="H28" s="591">
        <f>INDEX(Case_Constraints!$C$2:$G$23,MATCH(_xlfn.CONCAT(A28," ",B28),Case_Constraints!$C$2:$C$23,0),MATCH($E$8,Case_Constraints!$C$2:$G$2,0))</f>
        <v>4800000</v>
      </c>
      <c r="I28" s="585">
        <v>4800000</v>
      </c>
      <c r="J28" s="303">
        <f>GRADIO!F9</f>
        <v>145504.50354692468</v>
      </c>
      <c r="K28" s="304">
        <f t="shared" si="5"/>
        <v>2580000</v>
      </c>
      <c r="L28" s="304">
        <f t="shared" si="6"/>
        <v>53894.378123572576</v>
      </c>
      <c r="M28" s="305">
        <f t="shared" si="7"/>
        <v>1.1621621621621621</v>
      </c>
      <c r="N28" s="305">
        <f t="shared" si="2"/>
        <v>0.58830154280996649</v>
      </c>
      <c r="O28" s="323">
        <f t="shared" si="3"/>
        <v>24.233129140920326</v>
      </c>
      <c r="P28" s="287">
        <f t="shared" si="4"/>
        <v>1.4</v>
      </c>
      <c r="Q28" s="287">
        <f t="shared" si="4"/>
        <v>4.8</v>
      </c>
    </row>
    <row r="29" spans="1:17" s="98" customFormat="1" x14ac:dyDescent="0.2">
      <c r="A29" s="341" t="s">
        <v>175</v>
      </c>
      <c r="B29" s="342" t="s">
        <v>189</v>
      </c>
      <c r="C29" s="343" t="s">
        <v>169</v>
      </c>
      <c r="D29" s="344">
        <v>1</v>
      </c>
      <c r="E29" s="345">
        <v>15700000</v>
      </c>
      <c r="F29" s="352">
        <f>GTV!I9</f>
        <v>283782.52397067065</v>
      </c>
      <c r="G29" s="583">
        <v>15700000</v>
      </c>
      <c r="H29" s="592">
        <f>INDEX(Case_Constraints!$C$2:$G$23,MATCH(_xlfn.CONCAT(A29," ",B29),Case_Constraints!$C$2:$C$23,0),MATCH($E$8,Case_Constraints!$C$2:$G$2,0))</f>
        <v>15700000</v>
      </c>
      <c r="I29" s="586">
        <v>15700000</v>
      </c>
      <c r="J29" s="353">
        <f>GTV!F9</f>
        <v>283782.52397067065</v>
      </c>
      <c r="K29" s="346">
        <f t="shared" si="5"/>
        <v>0</v>
      </c>
      <c r="L29" s="346">
        <f t="shared" si="6"/>
        <v>0</v>
      </c>
      <c r="M29" s="347">
        <f t="shared" si="7"/>
        <v>0</v>
      </c>
      <c r="N29" s="347">
        <f t="shared" si="2"/>
        <v>0</v>
      </c>
      <c r="O29" s="323">
        <f t="shared" si="3"/>
        <v>55.324055126180419</v>
      </c>
      <c r="P29" s="287">
        <f t="shared" si="4"/>
        <v>15.7</v>
      </c>
      <c r="Q29" s="287">
        <f t="shared" si="4"/>
        <v>15.7</v>
      </c>
    </row>
    <row r="30" spans="1:17" s="98" customFormat="1" x14ac:dyDescent="0.2">
      <c r="A30" s="404" t="s">
        <v>175</v>
      </c>
      <c r="B30" s="405" t="s">
        <v>231</v>
      </c>
      <c r="C30" s="36"/>
      <c r="D30" s="406"/>
      <c r="E30" s="407">
        <f t="shared" ref="E30:L30" si="8">SUM(E21:E29)</f>
        <v>38513576</v>
      </c>
      <c r="F30" s="408">
        <f t="shared" si="8"/>
        <v>1393361.539662329</v>
      </c>
      <c r="G30" s="409">
        <f t="shared" si="8"/>
        <v>32817298</v>
      </c>
      <c r="H30" s="588">
        <f t="shared" si="8"/>
        <v>73470113</v>
      </c>
      <c r="I30" s="407">
        <f t="shared" si="8"/>
        <v>63000000.00593973</v>
      </c>
      <c r="J30" s="408">
        <f t="shared" si="8"/>
        <v>1868254.3465707046</v>
      </c>
      <c r="K30" s="409">
        <f t="shared" si="8"/>
        <v>24486424.00593973</v>
      </c>
      <c r="L30" s="409">
        <f t="shared" si="8"/>
        <v>474892.80690837593</v>
      </c>
      <c r="M30" s="410">
        <f t="shared" si="7"/>
        <v>0.63578681984606489</v>
      </c>
      <c r="N30" s="410">
        <f t="shared" si="2"/>
        <v>0.34082525847775497</v>
      </c>
      <c r="O30" s="323"/>
      <c r="P30" s="287">
        <f t="shared" si="4"/>
        <v>32.817298000000001</v>
      </c>
      <c r="Q30" s="287"/>
    </row>
    <row r="31" spans="1:17" s="98" customFormat="1" x14ac:dyDescent="0.2">
      <c r="A31" s="339" t="s">
        <v>285</v>
      </c>
      <c r="B31" s="237" t="s">
        <v>286</v>
      </c>
      <c r="C31" s="54" t="s">
        <v>129</v>
      </c>
      <c r="D31" s="301">
        <v>1</v>
      </c>
      <c r="E31" s="306">
        <v>1000000</v>
      </c>
      <c r="F31" s="302">
        <f>GINOFF_adt!I9</f>
        <v>4323.5214887261391</v>
      </c>
      <c r="G31" s="582">
        <f>H31</f>
        <v>900000</v>
      </c>
      <c r="H31" s="590">
        <f>INDEX(Case_Constraints!$C$2:$G$23,MATCH(_xlfn.CONCAT(A31," ",B31),Case_Constraints!$C$2:$C$23,0),MATCH($E$8,Case_Constraints!$C$2:$G$2,0))</f>
        <v>900000</v>
      </c>
      <c r="I31" s="585">
        <v>900000</v>
      </c>
      <c r="J31" s="303">
        <f>GINOFF_adt!F9</f>
        <v>4003.0596247408539</v>
      </c>
      <c r="K31" s="304">
        <f t="shared" si="5"/>
        <v>-100000</v>
      </c>
      <c r="L31" s="304">
        <f t="shared" si="6"/>
        <v>-320.46186398528516</v>
      </c>
      <c r="M31" s="305">
        <f t="shared" si="7"/>
        <v>-0.1</v>
      </c>
      <c r="N31" s="305">
        <f t="shared" si="2"/>
        <v>-7.4120566954717387E-2</v>
      </c>
      <c r="O31" s="323">
        <f t="shared" si="3"/>
        <v>231.29294086026042</v>
      </c>
      <c r="P31" s="287">
        <f t="shared" ref="P31:P38" si="9">G31/1000000</f>
        <v>0.9</v>
      </c>
      <c r="Q31" s="287">
        <f t="shared" ref="Q31:Q38" si="10">H31/1000000</f>
        <v>0.9</v>
      </c>
    </row>
    <row r="32" spans="1:17" s="98" customFormat="1" x14ac:dyDescent="0.2">
      <c r="A32" s="339" t="s">
        <v>285</v>
      </c>
      <c r="B32" s="237" t="s">
        <v>226</v>
      </c>
      <c r="C32" s="54" t="s">
        <v>129</v>
      </c>
      <c r="D32" s="301">
        <v>1</v>
      </c>
      <c r="E32" s="306">
        <v>16948000</v>
      </c>
      <c r="F32" s="302">
        <f>GMCM_adt!I9</f>
        <v>496174.88643250242</v>
      </c>
      <c r="G32" s="582">
        <f t="shared" ref="G32:G40" si="11">H32</f>
        <v>22050000</v>
      </c>
      <c r="H32" s="591">
        <f>INDEX(Case_Constraints!$C$2:$G$23,MATCH(_xlfn.CONCAT(A32," ",B32),Case_Constraints!$C$2:$C$23,0),MATCH($E$8,Case_Constraints!$C$2:$G$2,0))</f>
        <v>22050000</v>
      </c>
      <c r="I32" s="585">
        <v>22050000</v>
      </c>
      <c r="J32" s="303">
        <f>GMCM_adt!F9</f>
        <v>584574.96122157387</v>
      </c>
      <c r="K32" s="304">
        <f t="shared" si="5"/>
        <v>5102000</v>
      </c>
      <c r="L32" s="304">
        <f t="shared" si="6"/>
        <v>88400.074789071456</v>
      </c>
      <c r="M32" s="305">
        <f t="shared" si="7"/>
        <v>0.30103847061600186</v>
      </c>
      <c r="N32" s="305">
        <f t="shared" si="2"/>
        <v>0.178163138051319</v>
      </c>
      <c r="O32" s="323">
        <f t="shared" si="3"/>
        <v>34.157311188915919</v>
      </c>
      <c r="P32" s="287">
        <f t="shared" si="9"/>
        <v>22.05</v>
      </c>
      <c r="Q32" s="287">
        <f t="shared" si="10"/>
        <v>22.05</v>
      </c>
    </row>
    <row r="33" spans="1:17" s="98" customFormat="1" x14ac:dyDescent="0.2">
      <c r="A33" s="339" t="s">
        <v>285</v>
      </c>
      <c r="B33" s="237" t="s">
        <v>227</v>
      </c>
      <c r="C33" s="54" t="s">
        <v>170</v>
      </c>
      <c r="D33" s="301">
        <v>1</v>
      </c>
      <c r="E33" s="306">
        <v>2200000</v>
      </c>
      <c r="F33" s="302">
        <f>GSOCIAL_adt!I9</f>
        <v>58616.624488157111</v>
      </c>
      <c r="G33" s="582">
        <f t="shared" si="11"/>
        <v>2290679.6471494259</v>
      </c>
      <c r="H33" s="591">
        <f>INDEX(Case_Constraints!$C$2:$G$23,MATCH(_xlfn.CONCAT(A33," ",B33),Case_Constraints!$C$2:$C$23,0),MATCH($E$8,Case_Constraints!$C$2:$G$2,0))</f>
        <v>2290679.6471494259</v>
      </c>
      <c r="I33" s="585">
        <v>2290679.6471494259</v>
      </c>
      <c r="J33" s="303">
        <f>GSOCIAL_adt!F9</f>
        <v>60054.535360477297</v>
      </c>
      <c r="K33" s="304">
        <f t="shared" si="5"/>
        <v>90679.647149425931</v>
      </c>
      <c r="L33" s="304">
        <f t="shared" si="6"/>
        <v>1437.9108723201862</v>
      </c>
      <c r="M33" s="305">
        <f t="shared" si="7"/>
        <v>4.1218021431557242E-2</v>
      </c>
      <c r="N33" s="305">
        <f t="shared" si="2"/>
        <v>2.4530768956351305E-2</v>
      </c>
      <c r="O33" s="323">
        <f t="shared" si="3"/>
        <v>37.532014496066509</v>
      </c>
      <c r="P33" s="287">
        <f t="shared" si="9"/>
        <v>2.290679647149426</v>
      </c>
      <c r="Q33" s="287">
        <f t="shared" si="10"/>
        <v>2.290679647149426</v>
      </c>
    </row>
    <row r="34" spans="1:17" s="98" customFormat="1" x14ac:dyDescent="0.2">
      <c r="A34" s="339" t="s">
        <v>285</v>
      </c>
      <c r="B34" s="237" t="s">
        <v>245</v>
      </c>
      <c r="C34" s="54" t="s">
        <v>129</v>
      </c>
      <c r="D34" s="301">
        <v>1</v>
      </c>
      <c r="E34" s="306">
        <v>1500000</v>
      </c>
      <c r="F34" s="302">
        <f>GOLV_adt!I9</f>
        <v>47229.585064189509</v>
      </c>
      <c r="G34" s="582">
        <f t="shared" si="11"/>
        <v>2094216.1059919484</v>
      </c>
      <c r="H34" s="591">
        <f>INDEX(Case_Constraints!$C$2:$G$23,MATCH(_xlfn.CONCAT(A34," ",B34),Case_Constraints!$C$2:$C$23,0),MATCH($E$8,Case_Constraints!$C$2:$G$2,0))</f>
        <v>2094216.1059919484</v>
      </c>
      <c r="I34" s="585">
        <v>2094216.1059919484</v>
      </c>
      <c r="J34" s="303">
        <f>GOLV_adt!F9</f>
        <v>56711.041899770498</v>
      </c>
      <c r="K34" s="304">
        <f t="shared" si="5"/>
        <v>594216.1059919484</v>
      </c>
      <c r="L34" s="304">
        <f t="shared" si="6"/>
        <v>9481.4568355809897</v>
      </c>
      <c r="M34" s="305">
        <f t="shared" si="7"/>
        <v>0.39614407066129892</v>
      </c>
      <c r="N34" s="305">
        <f t="shared" si="2"/>
        <v>0.20075249068343043</v>
      </c>
      <c r="O34" s="323">
        <f t="shared" si="3"/>
        <v>31.759753933077263</v>
      </c>
      <c r="P34" s="287">
        <f t="shared" si="9"/>
        <v>2.0942161059919484</v>
      </c>
      <c r="Q34" s="287">
        <f t="shared" si="10"/>
        <v>2.0942161059919484</v>
      </c>
    </row>
    <row r="35" spans="1:17" s="98" customFormat="1" x14ac:dyDescent="0.2">
      <c r="A35" s="339" t="s">
        <v>285</v>
      </c>
      <c r="B35" s="237" t="s">
        <v>247</v>
      </c>
      <c r="C35" s="54" t="s">
        <v>170</v>
      </c>
      <c r="D35" s="301">
        <v>1</v>
      </c>
      <c r="E35" s="306">
        <v>10268452</v>
      </c>
      <c r="F35" s="302">
        <f>GSTRTV_adt!I9</f>
        <v>151456.22181936813</v>
      </c>
      <c r="G35" s="582">
        <f t="shared" si="11"/>
        <v>8306901</v>
      </c>
      <c r="H35" s="591">
        <f>INDEX(Case_Constraints!$C$2:$G$23,MATCH(_xlfn.CONCAT(A35," ",B35),Case_Constraints!$C$2:$C$23,0),MATCH($E$8,Case_Constraints!$C$2:$G$2,0))</f>
        <v>8306901</v>
      </c>
      <c r="I35" s="585">
        <v>8306901</v>
      </c>
      <c r="J35" s="303">
        <f>GSTRTV_adt!F9</f>
        <v>130569.26487504225</v>
      </c>
      <c r="K35" s="304">
        <f t="shared" si="5"/>
        <v>-1961551</v>
      </c>
      <c r="L35" s="304">
        <f t="shared" si="6"/>
        <v>-20886.956944325881</v>
      </c>
      <c r="M35" s="305">
        <f t="shared" si="7"/>
        <v>-0.19102694349644914</v>
      </c>
      <c r="N35" s="305">
        <f t="shared" si="2"/>
        <v>-0.13790755304352156</v>
      </c>
      <c r="O35" s="323">
        <f t="shared" si="3"/>
        <v>67.798152341648318</v>
      </c>
      <c r="P35" s="287">
        <f t="shared" si="9"/>
        <v>8.3069009999999999</v>
      </c>
      <c r="Q35" s="287">
        <f t="shared" si="10"/>
        <v>8.3069009999999999</v>
      </c>
    </row>
    <row r="36" spans="1:17" s="98" customFormat="1" x14ac:dyDescent="0.2">
      <c r="A36" s="339" t="s">
        <v>285</v>
      </c>
      <c r="B36" s="237" t="s">
        <v>228</v>
      </c>
      <c r="C36" s="54" t="s">
        <v>170</v>
      </c>
      <c r="D36" s="301">
        <v>1</v>
      </c>
      <c r="E36" s="306">
        <v>4000000</v>
      </c>
      <c r="F36" s="302">
        <f>GDISP_adt!I9</f>
        <v>116850.47225954643</v>
      </c>
      <c r="G36" s="582">
        <f t="shared" si="11"/>
        <v>5000000</v>
      </c>
      <c r="H36" s="591">
        <f>INDEX(Case_Constraints!$C$2:$G$23,MATCH(_xlfn.CONCAT(A36," ",B36),Case_Constraints!$C$2:$C$23,0),MATCH($E$8,Case_Constraints!$C$2:$G$2,0))</f>
        <v>5000000</v>
      </c>
      <c r="I36" s="585">
        <v>5000000</v>
      </c>
      <c r="J36" s="303">
        <f>GDISP_adt!F9</f>
        <v>133590.7782109612</v>
      </c>
      <c r="K36" s="304">
        <f t="shared" si="5"/>
        <v>1000000</v>
      </c>
      <c r="L36" s="304">
        <f t="shared" si="6"/>
        <v>16740.305951414775</v>
      </c>
      <c r="M36" s="305">
        <f t="shared" si="7"/>
        <v>0.25</v>
      </c>
      <c r="N36" s="305">
        <f t="shared" si="2"/>
        <v>0.14326262981831578</v>
      </c>
      <c r="O36" s="323">
        <f t="shared" si="3"/>
        <v>34.23178291582137</v>
      </c>
      <c r="P36" s="287">
        <f t="shared" si="9"/>
        <v>5</v>
      </c>
      <c r="Q36" s="287">
        <f t="shared" si="10"/>
        <v>5</v>
      </c>
    </row>
    <row r="37" spans="1:17" s="98" customFormat="1" x14ac:dyDescent="0.2">
      <c r="A37" s="339" t="s">
        <v>285</v>
      </c>
      <c r="B37" s="237" t="s">
        <v>229</v>
      </c>
      <c r="C37" s="54" t="s">
        <v>170</v>
      </c>
      <c r="D37" s="301">
        <v>1</v>
      </c>
      <c r="E37" s="306">
        <v>200000</v>
      </c>
      <c r="F37" s="302">
        <f>GPDSRCH_adt!I9</f>
        <v>79531.473375019181</v>
      </c>
      <c r="G37" s="582">
        <f t="shared" si="11"/>
        <v>200000</v>
      </c>
      <c r="H37" s="591">
        <f>INDEX(Case_Constraints!$C$2:$G$23,MATCH(_xlfn.CONCAT(A37," ",B37),Case_Constraints!$C$2:$C$23,0),MATCH($E$8,Case_Constraints!$C$2:$G$2,0))</f>
        <v>200000</v>
      </c>
      <c r="I37" s="585">
        <v>200000</v>
      </c>
      <c r="J37" s="303">
        <f>GPDSRCH_adt!F9</f>
        <v>79531.473375019181</v>
      </c>
      <c r="K37" s="304">
        <f t="shared" si="5"/>
        <v>0</v>
      </c>
      <c r="L37" s="304">
        <f t="shared" si="6"/>
        <v>0</v>
      </c>
      <c r="M37" s="305">
        <f t="shared" si="7"/>
        <v>0</v>
      </c>
      <c r="N37" s="305">
        <f t="shared" si="2"/>
        <v>0</v>
      </c>
      <c r="O37" s="323">
        <f t="shared" si="3"/>
        <v>2.5147277110902859</v>
      </c>
      <c r="P37" s="287">
        <f t="shared" si="9"/>
        <v>0.2</v>
      </c>
      <c r="Q37" s="287">
        <f t="shared" si="10"/>
        <v>0.2</v>
      </c>
    </row>
    <row r="38" spans="1:17" s="98" customFormat="1" x14ac:dyDescent="0.2">
      <c r="A38" s="339" t="s">
        <v>285</v>
      </c>
      <c r="B38" s="237" t="s">
        <v>287</v>
      </c>
      <c r="C38" s="54" t="s">
        <v>170</v>
      </c>
      <c r="D38" s="301">
        <v>1</v>
      </c>
      <c r="E38" s="306">
        <v>28089211</v>
      </c>
      <c r="F38" s="302">
        <f>GLINEARTV_adt!I9</f>
        <v>186699.58751036425</v>
      </c>
      <c r="G38" s="582">
        <f>H38-10000000</f>
        <v>28089211</v>
      </c>
      <c r="H38" s="591">
        <f>INDEX(Case_Constraints!$C$2:$G$23,MATCH(_xlfn.CONCAT(A38," ",B38),Case_Constraints!$C$2:$C$23,0),MATCH($E$8,Case_Constraints!$C$2:$G$2,0))</f>
        <v>38089211</v>
      </c>
      <c r="I38" s="585">
        <v>36089210.999896407</v>
      </c>
      <c r="J38" s="303">
        <f>GLINEARTV_adt!F9</f>
        <v>222499.91597168916</v>
      </c>
      <c r="K38" s="304">
        <f t="shared" si="5"/>
        <v>7999999.9998964071</v>
      </c>
      <c r="L38" s="304">
        <f t="shared" si="6"/>
        <v>35800.328461324912</v>
      </c>
      <c r="M38" s="305">
        <f t="shared" si="7"/>
        <v>0.28480686053789145</v>
      </c>
      <c r="N38" s="305">
        <f t="shared" si="2"/>
        <v>0.19175365590637702</v>
      </c>
      <c r="O38" s="323">
        <f t="shared" si="3"/>
        <v>150.45138221551071</v>
      </c>
      <c r="P38" s="287">
        <f t="shared" si="9"/>
        <v>28.089210999999999</v>
      </c>
      <c r="Q38" s="287">
        <f t="shared" si="10"/>
        <v>38.089210999999999</v>
      </c>
    </row>
    <row r="39" spans="1:17" s="98" customFormat="1" x14ac:dyDescent="0.2">
      <c r="A39" s="339" t="s">
        <v>285</v>
      </c>
      <c r="B39" s="237" t="s">
        <v>192</v>
      </c>
      <c r="C39" s="54" t="s">
        <v>170</v>
      </c>
      <c r="D39" s="301">
        <v>1</v>
      </c>
      <c r="E39" s="306">
        <v>1500000</v>
      </c>
      <c r="F39" s="302">
        <f>GAUDIO!I9</f>
        <v>32266.574959240672</v>
      </c>
      <c r="G39" s="582">
        <f t="shared" si="11"/>
        <v>1959114.2410225025</v>
      </c>
      <c r="H39" s="591">
        <f>INDEX(Case_Constraints!$C$2:$G$23,MATCH(_xlfn.CONCAT(A39," ",B39),Case_Constraints!$C$2:$C$23,0),MATCH($E$8,Case_Constraints!$C$2:$G$2,0))</f>
        <v>1959114.2410225025</v>
      </c>
      <c r="I39" s="585">
        <v>1959114.2410225025</v>
      </c>
      <c r="J39" s="303">
        <f>GAUDIO!F9</f>
        <v>35903.787865255006</v>
      </c>
      <c r="K39" s="304">
        <f t="shared" si="5"/>
        <v>459114.24102250254</v>
      </c>
      <c r="L39" s="304">
        <f t="shared" si="6"/>
        <v>3637.2129060143343</v>
      </c>
      <c r="M39" s="305">
        <f t="shared" si="7"/>
        <v>0.30607616068166837</v>
      </c>
      <c r="N39" s="305">
        <f t="shared" si="2"/>
        <v>0.11272386085628497</v>
      </c>
      <c r="O39" s="323"/>
      <c r="P39" s="287"/>
      <c r="Q39" s="287"/>
    </row>
    <row r="40" spans="1:17" s="98" customFormat="1" x14ac:dyDescent="0.2">
      <c r="A40" s="339" t="s">
        <v>285</v>
      </c>
      <c r="B40" s="237" t="s">
        <v>304</v>
      </c>
      <c r="C40" s="54" t="s">
        <v>129</v>
      </c>
      <c r="D40" s="301">
        <v>1</v>
      </c>
      <c r="E40" s="306">
        <v>3200000</v>
      </c>
      <c r="F40" s="302">
        <f>GPHRMCY_adt!I9</f>
        <v>22412.309442908503</v>
      </c>
      <c r="G40" s="582">
        <f t="shared" si="11"/>
        <v>3200000</v>
      </c>
      <c r="H40" s="592">
        <f>INDEX(Case_Constraints!$C$2:$G$23,MATCH(_xlfn.CONCAT(A40," ",B40),Case_Constraints!$C$2:$C$23,0),MATCH($E$8,Case_Constraints!$C$2:$G$2,0))</f>
        <v>3200000</v>
      </c>
      <c r="I40" s="585">
        <v>3200000</v>
      </c>
      <c r="J40" s="303">
        <f>GPHRMCY_adt!F9</f>
        <v>22412.309442908503</v>
      </c>
      <c r="K40" s="304">
        <f t="shared" si="5"/>
        <v>0</v>
      </c>
      <c r="L40" s="304">
        <f t="shared" si="6"/>
        <v>0</v>
      </c>
      <c r="M40" s="305">
        <f t="shared" si="7"/>
        <v>0</v>
      </c>
      <c r="N40" s="305">
        <f t="shared" si="2"/>
        <v>0</v>
      </c>
      <c r="O40" s="323"/>
      <c r="P40" s="287"/>
      <c r="Q40" s="287"/>
    </row>
    <row r="41" spans="1:17" s="98" customFormat="1" x14ac:dyDescent="0.2">
      <c r="A41" s="404" t="s">
        <v>285</v>
      </c>
      <c r="B41" s="405" t="s">
        <v>231</v>
      </c>
      <c r="C41" s="36"/>
      <c r="D41" s="406"/>
      <c r="E41" s="409">
        <f t="shared" ref="E41:L41" si="12">SUM(E31:E40)</f>
        <v>68905663</v>
      </c>
      <c r="F41" s="409">
        <f t="shared" si="12"/>
        <v>1195561.256840022</v>
      </c>
      <c r="G41" s="409">
        <f t="shared" si="12"/>
        <v>74090121.994163871</v>
      </c>
      <c r="H41" s="587">
        <f t="shared" si="12"/>
        <v>84090121.994163871</v>
      </c>
      <c r="I41" s="409">
        <f t="shared" si="12"/>
        <v>82090121.994060278</v>
      </c>
      <c r="J41" s="408">
        <f t="shared" si="12"/>
        <v>1329851.1278474377</v>
      </c>
      <c r="K41" s="409">
        <f t="shared" si="12"/>
        <v>13184458.994060284</v>
      </c>
      <c r="L41" s="409">
        <f t="shared" si="12"/>
        <v>134289.87100741547</v>
      </c>
      <c r="M41" s="410">
        <f t="shared" ref="M41" si="13">K41/E41</f>
        <v>0.19134071743944012</v>
      </c>
      <c r="N41" s="410">
        <f t="shared" ref="N41" si="14">L41/F41</f>
        <v>0.11232370590726225</v>
      </c>
      <c r="O41" s="323"/>
      <c r="P41" s="287"/>
      <c r="Q41" s="287"/>
    </row>
    <row r="42" spans="1:17" s="98" customFormat="1" x14ac:dyDescent="0.2">
      <c r="A42" s="411" t="s">
        <v>154</v>
      </c>
      <c r="B42" s="411" t="s">
        <v>99</v>
      </c>
      <c r="C42" s="411"/>
      <c r="D42" s="412"/>
      <c r="E42" s="413">
        <f t="shared" ref="E42:L42" si="15">SUM(E21:E29,E31:E40)</f>
        <v>107419239</v>
      </c>
      <c r="F42" s="413">
        <f t="shared" si="15"/>
        <v>2588922.7965023518</v>
      </c>
      <c r="G42" s="413">
        <f t="shared" si="15"/>
        <v>106907419.99416387</v>
      </c>
      <c r="H42" s="413">
        <f t="shared" si="15"/>
        <v>157560234.99416387</v>
      </c>
      <c r="I42" s="413">
        <f t="shared" si="15"/>
        <v>145090122</v>
      </c>
      <c r="J42" s="417">
        <f t="shared" si="15"/>
        <v>3198105.4744181428</v>
      </c>
      <c r="K42" s="418">
        <f t="shared" si="15"/>
        <v>37670883.000000015</v>
      </c>
      <c r="L42" s="418">
        <f t="shared" si="15"/>
        <v>609182.6779157914</v>
      </c>
      <c r="M42" s="414">
        <f>K42/E42</f>
        <v>0.3506902799786174</v>
      </c>
      <c r="N42" s="414">
        <f>L42/F42</f>
        <v>0.23530353193181364</v>
      </c>
    </row>
    <row r="43" spans="1:17" x14ac:dyDescent="0.2">
      <c r="E43" s="113"/>
      <c r="H43" s="1">
        <v>58513576</v>
      </c>
      <c r="I43" s="143">
        <f>I41-E41</f>
        <v>13184458.994060278</v>
      </c>
    </row>
    <row r="45" spans="1:17" x14ac:dyDescent="0.2">
      <c r="J45" s="313"/>
      <c r="K45" s="87"/>
    </row>
    <row r="46" spans="1:17" s="98" customFormat="1" x14ac:dyDescent="0.2">
      <c r="D46" s="672" t="s">
        <v>154</v>
      </c>
      <c r="E46" s="672"/>
      <c r="F46" s="672"/>
      <c r="G46" s="672"/>
      <c r="H46" s="672"/>
      <c r="I46" s="672"/>
      <c r="J46" s="671"/>
      <c r="K46" s="671"/>
      <c r="L46" s="671"/>
      <c r="M46" s="671"/>
      <c r="N46" s="671"/>
      <c r="O46" s="671"/>
      <c r="P46" s="128"/>
    </row>
    <row r="47" spans="1:17" ht="25.5" x14ac:dyDescent="0.2">
      <c r="A47" s="654" t="s">
        <v>132</v>
      </c>
      <c r="D47" s="140" t="s">
        <v>126</v>
      </c>
      <c r="E47" s="140" t="s">
        <v>141</v>
      </c>
      <c r="F47" s="140" t="s">
        <v>145</v>
      </c>
      <c r="G47" s="140" t="s">
        <v>142</v>
      </c>
      <c r="H47" s="140" t="s">
        <v>143</v>
      </c>
      <c r="I47" s="140" t="s">
        <v>144</v>
      </c>
      <c r="J47" s="82"/>
      <c r="K47" s="82"/>
      <c r="L47" s="82"/>
      <c r="M47" s="82"/>
      <c r="N47" s="82"/>
      <c r="O47" s="82"/>
      <c r="P47" s="128"/>
    </row>
    <row r="48" spans="1:17" x14ac:dyDescent="0.2">
      <c r="A48" s="654"/>
      <c r="D48" s="154">
        <v>1</v>
      </c>
      <c r="E48" s="126">
        <v>225.94</v>
      </c>
      <c r="F48" s="295">
        <f>E48</f>
        <v>225.94</v>
      </c>
      <c r="G48" s="126">
        <f>E48</f>
        <v>225.94</v>
      </c>
      <c r="H48" s="141"/>
      <c r="I48" s="126">
        <v>225.94</v>
      </c>
      <c r="J48" s="127"/>
      <c r="K48" s="129"/>
      <c r="L48" s="130"/>
      <c r="M48" s="129"/>
      <c r="N48" s="131"/>
      <c r="O48" s="129"/>
      <c r="P48" s="128"/>
    </row>
    <row r="49" spans="1:22" ht="13.9" customHeight="1" x14ac:dyDescent="0.2">
      <c r="A49" s="653" t="s">
        <v>2</v>
      </c>
      <c r="B49" s="630" t="s">
        <v>3</v>
      </c>
      <c r="C49" s="630" t="str">
        <f t="shared" ref="C49:C59" si="16">D19</f>
        <v>Response Scaling Factor for Sensitivity Analysis</v>
      </c>
      <c r="D49" s="668" t="s">
        <v>86</v>
      </c>
      <c r="E49" s="669"/>
      <c r="F49" s="669"/>
      <c r="G49" s="670"/>
      <c r="H49" s="655" t="s">
        <v>89</v>
      </c>
      <c r="I49" s="656"/>
      <c r="J49" s="656"/>
      <c r="K49" s="668" t="s">
        <v>136</v>
      </c>
      <c r="L49" s="669"/>
      <c r="M49" s="669"/>
      <c r="N49" s="670"/>
      <c r="P49" s="128"/>
      <c r="Q49" s="128"/>
      <c r="R49" s="128"/>
      <c r="S49" s="128"/>
      <c r="T49" s="128"/>
      <c r="U49" s="128"/>
      <c r="V49" s="128"/>
    </row>
    <row r="50" spans="1:22" ht="74.45" customHeight="1" x14ac:dyDescent="0.2">
      <c r="A50" s="631"/>
      <c r="B50" s="631"/>
      <c r="C50" s="631">
        <f t="shared" si="16"/>
        <v>0</v>
      </c>
      <c r="D50" s="93" t="s">
        <v>163</v>
      </c>
      <c r="E50" s="93" t="s">
        <v>133</v>
      </c>
      <c r="F50" s="93" t="s">
        <v>134</v>
      </c>
      <c r="G50" s="93" t="s">
        <v>146</v>
      </c>
      <c r="H50" s="55" t="s">
        <v>156</v>
      </c>
      <c r="I50" s="55" t="s">
        <v>135</v>
      </c>
      <c r="J50" s="55" t="s">
        <v>147</v>
      </c>
      <c r="K50" s="93" t="s">
        <v>137</v>
      </c>
      <c r="L50" s="93" t="s">
        <v>138</v>
      </c>
      <c r="M50" s="93" t="s">
        <v>139</v>
      </c>
      <c r="N50" s="93" t="s">
        <v>140</v>
      </c>
      <c r="P50" s="1" t="s">
        <v>208</v>
      </c>
    </row>
    <row r="51" spans="1:22" x14ac:dyDescent="0.2">
      <c r="A51" s="231" t="str">
        <f t="shared" ref="A51:B54" si="17">A21</f>
        <v>Gardasil Adolescents</v>
      </c>
      <c r="B51" s="231" t="str">
        <f t="shared" si="17"/>
        <v>HCC In Office</v>
      </c>
      <c r="C51" s="296">
        <f t="shared" si="16"/>
        <v>1</v>
      </c>
      <c r="D51" s="99">
        <f t="shared" ref="D51:D68" si="18">E21</f>
        <v>1000000</v>
      </c>
      <c r="E51" s="253" t="s">
        <v>168</v>
      </c>
      <c r="F51" s="101">
        <f t="shared" ref="F51:F68" si="19">F21/$D$48</f>
        <v>15970.197880234569</v>
      </c>
      <c r="G51" s="103">
        <f>F51*$F$48</f>
        <v>3608306.5090601984</v>
      </c>
      <c r="H51" s="105">
        <f t="shared" ref="H51:H68" si="20">I21</f>
        <v>1486235.6790270803</v>
      </c>
      <c r="I51" s="101">
        <f t="shared" ref="I51:I68" si="21">J21/$D$48</f>
        <v>21682.655350137502</v>
      </c>
      <c r="J51" s="107">
        <f>I51*$F$48</f>
        <v>4898979.1498100674</v>
      </c>
      <c r="K51" s="99">
        <f>H51-D51</f>
        <v>486235.6790270803</v>
      </c>
      <c r="L51" s="99">
        <f>J51-G51</f>
        <v>1290672.6407498689</v>
      </c>
      <c r="M51" s="109">
        <f>K51/D51</f>
        <v>0.48623567902708031</v>
      </c>
      <c r="N51" s="110">
        <f>L51/G51</f>
        <v>0.35769484590876155</v>
      </c>
      <c r="O51" s="142"/>
      <c r="P51" s="307">
        <f>(J51-G51)/1000000</f>
        <v>1.290672640749869</v>
      </c>
    </row>
    <row r="52" spans="1:22" x14ac:dyDescent="0.2">
      <c r="A52" s="237" t="str">
        <f t="shared" si="17"/>
        <v>Gardasil Adolescents</v>
      </c>
      <c r="B52" s="237" t="str">
        <f t="shared" si="17"/>
        <v>HCP MCM</v>
      </c>
      <c r="C52" s="301">
        <f t="shared" si="16"/>
        <v>1</v>
      </c>
      <c r="D52" s="100">
        <f t="shared" si="18"/>
        <v>7775778</v>
      </c>
      <c r="E52" s="254" t="s">
        <v>168</v>
      </c>
      <c r="F52" s="102">
        <f t="shared" si="19"/>
        <v>357119.23109534662</v>
      </c>
      <c r="G52" s="104">
        <f t="shared" ref="G52:G71" si="22">F52*$F$48</f>
        <v>80687519.073682621</v>
      </c>
      <c r="H52" s="106">
        <f t="shared" si="20"/>
        <v>14043651.326912649</v>
      </c>
      <c r="I52" s="102">
        <f t="shared" si="21"/>
        <v>464534.44678145926</v>
      </c>
      <c r="J52" s="108">
        <f t="shared" ref="J52" si="23">I52*$F$48</f>
        <v>104956912.90580291</v>
      </c>
      <c r="K52" s="100">
        <f t="shared" ref="K52" si="24">H52-D52</f>
        <v>6267873.326912649</v>
      </c>
      <c r="L52" s="100">
        <f t="shared" ref="L52" si="25">J52-G52</f>
        <v>24269393.832120284</v>
      </c>
      <c r="M52" s="111">
        <f t="shared" ref="M52" si="26">K52/D52</f>
        <v>0.80607668157612644</v>
      </c>
      <c r="N52" s="112">
        <f t="shared" ref="N52" si="27">L52/G52</f>
        <v>0.30078250156579783</v>
      </c>
      <c r="O52" s="142"/>
      <c r="P52" s="307">
        <f t="shared" ref="P52:P59" si="28">(J52-G52)/1000000</f>
        <v>24.269393832120283</v>
      </c>
    </row>
    <row r="53" spans="1:22" s="98" customFormat="1" x14ac:dyDescent="0.2">
      <c r="A53" s="237" t="str">
        <f t="shared" si="17"/>
        <v>Gardasil Adolescents</v>
      </c>
      <c r="B53" s="237" t="str">
        <f t="shared" si="17"/>
        <v>HCC Social</v>
      </c>
      <c r="C53" s="301">
        <f t="shared" si="16"/>
        <v>1</v>
      </c>
      <c r="D53" s="100">
        <f t="shared" si="18"/>
        <v>1840000</v>
      </c>
      <c r="E53" s="254" t="s">
        <v>168</v>
      </c>
      <c r="F53" s="102">
        <f t="shared" si="19"/>
        <v>92112.158316140369</v>
      </c>
      <c r="G53" s="104">
        <f t="shared" si="22"/>
        <v>20811821.049948756</v>
      </c>
      <c r="H53" s="106">
        <f t="shared" si="20"/>
        <v>6500000</v>
      </c>
      <c r="I53" s="102">
        <f t="shared" si="21"/>
        <v>196414.83149294381</v>
      </c>
      <c r="J53" s="108">
        <f t="shared" ref="J53:J71" si="29">I53*$F$48</f>
        <v>44377967.027515724</v>
      </c>
      <c r="K53" s="100">
        <f t="shared" ref="K53:K71" si="30">H53-D53</f>
        <v>4660000</v>
      </c>
      <c r="L53" s="100">
        <f t="shared" ref="L53:L71" si="31">J53-G53</f>
        <v>23566145.977566969</v>
      </c>
      <c r="M53" s="111">
        <f t="shared" ref="M53:M68" si="32">K53/D53</f>
        <v>2.5326086956521738</v>
      </c>
      <c r="N53" s="112">
        <f t="shared" ref="N53:N68" si="33">L53/G53</f>
        <v>1.1323442538261204</v>
      </c>
      <c r="O53" s="142"/>
      <c r="P53" s="307">
        <f t="shared" si="28"/>
        <v>23.566145977566968</v>
      </c>
    </row>
    <row r="54" spans="1:22" s="98" customFormat="1" x14ac:dyDescent="0.2">
      <c r="A54" s="237" t="str">
        <f t="shared" si="17"/>
        <v>Gardasil Adolescents</v>
      </c>
      <c r="B54" s="237" t="str">
        <f t="shared" si="17"/>
        <v>HCC Online Video</v>
      </c>
      <c r="C54" s="301">
        <f t="shared" si="16"/>
        <v>1</v>
      </c>
      <c r="D54" s="100">
        <f t="shared" si="18"/>
        <v>1220000</v>
      </c>
      <c r="E54" s="254" t="s">
        <v>168</v>
      </c>
      <c r="F54" s="102">
        <f t="shared" si="19"/>
        <v>25360.023928385228</v>
      </c>
      <c r="G54" s="104">
        <f t="shared" si="22"/>
        <v>5729843.8063793583</v>
      </c>
      <c r="H54" s="106">
        <f t="shared" si="20"/>
        <v>1000000</v>
      </c>
      <c r="I54" s="102">
        <f t="shared" si="21"/>
        <v>25088.44528472051</v>
      </c>
      <c r="J54" s="108">
        <f t="shared" si="29"/>
        <v>5668483.3276297525</v>
      </c>
      <c r="K54" s="100">
        <f t="shared" si="30"/>
        <v>-220000</v>
      </c>
      <c r="L54" s="100">
        <f t="shared" si="31"/>
        <v>-61360.478749605827</v>
      </c>
      <c r="M54" s="111">
        <f t="shared" si="32"/>
        <v>-0.18032786885245902</v>
      </c>
      <c r="N54" s="112">
        <f t="shared" si="33"/>
        <v>-1.07089269486351E-2</v>
      </c>
      <c r="O54" s="142"/>
      <c r="P54" s="307">
        <f t="shared" si="28"/>
        <v>-6.1360478749605825E-2</v>
      </c>
    </row>
    <row r="55" spans="1:22" s="98" customFormat="1" x14ac:dyDescent="0.2">
      <c r="A55" s="237" t="s">
        <v>175</v>
      </c>
      <c r="B55" s="237" t="str">
        <f>B25</f>
        <v>HCC Streaming Video</v>
      </c>
      <c r="C55" s="301">
        <f t="shared" si="16"/>
        <v>1</v>
      </c>
      <c r="D55" s="100">
        <f t="shared" si="18"/>
        <v>4817798</v>
      </c>
      <c r="E55" s="254" t="s">
        <v>168</v>
      </c>
      <c r="F55" s="102">
        <f t="shared" si="19"/>
        <v>135751.09442288097</v>
      </c>
      <c r="G55" s="104">
        <f t="shared" si="22"/>
        <v>30671602.273905724</v>
      </c>
      <c r="H55" s="106">
        <f t="shared" si="20"/>
        <v>12070113</v>
      </c>
      <c r="I55" s="102">
        <f t="shared" si="21"/>
        <v>258194.66470272883</v>
      </c>
      <c r="J55" s="108">
        <f t="shared" si="29"/>
        <v>58336502.542934552</v>
      </c>
      <c r="K55" s="100">
        <f t="shared" si="30"/>
        <v>7252315</v>
      </c>
      <c r="L55" s="100">
        <f t="shared" si="31"/>
        <v>27664900.269028828</v>
      </c>
      <c r="M55" s="111">
        <f t="shared" si="32"/>
        <v>1.5053173669796867</v>
      </c>
      <c r="N55" s="112">
        <f t="shared" si="33"/>
        <v>0.90197114653397525</v>
      </c>
      <c r="O55" s="142"/>
      <c r="P55" s="307">
        <f t="shared" si="28"/>
        <v>27.664900269028827</v>
      </c>
    </row>
    <row r="56" spans="1:22" s="98" customFormat="1" x14ac:dyDescent="0.2">
      <c r="A56" s="237" t="str">
        <f>A26</f>
        <v>Gardasil Adolescents</v>
      </c>
      <c r="B56" s="237" t="str">
        <f>B26</f>
        <v>HCC Display</v>
      </c>
      <c r="C56" s="301">
        <f t="shared" si="16"/>
        <v>1</v>
      </c>
      <c r="D56" s="100">
        <f t="shared" si="18"/>
        <v>3540000</v>
      </c>
      <c r="E56" s="254" t="s">
        <v>168</v>
      </c>
      <c r="F56" s="102">
        <f t="shared" si="19"/>
        <v>246617.82982174121</v>
      </c>
      <c r="G56" s="104">
        <f t="shared" si="22"/>
        <v>55720832.469924212</v>
      </c>
      <c r="H56" s="106">
        <f t="shared" si="20"/>
        <v>7000000.0000000009</v>
      </c>
      <c r="I56" s="102">
        <f t="shared" si="21"/>
        <v>328013.92063754238</v>
      </c>
      <c r="J56" s="108">
        <f t="shared" si="29"/>
        <v>74111465.228846326</v>
      </c>
      <c r="K56" s="100">
        <f t="shared" si="30"/>
        <v>3460000.0000000009</v>
      </c>
      <c r="L56" s="100">
        <f t="shared" si="31"/>
        <v>18390632.758922115</v>
      </c>
      <c r="M56" s="111">
        <f t="shared" si="32"/>
        <v>0.97740112994350303</v>
      </c>
      <c r="N56" s="112">
        <f t="shared" si="33"/>
        <v>0.33004949753485135</v>
      </c>
      <c r="O56" s="142"/>
      <c r="P56" s="307">
        <f t="shared" si="28"/>
        <v>18.390632758922116</v>
      </c>
    </row>
    <row r="57" spans="1:22" x14ac:dyDescent="0.2">
      <c r="A57" s="237" t="str">
        <f>A27</f>
        <v>Gardasil Adolescents</v>
      </c>
      <c r="B57" s="237" t="str">
        <f>B27</f>
        <v>HCC Paid Search</v>
      </c>
      <c r="C57" s="301">
        <f t="shared" si="16"/>
        <v>1</v>
      </c>
      <c r="D57" s="100">
        <f t="shared" si="18"/>
        <v>400000</v>
      </c>
      <c r="E57" s="254" t="s">
        <v>168</v>
      </c>
      <c r="F57" s="102">
        <f t="shared" si="19"/>
        <v>145038.35480357721</v>
      </c>
      <c r="G57" s="104">
        <f t="shared" si="22"/>
        <v>32769965.884320233</v>
      </c>
      <c r="H57" s="106">
        <f t="shared" si="20"/>
        <v>400000</v>
      </c>
      <c r="I57" s="102">
        <f t="shared" si="21"/>
        <v>145038.35480357721</v>
      </c>
      <c r="J57" s="108">
        <f t="shared" si="29"/>
        <v>32769965.884320233</v>
      </c>
      <c r="K57" s="100">
        <f t="shared" si="30"/>
        <v>0</v>
      </c>
      <c r="L57" s="100">
        <f t="shared" si="31"/>
        <v>0</v>
      </c>
      <c r="M57" s="111">
        <f t="shared" si="32"/>
        <v>0</v>
      </c>
      <c r="N57" s="112">
        <f t="shared" si="33"/>
        <v>0</v>
      </c>
      <c r="O57" s="142"/>
      <c r="P57" s="307">
        <f t="shared" si="28"/>
        <v>0</v>
      </c>
    </row>
    <row r="58" spans="1:22" s="98" customFormat="1" x14ac:dyDescent="0.2">
      <c r="A58" s="237" t="str">
        <f>A28</f>
        <v>Gardasil Adolescents</v>
      </c>
      <c r="B58" s="237" t="str">
        <f>B28</f>
        <v>HCC Audio</v>
      </c>
      <c r="C58" s="301">
        <f t="shared" si="16"/>
        <v>1</v>
      </c>
      <c r="D58" s="100">
        <f t="shared" si="18"/>
        <v>2220000</v>
      </c>
      <c r="E58" s="254" t="s">
        <v>168</v>
      </c>
      <c r="F58" s="102">
        <f t="shared" si="19"/>
        <v>91610.125423352103</v>
      </c>
      <c r="G58" s="104">
        <f t="shared" si="22"/>
        <v>20698391.738152172</v>
      </c>
      <c r="H58" s="106">
        <f t="shared" si="20"/>
        <v>4800000</v>
      </c>
      <c r="I58" s="102">
        <f t="shared" si="21"/>
        <v>145504.50354692468</v>
      </c>
      <c r="J58" s="108">
        <f t="shared" si="29"/>
        <v>32875287.531392161</v>
      </c>
      <c r="K58" s="100">
        <f t="shared" si="30"/>
        <v>2580000</v>
      </c>
      <c r="L58" s="100">
        <f t="shared" si="31"/>
        <v>12176895.793239988</v>
      </c>
      <c r="M58" s="111">
        <f t="shared" si="32"/>
        <v>1.1621621621621621</v>
      </c>
      <c r="N58" s="112">
        <f t="shared" si="33"/>
        <v>0.5883015428099666</v>
      </c>
      <c r="O58" s="142"/>
      <c r="P58" s="307">
        <f t="shared" si="28"/>
        <v>12.176895793239989</v>
      </c>
    </row>
    <row r="59" spans="1:22" s="98" customFormat="1" x14ac:dyDescent="0.2">
      <c r="A59" s="355" t="str">
        <f>A29</f>
        <v>Gardasil Adolescents</v>
      </c>
      <c r="B59" s="355" t="str">
        <f>B29</f>
        <v>HCC TV</v>
      </c>
      <c r="C59" s="344">
        <f t="shared" si="16"/>
        <v>1</v>
      </c>
      <c r="D59" s="356">
        <f t="shared" si="18"/>
        <v>15700000</v>
      </c>
      <c r="E59" s="357" t="s">
        <v>168</v>
      </c>
      <c r="F59" s="358">
        <f t="shared" si="19"/>
        <v>283782.52397067065</v>
      </c>
      <c r="G59" s="359">
        <f t="shared" si="22"/>
        <v>64117823.465933323</v>
      </c>
      <c r="H59" s="360">
        <f t="shared" si="20"/>
        <v>15700000</v>
      </c>
      <c r="I59" s="358">
        <f t="shared" si="21"/>
        <v>283782.52397067065</v>
      </c>
      <c r="J59" s="361">
        <f t="shared" si="29"/>
        <v>64117823.465933323</v>
      </c>
      <c r="K59" s="356">
        <f t="shared" si="30"/>
        <v>0</v>
      </c>
      <c r="L59" s="356">
        <f t="shared" si="31"/>
        <v>0</v>
      </c>
      <c r="M59" s="362">
        <f t="shared" si="32"/>
        <v>0</v>
      </c>
      <c r="N59" s="363">
        <f t="shared" si="33"/>
        <v>0</v>
      </c>
      <c r="O59" s="142"/>
      <c r="P59" s="307">
        <f t="shared" si="28"/>
        <v>0</v>
      </c>
    </row>
    <row r="60" spans="1:22" s="98" customFormat="1" x14ac:dyDescent="0.2">
      <c r="A60" s="405" t="str">
        <f>A30</f>
        <v>Gardasil Adolescents</v>
      </c>
      <c r="B60" s="405" t="s">
        <v>231</v>
      </c>
      <c r="C60" s="406"/>
      <c r="D60" s="424">
        <f t="shared" si="18"/>
        <v>38513576</v>
      </c>
      <c r="E60" s="408"/>
      <c r="F60" s="425">
        <f t="shared" si="19"/>
        <v>1393361.539662329</v>
      </c>
      <c r="G60" s="426">
        <f t="shared" si="22"/>
        <v>314816106.27130663</v>
      </c>
      <c r="H60" s="427">
        <f t="shared" si="20"/>
        <v>63000000.00593973</v>
      </c>
      <c r="I60" s="425">
        <f t="shared" si="21"/>
        <v>1868254.3465707046</v>
      </c>
      <c r="J60" s="426">
        <f t="shared" si="29"/>
        <v>422113387.06418496</v>
      </c>
      <c r="K60" s="427">
        <f t="shared" si="30"/>
        <v>24486424.00593973</v>
      </c>
      <c r="L60" s="427">
        <f t="shared" si="31"/>
        <v>107297280.79287833</v>
      </c>
      <c r="M60" s="428">
        <f t="shared" si="32"/>
        <v>0.63578681984606489</v>
      </c>
      <c r="N60" s="429">
        <f t="shared" si="33"/>
        <v>0.34082525847775458</v>
      </c>
      <c r="O60" s="142"/>
      <c r="P60" s="307"/>
    </row>
    <row r="61" spans="1:22" s="98" customFormat="1" x14ac:dyDescent="0.2">
      <c r="A61" s="364" t="s">
        <v>285</v>
      </c>
      <c r="B61" s="237" t="str">
        <f>B31</f>
        <v>HCC InOffice</v>
      </c>
      <c r="C61" s="301">
        <f>D31</f>
        <v>1</v>
      </c>
      <c r="D61" s="100">
        <f t="shared" si="18"/>
        <v>1000000</v>
      </c>
      <c r="E61" s="254" t="s">
        <v>168</v>
      </c>
      <c r="F61" s="102">
        <f t="shared" si="19"/>
        <v>4323.5214887261391</v>
      </c>
      <c r="G61" s="104">
        <f t="shared" si="22"/>
        <v>976856.44516278384</v>
      </c>
      <c r="H61" s="106">
        <f t="shared" si="20"/>
        <v>900000</v>
      </c>
      <c r="I61" s="102">
        <f t="shared" si="21"/>
        <v>4003.0596247408539</v>
      </c>
      <c r="J61" s="108">
        <f t="shared" si="29"/>
        <v>904451.29161394853</v>
      </c>
      <c r="K61" s="100">
        <f t="shared" si="30"/>
        <v>-100000</v>
      </c>
      <c r="L61" s="100">
        <f t="shared" si="31"/>
        <v>-72405.153548835311</v>
      </c>
      <c r="M61" s="111">
        <f t="shared" si="32"/>
        <v>-0.1</v>
      </c>
      <c r="N61" s="112">
        <f t="shared" si="33"/>
        <v>-7.412056695471736E-2</v>
      </c>
      <c r="O61" s="142"/>
      <c r="P61" s="307"/>
    </row>
    <row r="62" spans="1:22" s="98" customFormat="1" x14ac:dyDescent="0.2">
      <c r="A62" s="364" t="s">
        <v>285</v>
      </c>
      <c r="B62" s="237" t="str">
        <f t="shared" ref="B62:B71" si="34">B32</f>
        <v>HCP MCM</v>
      </c>
      <c r="C62" s="301">
        <f t="shared" ref="C62:D70" si="35">D32</f>
        <v>1</v>
      </c>
      <c r="D62" s="100">
        <f t="shared" si="18"/>
        <v>16948000</v>
      </c>
      <c r="E62" s="254" t="s">
        <v>168</v>
      </c>
      <c r="F62" s="102">
        <f t="shared" si="19"/>
        <v>496174.88643250242</v>
      </c>
      <c r="G62" s="104">
        <f t="shared" si="22"/>
        <v>112105753.8405596</v>
      </c>
      <c r="H62" s="106">
        <f t="shared" si="20"/>
        <v>22050000</v>
      </c>
      <c r="I62" s="102">
        <f t="shared" si="21"/>
        <v>584574.96122157387</v>
      </c>
      <c r="J62" s="108">
        <f t="shared" si="29"/>
        <v>132078866.7384024</v>
      </c>
      <c r="K62" s="100">
        <f t="shared" si="30"/>
        <v>5102000</v>
      </c>
      <c r="L62" s="100">
        <f t="shared" si="31"/>
        <v>19973112.897842795</v>
      </c>
      <c r="M62" s="111">
        <f t="shared" si="32"/>
        <v>0.30103847061600186</v>
      </c>
      <c r="N62" s="112">
        <f t="shared" si="33"/>
        <v>0.17816313805131889</v>
      </c>
      <c r="O62" s="142"/>
      <c r="P62" s="307"/>
    </row>
    <row r="63" spans="1:22" s="98" customFormat="1" x14ac:dyDescent="0.2">
      <c r="A63" s="364" t="s">
        <v>285</v>
      </c>
      <c r="B63" s="237" t="str">
        <f t="shared" si="34"/>
        <v>HCC Social</v>
      </c>
      <c r="C63" s="301">
        <f t="shared" si="35"/>
        <v>1</v>
      </c>
      <c r="D63" s="100">
        <f t="shared" si="18"/>
        <v>2200000</v>
      </c>
      <c r="E63" s="254" t="s">
        <v>168</v>
      </c>
      <c r="F63" s="102">
        <f t="shared" si="19"/>
        <v>58616.624488157111</v>
      </c>
      <c r="G63" s="104">
        <f t="shared" si="22"/>
        <v>13243840.136854218</v>
      </c>
      <c r="H63" s="106">
        <f t="shared" si="20"/>
        <v>2290679.6471494259</v>
      </c>
      <c r="I63" s="102">
        <f t="shared" si="21"/>
        <v>60054.535360477297</v>
      </c>
      <c r="J63" s="108">
        <f t="shared" si="29"/>
        <v>13568721.71934624</v>
      </c>
      <c r="K63" s="100">
        <f t="shared" si="30"/>
        <v>90679.647149425931</v>
      </c>
      <c r="L63" s="100">
        <f t="shared" si="31"/>
        <v>324881.58249202184</v>
      </c>
      <c r="M63" s="111">
        <f t="shared" si="32"/>
        <v>4.1218021431557242E-2</v>
      </c>
      <c r="N63" s="112">
        <f t="shared" si="33"/>
        <v>2.4530768956351225E-2</v>
      </c>
      <c r="O63" s="142"/>
      <c r="P63" s="307"/>
    </row>
    <row r="64" spans="1:22" s="98" customFormat="1" x14ac:dyDescent="0.2">
      <c r="A64" s="364" t="s">
        <v>285</v>
      </c>
      <c r="B64" s="237" t="str">
        <f t="shared" si="34"/>
        <v>HCC Online Video</v>
      </c>
      <c r="C64" s="301">
        <f t="shared" si="35"/>
        <v>1</v>
      </c>
      <c r="D64" s="100">
        <f t="shared" si="18"/>
        <v>1500000</v>
      </c>
      <c r="E64" s="254" t="s">
        <v>168</v>
      </c>
      <c r="F64" s="102">
        <f t="shared" si="19"/>
        <v>47229.585064189509</v>
      </c>
      <c r="G64" s="104">
        <f t="shared" si="22"/>
        <v>10671052.449402977</v>
      </c>
      <c r="H64" s="106">
        <f t="shared" si="20"/>
        <v>2094216.1059919484</v>
      </c>
      <c r="I64" s="102">
        <f t="shared" si="21"/>
        <v>56711.041899770498</v>
      </c>
      <c r="J64" s="108">
        <f t="shared" si="29"/>
        <v>12813292.806834146</v>
      </c>
      <c r="K64" s="100">
        <f t="shared" si="30"/>
        <v>594216.1059919484</v>
      </c>
      <c r="L64" s="100">
        <f t="shared" si="31"/>
        <v>2142240.3574311696</v>
      </c>
      <c r="M64" s="111">
        <f t="shared" si="32"/>
        <v>0.39614407066129892</v>
      </c>
      <c r="N64" s="112">
        <f t="shared" si="33"/>
        <v>0.20075249068343054</v>
      </c>
      <c r="O64" s="142"/>
      <c r="P64" s="307"/>
    </row>
    <row r="65" spans="1:16" s="98" customFormat="1" x14ac:dyDescent="0.2">
      <c r="A65" s="364" t="s">
        <v>285</v>
      </c>
      <c r="B65" s="237" t="str">
        <f t="shared" si="34"/>
        <v>HCC Streaming Video</v>
      </c>
      <c r="C65" s="301">
        <f t="shared" si="35"/>
        <v>1</v>
      </c>
      <c r="D65" s="100">
        <f t="shared" si="18"/>
        <v>10268452</v>
      </c>
      <c r="E65" s="254" t="s">
        <v>168</v>
      </c>
      <c r="F65" s="102">
        <f t="shared" si="19"/>
        <v>151456.22181936813</v>
      </c>
      <c r="G65" s="104">
        <f t="shared" si="22"/>
        <v>34220018.757868037</v>
      </c>
      <c r="H65" s="106">
        <f t="shared" si="20"/>
        <v>8306901</v>
      </c>
      <c r="I65" s="102">
        <f t="shared" si="21"/>
        <v>130569.26487504225</v>
      </c>
      <c r="J65" s="108">
        <f t="shared" si="29"/>
        <v>29500819.705867045</v>
      </c>
      <c r="K65" s="100">
        <f t="shared" si="30"/>
        <v>-1961551</v>
      </c>
      <c r="L65" s="100">
        <f t="shared" si="31"/>
        <v>-4719199.052000992</v>
      </c>
      <c r="M65" s="111">
        <f t="shared" si="32"/>
        <v>-0.19102694349644914</v>
      </c>
      <c r="N65" s="112">
        <f t="shared" si="33"/>
        <v>-0.13790755304352165</v>
      </c>
      <c r="O65" s="142"/>
      <c r="P65" s="307"/>
    </row>
    <row r="66" spans="1:16" s="98" customFormat="1" x14ac:dyDescent="0.2">
      <c r="A66" s="364" t="s">
        <v>285</v>
      </c>
      <c r="B66" s="237" t="str">
        <f t="shared" si="34"/>
        <v>HCC Display</v>
      </c>
      <c r="C66" s="301">
        <f t="shared" si="35"/>
        <v>1</v>
      </c>
      <c r="D66" s="100">
        <f t="shared" si="18"/>
        <v>4000000</v>
      </c>
      <c r="E66" s="254" t="s">
        <v>168</v>
      </c>
      <c r="F66" s="102">
        <f t="shared" si="19"/>
        <v>116850.47225954643</v>
      </c>
      <c r="G66" s="104">
        <f t="shared" si="22"/>
        <v>26401195.702321921</v>
      </c>
      <c r="H66" s="106">
        <f t="shared" si="20"/>
        <v>5000000</v>
      </c>
      <c r="I66" s="102">
        <f t="shared" si="21"/>
        <v>133590.7782109612</v>
      </c>
      <c r="J66" s="108">
        <f t="shared" si="29"/>
        <v>30183500.428984575</v>
      </c>
      <c r="K66" s="100">
        <f t="shared" si="30"/>
        <v>1000000</v>
      </c>
      <c r="L66" s="100">
        <f t="shared" si="31"/>
        <v>3782304.7266626544</v>
      </c>
      <c r="M66" s="111">
        <f t="shared" si="32"/>
        <v>0.25</v>
      </c>
      <c r="N66" s="112">
        <f t="shared" si="33"/>
        <v>0.14326262981831578</v>
      </c>
      <c r="O66" s="142"/>
      <c r="P66" s="307"/>
    </row>
    <row r="67" spans="1:16" s="98" customFormat="1" x14ac:dyDescent="0.2">
      <c r="A67" s="364" t="s">
        <v>285</v>
      </c>
      <c r="B67" s="237" t="str">
        <f t="shared" si="34"/>
        <v>HCC Paid Search</v>
      </c>
      <c r="C67" s="301">
        <f t="shared" si="35"/>
        <v>1</v>
      </c>
      <c r="D67" s="100">
        <f t="shared" si="18"/>
        <v>200000</v>
      </c>
      <c r="E67" s="254" t="s">
        <v>168</v>
      </c>
      <c r="F67" s="102">
        <f t="shared" si="19"/>
        <v>79531.473375019181</v>
      </c>
      <c r="G67" s="104">
        <f t="shared" si="22"/>
        <v>17969341.094351832</v>
      </c>
      <c r="H67" s="106">
        <f t="shared" si="20"/>
        <v>200000</v>
      </c>
      <c r="I67" s="102">
        <f t="shared" si="21"/>
        <v>79531.473375019181</v>
      </c>
      <c r="J67" s="108">
        <f t="shared" si="29"/>
        <v>17969341.094351832</v>
      </c>
      <c r="K67" s="100">
        <f t="shared" si="30"/>
        <v>0</v>
      </c>
      <c r="L67" s="100">
        <f t="shared" si="31"/>
        <v>0</v>
      </c>
      <c r="M67" s="111">
        <f t="shared" si="32"/>
        <v>0</v>
      </c>
      <c r="N67" s="112">
        <f t="shared" si="33"/>
        <v>0</v>
      </c>
      <c r="O67" s="142"/>
      <c r="P67" s="307"/>
    </row>
    <row r="68" spans="1:16" s="98" customFormat="1" x14ac:dyDescent="0.2">
      <c r="A68" s="364" t="s">
        <v>285</v>
      </c>
      <c r="B68" s="237" t="str">
        <f t="shared" si="34"/>
        <v>HCC Linear TV</v>
      </c>
      <c r="C68" s="301">
        <f t="shared" si="35"/>
        <v>1</v>
      </c>
      <c r="D68" s="100">
        <f t="shared" si="18"/>
        <v>28089211</v>
      </c>
      <c r="E68" s="254" t="s">
        <v>168</v>
      </c>
      <c r="F68" s="102">
        <f t="shared" si="19"/>
        <v>186699.58751036425</v>
      </c>
      <c r="G68" s="104">
        <f t="shared" si="22"/>
        <v>42182904.802091695</v>
      </c>
      <c r="H68" s="106">
        <f t="shared" si="20"/>
        <v>36089210.999896407</v>
      </c>
      <c r="I68" s="102">
        <f t="shared" si="21"/>
        <v>222499.91597168916</v>
      </c>
      <c r="J68" s="108">
        <f t="shared" si="29"/>
        <v>50271631.014643446</v>
      </c>
      <c r="K68" s="100">
        <f t="shared" si="30"/>
        <v>7999999.9998964071</v>
      </c>
      <c r="L68" s="100">
        <f t="shared" si="31"/>
        <v>8088726.2125517502</v>
      </c>
      <c r="M68" s="111">
        <f t="shared" si="32"/>
        <v>0.28480686053789145</v>
      </c>
      <c r="N68" s="112">
        <f t="shared" si="33"/>
        <v>0.19175365590637702</v>
      </c>
      <c r="O68" s="142"/>
      <c r="P68" s="307"/>
    </row>
    <row r="69" spans="1:16" s="98" customFormat="1" x14ac:dyDescent="0.2">
      <c r="A69" s="364" t="s">
        <v>285</v>
      </c>
      <c r="B69" s="237" t="str">
        <f t="shared" si="34"/>
        <v>HCC Radio</v>
      </c>
      <c r="C69" s="301">
        <f t="shared" si="35"/>
        <v>1</v>
      </c>
      <c r="D69" s="100">
        <f t="shared" si="35"/>
        <v>1500000</v>
      </c>
      <c r="E69" s="254" t="s">
        <v>168</v>
      </c>
      <c r="F69" s="102">
        <f t="shared" ref="F69:F71" si="36">F39/$D$48</f>
        <v>32266.574959240672</v>
      </c>
      <c r="G69" s="104">
        <f t="shared" si="22"/>
        <v>7290309.9462908376</v>
      </c>
      <c r="H69" s="106">
        <f t="shared" ref="H69:H71" si="37">I39</f>
        <v>1959114.2410225025</v>
      </c>
      <c r="I69" s="102">
        <f t="shared" ref="I69:I71" si="38">J39/$D$48</f>
        <v>35903.787865255006</v>
      </c>
      <c r="J69" s="108">
        <f t="shared" si="29"/>
        <v>8112101.8302757163</v>
      </c>
      <c r="K69" s="100">
        <f t="shared" si="30"/>
        <v>459114.24102250254</v>
      </c>
      <c r="L69" s="100">
        <f t="shared" si="31"/>
        <v>821791.88398487866</v>
      </c>
      <c r="M69" s="111">
        <f t="shared" ref="M69:M71" si="39">K69/D69</f>
        <v>0.30607616068166837</v>
      </c>
      <c r="N69" s="112">
        <f t="shared" ref="N69:N71" si="40">L69/G69</f>
        <v>0.11272386085628495</v>
      </c>
      <c r="O69" s="142"/>
      <c r="P69" s="307"/>
    </row>
    <row r="70" spans="1:16" s="98" customFormat="1" x14ac:dyDescent="0.2">
      <c r="A70" s="364" t="s">
        <v>285</v>
      </c>
      <c r="B70" s="237" t="str">
        <f t="shared" si="34"/>
        <v>HCC Pharmacy</v>
      </c>
      <c r="C70" s="301">
        <f t="shared" si="35"/>
        <v>1</v>
      </c>
      <c r="D70" s="100">
        <f t="shared" si="35"/>
        <v>3200000</v>
      </c>
      <c r="E70" s="254" t="s">
        <v>168</v>
      </c>
      <c r="F70" s="102">
        <f t="shared" si="36"/>
        <v>22412.309442908503</v>
      </c>
      <c r="G70" s="104">
        <f t="shared" si="22"/>
        <v>5063837.1955307471</v>
      </c>
      <c r="H70" s="106">
        <f t="shared" si="37"/>
        <v>3200000</v>
      </c>
      <c r="I70" s="102">
        <f t="shared" si="38"/>
        <v>22412.309442908503</v>
      </c>
      <c r="J70" s="108">
        <f t="shared" si="29"/>
        <v>5063837.1955307471</v>
      </c>
      <c r="K70" s="100">
        <f t="shared" si="30"/>
        <v>0</v>
      </c>
      <c r="L70" s="100">
        <f t="shared" si="31"/>
        <v>0</v>
      </c>
      <c r="M70" s="111">
        <f t="shared" si="39"/>
        <v>0</v>
      </c>
      <c r="N70" s="112">
        <f t="shared" si="40"/>
        <v>0</v>
      </c>
      <c r="O70" s="142"/>
      <c r="P70" s="307"/>
    </row>
    <row r="71" spans="1:16" s="98" customFormat="1" x14ac:dyDescent="0.2">
      <c r="A71" s="405" t="s">
        <v>285</v>
      </c>
      <c r="B71" s="405" t="str">
        <f t="shared" si="34"/>
        <v>Total</v>
      </c>
      <c r="C71" s="36"/>
      <c r="D71" s="424">
        <f t="shared" ref="D71" si="41">E41</f>
        <v>68905663</v>
      </c>
      <c r="E71" s="408"/>
      <c r="F71" s="430">
        <f t="shared" si="36"/>
        <v>1195561.256840022</v>
      </c>
      <c r="G71" s="431">
        <f t="shared" si="22"/>
        <v>270125110.37043458</v>
      </c>
      <c r="H71" s="424">
        <f t="shared" si="37"/>
        <v>82090121.994060278</v>
      </c>
      <c r="I71" s="430">
        <f t="shared" si="38"/>
        <v>1329851.1278474377</v>
      </c>
      <c r="J71" s="431">
        <f t="shared" si="29"/>
        <v>300466563.82585007</v>
      </c>
      <c r="K71" s="424">
        <f t="shared" si="30"/>
        <v>13184458.994060278</v>
      </c>
      <c r="L71" s="424">
        <f t="shared" si="31"/>
        <v>30341453.455415487</v>
      </c>
      <c r="M71" s="432">
        <f t="shared" si="39"/>
        <v>0.19134071743944003</v>
      </c>
      <c r="N71" s="433">
        <f t="shared" si="40"/>
        <v>0.11232370590726239</v>
      </c>
      <c r="O71" s="142"/>
      <c r="P71" s="307"/>
    </row>
    <row r="72" spans="1:16" s="98" customFormat="1" x14ac:dyDescent="0.2">
      <c r="A72" s="411" t="s">
        <v>154</v>
      </c>
      <c r="B72" s="411" t="s">
        <v>99</v>
      </c>
      <c r="C72" s="412"/>
      <c r="D72" s="419">
        <f>SUM(D51:D59,D61:D70)</f>
        <v>107419239</v>
      </c>
      <c r="E72" s="420"/>
      <c r="F72" s="421">
        <f>SUM(F51:F59,F61:F70)</f>
        <v>2588922.7965023518</v>
      </c>
      <c r="G72" s="419">
        <f>SUM(G51:G59,G61:G70)</f>
        <v>584941216.64174139</v>
      </c>
      <c r="H72" s="419">
        <f>SUM(H51:H59,H61:H70)</f>
        <v>145090122</v>
      </c>
      <c r="I72" s="421">
        <f>SUM(I51:I59,I61:I70)</f>
        <v>3198105.4744181428</v>
      </c>
      <c r="J72" s="419">
        <f>SUM(J51:J59,J61:J70)</f>
        <v>722579950.89003515</v>
      </c>
      <c r="K72" s="419">
        <f t="shared" ref="K72" si="42">H72-D72</f>
        <v>37670883</v>
      </c>
      <c r="L72" s="419">
        <f t="shared" ref="L72" si="43">J72-G72</f>
        <v>137638734.24829376</v>
      </c>
      <c r="M72" s="422">
        <f t="shared" ref="M72" si="44">K72/D72</f>
        <v>0.35069027997861724</v>
      </c>
      <c r="N72" s="423">
        <f t="shared" ref="N72" si="45">L72/G72</f>
        <v>0.23530353193181336</v>
      </c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50"/>
      <c r="E74" s="255"/>
      <c r="F74" s="151"/>
      <c r="G74" s="113"/>
      <c r="H74" s="98"/>
      <c r="I74" s="94"/>
      <c r="J74" s="113"/>
      <c r="K74" s="98"/>
      <c r="L74" s="113"/>
      <c r="M74" s="117"/>
      <c r="N74" s="114"/>
    </row>
    <row r="75" spans="1:16" x14ac:dyDescent="0.2">
      <c r="D75" s="150"/>
      <c r="E75" s="255"/>
      <c r="F75" s="151"/>
      <c r="G75" s="113"/>
      <c r="H75" s="98"/>
      <c r="I75" s="94"/>
      <c r="J75" s="113"/>
      <c r="K75" s="98"/>
      <c r="L75" s="113"/>
      <c r="M75" s="117"/>
      <c r="N75" s="114"/>
    </row>
    <row r="76" spans="1:16" x14ac:dyDescent="0.2">
      <c r="D76" s="128"/>
      <c r="E76" s="256"/>
      <c r="F76" s="128"/>
      <c r="G76" s="98"/>
      <c r="H76" s="98"/>
      <c r="I76" s="98"/>
      <c r="J76" s="98"/>
      <c r="K76" s="98"/>
      <c r="L76" s="98"/>
      <c r="M76" s="98"/>
      <c r="N76" s="98"/>
    </row>
    <row r="77" spans="1:16" x14ac:dyDescent="0.2">
      <c r="D77" s="152"/>
      <c r="E77" s="256"/>
      <c r="F77" s="128"/>
      <c r="G77" s="98"/>
      <c r="H77" s="98"/>
      <c r="I77" s="98"/>
      <c r="J77" s="98"/>
      <c r="K77" s="98"/>
      <c r="L77" s="98"/>
      <c r="M77" s="98"/>
      <c r="N77" s="98"/>
    </row>
    <row r="78" spans="1:16" x14ac:dyDescent="0.2">
      <c r="D78" s="128"/>
      <c r="E78" s="256"/>
      <c r="F78" s="128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  <row r="82" spans="5:5" x14ac:dyDescent="0.2">
      <c r="E82" s="257"/>
    </row>
    <row r="83" spans="5:5" x14ac:dyDescent="0.2">
      <c r="E83" s="257"/>
    </row>
  </sheetData>
  <mergeCells count="21">
    <mergeCell ref="H49:J49"/>
    <mergeCell ref="B4:I4"/>
    <mergeCell ref="E5:I5"/>
    <mergeCell ref="E6:I6"/>
    <mergeCell ref="K19:N19"/>
    <mergeCell ref="K49:N49"/>
    <mergeCell ref="J46:O46"/>
    <mergeCell ref="C19:C20"/>
    <mergeCell ref="D19:D20"/>
    <mergeCell ref="E19:F19"/>
    <mergeCell ref="G19:H19"/>
    <mergeCell ref="I19:J19"/>
    <mergeCell ref="D46:I46"/>
    <mergeCell ref="C49:C50"/>
    <mergeCell ref="D49:G49"/>
    <mergeCell ref="E7:I7"/>
    <mergeCell ref="A49:A50"/>
    <mergeCell ref="B49:B50"/>
    <mergeCell ref="A47:A48"/>
    <mergeCell ref="A19:A20"/>
    <mergeCell ref="B19:B20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30:H30 K30:L30 G38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88AF1C-A584-4D2E-8033-3FC9F3F77217}">
          <x14:formula1>
            <xm:f>Case_Constraints!$D$2:$G$2</xm:f>
          </x14:formula1>
          <xm:sqref>E8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201C6-567A-4949-BB03-D3250FB7E6E9}">
  <dimension ref="C2:L27"/>
  <sheetViews>
    <sheetView zoomScale="80" zoomScaleNormal="80" workbookViewId="0">
      <selection activeCell="F2" sqref="F2"/>
    </sheetView>
  </sheetViews>
  <sheetFormatPr defaultRowHeight="15" x14ac:dyDescent="0.25"/>
  <cols>
    <col min="3" max="3" width="44.140625" bestFit="1" customWidth="1"/>
    <col min="4" max="7" width="16.5703125" bestFit="1" customWidth="1"/>
    <col min="10" max="10" width="13.5703125" bestFit="1" customWidth="1"/>
    <col min="11" max="12" width="13" bestFit="1" customWidth="1"/>
  </cols>
  <sheetData>
    <row r="2" spans="3:12" x14ac:dyDescent="0.25">
      <c r="C2" s="552" t="s">
        <v>3</v>
      </c>
      <c r="D2" s="552" t="s">
        <v>403</v>
      </c>
      <c r="E2" s="552" t="s">
        <v>404</v>
      </c>
      <c r="F2" s="552" t="s">
        <v>405</v>
      </c>
      <c r="G2" s="552" t="s">
        <v>406</v>
      </c>
      <c r="I2" s="609"/>
      <c r="J2" s="609" t="s">
        <v>231</v>
      </c>
      <c r="K2" s="609" t="s">
        <v>447</v>
      </c>
      <c r="L2" s="609" t="s">
        <v>448</v>
      </c>
    </row>
    <row r="3" spans="3:12" x14ac:dyDescent="0.25">
      <c r="C3" s="552" t="s">
        <v>348</v>
      </c>
      <c r="D3" s="487">
        <v>20000000</v>
      </c>
      <c r="E3" s="487">
        <v>24000000</v>
      </c>
      <c r="F3" s="487">
        <v>22486424.00593973</v>
      </c>
      <c r="G3" s="487">
        <v>24486424.00593973</v>
      </c>
      <c r="I3" s="609" t="s">
        <v>445</v>
      </c>
      <c r="J3" s="487">
        <v>107419239</v>
      </c>
      <c r="K3" s="487">
        <v>38513576</v>
      </c>
      <c r="L3" s="487">
        <v>68905663</v>
      </c>
    </row>
    <row r="4" spans="3:12" x14ac:dyDescent="0.25">
      <c r="C4" s="551" t="s">
        <v>349</v>
      </c>
      <c r="D4" s="576">
        <v>20000000</v>
      </c>
      <c r="E4" s="576">
        <v>16000000</v>
      </c>
      <c r="F4" s="576">
        <v>15184458.994060278</v>
      </c>
      <c r="G4" s="487">
        <v>13184458.994060278</v>
      </c>
      <c r="I4" s="609" t="s">
        <v>446</v>
      </c>
      <c r="J4" s="487">
        <v>125090122</v>
      </c>
      <c r="K4" s="487">
        <v>51000000.00593973</v>
      </c>
      <c r="L4" s="487">
        <v>74090121.994060278</v>
      </c>
    </row>
    <row r="5" spans="3:12" x14ac:dyDescent="0.25">
      <c r="C5" s="577" t="s">
        <v>407</v>
      </c>
      <c r="D5" s="573">
        <v>7500000</v>
      </c>
      <c r="E5" s="340">
        <v>7500000</v>
      </c>
      <c r="F5" s="340">
        <v>7500000</v>
      </c>
      <c r="G5" s="340">
        <v>7500000</v>
      </c>
      <c r="I5" s="609" t="s">
        <v>449</v>
      </c>
      <c r="J5" s="487">
        <f>J4+20000000</f>
        <v>145090122</v>
      </c>
      <c r="K5" s="487">
        <f>K4+10000000</f>
        <v>61000000.00593973</v>
      </c>
      <c r="L5" s="487">
        <f>L4+10000000</f>
        <v>84090121.994060278</v>
      </c>
    </row>
    <row r="6" spans="3:12" x14ac:dyDescent="0.25">
      <c r="C6" s="578" t="s">
        <v>408</v>
      </c>
      <c r="D6" s="574">
        <v>12000000</v>
      </c>
      <c r="E6" s="306">
        <v>12000000</v>
      </c>
      <c r="F6" s="306">
        <v>16000000</v>
      </c>
      <c r="G6" s="306">
        <v>16000000</v>
      </c>
      <c r="I6" s="609" t="s">
        <v>450</v>
      </c>
      <c r="J6" s="487">
        <v>145090122</v>
      </c>
      <c r="K6" s="487">
        <f>K4+12000000</f>
        <v>63000000.00593973</v>
      </c>
      <c r="L6" s="487">
        <f>L4+8000000</f>
        <v>82090121.994060278</v>
      </c>
    </row>
    <row r="7" spans="3:12" x14ac:dyDescent="0.25">
      <c r="C7" s="578" t="s">
        <v>409</v>
      </c>
      <c r="D7" s="574">
        <v>6500000</v>
      </c>
      <c r="E7" s="306">
        <v>6500000</v>
      </c>
      <c r="F7" s="306">
        <v>6500000</v>
      </c>
      <c r="G7" s="306">
        <v>6500000</v>
      </c>
    </row>
    <row r="8" spans="3:12" s="97" customFormat="1" x14ac:dyDescent="0.25">
      <c r="C8" s="578" t="s">
        <v>410</v>
      </c>
      <c r="D8" s="574">
        <v>3500000</v>
      </c>
      <c r="E8" s="306">
        <v>3500000</v>
      </c>
      <c r="F8" s="306">
        <v>3500000</v>
      </c>
      <c r="G8" s="306">
        <v>3500000</v>
      </c>
      <c r="K8" s="487">
        <f>K5-K3</f>
        <v>22486424.00593973</v>
      </c>
      <c r="L8" s="487">
        <f t="shared" ref="L8" si="0">L5-L3</f>
        <v>15184458.994060278</v>
      </c>
    </row>
    <row r="9" spans="3:12" s="97" customFormat="1" x14ac:dyDescent="0.25">
      <c r="C9" s="578" t="s">
        <v>411</v>
      </c>
      <c r="D9" s="574">
        <v>12070113</v>
      </c>
      <c r="E9" s="306">
        <v>12070113</v>
      </c>
      <c r="F9" s="306">
        <v>12070113</v>
      </c>
      <c r="G9" s="306">
        <v>12070113</v>
      </c>
      <c r="K9" s="487">
        <f>K6-K3</f>
        <v>24486424.00593973</v>
      </c>
      <c r="L9" s="487">
        <f t="shared" ref="L9" si="1">L6-L3</f>
        <v>13184458.994060278</v>
      </c>
    </row>
    <row r="10" spans="3:12" s="97" customFormat="1" x14ac:dyDescent="0.25">
      <c r="C10" s="578" t="s">
        <v>412</v>
      </c>
      <c r="D10" s="574">
        <v>7000000</v>
      </c>
      <c r="E10" s="306">
        <v>7000000</v>
      </c>
      <c r="F10" s="306">
        <v>7000000</v>
      </c>
      <c r="G10" s="306">
        <v>7000000</v>
      </c>
    </row>
    <row r="11" spans="3:12" s="97" customFormat="1" x14ac:dyDescent="0.25">
      <c r="C11" s="578" t="s">
        <v>413</v>
      </c>
      <c r="D11" s="574">
        <v>400000</v>
      </c>
      <c r="E11" s="306">
        <v>400000</v>
      </c>
      <c r="F11" s="306">
        <v>400000</v>
      </c>
      <c r="G11" s="306">
        <v>400000</v>
      </c>
    </row>
    <row r="12" spans="3:12" s="97" customFormat="1" x14ac:dyDescent="0.25">
      <c r="C12" s="578" t="s">
        <v>414</v>
      </c>
      <c r="D12" s="574">
        <f>4800000</f>
        <v>4800000</v>
      </c>
      <c r="E12" s="306">
        <f>4800000</f>
        <v>4800000</v>
      </c>
      <c r="F12" s="306">
        <f>4800000</f>
        <v>4800000</v>
      </c>
      <c r="G12" s="306">
        <f>4800000</f>
        <v>4800000</v>
      </c>
    </row>
    <row r="13" spans="3:12" s="97" customFormat="1" x14ac:dyDescent="0.25">
      <c r="C13" s="578" t="s">
        <v>415</v>
      </c>
      <c r="D13" s="575">
        <v>15700000</v>
      </c>
      <c r="E13" s="345">
        <v>15700000</v>
      </c>
      <c r="F13" s="345">
        <v>15700000</v>
      </c>
      <c r="G13" s="345">
        <v>15700000</v>
      </c>
    </row>
    <row r="14" spans="3:12" s="97" customFormat="1" x14ac:dyDescent="0.25">
      <c r="C14" s="577" t="s">
        <v>416</v>
      </c>
      <c r="D14" s="574">
        <v>6500000</v>
      </c>
      <c r="E14" s="306">
        <v>6500000</v>
      </c>
      <c r="F14" s="306">
        <v>900000</v>
      </c>
      <c r="G14" s="306">
        <v>900000</v>
      </c>
    </row>
    <row r="15" spans="3:12" s="97" customFormat="1" x14ac:dyDescent="0.25">
      <c r="C15" s="578" t="s">
        <v>417</v>
      </c>
      <c r="D15" s="574">
        <v>22050000</v>
      </c>
      <c r="E15" s="306">
        <v>22050000</v>
      </c>
      <c r="F15" s="306">
        <v>22050000</v>
      </c>
      <c r="G15" s="306">
        <v>22050000</v>
      </c>
    </row>
    <row r="16" spans="3:12" s="97" customFormat="1" x14ac:dyDescent="0.25">
      <c r="C16" s="578" t="s">
        <v>418</v>
      </c>
      <c r="D16" s="574">
        <v>7000000</v>
      </c>
      <c r="E16" s="306">
        <v>7000000</v>
      </c>
      <c r="F16" s="306">
        <v>2290679.6471494259</v>
      </c>
      <c r="G16" s="306">
        <v>2290679.6471494259</v>
      </c>
    </row>
    <row r="17" spans="3:7" s="97" customFormat="1" x14ac:dyDescent="0.25">
      <c r="C17" s="578" t="s">
        <v>419</v>
      </c>
      <c r="D17" s="574">
        <v>3500000</v>
      </c>
      <c r="E17" s="306">
        <v>3500000</v>
      </c>
      <c r="F17" s="306">
        <v>2094216.1059919484</v>
      </c>
      <c r="G17" s="306">
        <v>2094216.1059919484</v>
      </c>
    </row>
    <row r="18" spans="3:7" s="97" customFormat="1" x14ac:dyDescent="0.25">
      <c r="C18" s="578" t="s">
        <v>420</v>
      </c>
      <c r="D18" s="574">
        <v>27304858</v>
      </c>
      <c r="E18" s="306">
        <v>27304858</v>
      </c>
      <c r="F18" s="306">
        <v>8306901</v>
      </c>
      <c r="G18" s="306">
        <v>8306901</v>
      </c>
    </row>
    <row r="19" spans="3:7" x14ac:dyDescent="0.25">
      <c r="C19" s="578" t="s">
        <v>421</v>
      </c>
      <c r="D19" s="574">
        <v>5000000</v>
      </c>
      <c r="E19" s="306">
        <v>5000000</v>
      </c>
      <c r="F19" s="306">
        <v>5000000</v>
      </c>
      <c r="G19" s="306">
        <v>5000000</v>
      </c>
    </row>
    <row r="20" spans="3:7" x14ac:dyDescent="0.25">
      <c r="C20" s="578" t="s">
        <v>422</v>
      </c>
      <c r="D20" s="574">
        <v>200000</v>
      </c>
      <c r="E20" s="306">
        <v>200000</v>
      </c>
      <c r="F20" s="306">
        <v>200000</v>
      </c>
      <c r="G20" s="306">
        <v>200000</v>
      </c>
    </row>
    <row r="21" spans="3:7" s="97" customFormat="1" x14ac:dyDescent="0.25">
      <c r="C21" s="578" t="s">
        <v>423</v>
      </c>
      <c r="D21" s="574">
        <v>28089211</v>
      </c>
      <c r="E21" s="306">
        <v>28089211</v>
      </c>
      <c r="F21" s="306">
        <v>38089211</v>
      </c>
      <c r="G21" s="306">
        <v>38089211</v>
      </c>
    </row>
    <row r="22" spans="3:7" s="97" customFormat="1" x14ac:dyDescent="0.25">
      <c r="C22" s="578" t="s">
        <v>424</v>
      </c>
      <c r="D22" s="574">
        <f>2200000</f>
        <v>2200000</v>
      </c>
      <c r="E22" s="306">
        <f>2200000</f>
        <v>2200000</v>
      </c>
      <c r="F22" s="306">
        <v>1959114.2410225025</v>
      </c>
      <c r="G22" s="306">
        <v>1959114.2410225025</v>
      </c>
    </row>
    <row r="23" spans="3:7" s="97" customFormat="1" x14ac:dyDescent="0.25">
      <c r="C23" s="579" t="s">
        <v>425</v>
      </c>
      <c r="D23" s="575">
        <f>3200000</f>
        <v>3200000</v>
      </c>
      <c r="E23" s="345">
        <f>3200000</f>
        <v>3200000</v>
      </c>
      <c r="F23" s="345">
        <v>3200000</v>
      </c>
      <c r="G23" s="345">
        <v>3200000</v>
      </c>
    </row>
    <row r="24" spans="3:7" s="97" customFormat="1" x14ac:dyDescent="0.25"/>
    <row r="25" spans="3:7" s="97" customFormat="1" x14ac:dyDescent="0.25"/>
    <row r="26" spans="3:7" s="97" customFormat="1" x14ac:dyDescent="0.25"/>
    <row r="27" spans="3:7" s="97" customFormat="1" x14ac:dyDescent="0.25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15" customHeight="1" x14ac:dyDescent="0.2">
      <c r="A8" s="68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83"/>
      <c r="B9" s="95">
        <f>VAC_Optim_Scenario!G21</f>
        <v>1000000</v>
      </c>
      <c r="C9" s="95">
        <f>VAC_Optim_Scenario!H21</f>
        <v>7500000</v>
      </c>
      <c r="D9" s="68">
        <f>VAC_Optim_Scenario!I21</f>
        <v>1486235.6790270803</v>
      </c>
      <c r="E9" s="84">
        <f>((($R$12/(1+EXP($P$12+$Q$12*D9)))-1) - ($F$12-$C$12))*$I$12</f>
        <v>21682.655350137502</v>
      </c>
      <c r="F9" s="89">
        <f>E9*$G$12</f>
        <v>21682.655350137502</v>
      </c>
      <c r="G9" s="95">
        <f>VAC_Optim_Scenario!E21</f>
        <v>1000000</v>
      </c>
      <c r="H9" s="85">
        <f>((($R$12/(1+EXP($P$12+$Q$12*G9)))-1) - ($F$12-$C$12))*$I$12</f>
        <v>15970.197880234569</v>
      </c>
      <c r="I9" s="90">
        <f>H9*$G$12</f>
        <v>15970.197880234569</v>
      </c>
      <c r="J9" s="87">
        <f>G9/I9</f>
        <v>62.616631772461922</v>
      </c>
      <c r="K9" s="98" t="s">
        <v>180</v>
      </c>
    </row>
    <row r="10" spans="1:18" ht="13.5" thickBot="1" x14ac:dyDescent="0.25"/>
    <row r="11" spans="1:18" ht="51.6" customHeight="1" x14ac:dyDescent="0.2">
      <c r="A11" s="68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7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83"/>
      <c r="B12" s="348">
        <f>'[3]HCC Inoffice Curve'!$B$12</f>
        <v>1700000</v>
      </c>
      <c r="C12" s="348">
        <f>'[3]HCC Inoffice Curve'!$C$12</f>
        <v>23857.888119863572</v>
      </c>
      <c r="D12" s="348">
        <f>'[3]HCC Inoffice Curve'!$D$12</f>
        <v>0</v>
      </c>
      <c r="E12" s="348">
        <f>'[3]HCC Inoffice Curve'!$E$12</f>
        <v>47715.776239727144</v>
      </c>
      <c r="F12" s="348">
        <f>'[3]HCC Inoffice Curve'!$F$12</f>
        <v>8649234</v>
      </c>
      <c r="G12" s="155">
        <f>VAC_Optim_Scenario!$D$48</f>
        <v>1</v>
      </c>
      <c r="H12" s="71">
        <f>C12*G12</f>
        <v>23857.888119863572</v>
      </c>
      <c r="I12" s="115">
        <f>VAC_Optim_Scenario!D21</f>
        <v>1</v>
      </c>
      <c r="K12" s="675"/>
      <c r="L12" s="71">
        <f>F12-C12</f>
        <v>8625376.1118801367</v>
      </c>
      <c r="M12" s="71">
        <f>L12+E12</f>
        <v>8673091.8881198633</v>
      </c>
      <c r="N12" s="72">
        <f>B12</f>
        <v>1700000</v>
      </c>
      <c r="O12" s="71">
        <f>F12</f>
        <v>8649234</v>
      </c>
      <c r="P12" s="24">
        <f>LN((($M$12+1)/($L$12+1))-1)</f>
        <v>-5.1972018820696562</v>
      </c>
      <c r="Q12" s="73">
        <f>(LN((($M$12+1)/($O$12+1))-1)-$P$12)/$N$12</f>
        <v>-4.0935845482839045E-7</v>
      </c>
      <c r="R12" s="74">
        <f>M12+1</f>
        <v>8673092.8881198633</v>
      </c>
    </row>
    <row r="13" spans="1:18" ht="34.15" customHeight="1" x14ac:dyDescent="0.2">
      <c r="A13" s="676" t="s">
        <v>182</v>
      </c>
      <c r="B13" s="677"/>
      <c r="C13" s="677"/>
      <c r="D13" s="677"/>
      <c r="E13" s="677"/>
      <c r="F13" s="678"/>
      <c r="G13" s="119" t="s">
        <v>150</v>
      </c>
      <c r="H13" s="119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75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3731.9067859649658</v>
      </c>
      <c r="C23" s="79">
        <f t="shared" ref="C23:C42" si="1">B23*$G$12</f>
        <v>3731.9067859649658</v>
      </c>
      <c r="D23" s="98">
        <f>(B23-B22)/A23</f>
        <v>1.8659533929824831E-2</v>
      </c>
      <c r="E23" s="116">
        <f t="shared" ref="E23:E42" si="2">B23*$H$14</f>
        <v>843187.01922092435</v>
      </c>
    </row>
    <row r="24" spans="1:8" x14ac:dyDescent="0.2">
      <c r="A24" s="86">
        <f t="shared" ref="A24:A42" si="3">A23+(($C$18-$B$18)/$D$18)</f>
        <v>400000</v>
      </c>
      <c r="B24" s="79">
        <f t="shared" si="0"/>
        <v>7173.3086972367018</v>
      </c>
      <c r="C24" s="79">
        <f t="shared" si="1"/>
        <v>7173.3086972367018</v>
      </c>
      <c r="D24" s="98">
        <f t="shared" ref="D24:D42" si="4">(B24-B23)/A24</f>
        <v>8.6035047781793401E-3</v>
      </c>
      <c r="E24" s="116">
        <f t="shared" si="2"/>
        <v>1620737.3670536603</v>
      </c>
    </row>
    <row r="25" spans="1:8" x14ac:dyDescent="0.2">
      <c r="A25" s="86">
        <f t="shared" si="3"/>
        <v>600000</v>
      </c>
      <c r="B25" s="79">
        <f t="shared" si="0"/>
        <v>10346.61325889267</v>
      </c>
      <c r="C25" s="79">
        <f t="shared" si="1"/>
        <v>10346.61325889267</v>
      </c>
      <c r="D25" s="98">
        <f t="shared" si="4"/>
        <v>5.2888409360932805E-3</v>
      </c>
      <c r="E25" s="116">
        <f t="shared" si="2"/>
        <v>2337713.79971421</v>
      </c>
    </row>
    <row r="26" spans="1:8" x14ac:dyDescent="0.2">
      <c r="A26" s="86">
        <f t="shared" si="3"/>
        <v>800000</v>
      </c>
      <c r="B26" s="79">
        <f t="shared" si="0"/>
        <v>13272.530711770058</v>
      </c>
      <c r="C26" s="79">
        <f t="shared" si="1"/>
        <v>13272.530711770058</v>
      </c>
      <c r="D26" s="98">
        <f t="shared" si="4"/>
        <v>3.6573968160967343E-3</v>
      </c>
      <c r="E26" s="116">
        <f t="shared" si="2"/>
        <v>2998795.5890173269</v>
      </c>
    </row>
    <row r="27" spans="1:8" x14ac:dyDescent="0.2">
      <c r="A27" s="86">
        <f t="shared" si="3"/>
        <v>1000000</v>
      </c>
      <c r="B27" s="79">
        <f t="shared" si="0"/>
        <v>15970.197880234569</v>
      </c>
      <c r="C27" s="79">
        <f t="shared" si="1"/>
        <v>15970.197880234569</v>
      </c>
      <c r="D27" s="98">
        <f t="shared" si="4"/>
        <v>2.6976671684645118E-3</v>
      </c>
      <c r="E27" s="116">
        <f t="shared" si="2"/>
        <v>3608306.5090601984</v>
      </c>
    </row>
    <row r="28" spans="1:8" x14ac:dyDescent="0.2">
      <c r="A28" s="86">
        <f t="shared" si="3"/>
        <v>1200000</v>
      </c>
      <c r="B28" s="79">
        <f t="shared" si="0"/>
        <v>18457.293716503307</v>
      </c>
      <c r="C28" s="79">
        <f t="shared" si="1"/>
        <v>18457.293716503307</v>
      </c>
      <c r="D28" s="98">
        <f t="shared" si="4"/>
        <v>2.0725798635572814E-3</v>
      </c>
      <c r="E28" s="116">
        <f t="shared" si="2"/>
        <v>4170240.942306757</v>
      </c>
    </row>
    <row r="29" spans="1:8" x14ac:dyDescent="0.2">
      <c r="A29" s="86">
        <f t="shared" si="3"/>
        <v>1400000</v>
      </c>
      <c r="B29" s="79">
        <f t="shared" si="0"/>
        <v>20750.14696871303</v>
      </c>
      <c r="C29" s="79">
        <f t="shared" si="1"/>
        <v>20750.14696871303</v>
      </c>
      <c r="D29" s="98">
        <f t="shared" si="4"/>
        <v>1.6377523230069449E-3</v>
      </c>
      <c r="E29" s="116">
        <f t="shared" si="2"/>
        <v>4688288.2061110223</v>
      </c>
    </row>
    <row r="30" spans="1:8" x14ac:dyDescent="0.2">
      <c r="A30" s="86">
        <f t="shared" si="3"/>
        <v>1600000</v>
      </c>
      <c r="B30" s="79">
        <f t="shared" si="0"/>
        <v>22863.836414532736</v>
      </c>
      <c r="C30" s="79">
        <f t="shared" si="1"/>
        <v>22863.836414532736</v>
      </c>
      <c r="D30" s="98">
        <f t="shared" si="4"/>
        <v>1.321055903637316E-3</v>
      </c>
      <c r="E30" s="116">
        <f t="shared" si="2"/>
        <v>5165855.1994995261</v>
      </c>
    </row>
    <row r="31" spans="1:8" x14ac:dyDescent="0.2">
      <c r="A31" s="86">
        <f t="shared" si="3"/>
        <v>1800000</v>
      </c>
      <c r="B31" s="79">
        <f t="shared" si="0"/>
        <v>24812.284093238413</v>
      </c>
      <c r="C31" s="79">
        <f t="shared" si="1"/>
        <v>24812.284093238413</v>
      </c>
      <c r="D31" s="98">
        <f t="shared" si="4"/>
        <v>1.0824709326142652E-3</v>
      </c>
      <c r="E31" s="116">
        <f t="shared" si="2"/>
        <v>5606087.4680262869</v>
      </c>
    </row>
    <row r="32" spans="1:8" x14ac:dyDescent="0.2">
      <c r="A32" s="86">
        <f t="shared" si="3"/>
        <v>2000000</v>
      </c>
      <c r="B32" s="79">
        <f t="shared" si="0"/>
        <v>26608.341957086697</v>
      </c>
      <c r="C32" s="79">
        <f t="shared" si="1"/>
        <v>26608.341957086697</v>
      </c>
      <c r="D32" s="98">
        <f t="shared" si="4"/>
        <v>8.9802893192414196E-4</v>
      </c>
      <c r="E32" s="116">
        <f t="shared" si="2"/>
        <v>6011888.7817841684</v>
      </c>
    </row>
    <row r="33" spans="1:5" x14ac:dyDescent="0.2">
      <c r="A33" s="86">
        <f t="shared" si="3"/>
        <v>2200000</v>
      </c>
      <c r="B33" s="79">
        <f t="shared" si="0"/>
        <v>28263.872348684818</v>
      </c>
      <c r="C33" s="79">
        <f t="shared" si="1"/>
        <v>28263.872348684818</v>
      </c>
      <c r="D33" s="98">
        <f t="shared" si="4"/>
        <v>7.5251381436278197E-4</v>
      </c>
      <c r="E33" s="116">
        <f t="shared" si="2"/>
        <v>6385939.3184618475</v>
      </c>
    </row>
    <row r="34" spans="1:5" x14ac:dyDescent="0.2">
      <c r="A34" s="86">
        <f>A33+(($C$18-$B$18)/$D$18)</f>
        <v>2400000</v>
      </c>
      <c r="B34" s="79">
        <f t="shared" si="0"/>
        <v>29789.822695303708</v>
      </c>
      <c r="C34" s="79">
        <f t="shared" si="1"/>
        <v>29789.822695303708</v>
      </c>
      <c r="D34" s="98">
        <f t="shared" si="4"/>
        <v>6.3581264442453785E-4</v>
      </c>
      <c r="E34" s="116">
        <f t="shared" si="2"/>
        <v>6730712.5397769194</v>
      </c>
    </row>
    <row r="35" spans="1:5" x14ac:dyDescent="0.2">
      <c r="A35" s="86">
        <f t="shared" si="3"/>
        <v>2600000</v>
      </c>
      <c r="B35" s="79">
        <f t="shared" si="0"/>
        <v>31196.294794134796</v>
      </c>
      <c r="C35" s="79">
        <f t="shared" si="1"/>
        <v>31196.294794134796</v>
      </c>
      <c r="D35" s="98">
        <f t="shared" si="4"/>
        <v>5.409508072427259E-4</v>
      </c>
      <c r="E35" s="116">
        <f t="shared" si="2"/>
        <v>7048490.8457868155</v>
      </c>
    </row>
    <row r="36" spans="1:5" x14ac:dyDescent="0.2">
      <c r="A36" s="86">
        <f t="shared" si="3"/>
        <v>2800000</v>
      </c>
      <c r="B36" s="79">
        <f t="shared" si="0"/>
        <v>32492.609044991434</v>
      </c>
      <c r="C36" s="79">
        <f t="shared" si="1"/>
        <v>32492.609044991434</v>
      </c>
      <c r="D36" s="98">
        <f t="shared" si="4"/>
        <v>4.6296937530594212E-4</v>
      </c>
      <c r="E36" s="116">
        <f t="shared" si="2"/>
        <v>7341380.0876253648</v>
      </c>
    </row>
    <row r="37" spans="1:5" x14ac:dyDescent="0.2">
      <c r="A37" s="86">
        <f t="shared" si="3"/>
        <v>3000000</v>
      </c>
      <c r="B37" s="79">
        <f t="shared" si="0"/>
        <v>33687.363969050348</v>
      </c>
      <c r="C37" s="79">
        <f t="shared" si="1"/>
        <v>33687.363969050348</v>
      </c>
      <c r="D37" s="98">
        <f t="shared" si="4"/>
        <v>3.982516413529714E-4</v>
      </c>
      <c r="E37" s="116">
        <f t="shared" si="2"/>
        <v>7611323.0151672354</v>
      </c>
    </row>
    <row r="38" spans="1:5" x14ac:dyDescent="0.2">
      <c r="A38" s="86">
        <f t="shared" si="3"/>
        <v>3200000</v>
      </c>
      <c r="B38" s="79">
        <f t="shared" si="0"/>
        <v>34788.491334240884</v>
      </c>
      <c r="C38" s="79">
        <f t="shared" si="1"/>
        <v>34788.491334240884</v>
      </c>
      <c r="D38" s="98">
        <f t="shared" si="4"/>
        <v>3.4410230162204244E-4</v>
      </c>
      <c r="E38" s="116">
        <f t="shared" si="2"/>
        <v>7860111.7320583854</v>
      </c>
    </row>
    <row r="39" spans="1:5" x14ac:dyDescent="0.2">
      <c r="A39" s="86">
        <f t="shared" si="3"/>
        <v>3400000</v>
      </c>
      <c r="B39" s="79">
        <f t="shared" si="0"/>
        <v>35803.30719011277</v>
      </c>
      <c r="C39" s="79">
        <f t="shared" si="1"/>
        <v>35803.30719011277</v>
      </c>
      <c r="D39" s="98">
        <f t="shared" si="4"/>
        <v>2.9847525172702532E-4</v>
      </c>
      <c r="E39" s="116">
        <f t="shared" si="2"/>
        <v>8089399.2265340788</v>
      </c>
    </row>
    <row r="40" spans="1:5" x14ac:dyDescent="0.2">
      <c r="A40" s="86">
        <f t="shared" si="3"/>
        <v>3600000</v>
      </c>
      <c r="B40" s="79">
        <f t="shared" si="0"/>
        <v>36738.559097478166</v>
      </c>
      <c r="C40" s="79">
        <f t="shared" si="1"/>
        <v>36738.559097478166</v>
      </c>
      <c r="D40" s="98">
        <f t="shared" si="4"/>
        <v>2.5979219649038793E-4</v>
      </c>
      <c r="E40" s="116">
        <f t="shared" si="2"/>
        <v>8300710.0424842164</v>
      </c>
    </row>
    <row r="41" spans="1:5" x14ac:dyDescent="0.2">
      <c r="A41" s="86">
        <f>A40+(($C$18-$B$18)/$D$18)</f>
        <v>3800000</v>
      </c>
      <c r="B41" s="79">
        <f t="shared" si="0"/>
        <v>37600.469821108505</v>
      </c>
      <c r="C41" s="79">
        <f t="shared" si="1"/>
        <v>37600.469821108505</v>
      </c>
      <c r="D41" s="98">
        <f t="shared" si="4"/>
        <v>2.2681861148166814E-4</v>
      </c>
      <c r="E41" s="116">
        <f t="shared" si="2"/>
        <v>8495450.1513812561</v>
      </c>
    </row>
    <row r="42" spans="1:5" x14ac:dyDescent="0.2">
      <c r="A42" s="86">
        <f t="shared" si="3"/>
        <v>4000000</v>
      </c>
      <c r="B42" s="79">
        <f t="shared" si="0"/>
        <v>38394.777737218887</v>
      </c>
      <c r="C42" s="79">
        <f t="shared" si="1"/>
        <v>38394.777737218887</v>
      </c>
      <c r="D42" s="98">
        <f t="shared" si="4"/>
        <v>1.9857697902759538E-4</v>
      </c>
      <c r="E42" s="116">
        <f t="shared" si="2"/>
        <v>8674916.0819472354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E12" sqref="E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35" customHeight="1" x14ac:dyDescent="0.2">
      <c r="A8" s="686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83"/>
      <c r="B9" s="95">
        <f>VAC_Optim_Scenario!G31</f>
        <v>900000</v>
      </c>
      <c r="C9" s="95">
        <f>VAC_Optim_Scenario!H31</f>
        <v>900000</v>
      </c>
      <c r="D9" s="68">
        <f>VAC_Optim_Scenario!I31</f>
        <v>900000</v>
      </c>
      <c r="E9" s="84">
        <f>((($R$12/(1+EXP($P$12+$Q$12*D9)))-1) - ($F$12-$C$12))*$I$12</f>
        <v>4003.0596247408539</v>
      </c>
      <c r="F9" s="89">
        <f>E9*$G$12</f>
        <v>4003.0596247408539</v>
      </c>
      <c r="G9" s="95">
        <f>VAC_Optim_Scenario!E31</f>
        <v>1000000</v>
      </c>
      <c r="H9" s="85">
        <f>((($R$12/(1+EXP($P$12+$Q$12*G9)))-1) - ($F$12-$C$12))*$I$12</f>
        <v>4323.5214887261391</v>
      </c>
      <c r="I9" s="90">
        <f>H9*$G$12</f>
        <v>4323.5214887261391</v>
      </c>
      <c r="J9" s="87">
        <f>G9/I9</f>
        <v>231.29294086026042</v>
      </c>
      <c r="K9" s="98" t="s">
        <v>180</v>
      </c>
    </row>
    <row r="10" spans="1:18" ht="13.5" thickBot="1" x14ac:dyDescent="0.25"/>
    <row r="11" spans="1:18" ht="51.6" customHeight="1" x14ac:dyDescent="0.2">
      <c r="A11" s="682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74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83"/>
      <c r="B12" s="348">
        <f>'[5]HCC Inoffice Curve'!$B$12</f>
        <v>1100000</v>
      </c>
      <c r="C12" s="348">
        <f>'[5]HCC Inoffice Curve'!$C$12</f>
        <v>4624.4260378861645</v>
      </c>
      <c r="D12" s="348">
        <f>'[5]HCC Inoffice Curve'!$D$12</f>
        <v>0</v>
      </c>
      <c r="E12" s="348">
        <f>'[5]HCC Inoffice Curve'!$E$12</f>
        <v>9248.852075772329</v>
      </c>
      <c r="F12" s="348">
        <f>'[5]HCC Inoffice Curve'!$F$12</f>
        <v>4647854</v>
      </c>
      <c r="G12" s="354">
        <f>VAC_Optim_Scenario!$D$48</f>
        <v>1</v>
      </c>
      <c r="H12" s="71">
        <f>C12*G12</f>
        <v>4624.4260378861645</v>
      </c>
      <c r="I12" s="350">
        <f>VAC_Optim_Scenario!D31</f>
        <v>1</v>
      </c>
      <c r="K12" s="675"/>
      <c r="L12" s="71">
        <f>F12-C12</f>
        <v>4643229.5739621138</v>
      </c>
      <c r="M12" s="71">
        <f>L12+E12</f>
        <v>4652478.4260378862</v>
      </c>
      <c r="N12" s="72">
        <f>B12</f>
        <v>1100000</v>
      </c>
      <c r="O12" s="71">
        <f>F12</f>
        <v>4647854</v>
      </c>
      <c r="P12" s="24">
        <f>LN((($M$12+1)/($L$12+1))-1)</f>
        <v>-6.2186662034361841</v>
      </c>
      <c r="Q12" s="24">
        <f>(LN((($M$12+1)/($O$12+1))-1)-$P$12)/$N$12</f>
        <v>-6.3103875913506805E-7</v>
      </c>
      <c r="R12" s="74">
        <f>M12+1</f>
        <v>4652479.4260378862</v>
      </c>
    </row>
    <row r="13" spans="1:18" ht="34.35" customHeight="1" x14ac:dyDescent="0.2">
      <c r="A13" s="676" t="s">
        <v>182</v>
      </c>
      <c r="B13" s="677"/>
      <c r="C13" s="677"/>
      <c r="D13" s="677"/>
      <c r="E13" s="677"/>
      <c r="F13" s="678"/>
      <c r="G13" s="331" t="s">
        <v>150</v>
      </c>
      <c r="H13" s="331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75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31" t="s">
        <v>35</v>
      </c>
      <c r="B21" s="331" t="s">
        <v>183</v>
      </c>
      <c r="C21" s="331" t="s">
        <v>184</v>
      </c>
      <c r="D21" s="98" t="s">
        <v>185</v>
      </c>
      <c r="E21" s="33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1094.6985983606428</v>
      </c>
      <c r="C23" s="79">
        <f t="shared" ref="C23:C42" si="1">B23*$G$12</f>
        <v>1094.6985983606428</v>
      </c>
      <c r="D23" s="98">
        <f>(B23-B22)/A23</f>
        <v>5.4734929918032141E-3</v>
      </c>
      <c r="E23" s="116">
        <f t="shared" ref="E23:E42" si="2">B23*$H$14</f>
        <v>247336.20131360364</v>
      </c>
    </row>
    <row r="24" spans="1:8" x14ac:dyDescent="0.2">
      <c r="A24" s="86">
        <f t="shared" ref="A24:A42" si="3">A23+(($C$18-$B$18)/$D$18)</f>
        <v>400000</v>
      </c>
      <c r="B24" s="79">
        <f t="shared" si="0"/>
        <v>2060.028745601885</v>
      </c>
      <c r="C24" s="79">
        <f t="shared" si="1"/>
        <v>2060.028745601885</v>
      </c>
      <c r="D24" s="98">
        <f t="shared" ref="D24:D42" si="4">(B24-B23)/A24</f>
        <v>2.4133253681031057E-3</v>
      </c>
      <c r="E24" s="116">
        <f t="shared" si="2"/>
        <v>465442.89478128991</v>
      </c>
    </row>
    <row r="25" spans="1:8" x14ac:dyDescent="0.2">
      <c r="A25" s="86">
        <f t="shared" si="3"/>
        <v>600000</v>
      </c>
      <c r="B25" s="79">
        <f t="shared" si="0"/>
        <v>2911.2341486681253</v>
      </c>
      <c r="C25" s="79">
        <f t="shared" si="1"/>
        <v>2911.2341486681253</v>
      </c>
      <c r="D25" s="98">
        <f t="shared" si="4"/>
        <v>1.418675671777067E-3</v>
      </c>
      <c r="E25" s="116">
        <f t="shared" si="2"/>
        <v>657764.24355007627</v>
      </c>
    </row>
    <row r="26" spans="1:8" x14ac:dyDescent="0.2">
      <c r="A26" s="86">
        <f t="shared" si="3"/>
        <v>800000</v>
      </c>
      <c r="B26" s="79">
        <f t="shared" si="0"/>
        <v>3661.7722855526954</v>
      </c>
      <c r="C26" s="79">
        <f t="shared" si="1"/>
        <v>3661.7722855526954</v>
      </c>
      <c r="D26" s="98">
        <f t="shared" si="4"/>
        <v>9.381726711057127E-4</v>
      </c>
      <c r="E26" s="116">
        <f t="shared" si="2"/>
        <v>827340.83019777597</v>
      </c>
    </row>
    <row r="27" spans="1:8" x14ac:dyDescent="0.2">
      <c r="A27" s="86">
        <f t="shared" si="3"/>
        <v>1000000</v>
      </c>
      <c r="B27" s="79">
        <f t="shared" si="0"/>
        <v>4323.5214887261391</v>
      </c>
      <c r="C27" s="79">
        <f t="shared" si="1"/>
        <v>4323.5214887261391</v>
      </c>
      <c r="D27" s="98">
        <f t="shared" si="4"/>
        <v>6.6174920317344367E-4</v>
      </c>
      <c r="E27" s="116">
        <f t="shared" si="2"/>
        <v>976856.44516278384</v>
      </c>
    </row>
    <row r="28" spans="1:8" x14ac:dyDescent="0.2">
      <c r="A28" s="86">
        <f t="shared" si="3"/>
        <v>1200000</v>
      </c>
      <c r="B28" s="79">
        <f t="shared" si="0"/>
        <v>4906.9645185051486</v>
      </c>
      <c r="C28" s="79">
        <f t="shared" si="1"/>
        <v>4906.9645185051486</v>
      </c>
      <c r="D28" s="98">
        <f t="shared" si="4"/>
        <v>4.8620252481584126E-4</v>
      </c>
      <c r="E28" s="116">
        <f t="shared" si="2"/>
        <v>1108679.5633110532</v>
      </c>
    </row>
    <row r="29" spans="1:8" x14ac:dyDescent="0.2">
      <c r="A29" s="86">
        <f t="shared" si="3"/>
        <v>1400000</v>
      </c>
      <c r="B29" s="79">
        <f t="shared" si="0"/>
        <v>5421.3511831834912</v>
      </c>
      <c r="C29" s="79">
        <f t="shared" si="1"/>
        <v>5421.3511831834912</v>
      </c>
      <c r="D29" s="98">
        <f t="shared" si="4"/>
        <v>3.6741904619881616E-4</v>
      </c>
      <c r="E29" s="116">
        <f t="shared" si="2"/>
        <v>1224900.0863284781</v>
      </c>
    </row>
    <row r="30" spans="1:8" x14ac:dyDescent="0.2">
      <c r="A30" s="86">
        <f t="shared" si="3"/>
        <v>1600000</v>
      </c>
      <c r="B30" s="79">
        <f t="shared" si="0"/>
        <v>5874.8423103904352</v>
      </c>
      <c r="C30" s="79">
        <f t="shared" si="1"/>
        <v>5874.8423103904352</v>
      </c>
      <c r="D30" s="98">
        <f t="shared" si="4"/>
        <v>2.8343195450433994E-4</v>
      </c>
      <c r="E30" s="116">
        <f t="shared" si="2"/>
        <v>1327361.8716096149</v>
      </c>
    </row>
    <row r="31" spans="1:8" x14ac:dyDescent="0.2">
      <c r="A31" s="86">
        <f t="shared" si="3"/>
        <v>1800000</v>
      </c>
      <c r="B31" s="79">
        <f t="shared" si="0"/>
        <v>6274.6371406298131</v>
      </c>
      <c r="C31" s="79">
        <f t="shared" si="1"/>
        <v>6274.6371406298131</v>
      </c>
      <c r="D31" s="98">
        <f t="shared" si="4"/>
        <v>2.2210823902187661E-4</v>
      </c>
      <c r="E31" s="116">
        <f t="shared" si="2"/>
        <v>1417691.5155539</v>
      </c>
    </row>
    <row r="32" spans="1:8" x14ac:dyDescent="0.2">
      <c r="A32" s="86">
        <f t="shared" si="3"/>
        <v>2000000</v>
      </c>
      <c r="B32" s="79">
        <f t="shared" si="0"/>
        <v>6627.0859993798658</v>
      </c>
      <c r="C32" s="79">
        <f t="shared" si="1"/>
        <v>6627.0859993798658</v>
      </c>
      <c r="D32" s="98">
        <f t="shared" si="4"/>
        <v>1.7622442937502636E-4</v>
      </c>
      <c r="E32" s="116">
        <f t="shared" si="2"/>
        <v>1497323.8106998869</v>
      </c>
    </row>
    <row r="33" spans="1:5" x14ac:dyDescent="0.2">
      <c r="A33" s="86">
        <f t="shared" si="3"/>
        <v>2200000</v>
      </c>
      <c r="B33" s="79">
        <f t="shared" si="0"/>
        <v>6937.7899081483483</v>
      </c>
      <c r="C33" s="79">
        <f t="shared" si="1"/>
        <v>6937.7899081483483</v>
      </c>
      <c r="D33" s="98">
        <f t="shared" si="4"/>
        <v>1.4122904944021932E-4</v>
      </c>
      <c r="E33" s="116">
        <f t="shared" si="2"/>
        <v>1567524.2518470378</v>
      </c>
    </row>
    <row r="34" spans="1:5" x14ac:dyDescent="0.2">
      <c r="A34" s="86">
        <f>A33+(($C$18-$B$18)/$D$18)</f>
        <v>2400000</v>
      </c>
      <c r="B34" s="79">
        <f t="shared" si="0"/>
        <v>7211.6886169007048</v>
      </c>
      <c r="C34" s="79">
        <f t="shared" si="1"/>
        <v>7211.6886169007048</v>
      </c>
      <c r="D34" s="98">
        <f t="shared" si="4"/>
        <v>1.1412446198014853E-4</v>
      </c>
      <c r="E34" s="116">
        <f t="shared" si="2"/>
        <v>1629408.9261025451</v>
      </c>
    </row>
    <row r="35" spans="1:5" x14ac:dyDescent="0.2">
      <c r="A35" s="86">
        <f t="shared" si="3"/>
        <v>2600000</v>
      </c>
      <c r="B35" s="79">
        <f t="shared" si="0"/>
        <v>7453.138379140757</v>
      </c>
      <c r="C35" s="79">
        <f t="shared" si="1"/>
        <v>7453.138379140757</v>
      </c>
      <c r="D35" s="98">
        <f t="shared" si="4"/>
        <v>9.2865293169250852E-5</v>
      </c>
      <c r="E35" s="116">
        <f t="shared" si="2"/>
        <v>1683962.0853830627</v>
      </c>
    </row>
    <row r="36" spans="1:5" x14ac:dyDescent="0.2">
      <c r="A36" s="86">
        <f t="shared" si="3"/>
        <v>2800000</v>
      </c>
      <c r="B36" s="79">
        <f t="shared" si="0"/>
        <v>7665.9806457282975</v>
      </c>
      <c r="C36" s="79">
        <f t="shared" si="1"/>
        <v>7665.9806457282975</v>
      </c>
      <c r="D36" s="98">
        <f t="shared" si="4"/>
        <v>7.6015095209835902E-5</v>
      </c>
      <c r="E36" s="116">
        <f t="shared" si="2"/>
        <v>1732051.6670958516</v>
      </c>
    </row>
    <row r="37" spans="1:5" x14ac:dyDescent="0.2">
      <c r="A37" s="86">
        <f t="shared" si="3"/>
        <v>3000000</v>
      </c>
      <c r="B37" s="79">
        <f t="shared" si="0"/>
        <v>7853.602722954005</v>
      </c>
      <c r="C37" s="79">
        <f t="shared" si="1"/>
        <v>7853.602722954005</v>
      </c>
      <c r="D37" s="98">
        <f t="shared" si="4"/>
        <v>6.2540692408569155E-5</v>
      </c>
      <c r="E37" s="116">
        <f t="shared" si="2"/>
        <v>1774442.9992242279</v>
      </c>
    </row>
    <row r="38" spans="1:5" x14ac:dyDescent="0.2">
      <c r="A38" s="86">
        <f t="shared" si="3"/>
        <v>3200000</v>
      </c>
      <c r="B38" s="79">
        <f t="shared" si="0"/>
        <v>8018.9913233900443</v>
      </c>
      <c r="C38" s="79">
        <f t="shared" si="1"/>
        <v>8018.9913233900443</v>
      </c>
      <c r="D38" s="98">
        <f t="shared" si="4"/>
        <v>5.1683937636262272E-5</v>
      </c>
      <c r="E38" s="116">
        <f t="shared" si="2"/>
        <v>1811810.8996067466</v>
      </c>
    </row>
    <row r="39" spans="1:5" x14ac:dyDescent="0.2">
      <c r="A39" s="86">
        <f t="shared" si="3"/>
        <v>3400000</v>
      </c>
      <c r="B39" s="79">
        <f t="shared" si="0"/>
        <v>8164.7798332860693</v>
      </c>
      <c r="C39" s="79">
        <f t="shared" si="1"/>
        <v>8164.7798332860693</v>
      </c>
      <c r="D39" s="98">
        <f t="shared" si="4"/>
        <v>4.2878973498830903E-5</v>
      </c>
      <c r="E39" s="116">
        <f t="shared" si="2"/>
        <v>1844750.3555326546</v>
      </c>
    </row>
    <row r="40" spans="1:5" x14ac:dyDescent="0.2">
      <c r="A40" s="86">
        <f t="shared" si="3"/>
        <v>3600000</v>
      </c>
      <c r="B40" s="79">
        <f t="shared" si="0"/>
        <v>8293.2900268742815</v>
      </c>
      <c r="C40" s="79">
        <f t="shared" si="1"/>
        <v>8293.2900268742815</v>
      </c>
      <c r="D40" s="98">
        <f t="shared" si="4"/>
        <v>3.569727599672559E-5</v>
      </c>
      <c r="E40" s="116">
        <f t="shared" si="2"/>
        <v>1873785.9486719752</v>
      </c>
    </row>
    <row r="41" spans="1:5" x14ac:dyDescent="0.2">
      <c r="A41" s="86">
        <f>A40+(($C$18-$B$18)/$D$18)</f>
        <v>3800000</v>
      </c>
      <c r="B41" s="79">
        <f t="shared" si="0"/>
        <v>8406.5688745556399</v>
      </c>
      <c r="C41" s="79">
        <f t="shared" si="1"/>
        <v>8406.5688745556399</v>
      </c>
      <c r="D41" s="98">
        <f t="shared" si="4"/>
        <v>2.9810223074041699E-5</v>
      </c>
      <c r="E41" s="116">
        <f t="shared" si="2"/>
        <v>1899380.1715171013</v>
      </c>
    </row>
    <row r="42" spans="1:5" x14ac:dyDescent="0.2">
      <c r="A42" s="86">
        <f t="shared" si="3"/>
        <v>4000000</v>
      </c>
      <c r="B42" s="79">
        <f t="shared" si="0"/>
        <v>8506.4210178060457</v>
      </c>
      <c r="C42" s="79">
        <f t="shared" si="1"/>
        <v>8506.4210178060457</v>
      </c>
      <c r="D42" s="98">
        <f t="shared" si="4"/>
        <v>2.4963035812601448E-5</v>
      </c>
      <c r="E42" s="116">
        <f t="shared" si="2"/>
        <v>1921940.764763098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7"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15" customHeight="1" x14ac:dyDescent="0.2">
      <c r="A8" s="68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83"/>
      <c r="B9" s="95">
        <f>VAC_Optim_Scenario!G22</f>
        <v>5400000</v>
      </c>
      <c r="C9" s="95">
        <f>VAC_Optim_Scenario!H22</f>
        <v>16000000</v>
      </c>
      <c r="D9" s="68">
        <f>VAC_Optim_Scenario!I22</f>
        <v>14043651.326912649</v>
      </c>
      <c r="E9" s="84">
        <f>((($R$12/(1+EXP($P$12+$Q$12*D9)))-1) - ($F$12-$C$12))*$I$12</f>
        <v>464534.44678145926</v>
      </c>
      <c r="F9" s="89">
        <f>E9*$G$12</f>
        <v>464534.44678145926</v>
      </c>
      <c r="G9" s="95">
        <f>VAC_Optim_Scenario!E22</f>
        <v>7775778</v>
      </c>
      <c r="H9" s="85">
        <f>((($R$12/(1+EXP($P$12+$Q$12*G9)))-1) - ($F$12-$C$12))*$I$12</f>
        <v>357119.23109534662</v>
      </c>
      <c r="I9" s="90">
        <f>H9*$G$12</f>
        <v>357119.23109534662</v>
      </c>
      <c r="J9" s="87">
        <f>G9/I9</f>
        <v>21.773618788745541</v>
      </c>
      <c r="K9" s="98" t="s">
        <v>180</v>
      </c>
    </row>
    <row r="10" spans="1:18" ht="13.5" thickBot="1" x14ac:dyDescent="0.25"/>
    <row r="11" spans="1:18" ht="51.6" customHeight="1" x14ac:dyDescent="0.2">
      <c r="A11" s="68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7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83"/>
      <c r="B12" s="95">
        <f>'[6]HCP MCM SCurve'!$B$12</f>
        <v>5365372.8900000006</v>
      </c>
      <c r="C12" s="95">
        <f>'[6]HCP MCM SCurve'!$C$12</f>
        <v>283253.12205540115</v>
      </c>
      <c r="D12" s="95">
        <f>'[6]HCP MCM SCurve'!$D$12</f>
        <v>0</v>
      </c>
      <c r="E12" s="95">
        <f>'[6]HCP MCM SCurve'!$E$12</f>
        <v>538180.93190526217</v>
      </c>
      <c r="F12" s="95">
        <f>'[6]HCP MCM SCurve'!$F$12</f>
        <v>8649234</v>
      </c>
      <c r="G12" s="91">
        <f>VAC_Optim_Scenario!$D$48</f>
        <v>1</v>
      </c>
      <c r="H12" s="71">
        <f>C12*G12</f>
        <v>283253.12205540115</v>
      </c>
      <c r="I12" s="115">
        <f>VAC_Optim_Scenario!D22</f>
        <v>1</v>
      </c>
      <c r="K12" s="675"/>
      <c r="L12" s="71">
        <f>F12-C12</f>
        <v>8365980.8779445989</v>
      </c>
      <c r="M12" s="71">
        <f>L12+E12</f>
        <v>8904161.809849862</v>
      </c>
      <c r="N12" s="72">
        <f>B12</f>
        <v>5365372.8900000006</v>
      </c>
      <c r="O12" s="71">
        <f>F12</f>
        <v>8649234</v>
      </c>
      <c r="P12" s="24">
        <f>LN((($M$12+1)/($L$12+1))-1)</f>
        <v>-2.7437341775638058</v>
      </c>
      <c r="Q12" s="73">
        <f>(LN((($M$12+1)/($O$12+1))-1)-$P$12)/$N$12</f>
        <v>-1.4547200887920476E-7</v>
      </c>
      <c r="R12" s="74">
        <f>M12+1</f>
        <v>8904162.809849862</v>
      </c>
    </row>
    <row r="13" spans="1:18" ht="34.15" customHeight="1" x14ac:dyDescent="0.2">
      <c r="A13" s="676" t="s">
        <v>187</v>
      </c>
      <c r="B13" s="677"/>
      <c r="C13" s="677"/>
      <c r="D13" s="677"/>
      <c r="E13" s="677"/>
      <c r="F13" s="678"/>
      <c r="G13" s="119" t="s">
        <v>150</v>
      </c>
      <c r="H13" s="119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75"/>
      <c r="B18" s="75">
        <v>0</v>
      </c>
      <c r="C18" s="76">
        <v>12000000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600000</v>
      </c>
      <c r="B23" s="79">
        <f t="shared" si="0"/>
        <v>42478.279100324027</v>
      </c>
      <c r="C23" s="79">
        <f t="shared" ref="C23:C42" si="1">B23*$G$12</f>
        <v>42478.279100324027</v>
      </c>
      <c r="D23" s="98">
        <f>(B23-B22)/A23</f>
        <v>7.0797131833873372E-2</v>
      </c>
      <c r="E23" s="116">
        <f t="shared" ref="E23:E42" si="2">B23*$H$14</f>
        <v>9597542.3799272105</v>
      </c>
    </row>
    <row r="24" spans="1:8" x14ac:dyDescent="0.2">
      <c r="A24" s="86">
        <f t="shared" ref="A24:A42" si="3">A23+(($C$18-$B$18)/$D$18)</f>
        <v>1200000</v>
      </c>
      <c r="B24" s="79">
        <f t="shared" si="0"/>
        <v>81786.680957001634</v>
      </c>
      <c r="C24" s="79">
        <f t="shared" si="1"/>
        <v>81786.680957001634</v>
      </c>
      <c r="D24" s="98">
        <f t="shared" ref="D24:D42" si="4">(B24-B23)/A24</f>
        <v>3.2757001547231338E-2</v>
      </c>
      <c r="E24" s="116">
        <f t="shared" si="2"/>
        <v>18478882.695424948</v>
      </c>
    </row>
    <row r="25" spans="1:8" x14ac:dyDescent="0.2">
      <c r="A25" s="86">
        <f t="shared" si="3"/>
        <v>1800000</v>
      </c>
      <c r="B25" s="79">
        <f t="shared" si="0"/>
        <v>118133.70671503525</v>
      </c>
      <c r="C25" s="79">
        <f t="shared" si="1"/>
        <v>118133.70671503525</v>
      </c>
      <c r="D25" s="98">
        <f t="shared" si="4"/>
        <v>2.0192792087796455E-2</v>
      </c>
      <c r="E25" s="116">
        <f t="shared" si="2"/>
        <v>26691129.695195064</v>
      </c>
    </row>
    <row r="26" spans="1:8" x14ac:dyDescent="0.2">
      <c r="A26" s="86">
        <f t="shared" si="3"/>
        <v>2400000</v>
      </c>
      <c r="B26" s="79">
        <f t="shared" si="0"/>
        <v>151718.49508867692</v>
      </c>
      <c r="C26" s="79">
        <f t="shared" si="1"/>
        <v>151718.49508867692</v>
      </c>
      <c r="D26" s="98">
        <f t="shared" si="4"/>
        <v>1.3993661822350695E-2</v>
      </c>
      <c r="E26" s="116">
        <f t="shared" si="2"/>
        <v>34279276.780335665</v>
      </c>
    </row>
    <row r="27" spans="1:8" x14ac:dyDescent="0.2">
      <c r="A27" s="86">
        <f t="shared" si="3"/>
        <v>3000000</v>
      </c>
      <c r="B27" s="79">
        <f t="shared" si="0"/>
        <v>182730.52052740846</v>
      </c>
      <c r="C27" s="79">
        <f t="shared" si="1"/>
        <v>182730.52052740846</v>
      </c>
      <c r="D27" s="98">
        <f t="shared" si="4"/>
        <v>1.0337341812910511E-2</v>
      </c>
      <c r="E27" s="116">
        <f t="shared" si="2"/>
        <v>41286133.807962663</v>
      </c>
    </row>
    <row r="28" spans="1:8" x14ac:dyDescent="0.2">
      <c r="A28" s="86">
        <f t="shared" si="3"/>
        <v>3600000</v>
      </c>
      <c r="B28" s="79">
        <f t="shared" si="0"/>
        <v>211349.44737824891</v>
      </c>
      <c r="C28" s="79">
        <f t="shared" si="1"/>
        <v>211349.44737824891</v>
      </c>
      <c r="D28" s="98">
        <f t="shared" si="4"/>
        <v>7.9497019030112352E-3</v>
      </c>
      <c r="E28" s="116">
        <f t="shared" si="2"/>
        <v>47752294.140641555</v>
      </c>
    </row>
    <row r="29" spans="1:8" x14ac:dyDescent="0.2">
      <c r="A29" s="86">
        <f t="shared" si="3"/>
        <v>4200000</v>
      </c>
      <c r="B29" s="79">
        <f t="shared" si="0"/>
        <v>237745.11462636944</v>
      </c>
      <c r="C29" s="79">
        <f t="shared" si="1"/>
        <v>237745.11462636944</v>
      </c>
      <c r="D29" s="98">
        <f t="shared" si="4"/>
        <v>6.2846826781239361E-3</v>
      </c>
      <c r="E29" s="116">
        <f t="shared" si="2"/>
        <v>53716131.198681913</v>
      </c>
    </row>
    <row r="30" spans="1:8" x14ac:dyDescent="0.2">
      <c r="A30" s="86">
        <f t="shared" si="3"/>
        <v>4800000</v>
      </c>
      <c r="B30" s="79">
        <f t="shared" si="0"/>
        <v>262077.62828300614</v>
      </c>
      <c r="C30" s="79">
        <f t="shared" si="1"/>
        <v>262077.62828300614</v>
      </c>
      <c r="D30" s="98">
        <f t="shared" si="4"/>
        <v>5.0692736784659796E-3</v>
      </c>
      <c r="E30" s="116">
        <f t="shared" si="2"/>
        <v>59213819.334262408</v>
      </c>
    </row>
    <row r="31" spans="1:8" x14ac:dyDescent="0.2">
      <c r="A31" s="86">
        <f t="shared" si="3"/>
        <v>5400000</v>
      </c>
      <c r="B31" s="79">
        <f t="shared" si="0"/>
        <v>284497.54099202063</v>
      </c>
      <c r="C31" s="79">
        <f t="shared" si="1"/>
        <v>284497.54099202063</v>
      </c>
      <c r="D31" s="98">
        <f t="shared" si="4"/>
        <v>4.1518356868545355E-3</v>
      </c>
      <c r="E31" s="116">
        <f t="shared" si="2"/>
        <v>64279374.411737144</v>
      </c>
    </row>
    <row r="32" spans="1:8" x14ac:dyDescent="0.2">
      <c r="A32" s="86">
        <f t="shared" si="3"/>
        <v>6000000</v>
      </c>
      <c r="B32" s="79">
        <f t="shared" si="0"/>
        <v>305146.10086527932</v>
      </c>
      <c r="C32" s="79">
        <f t="shared" si="1"/>
        <v>305146.10086527932</v>
      </c>
      <c r="D32" s="98">
        <f t="shared" si="4"/>
        <v>3.441426645543116E-3</v>
      </c>
      <c r="E32" s="116">
        <f t="shared" si="2"/>
        <v>68944710.029501215</v>
      </c>
    </row>
    <row r="33" spans="1:5" x14ac:dyDescent="0.2">
      <c r="A33" s="86">
        <f t="shared" si="3"/>
        <v>6600000</v>
      </c>
      <c r="B33" s="79">
        <f t="shared" si="0"/>
        <v>324155.55387717579</v>
      </c>
      <c r="C33" s="79">
        <f t="shared" si="1"/>
        <v>324155.55387717579</v>
      </c>
      <c r="D33" s="98">
        <f t="shared" si="4"/>
        <v>2.8802201533176456E-3</v>
      </c>
      <c r="E33" s="116">
        <f t="shared" si="2"/>
        <v>73239705.843009099</v>
      </c>
    </row>
    <row r="34" spans="1:5" x14ac:dyDescent="0.2">
      <c r="A34" s="86">
        <f>A33+(($C$18-$B$18)/$D$18)</f>
        <v>7200000</v>
      </c>
      <c r="B34" s="79">
        <f t="shared" si="0"/>
        <v>341649.48631275166</v>
      </c>
      <c r="C34" s="79">
        <f t="shared" si="1"/>
        <v>341649.48631275166</v>
      </c>
      <c r="D34" s="98">
        <f t="shared" si="4"/>
        <v>2.429712838274427E-3</v>
      </c>
      <c r="E34" s="116">
        <f t="shared" si="2"/>
        <v>77192284.937503114</v>
      </c>
    </row>
    <row r="35" spans="1:5" x14ac:dyDescent="0.2">
      <c r="A35" s="86">
        <f t="shared" si="3"/>
        <v>7800000</v>
      </c>
      <c r="B35" s="79">
        <f t="shared" si="0"/>
        <v>357743.19575030077</v>
      </c>
      <c r="C35" s="79">
        <f t="shared" si="1"/>
        <v>357743.19575030077</v>
      </c>
      <c r="D35" s="98">
        <f t="shared" si="4"/>
        <v>2.063296081737066E-3</v>
      </c>
      <c r="E35" s="116">
        <f t="shared" si="2"/>
        <v>80828497.647822961</v>
      </c>
    </row>
    <row r="36" spans="1:5" x14ac:dyDescent="0.2">
      <c r="A36" s="86">
        <f t="shared" si="3"/>
        <v>8400000</v>
      </c>
      <c r="B36" s="79">
        <f t="shared" si="0"/>
        <v>372544.08085737284</v>
      </c>
      <c r="C36" s="79">
        <f t="shared" si="1"/>
        <v>372544.08085737284</v>
      </c>
      <c r="D36" s="98">
        <f t="shared" si="4"/>
        <v>1.7620101317942941E-3</v>
      </c>
      <c r="E36" s="116">
        <f t="shared" si="2"/>
        <v>84172609.628914818</v>
      </c>
    </row>
    <row r="37" spans="1:5" x14ac:dyDescent="0.2">
      <c r="A37" s="86">
        <f t="shared" si="3"/>
        <v>9000000</v>
      </c>
      <c r="B37" s="79">
        <f t="shared" si="0"/>
        <v>386152.04188722838</v>
      </c>
      <c r="C37" s="79">
        <f t="shared" si="1"/>
        <v>386152.04188722838</v>
      </c>
      <c r="D37" s="98">
        <f t="shared" si="4"/>
        <v>1.5119956699839482E-3</v>
      </c>
      <c r="E37" s="116">
        <f t="shared" si="2"/>
        <v>87247192.344000384</v>
      </c>
    </row>
    <row r="38" spans="1:5" x14ac:dyDescent="0.2">
      <c r="A38" s="86">
        <f t="shared" si="3"/>
        <v>9600000</v>
      </c>
      <c r="B38" s="79">
        <f t="shared" si="0"/>
        <v>398659.88518549781</v>
      </c>
      <c r="C38" s="79">
        <f t="shared" si="1"/>
        <v>398659.88518549781</v>
      </c>
      <c r="D38" s="98">
        <f t="shared" si="4"/>
        <v>1.3029003435697328E-3</v>
      </c>
      <c r="E38" s="116">
        <f t="shared" si="2"/>
        <v>90073214.458811373</v>
      </c>
    </row>
    <row r="39" spans="1:5" x14ac:dyDescent="0.2">
      <c r="A39" s="86">
        <f t="shared" si="3"/>
        <v>10200000</v>
      </c>
      <c r="B39" s="79">
        <f t="shared" si="0"/>
        <v>410153.72626318131</v>
      </c>
      <c r="C39" s="79">
        <f t="shared" si="1"/>
        <v>410153.72626318131</v>
      </c>
      <c r="D39" s="98">
        <f t="shared" si="4"/>
        <v>1.126847164478774E-3</v>
      </c>
      <c r="E39" s="116">
        <f t="shared" si="2"/>
        <v>92670132.911903188</v>
      </c>
    </row>
    <row r="40" spans="1:5" x14ac:dyDescent="0.2">
      <c r="A40" s="86">
        <f t="shared" si="3"/>
        <v>10800000</v>
      </c>
      <c r="B40" s="79">
        <f t="shared" si="0"/>
        <v>420713.38707400579</v>
      </c>
      <c r="C40" s="79">
        <f t="shared" si="1"/>
        <v>420713.38707400579</v>
      </c>
      <c r="D40" s="98">
        <f t="shared" si="4"/>
        <v>9.7774637137263733E-4</v>
      </c>
      <c r="E40" s="116">
        <f t="shared" si="2"/>
        <v>95055982.67550087</v>
      </c>
    </row>
    <row r="41" spans="1:5" x14ac:dyDescent="0.2">
      <c r="A41" s="86">
        <f>A40+(($C$18-$B$18)/$D$18)</f>
        <v>11400000</v>
      </c>
      <c r="B41" s="79">
        <f t="shared" si="0"/>
        <v>430412.78406519908</v>
      </c>
      <c r="C41" s="79">
        <f t="shared" si="1"/>
        <v>430412.78406519908</v>
      </c>
      <c r="D41" s="98">
        <f t="shared" si="4"/>
        <v>8.5082429747309599E-4</v>
      </c>
      <c r="E41" s="116">
        <f t="shared" si="2"/>
        <v>97247464.43169108</v>
      </c>
    </row>
    <row r="42" spans="1:5" x14ac:dyDescent="0.2">
      <c r="A42" s="86">
        <f t="shared" si="3"/>
        <v>12000000</v>
      </c>
      <c r="B42" s="79">
        <f t="shared" si="0"/>
        <v>439320.30436495412</v>
      </c>
      <c r="C42" s="79">
        <f t="shared" si="1"/>
        <v>439320.30436495412</v>
      </c>
      <c r="D42" s="98">
        <f t="shared" si="4"/>
        <v>7.4229335831291969E-4</v>
      </c>
      <c r="E42" s="116">
        <f t="shared" si="2"/>
        <v>99260029.568217739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/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35" customHeight="1" x14ac:dyDescent="0.2">
      <c r="A8" s="686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83"/>
      <c r="B9" s="95">
        <f>VAC_Optim_Scenario!G32</f>
        <v>22050000</v>
      </c>
      <c r="C9" s="95">
        <f>VAC_Optim_Scenario!H32</f>
        <v>22050000</v>
      </c>
      <c r="D9" s="68">
        <f>VAC_Optim_Scenario!I32</f>
        <v>22050000</v>
      </c>
      <c r="E9" s="84">
        <f>((($R$12/(1+EXP($P$12+$Q$12*D9)))-1) - ($F$12-$C$12))*$I$12</f>
        <v>584574.96122157387</v>
      </c>
      <c r="F9" s="89">
        <f>E9*$G$12</f>
        <v>584574.96122157387</v>
      </c>
      <c r="G9" s="95">
        <f>VAC_Optim_Scenario!E32</f>
        <v>16948000</v>
      </c>
      <c r="H9" s="85">
        <f>((($R$12/(1+EXP($P$12+$Q$12*G9)))-1) - ($F$12-$C$12))*$I$12</f>
        <v>496174.88643250242</v>
      </c>
      <c r="I9" s="90">
        <f>H9*$G$12</f>
        <v>496174.88643250242</v>
      </c>
      <c r="J9" s="87">
        <f>G9/I9</f>
        <v>34.157311188915919</v>
      </c>
      <c r="K9" s="98" t="s">
        <v>180</v>
      </c>
    </row>
    <row r="10" spans="1:18" ht="13.5" thickBot="1" x14ac:dyDescent="0.25"/>
    <row r="11" spans="1:18" ht="51.6" customHeight="1" x14ac:dyDescent="0.2">
      <c r="A11" s="682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74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83"/>
      <c r="B12" s="348">
        <f>'[7]HCP MCM SCurve'!$B$12</f>
        <v>10503728.719999999</v>
      </c>
      <c r="C12" s="348">
        <f>'[7]HCP MCM SCurve'!$C$12</f>
        <v>348991.53660821792</v>
      </c>
      <c r="D12" s="348">
        <f>'[7]HCP MCM SCurve'!$D$12</f>
        <v>0</v>
      </c>
      <c r="E12" s="348">
        <f>'[7]HCP MCM SCurve'!$E$12</f>
        <v>872478.84152054484</v>
      </c>
      <c r="F12" s="348">
        <f>'[7]HCP MCM SCurve'!$F$12</f>
        <v>4647854</v>
      </c>
      <c r="G12" s="349">
        <f>VAC_Optim_Scenario!$D$48</f>
        <v>1</v>
      </c>
      <c r="H12" s="71">
        <f>C12*G12</f>
        <v>348991.53660821792</v>
      </c>
      <c r="I12" s="350">
        <f>VAC_Optim_Scenario!D32</f>
        <v>1</v>
      </c>
      <c r="K12" s="675"/>
      <c r="L12" s="71">
        <f>F12-C12</f>
        <v>4298862.4633917818</v>
      </c>
      <c r="M12" s="71">
        <f>L12+E12</f>
        <v>5171341.3049123269</v>
      </c>
      <c r="N12" s="72">
        <f>B12</f>
        <v>10503728.719999999</v>
      </c>
      <c r="O12" s="71">
        <f>F12</f>
        <v>4647854</v>
      </c>
      <c r="P12" s="24">
        <f>LN((($M$12+1)/($L$12+1))-1)</f>
        <v>-1.5947675525299829</v>
      </c>
      <c r="Q12" s="24">
        <f>(LN((($M$12+1)/($O$12+1))-1)-$P$12)/$N$12</f>
        <v>-5.6063973603026677E-8</v>
      </c>
      <c r="R12" s="74">
        <f>M12+1</f>
        <v>5171342.3049123269</v>
      </c>
    </row>
    <row r="13" spans="1:18" ht="34.35" customHeight="1" x14ac:dyDescent="0.2">
      <c r="A13" s="676" t="s">
        <v>187</v>
      </c>
      <c r="B13" s="677"/>
      <c r="C13" s="677"/>
      <c r="D13" s="677"/>
      <c r="E13" s="677"/>
      <c r="F13" s="678"/>
      <c r="G13" s="331" t="s">
        <v>150</v>
      </c>
      <c r="H13" s="331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75"/>
      <c r="B18" s="75">
        <v>0</v>
      </c>
      <c r="C18" s="76">
        <v>12500000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31" t="s">
        <v>35</v>
      </c>
      <c r="B21" s="331" t="s">
        <v>177</v>
      </c>
      <c r="C21" s="331" t="s">
        <v>184</v>
      </c>
      <c r="D21" s="98" t="s">
        <v>188</v>
      </c>
      <c r="E21" s="33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25119.609156918712</v>
      </c>
      <c r="C23" s="79">
        <f t="shared" ref="C23:C42" si="1">B23*$G$12</f>
        <v>25119.609156918712</v>
      </c>
      <c r="D23" s="98">
        <f>(B23-B22)/A23</f>
        <v>4.0191374651069936E-2</v>
      </c>
      <c r="E23" s="116">
        <f t="shared" ref="E23:E42" si="2">B23*$H$14</f>
        <v>5675524.4929142138</v>
      </c>
    </row>
    <row r="24" spans="1:8" x14ac:dyDescent="0.2">
      <c r="A24" s="86">
        <f t="shared" ref="A24:A47" si="3">A23+(($C$18-$B$18)/$D$18)</f>
        <v>1250000</v>
      </c>
      <c r="B24" s="79">
        <f t="shared" si="0"/>
        <v>49654.425743116066</v>
      </c>
      <c r="C24" s="79">
        <f t="shared" si="1"/>
        <v>49654.425743116066</v>
      </c>
      <c r="D24" s="98">
        <f t="shared" ref="D24:D42" si="4">(B24-B23)/A24</f>
        <v>1.9627853268957884E-2</v>
      </c>
      <c r="E24" s="116">
        <f t="shared" si="2"/>
        <v>11218920.952399643</v>
      </c>
    </row>
    <row r="25" spans="1:8" x14ac:dyDescent="0.2">
      <c r="A25" s="86">
        <f t="shared" si="3"/>
        <v>1875000</v>
      </c>
      <c r="B25" s="79">
        <f t="shared" si="0"/>
        <v>73610.097361060791</v>
      </c>
      <c r="C25" s="79">
        <f t="shared" si="1"/>
        <v>73610.097361060791</v>
      </c>
      <c r="D25" s="98">
        <f t="shared" si="4"/>
        <v>1.2776358196237186E-2</v>
      </c>
      <c r="E25" s="116">
        <f t="shared" si="2"/>
        <v>16631465.397758074</v>
      </c>
    </row>
    <row r="26" spans="1:8" x14ac:dyDescent="0.2">
      <c r="A26" s="86">
        <f t="shared" si="3"/>
        <v>2500000</v>
      </c>
      <c r="B26" s="79">
        <f t="shared" si="0"/>
        <v>96992.702313871123</v>
      </c>
      <c r="C26" s="79">
        <f t="shared" si="1"/>
        <v>96992.702313871123</v>
      </c>
      <c r="D26" s="98">
        <f t="shared" si="4"/>
        <v>9.3530419811241328E-3</v>
      </c>
      <c r="E26" s="116">
        <f t="shared" si="2"/>
        <v>21914531.160796043</v>
      </c>
    </row>
    <row r="27" spans="1:8" x14ac:dyDescent="0.2">
      <c r="A27" s="86">
        <f t="shared" si="3"/>
        <v>3125000</v>
      </c>
      <c r="B27" s="79">
        <f t="shared" si="0"/>
        <v>119808.71825052705</v>
      </c>
      <c r="C27" s="79">
        <f t="shared" si="1"/>
        <v>119808.71825052705</v>
      </c>
      <c r="D27" s="98">
        <f t="shared" si="4"/>
        <v>7.3011250997298957E-3</v>
      </c>
      <c r="E27" s="116">
        <f t="shared" si="2"/>
        <v>27069581.80152408</v>
      </c>
    </row>
    <row r="28" spans="1:8" x14ac:dyDescent="0.2">
      <c r="A28" s="86">
        <f t="shared" si="3"/>
        <v>3750000</v>
      </c>
      <c r="B28" s="79">
        <f t="shared" si="0"/>
        <v>142064.9914092347</v>
      </c>
      <c r="C28" s="79">
        <f t="shared" si="1"/>
        <v>142064.9914092347</v>
      </c>
      <c r="D28" s="98">
        <f t="shared" si="4"/>
        <v>5.9350061756553753E-3</v>
      </c>
      <c r="E28" s="116">
        <f t="shared" si="2"/>
        <v>32098164.159002487</v>
      </c>
    </row>
    <row r="29" spans="1:8" x14ac:dyDescent="0.2">
      <c r="A29" s="86">
        <f t="shared" si="3"/>
        <v>4375000</v>
      </c>
      <c r="B29" s="79">
        <f t="shared" si="0"/>
        <v>163768.70654064976</v>
      </c>
      <c r="C29" s="79">
        <f t="shared" si="1"/>
        <v>163768.70654064976</v>
      </c>
      <c r="D29" s="98">
        <f t="shared" si="4"/>
        <v>4.9608491728948692E-3</v>
      </c>
      <c r="E29" s="116">
        <f t="shared" si="2"/>
        <v>37001901.555794403</v>
      </c>
    </row>
    <row r="30" spans="1:8" x14ac:dyDescent="0.2">
      <c r="A30" s="86">
        <f t="shared" si="3"/>
        <v>5000000</v>
      </c>
      <c r="B30" s="79">
        <f t="shared" si="0"/>
        <v>184927.35758318752</v>
      </c>
      <c r="C30" s="79">
        <f t="shared" si="1"/>
        <v>184927.35758318752</v>
      </c>
      <c r="D30" s="98">
        <f t="shared" si="4"/>
        <v>4.2317302085075528E-3</v>
      </c>
      <c r="E30" s="116">
        <f t="shared" si="2"/>
        <v>41782487.172345385</v>
      </c>
    </row>
    <row r="31" spans="1:8" x14ac:dyDescent="0.2">
      <c r="A31" s="86">
        <f t="shared" si="3"/>
        <v>5625000</v>
      </c>
      <c r="B31" s="79">
        <f t="shared" si="0"/>
        <v>205548.71915354766</v>
      </c>
      <c r="C31" s="79">
        <f t="shared" si="1"/>
        <v>205548.71915354766</v>
      </c>
      <c r="D31" s="98">
        <f t="shared" si="4"/>
        <v>3.6660198347306912E-3</v>
      </c>
      <c r="E31" s="116">
        <f t="shared" si="2"/>
        <v>46441677.605552554</v>
      </c>
    </row>
    <row r="32" spans="1:8" x14ac:dyDescent="0.2">
      <c r="A32" s="86">
        <f t="shared" si="3"/>
        <v>6250000</v>
      </c>
      <c r="B32" s="79">
        <f t="shared" si="0"/>
        <v>225640.81890675705</v>
      </c>
      <c r="C32" s="79">
        <f t="shared" si="1"/>
        <v>225640.81890675705</v>
      </c>
      <c r="D32" s="98">
        <f t="shared" si="4"/>
        <v>3.2147359605135023E-3</v>
      </c>
      <c r="E32" s="116">
        <f t="shared" si="2"/>
        <v>50981286.623792686</v>
      </c>
    </row>
    <row r="33" spans="1:5" x14ac:dyDescent="0.2">
      <c r="A33" s="86">
        <f t="shared" si="3"/>
        <v>6875000</v>
      </c>
      <c r="B33" s="79">
        <f t="shared" si="0"/>
        <v>245211.91081164964</v>
      </c>
      <c r="C33" s="79">
        <f t="shared" si="1"/>
        <v>245211.91081164964</v>
      </c>
      <c r="D33" s="98">
        <f t="shared" si="4"/>
        <v>2.8467042770752853E-3</v>
      </c>
      <c r="E33" s="116">
        <f t="shared" si="2"/>
        <v>55403179.12878412</v>
      </c>
    </row>
    <row r="34" spans="1:5" x14ac:dyDescent="0.2">
      <c r="A34" s="86">
        <f>A33+(($C$18-$B$18)/$D$18)</f>
        <v>7500000</v>
      </c>
      <c r="B34" s="79">
        <f t="shared" si="0"/>
        <v>264270.44937971141</v>
      </c>
      <c r="C34" s="79">
        <f t="shared" si="1"/>
        <v>264270.44937971141</v>
      </c>
      <c r="D34" s="98">
        <f t="shared" si="4"/>
        <v>2.5411384757415703E-3</v>
      </c>
      <c r="E34" s="116">
        <f t="shared" si="2"/>
        <v>59709265.332851999</v>
      </c>
    </row>
    <row r="35" spans="1:5" x14ac:dyDescent="0.2">
      <c r="A35" s="86">
        <f t="shared" si="3"/>
        <v>8125000</v>
      </c>
      <c r="B35" s="79">
        <f t="shared" si="0"/>
        <v>282825.06487765349</v>
      </c>
      <c r="C35" s="79">
        <f t="shared" si="1"/>
        <v>282825.06487765349</v>
      </c>
      <c r="D35" s="98">
        <f t="shared" si="4"/>
        <v>2.2836449843621023E-3</v>
      </c>
      <c r="E35" s="116">
        <f t="shared" si="2"/>
        <v>63901495.158457033</v>
      </c>
    </row>
    <row r="36" spans="1:5" x14ac:dyDescent="0.2">
      <c r="A36" s="86">
        <f t="shared" si="3"/>
        <v>8750000</v>
      </c>
      <c r="B36" s="79">
        <f t="shared" si="0"/>
        <v>300884.53954699636</v>
      </c>
      <c r="C36" s="79">
        <f t="shared" si="1"/>
        <v>300884.53954699636</v>
      </c>
      <c r="D36" s="98">
        <f t="shared" si="4"/>
        <v>2.0639399622106127E-3</v>
      </c>
      <c r="E36" s="116">
        <f t="shared" si="2"/>
        <v>67981852.865248352</v>
      </c>
    </row>
    <row r="37" spans="1:5" x14ac:dyDescent="0.2">
      <c r="A37" s="86">
        <f t="shared" si="3"/>
        <v>9375000</v>
      </c>
      <c r="B37" s="79">
        <f t="shared" si="0"/>
        <v>318457.78484730702</v>
      </c>
      <c r="C37" s="79">
        <f t="shared" si="1"/>
        <v>318457.78484730702</v>
      </c>
      <c r="D37" s="98">
        <f t="shared" si="4"/>
        <v>1.8744794986998042E-3</v>
      </c>
      <c r="E37" s="116">
        <f t="shared" si="2"/>
        <v>71952351.90840055</v>
      </c>
    </row>
    <row r="38" spans="1:5" x14ac:dyDescent="0.2">
      <c r="A38" s="86">
        <f t="shared" si="3"/>
        <v>10000000</v>
      </c>
      <c r="B38" s="79">
        <f t="shared" si="0"/>
        <v>335553.81973360386</v>
      </c>
      <c r="C38" s="79">
        <f t="shared" si="1"/>
        <v>335553.81973360386</v>
      </c>
      <c r="D38" s="98">
        <f t="shared" si="4"/>
        <v>1.7096034886296839E-3</v>
      </c>
      <c r="E38" s="116">
        <f t="shared" si="2"/>
        <v>75815030.030610457</v>
      </c>
    </row>
    <row r="39" spans="1:5" x14ac:dyDescent="0.2">
      <c r="A39" s="86">
        <f t="shared" si="3"/>
        <v>10625000</v>
      </c>
      <c r="B39" s="79">
        <f t="shared" si="0"/>
        <v>352181.74997273553</v>
      </c>
      <c r="C39" s="79">
        <f t="shared" si="1"/>
        <v>352181.74997273553</v>
      </c>
      <c r="D39" s="98">
        <f t="shared" si="4"/>
        <v>1.564981669565334E-3</v>
      </c>
      <c r="E39" s="116">
        <f t="shared" si="2"/>
        <v>79571944.588839859</v>
      </c>
    </row>
    <row r="40" spans="1:5" x14ac:dyDescent="0.2">
      <c r="A40" s="86">
        <f t="shared" si="3"/>
        <v>11250000</v>
      </c>
      <c r="B40" s="79">
        <f t="shared" si="0"/>
        <v>368350.74849835783</v>
      </c>
      <c r="C40" s="79">
        <f t="shared" si="1"/>
        <v>368350.74849835783</v>
      </c>
      <c r="D40" s="98">
        <f t="shared" si="4"/>
        <v>1.4372443133886489E-3</v>
      </c>
      <c r="E40" s="116">
        <f t="shared" si="2"/>
        <v>83225168.115718961</v>
      </c>
    </row>
    <row r="41" spans="1:5" x14ac:dyDescent="0.2">
      <c r="A41" s="86">
        <f>A40+(($C$18-$B$18)/$D$18)</f>
        <v>11875000</v>
      </c>
      <c r="B41" s="79">
        <f t="shared" si="0"/>
        <v>384070.03679938242</v>
      </c>
      <c r="C41" s="79">
        <f t="shared" si="1"/>
        <v>384070.03679938242</v>
      </c>
      <c r="D41" s="98">
        <f t="shared" si="4"/>
        <v>1.3237295411389126E-3</v>
      </c>
      <c r="E41" s="116">
        <f t="shared" si="2"/>
        <v>86776784.114452466</v>
      </c>
    </row>
    <row r="42" spans="1:5" x14ac:dyDescent="0.2">
      <c r="A42" s="86">
        <f t="shared" si="3"/>
        <v>12500000</v>
      </c>
      <c r="B42" s="79">
        <f t="shared" si="0"/>
        <v>399348.86733246781</v>
      </c>
      <c r="C42" s="79">
        <f t="shared" si="1"/>
        <v>399348.86733246781</v>
      </c>
      <c r="D42" s="98">
        <f t="shared" si="4"/>
        <v>1.2223064426468313E-3</v>
      </c>
      <c r="E42" s="116">
        <f t="shared" si="2"/>
        <v>90228883.085097775</v>
      </c>
    </row>
    <row r="43" spans="1:5" x14ac:dyDescent="0.2">
      <c r="A43" s="86">
        <f t="shared" si="3"/>
        <v>13125000</v>
      </c>
      <c r="B43" s="79">
        <f t="shared" si="0"/>
        <v>414196.50694529247</v>
      </c>
    </row>
    <row r="44" spans="1:5" x14ac:dyDescent="0.2">
      <c r="A44" s="86">
        <f t="shared" si="3"/>
        <v>13750000</v>
      </c>
      <c r="B44" s="79">
        <f t="shared" si="0"/>
        <v>428622.22129391227</v>
      </c>
    </row>
    <row r="45" spans="1:5" x14ac:dyDescent="0.2">
      <c r="A45" s="86">
        <f t="shared" si="3"/>
        <v>14375000</v>
      </c>
      <c r="B45" s="79">
        <f t="shared" si="0"/>
        <v>442635.26023447141</v>
      </c>
    </row>
    <row r="46" spans="1:5" x14ac:dyDescent="0.2">
      <c r="A46" s="86">
        <f t="shared" si="3"/>
        <v>15000000</v>
      </c>
      <c r="B46" s="79">
        <f t="shared" si="0"/>
        <v>456244.84416690655</v>
      </c>
    </row>
    <row r="47" spans="1:5" x14ac:dyDescent="0.2">
      <c r="A47" s="86">
        <f t="shared" si="3"/>
        <v>15625000</v>
      </c>
      <c r="B47" s="79">
        <f t="shared" si="0"/>
        <v>469460.1513060201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workbookViewId="0"/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83"/>
      <c r="B9" s="157">
        <f>VAC_Optim_Scenario!G$23</f>
        <v>1599500</v>
      </c>
      <c r="C9" s="157">
        <f>VAC_Optim_Scenario!H$23</f>
        <v>6500000</v>
      </c>
      <c r="D9" s="158">
        <f>VAC_Optim_Scenario!I$23</f>
        <v>6500000</v>
      </c>
      <c r="E9" s="84">
        <f>((GSOC!D9/$B$12)^$D$12)*$C$12*$F$12</f>
        <v>196414.83149294381</v>
      </c>
      <c r="F9" s="84">
        <f>E9*F11</f>
        <v>196414.83149294381</v>
      </c>
      <c r="G9" s="76">
        <f>VAC_Optim_Scenario!E23</f>
        <v>1840000</v>
      </c>
      <c r="H9" s="159">
        <f>((GSOC!G9/$B$12)^$D$12)*$C$12*$F$12</f>
        <v>92112.158316140369</v>
      </c>
      <c r="I9" s="160">
        <f>H9*F11</f>
        <v>92112.158316140369</v>
      </c>
    </row>
    <row r="10" spans="1:9" ht="15.75" thickBot="1" x14ac:dyDescent="0.3"/>
    <row r="11" spans="1:9" ht="48.95" customHeight="1" x14ac:dyDescent="0.25">
      <c r="A11" s="654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654"/>
      <c r="B12" s="162">
        <f>'[8]HCC Social - Power'!$B$12</f>
        <v>1873000</v>
      </c>
      <c r="C12" s="162">
        <f>'[8]HCC Social - Power'!$C$12</f>
        <v>93099.839261948742</v>
      </c>
      <c r="D12" s="312">
        <f>'[8]HCC Social - Power'!$D$12</f>
        <v>0.6</v>
      </c>
      <c r="E12" s="262" t="s">
        <v>122</v>
      </c>
      <c r="F12" s="163">
        <f>VAC_Optim_Scenario!D23</f>
        <v>1</v>
      </c>
      <c r="G12" s="266">
        <f>B12*2</f>
        <v>3746000</v>
      </c>
    </row>
    <row r="13" spans="1:9" ht="18.75" customHeight="1" x14ac:dyDescent="0.25">
      <c r="A13" s="676" t="s">
        <v>171</v>
      </c>
      <c r="B13" s="677"/>
      <c r="C13" s="677"/>
      <c r="D13" s="677"/>
      <c r="E13" s="262" t="s">
        <v>172</v>
      </c>
      <c r="F13" s="262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7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27809.313623655144</v>
      </c>
      <c r="C22" s="165">
        <f t="shared" ref="C22:C41" si="0">B22*$F$14</f>
        <v>6283236.320128643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42151.037362657407</v>
      </c>
      <c r="C23" s="165">
        <f t="shared" si="0"/>
        <v>9523605.3817188144</v>
      </c>
    </row>
    <row r="24" spans="1:4" x14ac:dyDescent="0.25">
      <c r="A24" s="164">
        <f t="shared" si="1"/>
        <v>750000</v>
      </c>
      <c r="B24" s="159">
        <f>((GSOC!A24/$B$12)^$D$12)*$C$12*$F$12</f>
        <v>53760.465779126374</v>
      </c>
      <c r="C24" s="165">
        <f t="shared" si="0"/>
        <v>12146639.638135813</v>
      </c>
    </row>
    <row r="25" spans="1:4" x14ac:dyDescent="0.25">
      <c r="A25" s="164">
        <f t="shared" si="1"/>
        <v>1000000</v>
      </c>
      <c r="B25" s="159">
        <f>((GSOC!A25/$B$12)^$D$12)*$C$12*$F$12</f>
        <v>63889.025626178591</v>
      </c>
      <c r="C25" s="165">
        <f t="shared" si="0"/>
        <v>14435086.449978791</v>
      </c>
    </row>
    <row r="26" spans="1:4" x14ac:dyDescent="0.25">
      <c r="A26" s="164">
        <f t="shared" si="1"/>
        <v>1250000</v>
      </c>
      <c r="B26" s="159">
        <f>((GSOC!A26/$B$12)^$D$12)*$C$12*$F$12</f>
        <v>73041.935453914717</v>
      </c>
      <c r="C26" s="165">
        <f t="shared" si="0"/>
        <v>16503094.896457491</v>
      </c>
    </row>
    <row r="27" spans="1:4" x14ac:dyDescent="0.25">
      <c r="A27" s="164">
        <f t="shared" si="1"/>
        <v>1500000</v>
      </c>
      <c r="B27" s="159">
        <f>((GSOC!A27/$B$12)^$D$12)*$C$12*$F$12</f>
        <v>81485.628604737183</v>
      </c>
      <c r="C27" s="165">
        <f t="shared" si="0"/>
        <v>18410862.926954318</v>
      </c>
    </row>
    <row r="28" spans="1:4" x14ac:dyDescent="0.25">
      <c r="A28" s="164">
        <f t="shared" si="1"/>
        <v>1750000</v>
      </c>
      <c r="B28" s="159">
        <f>((GSOC!A28/$B$12)^$D$12)*$C$12*$F$12</f>
        <v>89381.79950124168</v>
      </c>
      <c r="C28" s="165">
        <f t="shared" si="0"/>
        <v>20194923.779310543</v>
      </c>
    </row>
    <row r="29" spans="1:4" x14ac:dyDescent="0.25">
      <c r="A29" s="164">
        <f t="shared" si="1"/>
        <v>2000000</v>
      </c>
      <c r="B29" s="159">
        <f>((GSOC!A29/$B$12)^$D$12)*$C$12*$F$12</f>
        <v>96837.654559806251</v>
      </c>
      <c r="C29" s="165">
        <f t="shared" si="0"/>
        <v>21879499.671242625</v>
      </c>
    </row>
    <row r="30" spans="1:4" x14ac:dyDescent="0.25">
      <c r="A30" s="164">
        <f t="shared" si="1"/>
        <v>2250000</v>
      </c>
      <c r="B30" s="159">
        <f>((GSOC!A30/$B$12)^$D$12)*$C$12*$F$12</f>
        <v>103928.76717137558</v>
      </c>
      <c r="C30" s="165">
        <f t="shared" si="0"/>
        <v>23481665.6547006</v>
      </c>
    </row>
    <row r="31" spans="1:4" x14ac:dyDescent="0.25">
      <c r="A31" s="164">
        <f t="shared" si="1"/>
        <v>2500000</v>
      </c>
      <c r="B31" s="159">
        <f>((GSOC!A31/$B$12)^$D$12)*$C$12*$F$12</f>
        <v>110710.87161748171</v>
      </c>
      <c r="C31" s="165">
        <f t="shared" si="0"/>
        <v>25014014.333253816</v>
      </c>
    </row>
    <row r="32" spans="1:4" x14ac:dyDescent="0.25">
      <c r="A32" s="164">
        <f t="shared" si="1"/>
        <v>2750000</v>
      </c>
      <c r="B32" s="159">
        <f>((GSOC!A32/$B$12)^$D$12)*$C$12*$F$12</f>
        <v>117226.52226162794</v>
      </c>
      <c r="C32" s="165">
        <f t="shared" si="0"/>
        <v>26486160.439792216</v>
      </c>
    </row>
    <row r="33" spans="1:3" x14ac:dyDescent="0.25">
      <c r="A33" s="164">
        <f t="shared" si="1"/>
        <v>3000000</v>
      </c>
      <c r="B33" s="159">
        <f>((GSOC!A33/$B$12)^$D$12)*$C$12*$F$12</f>
        <v>123509.11720871372</v>
      </c>
      <c r="C33" s="165">
        <f t="shared" si="0"/>
        <v>27905649.942136779</v>
      </c>
    </row>
    <row r="34" spans="1:3" x14ac:dyDescent="0.25">
      <c r="A34" s="164">
        <f t="shared" si="1"/>
        <v>3250000</v>
      </c>
      <c r="B34" s="159">
        <f>((GSOC!A34/$B$12)^$D$12)*$C$12*$F$12</f>
        <v>129585.46197403218</v>
      </c>
      <c r="C34" s="165">
        <f t="shared" si="0"/>
        <v>29278539.27841283</v>
      </c>
    </row>
    <row r="35" spans="1:3" x14ac:dyDescent="0.25">
      <c r="A35" s="164">
        <f t="shared" si="1"/>
        <v>3500000</v>
      </c>
      <c r="B35" s="159">
        <f>((GSOC!A35/$B$12)^$D$12)*$C$12*$F$12</f>
        <v>135477.47424854283</v>
      </c>
      <c r="C35" s="165">
        <f t="shared" si="0"/>
        <v>30609780.531715766</v>
      </c>
    </row>
    <row r="36" spans="1:3" x14ac:dyDescent="0.25">
      <c r="A36" s="164">
        <f t="shared" si="1"/>
        <v>3750000</v>
      </c>
      <c r="B36" s="159">
        <f>((GSOC!A36/$B$12)^$D$12)*$C$12*$F$12</f>
        <v>141203.35814657266</v>
      </c>
      <c r="C36" s="165">
        <f t="shared" si="0"/>
        <v>31903486.739636626</v>
      </c>
    </row>
    <row r="37" spans="1:3" x14ac:dyDescent="0.25">
      <c r="A37" s="164">
        <f t="shared" si="1"/>
        <v>4000000</v>
      </c>
      <c r="B37" s="159">
        <f>((GSOC!A37/$B$12)^$D$12)*$C$12*$F$12</f>
        <v>146778.43727830952</v>
      </c>
      <c r="C37" s="165">
        <f t="shared" si="0"/>
        <v>33163120.118661251</v>
      </c>
    </row>
    <row r="38" spans="1:3" x14ac:dyDescent="0.25">
      <c r="A38" s="164">
        <f t="shared" si="1"/>
        <v>4250000</v>
      </c>
      <c r="B38" s="159">
        <f>((GSOC!A38/$B$12)^$D$12)*$C$12*$F$12</f>
        <v>152215.76082598412</v>
      </c>
      <c r="C38" s="165">
        <f t="shared" si="0"/>
        <v>34391629.001022853</v>
      </c>
    </row>
    <row r="39" spans="1:3" x14ac:dyDescent="0.25">
      <c r="A39" s="164">
        <f t="shared" si="1"/>
        <v>4500000</v>
      </c>
      <c r="B39" s="159">
        <f>((GSOC!A39/$B$12)^$D$12)*$C$12*$F$12</f>
        <v>157526.55413865595</v>
      </c>
      <c r="C39" s="165">
        <f t="shared" si="0"/>
        <v>35591549.642087922</v>
      </c>
    </row>
    <row r="40" spans="1:3" x14ac:dyDescent="0.25">
      <c r="A40" s="164">
        <f t="shared" si="1"/>
        <v>4750000</v>
      </c>
      <c r="B40" s="159">
        <f>((GSOC!A40/$B$12)^$D$12)*$C$12*$F$12</f>
        <v>162720.56011938638</v>
      </c>
      <c r="C40" s="165">
        <f t="shared" si="0"/>
        <v>36765083.353374161</v>
      </c>
    </row>
    <row r="41" spans="1:3" x14ac:dyDescent="0.25">
      <c r="A41" s="164">
        <f t="shared" si="1"/>
        <v>5000000</v>
      </c>
      <c r="B41" s="159">
        <f>((GSOC!A41/$B$12)^$D$12)*$C$12*$F$12</f>
        <v>167806.30220342285</v>
      </c>
      <c r="C41" s="165">
        <f t="shared" si="0"/>
        <v>37914155.919841357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/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83"/>
      <c r="B9" s="157">
        <f>VAC_Optim_Scenario!G33</f>
        <v>2290679.6471494259</v>
      </c>
      <c r="C9" s="157">
        <f>VAC_Optim_Scenario!H33</f>
        <v>2290679.6471494259</v>
      </c>
      <c r="D9" s="158">
        <f>VAC_Optim_Scenario!I33</f>
        <v>2290679.6471494259</v>
      </c>
      <c r="E9" s="84">
        <f>((GSOCIAL_adt!D9/$B$12)^$D$12)*$C$12*$F$12</f>
        <v>60054.535360477297</v>
      </c>
      <c r="F9" s="84">
        <f>E9*F11</f>
        <v>60054.535360477297</v>
      </c>
      <c r="G9" s="76">
        <f>VAC_Optim_Scenario!E33</f>
        <v>2200000</v>
      </c>
      <c r="H9" s="159">
        <f>((GSOCIAL_adt!G9/$B$12)^$D$12)*$C$12*$F$12</f>
        <v>58616.624488157111</v>
      </c>
      <c r="I9" s="160">
        <f>H9*F11</f>
        <v>58616.624488157111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'[9]HCC Social - Power'!$B$12</f>
        <v>1751000</v>
      </c>
      <c r="C12" s="162">
        <f>'[9]HCC Social - Power'!$C$12</f>
        <v>51113.884184056908</v>
      </c>
      <c r="D12" s="327">
        <f>'[9]HCC Social - Power'!$D$12</f>
        <v>0.6</v>
      </c>
      <c r="E12" s="331" t="s">
        <v>122</v>
      </c>
      <c r="F12" s="163">
        <f>VAC_Optim_Scenario!D33</f>
        <v>1</v>
      </c>
      <c r="G12" s="266">
        <f>B12*2</f>
        <v>3502000</v>
      </c>
    </row>
    <row r="13" spans="1:9" ht="18.75" customHeight="1" x14ac:dyDescent="0.25">
      <c r="A13" s="676" t="s">
        <v>171</v>
      </c>
      <c r="B13" s="677"/>
      <c r="C13" s="677"/>
      <c r="D13" s="677"/>
      <c r="E13" s="331" t="s">
        <v>172</v>
      </c>
      <c r="F13" s="331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VAC_Optim_Scenario!$I$48</f>
        <v>225.94</v>
      </c>
      <c r="F14" s="95">
        <f>VAC_Optim_Scenario!$F$48</f>
        <v>225.94</v>
      </c>
    </row>
    <row r="15" spans="1:9" ht="15.75" thickBot="1" x14ac:dyDescent="0.3"/>
    <row r="16" spans="1:9" x14ac:dyDescent="0.25">
      <c r="A16" s="674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7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15897.586699423742</v>
      </c>
      <c r="C22" s="165">
        <f t="shared" ref="C22:C41" si="1">B22*$F$14</f>
        <v>3591900.7388678002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24096.235527851928</v>
      </c>
      <c r="C23" s="165">
        <f t="shared" si="1"/>
        <v>5444303.4551628642</v>
      </c>
    </row>
    <row r="24" spans="1:4" x14ac:dyDescent="0.25">
      <c r="A24" s="164">
        <f t="shared" si="2"/>
        <v>750000</v>
      </c>
      <c r="B24" s="159">
        <f t="shared" si="0"/>
        <v>30732.929165071982</v>
      </c>
      <c r="C24" s="165">
        <f t="shared" si="1"/>
        <v>6943798.0155563634</v>
      </c>
    </row>
    <row r="25" spans="1:4" x14ac:dyDescent="0.25">
      <c r="A25" s="164">
        <f t="shared" si="2"/>
        <v>1000000</v>
      </c>
      <c r="B25" s="159">
        <f t="shared" si="0"/>
        <v>36523.063380101594</v>
      </c>
      <c r="C25" s="165">
        <f t="shared" si="1"/>
        <v>8252020.9401001539</v>
      </c>
    </row>
    <row r="26" spans="1:4" x14ac:dyDescent="0.25">
      <c r="A26" s="164">
        <f t="shared" si="2"/>
        <v>1250000</v>
      </c>
      <c r="B26" s="159">
        <f t="shared" si="0"/>
        <v>41755.45348895598</v>
      </c>
      <c r="C26" s="165">
        <f t="shared" si="1"/>
        <v>9434227.1612947136</v>
      </c>
    </row>
    <row r="27" spans="1:4" x14ac:dyDescent="0.25">
      <c r="A27" s="164">
        <f t="shared" si="2"/>
        <v>1500000</v>
      </c>
      <c r="B27" s="159">
        <f t="shared" si="0"/>
        <v>46582.409872890181</v>
      </c>
      <c r="C27" s="165">
        <f t="shared" si="1"/>
        <v>10524829.686680807</v>
      </c>
    </row>
    <row r="28" spans="1:4" x14ac:dyDescent="0.25">
      <c r="A28" s="164">
        <f t="shared" si="2"/>
        <v>1750000</v>
      </c>
      <c r="B28" s="159">
        <f t="shared" si="0"/>
        <v>51096.36743111875</v>
      </c>
      <c r="C28" s="165">
        <f t="shared" si="1"/>
        <v>11544713.257386969</v>
      </c>
    </row>
    <row r="29" spans="1:4" x14ac:dyDescent="0.25">
      <c r="A29" s="164">
        <f t="shared" si="2"/>
        <v>2000000</v>
      </c>
      <c r="B29" s="159">
        <f t="shared" si="0"/>
        <v>55358.612224929246</v>
      </c>
      <c r="C29" s="165">
        <f t="shared" si="1"/>
        <v>12507724.846100513</v>
      </c>
    </row>
    <row r="30" spans="1:4" x14ac:dyDescent="0.25">
      <c r="A30" s="164">
        <f t="shared" si="2"/>
        <v>2250000</v>
      </c>
      <c r="B30" s="159">
        <f t="shared" si="0"/>
        <v>59412.346850076872</v>
      </c>
      <c r="C30" s="165">
        <f t="shared" si="1"/>
        <v>13423625.647306368</v>
      </c>
    </row>
    <row r="31" spans="1:4" x14ac:dyDescent="0.25">
      <c r="A31" s="164">
        <f t="shared" si="2"/>
        <v>2500000</v>
      </c>
      <c r="B31" s="159">
        <f t="shared" si="0"/>
        <v>63289.432595364975</v>
      </c>
      <c r="C31" s="165">
        <f t="shared" si="1"/>
        <v>14299614.400596762</v>
      </c>
    </row>
    <row r="32" spans="1:4" x14ac:dyDescent="0.25">
      <c r="A32" s="164">
        <f t="shared" si="2"/>
        <v>2750000</v>
      </c>
      <c r="B32" s="159">
        <f t="shared" si="0"/>
        <v>67014.196263403195</v>
      </c>
      <c r="C32" s="165">
        <f t="shared" si="1"/>
        <v>15141187.503753318</v>
      </c>
    </row>
    <row r="33" spans="1:3" x14ac:dyDescent="0.25">
      <c r="A33" s="164">
        <f t="shared" si="2"/>
        <v>3000000</v>
      </c>
      <c r="B33" s="159">
        <f t="shared" si="0"/>
        <v>70605.730352317172</v>
      </c>
      <c r="C33" s="165">
        <f t="shared" si="1"/>
        <v>15952658.715802541</v>
      </c>
    </row>
    <row r="34" spans="1:3" x14ac:dyDescent="0.25">
      <c r="A34" s="164">
        <f t="shared" si="2"/>
        <v>3250000</v>
      </c>
      <c r="B34" s="159">
        <f t="shared" si="0"/>
        <v>74079.358613320743</v>
      </c>
      <c r="C34" s="165">
        <f t="shared" si="1"/>
        <v>16737490.285093689</v>
      </c>
    </row>
    <row r="35" spans="1:3" x14ac:dyDescent="0.25">
      <c r="A35" s="164">
        <f t="shared" si="2"/>
        <v>3500000</v>
      </c>
      <c r="B35" s="159">
        <f t="shared" si="0"/>
        <v>77447.61060384904</v>
      </c>
      <c r="C35" s="165">
        <f t="shared" si="1"/>
        <v>17498513.139833651</v>
      </c>
    </row>
    <row r="36" spans="1:3" x14ac:dyDescent="0.25">
      <c r="A36" s="164">
        <f t="shared" si="2"/>
        <v>3750000</v>
      </c>
      <c r="B36" s="159">
        <f t="shared" si="0"/>
        <v>80720.892962833008</v>
      </c>
      <c r="C36" s="165">
        <f t="shared" si="1"/>
        <v>18238078.556022491</v>
      </c>
    </row>
    <row r="37" spans="1:3" x14ac:dyDescent="0.25">
      <c r="A37" s="164">
        <f t="shared" si="2"/>
        <v>4000000</v>
      </c>
      <c r="B37" s="159">
        <f t="shared" si="0"/>
        <v>83907.965648350291</v>
      </c>
      <c r="C37" s="165">
        <f t="shared" si="1"/>
        <v>18958165.758588266</v>
      </c>
    </row>
    <row r="38" spans="1:3" x14ac:dyDescent="0.25">
      <c r="A38" s="164">
        <f t="shared" si="2"/>
        <v>4250000</v>
      </c>
      <c r="B38" s="159">
        <f t="shared" si="0"/>
        <v>87016.28840963007</v>
      </c>
      <c r="C38" s="165">
        <f t="shared" si="1"/>
        <v>19660460.203271817</v>
      </c>
    </row>
    <row r="39" spans="1:3" x14ac:dyDescent="0.25">
      <c r="A39" s="164">
        <f t="shared" si="2"/>
        <v>4500000</v>
      </c>
      <c r="B39" s="159">
        <f t="shared" si="0"/>
        <v>90052.278375923386</v>
      </c>
      <c r="C39" s="165">
        <f t="shared" si="1"/>
        <v>20346411.776256129</v>
      </c>
    </row>
    <row r="40" spans="1:3" x14ac:dyDescent="0.25">
      <c r="A40" s="164">
        <f t="shared" si="2"/>
        <v>4750000</v>
      </c>
      <c r="B40" s="159">
        <f t="shared" si="0"/>
        <v>93021.505215299592</v>
      </c>
      <c r="C40" s="165">
        <f t="shared" si="1"/>
        <v>21017278.888344791</v>
      </c>
    </row>
    <row r="41" spans="1:3" x14ac:dyDescent="0.25">
      <c r="A41" s="164">
        <f t="shared" si="2"/>
        <v>5000000</v>
      </c>
      <c r="B41" s="159">
        <f t="shared" si="0"/>
        <v>95928.841469837862</v>
      </c>
      <c r="C41" s="165">
        <f t="shared" si="1"/>
        <v>21674162.441695165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/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15" customHeight="1" x14ac:dyDescent="0.2">
      <c r="A8" s="686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83"/>
      <c r="B9" s="95">
        <f>VAC_Optim_Scenario!G24</f>
        <v>1000000</v>
      </c>
      <c r="C9" s="95">
        <f>VAC_Optim_Scenario!H24</f>
        <v>3500000</v>
      </c>
      <c r="D9" s="68">
        <f>VAC_Optim_Scenario!I24</f>
        <v>1000000</v>
      </c>
      <c r="E9" s="84">
        <f>((($R$12/(1+EXP($P$12+$Q$12*D9)))-1) - ($F$12-$C$12))*$I$12</f>
        <v>25088.44528472051</v>
      </c>
      <c r="F9" s="89">
        <f>E9*$G$12</f>
        <v>25088.44528472051</v>
      </c>
      <c r="G9" s="95">
        <f>VAC_Optim_Scenario!E24</f>
        <v>1220000</v>
      </c>
      <c r="H9" s="85">
        <f>((($R$12/(1+EXP($P$12+$Q$12*G9)))-1) - ($F$12-$C$12))*$I$12</f>
        <v>25360.023928385228</v>
      </c>
      <c r="I9" s="90">
        <f>H9*$G$12</f>
        <v>25360.023928385228</v>
      </c>
      <c r="J9" s="87">
        <f>G9/I9</f>
        <v>48.107210129027749</v>
      </c>
      <c r="K9" s="98" t="s">
        <v>198</v>
      </c>
    </row>
    <row r="10" spans="1:18" ht="13.5" thickBot="1" x14ac:dyDescent="0.25"/>
    <row r="11" spans="1:18" ht="51.6" customHeight="1" x14ac:dyDescent="0.2">
      <c r="A11" s="682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74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83"/>
      <c r="B12" s="95">
        <f>'[10]HCC Online Video Curve'!$B$12</f>
        <v>173076.94</v>
      </c>
      <c r="C12" s="95">
        <f>'[10]HCC Online Video Curve'!$C$12</f>
        <v>12775.777394686394</v>
      </c>
      <c r="D12" s="95">
        <f>'[10]HCC Online Video Curve'!$D$12</f>
        <v>0</v>
      </c>
      <c r="E12" s="95">
        <f>'[10]HCC Online Video Curve'!$E$12</f>
        <v>25551.554789372789</v>
      </c>
      <c r="F12" s="95">
        <f>'[10]HCC Online Video Curve'!$F$12</f>
        <v>8649234</v>
      </c>
      <c r="G12" s="91">
        <f>VAC_Optim_Scenario!$D$48</f>
        <v>1</v>
      </c>
      <c r="H12" s="71">
        <f>C12*G12</f>
        <v>12775.777394686394</v>
      </c>
      <c r="I12" s="115">
        <f>VAC_Optim_Scenario!D24</f>
        <v>1</v>
      </c>
      <c r="K12" s="675"/>
      <c r="L12" s="71">
        <f>F12-C12</f>
        <v>8636458.2226053141</v>
      </c>
      <c r="M12" s="71">
        <f>L12+E12</f>
        <v>8662009.7773946878</v>
      </c>
      <c r="N12" s="72">
        <f>B12</f>
        <v>173076.94</v>
      </c>
      <c r="O12" s="71">
        <f>F12</f>
        <v>8649234</v>
      </c>
      <c r="P12" s="24">
        <f>LN((($M$12+1)/($L$12+1))-1)</f>
        <v>-5.8230497979923372</v>
      </c>
      <c r="Q12" s="73">
        <f>(LN((($M$12+1)/($O$12+1))-1)-$P$12)/$N$12</f>
        <v>-4.01339064386527E-6</v>
      </c>
      <c r="R12" s="74">
        <f>M12+1</f>
        <v>8662010.7773946878</v>
      </c>
    </row>
    <row r="13" spans="1:18" ht="34.15" customHeight="1" x14ac:dyDescent="0.2">
      <c r="A13" s="676" t="s">
        <v>114</v>
      </c>
      <c r="B13" s="677"/>
      <c r="C13" s="677"/>
      <c r="D13" s="677"/>
      <c r="E13" s="677"/>
      <c r="F13" s="678"/>
      <c r="G13" s="133" t="s">
        <v>150</v>
      </c>
      <c r="H13" s="133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75"/>
      <c r="B18" s="75">
        <v>0</v>
      </c>
      <c r="C18" s="76">
        <v>2000000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8692.1604829449207</v>
      </c>
      <c r="C22" s="79">
        <f>B22*$G$12</f>
        <v>8692.1604829449207</v>
      </c>
      <c r="E22" s="116">
        <f>B22*$H$14</f>
        <v>1963906.7395165754</v>
      </c>
    </row>
    <row r="23" spans="1:8" x14ac:dyDescent="0.2">
      <c r="A23" s="86">
        <v>207702.72369229962</v>
      </c>
      <c r="B23" s="79">
        <f t="shared" si="0"/>
        <v>14431.218060018495</v>
      </c>
      <c r="C23" s="79">
        <f t="shared" ref="C23:C42" si="1">B23*$G$12</f>
        <v>14431.218060018495</v>
      </c>
      <c r="D23" s="98">
        <f>(B23-B22)/A23</f>
        <v>2.7631113714116133E-2</v>
      </c>
      <c r="E23" s="116">
        <f t="shared" ref="E23:E42" si="2">B23*$H$14</f>
        <v>3260589.4084805786</v>
      </c>
    </row>
    <row r="24" spans="1:8" x14ac:dyDescent="0.2">
      <c r="A24" s="86">
        <v>311554.08553844941</v>
      </c>
      <c r="B24" s="79">
        <f t="shared" si="0"/>
        <v>18218.316824443638</v>
      </c>
      <c r="C24" s="79">
        <f t="shared" si="1"/>
        <v>18218.316824443638</v>
      </c>
      <c r="D24" s="98">
        <f t="shared" ref="D24:D42" si="3">(B24-B23)/A24</f>
        <v>1.2155509878421324E-2</v>
      </c>
      <c r="E24" s="116">
        <f t="shared" si="2"/>
        <v>4116246.5033147954</v>
      </c>
    </row>
    <row r="25" spans="1:8" x14ac:dyDescent="0.2">
      <c r="A25" s="86">
        <v>415405.44738459925</v>
      </c>
      <c r="B25" s="79">
        <f t="shared" si="0"/>
        <v>20716.416763242334</v>
      </c>
      <c r="C25" s="79">
        <f t="shared" si="1"/>
        <v>20716.416763242334</v>
      </c>
      <c r="D25" s="98">
        <f t="shared" si="3"/>
        <v>6.0136427062446613E-3</v>
      </c>
      <c r="E25" s="116">
        <f t="shared" si="2"/>
        <v>4680667.2034869725</v>
      </c>
    </row>
    <row r="26" spans="1:8" x14ac:dyDescent="0.2">
      <c r="A26" s="86">
        <v>519256.80923074903</v>
      </c>
      <c r="B26" s="79">
        <f t="shared" si="0"/>
        <v>22363.841350227594</v>
      </c>
      <c r="C26" s="79">
        <f t="shared" si="1"/>
        <v>22363.841350227594</v>
      </c>
      <c r="D26" s="98">
        <f t="shared" si="3"/>
        <v>3.1726586107283425E-3</v>
      </c>
      <c r="E26" s="116">
        <f t="shared" si="2"/>
        <v>5052886.314670423</v>
      </c>
    </row>
    <row r="27" spans="1:8" x14ac:dyDescent="0.2">
      <c r="A27" s="86">
        <v>623108.17107689881</v>
      </c>
      <c r="B27" s="79">
        <f t="shared" si="0"/>
        <v>23450.092926036566</v>
      </c>
      <c r="C27" s="79">
        <f t="shared" si="1"/>
        <v>23450.092926036566</v>
      </c>
      <c r="D27" s="98">
        <f t="shared" si="3"/>
        <v>1.7432792992132277E-3</v>
      </c>
      <c r="E27" s="116">
        <f t="shared" si="2"/>
        <v>5298313.9957087021</v>
      </c>
    </row>
    <row r="28" spans="1:8" x14ac:dyDescent="0.2">
      <c r="A28" s="86">
        <v>726959.53292304859</v>
      </c>
      <c r="B28" s="79">
        <f t="shared" si="0"/>
        <v>24166.25047290884</v>
      </c>
      <c r="C28" s="79">
        <f t="shared" si="1"/>
        <v>24166.25047290884</v>
      </c>
      <c r="D28" s="98">
        <f t="shared" si="3"/>
        <v>9.8514087021138366E-4</v>
      </c>
      <c r="E28" s="116">
        <f t="shared" si="2"/>
        <v>5460122.6318490235</v>
      </c>
    </row>
    <row r="29" spans="1:8" x14ac:dyDescent="0.2">
      <c r="A29" s="86">
        <v>830810.89476919849</v>
      </c>
      <c r="B29" s="79">
        <f t="shared" si="0"/>
        <v>24638.374303095043</v>
      </c>
      <c r="C29" s="79">
        <f t="shared" si="1"/>
        <v>24638.374303095043</v>
      </c>
      <c r="D29" s="98">
        <f t="shared" si="3"/>
        <v>5.6826870369503326E-4</v>
      </c>
      <c r="E29" s="116">
        <f t="shared" si="2"/>
        <v>5566794.2900412939</v>
      </c>
    </row>
    <row r="30" spans="1:8" x14ac:dyDescent="0.2">
      <c r="A30" s="86">
        <v>934662.25661534828</v>
      </c>
      <c r="B30" s="79">
        <f t="shared" si="0"/>
        <v>24949.605385137722</v>
      </c>
      <c r="C30" s="79">
        <f t="shared" si="1"/>
        <v>24949.605385137722</v>
      </c>
      <c r="D30" s="98">
        <f t="shared" si="3"/>
        <v>3.3298775021656137E-4</v>
      </c>
      <c r="E30" s="116">
        <f t="shared" si="2"/>
        <v>5637113.840718017</v>
      </c>
    </row>
    <row r="31" spans="1:8" x14ac:dyDescent="0.2">
      <c r="A31" s="86">
        <v>1038513.6184614981</v>
      </c>
      <c r="B31" s="79">
        <f t="shared" si="0"/>
        <v>25154.767239624634</v>
      </c>
      <c r="C31" s="79">
        <f t="shared" si="1"/>
        <v>25154.767239624634</v>
      </c>
      <c r="D31" s="98">
        <f t="shared" si="3"/>
        <v>1.9755335976320533E-4</v>
      </c>
      <c r="E31" s="116">
        <f t="shared" si="2"/>
        <v>5683468.1101207901</v>
      </c>
    </row>
    <row r="32" spans="1:8" x14ac:dyDescent="0.2">
      <c r="A32" s="86">
        <v>1142364.980307648</v>
      </c>
      <c r="B32" s="79">
        <f t="shared" si="0"/>
        <v>25290.006081964821</v>
      </c>
      <c r="C32" s="79">
        <f t="shared" si="1"/>
        <v>25290.006081964821</v>
      </c>
      <c r="D32" s="98">
        <f t="shared" si="3"/>
        <v>1.183849686146413E-4</v>
      </c>
      <c r="E32" s="116">
        <f t="shared" si="2"/>
        <v>5714023.9741591318</v>
      </c>
    </row>
    <row r="33" spans="1:5" x14ac:dyDescent="0.2">
      <c r="A33" s="86">
        <v>1246216.3421537976</v>
      </c>
      <c r="B33" s="79">
        <f t="shared" si="0"/>
        <v>25379.151793489233</v>
      </c>
      <c r="C33" s="79">
        <f t="shared" si="1"/>
        <v>25379.151793489233</v>
      </c>
      <c r="D33" s="98">
        <f t="shared" si="3"/>
        <v>7.1533094623317355E-5</v>
      </c>
      <c r="E33" s="116">
        <f t="shared" si="2"/>
        <v>5734165.5562209571</v>
      </c>
    </row>
    <row r="34" spans="1:5" x14ac:dyDescent="0.2">
      <c r="A34" s="86">
        <v>1350067.7039999475</v>
      </c>
      <c r="B34" s="79">
        <f t="shared" si="0"/>
        <v>25437.913666764274</v>
      </c>
      <c r="C34" s="79">
        <f t="shared" si="1"/>
        <v>25437.913666764274</v>
      </c>
      <c r="D34" s="98">
        <f t="shared" si="3"/>
        <v>4.3525130703403498E-5</v>
      </c>
      <c r="E34" s="116">
        <f t="shared" si="2"/>
        <v>5747442.2138687205</v>
      </c>
    </row>
    <row r="35" spans="1:5" x14ac:dyDescent="0.2">
      <c r="A35" s="86">
        <v>1453919.0658460972</v>
      </c>
      <c r="B35" s="79">
        <f t="shared" si="0"/>
        <v>25476.647304031998</v>
      </c>
      <c r="C35" s="79">
        <f t="shared" si="1"/>
        <v>25476.647304031998</v>
      </c>
      <c r="D35" s="98">
        <f t="shared" si="3"/>
        <v>2.6640848295900798E-5</v>
      </c>
      <c r="E35" s="116">
        <f t="shared" si="2"/>
        <v>5756193.6918729898</v>
      </c>
    </row>
    <row r="36" spans="1:5" x14ac:dyDescent="0.2">
      <c r="A36" s="86">
        <v>1557770.4276922471</v>
      </c>
      <c r="B36" s="79">
        <f t="shared" si="0"/>
        <v>25502.178976472467</v>
      </c>
      <c r="C36" s="79">
        <f t="shared" si="1"/>
        <v>25502.178976472467</v>
      </c>
      <c r="D36" s="98">
        <f t="shared" si="3"/>
        <v>1.6389881324357313E-5</v>
      </c>
      <c r="E36" s="116">
        <f t="shared" si="2"/>
        <v>5761962.3179441895</v>
      </c>
    </row>
    <row r="37" spans="1:5" x14ac:dyDescent="0.2">
      <c r="A37" s="86">
        <v>1661621.789538397</v>
      </c>
      <c r="B37" s="79">
        <f t="shared" si="0"/>
        <v>25519.008396456018</v>
      </c>
      <c r="C37" s="79">
        <f t="shared" si="1"/>
        <v>25519.008396456018</v>
      </c>
      <c r="D37" s="98">
        <f t="shared" si="3"/>
        <v>1.0128309636711109E-5</v>
      </c>
      <c r="E37" s="116">
        <f t="shared" si="2"/>
        <v>5765764.7570952727</v>
      </c>
    </row>
    <row r="38" spans="1:5" x14ac:dyDescent="0.2">
      <c r="A38" s="86">
        <v>1765473.1513845467</v>
      </c>
      <c r="B38" s="79">
        <f t="shared" si="0"/>
        <v>25530.101633908227</v>
      </c>
      <c r="C38" s="79">
        <f t="shared" si="1"/>
        <v>25530.101633908227</v>
      </c>
      <c r="D38" s="98">
        <f t="shared" si="3"/>
        <v>6.2834359409596716E-6</v>
      </c>
      <c r="E38" s="116">
        <f t="shared" si="2"/>
        <v>5768271.1631652247</v>
      </c>
    </row>
    <row r="39" spans="1:5" x14ac:dyDescent="0.2">
      <c r="A39" s="86">
        <v>1869324.5132306966</v>
      </c>
      <c r="B39" s="79">
        <f t="shared" si="0"/>
        <v>25537.413815911859</v>
      </c>
      <c r="C39" s="79">
        <f t="shared" si="1"/>
        <v>25537.413815911859</v>
      </c>
      <c r="D39" s="98">
        <f t="shared" si="3"/>
        <v>3.9116707408895882E-6</v>
      </c>
      <c r="E39" s="116">
        <f t="shared" si="2"/>
        <v>5769923.2775671259</v>
      </c>
    </row>
    <row r="40" spans="1:5" x14ac:dyDescent="0.2">
      <c r="A40" s="86">
        <v>1973175.8750768462</v>
      </c>
      <c r="B40" s="79">
        <f t="shared" si="0"/>
        <v>25542.233686318621</v>
      </c>
      <c r="C40" s="79">
        <f t="shared" si="1"/>
        <v>25542.233686318621</v>
      </c>
      <c r="D40" s="98">
        <f t="shared" si="3"/>
        <v>2.4426968055110917E-6</v>
      </c>
      <c r="E40" s="116">
        <f t="shared" si="2"/>
        <v>5771012.2790868292</v>
      </c>
    </row>
    <row r="41" spans="1:5" x14ac:dyDescent="0.2">
      <c r="A41" s="86">
        <v>2077027.2369229961</v>
      </c>
      <c r="B41" s="79">
        <f t="shared" si="0"/>
        <v>25545.410732466727</v>
      </c>
      <c r="C41" s="79">
        <f t="shared" si="1"/>
        <v>25545.410732466727</v>
      </c>
      <c r="D41" s="98">
        <f t="shared" si="3"/>
        <v>1.5296121743752761E-6</v>
      </c>
      <c r="E41" s="116">
        <f t="shared" si="2"/>
        <v>5771730.1008935319</v>
      </c>
    </row>
    <row r="42" spans="1:5" x14ac:dyDescent="0.2">
      <c r="A42" s="86">
        <v>2180878.598769146</v>
      </c>
      <c r="B42" s="79">
        <f t="shared" si="0"/>
        <v>25547.504900608212</v>
      </c>
      <c r="C42" s="79">
        <f t="shared" si="1"/>
        <v>25547.504900608212</v>
      </c>
      <c r="D42" s="98">
        <f t="shared" si="3"/>
        <v>9.6024058499458733E-7</v>
      </c>
      <c r="E42" s="116">
        <f t="shared" si="2"/>
        <v>5772203.2572434191</v>
      </c>
    </row>
    <row r="43" spans="1:5" x14ac:dyDescent="0.2">
      <c r="A43" s="98">
        <v>2284729.9606152959</v>
      </c>
      <c r="B43" s="79">
        <f t="shared" si="0"/>
        <v>25548.88528322801</v>
      </c>
    </row>
    <row r="44" spans="1:5" x14ac:dyDescent="0.2">
      <c r="A44" s="98">
        <v>2388581.3224614454</v>
      </c>
      <c r="B44" s="79">
        <f t="shared" si="0"/>
        <v>25549.795170014724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2" t="s">
        <v>102</v>
      </c>
      <c r="I2" s="333"/>
      <c r="J2" s="333"/>
      <c r="K2" s="333"/>
      <c r="L2" s="334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35" customHeight="1" x14ac:dyDescent="0.2">
      <c r="A8" s="686"/>
      <c r="B8" s="331" t="s">
        <v>10</v>
      </c>
      <c r="C8" s="17" t="s">
        <v>11</v>
      </c>
      <c r="D8" s="19" t="s">
        <v>20</v>
      </c>
      <c r="E8" s="331" t="s">
        <v>21</v>
      </c>
      <c r="F8" s="81" t="s">
        <v>117</v>
      </c>
      <c r="G8" s="335" t="s">
        <v>22</v>
      </c>
      <c r="H8" s="331" t="s">
        <v>23</v>
      </c>
      <c r="I8" s="88" t="s">
        <v>123</v>
      </c>
    </row>
    <row r="9" spans="1:18" ht="14.45" customHeight="1" thickBot="1" x14ac:dyDescent="0.25">
      <c r="A9" s="683"/>
      <c r="B9" s="95">
        <f>VAC_Optim_Scenario!G34</f>
        <v>2094216.1059919484</v>
      </c>
      <c r="C9" s="95">
        <f>VAC_Optim_Scenario!H34</f>
        <v>2094216.1059919484</v>
      </c>
      <c r="D9" s="68">
        <f>VAC_Optim_Scenario!I34</f>
        <v>2094216.1059919484</v>
      </c>
      <c r="E9" s="84">
        <f>((($R$12/(1+EXP($P$12+$Q$12*D9)))-1) - ($F$12-$C$12))*$I$12</f>
        <v>56711.041899770498</v>
      </c>
      <c r="F9" s="89">
        <f>E9*$G$12</f>
        <v>56711.041899770498</v>
      </c>
      <c r="G9" s="95">
        <f>VAC_Optim_Scenario!E34</f>
        <v>1500000</v>
      </c>
      <c r="H9" s="85">
        <f>((($R$12/(1+EXP($P$12+$Q$12*G9)))-1) - ($F$12-$C$12))*$I$12</f>
        <v>47229.585064189509</v>
      </c>
      <c r="I9" s="90">
        <f>H9*$G$12</f>
        <v>47229.585064189509</v>
      </c>
      <c r="J9" s="87">
        <f>G9/I9</f>
        <v>31.759753933077263</v>
      </c>
      <c r="K9" s="98" t="s">
        <v>180</v>
      </c>
    </row>
    <row r="10" spans="1:18" ht="13.5" thickBot="1" x14ac:dyDescent="0.25"/>
    <row r="11" spans="1:18" ht="51.6" customHeight="1" x14ac:dyDescent="0.2">
      <c r="A11" s="682" t="s">
        <v>15</v>
      </c>
      <c r="B11" s="337" t="s">
        <v>16</v>
      </c>
      <c r="C11" s="337" t="s">
        <v>17</v>
      </c>
      <c r="D11" s="337" t="s">
        <v>18</v>
      </c>
      <c r="E11" s="337" t="s">
        <v>19</v>
      </c>
      <c r="F11" s="338" t="s">
        <v>109</v>
      </c>
      <c r="G11" s="336" t="s">
        <v>181</v>
      </c>
      <c r="H11" s="337" t="s">
        <v>119</v>
      </c>
      <c r="I11" s="92" t="s">
        <v>122</v>
      </c>
      <c r="K11" s="674" t="s">
        <v>25</v>
      </c>
      <c r="L11" s="337" t="s">
        <v>110</v>
      </c>
      <c r="M11" s="337" t="s">
        <v>111</v>
      </c>
      <c r="N11" s="337" t="s">
        <v>112</v>
      </c>
      <c r="O11" s="337" t="s">
        <v>113</v>
      </c>
      <c r="P11" s="337" t="s">
        <v>26</v>
      </c>
      <c r="Q11" s="337" t="s">
        <v>27</v>
      </c>
      <c r="R11" s="338" t="s">
        <v>28</v>
      </c>
    </row>
    <row r="12" spans="1:18" ht="15" customHeight="1" thickBot="1" x14ac:dyDescent="0.25">
      <c r="A12" s="683"/>
      <c r="B12" s="348">
        <f>'[11]HCC Online Video Curve'!$B$12</f>
        <v>1111779.04</v>
      </c>
      <c r="C12" s="348">
        <f>'[11]HCC Online Video Curve'!$C$12</f>
        <v>38844.595875937521</v>
      </c>
      <c r="D12" s="348">
        <f>'[11]HCC Online Video Curve'!$D$12</f>
        <v>0</v>
      </c>
      <c r="E12" s="348">
        <f>'[11]HCC Online Video Curve'!$E$12</f>
        <v>77689.191751875042</v>
      </c>
      <c r="F12" s="348">
        <f>'[11]HCC Online Video Curve'!$F$12</f>
        <v>4647854</v>
      </c>
      <c r="G12" s="349">
        <f>VAC_Optim_Scenario!$D$48</f>
        <v>1</v>
      </c>
      <c r="H12" s="71">
        <f>C12*G12</f>
        <v>38844.595875937521</v>
      </c>
      <c r="I12" s="350">
        <f>VAC_Optim_Scenario!D34</f>
        <v>1</v>
      </c>
      <c r="K12" s="675"/>
      <c r="L12" s="71">
        <f>F12-C12</f>
        <v>4609009.4041240625</v>
      </c>
      <c r="M12" s="71">
        <f>L12+E12</f>
        <v>4686698.5958759375</v>
      </c>
      <c r="N12" s="72">
        <f>B12</f>
        <v>1111779.04</v>
      </c>
      <c r="O12" s="71">
        <f>F12</f>
        <v>4647854</v>
      </c>
      <c r="P12" s="24">
        <f>LN((($M$12+1)/($L$12+1))-1)</f>
        <v>-4.0830523046620009</v>
      </c>
      <c r="Q12" s="24">
        <f>(LN((($M$12+1)/($O$12+1))-1)-$P$12)/$N$12</f>
        <v>-6.3100652835129722E-7</v>
      </c>
      <c r="R12" s="74">
        <f>M12+1</f>
        <v>4686699.5958759375</v>
      </c>
    </row>
    <row r="13" spans="1:18" ht="34.35" customHeight="1" x14ac:dyDescent="0.2">
      <c r="A13" s="676" t="s">
        <v>182</v>
      </c>
      <c r="B13" s="677"/>
      <c r="C13" s="677"/>
      <c r="D13" s="677"/>
      <c r="E13" s="677"/>
      <c r="F13" s="678"/>
      <c r="G13" s="331" t="s">
        <v>150</v>
      </c>
      <c r="H13" s="331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337" t="s">
        <v>32</v>
      </c>
      <c r="C17" s="337" t="s">
        <v>31</v>
      </c>
      <c r="D17" s="338" t="s">
        <v>33</v>
      </c>
      <c r="F17" s="96"/>
      <c r="G17" s="96"/>
      <c r="H17" s="351"/>
    </row>
    <row r="18" spans="1:8" ht="23.45" customHeight="1" thickBot="1" x14ac:dyDescent="0.25">
      <c r="A18" s="675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31" t="s">
        <v>35</v>
      </c>
      <c r="B21" s="331" t="s">
        <v>183</v>
      </c>
      <c r="C21" s="331" t="s">
        <v>184</v>
      </c>
      <c r="D21" s="98" t="s">
        <v>185</v>
      </c>
      <c r="E21" s="33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9076.1843102881685</v>
      </c>
      <c r="C23" s="79">
        <f t="shared" ref="C23:C42" si="1">B23*$G$12</f>
        <v>9076.1843102881685</v>
      </c>
      <c r="D23" s="98">
        <f>(B23-B22)/A23</f>
        <v>4.5380921551440842E-2</v>
      </c>
      <c r="E23" s="116">
        <f t="shared" ref="E23:E42" si="2">B23*$H$14</f>
        <v>2050673.0830665089</v>
      </c>
    </row>
    <row r="24" spans="1:8" x14ac:dyDescent="0.2">
      <c r="A24" s="86">
        <f t="shared" ref="A24:A42" si="3">A23+(($C$18-$B$18)/$D$18)</f>
        <v>400000</v>
      </c>
      <c r="B24" s="79">
        <f t="shared" si="0"/>
        <v>17105.964196587913</v>
      </c>
      <c r="C24" s="79">
        <f t="shared" si="1"/>
        <v>17105.964196587913</v>
      </c>
      <c r="D24" s="98">
        <f t="shared" ref="D24:D42" si="4">(B24-B23)/A24</f>
        <v>2.007444971574936E-2</v>
      </c>
      <c r="E24" s="116">
        <f t="shared" si="2"/>
        <v>3864921.5505770729</v>
      </c>
    </row>
    <row r="25" spans="1:8" x14ac:dyDescent="0.2">
      <c r="A25" s="86">
        <f t="shared" si="3"/>
        <v>600000</v>
      </c>
      <c r="B25" s="79">
        <f t="shared" si="0"/>
        <v>24206.901989568025</v>
      </c>
      <c r="C25" s="79">
        <f t="shared" si="1"/>
        <v>24206.901989568025</v>
      </c>
      <c r="D25" s="98">
        <f t="shared" si="4"/>
        <v>1.1834896321633519E-2</v>
      </c>
      <c r="E25" s="116">
        <f t="shared" si="2"/>
        <v>5469307.4355229996</v>
      </c>
    </row>
    <row r="26" spans="1:8" x14ac:dyDescent="0.2">
      <c r="A26" s="86">
        <f t="shared" si="3"/>
        <v>800000</v>
      </c>
      <c r="B26" s="79">
        <f t="shared" si="0"/>
        <v>30484.034298392013</v>
      </c>
      <c r="C26" s="79">
        <f t="shared" si="1"/>
        <v>30484.034298392013</v>
      </c>
      <c r="D26" s="98">
        <f t="shared" si="4"/>
        <v>7.8464153860299847E-3</v>
      </c>
      <c r="E26" s="116">
        <f t="shared" si="2"/>
        <v>6887562.7093786914</v>
      </c>
    </row>
    <row r="27" spans="1:8" x14ac:dyDescent="0.2">
      <c r="A27" s="86">
        <f t="shared" si="3"/>
        <v>1000000</v>
      </c>
      <c r="B27" s="79">
        <f t="shared" si="0"/>
        <v>36031.053595749661</v>
      </c>
      <c r="C27" s="79">
        <f t="shared" si="1"/>
        <v>36031.053595749661</v>
      </c>
      <c r="D27" s="98">
        <f t="shared" si="4"/>
        <v>5.5470192973576483E-3</v>
      </c>
      <c r="E27" s="116">
        <f t="shared" si="2"/>
        <v>8140856.249423678</v>
      </c>
    </row>
    <row r="28" spans="1:8" x14ac:dyDescent="0.2">
      <c r="A28" s="86">
        <f t="shared" si="3"/>
        <v>1200000</v>
      </c>
      <c r="B28" s="79">
        <f t="shared" si="0"/>
        <v>40931.413824398071</v>
      </c>
      <c r="C28" s="79">
        <f t="shared" si="1"/>
        <v>40931.413824398071</v>
      </c>
      <c r="D28" s="98">
        <f t="shared" si="4"/>
        <v>4.0836335238736742E-3</v>
      </c>
      <c r="E28" s="116">
        <f t="shared" si="2"/>
        <v>9248043.6394845005</v>
      </c>
    </row>
    <row r="29" spans="1:8" x14ac:dyDescent="0.2">
      <c r="A29" s="86">
        <f t="shared" si="3"/>
        <v>1400000</v>
      </c>
      <c r="B29" s="79">
        <f t="shared" si="0"/>
        <v>45259.355829682201</v>
      </c>
      <c r="C29" s="79">
        <f t="shared" si="1"/>
        <v>45259.355829682201</v>
      </c>
      <c r="D29" s="98">
        <f t="shared" si="4"/>
        <v>3.0913871466315217E-3</v>
      </c>
      <c r="E29" s="116">
        <f t="shared" si="2"/>
        <v>10225898.856158396</v>
      </c>
    </row>
    <row r="30" spans="1:8" x14ac:dyDescent="0.2">
      <c r="A30" s="86">
        <f t="shared" si="3"/>
        <v>1600000</v>
      </c>
      <c r="B30" s="79">
        <f t="shared" si="0"/>
        <v>49080.851531951688</v>
      </c>
      <c r="C30" s="79">
        <f t="shared" si="1"/>
        <v>49080.851531951688</v>
      </c>
      <c r="D30" s="98">
        <f t="shared" si="4"/>
        <v>2.3884348139184292E-3</v>
      </c>
      <c r="E30" s="116">
        <f t="shared" si="2"/>
        <v>11089327.595129164</v>
      </c>
    </row>
    <row r="31" spans="1:8" x14ac:dyDescent="0.2">
      <c r="A31" s="86">
        <f t="shared" si="3"/>
        <v>1800000</v>
      </c>
      <c r="B31" s="79">
        <f t="shared" si="0"/>
        <v>52454.468011055142</v>
      </c>
      <c r="C31" s="79">
        <f t="shared" si="1"/>
        <v>52454.468011055142</v>
      </c>
      <c r="D31" s="98">
        <f t="shared" si="4"/>
        <v>1.8742313772796963E-3</v>
      </c>
      <c r="E31" s="116">
        <f t="shared" si="2"/>
        <v>11851562.502417799</v>
      </c>
    </row>
    <row r="32" spans="1:8" x14ac:dyDescent="0.2">
      <c r="A32" s="86">
        <f t="shared" si="3"/>
        <v>2000000</v>
      </c>
      <c r="B32" s="79">
        <f t="shared" si="0"/>
        <v>55432.154261036776</v>
      </c>
      <c r="C32" s="79">
        <f t="shared" si="1"/>
        <v>55432.154261036776</v>
      </c>
      <c r="D32" s="98">
        <f t="shared" si="4"/>
        <v>1.4888431249908171E-3</v>
      </c>
      <c r="E32" s="116">
        <f t="shared" si="2"/>
        <v>12524340.933738649</v>
      </c>
    </row>
    <row r="33" spans="1:5" x14ac:dyDescent="0.2">
      <c r="A33" s="86">
        <f t="shared" si="3"/>
        <v>2200000</v>
      </c>
      <c r="B33" s="79">
        <f t="shared" si="0"/>
        <v>58059.954435771331</v>
      </c>
      <c r="C33" s="79">
        <f t="shared" si="1"/>
        <v>58059.954435771331</v>
      </c>
      <c r="D33" s="98">
        <f t="shared" si="4"/>
        <v>1.1944546248793433E-3</v>
      </c>
      <c r="E33" s="116">
        <f t="shared" si="2"/>
        <v>13118066.105218174</v>
      </c>
    </row>
    <row r="34" spans="1:5" x14ac:dyDescent="0.2">
      <c r="A34" s="86">
        <f>A33+(($C$18-$B$18)/$D$18)</f>
        <v>2400000</v>
      </c>
      <c r="B34" s="79">
        <f t="shared" si="0"/>
        <v>60378.652067406103</v>
      </c>
      <c r="C34" s="79">
        <f t="shared" si="1"/>
        <v>60378.652067406103</v>
      </c>
      <c r="D34" s="98">
        <f t="shared" si="4"/>
        <v>9.6612401318115491E-4</v>
      </c>
      <c r="E34" s="116">
        <f t="shared" si="2"/>
        <v>13641952.648109734</v>
      </c>
    </row>
    <row r="35" spans="1:5" x14ac:dyDescent="0.2">
      <c r="A35" s="86">
        <f t="shared" si="3"/>
        <v>2600000</v>
      </c>
      <c r="B35" s="79">
        <f t="shared" si="0"/>
        <v>62424.350097941235</v>
      </c>
      <c r="C35" s="79">
        <f t="shared" si="1"/>
        <v>62424.350097941235</v>
      </c>
      <c r="D35" s="98">
        <f t="shared" si="4"/>
        <v>7.8680693482120452E-4</v>
      </c>
      <c r="E35" s="116">
        <f t="shared" si="2"/>
        <v>14104157.661128843</v>
      </c>
    </row>
    <row r="36" spans="1:5" x14ac:dyDescent="0.2">
      <c r="A36" s="86">
        <f t="shared" si="3"/>
        <v>2800000</v>
      </c>
      <c r="B36" s="79">
        <f t="shared" si="0"/>
        <v>64228.991698378697</v>
      </c>
      <c r="C36" s="79">
        <f t="shared" si="1"/>
        <v>64228.991698378697</v>
      </c>
      <c r="D36" s="98">
        <f t="shared" si="4"/>
        <v>6.445148572990937E-4</v>
      </c>
      <c r="E36" s="116">
        <f t="shared" si="2"/>
        <v>14511898.384331683</v>
      </c>
    </row>
    <row r="37" spans="1:5" x14ac:dyDescent="0.2">
      <c r="A37" s="86">
        <f t="shared" si="3"/>
        <v>3000000</v>
      </c>
      <c r="B37" s="79">
        <f t="shared" si="0"/>
        <v>65820.82682194747</v>
      </c>
      <c r="C37" s="79">
        <f t="shared" si="1"/>
        <v>65820.82682194747</v>
      </c>
      <c r="D37" s="98">
        <f t="shared" si="4"/>
        <v>5.3061170785625772E-4</v>
      </c>
      <c r="E37" s="116">
        <f t="shared" si="2"/>
        <v>14871557.612150811</v>
      </c>
    </row>
    <row r="38" spans="1:5" x14ac:dyDescent="0.2">
      <c r="A38" s="86">
        <f t="shared" si="3"/>
        <v>3200000</v>
      </c>
      <c r="B38" s="79">
        <f t="shared" si="0"/>
        <v>67224.829295930453</v>
      </c>
      <c r="C38" s="79">
        <f t="shared" si="1"/>
        <v>67224.829295930453</v>
      </c>
      <c r="D38" s="98">
        <f t="shared" si="4"/>
        <v>4.38750773119682E-4</v>
      </c>
      <c r="E38" s="116">
        <f t="shared" si="2"/>
        <v>15188777.931122527</v>
      </c>
    </row>
    <row r="39" spans="1:5" x14ac:dyDescent="0.2">
      <c r="A39" s="86">
        <f t="shared" si="3"/>
        <v>3400000</v>
      </c>
      <c r="B39" s="79">
        <f t="shared" si="0"/>
        <v>68463.069038035348</v>
      </c>
      <c r="C39" s="79">
        <f t="shared" si="1"/>
        <v>68463.069038035348</v>
      </c>
      <c r="D39" s="98">
        <f t="shared" si="4"/>
        <v>3.6418815944261627E-4</v>
      </c>
      <c r="E39" s="116">
        <f t="shared" si="2"/>
        <v>15468545.818453707</v>
      </c>
    </row>
    <row r="40" spans="1:5" x14ac:dyDescent="0.2">
      <c r="A40" s="86">
        <f t="shared" si="3"/>
        <v>3600000</v>
      </c>
      <c r="B40" s="79">
        <f t="shared" si="0"/>
        <v>69555.043716028333</v>
      </c>
      <c r="C40" s="79">
        <f t="shared" si="1"/>
        <v>69555.043716028333</v>
      </c>
      <c r="D40" s="98">
        <f t="shared" si="4"/>
        <v>3.0332629944249573E-4</v>
      </c>
      <c r="E40" s="116">
        <f t="shared" si="2"/>
        <v>15715266.57719944</v>
      </c>
    </row>
    <row r="41" spans="1:5" x14ac:dyDescent="0.2">
      <c r="A41" s="86">
        <f>A40+(($C$18-$B$18)/$D$18)</f>
        <v>3800000</v>
      </c>
      <c r="B41" s="79">
        <f t="shared" si="0"/>
        <v>70517.973874907941</v>
      </c>
      <c r="C41" s="79">
        <f t="shared" si="1"/>
        <v>70517.973874907941</v>
      </c>
      <c r="D41" s="98">
        <f t="shared" si="4"/>
        <v>2.5340267338937048E-4</v>
      </c>
      <c r="E41" s="116">
        <f t="shared" si="2"/>
        <v>15932831.0172967</v>
      </c>
    </row>
    <row r="42" spans="1:5" x14ac:dyDescent="0.2">
      <c r="A42" s="86">
        <f t="shared" si="3"/>
        <v>4000000</v>
      </c>
      <c r="B42" s="79">
        <f t="shared" si="0"/>
        <v>71367.06524961628</v>
      </c>
      <c r="C42" s="79">
        <f t="shared" si="1"/>
        <v>71367.06524961628</v>
      </c>
      <c r="D42" s="98">
        <f t="shared" si="4"/>
        <v>2.122728436770849E-4</v>
      </c>
      <c r="E42" s="116">
        <f t="shared" si="2"/>
        <v>16124674.722498301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83"/>
      <c r="B9" s="157">
        <f>VAC_Optim_Scenario!G25</f>
        <v>4817798</v>
      </c>
      <c r="C9" s="157">
        <f>VAC_Optim_Scenario!H25</f>
        <v>12070113</v>
      </c>
      <c r="D9" s="158">
        <f>VAC_Optim_Scenario!I25</f>
        <v>12070113</v>
      </c>
      <c r="E9" s="84">
        <f>((GSTRV!D9/$B$12)^$D$12)*$C$12*$F$12</f>
        <v>258194.66470272883</v>
      </c>
      <c r="F9" s="84">
        <f>E9*F11</f>
        <v>258194.66470272883</v>
      </c>
      <c r="G9" s="76">
        <f>VAC_Optim_Scenario!E25</f>
        <v>4817798</v>
      </c>
      <c r="H9" s="159">
        <f>((GSTRV!G9/$B$12)^$D$12)*$C$12*$F$12</f>
        <v>135751.09442288097</v>
      </c>
      <c r="I9" s="160">
        <f>H9*F11</f>
        <v>135751.09442288097</v>
      </c>
    </row>
    <row r="10" spans="1:9" ht="15.75" thickBot="1" x14ac:dyDescent="0.3"/>
    <row r="11" spans="1:9" ht="48.95" customHeight="1" x14ac:dyDescent="0.25">
      <c r="A11" s="654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654"/>
      <c r="B12" s="162">
        <f>'[12]Streaming Video - Power'!$B$12</f>
        <v>5935125</v>
      </c>
      <c r="C12" s="162">
        <f>'[12]Streaming Video - Power'!$C$12</f>
        <v>157090.61419356181</v>
      </c>
      <c r="D12" s="312">
        <f>'[12]Streaming Video - Power'!$D$12</f>
        <v>0.7</v>
      </c>
      <c r="E12" s="269" t="s">
        <v>122</v>
      </c>
      <c r="F12" s="163">
        <f>VAC_Optim_Scenario!D25</f>
        <v>1</v>
      </c>
      <c r="H12" s="266"/>
    </row>
    <row r="13" spans="1:9" ht="18.75" customHeight="1" x14ac:dyDescent="0.25">
      <c r="A13" s="676" t="s">
        <v>171</v>
      </c>
      <c r="B13" s="677"/>
      <c r="C13" s="677"/>
      <c r="D13" s="677"/>
      <c r="E13" s="269" t="s">
        <v>172</v>
      </c>
      <c r="F13" s="269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75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27798.946113571747</v>
      </c>
      <c r="C22" s="165">
        <f t="shared" ref="C22:C41" si="0">B22*$F$14</f>
        <v>6280893.8849004004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45159.521193853026</v>
      </c>
      <c r="C23" s="165">
        <f t="shared" si="0"/>
        <v>10203342.218539152</v>
      </c>
    </row>
    <row r="24" spans="1:4" x14ac:dyDescent="0.25">
      <c r="A24" s="164">
        <f t="shared" si="1"/>
        <v>1500000</v>
      </c>
      <c r="B24" s="159">
        <f>((GSTRV!A24/$B$12)^$D$12)*$C$12*$F$12</f>
        <v>59980.932044922869</v>
      </c>
      <c r="C24" s="165">
        <f t="shared" si="0"/>
        <v>13552091.786229873</v>
      </c>
    </row>
    <row r="25" spans="1:4" x14ac:dyDescent="0.25">
      <c r="A25" s="164">
        <f t="shared" si="1"/>
        <v>2000000</v>
      </c>
      <c r="B25" s="159">
        <f>((GSTRV!A25/$B$12)^$D$12)*$C$12*$F$12</f>
        <v>73361.858616014637</v>
      </c>
      <c r="C25" s="165">
        <f t="shared" si="0"/>
        <v>16575378.335702347</v>
      </c>
    </row>
    <row r="26" spans="1:4" x14ac:dyDescent="0.25">
      <c r="A26" s="164">
        <f t="shared" si="1"/>
        <v>2500000</v>
      </c>
      <c r="B26" s="159">
        <f>((GSTRV!A26/$B$12)^$D$12)*$C$12*$F$12</f>
        <v>85764.455500012875</v>
      </c>
      <c r="C26" s="165">
        <f t="shared" si="0"/>
        <v>19377621.07567291</v>
      </c>
    </row>
    <row r="27" spans="1:4" x14ac:dyDescent="0.25">
      <c r="A27" s="164">
        <f t="shared" si="1"/>
        <v>3000000</v>
      </c>
      <c r="B27" s="159">
        <f>((GSTRV!A27/$B$12)^$D$12)*$C$12*$F$12</f>
        <v>97439.311578338224</v>
      </c>
      <c r="C27" s="165">
        <f t="shared" si="0"/>
        <v>22015438.058009736</v>
      </c>
    </row>
    <row r="28" spans="1:4" x14ac:dyDescent="0.25">
      <c r="A28" s="164">
        <f t="shared" si="1"/>
        <v>3500000</v>
      </c>
      <c r="B28" s="159">
        <f>((GSTRV!A28/$B$12)^$D$12)*$C$12*$F$12</f>
        <v>108541.78507412472</v>
      </c>
      <c r="C28" s="165">
        <f t="shared" si="0"/>
        <v>24523930.919647738</v>
      </c>
    </row>
    <row r="29" spans="1:4" x14ac:dyDescent="0.25">
      <c r="A29" s="164">
        <f t="shared" si="1"/>
        <v>4000000</v>
      </c>
      <c r="B29" s="159">
        <f>((GSTRV!A29/$B$12)^$D$12)*$C$12*$F$12</f>
        <v>119176.69092401047</v>
      </c>
      <c r="C29" s="165">
        <f t="shared" si="0"/>
        <v>26926781.547370926</v>
      </c>
    </row>
    <row r="30" spans="1:4" x14ac:dyDescent="0.25">
      <c r="A30" s="164">
        <f t="shared" si="1"/>
        <v>4500000</v>
      </c>
      <c r="B30" s="159">
        <f>((GSTRV!A30/$B$12)^$D$12)*$C$12*$F$12</f>
        <v>129419.01445757369</v>
      </c>
      <c r="C30" s="165">
        <f t="shared" si="0"/>
        <v>29240932.1265442</v>
      </c>
    </row>
    <row r="31" spans="1:4" x14ac:dyDescent="0.25">
      <c r="A31" s="164">
        <f t="shared" si="1"/>
        <v>5000000</v>
      </c>
      <c r="B31" s="159">
        <f>((GSTRV!A31/$B$12)^$D$12)*$C$12*$F$12</f>
        <v>139324.76900414636</v>
      </c>
      <c r="C31" s="165">
        <f t="shared" si="0"/>
        <v>31479038.30879683</v>
      </c>
    </row>
    <row r="32" spans="1:4" x14ac:dyDescent="0.25">
      <c r="A32" s="164">
        <f t="shared" si="1"/>
        <v>5500000</v>
      </c>
      <c r="B32" s="159">
        <f>((GSTRV!A32/$B$12)^$D$12)*$C$12*$F$12</f>
        <v>148937.20905000714</v>
      </c>
      <c r="C32" s="165">
        <f t="shared" si="0"/>
        <v>33650873.012758613</v>
      </c>
    </row>
    <row r="33" spans="1:3" x14ac:dyDescent="0.25">
      <c r="A33" s="164">
        <f t="shared" si="1"/>
        <v>6000000</v>
      </c>
      <c r="B33" s="159">
        <f>((GSTRV!A33/$B$12)^$D$12)*$C$12*$F$12</f>
        <v>158290.6286576142</v>
      </c>
      <c r="C33" s="165">
        <f t="shared" si="0"/>
        <v>35764184.638901353</v>
      </c>
    </row>
    <row r="34" spans="1:3" x14ac:dyDescent="0.25">
      <c r="A34" s="164">
        <f t="shared" si="1"/>
        <v>6500000</v>
      </c>
      <c r="B34" s="159">
        <f>((GSTRV!A34/$B$12)^$D$12)*$C$12*$F$12</f>
        <v>167412.80701875</v>
      </c>
      <c r="C34" s="165">
        <f t="shared" si="0"/>
        <v>37825249.617816374</v>
      </c>
    </row>
    <row r="35" spans="1:3" x14ac:dyDescent="0.25">
      <c r="A35" s="164">
        <f t="shared" si="1"/>
        <v>7000000</v>
      </c>
      <c r="B35" s="159">
        <f>((GSTRV!A35/$B$12)^$D$12)*$C$12*$F$12</f>
        <v>176326.6500624826</v>
      </c>
      <c r="C35" s="165">
        <f t="shared" si="0"/>
        <v>39839243.315117322</v>
      </c>
    </row>
    <row r="36" spans="1:3" x14ac:dyDescent="0.25">
      <c r="A36" s="164">
        <f t="shared" si="1"/>
        <v>7500000</v>
      </c>
      <c r="B36" s="159">
        <f>((GSTRV!A36/$B$12)^$D$12)*$C$12*$F$12</f>
        <v>185051.33094612582</v>
      </c>
      <c r="C36" s="165">
        <f t="shared" si="0"/>
        <v>41810497.713967666</v>
      </c>
    </row>
    <row r="37" spans="1:3" x14ac:dyDescent="0.25">
      <c r="A37" s="164">
        <f t="shared" si="1"/>
        <v>8000000</v>
      </c>
      <c r="B37" s="159">
        <f>((GSTRV!A37/$B$12)^$D$12)*$C$12*$F$12</f>
        <v>193603.10558566789</v>
      </c>
      <c r="C37" s="165">
        <f t="shared" si="0"/>
        <v>43742685.6760258</v>
      </c>
    </row>
    <row r="38" spans="1:3" x14ac:dyDescent="0.25">
      <c r="A38" s="164">
        <f t="shared" si="1"/>
        <v>8500000</v>
      </c>
      <c r="B38" s="159">
        <f>((GSTRV!A38/$B$12)^$D$12)*$C$12*$F$12</f>
        <v>201995.91031554542</v>
      </c>
      <c r="C38" s="165">
        <f t="shared" si="0"/>
        <v>45638955.976694331</v>
      </c>
    </row>
    <row r="39" spans="1:3" x14ac:dyDescent="0.25">
      <c r="A39" s="164">
        <f t="shared" si="1"/>
        <v>9000000</v>
      </c>
      <c r="B39" s="159">
        <f>((GSTRV!A39/$B$12)^$D$12)*$C$12*$F$12</f>
        <v>210241.80925445305</v>
      </c>
      <c r="C39" s="165">
        <f t="shared" si="0"/>
        <v>47502034.382951126</v>
      </c>
    </row>
    <row r="40" spans="1:3" x14ac:dyDescent="0.25">
      <c r="A40" s="164">
        <f t="shared" si="1"/>
        <v>9500000</v>
      </c>
      <c r="B40" s="159">
        <f>((GSTRV!A40/$B$12)^$D$12)*$C$12*$F$12</f>
        <v>218351.33540630538</v>
      </c>
      <c r="C40" s="165">
        <f t="shared" si="0"/>
        <v>49334300.721700639</v>
      </c>
    </row>
    <row r="41" spans="1:3" x14ac:dyDescent="0.25">
      <c r="A41" s="164">
        <f t="shared" si="1"/>
        <v>10000000</v>
      </c>
      <c r="B41" s="159">
        <f>((GSTRV!A41/$B$12)^$D$12)*$C$12*$F$12</f>
        <v>226333.75499079371</v>
      </c>
      <c r="C41" s="165">
        <f t="shared" si="0"/>
        <v>51137848.602619931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C1" sqref="C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83"/>
      <c r="B9" s="157">
        <f>VAC_Optim_Scenario!G35</f>
        <v>8306901</v>
      </c>
      <c r="C9" s="157">
        <f>VAC_Optim_Scenario!H35</f>
        <v>8306901</v>
      </c>
      <c r="D9" s="158">
        <f>VAC_Optim_Scenario!I35</f>
        <v>8306901</v>
      </c>
      <c r="E9" s="84">
        <f>((GSTRTV_adt!D9/$B$12)^$D$12)*$C$12*$F$12</f>
        <v>130569.26487504225</v>
      </c>
      <c r="F9" s="84">
        <f>E9*F11</f>
        <v>130569.26487504225</v>
      </c>
      <c r="G9" s="76">
        <f>VAC_Optim_Scenario!E35</f>
        <v>10268452</v>
      </c>
      <c r="H9" s="159">
        <f>((GSTRTV_adt!G9/$B$12)^$D$12)*$C$12*$F$12</f>
        <v>151456.22181936813</v>
      </c>
      <c r="I9" s="160">
        <f>H9*F11</f>
        <v>151456.22181936813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'[13]Streaming Video - Power'!$B$12</f>
        <v>13418576</v>
      </c>
      <c r="C12" s="162">
        <f>'[13]Streaming Video - Power'!$C$12</f>
        <v>182653.55776336382</v>
      </c>
      <c r="D12" s="327">
        <f>'[13]Streaming Video - Power'!$D$12</f>
        <v>0.7</v>
      </c>
      <c r="E12" s="331" t="s">
        <v>122</v>
      </c>
      <c r="F12" s="163">
        <f>VAC_Optim_Scenario!D35</f>
        <v>1</v>
      </c>
      <c r="G12" s="266">
        <f>B12*2</f>
        <v>26837152</v>
      </c>
    </row>
    <row r="13" spans="1:9" ht="18.75" customHeight="1" x14ac:dyDescent="0.25">
      <c r="A13" s="676" t="s">
        <v>171</v>
      </c>
      <c r="B13" s="677"/>
      <c r="C13" s="677"/>
      <c r="D13" s="677"/>
      <c r="E13" s="331" t="s">
        <v>172</v>
      </c>
      <c r="F13" s="331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75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24253.617220171949</v>
      </c>
      <c r="C22" s="165">
        <f t="shared" ref="C22:C41" si="1">B22*$F$14</f>
        <v>5479862.2747256504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39400.117414783039</v>
      </c>
      <c r="C23" s="165">
        <f t="shared" si="1"/>
        <v>8902062.5286960788</v>
      </c>
    </row>
    <row r="24" spans="1:4" x14ac:dyDescent="0.25">
      <c r="A24" s="164">
        <f t="shared" si="2"/>
        <v>2250000</v>
      </c>
      <c r="B24" s="159">
        <f t="shared" si="0"/>
        <v>52331.284804227791</v>
      </c>
      <c r="C24" s="165">
        <f t="shared" si="1"/>
        <v>11823730.488667227</v>
      </c>
    </row>
    <row r="25" spans="1:4" x14ac:dyDescent="0.25">
      <c r="A25" s="164">
        <f t="shared" si="2"/>
        <v>3000000</v>
      </c>
      <c r="B25" s="159">
        <f t="shared" si="0"/>
        <v>64005.679573749141</v>
      </c>
      <c r="C25" s="165">
        <f t="shared" si="1"/>
        <v>14461443.24289288</v>
      </c>
    </row>
    <row r="26" spans="1:4" x14ac:dyDescent="0.25">
      <c r="A26" s="164">
        <f t="shared" si="2"/>
        <v>3750000</v>
      </c>
      <c r="B26" s="159">
        <f t="shared" si="0"/>
        <v>74826.515591476185</v>
      </c>
      <c r="C26" s="165">
        <f t="shared" si="1"/>
        <v>16906302.932738129</v>
      </c>
    </row>
    <row r="27" spans="1:4" x14ac:dyDescent="0.25">
      <c r="A27" s="164">
        <f t="shared" si="2"/>
        <v>4500000</v>
      </c>
      <c r="B27" s="159">
        <f t="shared" si="0"/>
        <v>85012.422973269364</v>
      </c>
      <c r="C27" s="165">
        <f t="shared" si="1"/>
        <v>19207706.846580479</v>
      </c>
    </row>
    <row r="28" spans="1:4" x14ac:dyDescent="0.25">
      <c r="A28" s="164">
        <f t="shared" si="2"/>
        <v>5250000</v>
      </c>
      <c r="B28" s="159">
        <f t="shared" si="0"/>
        <v>94698.946385480565</v>
      </c>
      <c r="C28" s="165">
        <f t="shared" si="1"/>
        <v>21396279.94633548</v>
      </c>
    </row>
    <row r="29" spans="1:4" x14ac:dyDescent="0.25">
      <c r="A29" s="164">
        <f t="shared" si="2"/>
        <v>6000000</v>
      </c>
      <c r="B29" s="159">
        <f t="shared" si="0"/>
        <v>103977.5332283742</v>
      </c>
      <c r="C29" s="165">
        <f t="shared" si="1"/>
        <v>23492683.857618868</v>
      </c>
    </row>
    <row r="30" spans="1:4" x14ac:dyDescent="0.25">
      <c r="A30" s="164">
        <f t="shared" si="2"/>
        <v>6750000</v>
      </c>
      <c r="B30" s="159">
        <f t="shared" si="0"/>
        <v>112913.60560368355</v>
      </c>
      <c r="C30" s="165">
        <f t="shared" si="1"/>
        <v>25511700.050096262</v>
      </c>
    </row>
    <row r="31" spans="1:4" x14ac:dyDescent="0.25">
      <c r="A31" s="164">
        <f t="shared" si="2"/>
        <v>7500000</v>
      </c>
      <c r="B31" s="159">
        <f t="shared" si="0"/>
        <v>121556.03320032751</v>
      </c>
      <c r="C31" s="165">
        <f t="shared" si="1"/>
        <v>27464370.141281996</v>
      </c>
    </row>
    <row r="32" spans="1:4" x14ac:dyDescent="0.25">
      <c r="A32" s="164">
        <f t="shared" si="2"/>
        <v>8250000</v>
      </c>
      <c r="B32" s="159">
        <f t="shared" si="0"/>
        <v>129942.55405876896</v>
      </c>
      <c r="C32" s="165">
        <f t="shared" si="1"/>
        <v>29359220.66403826</v>
      </c>
    </row>
    <row r="33" spans="1:3" x14ac:dyDescent="0.25">
      <c r="A33" s="164">
        <f t="shared" si="2"/>
        <v>9000000</v>
      </c>
      <c r="B33" s="159">
        <f t="shared" si="0"/>
        <v>138103.08856017585</v>
      </c>
      <c r="C33" s="165">
        <f t="shared" si="1"/>
        <v>31203011.829286132</v>
      </c>
    </row>
    <row r="34" spans="1:3" x14ac:dyDescent="0.25">
      <c r="A34" s="164">
        <f t="shared" si="2"/>
        <v>9750000</v>
      </c>
      <c r="B34" s="159">
        <f t="shared" si="0"/>
        <v>146061.87308679888</v>
      </c>
      <c r="C34" s="165">
        <f t="shared" si="1"/>
        <v>33001219.605231337</v>
      </c>
    </row>
    <row r="35" spans="1:3" x14ac:dyDescent="0.25">
      <c r="A35" s="164">
        <f t="shared" si="2"/>
        <v>10500000</v>
      </c>
      <c r="B35" s="159">
        <f t="shared" si="0"/>
        <v>153838.89226803451</v>
      </c>
      <c r="C35" s="165">
        <f t="shared" si="1"/>
        <v>34758359.319039717</v>
      </c>
    </row>
    <row r="36" spans="1:3" x14ac:dyDescent="0.25">
      <c r="A36" s="164">
        <f t="shared" si="2"/>
        <v>11250000</v>
      </c>
      <c r="B36" s="159">
        <f t="shared" si="0"/>
        <v>161450.87401926809</v>
      </c>
      <c r="C36" s="165">
        <f t="shared" si="1"/>
        <v>36478210.475913428</v>
      </c>
    </row>
    <row r="37" spans="1:3" x14ac:dyDescent="0.25">
      <c r="A37" s="164">
        <f t="shared" si="2"/>
        <v>12000000</v>
      </c>
      <c r="B37" s="159">
        <f t="shared" si="0"/>
        <v>168912.0010639141</v>
      </c>
      <c r="C37" s="165">
        <f t="shared" si="1"/>
        <v>38163977.52038075</v>
      </c>
    </row>
    <row r="38" spans="1:3" x14ac:dyDescent="0.25">
      <c r="A38" s="164">
        <f t="shared" si="2"/>
        <v>12750000</v>
      </c>
      <c r="B38" s="159">
        <f t="shared" si="0"/>
        <v>176234.43237085926</v>
      </c>
      <c r="C38" s="165">
        <f t="shared" si="1"/>
        <v>39818407.649871938</v>
      </c>
    </row>
    <row r="39" spans="1:3" x14ac:dyDescent="0.25">
      <c r="A39" s="164">
        <f t="shared" si="2"/>
        <v>13500000</v>
      </c>
      <c r="B39" s="159">
        <f t="shared" si="0"/>
        <v>183428.69346562965</v>
      </c>
      <c r="C39" s="165">
        <f t="shared" si="1"/>
        <v>41443879.001624361</v>
      </c>
    </row>
    <row r="40" spans="1:3" x14ac:dyDescent="0.25">
      <c r="A40" s="164">
        <f t="shared" si="2"/>
        <v>14250000</v>
      </c>
      <c r="B40" s="159">
        <f t="shared" si="0"/>
        <v>190503.97402916069</v>
      </c>
      <c r="C40" s="165">
        <f t="shared" si="1"/>
        <v>43042467.892148562</v>
      </c>
    </row>
    <row r="41" spans="1:3" x14ac:dyDescent="0.25">
      <c r="A41" s="164">
        <f t="shared" si="2"/>
        <v>15000000</v>
      </c>
      <c r="B41" s="159">
        <f t="shared" si="0"/>
        <v>197468.3585170483</v>
      </c>
      <c r="C41" s="165">
        <f t="shared" si="1"/>
        <v>44616000.923341893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4" t="s">
        <v>102</v>
      </c>
      <c r="I2" s="315"/>
      <c r="J2" s="315"/>
      <c r="K2" s="315"/>
      <c r="L2" s="316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15" customHeight="1" x14ac:dyDescent="0.2">
      <c r="A8" s="686"/>
      <c r="B8" s="318" t="s">
        <v>10</v>
      </c>
      <c r="C8" s="17" t="s">
        <v>11</v>
      </c>
      <c r="D8" s="19" t="s">
        <v>20</v>
      </c>
      <c r="E8" s="318" t="s">
        <v>21</v>
      </c>
      <c r="F8" s="81" t="s">
        <v>117</v>
      </c>
      <c r="G8" s="317" t="s">
        <v>22</v>
      </c>
      <c r="H8" s="318" t="s">
        <v>23</v>
      </c>
      <c r="I8" s="88" t="s">
        <v>123</v>
      </c>
    </row>
    <row r="9" spans="1:18" ht="14.65" customHeight="1" thickBot="1" x14ac:dyDescent="0.25">
      <c r="A9" s="683"/>
      <c r="B9" s="95">
        <f>VAC_Optim_Scenario!G26</f>
        <v>1600000</v>
      </c>
      <c r="C9" s="95">
        <f>VAC_Optim_Scenario!H26</f>
        <v>7000000</v>
      </c>
      <c r="D9" s="68">
        <f>VAC_Optim_Scenario!I26</f>
        <v>7000000.0000000009</v>
      </c>
      <c r="E9" s="84">
        <f>((($R$12/(1+EXP($P$12+$Q$12*D9)))-1) - ($F$12-$C$12))*$I$12</f>
        <v>328013.92063754238</v>
      </c>
      <c r="F9" s="89">
        <f>E9*$G$12</f>
        <v>328013.92063754238</v>
      </c>
      <c r="G9" s="95">
        <f>VAC_Optim_Scenario!E26</f>
        <v>3540000</v>
      </c>
      <c r="H9" s="85">
        <f>((($R$12/(1+EXP($P$12+$Q$12*G9)))-1) - ($F$12-$C$12))*$I$12</f>
        <v>246617.82982174121</v>
      </c>
      <c r="I9" s="90">
        <f>H9*$G$12</f>
        <v>246617.82982174121</v>
      </c>
      <c r="J9" s="87">
        <f>G9/I9</f>
        <v>14.35419329802213</v>
      </c>
      <c r="K9" s="98" t="s">
        <v>198</v>
      </c>
    </row>
    <row r="10" spans="1:18" ht="13.5" thickBot="1" x14ac:dyDescent="0.25"/>
    <row r="11" spans="1:18" ht="51.6" customHeight="1" x14ac:dyDescent="0.2">
      <c r="A11" s="682" t="s">
        <v>15</v>
      </c>
      <c r="B11" s="320" t="s">
        <v>16</v>
      </c>
      <c r="C11" s="320" t="s">
        <v>17</v>
      </c>
      <c r="D11" s="320" t="s">
        <v>18</v>
      </c>
      <c r="E11" s="320" t="s">
        <v>19</v>
      </c>
      <c r="F11" s="321" t="s">
        <v>109</v>
      </c>
      <c r="G11" s="319" t="s">
        <v>118</v>
      </c>
      <c r="H11" s="320" t="s">
        <v>119</v>
      </c>
      <c r="I11" s="92" t="s">
        <v>122</v>
      </c>
      <c r="K11" s="674" t="s">
        <v>25</v>
      </c>
      <c r="L11" s="320" t="s">
        <v>110</v>
      </c>
      <c r="M11" s="320" t="s">
        <v>111</v>
      </c>
      <c r="N11" s="320" t="s">
        <v>112</v>
      </c>
      <c r="O11" s="320" t="s">
        <v>113</v>
      </c>
      <c r="P11" s="320" t="s">
        <v>26</v>
      </c>
      <c r="Q11" s="320" t="s">
        <v>27</v>
      </c>
      <c r="R11" s="321" t="s">
        <v>28</v>
      </c>
    </row>
    <row r="12" spans="1:18" ht="15" customHeight="1" thickBot="1" x14ac:dyDescent="0.25">
      <c r="A12" s="683"/>
      <c r="B12" s="95">
        <f>'[14]HCC Display'!$B$12</f>
        <v>1648357.37</v>
      </c>
      <c r="C12" s="95">
        <f>'[14]HCC Display'!$C$12</f>
        <v>147473.11026650202</v>
      </c>
      <c r="D12" s="95">
        <f>'[14]HCC Display'!$D$12</f>
        <v>0</v>
      </c>
      <c r="E12" s="95">
        <f>'[14]HCC Display'!$E$12</f>
        <v>368682.77566625498</v>
      </c>
      <c r="F12" s="95">
        <f>'[14]HCC Display'!$F$12</f>
        <v>8649234</v>
      </c>
      <c r="G12" s="91">
        <f>VAC_Optim_Scenario!$D$48</f>
        <v>1</v>
      </c>
      <c r="H12" s="71">
        <f>C12*G12</f>
        <v>147473.11026650202</v>
      </c>
      <c r="I12" s="115">
        <f>VAC_Optim_Scenario!D24</f>
        <v>1</v>
      </c>
      <c r="K12" s="675"/>
      <c r="L12" s="71">
        <f>F12-C12</f>
        <v>8501760.8897334971</v>
      </c>
      <c r="M12" s="71">
        <f>L12+E12</f>
        <v>8870443.6653997526</v>
      </c>
      <c r="N12" s="72">
        <f>B12</f>
        <v>1648357.37</v>
      </c>
      <c r="O12" s="71">
        <f>F12</f>
        <v>8649234</v>
      </c>
      <c r="P12" s="24">
        <f>LN((($M$12+1)/($L$12+1))-1)</f>
        <v>-3.138092114386942</v>
      </c>
      <c r="Q12" s="73">
        <f>(LN((($M$12+1)/($O$12+1))-1)-$P$12)/$N$12</f>
        <v>-3.2033288893585801E-7</v>
      </c>
      <c r="R12" s="74">
        <f>M12+1</f>
        <v>8870444.6653997526</v>
      </c>
    </row>
    <row r="13" spans="1:18" ht="34.15" customHeight="1" x14ac:dyDescent="0.2">
      <c r="A13" s="676" t="s">
        <v>114</v>
      </c>
      <c r="B13" s="677"/>
      <c r="C13" s="677"/>
      <c r="D13" s="677"/>
      <c r="E13" s="677"/>
      <c r="F13" s="678"/>
      <c r="G13" s="318" t="s">
        <v>150</v>
      </c>
      <c r="H13" s="318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VAC_Optim_Scenario!$I$48</f>
        <v>225.94</v>
      </c>
      <c r="H14" s="95">
        <f>VAC_Optim_Scenario!$F$48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320" t="s">
        <v>32</v>
      </c>
      <c r="C17" s="320" t="s">
        <v>31</v>
      </c>
      <c r="D17" s="321" t="s">
        <v>33</v>
      </c>
      <c r="F17" s="82"/>
      <c r="G17" s="82"/>
      <c r="H17" s="83"/>
    </row>
    <row r="18" spans="1:8" ht="23.65" customHeight="1" thickBot="1" x14ac:dyDescent="0.25">
      <c r="A18" s="675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18" t="s">
        <v>35</v>
      </c>
      <c r="B21" s="318" t="s">
        <v>120</v>
      </c>
      <c r="C21" s="318" t="s">
        <v>199</v>
      </c>
      <c r="D21" s="98" t="s">
        <v>121</v>
      </c>
      <c r="E21" s="318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21985.276569871232</v>
      </c>
      <c r="C23" s="79">
        <f t="shared" ref="C23:C42" si="1">B23*$G$12</f>
        <v>21985.276569871232</v>
      </c>
      <c r="D23" s="98">
        <f>(B23-B22)/A23</f>
        <v>0.10992638284935616</v>
      </c>
      <c r="E23" s="116">
        <f t="shared" ref="E23:E42" si="2">B23*$H$14</f>
        <v>4967353.3881967058</v>
      </c>
    </row>
    <row r="24" spans="1:8" x14ac:dyDescent="0.2">
      <c r="A24" s="86">
        <f t="shared" ref="A24:A44" si="3">A23+(($C$18-$B$18)/$D$18)</f>
        <v>400000</v>
      </c>
      <c r="B24" s="79">
        <f t="shared" si="0"/>
        <v>42709.79508748278</v>
      </c>
      <c r="C24" s="79">
        <f t="shared" si="1"/>
        <v>42709.79508748278</v>
      </c>
      <c r="D24" s="98">
        <f t="shared" ref="D24:D42" si="4">(B24-B23)/A24</f>
        <v>5.181129629402887E-2</v>
      </c>
      <c r="E24" s="116">
        <f t="shared" si="2"/>
        <v>9649851.1020658594</v>
      </c>
    </row>
    <row r="25" spans="1:8" x14ac:dyDescent="0.2">
      <c r="A25" s="86">
        <f t="shared" si="3"/>
        <v>600000</v>
      </c>
      <c r="B25" s="79">
        <f t="shared" si="0"/>
        <v>62240.00377715379</v>
      </c>
      <c r="C25" s="79">
        <f t="shared" si="1"/>
        <v>62240.00377715379</v>
      </c>
      <c r="D25" s="98">
        <f t="shared" si="4"/>
        <v>3.2550347816118347E-2</v>
      </c>
      <c r="E25" s="116">
        <f t="shared" si="2"/>
        <v>14062506.453410126</v>
      </c>
    </row>
    <row r="26" spans="1:8" x14ac:dyDescent="0.2">
      <c r="A26" s="86">
        <f t="shared" si="3"/>
        <v>800000</v>
      </c>
      <c r="B26" s="79">
        <f t="shared" si="0"/>
        <v>80639.533871328458</v>
      </c>
      <c r="C26" s="79">
        <f t="shared" si="1"/>
        <v>80639.533871328458</v>
      </c>
      <c r="D26" s="98">
        <f t="shared" si="4"/>
        <v>2.2999412617718335E-2</v>
      </c>
      <c r="E26" s="116">
        <f t="shared" si="2"/>
        <v>18219696.282887951</v>
      </c>
    </row>
    <row r="27" spans="1:8" x14ac:dyDescent="0.2">
      <c r="A27" s="86">
        <f t="shared" si="3"/>
        <v>1000000</v>
      </c>
      <c r="B27" s="79">
        <f t="shared" si="0"/>
        <v>97969.235639577731</v>
      </c>
      <c r="C27" s="79">
        <f t="shared" si="1"/>
        <v>97969.235639577731</v>
      </c>
      <c r="D27" s="98">
        <f t="shared" si="4"/>
        <v>1.7329701768249273E-2</v>
      </c>
      <c r="E27" s="116">
        <f t="shared" si="2"/>
        <v>22135169.100406192</v>
      </c>
    </row>
    <row r="28" spans="1:8" x14ac:dyDescent="0.2">
      <c r="A28" s="86">
        <f t="shared" si="3"/>
        <v>1200000</v>
      </c>
      <c r="B28" s="79">
        <f t="shared" si="0"/>
        <v>114287.22590771317</v>
      </c>
      <c r="C28" s="79">
        <f t="shared" si="1"/>
        <v>114287.22590771317</v>
      </c>
      <c r="D28" s="98">
        <f t="shared" si="4"/>
        <v>1.3598325223446202E-2</v>
      </c>
      <c r="E28" s="116">
        <f t="shared" si="2"/>
        <v>25822055.821588714</v>
      </c>
    </row>
    <row r="29" spans="1:8" x14ac:dyDescent="0.2">
      <c r="A29" s="86">
        <f t="shared" si="3"/>
        <v>1400000</v>
      </c>
      <c r="B29" s="79">
        <f t="shared" si="0"/>
        <v>129648.94516971894</v>
      </c>
      <c r="C29" s="79">
        <f t="shared" si="1"/>
        <v>129648.94516971894</v>
      </c>
      <c r="D29" s="98">
        <f t="shared" si="4"/>
        <v>1.0972656615718401E-2</v>
      </c>
      <c r="E29" s="116">
        <f t="shared" si="2"/>
        <v>29292882.671646297</v>
      </c>
    </row>
    <row r="30" spans="1:8" x14ac:dyDescent="0.2">
      <c r="A30" s="86">
        <f t="shared" si="3"/>
        <v>1600000</v>
      </c>
      <c r="B30" s="79">
        <f t="shared" si="0"/>
        <v>144107.22258472815</v>
      </c>
      <c r="C30" s="79">
        <f t="shared" si="1"/>
        <v>144107.22258472815</v>
      </c>
      <c r="D30" s="98">
        <f t="shared" si="4"/>
        <v>9.0364233843807599E-3</v>
      </c>
      <c r="E30" s="116">
        <f t="shared" si="2"/>
        <v>32559585.870793477</v>
      </c>
    </row>
    <row r="31" spans="1:8" x14ac:dyDescent="0.2">
      <c r="A31" s="86">
        <f t="shared" si="3"/>
        <v>1800000</v>
      </c>
      <c r="B31" s="79">
        <f t="shared" si="0"/>
        <v>157712.3473305162</v>
      </c>
      <c r="C31" s="79">
        <f t="shared" si="1"/>
        <v>157712.3473305162</v>
      </c>
      <c r="D31" s="98">
        <f t="shared" si="4"/>
        <v>7.5584026365489183E-3</v>
      </c>
      <c r="E31" s="116">
        <f t="shared" si="2"/>
        <v>35633527.755856834</v>
      </c>
    </row>
    <row r="32" spans="1:8" x14ac:dyDescent="0.2">
      <c r="A32" s="86">
        <f t="shared" si="3"/>
        <v>2000000</v>
      </c>
      <c r="B32" s="79">
        <f t="shared" si="0"/>
        <v>170512.14495293051</v>
      </c>
      <c r="C32" s="79">
        <f t="shared" si="1"/>
        <v>170512.14495293051</v>
      </c>
      <c r="D32" s="98">
        <f t="shared" si="4"/>
        <v>6.3998988112071529E-3</v>
      </c>
      <c r="E32" s="116">
        <f t="shared" si="2"/>
        <v>38525514.030665122</v>
      </c>
    </row>
    <row r="33" spans="1:5" x14ac:dyDescent="0.2">
      <c r="A33" s="86">
        <f t="shared" si="3"/>
        <v>2200000</v>
      </c>
      <c r="B33" s="79">
        <f t="shared" si="0"/>
        <v>182552.05750729702</v>
      </c>
      <c r="C33" s="79">
        <f t="shared" si="1"/>
        <v>182552.05750729702</v>
      </c>
      <c r="D33" s="98">
        <f t="shared" si="4"/>
        <v>5.472687524712052E-3</v>
      </c>
      <c r="E33" s="116">
        <f t="shared" si="2"/>
        <v>41245811.873198688</v>
      </c>
    </row>
    <row r="34" spans="1:5" x14ac:dyDescent="0.2">
      <c r="A34" s="86">
        <f t="shared" si="3"/>
        <v>2400000</v>
      </c>
      <c r="B34" s="79">
        <f t="shared" si="0"/>
        <v>193875.22643239424</v>
      </c>
      <c r="C34" s="79">
        <f t="shared" si="1"/>
        <v>193875.22643239424</v>
      </c>
      <c r="D34" s="98">
        <f t="shared" si="4"/>
        <v>4.7179870521238381E-3</v>
      </c>
      <c r="E34" s="116">
        <f t="shared" si="2"/>
        <v>43804168.66013515</v>
      </c>
    </row>
    <row r="35" spans="1:5" x14ac:dyDescent="0.2">
      <c r="A35" s="86">
        <f t="shared" si="3"/>
        <v>2600000</v>
      </c>
      <c r="B35" s="79">
        <f t="shared" si="0"/>
        <v>204522.57723056339</v>
      </c>
      <c r="C35" s="79">
        <f t="shared" si="1"/>
        <v>204522.57723056339</v>
      </c>
      <c r="D35" s="98">
        <f t="shared" si="4"/>
        <v>4.0951349223727505E-3</v>
      </c>
      <c r="E35" s="116">
        <f t="shared" si="2"/>
        <v>46209831.099473491</v>
      </c>
    </row>
    <row r="36" spans="1:5" x14ac:dyDescent="0.2">
      <c r="A36" s="86">
        <f t="shared" si="3"/>
        <v>2800000</v>
      </c>
      <c r="B36" s="79">
        <f t="shared" si="0"/>
        <v>214532.90514905192</v>
      </c>
      <c r="C36" s="79">
        <f t="shared" si="1"/>
        <v>214532.90514905192</v>
      </c>
      <c r="D36" s="98">
        <f t="shared" si="4"/>
        <v>3.5751171137459042E-3</v>
      </c>
      <c r="E36" s="116">
        <f t="shared" si="2"/>
        <v>48471564.589376792</v>
      </c>
    </row>
    <row r="37" spans="1:5" x14ac:dyDescent="0.2">
      <c r="A37" s="86">
        <f t="shared" si="3"/>
        <v>3000000</v>
      </c>
      <c r="B37" s="79">
        <f t="shared" si="0"/>
        <v>223942.9611679893</v>
      </c>
      <c r="C37" s="79">
        <f t="shared" si="1"/>
        <v>223942.9611679893</v>
      </c>
      <c r="D37" s="98">
        <f t="shared" si="4"/>
        <v>3.136685339645793E-3</v>
      </c>
      <c r="E37" s="116">
        <f t="shared" si="2"/>
        <v>50597672.646295503</v>
      </c>
    </row>
    <row r="38" spans="1:5" x14ac:dyDescent="0.2">
      <c r="A38" s="86">
        <f t="shared" si="3"/>
        <v>3200000</v>
      </c>
      <c r="B38" s="79">
        <f t="shared" si="0"/>
        <v>232787.53770033456</v>
      </c>
      <c r="C38" s="79">
        <f t="shared" si="1"/>
        <v>232787.53770033456</v>
      </c>
      <c r="D38" s="98">
        <f t="shared" si="4"/>
        <v>2.7639301663578953E-3</v>
      </c>
      <c r="E38" s="116">
        <f t="shared" si="2"/>
        <v>52596016.268013589</v>
      </c>
    </row>
    <row r="39" spans="1:5" x14ac:dyDescent="0.2">
      <c r="A39" s="86">
        <f t="shared" si="3"/>
        <v>3400000</v>
      </c>
      <c r="B39" s="79">
        <f t="shared" si="0"/>
        <v>241099.55349885672</v>
      </c>
      <c r="C39" s="79">
        <f t="shared" si="1"/>
        <v>241099.55349885672</v>
      </c>
      <c r="D39" s="98">
        <f t="shared" si="4"/>
        <v>2.4447105289771057E-3</v>
      </c>
      <c r="E39" s="116">
        <f t="shared" si="2"/>
        <v>54474033.117531687</v>
      </c>
    </row>
    <row r="40" spans="1:5" x14ac:dyDescent="0.2">
      <c r="A40" s="86">
        <f t="shared" si="3"/>
        <v>3600000</v>
      </c>
      <c r="B40" s="79">
        <f t="shared" si="0"/>
        <v>248910.1373458188</v>
      </c>
      <c r="C40" s="79">
        <f t="shared" si="1"/>
        <v>248910.1373458188</v>
      </c>
      <c r="D40" s="98">
        <f t="shared" si="4"/>
        <v>2.1696066241561332E-3</v>
      </c>
      <c r="E40" s="116">
        <f t="shared" si="2"/>
        <v>56238756.4319143</v>
      </c>
    </row>
    <row r="41" spans="1:5" x14ac:dyDescent="0.2">
      <c r="A41" s="86">
        <f t="shared" si="3"/>
        <v>3800000</v>
      </c>
      <c r="B41" s="79">
        <f t="shared" si="0"/>
        <v>256248.71017263271</v>
      </c>
      <c r="C41" s="79">
        <f t="shared" si="1"/>
        <v>256248.71017263271</v>
      </c>
      <c r="D41" s="98">
        <f t="shared" si="4"/>
        <v>1.9312033754773437E-3</v>
      </c>
      <c r="E41" s="116">
        <f t="shared" si="2"/>
        <v>57896833.576404631</v>
      </c>
    </row>
    <row r="42" spans="1:5" x14ac:dyDescent="0.2">
      <c r="A42" s="86">
        <f t="shared" si="3"/>
        <v>4000000</v>
      </c>
      <c r="B42" s="79">
        <f t="shared" si="0"/>
        <v>263143.06532056816</v>
      </c>
      <c r="C42" s="79">
        <f t="shared" si="1"/>
        <v>263143.06532056816</v>
      </c>
      <c r="D42" s="98">
        <f t="shared" si="4"/>
        <v>1.7235887869838625E-3</v>
      </c>
      <c r="E42" s="116">
        <f t="shared" si="2"/>
        <v>59454544.178529166</v>
      </c>
    </row>
    <row r="43" spans="1:5" x14ac:dyDescent="0.2">
      <c r="A43" s="86">
        <f t="shared" si="3"/>
        <v>4200000</v>
      </c>
      <c r="B43" s="79">
        <f t="shared" si="0"/>
        <v>269619.44670974463</v>
      </c>
    </row>
    <row r="44" spans="1:5" x14ac:dyDescent="0.2">
      <c r="A44" s="86">
        <f t="shared" si="3"/>
        <v>4400000</v>
      </c>
      <c r="B44" s="79">
        <f t="shared" si="0"/>
        <v>275702.62473322079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12" sqref="D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83"/>
      <c r="B9" s="157">
        <f>VAC_Optim_Scenario!G36</f>
        <v>5000000</v>
      </c>
      <c r="C9" s="157">
        <f>VAC_Optim_Scenario!H36</f>
        <v>5000000</v>
      </c>
      <c r="D9" s="158">
        <f>VAC_Optim_Scenario!I36</f>
        <v>5000000</v>
      </c>
      <c r="E9" s="84">
        <f>((GDISP_adt!D9/$B$12)^$D$12)*$C$12*$F$12</f>
        <v>133590.7782109612</v>
      </c>
      <c r="F9" s="84">
        <f>E9*F11</f>
        <v>133590.7782109612</v>
      </c>
      <c r="G9" s="76">
        <f>VAC_Optim_Scenario!E36</f>
        <v>4000000</v>
      </c>
      <c r="H9" s="159">
        <f>((GDISP_adt!G9/$B$12)^$D$12)*$C$12*$F$12</f>
        <v>116850.47225954643</v>
      </c>
      <c r="I9" s="160">
        <f>H9*F11</f>
        <v>116850.47225954643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'[15]HCC Display - Power'!$B$12</f>
        <v>2859426.82</v>
      </c>
      <c r="C12" s="162">
        <f>'[15]HCC Display - Power'!$C$12</f>
        <v>95534.859439139458</v>
      </c>
      <c r="D12" s="327">
        <f>'[15]HCC Display - Power'!$D$12</f>
        <v>0.6</v>
      </c>
      <c r="E12" s="331" t="s">
        <v>122</v>
      </c>
      <c r="F12" s="163">
        <f>VAC_Optim_Scenario!D36</f>
        <v>1</v>
      </c>
      <c r="G12" s="266">
        <f>B12*2</f>
        <v>5718853.6399999997</v>
      </c>
    </row>
    <row r="13" spans="1:9" ht="18.75" customHeight="1" x14ac:dyDescent="0.25">
      <c r="A13" s="676" t="s">
        <v>171</v>
      </c>
      <c r="B13" s="677"/>
      <c r="C13" s="677"/>
      <c r="D13" s="677"/>
      <c r="E13" s="331" t="s">
        <v>172</v>
      </c>
      <c r="F13" s="331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VAC_Optim_Scenario!$I$48</f>
        <v>225.94</v>
      </c>
      <c r="F14" s="95">
        <f>VAC_Optim_Scenario!$F$48</f>
        <v>225.94</v>
      </c>
    </row>
    <row r="15" spans="1:9" ht="15.75" thickBot="1" x14ac:dyDescent="0.3"/>
    <row r="16" spans="1:9" x14ac:dyDescent="0.25">
      <c r="A16" s="674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7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22139.02457604478</v>
      </c>
      <c r="C22" s="165">
        <f t="shared" ref="C22:C41" si="1">B22*$F$14</f>
        <v>5002091.2127115577</v>
      </c>
    </row>
    <row r="23" spans="1:4" x14ac:dyDescent="0.25">
      <c r="A23" s="164">
        <f t="shared" ref="A23:A41" si="2">A22+(($C$17-$B$17)/$D$17)</f>
        <v>500000</v>
      </c>
      <c r="B23" s="159">
        <f t="shared" si="0"/>
        <v>33556.486316291914</v>
      </c>
      <c r="C23" s="165">
        <f t="shared" si="1"/>
        <v>7581752.5183029948</v>
      </c>
    </row>
    <row r="24" spans="1:4" x14ac:dyDescent="0.25">
      <c r="A24" s="164">
        <f t="shared" si="2"/>
        <v>750000</v>
      </c>
      <c r="B24" s="159">
        <f t="shared" si="0"/>
        <v>42798.764802712802</v>
      </c>
      <c r="C24" s="165">
        <f t="shared" si="1"/>
        <v>9669952.9195249304</v>
      </c>
    </row>
    <row r="25" spans="1:4" x14ac:dyDescent="0.25">
      <c r="A25" s="164">
        <f t="shared" si="2"/>
        <v>1000000</v>
      </c>
      <c r="B25" s="159">
        <f t="shared" si="0"/>
        <v>50862.122223483137</v>
      </c>
      <c r="C25" s="165">
        <f t="shared" si="1"/>
        <v>11491787.895173781</v>
      </c>
    </row>
    <row r="26" spans="1:4" x14ac:dyDescent="0.25">
      <c r="A26" s="164">
        <f t="shared" si="2"/>
        <v>1250000</v>
      </c>
      <c r="B26" s="159">
        <f t="shared" si="0"/>
        <v>58148.763611359944</v>
      </c>
      <c r="C26" s="165">
        <f t="shared" si="1"/>
        <v>13138131.650350666</v>
      </c>
    </row>
    <row r="27" spans="1:4" x14ac:dyDescent="0.25">
      <c r="A27" s="164">
        <f t="shared" si="2"/>
        <v>1500000</v>
      </c>
      <c r="B27" s="159">
        <f t="shared" si="0"/>
        <v>64870.796837653914</v>
      </c>
      <c r="C27" s="165">
        <f t="shared" si="1"/>
        <v>14656907.837499525</v>
      </c>
    </row>
    <row r="28" spans="1:4" x14ac:dyDescent="0.25">
      <c r="A28" s="164">
        <f t="shared" si="2"/>
        <v>1750000</v>
      </c>
      <c r="B28" s="159">
        <f t="shared" si="0"/>
        <v>71156.947006626913</v>
      </c>
      <c r="C28" s="165">
        <f t="shared" si="1"/>
        <v>16077200.606677284</v>
      </c>
    </row>
    <row r="29" spans="1:4" x14ac:dyDescent="0.25">
      <c r="A29" s="164">
        <f t="shared" si="2"/>
        <v>2000000</v>
      </c>
      <c r="B29" s="159">
        <f t="shared" si="0"/>
        <v>77092.561262010073</v>
      </c>
      <c r="C29" s="165">
        <f t="shared" si="1"/>
        <v>17418293.291538555</v>
      </c>
    </row>
    <row r="30" spans="1:4" x14ac:dyDescent="0.25">
      <c r="A30" s="164">
        <f t="shared" si="2"/>
        <v>2250000</v>
      </c>
      <c r="B30" s="159">
        <f t="shared" si="0"/>
        <v>82737.803661861879</v>
      </c>
      <c r="C30" s="165">
        <f t="shared" si="1"/>
        <v>18693779.359361071</v>
      </c>
    </row>
    <row r="31" spans="1:4" x14ac:dyDescent="0.25">
      <c r="A31" s="164">
        <f t="shared" si="2"/>
        <v>2500000</v>
      </c>
      <c r="B31" s="159">
        <f t="shared" si="0"/>
        <v>88137.044327835261</v>
      </c>
      <c r="C31" s="165">
        <f t="shared" si="1"/>
        <v>19913683.7954311</v>
      </c>
    </row>
    <row r="32" spans="1:4" x14ac:dyDescent="0.25">
      <c r="A32" s="164">
        <f t="shared" si="2"/>
        <v>2750000</v>
      </c>
      <c r="B32" s="159">
        <f t="shared" si="0"/>
        <v>93324.160834622162</v>
      </c>
      <c r="C32" s="165">
        <f t="shared" si="1"/>
        <v>21085660.89897453</v>
      </c>
    </row>
    <row r="33" spans="1:3" x14ac:dyDescent="0.25">
      <c r="A33" s="164">
        <f t="shared" si="2"/>
        <v>3000000</v>
      </c>
      <c r="B33" s="159">
        <f t="shared" si="0"/>
        <v>98325.741449562382</v>
      </c>
      <c r="C33" s="165">
        <f t="shared" si="1"/>
        <v>22215718.023114122</v>
      </c>
    </row>
    <row r="34" spans="1:3" x14ac:dyDescent="0.25">
      <c r="A34" s="164">
        <f t="shared" si="2"/>
        <v>3250000</v>
      </c>
      <c r="B34" s="159">
        <f t="shared" si="0"/>
        <v>103163.12607229818</v>
      </c>
      <c r="C34" s="165">
        <f t="shared" si="1"/>
        <v>23308676.70477505</v>
      </c>
    </row>
    <row r="35" spans="1:3" x14ac:dyDescent="0.25">
      <c r="A35" s="164">
        <f t="shared" si="2"/>
        <v>3500000</v>
      </c>
      <c r="B35" s="159">
        <f t="shared" si="0"/>
        <v>107853.76340024688</v>
      </c>
      <c r="C35" s="165">
        <f t="shared" si="1"/>
        <v>24368479.302651782</v>
      </c>
    </row>
    <row r="36" spans="1:3" x14ac:dyDescent="0.25">
      <c r="A36" s="164">
        <f t="shared" si="2"/>
        <v>3750000</v>
      </c>
      <c r="B36" s="159">
        <f t="shared" si="0"/>
        <v>112412.14574846247</v>
      </c>
      <c r="C36" s="165">
        <f t="shared" si="1"/>
        <v>25398400.210407611</v>
      </c>
    </row>
    <row r="37" spans="1:3" x14ac:dyDescent="0.25">
      <c r="A37" s="164">
        <f t="shared" si="2"/>
        <v>4000000</v>
      </c>
      <c r="B37" s="159">
        <f t="shared" si="0"/>
        <v>116850.47225954643</v>
      </c>
      <c r="C37" s="165">
        <f t="shared" si="1"/>
        <v>26401195.702321921</v>
      </c>
    </row>
    <row r="38" spans="1:3" x14ac:dyDescent="0.25">
      <c r="A38" s="164">
        <f t="shared" si="2"/>
        <v>4250000</v>
      </c>
      <c r="B38" s="159">
        <f t="shared" si="0"/>
        <v>121179.13140154985</v>
      </c>
      <c r="C38" s="165">
        <f t="shared" si="1"/>
        <v>27379212.948866174</v>
      </c>
    </row>
    <row r="39" spans="1:3" x14ac:dyDescent="0.25">
      <c r="A39" s="164">
        <f t="shared" si="2"/>
        <v>4500000</v>
      </c>
      <c r="B39" s="159">
        <f t="shared" si="0"/>
        <v>125407.05968696871</v>
      </c>
      <c r="C39" s="165">
        <f t="shared" si="1"/>
        <v>28334471.065673713</v>
      </c>
    </row>
    <row r="40" spans="1:3" x14ac:dyDescent="0.25">
      <c r="A40" s="164">
        <f t="shared" si="2"/>
        <v>4750000</v>
      </c>
      <c r="B40" s="159">
        <f t="shared" si="0"/>
        <v>129542.0134514407</v>
      </c>
      <c r="C40" s="165">
        <f t="shared" si="1"/>
        <v>29268722.519218512</v>
      </c>
    </row>
    <row r="41" spans="1:3" x14ac:dyDescent="0.25">
      <c r="A41" s="164">
        <f t="shared" si="2"/>
        <v>5000000</v>
      </c>
      <c r="B41" s="159">
        <f t="shared" si="0"/>
        <v>133590.7782109612</v>
      </c>
      <c r="C41" s="165">
        <f t="shared" si="1"/>
        <v>30183500.428984575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83"/>
      <c r="B9" s="157">
        <f>VAC_Optim_Scenario!G27</f>
        <v>300000</v>
      </c>
      <c r="C9" s="157">
        <f>VAC_Optim_Scenario!H27</f>
        <v>400000</v>
      </c>
      <c r="D9" s="158">
        <f>VAC_Optim_Scenario!I27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VAC_Optim_Scenario!E27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654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654"/>
      <c r="B12" s="162">
        <f>'[16]HCC Paid Search - Power'!$B$12</f>
        <v>344707</v>
      </c>
      <c r="C12" s="162">
        <f>'[16]HCC Paid Search - Power'!$C$12</f>
        <v>130694.08808973072</v>
      </c>
      <c r="D12" s="312">
        <f>'[16]HCC Paid Search - Power'!$D$12</f>
        <v>0.7</v>
      </c>
      <c r="E12" s="147" t="s">
        <v>122</v>
      </c>
      <c r="F12" s="163">
        <f>VAC_Optim_Scenario!D27</f>
        <v>1</v>
      </c>
    </row>
    <row r="13" spans="1:9" ht="18.75" customHeight="1" x14ac:dyDescent="0.25">
      <c r="A13" s="676" t="s">
        <v>171</v>
      </c>
      <c r="B13" s="677"/>
      <c r="C13" s="677"/>
      <c r="D13" s="677"/>
      <c r="E13" s="147" t="s">
        <v>172</v>
      </c>
      <c r="F13" s="147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75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83"/>
      <c r="B9" s="157">
        <f>VAC_Optim_Scenario!G37</f>
        <v>200000</v>
      </c>
      <c r="C9" s="157">
        <f>VAC_Optim_Scenario!H37</f>
        <v>200000</v>
      </c>
      <c r="D9" s="158">
        <f>VAC_Optim_Scenario!I37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VAC_Optim_Scenario!E37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'[17]HCC Paid Search - Power'!$B$12</f>
        <v>50000</v>
      </c>
      <c r="C12" s="162">
        <f>'[17]HCC Paid Search - Power'!$C$12</f>
        <v>30136.792938374307</v>
      </c>
      <c r="D12" s="327">
        <f>'[17]HCC Paid Search - Power'!$D$12</f>
        <v>0.7</v>
      </c>
      <c r="E12" s="331" t="s">
        <v>122</v>
      </c>
      <c r="F12" s="163">
        <f>VAC_Optim_Scenario!D37</f>
        <v>1</v>
      </c>
      <c r="G12" s="266">
        <f>B12*2</f>
        <v>100000</v>
      </c>
    </row>
    <row r="13" spans="1:9" ht="18.75" customHeight="1" x14ac:dyDescent="0.25">
      <c r="A13" s="676" t="s">
        <v>171</v>
      </c>
      <c r="B13" s="677"/>
      <c r="C13" s="677"/>
      <c r="D13" s="677"/>
      <c r="E13" s="331" t="s">
        <v>172</v>
      </c>
      <c r="F13" s="331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7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83"/>
      <c r="B9" s="157">
        <f>VAC_Optim_Scenario!G28</f>
        <v>1400000</v>
      </c>
      <c r="C9" s="157">
        <f>VAC_Optim_Scenario!H28</f>
        <v>4800000</v>
      </c>
      <c r="D9" s="158">
        <f>VAC_Optim_Scenario!I28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VAC_Optim_Scenario!E28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654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54"/>
      <c r="B12" s="162">
        <f>'[18]Radio - Power'!$B$12</f>
        <v>1437048.41</v>
      </c>
      <c r="C12" s="162">
        <f>'[18]Radio - Power'!$C$12</f>
        <v>70569.092436493243</v>
      </c>
      <c r="D12" s="312">
        <f>'[18]Radio - Power'!$D$12</f>
        <v>0.6</v>
      </c>
      <c r="E12" s="144" t="s">
        <v>122</v>
      </c>
      <c r="F12" s="163">
        <f>VAC_Optim_Scenario!D28</f>
        <v>1</v>
      </c>
    </row>
    <row r="13" spans="1:9" ht="18.75" customHeight="1" x14ac:dyDescent="0.25">
      <c r="A13" s="676" t="s">
        <v>171</v>
      </c>
      <c r="B13" s="677"/>
      <c r="C13" s="677"/>
      <c r="D13" s="677"/>
      <c r="E13" s="144" t="s">
        <v>172</v>
      </c>
      <c r="F13" s="144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75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F12" sqref="F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324" t="s">
        <v>10</v>
      </c>
      <c r="C8" s="324" t="s">
        <v>11</v>
      </c>
      <c r="D8" s="324" t="s">
        <v>20</v>
      </c>
      <c r="E8" s="324" t="s">
        <v>21</v>
      </c>
      <c r="F8" s="324" t="s">
        <v>117</v>
      </c>
      <c r="G8" s="324" t="s">
        <v>22</v>
      </c>
      <c r="H8" s="324" t="s">
        <v>23</v>
      </c>
      <c r="I8" s="4" t="s">
        <v>123</v>
      </c>
    </row>
    <row r="9" spans="1:9" ht="15.75" thickBot="1" x14ac:dyDescent="0.3">
      <c r="A9" s="683"/>
      <c r="B9" s="157">
        <f>VAC_Optim_Scenario!G39</f>
        <v>1959114.2410225025</v>
      </c>
      <c r="C9" s="157">
        <f>VAC_Optim_Scenario!H39</f>
        <v>1959114.2410225025</v>
      </c>
      <c r="D9" s="158">
        <f>VAC_Optim_Scenario!I39</f>
        <v>1959114.2410225025</v>
      </c>
      <c r="E9" s="84">
        <f>((GAUDIO!D9/$B$12)^$D$12)*$C$12*$F$12</f>
        <v>35903.787865255006</v>
      </c>
      <c r="F9" s="84">
        <f>E9*F11</f>
        <v>35903.787865255006</v>
      </c>
      <c r="G9" s="76">
        <f>VAC_Optim_Scenario!E39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654" t="s">
        <v>15</v>
      </c>
      <c r="B11" s="325" t="s">
        <v>16</v>
      </c>
      <c r="C11" s="325" t="s">
        <v>17</v>
      </c>
      <c r="D11" s="325" t="s">
        <v>170</v>
      </c>
      <c r="E11" s="324" t="s">
        <v>126</v>
      </c>
      <c r="F11" s="161">
        <v>1</v>
      </c>
    </row>
    <row r="12" spans="1:9" ht="40.5" customHeight="1" thickBot="1" x14ac:dyDescent="0.3">
      <c r="A12" s="654"/>
      <c r="B12" s="162">
        <f>'[19]Radio - Power'!$B$12</f>
        <v>923975</v>
      </c>
      <c r="C12" s="162">
        <f>'[19]Radio - Power'!$C$12</f>
        <v>26581.559263521289</v>
      </c>
      <c r="D12" s="327">
        <f>'[19]Radio - Power'!$D$12</f>
        <v>0.4</v>
      </c>
      <c r="E12" s="324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676" t="s">
        <v>171</v>
      </c>
      <c r="B13" s="677"/>
      <c r="C13" s="677"/>
      <c r="D13" s="677"/>
      <c r="E13" s="324" t="s">
        <v>172</v>
      </c>
      <c r="F13" s="324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325" t="s">
        <v>32</v>
      </c>
      <c r="C16" s="325" t="s">
        <v>31</v>
      </c>
      <c r="D16" s="326" t="s">
        <v>33</v>
      </c>
    </row>
    <row r="17" spans="1:4" ht="15.75" thickBot="1" x14ac:dyDescent="0.3">
      <c r="A17" s="675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24" t="s">
        <v>35</v>
      </c>
      <c r="B20" s="324" t="s">
        <v>177</v>
      </c>
      <c r="C20" s="324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83"/>
      <c r="B9" s="157">
        <f>VAC_Optim_Scenario!G29</f>
        <v>15700000</v>
      </c>
      <c r="C9" s="157">
        <f>VAC_Optim_Scenario!H29</f>
        <v>15700000</v>
      </c>
      <c r="D9" s="158">
        <f>VAC_Optim_Scenario!I29</f>
        <v>15700000</v>
      </c>
      <c r="E9" s="84">
        <f>((GTV!D9/$B$12)^$D$12)*$C$12*$F$12</f>
        <v>283782.52397067065</v>
      </c>
      <c r="F9" s="84">
        <f>E9*F11</f>
        <v>283782.52397067065</v>
      </c>
      <c r="G9" s="76">
        <f>VAC_Optim_Scenario!E29</f>
        <v>15700000</v>
      </c>
      <c r="H9" s="159">
        <f>((GTV!G9/$B$12)^$D$12)*$C$12*$F$12</f>
        <v>283782.52397067065</v>
      </c>
      <c r="I9" s="160">
        <f>H9*F11</f>
        <v>283782.52397067065</v>
      </c>
    </row>
    <row r="10" spans="1:9" ht="15.75" thickBot="1" x14ac:dyDescent="0.3"/>
    <row r="11" spans="1:9" ht="48.95" customHeight="1" x14ac:dyDescent="0.25">
      <c r="A11" s="654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54"/>
      <c r="B12" s="162">
        <f>'[21]TV - Power'!$B$12</f>
        <v>13503524.99</v>
      </c>
      <c r="C12" s="162">
        <f>'[21]TV - Power'!$C$12</f>
        <v>255369.4240949167</v>
      </c>
      <c r="D12" s="312">
        <f>'[21]TV - Power'!$D$12</f>
        <v>0.7</v>
      </c>
      <c r="E12" s="144" t="s">
        <v>122</v>
      </c>
      <c r="F12" s="163">
        <f>VAC_Optim_Scenario!D29</f>
        <v>1</v>
      </c>
    </row>
    <row r="13" spans="1:9" ht="18.75" customHeight="1" x14ac:dyDescent="0.25">
      <c r="A13" s="676" t="s">
        <v>171</v>
      </c>
      <c r="B13" s="677"/>
      <c r="C13" s="677"/>
      <c r="D13" s="677"/>
      <c r="E13" s="144" t="s">
        <v>172</v>
      </c>
      <c r="F13" s="144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75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48271.733973999202</v>
      </c>
      <c r="C22" s="165">
        <f t="shared" ref="C22:C41" si="0">B22*$F$14</f>
        <v>10906515.574085379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78417.663193303131</v>
      </c>
      <c r="C23" s="165">
        <f t="shared" si="0"/>
        <v>17717686.82189491</v>
      </c>
    </row>
    <row r="24" spans="1:4" x14ac:dyDescent="0.25">
      <c r="A24" s="164">
        <f t="shared" si="1"/>
        <v>3750000</v>
      </c>
      <c r="B24" s="159">
        <f>((GTV!A24/$B$12)^$D$12)*$C$12*$F$12</f>
        <v>104154.43748680397</v>
      </c>
      <c r="C24" s="165">
        <f t="shared" si="0"/>
        <v>23532653.605768491</v>
      </c>
    </row>
    <row r="25" spans="1:4" x14ac:dyDescent="0.25">
      <c r="A25" s="164">
        <f t="shared" si="1"/>
        <v>5000000</v>
      </c>
      <c r="B25" s="159">
        <f>((GTV!A25/$B$12)^$D$12)*$C$12*$F$12</f>
        <v>127389.86969083325</v>
      </c>
      <c r="C25" s="165">
        <f t="shared" si="0"/>
        <v>28782467.157946862</v>
      </c>
    </row>
    <row r="26" spans="1:4" x14ac:dyDescent="0.25">
      <c r="A26" s="164">
        <f t="shared" si="1"/>
        <v>6250000</v>
      </c>
      <c r="B26" s="159">
        <f>((GTV!A26/$B$12)^$D$12)*$C$12*$F$12</f>
        <v>148926.47237084722</v>
      </c>
      <c r="C26" s="165">
        <f t="shared" si="0"/>
        <v>33648447.167469218</v>
      </c>
    </row>
    <row r="27" spans="1:4" x14ac:dyDescent="0.25">
      <c r="A27" s="164">
        <f t="shared" si="1"/>
        <v>7500000</v>
      </c>
      <c r="B27" s="159">
        <f>((GTV!A27/$B$12)^$D$12)*$C$12*$F$12</f>
        <v>169199.3828795845</v>
      </c>
      <c r="C27" s="165">
        <f t="shared" si="0"/>
        <v>38228908.567813322</v>
      </c>
    </row>
    <row r="28" spans="1:4" x14ac:dyDescent="0.25">
      <c r="A28" s="164">
        <f t="shared" si="1"/>
        <v>8750000</v>
      </c>
      <c r="B28" s="159">
        <f>((GTV!A28/$B$12)^$D$12)*$C$12*$F$12</f>
        <v>188478.37442309246</v>
      </c>
      <c r="C28" s="165">
        <f t="shared" si="0"/>
        <v>42584803.917153507</v>
      </c>
    </row>
    <row r="29" spans="1:4" x14ac:dyDescent="0.25">
      <c r="A29" s="164">
        <f t="shared" si="1"/>
        <v>10000000</v>
      </c>
      <c r="B29" s="159">
        <f>((GTV!A29/$B$12)^$D$12)*$C$12*$F$12</f>
        <v>206945.45385577576</v>
      </c>
      <c r="C29" s="165">
        <f t="shared" si="0"/>
        <v>46757255.844173975</v>
      </c>
    </row>
    <row r="30" spans="1:4" x14ac:dyDescent="0.25">
      <c r="A30" s="164">
        <f t="shared" si="1"/>
        <v>11250000</v>
      </c>
      <c r="B30" s="159">
        <f>((GTV!A30/$B$12)^$D$12)*$C$12*$F$12</f>
        <v>224730.83013831108</v>
      </c>
      <c r="C30" s="165">
        <f t="shared" si="0"/>
        <v>50775683.761450008</v>
      </c>
    </row>
    <row r="31" spans="1:4" x14ac:dyDescent="0.25">
      <c r="A31" s="164">
        <f t="shared" si="1"/>
        <v>12500000</v>
      </c>
      <c r="B31" s="159">
        <f>((GTV!A31/$B$12)^$D$12)*$C$12*$F$12</f>
        <v>241931.76812820273</v>
      </c>
      <c r="C31" s="165">
        <f t="shared" si="0"/>
        <v>54662063.690886125</v>
      </c>
    </row>
    <row r="32" spans="1:4" x14ac:dyDescent="0.25">
      <c r="A32" s="164">
        <f t="shared" si="1"/>
        <v>13750000</v>
      </c>
      <c r="B32" s="159">
        <f>((GTV!A32/$B$12)^$D$12)*$C$12*$F$12</f>
        <v>258623.37747335967</v>
      </c>
      <c r="C32" s="165">
        <f t="shared" si="0"/>
        <v>58433365.906330884</v>
      </c>
    </row>
    <row r="33" spans="1:3" x14ac:dyDescent="0.25">
      <c r="A33" s="164">
        <f t="shared" si="1"/>
        <v>15000000</v>
      </c>
      <c r="B33" s="159">
        <f>((GTV!A33/$B$12)^$D$12)*$C$12*$F$12</f>
        <v>274865.20841187745</v>
      </c>
      <c r="C33" s="165">
        <f t="shared" si="0"/>
        <v>62103045.188579589</v>
      </c>
    </row>
    <row r="34" spans="1:3" x14ac:dyDescent="0.25">
      <c r="A34" s="164">
        <f t="shared" si="1"/>
        <v>16250000</v>
      </c>
      <c r="B34" s="159">
        <f>((GTV!A34/$B$12)^$D$12)*$C$12*$F$12</f>
        <v>290705.49837514106</v>
      </c>
      <c r="C34" s="165">
        <f t="shared" si="0"/>
        <v>65682000.302879371</v>
      </c>
    </row>
    <row r="35" spans="1:3" x14ac:dyDescent="0.25">
      <c r="A35" s="164">
        <f t="shared" si="1"/>
        <v>17500000</v>
      </c>
      <c r="B35" s="159">
        <f>((GTV!A35/$B$12)^$D$12)*$C$12*$F$12</f>
        <v>306184.02257296932</v>
      </c>
      <c r="C35" s="165">
        <f t="shared" si="0"/>
        <v>69179218.060136691</v>
      </c>
    </row>
    <row r="36" spans="1:3" x14ac:dyDescent="0.25">
      <c r="A36" s="164">
        <f t="shared" si="1"/>
        <v>18750000</v>
      </c>
      <c r="B36" s="159">
        <f>((GTV!A36/$B$12)^$D$12)*$C$12*$F$12</f>
        <v>321334.0744095621</v>
      </c>
      <c r="C36" s="165">
        <f t="shared" si="0"/>
        <v>72602220.772096455</v>
      </c>
    </row>
    <row r="37" spans="1:3" x14ac:dyDescent="0.25">
      <c r="A37" s="164">
        <f t="shared" si="1"/>
        <v>20000000</v>
      </c>
      <c r="B37" s="159">
        <f>((GTV!A37/$B$12)^$D$12)*$C$12*$F$12</f>
        <v>336183.88161876524</v>
      </c>
      <c r="C37" s="165">
        <f t="shared" si="0"/>
        <v>75957386.212943822</v>
      </c>
    </row>
    <row r="38" spans="1:3" x14ac:dyDescent="0.25">
      <c r="A38" s="164">
        <f t="shared" si="1"/>
        <v>21250000</v>
      </c>
      <c r="B38" s="159">
        <f>((GTV!A38/$B$12)^$D$12)*$C$12*$F$12</f>
        <v>350757.6440758456</v>
      </c>
      <c r="C38" s="165">
        <f t="shared" si="0"/>
        <v>79250182.102496549</v>
      </c>
    </row>
    <row r="39" spans="1:3" x14ac:dyDescent="0.25">
      <c r="A39" s="164">
        <f t="shared" si="1"/>
        <v>22500000</v>
      </c>
      <c r="B39" s="159">
        <f>((GTV!A39/$B$12)^$D$12)*$C$12*$F$12</f>
        <v>365076.31062993861</v>
      </c>
      <c r="C39" s="165">
        <f t="shared" si="0"/>
        <v>82485341.623728335</v>
      </c>
    </row>
    <row r="40" spans="1:3" x14ac:dyDescent="0.25">
      <c r="A40" s="164">
        <f t="shared" si="1"/>
        <v>23750000</v>
      </c>
      <c r="B40" s="159">
        <f>((GTV!A40/$B$12)^$D$12)*$C$12*$F$12</f>
        <v>379158.17141193023</v>
      </c>
      <c r="C40" s="165">
        <f t="shared" si="0"/>
        <v>85666997.248811513</v>
      </c>
    </row>
    <row r="41" spans="1:3" x14ac:dyDescent="0.25">
      <c r="A41" s="164">
        <f t="shared" si="1"/>
        <v>25000000</v>
      </c>
      <c r="B41" s="159">
        <f>((GTV!A41/$B$12)^$D$12)*$C$12*$F$12</f>
        <v>393019.31683366757</v>
      </c>
      <c r="C41" s="165">
        <f t="shared" si="0"/>
        <v>88798784.445398852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VAC_Optim_Scenario!$G$18</f>
        <v>0</v>
      </c>
      <c r="C6" s="94">
        <f>VAC_Optim_Scenario!$H$18</f>
        <v>0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15" customHeight="1" x14ac:dyDescent="0.2">
      <c r="A8" s="686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8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8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74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8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VAC_Optim_Scenario!$D$48</f>
        <v>1</v>
      </c>
      <c r="H12" s="71">
        <f>C12*G12</f>
        <v>54924.559200000003</v>
      </c>
      <c r="I12" s="115" t="e">
        <f>VAC_Optim_Scenario!#REF!</f>
        <v>#REF!</v>
      </c>
      <c r="K12" s="675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76" t="s">
        <v>114</v>
      </c>
      <c r="B13" s="677"/>
      <c r="C13" s="677"/>
      <c r="D13" s="677"/>
      <c r="E13" s="677"/>
      <c r="F13" s="678"/>
      <c r="G13" s="119" t="s">
        <v>150</v>
      </c>
      <c r="H13" s="119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VAC_Optim_Scenario!I48</f>
        <v>225.94</v>
      </c>
      <c r="H14" s="95">
        <f>VAC_Optim_Scenario!G48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75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93"/>
      <c r="C4" s="694"/>
      <c r="D4" s="694"/>
      <c r="E4" s="694"/>
      <c r="F4" s="695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82" t="s">
        <v>8</v>
      </c>
      <c r="B7" s="687" t="s">
        <v>9</v>
      </c>
      <c r="C7" s="687"/>
      <c r="D7" s="687" t="s">
        <v>12</v>
      </c>
      <c r="E7" s="687"/>
      <c r="F7" s="687"/>
      <c r="G7" s="687" t="s">
        <v>124</v>
      </c>
      <c r="H7" s="687"/>
      <c r="I7" s="692"/>
    </row>
    <row r="8" spans="1:9" x14ac:dyDescent="0.25">
      <c r="A8" s="686"/>
      <c r="B8" s="331" t="s">
        <v>10</v>
      </c>
      <c r="C8" s="331" t="s">
        <v>11</v>
      </c>
      <c r="D8" s="331" t="s">
        <v>20</v>
      </c>
      <c r="E8" s="331" t="s">
        <v>21</v>
      </c>
      <c r="F8" s="331" t="s">
        <v>117</v>
      </c>
      <c r="G8" s="331" t="s">
        <v>22</v>
      </c>
      <c r="H8" s="331" t="s">
        <v>23</v>
      </c>
      <c r="I8" s="4" t="s">
        <v>123</v>
      </c>
    </row>
    <row r="9" spans="1:9" ht="15.75" thickBot="1" x14ac:dyDescent="0.3">
      <c r="A9" s="683"/>
      <c r="B9" s="157">
        <f>VAC_Optim_Scenario!G38</f>
        <v>28089211</v>
      </c>
      <c r="C9" s="157">
        <f>VAC_Optim_Scenario!H38</f>
        <v>38089211</v>
      </c>
      <c r="D9" s="158">
        <f>VAC_Optim_Scenario!I38</f>
        <v>36089210.999896407</v>
      </c>
      <c r="E9" s="84">
        <f>((GLINEARTV_adt!D9/$B$12)^$D$12)*$C$12*$F$12</f>
        <v>222499.91597168916</v>
      </c>
      <c r="F9" s="84">
        <f>E9*F11</f>
        <v>222499.91597168916</v>
      </c>
      <c r="G9" s="76">
        <f>VAC_Optim_Scenario!E38</f>
        <v>28089211</v>
      </c>
      <c r="H9" s="159">
        <f>((GLINEARTV_adt!G9/$B$12)^$D$12)*$C$12*$F$12</f>
        <v>186699.58751036425</v>
      </c>
      <c r="I9" s="160">
        <f>H9*F11</f>
        <v>186699.58751036425</v>
      </c>
    </row>
    <row r="10" spans="1:9" ht="15.75" thickBot="1" x14ac:dyDescent="0.3"/>
    <row r="11" spans="1:9" ht="48.95" customHeight="1" x14ac:dyDescent="0.25">
      <c r="A11" s="654" t="s">
        <v>15</v>
      </c>
      <c r="B11" s="337" t="s">
        <v>16</v>
      </c>
      <c r="C11" s="337" t="s">
        <v>17</v>
      </c>
      <c r="D11" s="337" t="s">
        <v>170</v>
      </c>
      <c r="E11" s="331" t="s">
        <v>126</v>
      </c>
      <c r="F11" s="161">
        <v>1</v>
      </c>
    </row>
    <row r="12" spans="1:9" ht="40.5" customHeight="1" thickBot="1" x14ac:dyDescent="0.3">
      <c r="A12" s="654"/>
      <c r="B12" s="162">
        <f>'[22]TV - Power'!$B$12</f>
        <v>25810928.600000001</v>
      </c>
      <c r="C12" s="162">
        <f>'[22]TV - Power'!$C$12</f>
        <v>175965.7807258243</v>
      </c>
      <c r="D12" s="327">
        <f>'[22]TV - Power'!$D$12</f>
        <v>0.7</v>
      </c>
      <c r="E12" s="331" t="s">
        <v>122</v>
      </c>
      <c r="F12" s="163">
        <f>VAC_Optim_Scenario!D38</f>
        <v>1</v>
      </c>
      <c r="G12" s="266">
        <f>B12*2</f>
        <v>51621857.200000003</v>
      </c>
    </row>
    <row r="13" spans="1:9" ht="18.75" customHeight="1" x14ac:dyDescent="0.25">
      <c r="A13" s="676" t="s">
        <v>171</v>
      </c>
      <c r="B13" s="677"/>
      <c r="C13" s="677"/>
      <c r="D13" s="677"/>
      <c r="E13" s="331" t="s">
        <v>172</v>
      </c>
      <c r="F13" s="331" t="s">
        <v>173</v>
      </c>
    </row>
    <row r="14" spans="1:9" ht="15.75" thickBot="1" x14ac:dyDescent="0.3">
      <c r="A14" s="679"/>
      <c r="B14" s="680"/>
      <c r="C14" s="680"/>
      <c r="D14" s="680"/>
      <c r="E14" s="95">
        <f>VAC_Optim_Scenario!G48</f>
        <v>225.94</v>
      </c>
      <c r="F14" s="95">
        <f>VAC_Optim_Scenario!E48</f>
        <v>225.94</v>
      </c>
    </row>
    <row r="15" spans="1:9" ht="15.75" thickBot="1" x14ac:dyDescent="0.3"/>
    <row r="16" spans="1:9" x14ac:dyDescent="0.25">
      <c r="A16" s="674" t="s">
        <v>34</v>
      </c>
      <c r="B16" s="337" t="s">
        <v>32</v>
      </c>
      <c r="C16" s="337" t="s">
        <v>31</v>
      </c>
      <c r="D16" s="338" t="s">
        <v>33</v>
      </c>
    </row>
    <row r="17" spans="1:4" ht="15.75" thickBot="1" x14ac:dyDescent="0.3">
      <c r="A17" s="675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54" t="s">
        <v>37</v>
      </c>
      <c r="B19" s="654"/>
      <c r="C19" s="654"/>
      <c r="D19" s="98"/>
    </row>
    <row r="20" spans="1:4" ht="25.5" x14ac:dyDescent="0.25">
      <c r="A20" s="331" t="s">
        <v>35</v>
      </c>
      <c r="B20" s="331" t="s">
        <v>177</v>
      </c>
      <c r="C20" s="331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24012.067828140822</v>
      </c>
      <c r="C22" s="165">
        <f t="shared" ref="C22:C41" si="1">B22*$F$14</f>
        <v>5425286.6050901376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39007.71926975168</v>
      </c>
      <c r="C23" s="165">
        <f t="shared" si="1"/>
        <v>8813404.0918076951</v>
      </c>
    </row>
    <row r="24" spans="1:4" x14ac:dyDescent="0.25">
      <c r="A24" s="164">
        <f t="shared" si="2"/>
        <v>4500000</v>
      </c>
      <c r="B24" s="159">
        <f t="shared" si="0"/>
        <v>51810.101101445667</v>
      </c>
      <c r="C24" s="165">
        <f t="shared" si="1"/>
        <v>11705974.242860634</v>
      </c>
    </row>
    <row r="25" spans="1:4" x14ac:dyDescent="0.25">
      <c r="A25" s="164">
        <f t="shared" si="2"/>
        <v>6000000</v>
      </c>
      <c r="B25" s="159">
        <f t="shared" si="0"/>
        <v>63368.226906494223</v>
      </c>
      <c r="C25" s="165">
        <f t="shared" si="1"/>
        <v>14317417.187253304</v>
      </c>
    </row>
    <row r="26" spans="1:4" x14ac:dyDescent="0.25">
      <c r="A26" s="164">
        <f t="shared" si="2"/>
        <v>7500000</v>
      </c>
      <c r="B26" s="159">
        <f t="shared" si="0"/>
        <v>74081.294819463001</v>
      </c>
      <c r="C26" s="165">
        <f t="shared" si="1"/>
        <v>16737927.751509471</v>
      </c>
    </row>
    <row r="27" spans="1:4" x14ac:dyDescent="0.25">
      <c r="A27" s="164">
        <f t="shared" si="2"/>
        <v>9000000</v>
      </c>
      <c r="B27" s="159">
        <f t="shared" si="0"/>
        <v>84165.757550216164</v>
      </c>
      <c r="C27" s="165">
        <f t="shared" si="1"/>
        <v>19016411.260895841</v>
      </c>
    </row>
    <row r="28" spans="1:4" x14ac:dyDescent="0.25">
      <c r="A28" s="164">
        <f t="shared" si="2"/>
        <v>10500000</v>
      </c>
      <c r="B28" s="159">
        <f t="shared" si="0"/>
        <v>93755.809833198509</v>
      </c>
      <c r="C28" s="165">
        <f t="shared" si="1"/>
        <v>21183187.673712872</v>
      </c>
    </row>
    <row r="29" spans="1:4" x14ac:dyDescent="0.25">
      <c r="A29" s="164">
        <f t="shared" si="2"/>
        <v>12000000</v>
      </c>
      <c r="B29" s="159">
        <f t="shared" si="0"/>
        <v>102941.98831529124</v>
      </c>
      <c r="C29" s="165">
        <f t="shared" si="1"/>
        <v>23258712.839956902</v>
      </c>
    </row>
    <row r="30" spans="1:4" x14ac:dyDescent="0.25">
      <c r="A30" s="164">
        <f t="shared" si="2"/>
        <v>13500000</v>
      </c>
      <c r="B30" s="159">
        <f t="shared" si="0"/>
        <v>111789.06353896717</v>
      </c>
      <c r="C30" s="165">
        <f t="shared" si="1"/>
        <v>25257621.01599424</v>
      </c>
    </row>
    <row r="31" spans="1:4" x14ac:dyDescent="0.25">
      <c r="A31" s="164">
        <f t="shared" si="2"/>
        <v>15000000</v>
      </c>
      <c r="B31" s="159">
        <f t="shared" si="0"/>
        <v>120345.41848456317</v>
      </c>
      <c r="C31" s="165">
        <f t="shared" si="1"/>
        <v>27190843.852402203</v>
      </c>
    </row>
    <row r="32" spans="1:4" x14ac:dyDescent="0.25">
      <c r="A32" s="164">
        <f t="shared" si="2"/>
        <v>16500000</v>
      </c>
      <c r="B32" s="159">
        <f t="shared" si="0"/>
        <v>128648.41534754353</v>
      </c>
      <c r="C32" s="165">
        <f t="shared" si="1"/>
        <v>29066822.963623986</v>
      </c>
    </row>
    <row r="33" spans="1:3" x14ac:dyDescent="0.25">
      <c r="A33" s="164">
        <f t="shared" si="2"/>
        <v>18000000</v>
      </c>
      <c r="B33" s="159">
        <f t="shared" si="0"/>
        <v>136727.67652260201</v>
      </c>
      <c r="C33" s="165">
        <f t="shared" si="1"/>
        <v>30892251.233516697</v>
      </c>
    </row>
    <row r="34" spans="1:3" x14ac:dyDescent="0.25">
      <c r="A34" s="164">
        <f t="shared" si="2"/>
        <v>19500000</v>
      </c>
      <c r="B34" s="159">
        <f t="shared" si="0"/>
        <v>144607.19701424582</v>
      </c>
      <c r="C34" s="165">
        <f t="shared" si="1"/>
        <v>32672550.093398698</v>
      </c>
    </row>
    <row r="35" spans="1:3" x14ac:dyDescent="0.25">
      <c r="A35" s="164">
        <f t="shared" si="2"/>
        <v>21000000</v>
      </c>
      <c r="B35" s="159">
        <f t="shared" si="0"/>
        <v>152306.76241866997</v>
      </c>
      <c r="C35" s="165">
        <f t="shared" si="1"/>
        <v>34412189.900874294</v>
      </c>
    </row>
    <row r="36" spans="1:3" x14ac:dyDescent="0.25">
      <c r="A36" s="164">
        <f t="shared" si="2"/>
        <v>22500000</v>
      </c>
      <c r="B36" s="159">
        <f t="shared" si="0"/>
        <v>159842.93405269625</v>
      </c>
      <c r="C36" s="165">
        <f t="shared" si="1"/>
        <v>36114912.519866191</v>
      </c>
    </row>
    <row r="37" spans="1:3" x14ac:dyDescent="0.25">
      <c r="A37" s="164">
        <f t="shared" si="2"/>
        <v>24000000</v>
      </c>
      <c r="B37" s="159">
        <f t="shared" si="0"/>
        <v>167229.75338954179</v>
      </c>
      <c r="C37" s="165">
        <f t="shared" si="1"/>
        <v>37783890.480833068</v>
      </c>
    </row>
    <row r="38" spans="1:3" x14ac:dyDescent="0.25">
      <c r="A38" s="164">
        <f t="shared" si="2"/>
        <v>25500000</v>
      </c>
      <c r="B38" s="159">
        <f t="shared" si="0"/>
        <v>174479.25830310295</v>
      </c>
      <c r="C38" s="165">
        <f t="shared" si="1"/>
        <v>39421843.621003076</v>
      </c>
    </row>
    <row r="39" spans="1:3" x14ac:dyDescent="0.25">
      <c r="A39" s="164">
        <f t="shared" si="2"/>
        <v>27000000</v>
      </c>
      <c r="B39" s="159">
        <f t="shared" si="0"/>
        <v>181601.86949189112</v>
      </c>
      <c r="C39" s="165">
        <f t="shared" si="1"/>
        <v>41031126.392997876</v>
      </c>
    </row>
    <row r="40" spans="1:3" x14ac:dyDescent="0.25">
      <c r="A40" s="164">
        <f t="shared" si="2"/>
        <v>28500000</v>
      </c>
      <c r="B40" s="159">
        <f t="shared" si="0"/>
        <v>188606.68511392263</v>
      </c>
      <c r="C40" s="165">
        <f t="shared" si="1"/>
        <v>42613794.434639677</v>
      </c>
    </row>
    <row r="41" spans="1:3" x14ac:dyDescent="0.25">
      <c r="A41" s="164">
        <f t="shared" si="2"/>
        <v>30000000</v>
      </c>
      <c r="B41" s="159">
        <f t="shared" si="0"/>
        <v>195501.70910916085</v>
      </c>
      <c r="C41" s="165">
        <f t="shared" si="1"/>
        <v>44171656.156123802</v>
      </c>
    </row>
    <row r="42" spans="1:3" x14ac:dyDescent="0.25">
      <c r="A42" s="164">
        <f t="shared" si="2"/>
        <v>31500000</v>
      </c>
      <c r="B42" s="159">
        <f t="shared" si="0"/>
        <v>202294.03069623225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zoomScaleNormal="100" workbookViewId="0">
      <selection activeCell="C12" sqref="C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0" t="s">
        <v>102</v>
      </c>
      <c r="I2" s="391"/>
      <c r="J2" s="391"/>
      <c r="K2" s="391"/>
      <c r="L2" s="392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84" t="s">
        <v>106</v>
      </c>
      <c r="C4" s="684"/>
      <c r="D4" s="684"/>
      <c r="E4" s="684"/>
      <c r="F4" s="685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682" t="s">
        <v>8</v>
      </c>
      <c r="B7" s="687" t="s">
        <v>9</v>
      </c>
      <c r="C7" s="688"/>
      <c r="D7" s="689" t="s">
        <v>12</v>
      </c>
      <c r="E7" s="690"/>
      <c r="F7" s="691"/>
      <c r="G7" s="687" t="s">
        <v>124</v>
      </c>
      <c r="H7" s="687"/>
      <c r="I7" s="692"/>
      <c r="J7" s="98" t="s">
        <v>125</v>
      </c>
    </row>
    <row r="8" spans="1:18" ht="28.35" customHeight="1" x14ac:dyDescent="0.2">
      <c r="A8" s="686"/>
      <c r="B8" s="389" t="s">
        <v>10</v>
      </c>
      <c r="C8" s="17" t="s">
        <v>11</v>
      </c>
      <c r="D8" s="19" t="s">
        <v>20</v>
      </c>
      <c r="E8" s="389" t="s">
        <v>21</v>
      </c>
      <c r="F8" s="81" t="s">
        <v>117</v>
      </c>
      <c r="G8" s="393" t="s">
        <v>22</v>
      </c>
      <c r="H8" s="389" t="s">
        <v>23</v>
      </c>
      <c r="I8" s="88" t="s">
        <v>123</v>
      </c>
    </row>
    <row r="9" spans="1:18" ht="14.45" customHeight="1" thickBot="1" x14ac:dyDescent="0.25">
      <c r="A9" s="683"/>
      <c r="B9" s="95">
        <f>VAC_Optim_Scenario!G40</f>
        <v>3200000</v>
      </c>
      <c r="C9" s="95">
        <f>VAC_Optim_Scenario!H40</f>
        <v>3200000</v>
      </c>
      <c r="D9" s="95">
        <f>VAC_Optim_Scenario!I40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VAC_Optim_Scenario!E40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82" t="s">
        <v>15</v>
      </c>
      <c r="B11" s="395" t="s">
        <v>16</v>
      </c>
      <c r="C11" s="395" t="s">
        <v>17</v>
      </c>
      <c r="D11" s="395" t="s">
        <v>18</v>
      </c>
      <c r="E11" s="395" t="s">
        <v>19</v>
      </c>
      <c r="F11" s="396" t="s">
        <v>109</v>
      </c>
      <c r="G11" s="394" t="s">
        <v>181</v>
      </c>
      <c r="H11" s="395" t="s">
        <v>119</v>
      </c>
      <c r="I11" s="92" t="s">
        <v>122</v>
      </c>
      <c r="K11" s="674" t="s">
        <v>25</v>
      </c>
      <c r="L11" s="395" t="s">
        <v>110</v>
      </c>
      <c r="M11" s="395" t="s">
        <v>111</v>
      </c>
      <c r="N11" s="395" t="s">
        <v>112</v>
      </c>
      <c r="O11" s="395" t="s">
        <v>113</v>
      </c>
      <c r="P11" s="395" t="s">
        <v>26</v>
      </c>
      <c r="Q11" s="395" t="s">
        <v>27</v>
      </c>
      <c r="R11" s="396" t="s">
        <v>28</v>
      </c>
    </row>
    <row r="12" spans="1:18" ht="15" customHeight="1" thickBot="1" x14ac:dyDescent="0.25">
      <c r="A12" s="683"/>
      <c r="B12" s="348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49">
        <f>[23]VAC_Optim_Scenario!$D$33</f>
        <v>1</v>
      </c>
      <c r="H12" s="71">
        <f>C12*G12</f>
        <v>18205.431530494821</v>
      </c>
      <c r="I12" s="350">
        <f>[23]VAC_Optim_Scenario!D26</f>
        <v>1</v>
      </c>
      <c r="K12" s="675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76" t="s">
        <v>182</v>
      </c>
      <c r="B13" s="677"/>
      <c r="C13" s="677"/>
      <c r="D13" s="677"/>
      <c r="E13" s="677"/>
      <c r="F13" s="678"/>
      <c r="G13" s="389" t="s">
        <v>150</v>
      </c>
      <c r="H13" s="389" t="s">
        <v>151</v>
      </c>
      <c r="K13" s="676" t="s">
        <v>115</v>
      </c>
      <c r="L13" s="677"/>
      <c r="M13" s="677"/>
      <c r="N13" s="677"/>
      <c r="O13" s="677"/>
      <c r="P13" s="677"/>
      <c r="Q13" s="677"/>
      <c r="R13" s="678"/>
    </row>
    <row r="14" spans="1:18" ht="33.6" customHeight="1" thickBot="1" x14ac:dyDescent="0.25">
      <c r="A14" s="679"/>
      <c r="B14" s="680"/>
      <c r="C14" s="680"/>
      <c r="D14" s="680"/>
      <c r="E14" s="680"/>
      <c r="F14" s="681"/>
      <c r="G14" s="95">
        <f>VAC_Optim_Scenario!I48</f>
        <v>225.94</v>
      </c>
      <c r="H14" s="95">
        <f>VAC_Optim_Scenario!G48</f>
        <v>225.94</v>
      </c>
      <c r="K14" s="679"/>
      <c r="L14" s="680"/>
      <c r="M14" s="680"/>
      <c r="N14" s="680"/>
      <c r="O14" s="680"/>
      <c r="P14" s="680"/>
      <c r="Q14" s="680"/>
      <c r="R14" s="681"/>
    </row>
    <row r="16" spans="1:18" ht="13.5" thickBot="1" x14ac:dyDescent="0.25"/>
    <row r="17" spans="1:8" ht="42.6" customHeight="1" x14ac:dyDescent="0.2">
      <c r="A17" s="674" t="s">
        <v>34</v>
      </c>
      <c r="B17" s="395" t="s">
        <v>32</v>
      </c>
      <c r="C17" s="395" t="s">
        <v>31</v>
      </c>
      <c r="D17" s="396" t="s">
        <v>33</v>
      </c>
      <c r="F17" s="96"/>
      <c r="G17" s="96"/>
      <c r="H17" s="351"/>
    </row>
    <row r="18" spans="1:8" ht="23.45" customHeight="1" thickBot="1" x14ac:dyDescent="0.25">
      <c r="A18" s="675"/>
      <c r="B18" s="75">
        <v>0</v>
      </c>
      <c r="C18" s="76">
        <v>4000000</v>
      </c>
      <c r="D18" s="26">
        <v>20</v>
      </c>
    </row>
    <row r="20" spans="1:8" x14ac:dyDescent="0.2">
      <c r="A20" s="654" t="s">
        <v>37</v>
      </c>
      <c r="B20" s="654"/>
      <c r="C20" s="654"/>
    </row>
    <row r="21" spans="1:8" ht="25.5" x14ac:dyDescent="0.2">
      <c r="A21" s="389" t="s">
        <v>35</v>
      </c>
      <c r="B21" s="389" t="s">
        <v>183</v>
      </c>
      <c r="C21" s="389" t="s">
        <v>184</v>
      </c>
      <c r="D21" s="98" t="s">
        <v>185</v>
      </c>
      <c r="E21" s="38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659" t="s">
        <v>100</v>
      </c>
      <c r="G2" s="660"/>
      <c r="H2" s="660"/>
      <c r="I2" s="660"/>
      <c r="J2" s="660"/>
      <c r="K2" s="660"/>
      <c r="L2" s="661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662" t="s">
        <v>72</v>
      </c>
      <c r="G3" s="663"/>
      <c r="H3" s="663"/>
      <c r="I3" s="663"/>
      <c r="J3" s="663"/>
      <c r="K3" s="663"/>
      <c r="L3" s="664"/>
    </row>
    <row r="4" spans="1:12" ht="13.5" thickBot="1" x14ac:dyDescent="0.25">
      <c r="A4" s="29" t="s">
        <v>38</v>
      </c>
      <c r="B4" s="696" t="s">
        <v>39</v>
      </c>
      <c r="C4" s="696"/>
      <c r="D4" s="697"/>
    </row>
    <row r="6" spans="1:12" ht="13.5" thickBot="1" x14ac:dyDescent="0.25"/>
    <row r="7" spans="1:12" ht="27.75" customHeight="1" x14ac:dyDescent="0.2">
      <c r="A7" s="682" t="s">
        <v>8</v>
      </c>
      <c r="B7" s="687" t="s">
        <v>9</v>
      </c>
      <c r="C7" s="688"/>
      <c r="D7" s="689" t="s">
        <v>12</v>
      </c>
      <c r="E7" s="691"/>
      <c r="F7" s="690" t="s">
        <v>24</v>
      </c>
      <c r="G7" s="704"/>
    </row>
    <row r="8" spans="1:12" ht="25.5" x14ac:dyDescent="0.2">
      <c r="A8" s="68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8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8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8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83"/>
      <c r="B12" s="12">
        <v>20</v>
      </c>
      <c r="C12" s="12">
        <v>30</v>
      </c>
      <c r="D12" s="12">
        <v>0</v>
      </c>
      <c r="E12" s="14">
        <v>70</v>
      </c>
      <c r="G12" s="68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76" t="s">
        <v>30</v>
      </c>
      <c r="B13" s="677"/>
      <c r="C13" s="677"/>
      <c r="D13" s="677"/>
      <c r="E13" s="678"/>
      <c r="G13" s="698" t="s">
        <v>29</v>
      </c>
      <c r="H13" s="699"/>
      <c r="I13" s="699"/>
      <c r="J13" s="700"/>
    </row>
    <row r="14" spans="1:12" ht="33.6" customHeight="1" x14ac:dyDescent="0.2">
      <c r="A14" s="679"/>
      <c r="B14" s="680"/>
      <c r="C14" s="680"/>
      <c r="D14" s="680"/>
      <c r="E14" s="681"/>
      <c r="G14" s="701"/>
      <c r="H14" s="702"/>
      <c r="I14" s="702"/>
      <c r="J14" s="703"/>
    </row>
    <row r="16" spans="1:12" ht="13.5" thickBot="1" x14ac:dyDescent="0.25"/>
    <row r="17" spans="1:4" ht="16.899999999999999" customHeight="1" x14ac:dyDescent="0.2">
      <c r="A17" s="674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75"/>
      <c r="B18" s="12">
        <v>0</v>
      </c>
      <c r="C18" s="12">
        <v>100</v>
      </c>
      <c r="D18" s="26">
        <v>20</v>
      </c>
    </row>
    <row r="20" spans="1:4" x14ac:dyDescent="0.2">
      <c r="A20" s="654" t="s">
        <v>37</v>
      </c>
      <c r="B20" s="654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659" t="s">
        <v>100</v>
      </c>
      <c r="G2" s="660"/>
      <c r="H2" s="660"/>
      <c r="I2" s="660"/>
      <c r="J2" s="660"/>
      <c r="K2" s="660"/>
      <c r="L2" s="661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662" t="s">
        <v>72</v>
      </c>
      <c r="G3" s="663"/>
      <c r="H3" s="663"/>
      <c r="I3" s="663"/>
      <c r="J3" s="663"/>
      <c r="K3" s="663"/>
      <c r="L3" s="664"/>
    </row>
    <row r="4" spans="1:12" ht="31.9" customHeight="1" thickBot="1" x14ac:dyDescent="0.25">
      <c r="A4" s="29" t="s">
        <v>38</v>
      </c>
      <c r="B4" s="705" t="s">
        <v>41</v>
      </c>
      <c r="C4" s="706"/>
      <c r="D4" s="707"/>
    </row>
    <row r="6" spans="1:12" ht="13.5" thickBot="1" x14ac:dyDescent="0.25"/>
    <row r="7" spans="1:12" ht="27.75" customHeight="1" x14ac:dyDescent="0.2">
      <c r="A7" s="682" t="s">
        <v>8</v>
      </c>
      <c r="B7" s="687" t="s">
        <v>9</v>
      </c>
      <c r="C7" s="688"/>
      <c r="D7" s="689" t="s">
        <v>12</v>
      </c>
      <c r="E7" s="691"/>
      <c r="F7" s="690" t="s">
        <v>24</v>
      </c>
      <c r="G7" s="704"/>
      <c r="H7" s="1" t="s">
        <v>54</v>
      </c>
    </row>
    <row r="8" spans="1:12" ht="25.5" x14ac:dyDescent="0.2">
      <c r="A8" s="68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8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82" t="s">
        <v>42</v>
      </c>
      <c r="B11" s="632" t="s">
        <v>47</v>
      </c>
      <c r="C11" s="709" t="s">
        <v>46</v>
      </c>
      <c r="D11" s="690"/>
      <c r="E11" s="690"/>
      <c r="F11" s="3" t="s">
        <v>48</v>
      </c>
      <c r="G11" s="33"/>
      <c r="H11" s="32"/>
      <c r="I11" s="32"/>
      <c r="J11" s="32"/>
    </row>
    <row r="12" spans="1:12" x14ac:dyDescent="0.2">
      <c r="A12" s="710"/>
      <c r="B12" s="631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711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708" t="s">
        <v>52</v>
      </c>
      <c r="B14" s="708"/>
      <c r="C14" s="708"/>
      <c r="D14" s="708"/>
      <c r="E14" s="708"/>
      <c r="F14" s="708"/>
      <c r="G14" s="38"/>
      <c r="H14" s="39"/>
      <c r="I14" s="39"/>
      <c r="J14" s="39"/>
    </row>
    <row r="15" spans="1:12" ht="30.6" customHeight="1" x14ac:dyDescent="0.2">
      <c r="A15" s="708"/>
      <c r="B15" s="708"/>
      <c r="C15" s="708"/>
      <c r="D15" s="708"/>
      <c r="E15" s="708"/>
      <c r="F15" s="708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74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75"/>
      <c r="B19" s="12">
        <v>0</v>
      </c>
      <c r="C19" s="12">
        <v>20000000</v>
      </c>
      <c r="D19" s="26">
        <v>20</v>
      </c>
    </row>
    <row r="21" spans="1:4" x14ac:dyDescent="0.2">
      <c r="A21" s="654" t="s">
        <v>37</v>
      </c>
      <c r="B21" s="654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712" t="s">
        <v>106</v>
      </c>
      <c r="C4" s="712"/>
      <c r="D4" s="712"/>
      <c r="E4" s="712"/>
      <c r="F4" s="713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82" t="s">
        <v>8</v>
      </c>
      <c r="B7" s="687" t="s">
        <v>9</v>
      </c>
      <c r="C7" s="688"/>
      <c r="D7" s="689" t="s">
        <v>12</v>
      </c>
      <c r="E7" s="691"/>
      <c r="F7" s="690" t="s">
        <v>24</v>
      </c>
      <c r="G7" s="704"/>
    </row>
    <row r="8" spans="1:15" ht="25.5" x14ac:dyDescent="0.2">
      <c r="A8" s="686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8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8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74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8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75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76" t="s">
        <v>114</v>
      </c>
      <c r="B13" s="677"/>
      <c r="C13" s="677"/>
      <c r="D13" s="677"/>
      <c r="E13" s="677"/>
      <c r="F13" s="678"/>
      <c r="H13" s="676" t="s">
        <v>115</v>
      </c>
      <c r="I13" s="677"/>
      <c r="J13" s="677"/>
      <c r="K13" s="677"/>
      <c r="L13" s="677"/>
      <c r="M13" s="677"/>
      <c r="N13" s="677"/>
      <c r="O13" s="678"/>
    </row>
    <row r="14" spans="1:15" ht="33.6" customHeight="1" x14ac:dyDescent="0.2">
      <c r="A14" s="679"/>
      <c r="B14" s="680"/>
      <c r="C14" s="680"/>
      <c r="D14" s="680"/>
      <c r="E14" s="680"/>
      <c r="F14" s="681"/>
      <c r="H14" s="679"/>
      <c r="I14" s="680"/>
      <c r="J14" s="680"/>
      <c r="K14" s="680"/>
      <c r="L14" s="680"/>
      <c r="M14" s="680"/>
      <c r="N14" s="680"/>
      <c r="O14" s="681"/>
    </row>
    <row r="16" spans="1:15" ht="13.5" thickBot="1" x14ac:dyDescent="0.25"/>
    <row r="17" spans="1:4" ht="16.899999999999999" customHeight="1" x14ac:dyDescent="0.2">
      <c r="A17" s="674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75"/>
      <c r="B18" s="75">
        <v>0</v>
      </c>
      <c r="C18" s="76">
        <v>200000000</v>
      </c>
      <c r="D18" s="26">
        <v>20</v>
      </c>
    </row>
    <row r="20" spans="1:4" x14ac:dyDescent="0.2">
      <c r="A20" s="654" t="s">
        <v>37</v>
      </c>
      <c r="B20" s="654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659" t="s">
        <v>100</v>
      </c>
      <c r="G2" s="660"/>
      <c r="H2" s="660"/>
      <c r="I2" s="660"/>
      <c r="J2" s="660"/>
      <c r="K2" s="660"/>
      <c r="L2" s="661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662" t="s">
        <v>72</v>
      </c>
      <c r="G3" s="663"/>
      <c r="H3" s="663"/>
      <c r="I3" s="663"/>
      <c r="J3" s="663"/>
      <c r="K3" s="663"/>
      <c r="L3" s="664"/>
    </row>
    <row r="4" spans="1:14" ht="13.5" thickBot="1" x14ac:dyDescent="0.25">
      <c r="A4" s="29" t="s">
        <v>38</v>
      </c>
      <c r="B4" s="696" t="s">
        <v>57</v>
      </c>
      <c r="C4" s="696"/>
      <c r="D4" s="697"/>
    </row>
    <row r="6" spans="1:14" ht="13.5" thickBot="1" x14ac:dyDescent="0.25"/>
    <row r="7" spans="1:14" ht="27.75" customHeight="1" x14ac:dyDescent="0.2">
      <c r="A7" s="682" t="s">
        <v>8</v>
      </c>
      <c r="B7" s="687" t="s">
        <v>9</v>
      </c>
      <c r="C7" s="688"/>
      <c r="D7" s="689" t="s">
        <v>12</v>
      </c>
      <c r="E7" s="691"/>
      <c r="F7" s="690" t="s">
        <v>24</v>
      </c>
      <c r="G7" s="704"/>
      <c r="I7" s="716" t="s">
        <v>73</v>
      </c>
      <c r="J7" s="716"/>
      <c r="K7" s="716"/>
      <c r="L7" s="716"/>
      <c r="N7" s="47" t="s">
        <v>58</v>
      </c>
    </row>
    <row r="8" spans="1:14" ht="25.5" x14ac:dyDescent="0.2">
      <c r="A8" s="68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716"/>
      <c r="J8" s="716"/>
      <c r="K8" s="716"/>
      <c r="L8" s="716"/>
      <c r="N8" s="47" t="s">
        <v>59</v>
      </c>
    </row>
    <row r="9" spans="1:14" ht="13.5" thickBot="1" x14ac:dyDescent="0.25">
      <c r="A9" s="68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654" t="s">
        <v>60</v>
      </c>
      <c r="B11" s="3" t="s">
        <v>61</v>
      </c>
      <c r="C11" s="3" t="s">
        <v>62</v>
      </c>
      <c r="D11" s="32"/>
      <c r="E11" s="714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654"/>
      <c r="B12" s="41">
        <v>0</v>
      </c>
      <c r="C12" s="41">
        <v>0</v>
      </c>
      <c r="D12" s="32"/>
      <c r="E12" s="715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654"/>
      <c r="B13" s="41">
        <v>1</v>
      </c>
      <c r="C13" s="41">
        <v>0.75</v>
      </c>
      <c r="D13" s="32"/>
      <c r="E13" s="715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654"/>
      <c r="B14" s="41">
        <v>2</v>
      </c>
      <c r="C14" s="41">
        <v>0</v>
      </c>
      <c r="D14" s="32"/>
      <c r="E14" s="715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654"/>
      <c r="B15" s="41">
        <v>3</v>
      </c>
      <c r="C15" s="41">
        <v>-1</v>
      </c>
      <c r="D15" s="32"/>
      <c r="E15" s="715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654"/>
      <c r="B16" s="41">
        <v>4</v>
      </c>
      <c r="C16" s="41">
        <v>3</v>
      </c>
      <c r="D16" s="32"/>
      <c r="E16" s="715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654"/>
      <c r="B17" s="42">
        <v>5</v>
      </c>
      <c r="C17" s="42">
        <v>3</v>
      </c>
      <c r="D17" s="40"/>
      <c r="E17" s="715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717" t="s">
        <v>74</v>
      </c>
      <c r="B18" s="718"/>
      <c r="C18" s="719"/>
      <c r="D18" s="33"/>
      <c r="E18" s="708" t="s">
        <v>75</v>
      </c>
      <c r="F18" s="708"/>
      <c r="G18" s="708"/>
      <c r="H18" s="708"/>
      <c r="I18" s="708"/>
      <c r="J18" s="708"/>
      <c r="K18" s="708"/>
      <c r="L18" s="708"/>
      <c r="M18" s="708"/>
    </row>
    <row r="19" spans="1:13" ht="35.65" customHeight="1" x14ac:dyDescent="0.2">
      <c r="A19" s="679"/>
      <c r="B19" s="680"/>
      <c r="C19" s="681"/>
      <c r="D19" s="33"/>
      <c r="E19" s="708"/>
      <c r="F19" s="708"/>
      <c r="G19" s="708"/>
      <c r="H19" s="708"/>
      <c r="I19" s="708"/>
      <c r="J19" s="708"/>
      <c r="K19" s="708"/>
      <c r="L19" s="708"/>
      <c r="M19" s="708"/>
    </row>
    <row r="21" spans="1:13" ht="13.5" thickBot="1" x14ac:dyDescent="0.25"/>
    <row r="22" spans="1:13" ht="16.899999999999999" customHeight="1" x14ac:dyDescent="0.2">
      <c r="A22" s="674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75"/>
      <c r="B23" s="12">
        <v>0</v>
      </c>
      <c r="C23" s="12">
        <v>5</v>
      </c>
      <c r="D23" s="26">
        <v>20</v>
      </c>
    </row>
    <row r="25" spans="1:13" x14ac:dyDescent="0.2">
      <c r="A25" s="654" t="s">
        <v>37</v>
      </c>
      <c r="B25" s="654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43</vt:i4>
      </vt:variant>
    </vt:vector>
  </HeadingPairs>
  <TitlesOfParts>
    <vt:vector size="43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Scenario deep dive_24_20M_rm_mc</vt:lpstr>
      <vt:lpstr>Case1_Constraints</vt:lpstr>
      <vt:lpstr>Case2_Constraints</vt:lpstr>
      <vt:lpstr>Scenario deep dive_24_40M_case1</vt:lpstr>
      <vt:lpstr>Scenario deep dive_24_40M_case2</vt:lpstr>
      <vt:lpstr>VAC_Optim_Scenario</vt:lpstr>
      <vt:lpstr>Case_Constraints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2024-04-02T11:09:06Z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  <property fmtid="{D5CDD505-2E9C-101B-9397-08002B2CF9AE}" pid="18" name="_AdHocReviewCycleID">
    <vt:i4>-1161248034</vt:i4>
  </property>
  <property fmtid="{D5CDD505-2E9C-101B-9397-08002B2CF9AE}" pid="19" name="_NewReviewCycle">
    <vt:lpwstr/>
  </property>
  <property fmtid="{D5CDD505-2E9C-101B-9397-08002B2CF9AE}" pid="20" name="_EmailSubject">
    <vt:lpwstr>PFA</vt:lpwstr>
  </property>
  <property fmtid="{D5CDD505-2E9C-101B-9397-08002B2CF9AE}" pid="21" name="_AuthorEmail">
    <vt:lpwstr>sarath.a@merck.com</vt:lpwstr>
  </property>
  <property fmtid="{D5CDD505-2E9C-101B-9397-08002B2CF9AE}" pid="22" name="_AuthorEmailDisplayName">
    <vt:lpwstr>A, Sarath</vt:lpwstr>
  </property>
  <property fmtid="{D5CDD505-2E9C-101B-9397-08002B2CF9AE}" pid="23" name="_PreviousAdHocReviewCycleID">
    <vt:i4>-2059472871</vt:i4>
  </property>
  <property fmtid="{D5CDD505-2E9C-101B-9397-08002B2CF9AE}" pid="24" name="_ReviewingToolsShownOnce">
    <vt:lpwstr/>
  </property>
</Properties>
</file>