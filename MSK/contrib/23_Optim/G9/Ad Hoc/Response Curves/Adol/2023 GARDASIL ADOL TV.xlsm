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 Hoc\Response Curves\Adol\"/>
    </mc:Choice>
  </mc:AlternateContent>
  <xr:revisionPtr revIDLastSave="0" documentId="13_ncr:1_{605ED1AD-F458-4839-8204-FC3A702BD33C}" xr6:coauthVersionLast="47" xr6:coauthVersionMax="47" xr10:uidLastSave="{00000000-0000-0000-0000-000000000000}"/>
  <bookViews>
    <workbookView xWindow="-108" yWindow="-108" windowWidth="23256" windowHeight="12576" tabRatio="574" xr2:uid="{00000000-000D-0000-FFFF-FFFF00000000}"/>
  </bookViews>
  <sheets>
    <sheet name="TV" sheetId="13" r:id="rId1"/>
    <sheet name="Data" sheetId="14" r:id="rId2"/>
    <sheet name="TV - Power" sheetId="15" r:id="rId3"/>
    <sheet name="TV - Scurve" sheetId="8" state="hidden" r:id="rId4"/>
    <sheet name="2018" sheetId="12" r:id="rId5"/>
    <sheet name="2017" sheetId="9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" i="13" l="1"/>
  <c r="F9" i="13" s="1"/>
  <c r="G5" i="13" s="1"/>
  <c r="D12" i="15" l="1"/>
  <c r="H5" i="14" l="1"/>
  <c r="B12" i="15" s="1"/>
  <c r="A21" i="15"/>
  <c r="D6" i="13"/>
  <c r="G9" i="15" l="1"/>
  <c r="A22" i="15"/>
  <c r="A23" i="15" s="1"/>
  <c r="C9" i="15"/>
  <c r="B9" i="15"/>
  <c r="A24" i="15" l="1"/>
  <c r="A25" i="15"/>
  <c r="A26" i="15" l="1"/>
  <c r="A27" i="15" l="1"/>
  <c r="A28" i="15" l="1"/>
  <c r="A29" i="15" l="1"/>
  <c r="A30" i="15" l="1"/>
  <c r="A31" i="15" l="1"/>
  <c r="A32" i="15" l="1"/>
  <c r="A33" i="15" l="1"/>
  <c r="A34" i="15" l="1"/>
  <c r="A35" i="15" l="1"/>
  <c r="A36" i="15" l="1"/>
  <c r="A37" i="15" l="1"/>
  <c r="A38" i="15" l="1"/>
  <c r="A39" i="15" l="1"/>
  <c r="A40" i="15" l="1"/>
  <c r="A41" i="15" l="1"/>
  <c r="A60" i="12" l="1"/>
  <c r="A59" i="12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H14" i="12" a="1"/>
  <c r="O26" i="12" l="1"/>
  <c r="K26" i="12"/>
  <c r="O25" i="12"/>
  <c r="K25" i="12"/>
  <c r="O24" i="12"/>
  <c r="K24" i="12"/>
  <c r="O23" i="12"/>
  <c r="K23" i="12"/>
  <c r="O22" i="12"/>
  <c r="K22" i="12"/>
  <c r="O21" i="12"/>
  <c r="K21" i="12"/>
  <c r="O20" i="12"/>
  <c r="K20" i="12"/>
  <c r="O19" i="12"/>
  <c r="K19" i="12"/>
  <c r="O18" i="12"/>
  <c r="K18" i="12"/>
  <c r="O17" i="12"/>
  <c r="K17" i="12"/>
  <c r="O16" i="12"/>
  <c r="K16" i="12"/>
  <c r="O15" i="12"/>
  <c r="K15" i="12"/>
  <c r="O14" i="12"/>
  <c r="K14" i="12"/>
  <c r="N26" i="12"/>
  <c r="J26" i="12"/>
  <c r="N25" i="12"/>
  <c r="L26" i="12"/>
  <c r="L25" i="12"/>
  <c r="N24" i="12"/>
  <c r="I24" i="12"/>
  <c r="L23" i="12"/>
  <c r="N22" i="12"/>
  <c r="I22" i="12"/>
  <c r="L21" i="12"/>
  <c r="N20" i="12"/>
  <c r="I20" i="12"/>
  <c r="L19" i="12"/>
  <c r="N18" i="12"/>
  <c r="I18" i="12"/>
  <c r="L17" i="12"/>
  <c r="N16" i="12"/>
  <c r="I16" i="12"/>
  <c r="L15" i="12"/>
  <c r="N14" i="12"/>
  <c r="I14" i="12"/>
  <c r="I26" i="12"/>
  <c r="J25" i="12"/>
  <c r="M24" i="12"/>
  <c r="H24" i="12"/>
  <c r="J23" i="12"/>
  <c r="M22" i="12"/>
  <c r="H22" i="12"/>
  <c r="J21" i="12"/>
  <c r="M20" i="12"/>
  <c r="H20" i="12"/>
  <c r="J19" i="12"/>
  <c r="M18" i="12"/>
  <c r="H18" i="12"/>
  <c r="J17" i="12"/>
  <c r="M16" i="12"/>
  <c r="H16" i="12"/>
  <c r="J15" i="12"/>
  <c r="M14" i="12"/>
  <c r="H14" i="12"/>
  <c r="I25" i="12"/>
  <c r="L24" i="12"/>
  <c r="N23" i="12"/>
  <c r="I23" i="12"/>
  <c r="L22" i="12"/>
  <c r="N21" i="12"/>
  <c r="I21" i="12"/>
  <c r="L20" i="12"/>
  <c r="N19" i="12"/>
  <c r="I19" i="12"/>
  <c r="L18" i="12"/>
  <c r="I17" i="12"/>
  <c r="L16" i="12"/>
  <c r="N15" i="12"/>
  <c r="L14" i="12"/>
  <c r="M26" i="12"/>
  <c r="H25" i="12"/>
  <c r="J24" i="12"/>
  <c r="M23" i="12"/>
  <c r="H23" i="12"/>
  <c r="J22" i="12"/>
  <c r="H21" i="12"/>
  <c r="J20" i="12"/>
  <c r="M19" i="12"/>
  <c r="J18" i="12"/>
  <c r="H17" i="12"/>
  <c r="J16" i="12"/>
  <c r="H15" i="12"/>
  <c r="J14" i="12"/>
  <c r="H26" i="12"/>
  <c r="N17" i="12"/>
  <c r="I15" i="12"/>
  <c r="M25" i="12"/>
  <c r="M21" i="12"/>
  <c r="H19" i="12"/>
  <c r="M17" i="12"/>
  <c r="M15" i="12"/>
  <c r="B62" i="12"/>
  <c r="B92" i="12"/>
  <c r="B74" i="12"/>
  <c r="B81" i="12"/>
  <c r="B90" i="12"/>
  <c r="B79" i="12"/>
  <c r="B80" i="12"/>
  <c r="B73" i="12"/>
  <c r="B82" i="12"/>
  <c r="B60" i="12"/>
  <c r="B76" i="12"/>
  <c r="B66" i="12"/>
  <c r="B78" i="12"/>
  <c r="B95" i="12"/>
  <c r="B64" i="12"/>
  <c r="H9" i="12"/>
  <c r="B88" i="12"/>
  <c r="B85" i="12"/>
  <c r="B69" i="12"/>
  <c r="B70" i="12"/>
  <c r="B75" i="12"/>
  <c r="B61" i="12"/>
  <c r="B77" i="12"/>
  <c r="B67" i="12"/>
  <c r="B93" i="12"/>
  <c r="B63" i="12"/>
  <c r="B83" i="12"/>
  <c r="B86" i="12"/>
  <c r="E9" i="12"/>
  <c r="B91" i="12"/>
  <c r="B72" i="12"/>
  <c r="B71" i="12"/>
  <c r="B84" i="12"/>
  <c r="B59" i="12"/>
  <c r="B94" i="12"/>
  <c r="B65" i="12"/>
  <c r="B87" i="12"/>
  <c r="B68" i="12"/>
  <c r="B89" i="12"/>
  <c r="I9" i="12" l="1"/>
  <c r="J9" i="12" s="1"/>
  <c r="D95" i="12"/>
  <c r="C95" i="12"/>
  <c r="D94" i="12"/>
  <c r="C94" i="12"/>
  <c r="D93" i="12"/>
  <c r="C93" i="12"/>
  <c r="D92" i="12"/>
  <c r="C92" i="12"/>
  <c r="D91" i="12"/>
  <c r="C91" i="12"/>
  <c r="D90" i="12"/>
  <c r="C90" i="12"/>
  <c r="D89" i="12"/>
  <c r="C89" i="12"/>
  <c r="D88" i="12"/>
  <c r="C88" i="12"/>
  <c r="D87" i="12"/>
  <c r="C87" i="12"/>
  <c r="D86" i="12"/>
  <c r="C86" i="12"/>
  <c r="D85" i="12"/>
  <c r="C85" i="12"/>
  <c r="D84" i="12"/>
  <c r="C84" i="12"/>
  <c r="D83" i="12"/>
  <c r="C83" i="12"/>
  <c r="D82" i="12"/>
  <c r="C82" i="12"/>
  <c r="D81" i="12"/>
  <c r="C81" i="12"/>
  <c r="D80" i="12"/>
  <c r="C80" i="12"/>
  <c r="D79" i="12"/>
  <c r="C79" i="12"/>
  <c r="D78" i="12"/>
  <c r="C78" i="12"/>
  <c r="D77" i="12"/>
  <c r="C77" i="12"/>
  <c r="D76" i="12"/>
  <c r="C76" i="12"/>
  <c r="D75" i="12"/>
  <c r="C75" i="12"/>
  <c r="D74" i="12"/>
  <c r="C74" i="12"/>
  <c r="D73" i="12"/>
  <c r="C73" i="12"/>
  <c r="D71" i="12"/>
  <c r="C71" i="12"/>
  <c r="D69" i="12"/>
  <c r="C69" i="12"/>
  <c r="D67" i="12"/>
  <c r="C67" i="12"/>
  <c r="D65" i="12"/>
  <c r="C65" i="12"/>
  <c r="D63" i="12"/>
  <c r="C63" i="12"/>
  <c r="D61" i="12"/>
  <c r="C61" i="12"/>
  <c r="D59" i="12"/>
  <c r="C59" i="12"/>
  <c r="D72" i="12"/>
  <c r="C72" i="12"/>
  <c r="D70" i="12"/>
  <c r="C70" i="12"/>
  <c r="D68" i="12"/>
  <c r="C68" i="12"/>
  <c r="D66" i="12"/>
  <c r="C66" i="12"/>
  <c r="D62" i="12"/>
  <c r="C62" i="12"/>
  <c r="D60" i="12"/>
  <c r="C60" i="12"/>
  <c r="F9" i="12"/>
  <c r="D64" i="12"/>
  <c r="C64" i="12"/>
  <c r="H15" i="9" l="1"/>
  <c r="L14" i="9"/>
  <c r="L15" i="9" s="1"/>
  <c r="K14" i="9"/>
  <c r="K15" i="9" s="1"/>
  <c r="I14" i="9"/>
  <c r="I15" i="9" s="1"/>
  <c r="G15" i="9" s="1"/>
  <c r="U9" i="9"/>
  <c r="U10" i="9" s="1"/>
  <c r="P9" i="9"/>
  <c r="P10" i="9" s="1"/>
  <c r="J14" i="9" l="1"/>
  <c r="G12" i="8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J15" i="9" l="1"/>
  <c r="Q9" i="9"/>
  <c r="C12" i="8"/>
  <c r="H9" i="8" s="1"/>
  <c r="E9" i="8" s="1"/>
  <c r="D12" i="8"/>
  <c r="F12" i="8"/>
  <c r="S9" i="9" l="1"/>
  <c r="Q10" i="9"/>
  <c r="R9" i="9"/>
  <c r="C9" i="8"/>
  <c r="D9" i="8"/>
  <c r="E17" i="8"/>
  <c r="C17" i="8"/>
  <c r="D17" i="8" s="1"/>
  <c r="I12" i="8"/>
  <c r="I9" i="8"/>
  <c r="R10" i="9" l="1"/>
  <c r="S10" i="9"/>
  <c r="G17" i="8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  <c r="I5" i="14" l="1"/>
  <c r="J5" i="14" l="1"/>
  <c r="K5" i="14"/>
  <c r="C12" i="15"/>
  <c r="B40" i="15" l="1"/>
  <c r="C40" i="15" s="1"/>
  <c r="D40" i="15" s="1"/>
  <c r="B36" i="15"/>
  <c r="C36" i="15" s="1"/>
  <c r="D36" i="15" s="1"/>
  <c r="B32" i="15"/>
  <c r="C32" i="15" s="1"/>
  <c r="D32" i="15" s="1"/>
  <c r="B28" i="15"/>
  <c r="C28" i="15" s="1"/>
  <c r="D28" i="15" s="1"/>
  <c r="B24" i="15"/>
  <c r="C24" i="15" s="1"/>
  <c r="D24" i="15" s="1"/>
  <c r="B21" i="15"/>
  <c r="C21" i="15" s="1"/>
  <c r="B41" i="15"/>
  <c r="C41" i="15" s="1"/>
  <c r="D41" i="15" s="1"/>
  <c r="B37" i="15"/>
  <c r="C37" i="15" s="1"/>
  <c r="D37" i="15" s="1"/>
  <c r="B33" i="15"/>
  <c r="C33" i="15" s="1"/>
  <c r="D33" i="15" s="1"/>
  <c r="B29" i="15"/>
  <c r="C29" i="15" s="1"/>
  <c r="D29" i="15" s="1"/>
  <c r="B25" i="15"/>
  <c r="C25" i="15" s="1"/>
  <c r="D25" i="15" s="1"/>
  <c r="B38" i="15"/>
  <c r="C38" i="15" s="1"/>
  <c r="D38" i="15" s="1"/>
  <c r="B34" i="15"/>
  <c r="C34" i="15" s="1"/>
  <c r="D34" i="15" s="1"/>
  <c r="B30" i="15"/>
  <c r="C30" i="15" s="1"/>
  <c r="D30" i="15" s="1"/>
  <c r="B26" i="15"/>
  <c r="C26" i="15" s="1"/>
  <c r="D26" i="15" s="1"/>
  <c r="B23" i="15"/>
  <c r="C23" i="15" s="1"/>
  <c r="D23" i="15" s="1"/>
  <c r="H9" i="15"/>
  <c r="I9" i="15" s="1"/>
  <c r="B39" i="15"/>
  <c r="C39" i="15" s="1"/>
  <c r="D39" i="15" s="1"/>
  <c r="B35" i="15"/>
  <c r="C35" i="15" s="1"/>
  <c r="D35" i="15" s="1"/>
  <c r="B31" i="15"/>
  <c r="C31" i="15" s="1"/>
  <c r="D31" i="15" s="1"/>
  <c r="B27" i="15"/>
  <c r="C27" i="15" s="1"/>
  <c r="D27" i="15" s="1"/>
  <c r="B22" i="15"/>
  <c r="C22" i="15" s="1"/>
  <c r="D22" i="15" s="1"/>
  <c r="E9" i="15"/>
  <c r="F9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Merck &amp; Co., Inc.</author>
  </authors>
  <commentList>
    <comment ref="J1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Jane: </t>
        </r>
        <r>
          <rPr>
            <sz val="9"/>
            <color indexed="81"/>
            <rFont val="Tahoma"/>
            <family val="2"/>
          </rPr>
          <t>Back-calculated from pre-tax revenue</t>
        </r>
      </text>
    </comment>
  </commentList>
</comments>
</file>

<file path=xl/sharedStrings.xml><?xml version="1.0" encoding="utf-8"?>
<sst xmlns="http://schemas.openxmlformats.org/spreadsheetml/2006/main" count="219" uniqueCount="151">
  <si>
    <t>ROI</t>
  </si>
  <si>
    <t>Parameters for back-calculation of Incremental NRx</t>
  </si>
  <si>
    <t>Pre-Tax Spend</t>
  </si>
  <si>
    <t>Max Y Assumptions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</si>
  <si>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</si>
  <si>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</si>
  <si>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</si>
  <si>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</si>
  <si>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</si>
  <si>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</si>
  <si>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</si>
  <si>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</si>
  <si>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</si>
  <si>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</si>
  <si>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</si>
  <si>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</si>
  <si>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</si>
  <si>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</si>
  <si>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</si>
  <si>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</si>
  <si>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</si>
  <si>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</si>
  <si>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</si>
  <si>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</si>
  <si>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</si>
  <si>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</si>
  <si>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</si>
  <si>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</si>
  <si>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</si>
  <si>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</si>
  <si>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</si>
  <si>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</si>
  <si>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</si>
  <si>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</si>
  <si>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TV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</si>
  <si>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</si>
  <si>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</si>
  <si>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</si>
  <si>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</si>
  <si>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</si>
  <si>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</si>
  <si>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</si>
  <si>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</si>
  <si>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</si>
  <si>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</si>
  <si>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</si>
  <si>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</si>
  <si>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</si>
  <si>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</si>
  <si>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</si>
  <si>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</si>
  <si>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</si>
  <si>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</si>
  <si>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</si>
  <si>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Total Promotion</t>
  </si>
  <si>
    <t>Year</t>
  </si>
  <si>
    <t>Media</t>
  </si>
  <si>
    <t>Source:</t>
  </si>
  <si>
    <t>Version</t>
  </si>
  <si>
    <t>Pre-tax Spend</t>
  </si>
  <si>
    <t>Pre-tax Revenue</t>
  </si>
  <si>
    <t>Minimum Spend</t>
  </si>
  <si>
    <t>Maximum Spend</t>
  </si>
  <si>
    <t>Total :</t>
  </si>
  <si>
    <t>YR (Incr. Rev)</t>
  </si>
  <si>
    <t>FY TV</t>
  </si>
  <si>
    <t>Incr. Rx</t>
  </si>
  <si>
    <t>Rx</t>
  </si>
  <si>
    <t>Incr.Rx</t>
  </si>
  <si>
    <t>Y (Incr. Rx</t>
  </si>
  <si>
    <t>TV &amp; Print</t>
  </si>
  <si>
    <t>GARDASIL 9</t>
  </si>
  <si>
    <t>Incremental Doses</t>
  </si>
  <si>
    <t>2016 Summary</t>
  </si>
  <si>
    <t>Estimated Incr. Doses</t>
  </si>
  <si>
    <t xml:space="preserve">Anticipated Max Incr. Doses (in %) when HCC spend is increased to infinite </t>
  </si>
  <si>
    <t>Anticipated Max Incr. Doses</t>
  </si>
  <si>
    <t>Estimated Incr. Dose (as % of NPA Doses)</t>
  </si>
  <si>
    <t>HCC Spend per Incr. Dose</t>
  </si>
  <si>
    <t xml:space="preserve">IA&amp;Ds </t>
  </si>
  <si>
    <t>Merck GARDASIL Incremental doses per Tactic with ROI, Spend and Incremental Revenue</t>
  </si>
  <si>
    <t>2018 Tax rate</t>
  </si>
  <si>
    <t>2018 Pre-tax PGM per Patient</t>
  </si>
  <si>
    <t>2018 Pre-tax PGM/Rx</t>
  </si>
  <si>
    <t>Net Doses or Total Rxs (2018)</t>
  </si>
  <si>
    <t>Jan-Dec 2018</t>
  </si>
  <si>
    <t>Note 1: YELLOW cells may need user input (either reference to optim sheet or a value)</t>
  </si>
  <si>
    <t>Note2 : ORANGE cells need CSplinePred() function call modifications</t>
  </si>
  <si>
    <t>Cubic Spline Interpolation</t>
  </si>
  <si>
    <t>Current Values (optional)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</si>
  <si>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</si>
  <si>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t>STEP 1. First compute FACT table (size: NUMROWS, 8) using CSsplineA() function with Option 2 in the last parameter.</t>
  </si>
  <si>
    <t>STEP 2. Then predict Y value for a given X value using CSplinePred() function</t>
  </si>
  <si>
    <t>Response Function Scaling Factor (for sensitivity analysis)</t>
  </si>
  <si>
    <t>Input Points</t>
  </si>
  <si>
    <t xml:space="preserve">X 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</si>
  <si>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</si>
  <si>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col1</t>
  </si>
  <si>
    <t>col2</t>
  </si>
  <si>
    <t>col3</t>
  </si>
  <si>
    <t>col4</t>
  </si>
  <si>
    <t>col5</t>
  </si>
  <si>
    <t>col6</t>
  </si>
  <si>
    <t>col7</t>
  </si>
  <si>
    <t>col8</t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</si>
  <si>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</si>
  <si>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</si>
  <si>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Data Values</t>
  </si>
  <si>
    <t>X</t>
  </si>
  <si>
    <t>2018 Curve</t>
  </si>
  <si>
    <t>3-yr Incr. Rev.</t>
  </si>
  <si>
    <t>Y (Incr. TRx)</t>
  </si>
  <si>
    <t>Y (Incr. NRx)</t>
  </si>
  <si>
    <t>Assumption</t>
  </si>
  <si>
    <t>YT (Incr. TRx)</t>
  </si>
  <si>
    <t>3-yr post tax NPV</t>
  </si>
  <si>
    <t>Post Tax PGM ($)</t>
  </si>
  <si>
    <t>3-Yr Adherence Rxs per New Patient</t>
  </si>
  <si>
    <t>Inputs for Transformation and Scaling</t>
  </si>
  <si>
    <t>&lt;-- Spend per Incr. TRx</t>
  </si>
  <si>
    <t>Starting YT value</t>
  </si>
  <si>
    <t>The current values here represents 2013 levels</t>
  </si>
  <si>
    <t>Incr. NRx</t>
  </si>
  <si>
    <t>Incr. TRx</t>
  </si>
  <si>
    <t>Gardasil</t>
  </si>
  <si>
    <t>Gardasil TV. Given a set of X and Y values, a cubic spline function (i.e., a smooth continuous curve) is fit for each pair of values</t>
  </si>
  <si>
    <t>Incr. Doses</t>
  </si>
  <si>
    <t>Program</t>
  </si>
  <si>
    <t>Pre-tax cost</t>
  </si>
  <si>
    <t>Pre-tax NPV</t>
  </si>
  <si>
    <t># Incr. NRxs</t>
  </si>
  <si>
    <t>tax rate on revenue</t>
  </si>
  <si>
    <t>Estimated Incr. NRx</t>
  </si>
  <si>
    <t>Estimated Incr. NRx (as % of NPA NRx)</t>
  </si>
  <si>
    <t>Spend per NRx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</si>
  <si>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</si>
  <si>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</si>
  <si>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</si>
  <si>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</si>
  <si>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Merck GARDASIL TV: Incremental Doses per Tactic with ROI, Spend and Incremental Revenue</t>
  </si>
  <si>
    <t>HCC TV</t>
  </si>
  <si>
    <t>Doses</t>
  </si>
  <si>
    <t>Y (Incr. doses)</t>
  </si>
  <si>
    <t>Given a set of X and Y values, a power function (i.e., a smooth continuous curve) is fit for each pair of values</t>
  </si>
  <si>
    <t>Power Curve</t>
  </si>
  <si>
    <t>Revenue</t>
  </si>
  <si>
    <t>2022 ROI</t>
  </si>
  <si>
    <t>Pre-tax PGM/Rx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</si>
  <si>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Forecasted </t>
    </r>
    <r>
      <rPr>
        <b/>
        <sz val="10"/>
        <color theme="1"/>
        <rFont val="Arial Narrow"/>
        <family val="2"/>
      </rPr>
      <t>Doses in 2022</t>
    </r>
  </si>
  <si>
    <t>2023 Projection</t>
  </si>
  <si>
    <t>2023 Spend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</si>
</sst>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0.0%"/>
    <numFmt numFmtId="170" formatCode="\$##,###,###"/>
    <numFmt numFmtId="171" formatCode="\$#,###,###"/>
    <numFmt numFmtId="172" formatCode="0.0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Arial Narrow"/>
      <family val="2"/>
    </font>
    <font>
      <sz val="12"/>
      <color rgb="FFC00000"/>
      <name val="Arial Narrow"/>
      <family val="2"/>
    </font>
    <font>
      <sz val="12"/>
      <color theme="0"/>
      <name val="Arial Narrow"/>
      <family val="2"/>
    </font>
    <font>
      <b/>
      <sz val="12"/>
      <color theme="0"/>
      <name val="Arial Narrow"/>
      <family val="2"/>
    </font>
    <font>
      <sz val="12"/>
      <name val="Arial Narrow"/>
      <family val="2"/>
    </font>
    <font>
      <sz val="12"/>
      <color rgb="FF0000FF"/>
      <name val="Arial Narrow"/>
      <family val="2"/>
    </font>
    <font>
      <b/>
      <sz val="12"/>
      <name val="Arial Narrow"/>
      <family val="2"/>
    </font>
    <font>
      <sz val="10"/>
      <color rgb="FFC00000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2EFDA"/>
        <bgColor indexed="64"/>
      </patternFill>
    </fill>
  </fills>
  <borders count="6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 style="thin">
        <color indexed="12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4" applyNumberFormat="0" applyAlignment="0" applyProtection="0"/>
    <xf numFmtId="0" fontId="14" fillId="9" borderId="5" applyNumberFormat="0" applyAlignment="0" applyProtection="0"/>
    <xf numFmtId="0" fontId="15" fillId="9" borderId="4" applyNumberFormat="0" applyAlignment="0" applyProtection="0"/>
    <xf numFmtId="0" fontId="16" fillId="0" borderId="6" applyNumberFormat="0" applyFill="0" applyAlignment="0" applyProtection="0"/>
    <xf numFmtId="0" fontId="2" fillId="10" borderId="7" applyNumberFormat="0" applyAlignment="0" applyProtection="0"/>
    <xf numFmtId="0" fontId="17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44" fillId="0" borderId="0"/>
    <xf numFmtId="0" fontId="44" fillId="0" borderId="0"/>
    <xf numFmtId="0" fontId="44" fillId="0" borderId="0"/>
  </cellStyleXfs>
  <cellXfs count="277">
    <xf numFmtId="0" fontId="0" fillId="0" borderId="0" xfId="0"/>
    <xf numFmtId="0" fontId="23" fillId="0" borderId="0" xfId="0" applyFont="1"/>
    <xf numFmtId="0" fontId="23" fillId="37" borderId="13" xfId="0" applyFont="1" applyFill="1" applyBorder="1"/>
    <xf numFmtId="0" fontId="23" fillId="37" borderId="14" xfId="0" applyFont="1" applyFill="1" applyBorder="1"/>
    <xf numFmtId="0" fontId="23" fillId="37" borderId="19" xfId="0" applyFont="1" applyFill="1" applyBorder="1"/>
    <xf numFmtId="0" fontId="23" fillId="37" borderId="20" xfId="0" applyFont="1" applyFill="1" applyBorder="1"/>
    <xf numFmtId="0" fontId="23" fillId="36" borderId="20" xfId="0" applyFont="1" applyFill="1" applyBorder="1"/>
    <xf numFmtId="9" fontId="23" fillId="0" borderId="0" xfId="0" applyNumberFormat="1" applyFont="1"/>
    <xf numFmtId="166" fontId="23" fillId="37" borderId="19" xfId="2" applyNumberFormat="1" applyFont="1" applyFill="1" applyBorder="1"/>
    <xf numFmtId="166" fontId="23" fillId="37" borderId="19" xfId="0" applyNumberFormat="1" applyFont="1" applyFill="1" applyBorder="1"/>
    <xf numFmtId="0" fontId="23" fillId="37" borderId="15" xfId="0" applyFont="1" applyFill="1" applyBorder="1" applyAlignment="1">
      <alignment horizontal="left"/>
    </xf>
    <xf numFmtId="0" fontId="23" fillId="37" borderId="16" xfId="0" applyFont="1" applyFill="1" applyBorder="1" applyAlignment="1">
      <alignment horizontal="left"/>
    </xf>
    <xf numFmtId="0" fontId="23" fillId="37" borderId="17" xfId="0" applyFont="1" applyFill="1" applyBorder="1" applyAlignment="1">
      <alignment horizontal="left"/>
    </xf>
    <xf numFmtId="165" fontId="23" fillId="36" borderId="19" xfId="0" applyNumberFormat="1" applyFont="1" applyFill="1" applyBorder="1" applyAlignment="1">
      <alignment horizontal="center" vertical="center" wrapText="1"/>
    </xf>
    <xf numFmtId="164" fontId="23" fillId="36" borderId="19" xfId="2" applyNumberFormat="1" applyFont="1" applyFill="1" applyBorder="1" applyAlignment="1">
      <alignment horizontal="center" vertical="center" wrapText="1"/>
    </xf>
    <xf numFmtId="165" fontId="23" fillId="0" borderId="0" xfId="0" applyNumberFormat="1" applyFont="1"/>
    <xf numFmtId="0" fontId="22" fillId="0" borderId="0" xfId="0" applyFont="1" applyFill="1" applyBorder="1"/>
    <xf numFmtId="0" fontId="23" fillId="0" borderId="0" xfId="0" applyFont="1" applyFill="1" applyBorder="1" applyAlignment="1">
      <alignment wrapText="1"/>
    </xf>
    <xf numFmtId="164" fontId="23" fillId="37" borderId="11" xfId="2" applyNumberFormat="1" applyFont="1" applyFill="1" applyBorder="1"/>
    <xf numFmtId="3" fontId="23" fillId="37" borderId="11" xfId="0" applyNumberFormat="1" applyFont="1" applyFill="1" applyBorder="1"/>
    <xf numFmtId="0" fontId="23" fillId="37" borderId="11" xfId="0" applyFont="1" applyFill="1" applyBorder="1"/>
    <xf numFmtId="165" fontId="23" fillId="37" borderId="46" xfId="1" applyNumberFormat="1" applyFont="1" applyFill="1" applyBorder="1"/>
    <xf numFmtId="43" fontId="23" fillId="37" borderId="46" xfId="1" applyNumberFormat="1" applyFont="1" applyFill="1" applyBorder="1"/>
    <xf numFmtId="0" fontId="25" fillId="41" borderId="14" xfId="0" applyFont="1" applyFill="1" applyBorder="1" applyAlignment="1">
      <alignment horizontal="center" vertical="center" wrapText="1"/>
    </xf>
    <xf numFmtId="0" fontId="25" fillId="41" borderId="27" xfId="0" applyFont="1" applyFill="1" applyBorder="1" applyAlignment="1">
      <alignment horizontal="center" vertical="center" wrapText="1"/>
    </xf>
    <xf numFmtId="0" fontId="25" fillId="41" borderId="28" xfId="0" applyFont="1" applyFill="1" applyBorder="1" applyAlignment="1">
      <alignment horizontal="center" vertical="center" wrapText="1"/>
    </xf>
    <xf numFmtId="0" fontId="25" fillId="41" borderId="42" xfId="0" applyFont="1" applyFill="1" applyBorder="1" applyAlignment="1">
      <alignment horizontal="center" vertical="center" wrapText="1"/>
    </xf>
    <xf numFmtId="0" fontId="25" fillId="41" borderId="17" xfId="0" applyFont="1" applyFill="1" applyBorder="1" applyAlignment="1">
      <alignment horizontal="center" vertical="center" wrapText="1"/>
    </xf>
    <xf numFmtId="0" fontId="25" fillId="41" borderId="29" xfId="0" applyFont="1" applyFill="1" applyBorder="1" applyAlignment="1">
      <alignment horizontal="center" vertical="center" wrapText="1"/>
    </xf>
    <xf numFmtId="0" fontId="25" fillId="41" borderId="11" xfId="0" applyFont="1" applyFill="1" applyBorder="1"/>
    <xf numFmtId="0" fontId="25" fillId="41" borderId="12" xfId="0" applyFont="1" applyFill="1" applyBorder="1"/>
    <xf numFmtId="0" fontId="25" fillId="41" borderId="18" xfId="0" applyFont="1" applyFill="1" applyBorder="1"/>
    <xf numFmtId="0" fontId="25" fillId="41" borderId="38" xfId="0" applyFont="1" applyFill="1" applyBorder="1"/>
    <xf numFmtId="0" fontId="25" fillId="41" borderId="13" xfId="0" applyFont="1" applyFill="1" applyBorder="1"/>
    <xf numFmtId="0" fontId="25" fillId="41" borderId="19" xfId="0" applyFont="1" applyFill="1" applyBorder="1"/>
    <xf numFmtId="164" fontId="24" fillId="0" borderId="30" xfId="2" applyNumberFormat="1" applyFont="1" applyFill="1" applyBorder="1"/>
    <xf numFmtId="3" fontId="24" fillId="0" borderId="19" xfId="0" applyNumberFormat="1" applyFont="1" applyFill="1" applyBorder="1"/>
    <xf numFmtId="3" fontId="24" fillId="0" borderId="41" xfId="0" applyNumberFormat="1" applyFont="1" applyFill="1" applyBorder="1"/>
    <xf numFmtId="0" fontId="23" fillId="0" borderId="0" xfId="0" applyFont="1" applyBorder="1" applyAlignment="1">
      <alignment horizontal="center" vertical="center" wrapText="1"/>
    </xf>
    <xf numFmtId="0" fontId="23" fillId="0" borderId="19" xfId="0" applyFont="1" applyFill="1" applyBorder="1" applyAlignment="1">
      <alignment horizontal="center" vertical="center" wrapText="1"/>
    </xf>
    <xf numFmtId="0" fontId="23" fillId="0" borderId="19" xfId="0" applyNumberFormat="1" applyFont="1" applyFill="1" applyBorder="1" applyAlignment="1">
      <alignment horizontal="center" vertical="center" wrapText="1"/>
    </xf>
    <xf numFmtId="165" fontId="23" fillId="0" borderId="20" xfId="0" applyNumberFormat="1" applyFont="1" applyFill="1" applyBorder="1" applyAlignment="1">
      <alignment horizontal="center" vertical="center" wrapText="1"/>
    </xf>
    <xf numFmtId="164" fontId="25" fillId="0" borderId="19" xfId="2" applyNumberFormat="1" applyFont="1" applyFill="1" applyBorder="1"/>
    <xf numFmtId="3" fontId="25" fillId="0" borderId="20" xfId="0" applyNumberFormat="1" applyFont="1" applyFill="1" applyBorder="1"/>
    <xf numFmtId="165" fontId="23" fillId="0" borderId="11" xfId="0" applyNumberFormat="1" applyFont="1" applyFill="1" applyBorder="1" applyAlignment="1">
      <alignment horizontal="center" vertical="center" wrapText="1"/>
    </xf>
    <xf numFmtId="0" fontId="25" fillId="41" borderId="10" xfId="0" applyFont="1" applyFill="1" applyBorder="1" applyAlignment="1">
      <alignment horizontal="center" vertical="center" wrapText="1"/>
    </xf>
    <xf numFmtId="0" fontId="25" fillId="41" borderId="13" xfId="0" applyFont="1" applyFill="1" applyBorder="1" applyAlignment="1">
      <alignment horizontal="center" vertical="center" wrapText="1"/>
    </xf>
    <xf numFmtId="167" fontId="23" fillId="0" borderId="0" xfId="0" applyNumberFormat="1" applyFont="1"/>
    <xf numFmtId="166" fontId="23" fillId="40" borderId="10" xfId="0" applyNumberFormat="1" applyFont="1" applyFill="1" applyBorder="1" applyAlignment="1">
      <alignment horizontal="center"/>
    </xf>
    <xf numFmtId="0" fontId="23" fillId="40" borderId="10" xfId="0" applyFont="1" applyFill="1" applyBorder="1" applyAlignment="1">
      <alignment horizontal="center"/>
    </xf>
    <xf numFmtId="3" fontId="23" fillId="40" borderId="10" xfId="0" applyNumberFormat="1" applyFont="1" applyFill="1" applyBorder="1" applyAlignment="1">
      <alignment horizontal="center"/>
    </xf>
    <xf numFmtId="166" fontId="23" fillId="39" borderId="10" xfId="0" applyNumberFormat="1" applyFont="1" applyFill="1" applyBorder="1" applyAlignment="1">
      <alignment horizontal="center"/>
    </xf>
    <xf numFmtId="3" fontId="23" fillId="39" borderId="10" xfId="0" applyNumberFormat="1" applyFont="1" applyFill="1" applyBorder="1" applyAlignment="1">
      <alignment horizontal="center"/>
    </xf>
    <xf numFmtId="168" fontId="23" fillId="40" borderId="10" xfId="0" applyNumberFormat="1" applyFont="1" applyFill="1" applyBorder="1" applyAlignment="1">
      <alignment horizontal="center"/>
    </xf>
    <xf numFmtId="168" fontId="23" fillId="39" borderId="10" xfId="0" applyNumberFormat="1" applyFont="1" applyFill="1" applyBorder="1" applyAlignment="1">
      <alignment horizontal="center"/>
    </xf>
    <xf numFmtId="5" fontId="23" fillId="40" borderId="10" xfId="0" applyNumberFormat="1" applyFont="1" applyFill="1" applyBorder="1" applyAlignment="1">
      <alignment horizontal="center"/>
    </xf>
    <xf numFmtId="2" fontId="23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2" fontId="23" fillId="39" borderId="0" xfId="0" applyNumberFormat="1" applyFont="1" applyFill="1" applyAlignment="1">
      <alignment horizontal="center"/>
    </xf>
    <xf numFmtId="0" fontId="27" fillId="0" borderId="0" xfId="0" applyFont="1" applyFill="1" applyAlignment="1">
      <alignment horizontal="center"/>
    </xf>
    <xf numFmtId="0" fontId="27" fillId="35" borderId="10" xfId="0" applyFont="1" applyFill="1" applyBorder="1" applyAlignment="1">
      <alignment horizontal="center" vertical="center" wrapText="1"/>
    </xf>
    <xf numFmtId="44" fontId="27" fillId="35" borderId="10" xfId="2" applyFont="1" applyFill="1" applyBorder="1" applyAlignment="1">
      <alignment horizontal="center" vertical="center" wrapText="1"/>
    </xf>
    <xf numFmtId="164" fontId="28" fillId="35" borderId="10" xfId="0" applyNumberFormat="1" applyFont="1" applyFill="1" applyBorder="1" applyAlignment="1">
      <alignment horizontal="center" vertical="center"/>
    </xf>
    <xf numFmtId="165" fontId="28" fillId="35" borderId="10" xfId="0" applyNumberFormat="1" applyFont="1" applyFill="1" applyBorder="1" applyAlignment="1">
      <alignment horizontal="center" vertical="center"/>
    </xf>
    <xf numFmtId="10" fontId="27" fillId="35" borderId="10" xfId="6" applyNumberFormat="1" applyFont="1" applyFill="1" applyBorder="1" applyAlignment="1">
      <alignment horizontal="center" vertical="center"/>
    </xf>
    <xf numFmtId="44" fontId="27" fillId="35" borderId="10" xfId="2" applyFont="1" applyFill="1" applyBorder="1" applyAlignment="1">
      <alignment horizontal="center" vertical="center"/>
    </xf>
    <xf numFmtId="169" fontId="28" fillId="35" borderId="10" xfId="0" applyNumberFormat="1" applyFont="1" applyFill="1" applyBorder="1" applyAlignment="1">
      <alignment horizontal="center" vertical="center"/>
    </xf>
    <xf numFmtId="165" fontId="28" fillId="35" borderId="10" xfId="1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9" fillId="2" borderId="0" xfId="3" applyFont="1" applyAlignment="1">
      <alignment horizontal="center" vertical="center" wrapText="1"/>
    </xf>
    <xf numFmtId="10" fontId="29" fillId="2" borderId="0" xfId="3" applyNumberFormat="1" applyFont="1" applyAlignment="1">
      <alignment horizontal="center" vertical="center" wrapText="1"/>
    </xf>
    <xf numFmtId="0" fontId="27" fillId="40" borderId="0" xfId="0" applyFont="1" applyFill="1" applyAlignment="1">
      <alignment horizontal="center"/>
    </xf>
    <xf numFmtId="5" fontId="29" fillId="2" borderId="0" xfId="3" applyNumberFormat="1" applyFont="1" applyAlignment="1">
      <alignment horizontal="center" vertical="center" wrapText="1"/>
    </xf>
    <xf numFmtId="0" fontId="29" fillId="0" borderId="0" xfId="3" applyFont="1" applyFill="1" applyAlignment="1">
      <alignment horizontal="center"/>
    </xf>
    <xf numFmtId="5" fontId="29" fillId="0" borderId="0" xfId="3" applyNumberFormat="1" applyFont="1" applyFill="1" applyAlignment="1">
      <alignment horizontal="center"/>
    </xf>
    <xf numFmtId="0" fontId="27" fillId="40" borderId="0" xfId="0" applyFont="1" applyFill="1" applyBorder="1" applyAlignment="1">
      <alignment horizontal="center"/>
    </xf>
    <xf numFmtId="0" fontId="31" fillId="38" borderId="0" xfId="5" applyFont="1" applyFill="1" applyAlignment="1">
      <alignment horizontal="center"/>
    </xf>
    <xf numFmtId="0" fontId="27" fillId="33" borderId="10" xfId="0" applyFont="1" applyFill="1" applyBorder="1" applyAlignment="1">
      <alignment horizontal="center" wrapText="1"/>
    </xf>
    <xf numFmtId="0" fontId="27" fillId="40" borderId="0" xfId="0" applyFont="1" applyFill="1" applyBorder="1" applyAlignment="1">
      <alignment horizontal="center" wrapText="1"/>
    </xf>
    <xf numFmtId="3" fontId="32" fillId="0" borderId="10" xfId="0" applyNumberFormat="1" applyFont="1" applyBorder="1" applyAlignment="1">
      <alignment horizontal="center"/>
    </xf>
    <xf numFmtId="3" fontId="32" fillId="40" borderId="0" xfId="0" applyNumberFormat="1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164" fontId="27" fillId="0" borderId="0" xfId="2" applyNumberFormat="1" applyFont="1" applyAlignment="1">
      <alignment horizontal="center"/>
    </xf>
    <xf numFmtId="165" fontId="27" fillId="0" borderId="0" xfId="1" applyNumberFormat="1" applyFont="1" applyAlignment="1"/>
    <xf numFmtId="37" fontId="31" fillId="4" borderId="0" xfId="5" applyNumberFormat="1" applyFont="1" applyAlignment="1"/>
    <xf numFmtId="164" fontId="31" fillId="4" borderId="0" xfId="2" applyNumberFormat="1" applyFont="1" applyFill="1" applyAlignment="1">
      <alignment horizontal="center"/>
    </xf>
    <xf numFmtId="0" fontId="33" fillId="38" borderId="0" xfId="5" applyFont="1" applyFill="1" applyAlignment="1">
      <alignment horizontal="center"/>
    </xf>
    <xf numFmtId="0" fontId="27" fillId="38" borderId="0" xfId="0" applyFont="1" applyFill="1" applyAlignment="1">
      <alignment horizontal="center"/>
    </xf>
    <xf numFmtId="166" fontId="23" fillId="0" borderId="0" xfId="0" applyNumberFormat="1" applyFont="1"/>
    <xf numFmtId="166" fontId="23" fillId="44" borderId="10" xfId="0" applyNumberFormat="1" applyFont="1" applyFill="1" applyBorder="1" applyAlignment="1">
      <alignment horizontal="center"/>
    </xf>
    <xf numFmtId="3" fontId="23" fillId="44" borderId="10" xfId="0" applyNumberFormat="1" applyFont="1" applyFill="1" applyBorder="1" applyAlignment="1">
      <alignment horizontal="center"/>
    </xf>
    <xf numFmtId="168" fontId="23" fillId="44" borderId="10" xfId="0" applyNumberFormat="1" applyFont="1" applyFill="1" applyBorder="1" applyAlignment="1">
      <alignment horizontal="center"/>
    </xf>
    <xf numFmtId="2" fontId="23" fillId="44" borderId="0" xfId="0" applyNumberFormat="1" applyFont="1" applyFill="1" applyAlignment="1">
      <alignment horizontal="center"/>
    </xf>
    <xf numFmtId="166" fontId="23" fillId="45" borderId="10" xfId="0" applyNumberFormat="1" applyFont="1" applyFill="1" applyBorder="1" applyAlignment="1">
      <alignment horizontal="center"/>
    </xf>
    <xf numFmtId="3" fontId="23" fillId="45" borderId="10" xfId="0" applyNumberFormat="1" applyFont="1" applyFill="1" applyBorder="1" applyAlignment="1">
      <alignment horizontal="center"/>
    </xf>
    <xf numFmtId="168" fontId="23" fillId="45" borderId="10" xfId="0" applyNumberFormat="1" applyFont="1" applyFill="1" applyBorder="1" applyAlignment="1">
      <alignment horizontal="center"/>
    </xf>
    <xf numFmtId="2" fontId="23" fillId="45" borderId="0" xfId="0" applyNumberFormat="1" applyFont="1" applyFill="1" applyAlignment="1">
      <alignment horizontal="center"/>
    </xf>
    <xf numFmtId="0" fontId="31" fillId="38" borderId="0" xfId="5" applyFont="1" applyFill="1" applyAlignment="1"/>
    <xf numFmtId="0" fontId="27" fillId="0" borderId="0" xfId="0" applyFont="1" applyAlignment="1"/>
    <xf numFmtId="2" fontId="27" fillId="0" borderId="0" xfId="0" applyNumberFormat="1" applyFont="1" applyAlignment="1"/>
    <xf numFmtId="164" fontId="27" fillId="0" borderId="0" xfId="2" applyNumberFormat="1" applyFont="1" applyAlignment="1"/>
    <xf numFmtId="44" fontId="27" fillId="0" borderId="0" xfId="2" applyNumberFormat="1" applyFont="1" applyAlignment="1"/>
    <xf numFmtId="2" fontId="31" fillId="4" borderId="0" xfId="5" applyNumberFormat="1" applyFont="1" applyAlignment="1"/>
    <xf numFmtId="164" fontId="31" fillId="4" borderId="0" xfId="5" applyNumberFormat="1" applyFont="1" applyAlignment="1"/>
    <xf numFmtId="0" fontId="29" fillId="3" borderId="0" xfId="4" applyFont="1" applyAlignment="1">
      <alignment horizontal="center"/>
    </xf>
    <xf numFmtId="0" fontId="34" fillId="46" borderId="11" xfId="0" applyFont="1" applyFill="1" applyBorder="1"/>
    <xf numFmtId="0" fontId="34" fillId="46" borderId="12" xfId="0" applyFont="1" applyFill="1" applyBorder="1"/>
    <xf numFmtId="0" fontId="34" fillId="46" borderId="13" xfId="0" applyFont="1" applyFill="1" applyBorder="1"/>
    <xf numFmtId="0" fontId="34" fillId="46" borderId="18" xfId="0" applyFont="1" applyFill="1" applyBorder="1"/>
    <xf numFmtId="0" fontId="34" fillId="46" borderId="19" xfId="0" applyFont="1" applyFill="1" applyBorder="1"/>
    <xf numFmtId="0" fontId="34" fillId="46" borderId="48" xfId="0" applyFont="1" applyFill="1" applyBorder="1"/>
    <xf numFmtId="0" fontId="20" fillId="0" borderId="0" xfId="45" applyFont="1"/>
    <xf numFmtId="166" fontId="23" fillId="37" borderId="19" xfId="0" applyNumberFormat="1" applyFont="1" applyFill="1" applyBorder="1" applyAlignment="1">
      <alignment vertical="center" wrapText="1"/>
    </xf>
    <xf numFmtId="166" fontId="36" fillId="48" borderId="19" xfId="0" applyNumberFormat="1" applyFont="1" applyFill="1" applyBorder="1"/>
    <xf numFmtId="0" fontId="34" fillId="46" borderId="11" xfId="0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vertical="center" wrapText="1"/>
    </xf>
    <xf numFmtId="0" fontId="34" fillId="0" borderId="0" xfId="0" applyFont="1" applyFill="1" applyBorder="1" applyAlignment="1">
      <alignment horizontal="center" vertical="center" wrapText="1"/>
    </xf>
    <xf numFmtId="166" fontId="25" fillId="37" borderId="10" xfId="0" applyNumberFormat="1" applyFont="1" applyFill="1" applyBorder="1" applyAlignment="1">
      <alignment horizontal="right" wrapText="1"/>
    </xf>
    <xf numFmtId="3" fontId="25" fillId="37" borderId="10" xfId="0" applyNumberFormat="1" applyFont="1" applyFill="1" applyBorder="1" applyAlignment="1">
      <alignment horizontal="right" wrapText="1"/>
    </xf>
    <xf numFmtId="0" fontId="25" fillId="49" borderId="52" xfId="0" applyFont="1" applyFill="1" applyBorder="1" applyAlignment="1">
      <alignment horizontal="center" vertical="center" wrapText="1"/>
    </xf>
    <xf numFmtId="0" fontId="25" fillId="49" borderId="10" xfId="0" applyFont="1" applyFill="1" applyBorder="1" applyAlignment="1">
      <alignment horizontal="center" vertical="center" wrapText="1"/>
    </xf>
    <xf numFmtId="0" fontId="25" fillId="49" borderId="10" xfId="0" applyFont="1" applyFill="1" applyBorder="1"/>
    <xf numFmtId="0" fontId="25" fillId="49" borderId="11" xfId="0" applyFont="1" applyFill="1" applyBorder="1" applyAlignment="1">
      <alignment horizontal="center" vertical="center" wrapText="1"/>
    </xf>
    <xf numFmtId="0" fontId="25" fillId="49" borderId="11" xfId="0" applyFont="1" applyFill="1" applyBorder="1"/>
    <xf numFmtId="0" fontId="25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166" fontId="23" fillId="37" borderId="10" xfId="0" applyNumberFormat="1" applyFont="1" applyFill="1" applyBorder="1" applyAlignment="1">
      <alignment horizontal="right" wrapText="1"/>
    </xf>
    <xf numFmtId="3" fontId="23" fillId="37" borderId="10" xfId="0" applyNumberFormat="1" applyFont="1" applyFill="1" applyBorder="1" applyAlignment="1">
      <alignment horizontal="right" wrapText="1"/>
    </xf>
    <xf numFmtId="0" fontId="25" fillId="0" borderId="0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vertical="center" wrapText="1"/>
    </xf>
    <xf numFmtId="166" fontId="23" fillId="0" borderId="10" xfId="0" applyNumberFormat="1" applyFont="1" applyBorder="1"/>
    <xf numFmtId="3" fontId="23" fillId="47" borderId="10" xfId="0" applyNumberFormat="1" applyFont="1" applyFill="1" applyBorder="1"/>
    <xf numFmtId="5" fontId="23" fillId="0" borderId="10" xfId="2" applyNumberFormat="1" applyFont="1" applyFill="1" applyBorder="1"/>
    <xf numFmtId="3" fontId="23" fillId="0" borderId="10" xfId="0" applyNumberFormat="1" applyFont="1" applyFill="1" applyBorder="1"/>
    <xf numFmtId="166" fontId="23" fillId="0" borderId="10" xfId="0" applyNumberFormat="1" applyFont="1" applyFill="1" applyBorder="1"/>
    <xf numFmtId="5" fontId="23" fillId="48" borderId="10" xfId="2" applyNumberFormat="1" applyFont="1" applyFill="1" applyBorder="1"/>
    <xf numFmtId="0" fontId="39" fillId="0" borderId="0" xfId="0" applyFont="1" applyBorder="1" applyAlignment="1"/>
    <xf numFmtId="3" fontId="25" fillId="37" borderId="10" xfId="0" applyNumberFormat="1" applyFont="1" applyFill="1" applyBorder="1" applyAlignment="1">
      <alignment horizontal="right"/>
    </xf>
    <xf numFmtId="0" fontId="0" fillId="0" borderId="54" xfId="0" applyBorder="1"/>
    <xf numFmtId="0" fontId="0" fillId="0" borderId="55" xfId="0" applyBorder="1"/>
    <xf numFmtId="3" fontId="25" fillId="37" borderId="10" xfId="0" applyNumberFormat="1" applyFont="1" applyFill="1" applyBorder="1" applyAlignment="1">
      <alignment horizontal="right" vertical="center" wrapText="1"/>
    </xf>
    <xf numFmtId="9" fontId="39" fillId="0" borderId="0" xfId="0" applyNumberFormat="1" applyFont="1" applyBorder="1" applyAlignment="1"/>
    <xf numFmtId="0" fontId="41" fillId="0" borderId="0" xfId="0" applyFont="1" applyBorder="1" applyAlignment="1"/>
    <xf numFmtId="3" fontId="23" fillId="37" borderId="10" xfId="0" applyNumberFormat="1" applyFont="1" applyFill="1" applyBorder="1" applyAlignment="1">
      <alignment horizontal="right" vertical="center" wrapText="1"/>
    </xf>
    <xf numFmtId="0" fontId="40" fillId="0" borderId="0" xfId="0" applyFont="1" applyBorder="1" applyAlignment="1"/>
    <xf numFmtId="0" fontId="0" fillId="0" borderId="0" xfId="0" applyFont="1" applyBorder="1" applyAlignment="1"/>
    <xf numFmtId="0" fontId="22" fillId="0" borderId="0" xfId="0" applyFont="1" applyBorder="1"/>
    <xf numFmtId="164" fontId="23" fillId="37" borderId="19" xfId="2" applyNumberFormat="1" applyFont="1" applyFill="1" applyBorder="1"/>
    <xf numFmtId="9" fontId="23" fillId="37" borderId="46" xfId="0" applyNumberFormat="1" applyFont="1" applyFill="1" applyBorder="1"/>
    <xf numFmtId="2" fontId="23" fillId="37" borderId="14" xfId="0" applyNumberFormat="1" applyFont="1" applyFill="1" applyBorder="1"/>
    <xf numFmtId="3" fontId="23" fillId="47" borderId="20" xfId="0" applyNumberFormat="1" applyFont="1" applyFill="1" applyBorder="1"/>
    <xf numFmtId="3" fontId="23" fillId="47" borderId="19" xfId="0" applyNumberFormat="1" applyFont="1" applyFill="1" applyBorder="1"/>
    <xf numFmtId="3" fontId="36" fillId="47" borderId="19" xfId="0" applyNumberFormat="1" applyFont="1" applyFill="1" applyBorder="1"/>
    <xf numFmtId="0" fontId="34" fillId="46" borderId="29" xfId="0" applyFont="1" applyFill="1" applyBorder="1" applyAlignment="1">
      <alignment horizontal="center" vertical="center" wrapText="1"/>
    </xf>
    <xf numFmtId="0" fontId="34" fillId="46" borderId="13" xfId="0" applyFont="1" applyFill="1" applyBorder="1" applyAlignment="1">
      <alignment horizontal="center" vertical="center" wrapText="1"/>
    </xf>
    <xf numFmtId="0" fontId="34" fillId="46" borderId="14" xfId="0" applyFont="1" applyFill="1" applyBorder="1" applyAlignment="1">
      <alignment horizontal="center" vertical="center" wrapText="1"/>
    </xf>
    <xf numFmtId="0" fontId="34" fillId="46" borderId="10" xfId="0" applyFont="1" applyFill="1" applyBorder="1" applyAlignment="1">
      <alignment horizontal="center" vertical="center" wrapText="1"/>
    </xf>
    <xf numFmtId="0" fontId="45" fillId="39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70" fontId="0" fillId="0" borderId="0" xfId="0" applyNumberFormat="1"/>
    <xf numFmtId="0" fontId="19" fillId="47" borderId="0" xfId="0" applyFont="1" applyFill="1"/>
    <xf numFmtId="171" fontId="19" fillId="47" borderId="0" xfId="0" applyNumberFormat="1" applyFont="1" applyFill="1"/>
    <xf numFmtId="165" fontId="19" fillId="47" borderId="0" xfId="0" applyNumberFormat="1" applyFont="1" applyFill="1" applyAlignment="1">
      <alignment horizontal="center"/>
    </xf>
    <xf numFmtId="0" fontId="19" fillId="0" borderId="0" xfId="0" applyFont="1"/>
    <xf numFmtId="170" fontId="19" fillId="0" borderId="0" xfId="0" applyNumberFormat="1" applyFont="1"/>
    <xf numFmtId="0" fontId="47" fillId="0" borderId="0" xfId="0" applyFont="1"/>
    <xf numFmtId="0" fontId="48" fillId="2" borderId="0" xfId="3" applyFont="1"/>
    <xf numFmtId="9" fontId="48" fillId="2" borderId="0" xfId="6" applyFont="1" applyFill="1"/>
    <xf numFmtId="0" fontId="49" fillId="33" borderId="10" xfId="0" applyFont="1" applyFill="1" applyBorder="1" applyAlignment="1">
      <alignment wrapText="1"/>
    </xf>
    <xf numFmtId="0" fontId="47" fillId="35" borderId="10" xfId="0" applyFont="1" applyFill="1" applyBorder="1" applyAlignment="1">
      <alignment horizontal="center" vertical="center" wrapText="1"/>
    </xf>
    <xf numFmtId="44" fontId="47" fillId="35" borderId="10" xfId="2" applyFont="1" applyFill="1" applyBorder="1" applyAlignment="1">
      <alignment horizontal="center" vertical="center" wrapText="1"/>
    </xf>
    <xf numFmtId="0" fontId="47" fillId="0" borderId="0" xfId="0" applyFont="1" applyFill="1"/>
    <xf numFmtId="5" fontId="48" fillId="2" borderId="0" xfId="3" applyNumberFormat="1" applyFont="1"/>
    <xf numFmtId="3" fontId="51" fillId="0" borderId="10" xfId="0" applyNumberFormat="1" applyFont="1" applyBorder="1" applyAlignment="1">
      <alignment horizontal="center"/>
    </xf>
    <xf numFmtId="164" fontId="52" fillId="35" borderId="10" xfId="0" applyNumberFormat="1" applyFont="1" applyFill="1" applyBorder="1" applyAlignment="1">
      <alignment horizontal="center" vertical="center"/>
    </xf>
    <xf numFmtId="165" fontId="52" fillId="35" borderId="10" xfId="0" applyNumberFormat="1" applyFont="1" applyFill="1" applyBorder="1" applyAlignment="1">
      <alignment horizontal="center" vertical="center"/>
    </xf>
    <xf numFmtId="10" fontId="45" fillId="35" borderId="10" xfId="6" applyNumberFormat="1" applyFont="1" applyFill="1" applyBorder="1" applyAlignment="1">
      <alignment horizontal="center" vertical="center"/>
    </xf>
    <xf numFmtId="44" fontId="45" fillId="35" borderId="10" xfId="2" applyFont="1" applyFill="1" applyBorder="1" applyAlignment="1">
      <alignment horizontal="center" vertical="center"/>
    </xf>
    <xf numFmtId="0" fontId="48" fillId="0" borderId="0" xfId="3" applyFont="1" applyFill="1"/>
    <xf numFmtId="5" fontId="48" fillId="0" borderId="0" xfId="3" applyNumberFormat="1" applyFont="1" applyFill="1"/>
    <xf numFmtId="0" fontId="53" fillId="0" borderId="0" xfId="0" applyFont="1" applyFill="1"/>
    <xf numFmtId="0" fontId="45" fillId="0" borderId="0" xfId="0" applyFont="1"/>
    <xf numFmtId="166" fontId="23" fillId="37" borderId="19" xfId="0" applyNumberFormat="1" applyFont="1" applyFill="1" applyBorder="1" applyAlignment="1">
      <alignment horizontal="center" vertical="center" wrapText="1"/>
    </xf>
    <xf numFmtId="166" fontId="36" fillId="48" borderId="19" xfId="0" applyNumberFormat="1" applyFont="1" applyFill="1" applyBorder="1" applyAlignment="1">
      <alignment horizontal="center"/>
    </xf>
    <xf numFmtId="3" fontId="23" fillId="47" borderId="10" xfId="0" applyNumberFormat="1" applyFont="1" applyFill="1" applyBorder="1" applyAlignment="1">
      <alignment horizontal="center"/>
    </xf>
    <xf numFmtId="3" fontId="36" fillId="47" borderId="19" xfId="0" applyNumberFormat="1" applyFont="1" applyFill="1" applyBorder="1" applyAlignment="1">
      <alignment horizontal="center"/>
    </xf>
    <xf numFmtId="166" fontId="23" fillId="37" borderId="19" xfId="0" applyNumberFormat="1" applyFont="1" applyFill="1" applyBorder="1" applyAlignment="1">
      <alignment horizontal="center"/>
    </xf>
    <xf numFmtId="3" fontId="23" fillId="47" borderId="20" xfId="0" applyNumberFormat="1" applyFont="1" applyFill="1" applyBorder="1" applyAlignment="1">
      <alignment horizontal="center"/>
    </xf>
    <xf numFmtId="2" fontId="23" fillId="37" borderId="10" xfId="0" applyNumberFormat="1" applyFont="1" applyFill="1" applyBorder="1" applyAlignment="1">
      <alignment horizontal="center"/>
    </xf>
    <xf numFmtId="5" fontId="23" fillId="37" borderId="10" xfId="2" applyNumberFormat="1" applyFont="1" applyFill="1" applyBorder="1" applyAlignment="1">
      <alignment horizontal="center" vertical="center"/>
    </xf>
    <xf numFmtId="3" fontId="23" fillId="37" borderId="10" xfId="0" applyNumberFormat="1" applyFont="1" applyFill="1" applyBorder="1" applyAlignment="1">
      <alignment horizontal="center" vertical="center"/>
    </xf>
    <xf numFmtId="172" fontId="23" fillId="37" borderId="10" xfId="0" applyNumberFormat="1" applyFont="1" applyFill="1" applyBorder="1" applyAlignment="1">
      <alignment horizontal="center" vertical="center"/>
    </xf>
    <xf numFmtId="9" fontId="23" fillId="37" borderId="10" xfId="0" applyNumberFormat="1" applyFont="1" applyFill="1" applyBorder="1" applyAlignment="1">
      <alignment horizontal="center"/>
    </xf>
    <xf numFmtId="166" fontId="23" fillId="0" borderId="10" xfId="0" applyNumberFormat="1" applyFont="1" applyBorder="1" applyAlignment="1">
      <alignment horizontal="center"/>
    </xf>
    <xf numFmtId="5" fontId="23" fillId="48" borderId="10" xfId="2" applyNumberFormat="1" applyFont="1" applyFill="1" applyBorder="1" applyAlignment="1">
      <alignment horizontal="center"/>
    </xf>
    <xf numFmtId="9" fontId="23" fillId="0" borderId="0" xfId="0" applyNumberFormat="1" applyFont="1" applyAlignment="1">
      <alignment horizontal="center"/>
    </xf>
    <xf numFmtId="0" fontId="54" fillId="0" borderId="58" xfId="0" applyFont="1" applyBorder="1"/>
    <xf numFmtId="0" fontId="55" fillId="0" borderId="57" xfId="0" applyFont="1" applyBorder="1" applyAlignment="1">
      <alignment horizontal="center" vertical="center"/>
    </xf>
    <xf numFmtId="0" fontId="56" fillId="0" borderId="59" xfId="0" applyFont="1" applyBorder="1" applyAlignment="1">
      <alignment horizontal="center" vertical="center"/>
    </xf>
    <xf numFmtId="3" fontId="56" fillId="0" borderId="59" xfId="0" applyNumberFormat="1" applyFont="1" applyBorder="1" applyAlignment="1">
      <alignment horizontal="center" vertical="center"/>
    </xf>
    <xf numFmtId="6" fontId="56" fillId="0" borderId="59" xfId="0" applyNumberFormat="1" applyFont="1" applyBorder="1" applyAlignment="1">
      <alignment vertical="center"/>
    </xf>
    <xf numFmtId="2" fontId="56" fillId="0" borderId="59" xfId="0" applyNumberFormat="1" applyFont="1" applyBorder="1" applyAlignment="1">
      <alignment horizontal="center" vertical="center"/>
    </xf>
    <xf numFmtId="6" fontId="0" fillId="0" borderId="0" xfId="0" applyNumberFormat="1" applyAlignment="1">
      <alignment horizontal="center" vertical="center" wrapText="1"/>
    </xf>
    <xf numFmtId="0" fontId="56" fillId="50" borderId="60" xfId="0" applyFont="1" applyFill="1" applyBorder="1" applyAlignment="1">
      <alignment vertical="center"/>
    </xf>
    <xf numFmtId="0" fontId="55" fillId="0" borderId="61" xfId="0" applyFont="1" applyBorder="1" applyAlignment="1">
      <alignment horizontal="center" vertical="center"/>
    </xf>
    <xf numFmtId="166" fontId="0" fillId="0" borderId="58" xfId="0" applyNumberFormat="1" applyBorder="1"/>
    <xf numFmtId="0" fontId="46" fillId="3" borderId="0" xfId="4" applyFont="1" applyAlignment="1">
      <alignment horizontal="center"/>
    </xf>
    <xf numFmtId="0" fontId="47" fillId="34" borderId="34" xfId="0" applyFont="1" applyFill="1" applyBorder="1" applyAlignment="1">
      <alignment horizontal="center" wrapText="1"/>
    </xf>
    <xf numFmtId="0" fontId="47" fillId="34" borderId="35" xfId="0" applyFont="1" applyFill="1" applyBorder="1" applyAlignment="1">
      <alignment horizontal="center" wrapText="1"/>
    </xf>
    <xf numFmtId="0" fontId="34" fillId="46" borderId="13" xfId="0" applyFont="1" applyFill="1" applyBorder="1" applyAlignment="1">
      <alignment horizontal="center" vertical="center" wrapText="1"/>
    </xf>
    <xf numFmtId="0" fontId="34" fillId="46" borderId="14" xfId="0" applyFont="1" applyFill="1" applyBorder="1" applyAlignment="1">
      <alignment horizontal="center" vertical="center" wrapText="1"/>
    </xf>
    <xf numFmtId="0" fontId="34" fillId="46" borderId="10" xfId="0" applyFont="1" applyFill="1" applyBorder="1" applyAlignment="1">
      <alignment horizontal="center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34" fillId="46" borderId="37" xfId="0" applyFont="1" applyFill="1" applyBorder="1" applyAlignment="1">
      <alignment horizontal="center" vertical="center" wrapText="1"/>
    </xf>
    <xf numFmtId="0" fontId="34" fillId="46" borderId="38" xfId="0" applyFont="1" applyFill="1" applyBorder="1" applyAlignment="1">
      <alignment horizontal="center" vertical="center" wrapText="1"/>
    </xf>
    <xf numFmtId="0" fontId="23" fillId="46" borderId="49" xfId="0" applyFont="1" applyFill="1" applyBorder="1" applyAlignment="1">
      <alignment horizontal="center"/>
    </xf>
    <xf numFmtId="0" fontId="23" fillId="46" borderId="50" xfId="0" applyFont="1" applyFill="1" applyBorder="1" applyAlignment="1">
      <alignment horizontal="center"/>
    </xf>
    <xf numFmtId="0" fontId="23" fillId="46" borderId="57" xfId="0" applyFont="1" applyFill="1" applyBorder="1" applyAlignment="1">
      <alignment horizontal="center"/>
    </xf>
    <xf numFmtId="0" fontId="34" fillId="46" borderId="12" xfId="0" applyFont="1" applyFill="1" applyBorder="1" applyAlignment="1">
      <alignment horizontal="center" vertical="center" wrapText="1"/>
    </xf>
    <xf numFmtId="0" fontId="34" fillId="46" borderId="26" xfId="0" applyFont="1" applyFill="1" applyBorder="1" applyAlignment="1">
      <alignment horizontal="center" vertical="center" wrapText="1"/>
    </xf>
    <xf numFmtId="0" fontId="34" fillId="46" borderId="18" xfId="0" applyFont="1" applyFill="1" applyBorder="1" applyAlignment="1">
      <alignment horizontal="center" vertical="center" wrapText="1"/>
    </xf>
    <xf numFmtId="0" fontId="25" fillId="41" borderId="44" xfId="0" applyFont="1" applyFill="1" applyBorder="1" applyAlignment="1">
      <alignment horizontal="center" wrapText="1"/>
    </xf>
    <xf numFmtId="0" fontId="25" fillId="41" borderId="43" xfId="0" applyFont="1" applyFill="1" applyBorder="1" applyAlignment="1">
      <alignment horizontal="center" wrapText="1"/>
    </xf>
    <xf numFmtId="0" fontId="25" fillId="41" borderId="12" xfId="0" applyFont="1" applyFill="1" applyBorder="1" applyAlignment="1">
      <alignment horizontal="center" vertical="center" wrapText="1"/>
    </xf>
    <xf numFmtId="0" fontId="25" fillId="41" borderId="26" xfId="0" applyFont="1" applyFill="1" applyBorder="1" applyAlignment="1">
      <alignment horizontal="center" vertical="center" wrapText="1"/>
    </xf>
    <xf numFmtId="0" fontId="25" fillId="41" borderId="18" xfId="0" applyFont="1" applyFill="1" applyBorder="1" applyAlignment="1">
      <alignment horizontal="center" vertical="center" wrapText="1"/>
    </xf>
    <xf numFmtId="0" fontId="25" fillId="41" borderId="13" xfId="0" applyFont="1" applyFill="1" applyBorder="1" applyAlignment="1">
      <alignment horizontal="center" vertical="center" wrapText="1"/>
    </xf>
    <xf numFmtId="0" fontId="25" fillId="41" borderId="21" xfId="0" applyFont="1" applyFill="1" applyBorder="1" applyAlignment="1">
      <alignment horizontal="center" vertical="center" wrapText="1"/>
    </xf>
    <xf numFmtId="0" fontId="25" fillId="41" borderId="22" xfId="0" applyFont="1" applyFill="1" applyBorder="1" applyAlignment="1">
      <alignment horizontal="center" vertical="center" wrapText="1"/>
    </xf>
    <xf numFmtId="0" fontId="25" fillId="41" borderId="24" xfId="0" applyFont="1" applyFill="1" applyBorder="1" applyAlignment="1">
      <alignment horizontal="center" vertical="center" wrapText="1"/>
    </xf>
    <xf numFmtId="0" fontId="25" fillId="41" borderId="23" xfId="0" applyFont="1" applyFill="1" applyBorder="1" applyAlignment="1">
      <alignment horizontal="center" vertical="center" wrapText="1"/>
    </xf>
    <xf numFmtId="0" fontId="26" fillId="42" borderId="15" xfId="0" applyFont="1" applyFill="1" applyBorder="1" applyAlignment="1">
      <alignment horizontal="center" vertical="center" wrapText="1"/>
    </xf>
    <xf numFmtId="0" fontId="26" fillId="42" borderId="16" xfId="0" applyFont="1" applyFill="1" applyBorder="1" applyAlignment="1">
      <alignment horizontal="center" vertical="center" wrapText="1"/>
    </xf>
    <xf numFmtId="0" fontId="26" fillId="42" borderId="17" xfId="0" applyFont="1" applyFill="1" applyBorder="1" applyAlignment="1">
      <alignment horizontal="center" vertical="center" wrapText="1"/>
    </xf>
    <xf numFmtId="0" fontId="25" fillId="41" borderId="25" xfId="0" applyFont="1" applyFill="1" applyBorder="1" applyAlignment="1">
      <alignment horizontal="center" vertical="center" wrapText="1"/>
    </xf>
    <xf numFmtId="0" fontId="23" fillId="0" borderId="40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23" fillId="0" borderId="39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6" xfId="0" applyFont="1" applyBorder="1" applyAlignment="1">
      <alignment horizontal="center" vertical="center" wrapText="1"/>
    </xf>
    <xf numFmtId="0" fontId="25" fillId="41" borderId="37" xfId="0" applyFont="1" applyFill="1" applyBorder="1" applyAlignment="1">
      <alignment horizontal="center" vertical="center" wrapText="1"/>
    </xf>
    <xf numFmtId="0" fontId="25" fillId="41" borderId="38" xfId="0" applyFont="1" applyFill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5" fillId="41" borderId="45" xfId="0" applyFont="1" applyFill="1" applyBorder="1" applyAlignment="1">
      <alignment horizontal="center" vertical="center" wrapText="1"/>
    </xf>
    <xf numFmtId="0" fontId="34" fillId="46" borderId="32" xfId="0" applyFont="1" applyFill="1" applyBorder="1" applyAlignment="1">
      <alignment horizontal="center" vertical="center" wrapText="1"/>
    </xf>
    <xf numFmtId="0" fontId="34" fillId="46" borderId="0" xfId="0" applyFont="1" applyFill="1" applyBorder="1" applyAlignment="1">
      <alignment horizontal="center" vertical="center" wrapText="1"/>
    </xf>
    <xf numFmtId="0" fontId="34" fillId="46" borderId="33" xfId="0" applyFont="1" applyFill="1" applyBorder="1" applyAlignment="1">
      <alignment horizontal="center" vertical="center" wrapText="1"/>
    </xf>
    <xf numFmtId="0" fontId="34" fillId="46" borderId="51" xfId="0" applyFont="1" applyFill="1" applyBorder="1" applyAlignment="1">
      <alignment horizontal="center" vertical="center" wrapText="1"/>
    </xf>
    <xf numFmtId="0" fontId="34" fillId="46" borderId="36" xfId="0" applyFont="1" applyFill="1" applyBorder="1" applyAlignment="1">
      <alignment horizontal="center" vertical="center" wrapText="1"/>
    </xf>
    <xf numFmtId="0" fontId="23" fillId="0" borderId="53" xfId="0" applyFont="1" applyBorder="1" applyAlignment="1">
      <alignment horizontal="left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51" xfId="0" applyFont="1" applyBorder="1" applyAlignment="1">
      <alignment horizontal="left" vertical="center" wrapText="1"/>
    </xf>
    <xf numFmtId="0" fontId="23" fillId="0" borderId="36" xfId="0" applyFont="1" applyBorder="1" applyAlignment="1">
      <alignment horizontal="left" vertical="center" wrapText="1"/>
    </xf>
    <xf numFmtId="0" fontId="23" fillId="0" borderId="10" xfId="0" applyFont="1" applyBorder="1" applyAlignment="1">
      <alignment horizontal="left" vertical="center" wrapText="1"/>
    </xf>
    <xf numFmtId="0" fontId="23" fillId="37" borderId="15" xfId="0" applyFont="1" applyFill="1" applyBorder="1" applyAlignment="1">
      <alignment horizontal="left"/>
    </xf>
    <xf numFmtId="0" fontId="23" fillId="37" borderId="16" xfId="0" applyFont="1" applyFill="1" applyBorder="1" applyAlignment="1">
      <alignment horizontal="left"/>
    </xf>
    <xf numFmtId="0" fontId="23" fillId="37" borderId="17" xfId="0" applyFont="1" applyFill="1" applyBorder="1" applyAlignment="1">
      <alignment horizontal="left"/>
    </xf>
    <xf numFmtId="0" fontId="23" fillId="47" borderId="15" xfId="0" applyFont="1" applyFill="1" applyBorder="1" applyAlignment="1">
      <alignment horizontal="left"/>
    </xf>
    <xf numFmtId="0" fontId="23" fillId="47" borderId="16" xfId="0" applyFont="1" applyFill="1" applyBorder="1" applyAlignment="1">
      <alignment horizontal="left"/>
    </xf>
    <xf numFmtId="0" fontId="23" fillId="47" borderId="17" xfId="0" applyFont="1" applyFill="1" applyBorder="1" applyAlignment="1">
      <alignment horizontal="left"/>
    </xf>
    <xf numFmtId="0" fontId="23" fillId="0" borderId="56" xfId="0" applyFont="1" applyBorder="1" applyAlignment="1">
      <alignment horizontal="center" wrapText="1"/>
    </xf>
    <xf numFmtId="0" fontId="23" fillId="0" borderId="0" xfId="0" applyFont="1" applyAlignment="1">
      <alignment horizontal="center" wrapText="1"/>
    </xf>
    <xf numFmtId="0" fontId="22" fillId="0" borderId="10" xfId="0" applyFont="1" applyBorder="1" applyAlignment="1">
      <alignment horizontal="left" wrapText="1"/>
    </xf>
    <xf numFmtId="0" fontId="29" fillId="3" borderId="0" xfId="4" applyFont="1" applyAlignment="1">
      <alignment horizontal="center"/>
    </xf>
    <xf numFmtId="0" fontId="30" fillId="43" borderId="0" xfId="3" applyFont="1" applyFill="1" applyAlignment="1">
      <alignment horizontal="center" vertical="center" wrapText="1"/>
    </xf>
    <xf numFmtId="0" fontId="27" fillId="34" borderId="10" xfId="0" applyFont="1" applyFill="1" applyBorder="1" applyAlignment="1">
      <alignment horizontal="center" vertical="center" wrapText="1"/>
    </xf>
    <xf numFmtId="0" fontId="31" fillId="4" borderId="0" xfId="5" applyFont="1" applyAlignment="1">
      <alignment vertical="center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'TV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'TV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'TV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41291.046533256063</c:v>
                </c:pt>
                <c:pt idx="2">
                  <c:v>67077.502989388115</c:v>
                </c:pt>
                <c:pt idx="3">
                  <c:v>89092.422642808015</c:v>
                </c:pt>
                <c:pt idx="4">
                  <c:v>108967.72508944613</c:v>
                </c:pt>
                <c:pt idx="5">
                  <c:v>127389.86969083325</c:v>
                </c:pt>
                <c:pt idx="6">
                  <c:v>144731.06757760671</c:v>
                </c:pt>
                <c:pt idx="7">
                  <c:v>161222.07942661172</c:v>
                </c:pt>
                <c:pt idx="8">
                  <c:v>177018.59165878021</c:v>
                </c:pt>
                <c:pt idx="9">
                  <c:v>192231.98341489973</c:v>
                </c:pt>
                <c:pt idx="10">
                  <c:v>206945.45385577576</c:v>
                </c:pt>
                <c:pt idx="11">
                  <c:v>221223.25084887823</c:v>
                </c:pt>
                <c:pt idx="12">
                  <c:v>235116.31293421463</c:v>
                </c:pt>
                <c:pt idx="13">
                  <c:v>248665.90181630634</c:v>
                </c:pt>
                <c:pt idx="14">
                  <c:v>261906.04071960138</c:v>
                </c:pt>
                <c:pt idx="15">
                  <c:v>274865.20841187745</c:v>
                </c:pt>
                <c:pt idx="16">
                  <c:v>287567.55054890027</c:v>
                </c:pt>
                <c:pt idx="17">
                  <c:v>300033.76740583061</c:v>
                </c:pt>
                <c:pt idx="18">
                  <c:v>312281.77837012883</c:v>
                </c:pt>
                <c:pt idx="19">
                  <c:v>324327.22859442042</c:v>
                </c:pt>
                <c:pt idx="20">
                  <c:v>336183.88161876524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Gardasil 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TV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'2018'!$G$9</c:f>
              <c:numCache>
                <c:formatCode>"$"#,##0</c:formatCode>
                <c:ptCount val="1"/>
                <c:pt idx="0">
                  <c:v>9000000</c:v>
                </c:pt>
              </c:numCache>
            </c:numRef>
          </c:xVal>
          <c:yVal>
            <c:numRef>
              <c:f>'2018'!$I$9</c:f>
              <c:numCache>
                <c:formatCode>#,##0</c:formatCode>
                <c:ptCount val="1"/>
                <c:pt idx="0">
                  <c:v>390536.49287987669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B-4785-AC28-26D3A99F548E}"/>
            </c:ext>
          </c:extLst>
        </c:ser>
        <c:ser>
          <c:idx val="1"/>
          <c:order val="1"/>
          <c:tx>
            <c:strRef>
              <c:f>'2018'!$D$3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'2018'!$A$59:$A$80</c:f>
              <c:numCache>
                <c:formatCode>"$"#,##0</c:formatCode>
                <c:ptCount val="22"/>
                <c:pt idx="0">
                  <c:v>0</c:v>
                </c:pt>
                <c:pt idx="1">
                  <c:v>100000</c:v>
                </c:pt>
                <c:pt idx="2">
                  <c:v>742857.14285714284</c:v>
                </c:pt>
                <c:pt idx="3">
                  <c:v>1485714.2857142857</c:v>
                </c:pt>
                <c:pt idx="4">
                  <c:v>2228571.4285714286</c:v>
                </c:pt>
                <c:pt idx="5">
                  <c:v>2971428.5714285714</c:v>
                </c:pt>
                <c:pt idx="6">
                  <c:v>3714285.7142857141</c:v>
                </c:pt>
                <c:pt idx="7">
                  <c:v>4457142.8571428573</c:v>
                </c:pt>
                <c:pt idx="8">
                  <c:v>5200000</c:v>
                </c:pt>
                <c:pt idx="9">
                  <c:v>5942857.1428571427</c:v>
                </c:pt>
                <c:pt idx="10">
                  <c:v>6685714.2857142854</c:v>
                </c:pt>
                <c:pt idx="11">
                  <c:v>7428571.4285714282</c:v>
                </c:pt>
                <c:pt idx="12">
                  <c:v>8171428.5714285709</c:v>
                </c:pt>
                <c:pt idx="13">
                  <c:v>8914285.7142857146</c:v>
                </c:pt>
                <c:pt idx="14">
                  <c:v>9657142.8571428582</c:v>
                </c:pt>
                <c:pt idx="15">
                  <c:v>10400000.000000002</c:v>
                </c:pt>
                <c:pt idx="16">
                  <c:v>11142857.142857146</c:v>
                </c:pt>
                <c:pt idx="17">
                  <c:v>11885714.285714289</c:v>
                </c:pt>
                <c:pt idx="18">
                  <c:v>12628571.428571433</c:v>
                </c:pt>
                <c:pt idx="19">
                  <c:v>13371428.571428576</c:v>
                </c:pt>
                <c:pt idx="20">
                  <c:v>14114285.71428572</c:v>
                </c:pt>
                <c:pt idx="21">
                  <c:v>14857142.857142864</c:v>
                </c:pt>
              </c:numCache>
            </c:numRef>
          </c:xVal>
          <c:yVal>
            <c:numRef>
              <c:f>'2018'!$C$59:$C$80</c:f>
              <c:numCache>
                <c:formatCode>#,##0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3687.5132497593258</c:v>
                </c:pt>
                <c:pt idx="4">
                  <c:v>42655.46882280679</c:v>
                </c:pt>
                <c:pt idx="5">
                  <c:v>120255.53434964795</c:v>
                </c:pt>
                <c:pt idx="6">
                  <c:v>179420.83254888479</c:v>
                </c:pt>
                <c:pt idx="7">
                  <c:v>219725.40199210576</c:v>
                </c:pt>
                <c:pt idx="8">
                  <c:v>255872.69238108373</c:v>
                </c:pt>
                <c:pt idx="9">
                  <c:v>289488.72670212865</c:v>
                </c:pt>
                <c:pt idx="10">
                  <c:v>318771.7106293533</c:v>
                </c:pt>
                <c:pt idx="11">
                  <c:v>344224.82130818686</c:v>
                </c:pt>
                <c:pt idx="12">
                  <c:v>367073.94839600474</c:v>
                </c:pt>
                <c:pt idx="13">
                  <c:v>388200.16563812637</c:v>
                </c:pt>
                <c:pt idx="14">
                  <c:v>407777.85850731673</c:v>
                </c:pt>
                <c:pt idx="15">
                  <c:v>425897.6958384001</c:v>
                </c:pt>
                <c:pt idx="16">
                  <c:v>442704.70524950721</c:v>
                </c:pt>
                <c:pt idx="17">
                  <c:v>458393.08167296392</c:v>
                </c:pt>
                <c:pt idx="18">
                  <c:v>473146.61498036591</c:v>
                </c:pt>
                <c:pt idx="19">
                  <c:v>487071.33334061143</c:v>
                </c:pt>
                <c:pt idx="20">
                  <c:v>500242.68171332142</c:v>
                </c:pt>
                <c:pt idx="21">
                  <c:v>512735.67848520359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B-4785-AC28-26D3A99F548E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-4.8798798798798816E-2"/>
                  <c:y val="-5.4945054945054944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1B-4785-AC28-26D3A99F54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'2018'!$B$9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91B-4785-AC28-26D3A99F548E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1.6711232559186818E-2"/>
                  <c:y val="-1.8717953654326217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1B-4785-AC28-26D3A99F54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'2018'!$C$9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C91B-4785-AC28-26D3A99F548E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'2018'!$D$9</c:f>
              <c:numCache>
                <c:formatCode>"$"#,##0</c:formatCode>
                <c:ptCount val="1"/>
              </c:numCache>
            </c:numRef>
          </c:xVal>
          <c:yVal>
            <c:numRef>
              <c:f>'2018'!$F$9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91B-4785-AC28-26D3A99F5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65824"/>
        <c:axId val="534246144"/>
      </c:scatterChart>
      <c:valAx>
        <c:axId val="533965824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Gardasil</a:t>
                </a:r>
                <a:r>
                  <a:rPr lang="en-US" baseline="0"/>
                  <a:t> TV </a:t>
                </a:r>
                <a:r>
                  <a:rPr lang="en-US"/>
                  <a:t>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534246144"/>
        <c:crosses val="autoZero"/>
        <c:crossBetween val="midCat"/>
        <c:dispUnits>
          <c:builtInUnit val="thousands"/>
        </c:dispUnits>
      </c:valAx>
      <c:valAx>
        <c:axId val="534246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339658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Gardasil : Estimated Incr. NRx from TV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'2018'!$G$9</c:f>
              <c:numCache>
                <c:formatCode>"$"#,##0</c:formatCode>
                <c:ptCount val="1"/>
                <c:pt idx="0">
                  <c:v>9000000</c:v>
                </c:pt>
              </c:numCache>
            </c:numRef>
          </c:xVal>
          <c:yVal>
            <c:numRef>
              <c:f>'2018'!$H$9</c:f>
              <c:numCache>
                <c:formatCode>#,##0</c:formatCode>
                <c:ptCount val="1"/>
                <c:pt idx="0">
                  <c:v>390536.49287987669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B0-4015-8400-8B6ABE25EBAC}"/>
            </c:ext>
          </c:extLst>
        </c:ser>
        <c:ser>
          <c:idx val="1"/>
          <c:order val="1"/>
          <c:tx>
            <c:strRef>
              <c:f>'2018'!$D$3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'2018'!$A$59:$A$80</c:f>
              <c:numCache>
                <c:formatCode>"$"#,##0</c:formatCode>
                <c:ptCount val="22"/>
                <c:pt idx="0">
                  <c:v>0</c:v>
                </c:pt>
                <c:pt idx="1">
                  <c:v>100000</c:v>
                </c:pt>
                <c:pt idx="2">
                  <c:v>742857.14285714284</c:v>
                </c:pt>
                <c:pt idx="3">
                  <c:v>1485714.2857142857</c:v>
                </c:pt>
                <c:pt idx="4">
                  <c:v>2228571.4285714286</c:v>
                </c:pt>
                <c:pt idx="5">
                  <c:v>2971428.5714285714</c:v>
                </c:pt>
                <c:pt idx="6">
                  <c:v>3714285.7142857141</c:v>
                </c:pt>
                <c:pt idx="7">
                  <c:v>4457142.8571428573</c:v>
                </c:pt>
                <c:pt idx="8">
                  <c:v>5200000</c:v>
                </c:pt>
                <c:pt idx="9">
                  <c:v>5942857.1428571427</c:v>
                </c:pt>
                <c:pt idx="10">
                  <c:v>6685714.2857142854</c:v>
                </c:pt>
                <c:pt idx="11">
                  <c:v>7428571.4285714282</c:v>
                </c:pt>
                <c:pt idx="12">
                  <c:v>8171428.5714285709</c:v>
                </c:pt>
                <c:pt idx="13">
                  <c:v>8914285.7142857146</c:v>
                </c:pt>
                <c:pt idx="14">
                  <c:v>9657142.8571428582</c:v>
                </c:pt>
                <c:pt idx="15">
                  <c:v>10400000.000000002</c:v>
                </c:pt>
                <c:pt idx="16">
                  <c:v>11142857.142857146</c:v>
                </c:pt>
                <c:pt idx="17">
                  <c:v>11885714.285714289</c:v>
                </c:pt>
                <c:pt idx="18">
                  <c:v>12628571.428571433</c:v>
                </c:pt>
                <c:pt idx="19">
                  <c:v>13371428.571428576</c:v>
                </c:pt>
                <c:pt idx="20">
                  <c:v>14114285.71428572</c:v>
                </c:pt>
                <c:pt idx="21">
                  <c:v>14857142.857142864</c:v>
                </c:pt>
              </c:numCache>
            </c:numRef>
          </c:xVal>
          <c:yVal>
            <c:numRef>
              <c:f>'2018'!$B$59:$B$80</c:f>
              <c:numCache>
                <c:formatCode>#,##0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3687.5132497593258</c:v>
                </c:pt>
                <c:pt idx="4">
                  <c:v>42655.46882280679</c:v>
                </c:pt>
                <c:pt idx="5">
                  <c:v>120255.53434964795</c:v>
                </c:pt>
                <c:pt idx="6">
                  <c:v>179420.83254888479</c:v>
                </c:pt>
                <c:pt idx="7">
                  <c:v>219725.40199210576</c:v>
                </c:pt>
                <c:pt idx="8">
                  <c:v>255872.69238108373</c:v>
                </c:pt>
                <c:pt idx="9">
                  <c:v>289488.72670212865</c:v>
                </c:pt>
                <c:pt idx="10">
                  <c:v>318771.7106293533</c:v>
                </c:pt>
                <c:pt idx="11">
                  <c:v>344224.82130818686</c:v>
                </c:pt>
                <c:pt idx="12">
                  <c:v>367073.94839600474</c:v>
                </c:pt>
                <c:pt idx="13">
                  <c:v>388200.16563812637</c:v>
                </c:pt>
                <c:pt idx="14">
                  <c:v>407777.85850731673</c:v>
                </c:pt>
                <c:pt idx="15">
                  <c:v>425897.6958384001</c:v>
                </c:pt>
                <c:pt idx="16">
                  <c:v>442704.70524950721</c:v>
                </c:pt>
                <c:pt idx="17">
                  <c:v>458393.08167296392</c:v>
                </c:pt>
                <c:pt idx="18">
                  <c:v>473146.61498036591</c:v>
                </c:pt>
                <c:pt idx="19">
                  <c:v>487071.33334061143</c:v>
                </c:pt>
                <c:pt idx="20">
                  <c:v>500242.68171332142</c:v>
                </c:pt>
                <c:pt idx="21">
                  <c:v>512735.67848520359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B0-4015-8400-8B6ABE25EBAC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-0.10135135135135136"/>
                  <c:y val="-4.0248810830589093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B0-4015-8400-8B6ABE25EBA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'2018'!$B$9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BB0-4015-8400-8B6ABE25EBAC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0"/>
                  <c:y val="-4.7566776436150753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B0-4015-8400-8B6ABE25EBA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'2018'!$C$9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DBB0-4015-8400-8B6ABE25EBAC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'2018'!$D$9</c:f>
              <c:numCache>
                <c:formatCode>"$"#,##0</c:formatCode>
                <c:ptCount val="1"/>
              </c:numCache>
            </c:numRef>
          </c:xVal>
          <c:yVal>
            <c:numRef>
              <c:f>'2018'!$E$9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B0-4015-8400-8B6ABE25E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670976"/>
        <c:axId val="560700032"/>
      </c:scatterChart>
      <c:valAx>
        <c:axId val="56067097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Gardasil TV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560700032"/>
        <c:crosses val="autoZero"/>
        <c:crossBetween val="midCat"/>
        <c:dispUnits>
          <c:builtInUnit val="thousands"/>
        </c:dispUnits>
      </c:valAx>
      <c:valAx>
        <c:axId val="560700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6067097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853439</xdr:colOff>
      <xdr:row>19</xdr:row>
      <xdr:rowOff>25588</xdr:rowOff>
    </xdr:from>
    <xdr:to>
      <xdr:col>9</xdr:col>
      <xdr:colOff>445713</xdr:colOff>
      <xdr:row>34</xdr:row>
      <xdr:rowOff>71536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430530</xdr:colOff>
      <xdr:row>54</xdr:row>
      <xdr:rowOff>95250</xdr:rowOff>
    </xdr:from>
    <xdr:to>
      <xdr:col>21</xdr:col>
      <xdr:colOff>9525</xdr:colOff>
      <xdr:row>77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073D78-DC6D-4A49-91E9-0AA56040F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1223009</xdr:colOff>
      <xdr:row>54</xdr:row>
      <xdr:rowOff>66675</xdr:rowOff>
    </xdr:from>
    <xdr:to>
      <xdr:col>12</xdr:col>
      <xdr:colOff>9524</xdr:colOff>
      <xdr:row>77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88B321-7DA6-4B7F-93A6-D6918ADE5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9"/>
  <sheetViews>
    <sheetView showGridLines="0" tabSelected="1" zoomScale="120" zoomScaleNormal="120" workbookViewId="0">
      <selection activeCell="E9" sqref="E9"/>
    </sheetView>
  </sheetViews>
  <sheetFormatPr defaultRowHeight="14.4" x14ac:dyDescent="0.3"/>
  <cols>
    <col min="3" max="3" width="18.5546875" customWidth="1"/>
    <col min="4" max="4" width="14.5546875" bestFit="1" customWidth="1"/>
    <col min="5" max="6" width="13.33203125" customWidth="1"/>
    <col min="7" max="7" width="16.6640625" customWidth="1"/>
    <col min="8" max="8" width="13" bestFit="1" customWidth="1"/>
    <col min="11" max="11" width="20.33203125" customWidth="1"/>
    <col min="12" max="12" width="14.5546875" customWidth="1"/>
  </cols>
  <sheetData>
    <row r="4" spans="3:12" s="158" customFormat="1" ht="28.5" customHeight="1" x14ac:dyDescent="0.3">
      <c r="C4" s="157" t="s">
        <v>127</v>
      </c>
      <c r="D4" s="157" t="s">
        <v>128</v>
      </c>
      <c r="E4" s="157" t="s">
        <v>0</v>
      </c>
      <c r="F4" s="157" t="s">
        <v>129</v>
      </c>
      <c r="G4" s="157" t="s">
        <v>130</v>
      </c>
      <c r="L4" s="159"/>
    </row>
    <row r="5" spans="3:12" x14ac:dyDescent="0.3">
      <c r="C5" t="s">
        <v>34</v>
      </c>
      <c r="D5" s="160">
        <v>13503524.99</v>
      </c>
      <c r="E5" s="161">
        <v>4.2728226683576107</v>
      </c>
      <c r="F5" s="206">
        <v>225.94</v>
      </c>
      <c r="G5" s="162">
        <f>F9</f>
        <v>255369.4240949167</v>
      </c>
      <c r="L5" s="163"/>
    </row>
    <row r="6" spans="3:12" x14ac:dyDescent="0.3">
      <c r="C6" s="164"/>
      <c r="D6" s="165">
        <f>SUM(D5:D5)</f>
        <v>13503524.99</v>
      </c>
      <c r="E6" s="165"/>
      <c r="F6" s="165"/>
      <c r="G6" s="166"/>
      <c r="L6" s="163"/>
    </row>
    <row r="7" spans="3:12" ht="15" thickBot="1" x14ac:dyDescent="0.35">
      <c r="L7" s="163"/>
    </row>
    <row r="8" spans="3:12" ht="15" thickBot="1" x14ac:dyDescent="0.35">
      <c r="C8" s="200"/>
      <c r="D8" s="208" t="s">
        <v>150</v>
      </c>
      <c r="E8" s="201" t="s">
        <v>146</v>
      </c>
      <c r="F8" s="201" t="s">
        <v>126</v>
      </c>
      <c r="G8" s="201" t="s">
        <v>144</v>
      </c>
      <c r="H8" s="201" t="s">
        <v>145</v>
      </c>
      <c r="K8" s="167"/>
      <c r="L8" s="168"/>
    </row>
    <row r="9" spans="3:12" ht="15" thickBot="1" x14ac:dyDescent="0.35">
      <c r="C9" s="207" t="s">
        <v>34</v>
      </c>
      <c r="D9" s="209">
        <v>13503524.99</v>
      </c>
      <c r="E9" s="205">
        <v>4.2728226683576107</v>
      </c>
      <c r="F9" s="203">
        <f>H9/F5</f>
        <v>255369.4240949167</v>
      </c>
      <c r="G9" s="202">
        <v>0.7</v>
      </c>
      <c r="H9" s="204">
        <f>D9*E9</f>
        <v>57698167.680005476</v>
      </c>
    </row>
  </sheetData>
  <pageMargins left="0.7" right="0.7" top="0.75" bottom="0.75" header="0.3" footer="0.3"/>
  <headerFooter>
    <oddHeader>&amp;L&amp;"Calibri"&amp;12&amp;K8E6A00 Confidential&amp;1#_x000D_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topLeftCell="B1" zoomScale="120" zoomScaleNormal="120" workbookViewId="0">
      <selection activeCell="K5" sqref="K5"/>
    </sheetView>
  </sheetViews>
  <sheetFormatPr defaultColWidth="9.109375" defaultRowHeight="13.8" x14ac:dyDescent="0.25"/>
  <cols>
    <col min="1" max="1" width="6" style="169" bestFit="1" customWidth="1"/>
    <col min="2" max="2" width="8" style="169" bestFit="1" customWidth="1"/>
    <col min="3" max="3" width="40.33203125" style="169" bestFit="1" customWidth="1"/>
    <col min="4" max="4" width="7.33203125" style="169" bestFit="1" customWidth="1"/>
    <col min="5" max="5" width="4.5546875" style="169" customWidth="1"/>
    <col min="6" max="6" width="18" style="169" bestFit="1" customWidth="1"/>
    <col min="7" max="7" width="3.5546875" style="169" customWidth="1"/>
    <col min="8" max="8" width="14.109375" style="169" bestFit="1" customWidth="1"/>
    <col min="9" max="9" width="12.33203125" style="169" customWidth="1"/>
    <col min="10" max="10" width="12.109375" style="169" customWidth="1"/>
    <col min="11" max="11" width="14.33203125" style="169" customWidth="1"/>
    <col min="12" max="12" width="11.6640625" style="169" customWidth="1"/>
    <col min="13" max="16384" width="9.109375" style="169"/>
  </cols>
  <sheetData>
    <row r="1" spans="1:11" x14ac:dyDescent="0.25">
      <c r="A1" s="210" t="s">
        <v>139</v>
      </c>
      <c r="B1" s="210"/>
      <c r="C1" s="210"/>
      <c r="D1" s="210"/>
      <c r="E1" s="210"/>
      <c r="F1" s="210"/>
      <c r="G1" s="210"/>
      <c r="H1" s="210"/>
      <c r="I1" s="210"/>
      <c r="J1" s="210"/>
    </row>
    <row r="3" spans="1:11" x14ac:dyDescent="0.25">
      <c r="B3" s="170" t="s">
        <v>1</v>
      </c>
      <c r="C3" s="170"/>
      <c r="D3" s="170"/>
      <c r="H3" s="211" t="s">
        <v>149</v>
      </c>
      <c r="I3" s="212"/>
      <c r="J3" s="212"/>
      <c r="K3" s="212"/>
    </row>
    <row r="4" spans="1:11" ht="41.4" x14ac:dyDescent="0.3">
      <c r="B4" s="170">
        <v>2022</v>
      </c>
      <c r="C4" s="170" t="s">
        <v>131</v>
      </c>
      <c r="D4" s="171"/>
      <c r="F4" s="172" t="s">
        <v>148</v>
      </c>
      <c r="H4" s="173" t="s">
        <v>2</v>
      </c>
      <c r="I4" s="173" t="s">
        <v>132</v>
      </c>
      <c r="J4" s="173" t="s">
        <v>133</v>
      </c>
      <c r="K4" s="174" t="s">
        <v>134</v>
      </c>
    </row>
    <row r="5" spans="1:11" s="175" customFormat="1" ht="25.5" customHeight="1" x14ac:dyDescent="0.3">
      <c r="B5" s="170">
        <v>2022</v>
      </c>
      <c r="C5" s="170" t="s">
        <v>147</v>
      </c>
      <c r="D5" s="176">
        <v>225.94</v>
      </c>
      <c r="F5" s="177">
        <v>8649234</v>
      </c>
      <c r="G5" s="169"/>
      <c r="H5" s="178">
        <f>TV!D5</f>
        <v>13503524.99</v>
      </c>
      <c r="I5" s="179">
        <f>TV!G5</f>
        <v>255369.4240949167</v>
      </c>
      <c r="J5" s="180">
        <f>I5/F5</f>
        <v>2.9525091365884736E-2</v>
      </c>
      <c r="K5" s="181">
        <f>H5/I5</f>
        <v>52.878393871385938</v>
      </c>
    </row>
    <row r="6" spans="1:11" s="175" customFormat="1" x14ac:dyDescent="0.25">
      <c r="B6" s="182"/>
      <c r="C6" s="182"/>
      <c r="D6" s="183"/>
      <c r="H6" s="184" t="s">
        <v>135</v>
      </c>
    </row>
    <row r="7" spans="1:11" s="175" customFormat="1" x14ac:dyDescent="0.25">
      <c r="B7" s="182"/>
      <c r="C7" s="182"/>
      <c r="D7" s="183"/>
    </row>
    <row r="8" spans="1:11" s="175" customFormat="1" x14ac:dyDescent="0.25">
      <c r="B8" s="182"/>
      <c r="C8" s="182"/>
      <c r="D8" s="183"/>
    </row>
    <row r="10" spans="1:11" x14ac:dyDescent="0.25">
      <c r="H10" s="185"/>
    </row>
  </sheetData>
  <mergeCells count="2">
    <mergeCell ref="A1:J1"/>
    <mergeCell ref="H3:K3"/>
  </mergeCells>
  <pageMargins left="0.7" right="0.7" top="0.75" bottom="0.75" header="0.3" footer="0.3"/>
  <pageSetup orientation="portrait"/>
  <headerFooter>
    <oddHeader>&amp;L&amp;"Calibri"&amp;12&amp;K8E6A00 Confidential&amp;1#_x000D_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workbookViewId="0">
      <selection activeCell="D16" sqref="D16"/>
    </sheetView>
  </sheetViews>
  <sheetFormatPr defaultRowHeight="14.4" x14ac:dyDescent="0.3"/>
  <cols>
    <col min="1" max="1" width="16.44140625" bestFit="1" customWidth="1"/>
    <col min="2" max="2" width="18" customWidth="1"/>
    <col min="3" max="3" width="11.44140625" bestFit="1" customWidth="1"/>
    <col min="4" max="4" width="19.33203125" customWidth="1"/>
    <col min="5" max="5" width="17.6640625" customWidth="1"/>
    <col min="6" max="6" width="15.44140625" customWidth="1"/>
    <col min="7" max="7" width="15.6640625" customWidth="1"/>
    <col min="8" max="8" width="15" customWidth="1"/>
    <col min="9" max="9" width="14.33203125" customWidth="1"/>
  </cols>
  <sheetData>
    <row r="1" spans="1:9" ht="15" thickBot="1" x14ac:dyDescent="0.35">
      <c r="A1" s="105" t="s">
        <v>4</v>
      </c>
      <c r="B1" s="1" t="s">
        <v>143</v>
      </c>
      <c r="C1" s="1"/>
      <c r="D1" s="1"/>
      <c r="E1" s="1"/>
      <c r="F1" s="1"/>
      <c r="G1" s="1"/>
      <c r="H1" s="1"/>
      <c r="I1" s="1"/>
    </row>
    <row r="2" spans="1:9" x14ac:dyDescent="0.3">
      <c r="A2" s="106" t="s">
        <v>6</v>
      </c>
      <c r="B2" s="2" t="s">
        <v>124</v>
      </c>
      <c r="C2" s="107" t="s">
        <v>7</v>
      </c>
      <c r="D2" s="3" t="s">
        <v>8</v>
      </c>
      <c r="E2" s="107" t="s">
        <v>50</v>
      </c>
      <c r="F2" s="3" t="s">
        <v>126</v>
      </c>
      <c r="G2" s="1"/>
      <c r="H2" s="1"/>
      <c r="I2" s="1"/>
    </row>
    <row r="3" spans="1:9" ht="15" thickBot="1" x14ac:dyDescent="0.35">
      <c r="A3" s="108" t="s">
        <v>10</v>
      </c>
      <c r="B3" s="4" t="s">
        <v>140</v>
      </c>
      <c r="C3" s="109" t="s">
        <v>11</v>
      </c>
      <c r="D3" s="5" t="s">
        <v>126</v>
      </c>
      <c r="E3" s="109" t="s">
        <v>49</v>
      </c>
      <c r="F3" s="5" t="s">
        <v>141</v>
      </c>
      <c r="G3" s="1"/>
      <c r="H3" s="1"/>
      <c r="I3" s="1"/>
    </row>
    <row r="4" spans="1:9" ht="15" thickBot="1" x14ac:dyDescent="0.35">
      <c r="A4" s="110" t="s">
        <v>12</v>
      </c>
      <c r="B4" s="222"/>
      <c r="C4" s="223"/>
      <c r="D4" s="223"/>
      <c r="E4" s="223"/>
      <c r="F4" s="224"/>
      <c r="G4" s="1"/>
      <c r="H4" s="1"/>
      <c r="I4" s="1"/>
    </row>
    <row r="5" spans="1:9" x14ac:dyDescent="0.3">
      <c r="A5" s="1"/>
      <c r="B5" s="1"/>
      <c r="C5" s="1"/>
      <c r="D5" s="1"/>
      <c r="E5" s="1"/>
      <c r="F5" s="1"/>
      <c r="G5" s="1"/>
      <c r="H5" s="1"/>
      <c r="I5" s="1"/>
    </row>
    <row r="6" spans="1:9" ht="15" thickBot="1" x14ac:dyDescent="0.35">
      <c r="A6" s="1"/>
      <c r="B6" s="199">
        <v>0.8</v>
      </c>
      <c r="C6" s="199">
        <v>1.2</v>
      </c>
      <c r="D6" s="1"/>
      <c r="E6" s="1"/>
      <c r="F6" s="1"/>
      <c r="G6" s="1"/>
      <c r="H6" s="1"/>
      <c r="I6" s="1"/>
    </row>
    <row r="7" spans="1:9" x14ac:dyDescent="0.3">
      <c r="A7" s="225" t="s">
        <v>13</v>
      </c>
      <c r="B7" s="213" t="s">
        <v>14</v>
      </c>
      <c r="C7" s="213"/>
      <c r="D7" s="213" t="s">
        <v>15</v>
      </c>
      <c r="E7" s="213"/>
      <c r="F7" s="213"/>
      <c r="G7" s="213" t="s">
        <v>89</v>
      </c>
      <c r="H7" s="213"/>
      <c r="I7" s="214"/>
    </row>
    <row r="8" spans="1:9" x14ac:dyDescent="0.3">
      <c r="A8" s="226"/>
      <c r="B8" s="156" t="s">
        <v>17</v>
      </c>
      <c r="C8" s="156" t="s">
        <v>18</v>
      </c>
      <c r="D8" s="156" t="s">
        <v>46</v>
      </c>
      <c r="E8" s="156" t="s">
        <v>45</v>
      </c>
      <c r="F8" s="156" t="s">
        <v>35</v>
      </c>
      <c r="G8" s="156" t="s">
        <v>19</v>
      </c>
      <c r="H8" s="156" t="s">
        <v>20</v>
      </c>
      <c r="I8" s="153" t="s">
        <v>120</v>
      </c>
    </row>
    <row r="9" spans="1:9" ht="15" thickBot="1" x14ac:dyDescent="0.35">
      <c r="A9" s="227"/>
      <c r="B9" s="186">
        <f>Data!$H$5*'TV - Power'!B6</f>
        <v>10802819.992000001</v>
      </c>
      <c r="C9" s="186">
        <f>Data!$H$5*'TV - Power'!C6</f>
        <v>16204229.988</v>
      </c>
      <c r="D9" s="187"/>
      <c r="E9" s="188">
        <f>(('TV - Power'!D9/$B$12)^$D$12)*$C$12</f>
        <v>0</v>
      </c>
      <c r="F9" s="189">
        <f>E9*F11</f>
        <v>0</v>
      </c>
      <c r="G9" s="190">
        <f>B12</f>
        <v>13503524.99</v>
      </c>
      <c r="H9" s="188">
        <f>(('TV - Power'!G9/$B$12)^$D$12)*$C$12</f>
        <v>255369.4240949167</v>
      </c>
      <c r="I9" s="191">
        <f>H9*F11</f>
        <v>255369.4240949167</v>
      </c>
    </row>
    <row r="10" spans="1:9" ht="15" thickBot="1" x14ac:dyDescent="0.35"/>
    <row r="11" spans="1:9" ht="48.9" customHeight="1" x14ac:dyDescent="0.3">
      <c r="A11" s="215" t="s">
        <v>21</v>
      </c>
      <c r="B11" s="154" t="s">
        <v>22</v>
      </c>
      <c r="C11" s="154" t="s">
        <v>23</v>
      </c>
      <c r="D11" s="154" t="s">
        <v>136</v>
      </c>
      <c r="E11" s="156" t="s">
        <v>117</v>
      </c>
      <c r="F11" s="192">
        <v>1</v>
      </c>
    </row>
    <row r="12" spans="1:9" ht="40.35" customHeight="1" thickBot="1" x14ac:dyDescent="0.35">
      <c r="A12" s="215"/>
      <c r="B12" s="193">
        <f>Data!H5</f>
        <v>13503524.99</v>
      </c>
      <c r="C12" s="194">
        <f>Data!I5</f>
        <v>255369.4240949167</v>
      </c>
      <c r="D12" s="195">
        <f>TV!G9</f>
        <v>0.7</v>
      </c>
      <c r="E12" s="156" t="s">
        <v>93</v>
      </c>
      <c r="F12" s="196">
        <v>1</v>
      </c>
    </row>
    <row r="13" spans="1:9" ht="18.75" customHeight="1" x14ac:dyDescent="0.3">
      <c r="A13" s="216" t="s">
        <v>137</v>
      </c>
      <c r="B13" s="217"/>
      <c r="C13" s="217"/>
      <c r="D13" s="217"/>
      <c r="E13" s="156" t="s">
        <v>116</v>
      </c>
      <c r="F13" s="156" t="s">
        <v>115</v>
      </c>
    </row>
    <row r="14" spans="1:9" ht="15" thickBot="1" x14ac:dyDescent="0.35">
      <c r="A14" s="218"/>
      <c r="B14" s="219"/>
      <c r="C14" s="219"/>
      <c r="D14" s="219"/>
      <c r="E14" s="147"/>
      <c r="F14" s="147"/>
    </row>
    <row r="15" spans="1:9" ht="15" thickBot="1" x14ac:dyDescent="0.35"/>
    <row r="16" spans="1:9" x14ac:dyDescent="0.3">
      <c r="A16" s="220" t="s">
        <v>30</v>
      </c>
      <c r="B16" s="154" t="s">
        <v>31</v>
      </c>
      <c r="C16" s="154" t="s">
        <v>32</v>
      </c>
      <c r="D16" s="155" t="s">
        <v>33</v>
      </c>
    </row>
    <row r="17" spans="1:4" ht="15" thickBot="1" x14ac:dyDescent="0.35">
      <c r="A17" s="221"/>
      <c r="B17" s="9">
        <v>0</v>
      </c>
      <c r="C17" s="9">
        <v>20000000</v>
      </c>
      <c r="D17" s="6">
        <v>20</v>
      </c>
    </row>
    <row r="18" spans="1:4" x14ac:dyDescent="0.3">
      <c r="A18" s="1"/>
      <c r="B18" s="1"/>
      <c r="C18" s="1"/>
      <c r="D18" s="1"/>
    </row>
    <row r="19" spans="1:4" x14ac:dyDescent="0.3">
      <c r="A19" s="215" t="s">
        <v>107</v>
      </c>
      <c r="B19" s="215"/>
      <c r="C19" s="215"/>
      <c r="D19" s="1"/>
    </row>
    <row r="20" spans="1:4" ht="27.6" x14ac:dyDescent="0.3">
      <c r="A20" s="156" t="s">
        <v>108</v>
      </c>
      <c r="B20" s="156" t="s">
        <v>142</v>
      </c>
      <c r="C20" s="156" t="s">
        <v>138</v>
      </c>
    </row>
    <row r="21" spans="1:4" x14ac:dyDescent="0.3">
      <c r="A21" s="197">
        <f>B17</f>
        <v>0</v>
      </c>
      <c r="B21" s="188">
        <f>(('TV - Power'!A21/$B$12)^$D$12)*$C$12</f>
        <v>0</v>
      </c>
      <c r="C21" s="198">
        <f>B21*TV!$F$5</f>
        <v>0</v>
      </c>
    </row>
    <row r="22" spans="1:4" x14ac:dyDescent="0.3">
      <c r="A22" s="197">
        <f>A21+(($C$17-$B$17)/$D$17)</f>
        <v>1000000</v>
      </c>
      <c r="B22" s="188">
        <f>(('TV - Power'!A22/$B$12)^$D$12)*$C$12</f>
        <v>41291.046533256063</v>
      </c>
      <c r="C22" s="198">
        <f>B22*TV!$F$5</f>
        <v>9329299.0537238754</v>
      </c>
      <c r="D22">
        <f>C22/A22</f>
        <v>9.3292990537238758</v>
      </c>
    </row>
    <row r="23" spans="1:4" x14ac:dyDescent="0.3">
      <c r="A23" s="197">
        <f t="shared" ref="A23:A41" si="0">A22+(($C$17-$B$17)/$D$17)</f>
        <v>2000000</v>
      </c>
      <c r="B23" s="188">
        <f>(('TV - Power'!A23/$B$12)^$D$12)*$C$12</f>
        <v>67077.502989388115</v>
      </c>
      <c r="C23" s="198">
        <f>B23*TV!$F$5</f>
        <v>15155491.02542235</v>
      </c>
      <c r="D23">
        <f t="shared" ref="D23:D41" si="1">C23/A23</f>
        <v>7.577745512711175</v>
      </c>
    </row>
    <row r="24" spans="1:4" x14ac:dyDescent="0.3">
      <c r="A24" s="197">
        <f t="shared" si="0"/>
        <v>3000000</v>
      </c>
      <c r="B24" s="188">
        <f>(('TV - Power'!A24/$B$12)^$D$12)*$C$12</f>
        <v>89092.422642808015</v>
      </c>
      <c r="C24" s="198">
        <f>B24*TV!$F$5</f>
        <v>20129541.971916042</v>
      </c>
      <c r="D24">
        <f t="shared" si="1"/>
        <v>6.7098473239720144</v>
      </c>
    </row>
    <row r="25" spans="1:4" x14ac:dyDescent="0.3">
      <c r="A25" s="197">
        <f t="shared" si="0"/>
        <v>4000000</v>
      </c>
      <c r="B25" s="188">
        <f>(('TV - Power'!A25/$B$12)^$D$12)*$C$12</f>
        <v>108967.72508944613</v>
      </c>
      <c r="C25" s="198">
        <f>B25*TV!$F$5</f>
        <v>24620167.806709457</v>
      </c>
      <c r="D25">
        <f t="shared" si="1"/>
        <v>6.1550419516773642</v>
      </c>
    </row>
    <row r="26" spans="1:4" x14ac:dyDescent="0.3">
      <c r="A26" s="197">
        <f t="shared" si="0"/>
        <v>5000000</v>
      </c>
      <c r="B26" s="188">
        <f>(('TV - Power'!A26/$B$12)^$D$12)*$C$12</f>
        <v>127389.86969083325</v>
      </c>
      <c r="C26" s="198">
        <f>B26*TV!$F$5</f>
        <v>28782467.157946862</v>
      </c>
      <c r="D26">
        <f t="shared" si="1"/>
        <v>5.7564934315893721</v>
      </c>
    </row>
    <row r="27" spans="1:4" x14ac:dyDescent="0.3">
      <c r="A27" s="197">
        <f t="shared" si="0"/>
        <v>6000000</v>
      </c>
      <c r="B27" s="188">
        <f>(('TV - Power'!A27/$B$12)^$D$12)*$C$12</f>
        <v>144731.06757760671</v>
      </c>
      <c r="C27" s="198">
        <f>B27*TV!$F$5</f>
        <v>32700537.408484459</v>
      </c>
      <c r="D27">
        <f t="shared" si="1"/>
        <v>5.4500895680807435</v>
      </c>
    </row>
    <row r="28" spans="1:4" x14ac:dyDescent="0.3">
      <c r="A28" s="197">
        <f t="shared" si="0"/>
        <v>7000000</v>
      </c>
      <c r="B28" s="188">
        <f>(('TV - Power'!A28/$B$12)^$D$12)*$C$12</f>
        <v>161222.07942661172</v>
      </c>
      <c r="C28" s="198">
        <f>B28*TV!$F$5</f>
        <v>36426516.625648648</v>
      </c>
      <c r="D28">
        <f t="shared" si="1"/>
        <v>5.2037880893783779</v>
      </c>
    </row>
    <row r="29" spans="1:4" x14ac:dyDescent="0.3">
      <c r="A29" s="197">
        <f t="shared" si="0"/>
        <v>8000000</v>
      </c>
      <c r="B29" s="188">
        <f>(('TV - Power'!A29/$B$12)^$D$12)*$C$12</f>
        <v>177018.59165878021</v>
      </c>
      <c r="C29" s="198">
        <f>B29*TV!$F$5</f>
        <v>39995580.5993848</v>
      </c>
      <c r="D29">
        <f t="shared" si="1"/>
        <v>4.9994475749231002</v>
      </c>
    </row>
    <row r="30" spans="1:4" x14ac:dyDescent="0.3">
      <c r="A30" s="197">
        <f t="shared" si="0"/>
        <v>9000000</v>
      </c>
      <c r="B30" s="188">
        <f>(('TV - Power'!A30/$B$12)^$D$12)*$C$12</f>
        <v>192231.98341489973</v>
      </c>
      <c r="C30" s="198">
        <f>B30*TV!$F$5</f>
        <v>43432894.332762443</v>
      </c>
      <c r="D30">
        <f t="shared" si="1"/>
        <v>4.8258771480847162</v>
      </c>
    </row>
    <row r="31" spans="1:4" x14ac:dyDescent="0.3">
      <c r="A31" s="197">
        <f t="shared" si="0"/>
        <v>10000000</v>
      </c>
      <c r="B31" s="188">
        <f>(('TV - Power'!A31/$B$12)^$D$12)*$C$12</f>
        <v>206945.45385577576</v>
      </c>
      <c r="C31" s="198">
        <f>B31*TV!$F$5</f>
        <v>46757255.844173975</v>
      </c>
      <c r="D31">
        <f t="shared" si="1"/>
        <v>4.6757255844173979</v>
      </c>
    </row>
    <row r="32" spans="1:4" x14ac:dyDescent="0.3">
      <c r="A32" s="197">
        <f t="shared" si="0"/>
        <v>11000000</v>
      </c>
      <c r="B32" s="188">
        <f>(('TV - Power'!A32/$B$12)^$D$12)*$C$12</f>
        <v>221223.25084887823</v>
      </c>
      <c r="C32" s="198">
        <f>B32*TV!$F$5</f>
        <v>49983181.296795547</v>
      </c>
      <c r="D32">
        <f t="shared" si="1"/>
        <v>4.5439255724359588</v>
      </c>
    </row>
    <row r="33" spans="1:4" x14ac:dyDescent="0.3">
      <c r="A33" s="197">
        <f t="shared" si="0"/>
        <v>12000000</v>
      </c>
      <c r="B33" s="188">
        <f>(('TV - Power'!A33/$B$12)^$D$12)*$C$12</f>
        <v>235116.31293421463</v>
      </c>
      <c r="C33" s="198">
        <f>B33*TV!$F$5</f>
        <v>53122179.744356453</v>
      </c>
      <c r="D33">
        <f t="shared" si="1"/>
        <v>4.4268483120297049</v>
      </c>
    </row>
    <row r="34" spans="1:4" x14ac:dyDescent="0.3">
      <c r="A34" s="197">
        <f t="shared" si="0"/>
        <v>13000000</v>
      </c>
      <c r="B34" s="188">
        <f>(('TV - Power'!A34/$B$12)^$D$12)*$C$12</f>
        <v>248665.90181630634</v>
      </c>
      <c r="C34" s="198">
        <f>B34*TV!$F$5</f>
        <v>56183573.856376253</v>
      </c>
      <c r="D34">
        <f t="shared" si="1"/>
        <v>4.3218133735674042</v>
      </c>
    </row>
    <row r="35" spans="1:4" x14ac:dyDescent="0.3">
      <c r="A35" s="197">
        <f t="shared" si="0"/>
        <v>14000000</v>
      </c>
      <c r="B35" s="188">
        <f>(('TV - Power'!A35/$B$12)^$D$12)*$C$12</f>
        <v>261906.04071960138</v>
      </c>
      <c r="C35" s="198">
        <f>B35*TV!$F$5</f>
        <v>59175050.840186737</v>
      </c>
      <c r="D35">
        <f t="shared" si="1"/>
        <v>4.2267893457276244</v>
      </c>
    </row>
    <row r="36" spans="1:4" x14ac:dyDescent="0.3">
      <c r="A36" s="197">
        <f t="shared" si="0"/>
        <v>15000000</v>
      </c>
      <c r="B36" s="188">
        <f>(('TV - Power'!A36/$B$12)^$D$12)*$C$12</f>
        <v>274865.20841187745</v>
      </c>
      <c r="C36" s="198">
        <f>B36*TV!$F$5</f>
        <v>62103045.188579589</v>
      </c>
      <c r="D36">
        <f t="shared" si="1"/>
        <v>4.1402030125719724</v>
      </c>
    </row>
    <row r="37" spans="1:4" x14ac:dyDescent="0.3">
      <c r="A37" s="197">
        <f t="shared" si="0"/>
        <v>16000000</v>
      </c>
      <c r="B37" s="188">
        <f>(('TV - Power'!A37/$B$12)^$D$12)*$C$12</f>
        <v>287567.55054890027</v>
      </c>
      <c r="C37" s="198">
        <f>B37*TV!$F$5</f>
        <v>64973012.371018529</v>
      </c>
      <c r="D37">
        <f t="shared" si="1"/>
        <v>4.0608132731886579</v>
      </c>
    </row>
    <row r="38" spans="1:4" x14ac:dyDescent="0.3">
      <c r="A38" s="197">
        <f t="shared" si="0"/>
        <v>17000000</v>
      </c>
      <c r="B38" s="188">
        <f>(('TV - Power'!A38/$B$12)^$D$12)*$C$12</f>
        <v>300033.76740583061</v>
      </c>
      <c r="C38" s="198">
        <f>B38*TV!$F$5</f>
        <v>67789629.407673374</v>
      </c>
      <c r="D38">
        <f t="shared" si="1"/>
        <v>3.9876252592749042</v>
      </c>
    </row>
    <row r="39" spans="1:4" x14ac:dyDescent="0.3">
      <c r="A39" s="197">
        <f t="shared" si="0"/>
        <v>18000000</v>
      </c>
      <c r="B39" s="188">
        <f>(('TV - Power'!A39/$B$12)^$D$12)*$C$12</f>
        <v>312281.77837012883</v>
      </c>
      <c r="C39" s="198">
        <f>B39*TV!$F$5</f>
        <v>70556945.004946902</v>
      </c>
      <c r="D39">
        <f t="shared" si="1"/>
        <v>3.9198302780526055</v>
      </c>
    </row>
    <row r="40" spans="1:4" x14ac:dyDescent="0.3">
      <c r="A40" s="197">
        <f t="shared" si="0"/>
        <v>19000000</v>
      </c>
      <c r="B40" s="188">
        <f>(('TV - Power'!A40/$B$12)^$D$12)*$C$12</f>
        <v>324327.22859442042</v>
      </c>
      <c r="C40" s="198">
        <f>B40*TV!$F$5</f>
        <v>73278494.028623343</v>
      </c>
      <c r="D40">
        <f t="shared" si="1"/>
        <v>3.8567628436117549</v>
      </c>
    </row>
    <row r="41" spans="1:4" x14ac:dyDescent="0.3">
      <c r="A41" s="197">
        <f t="shared" si="0"/>
        <v>20000000</v>
      </c>
      <c r="B41" s="188">
        <f>(('TV - Power'!A41/$B$12)^$D$12)*$C$12</f>
        <v>336183.88161876524</v>
      </c>
      <c r="C41" s="198">
        <f>B41*TV!$F$5</f>
        <v>75957386.212943822</v>
      </c>
      <c r="D41">
        <f t="shared" si="1"/>
        <v>3.797869310647191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&amp;L&amp;"Calibri"&amp;12&amp;K8E6A00 Confidential&amp;1#_x000D_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8671875" defaultRowHeight="13.8" x14ac:dyDescent="0.3"/>
  <cols>
    <col min="1" max="1" width="8.88671875" style="1"/>
    <col min="2" max="2" width="12.109375" style="1" customWidth="1"/>
    <col min="3" max="3" width="13.5546875" style="1" customWidth="1"/>
    <col min="4" max="4" width="13.33203125" style="1" customWidth="1"/>
    <col min="5" max="5" width="13.6640625" style="1" customWidth="1"/>
    <col min="6" max="6" width="18.33203125" style="1" customWidth="1"/>
    <col min="7" max="7" width="13" style="1" customWidth="1"/>
    <col min="8" max="8" width="12" style="1" customWidth="1"/>
    <col min="9" max="9" width="14.33203125" style="1" customWidth="1"/>
    <col min="10" max="10" width="17.33203125" style="1" customWidth="1"/>
    <col min="11" max="11" width="10.33203125" style="1" customWidth="1"/>
    <col min="12" max="12" width="17.88671875" style="1" customWidth="1"/>
    <col min="13" max="14" width="12" style="1" bestFit="1" customWidth="1"/>
    <col min="15" max="15" width="11.44140625" style="1" bestFit="1" customWidth="1"/>
    <col min="16" max="16" width="9.6640625" style="1" bestFit="1" customWidth="1"/>
    <col min="17" max="17" width="8.88671875" style="1"/>
    <col min="18" max="18" width="10.33203125" style="1" customWidth="1"/>
    <col min="19" max="16384" width="8.88671875" style="1"/>
  </cols>
  <sheetData>
    <row r="1" spans="2:18" ht="14.4" thickBot="1" x14ac:dyDescent="0.35">
      <c r="B1" s="29" t="s">
        <v>4</v>
      </c>
      <c r="C1" s="1" t="s">
        <v>5</v>
      </c>
    </row>
    <row r="2" spans="2:18" x14ac:dyDescent="0.3">
      <c r="B2" s="30" t="s">
        <v>6</v>
      </c>
      <c r="C2" s="2" t="s">
        <v>71</v>
      </c>
      <c r="D2" s="33" t="s">
        <v>7</v>
      </c>
      <c r="E2" s="2" t="s">
        <v>8</v>
      </c>
      <c r="F2" s="33" t="s">
        <v>50</v>
      </c>
      <c r="G2" s="3" t="s">
        <v>66</v>
      </c>
    </row>
    <row r="3" spans="2:18" ht="14.4" thickBot="1" x14ac:dyDescent="0.35">
      <c r="B3" s="31" t="s">
        <v>10</v>
      </c>
      <c r="C3" s="4" t="s">
        <v>70</v>
      </c>
      <c r="D3" s="34" t="s">
        <v>11</v>
      </c>
      <c r="E3" s="4" t="s">
        <v>68</v>
      </c>
      <c r="F3" s="34" t="s">
        <v>49</v>
      </c>
      <c r="G3" s="5" t="s">
        <v>67</v>
      </c>
    </row>
    <row r="4" spans="2:18" ht="15" customHeight="1" thickBot="1" x14ac:dyDescent="0.35">
      <c r="B4" s="32" t="s">
        <v>12</v>
      </c>
      <c r="C4" s="228" t="s">
        <v>48</v>
      </c>
      <c r="D4" s="228"/>
      <c r="E4" s="228"/>
      <c r="F4" s="228"/>
      <c r="G4" s="229"/>
    </row>
    <row r="5" spans="2:18" x14ac:dyDescent="0.3">
      <c r="K5" s="10" t="s">
        <v>9</v>
      </c>
      <c r="L5" s="11"/>
      <c r="M5" s="11"/>
      <c r="N5" s="11"/>
      <c r="O5" s="12"/>
    </row>
    <row r="6" spans="2:18" ht="14.4" thickBot="1" x14ac:dyDescent="0.35">
      <c r="C6" s="7">
        <v>0.7</v>
      </c>
      <c r="D6" s="7">
        <v>2</v>
      </c>
    </row>
    <row r="7" spans="2:18" ht="27.6" customHeight="1" x14ac:dyDescent="0.3">
      <c r="B7" s="230" t="s">
        <v>13</v>
      </c>
      <c r="C7" s="233" t="s">
        <v>14</v>
      </c>
      <c r="D7" s="234"/>
      <c r="E7" s="235" t="s">
        <v>15</v>
      </c>
      <c r="F7" s="236"/>
      <c r="G7" s="237"/>
      <c r="H7" s="235" t="s">
        <v>16</v>
      </c>
      <c r="I7" s="241"/>
      <c r="K7" s="1" t="s">
        <v>52</v>
      </c>
    </row>
    <row r="8" spans="2:18" ht="27.6" x14ac:dyDescent="0.3">
      <c r="B8" s="231"/>
      <c r="C8" s="45" t="s">
        <v>17</v>
      </c>
      <c r="D8" s="24" t="s">
        <v>18</v>
      </c>
      <c r="E8" s="25" t="s">
        <v>46</v>
      </c>
      <c r="F8" s="45" t="s">
        <v>45</v>
      </c>
      <c r="G8" s="26" t="s">
        <v>35</v>
      </c>
      <c r="H8" s="27" t="s">
        <v>19</v>
      </c>
      <c r="I8" s="28" t="s">
        <v>20</v>
      </c>
      <c r="K8" s="1" t="s">
        <v>47</v>
      </c>
    </row>
    <row r="9" spans="2:18" ht="14.4" thickBot="1" x14ac:dyDescent="0.35">
      <c r="B9" s="232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4.4" thickBot="1" x14ac:dyDescent="0.35"/>
    <row r="11" spans="2:18" ht="51.6" customHeight="1" x14ac:dyDescent="0.3">
      <c r="B11" s="230" t="s">
        <v>21</v>
      </c>
      <c r="C11" s="46" t="s">
        <v>22</v>
      </c>
      <c r="D11" s="46" t="s">
        <v>23</v>
      </c>
      <c r="E11" s="46" t="s">
        <v>24</v>
      </c>
      <c r="F11" s="46" t="s">
        <v>25</v>
      </c>
      <c r="G11" s="23" t="s">
        <v>36</v>
      </c>
      <c r="H11" s="23" t="s">
        <v>44</v>
      </c>
      <c r="I11" s="46" t="s">
        <v>43</v>
      </c>
    </row>
    <row r="12" spans="2:18" ht="15" customHeight="1" x14ac:dyDescent="0.3">
      <c r="B12" s="253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200000000000003" customHeight="1" x14ac:dyDescent="0.3">
      <c r="B13" s="242" t="s">
        <v>37</v>
      </c>
      <c r="C13" s="243"/>
      <c r="D13" s="243"/>
      <c r="E13" s="243"/>
      <c r="F13" s="243"/>
      <c r="G13" s="243"/>
      <c r="H13" s="243"/>
      <c r="I13" s="244"/>
    </row>
    <row r="14" spans="2:18" ht="11.25" customHeight="1" x14ac:dyDescent="0.3">
      <c r="B14" s="245"/>
      <c r="C14" s="246"/>
      <c r="D14" s="246"/>
      <c r="E14" s="246"/>
      <c r="F14" s="246"/>
      <c r="G14" s="246"/>
      <c r="H14" s="246"/>
      <c r="I14" s="247"/>
    </row>
    <row r="15" spans="2:18" ht="11.25" customHeight="1" thickBot="1" x14ac:dyDescent="0.3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3">
      <c r="B16" s="248" t="s">
        <v>26</v>
      </c>
      <c r="C16" s="46" t="s">
        <v>38</v>
      </c>
      <c r="D16" s="46" t="s">
        <v>39</v>
      </c>
      <c r="E16" s="46" t="s">
        <v>40</v>
      </c>
      <c r="F16" s="46" t="s">
        <v>41</v>
      </c>
      <c r="G16" s="46" t="s">
        <v>27</v>
      </c>
      <c r="H16" s="46" t="s">
        <v>28</v>
      </c>
      <c r="I16" s="23" t="s">
        <v>29</v>
      </c>
      <c r="N16" s="38"/>
      <c r="O16" s="38"/>
      <c r="P16" s="38"/>
      <c r="Q16" s="38"/>
      <c r="R16" s="38"/>
    </row>
    <row r="17" spans="2:18" ht="21.75" customHeight="1" thickBot="1" x14ac:dyDescent="0.35">
      <c r="B17" s="249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3">
      <c r="B18" s="250" t="s">
        <v>42</v>
      </c>
      <c r="C18" s="251"/>
      <c r="D18" s="251"/>
      <c r="E18" s="251"/>
      <c r="F18" s="251"/>
      <c r="G18" s="251"/>
      <c r="H18" s="251"/>
      <c r="I18" s="252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3">
      <c r="B19" s="245"/>
      <c r="C19" s="246"/>
      <c r="D19" s="246"/>
      <c r="E19" s="246"/>
      <c r="F19" s="246"/>
      <c r="G19" s="246"/>
      <c r="H19" s="246"/>
      <c r="I19" s="247"/>
      <c r="K19" s="38"/>
      <c r="L19" s="38"/>
      <c r="M19" s="38"/>
      <c r="N19" s="38"/>
      <c r="O19" s="38"/>
      <c r="P19" s="38"/>
      <c r="Q19" s="38"/>
      <c r="R19" s="38"/>
    </row>
    <row r="20" spans="2:18" ht="14.4" thickBot="1" x14ac:dyDescent="0.35"/>
    <row r="21" spans="2:18" ht="42.6" customHeight="1" x14ac:dyDescent="0.3">
      <c r="B21" s="248" t="s">
        <v>30</v>
      </c>
      <c r="C21" s="46" t="s">
        <v>31</v>
      </c>
      <c r="D21" s="46" t="s">
        <v>32</v>
      </c>
      <c r="E21" s="23" t="s">
        <v>33</v>
      </c>
      <c r="G21" s="17"/>
      <c r="H21" s="17"/>
      <c r="I21" s="16"/>
      <c r="O21" s="15"/>
    </row>
    <row r="22" spans="2:18" ht="23.7" customHeight="1" thickBot="1" x14ac:dyDescent="0.35">
      <c r="B22" s="249"/>
      <c r="C22" s="8">
        <v>0</v>
      </c>
      <c r="D22" s="9">
        <v>40000000</v>
      </c>
      <c r="E22" s="6">
        <v>40</v>
      </c>
    </row>
    <row r="23" spans="2:18" ht="23.7" customHeight="1" x14ac:dyDescent="0.3"/>
    <row r="25" spans="2:18" ht="22.65" customHeight="1" x14ac:dyDescent="0.3">
      <c r="B25" s="238" t="s">
        <v>109</v>
      </c>
      <c r="C25" s="239"/>
      <c r="D25" s="239"/>
      <c r="E25" s="240"/>
    </row>
    <row r="26" spans="2:18" x14ac:dyDescent="0.3">
      <c r="B26" s="45" t="s">
        <v>53</v>
      </c>
      <c r="C26" s="45" t="s">
        <v>69</v>
      </c>
      <c r="D26" s="45" t="s">
        <v>64</v>
      </c>
      <c r="E26" s="45" t="s">
        <v>51</v>
      </c>
      <c r="F26" s="57" t="s">
        <v>0</v>
      </c>
    </row>
    <row r="27" spans="2:18" x14ac:dyDescent="0.3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3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3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3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3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3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3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3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3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3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3">
      <c r="B37" s="89">
        <f t="shared" si="1"/>
        <v>10000000</v>
      </c>
      <c r="C37" s="90" t="e">
        <f t="shared" si="0"/>
        <v>#REF!</v>
      </c>
      <c r="D37" s="89" t="e">
        <f>C37*#REF!</f>
        <v>#REF!</v>
      </c>
      <c r="E37" s="91" t="e">
        <f t="shared" si="3"/>
        <v>#REF!</v>
      </c>
      <c r="F37" s="92" t="e">
        <f t="shared" si="2"/>
        <v>#REF!</v>
      </c>
    </row>
    <row r="38" spans="2:6" x14ac:dyDescent="0.3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3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3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3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3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3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3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3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3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3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3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3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88" t="e">
        <f t="shared" ref="G49:G56" si="9">D49-D48</f>
        <v>#REF!</v>
      </c>
    </row>
    <row r="50" spans="2:7" x14ac:dyDescent="0.3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88" t="e">
        <f t="shared" si="9"/>
        <v>#REF!</v>
      </c>
    </row>
    <row r="51" spans="2:7" x14ac:dyDescent="0.3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88" t="e">
        <f t="shared" si="9"/>
        <v>#REF!</v>
      </c>
    </row>
    <row r="52" spans="2:7" x14ac:dyDescent="0.3">
      <c r="B52" s="93">
        <f t="shared" si="4"/>
        <v>25000000</v>
      </c>
      <c r="C52" s="94" t="e">
        <f t="shared" si="7"/>
        <v>#REF!</v>
      </c>
      <c r="D52" s="93" t="e">
        <f>C52*#REF!</f>
        <v>#REF!</v>
      </c>
      <c r="E52" s="95" t="e">
        <f t="shared" si="8"/>
        <v>#REF!</v>
      </c>
      <c r="F52" s="96" t="e">
        <f t="shared" si="2"/>
        <v>#REF!</v>
      </c>
      <c r="G52" s="88" t="e">
        <f t="shared" si="9"/>
        <v>#REF!</v>
      </c>
    </row>
    <row r="53" spans="2:7" x14ac:dyDescent="0.3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88" t="e">
        <f t="shared" si="9"/>
        <v>#REF!</v>
      </c>
    </row>
    <row r="54" spans="2:7" x14ac:dyDescent="0.3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88" t="e">
        <f t="shared" si="9"/>
        <v>#REF!</v>
      </c>
    </row>
    <row r="55" spans="2:7" x14ac:dyDescent="0.3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88" t="e">
        <f t="shared" si="9"/>
        <v>#REF!</v>
      </c>
    </row>
    <row r="56" spans="2:7" x14ac:dyDescent="0.3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88" t="e">
        <f t="shared" si="9"/>
        <v>#REF!</v>
      </c>
    </row>
    <row r="57" spans="2:7" x14ac:dyDescent="0.3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88" t="e">
        <f>D57-D56</f>
        <v>#REF!</v>
      </c>
    </row>
    <row r="58" spans="2:7" x14ac:dyDescent="0.3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88" t="e">
        <f t="shared" ref="G58:G67" si="12">D58-D57</f>
        <v>#REF!</v>
      </c>
    </row>
    <row r="59" spans="2:7" x14ac:dyDescent="0.3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88" t="e">
        <f t="shared" si="12"/>
        <v>#REF!</v>
      </c>
    </row>
    <row r="60" spans="2:7" x14ac:dyDescent="0.3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88" t="e">
        <f t="shared" si="12"/>
        <v>#REF!</v>
      </c>
    </row>
    <row r="61" spans="2:7" x14ac:dyDescent="0.3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88" t="e">
        <f t="shared" si="12"/>
        <v>#REF!</v>
      </c>
    </row>
    <row r="62" spans="2:7" x14ac:dyDescent="0.3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88" t="e">
        <f t="shared" si="12"/>
        <v>#REF!</v>
      </c>
    </row>
    <row r="63" spans="2:7" x14ac:dyDescent="0.3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88" t="e">
        <f t="shared" si="12"/>
        <v>#REF!</v>
      </c>
    </row>
    <row r="64" spans="2:7" x14ac:dyDescent="0.3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88" t="e">
        <f t="shared" si="12"/>
        <v>#REF!</v>
      </c>
    </row>
    <row r="65" spans="2:7" x14ac:dyDescent="0.3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88" t="e">
        <f t="shared" si="12"/>
        <v>#REF!</v>
      </c>
    </row>
    <row r="66" spans="2:7" x14ac:dyDescent="0.3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88" t="e">
        <f t="shared" si="12"/>
        <v>#REF!</v>
      </c>
    </row>
    <row r="67" spans="2:7" x14ac:dyDescent="0.3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88" t="e">
        <f t="shared" si="12"/>
        <v>#REF!</v>
      </c>
    </row>
  </sheetData>
  <mergeCells count="11">
    <mergeCell ref="H7:I7"/>
    <mergeCell ref="B13:I14"/>
    <mergeCell ref="B16:B17"/>
    <mergeCell ref="B18:I19"/>
    <mergeCell ref="B21:B22"/>
    <mergeCell ref="B11:B12"/>
    <mergeCell ref="C4:G4"/>
    <mergeCell ref="B7:B9"/>
    <mergeCell ref="C7:D7"/>
    <mergeCell ref="E7:G7"/>
    <mergeCell ref="B25:E25"/>
  </mergeCells>
  <pageMargins left="0.7" right="0.7" top="0.75" bottom="0.75" header="0.3" footer="0.3"/>
  <pageSetup orientation="portrait" horizontalDpi="90" verticalDpi="90"/>
  <headerFooter>
    <oddHeader>&amp;L&amp;"Calibri"&amp;12&amp;K8E6A00 Confidential&amp;1#_x000D_</oddHead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1B359-3F92-4D6A-AE75-F668F63C7125}">
  <sheetPr codeName="Sheet17"/>
  <dimension ref="A1:Y96"/>
  <sheetViews>
    <sheetView zoomScaleNormal="100" workbookViewId="0">
      <selection activeCell="E20" sqref="E20"/>
    </sheetView>
  </sheetViews>
  <sheetFormatPr defaultColWidth="8.88671875"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33203125" style="1" customWidth="1"/>
    <col min="8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33203125" style="1" customWidth="1"/>
    <col min="18" max="16384" width="8.88671875" style="1"/>
  </cols>
  <sheetData>
    <row r="1" spans="1:25" ht="14.4" thickBot="1" x14ac:dyDescent="0.35">
      <c r="A1" s="105" t="s">
        <v>4</v>
      </c>
      <c r="B1" s="1" t="s">
        <v>125</v>
      </c>
    </row>
    <row r="2" spans="1:25" x14ac:dyDescent="0.3">
      <c r="A2" s="106" t="s">
        <v>6</v>
      </c>
      <c r="B2" s="2" t="s">
        <v>124</v>
      </c>
      <c r="C2" s="107" t="s">
        <v>7</v>
      </c>
      <c r="D2" s="3" t="s">
        <v>8</v>
      </c>
      <c r="E2" s="107" t="s">
        <v>50</v>
      </c>
      <c r="F2" s="3" t="s">
        <v>123</v>
      </c>
      <c r="M2" s="264" t="s">
        <v>86</v>
      </c>
      <c r="N2" s="265"/>
      <c r="O2" s="265"/>
      <c r="P2" s="265"/>
      <c r="Q2" s="265"/>
      <c r="R2" s="265"/>
      <c r="S2" s="266"/>
    </row>
    <row r="3" spans="1:25" ht="14.4" thickBot="1" x14ac:dyDescent="0.35">
      <c r="A3" s="108" t="s">
        <v>10</v>
      </c>
      <c r="B3" s="4" t="s">
        <v>34</v>
      </c>
      <c r="C3" s="109" t="s">
        <v>11</v>
      </c>
      <c r="D3" s="5" t="s">
        <v>122</v>
      </c>
      <c r="E3" s="109" t="s">
        <v>49</v>
      </c>
      <c r="F3" s="5"/>
      <c r="M3" s="267" t="s">
        <v>87</v>
      </c>
      <c r="N3" s="268"/>
      <c r="O3" s="268"/>
      <c r="P3" s="268"/>
      <c r="Q3" s="268"/>
      <c r="R3" s="268"/>
      <c r="S3" s="269"/>
    </row>
    <row r="4" spans="1:25" ht="15" customHeight="1" thickBot="1" x14ac:dyDescent="0.35">
      <c r="A4" s="110" t="s">
        <v>12</v>
      </c>
      <c r="B4" s="222" t="s">
        <v>88</v>
      </c>
      <c r="C4" s="223"/>
      <c r="D4" s="223"/>
      <c r="E4" s="223"/>
      <c r="F4" s="224"/>
    </row>
    <row r="6" spans="1:25" ht="14.4" thickBot="1" x14ac:dyDescent="0.35">
      <c r="B6" s="7"/>
      <c r="C6" s="7"/>
    </row>
    <row r="7" spans="1:25" ht="27.6" customHeight="1" x14ac:dyDescent="0.3">
      <c r="A7" s="225" t="s">
        <v>13</v>
      </c>
      <c r="B7" s="213" t="s">
        <v>14</v>
      </c>
      <c r="C7" s="213"/>
      <c r="D7" s="213" t="s">
        <v>15</v>
      </c>
      <c r="E7" s="213"/>
      <c r="F7" s="213"/>
      <c r="G7" s="213" t="s">
        <v>89</v>
      </c>
      <c r="H7" s="213"/>
      <c r="I7" s="214"/>
      <c r="J7" s="270" t="s">
        <v>121</v>
      </c>
      <c r="K7" s="271"/>
      <c r="M7" s="272" t="s">
        <v>90</v>
      </c>
      <c r="N7" s="272"/>
      <c r="O7" s="272"/>
      <c r="P7" s="272"/>
      <c r="R7" s="111" t="s">
        <v>91</v>
      </c>
    </row>
    <row r="8" spans="1:25" ht="27.6" x14ac:dyDescent="0.3">
      <c r="A8" s="226"/>
      <c r="B8" s="156" t="s">
        <v>17</v>
      </c>
      <c r="C8" s="156" t="s">
        <v>18</v>
      </c>
      <c r="D8" s="156" t="s">
        <v>46</v>
      </c>
      <c r="E8" s="156" t="s">
        <v>45</v>
      </c>
      <c r="F8" s="156" t="s">
        <v>35</v>
      </c>
      <c r="G8" s="156" t="s">
        <v>19</v>
      </c>
      <c r="H8" s="156" t="s">
        <v>20</v>
      </c>
      <c r="I8" s="153" t="s">
        <v>120</v>
      </c>
      <c r="M8" s="272"/>
      <c r="N8" s="272"/>
      <c r="O8" s="272"/>
      <c r="P8" s="272"/>
      <c r="R8" s="111" t="s">
        <v>92</v>
      </c>
    </row>
    <row r="9" spans="1:25" ht="14.4" thickBot="1" x14ac:dyDescent="0.35">
      <c r="A9" s="227"/>
      <c r="B9" s="112"/>
      <c r="C9" s="112"/>
      <c r="D9" s="113"/>
      <c r="E9" s="152">
        <f>csplinePred($B$14:$B$26,$C$14:$C$26,$H$14:$O$26,D9)*$C$12</f>
        <v>0</v>
      </c>
      <c r="F9" s="152">
        <f>E9*$C$11</f>
        <v>0</v>
      </c>
      <c r="G9" s="9">
        <v>9000000</v>
      </c>
      <c r="H9" s="151">
        <f>csplinePred($B$14:$B$26,$C$14:$C$26,$H$14:$O$26,G9)*$C$12</f>
        <v>390536.49287987669</v>
      </c>
      <c r="I9" s="150">
        <f>H9*$C$11</f>
        <v>390536.49287987669</v>
      </c>
      <c r="J9" s="47">
        <f>G9/I9</f>
        <v>23.045221545450474</v>
      </c>
      <c r="K9" s="1" t="s">
        <v>119</v>
      </c>
    </row>
    <row r="10" spans="1:25" ht="14.4" thickBot="1" x14ac:dyDescent="0.35"/>
    <row r="11" spans="1:25" ht="27.6" customHeight="1" x14ac:dyDescent="0.3">
      <c r="A11" s="225" t="s">
        <v>118</v>
      </c>
      <c r="B11" s="154" t="s">
        <v>117</v>
      </c>
      <c r="C11" s="149">
        <v>1</v>
      </c>
      <c r="D11" s="156" t="s">
        <v>116</v>
      </c>
      <c r="E11" s="156" t="s">
        <v>115</v>
      </c>
    </row>
    <row r="12" spans="1:25" ht="38.4" customHeight="1" thickBot="1" x14ac:dyDescent="0.35">
      <c r="A12" s="227"/>
      <c r="B12" s="114" t="s">
        <v>93</v>
      </c>
      <c r="C12" s="148">
        <v>1</v>
      </c>
      <c r="D12" s="18"/>
      <c r="E12" s="147"/>
    </row>
    <row r="13" spans="1:25" ht="13.95" customHeight="1" x14ac:dyDescent="0.3">
      <c r="A13" s="254" t="s">
        <v>94</v>
      </c>
      <c r="B13" s="156" t="s">
        <v>95</v>
      </c>
      <c r="C13" s="156" t="s">
        <v>112</v>
      </c>
      <c r="D13" s="156" t="s">
        <v>114</v>
      </c>
      <c r="E13" s="146" t="s">
        <v>113</v>
      </c>
      <c r="G13" s="256" t="s">
        <v>96</v>
      </c>
      <c r="H13" s="154" t="s">
        <v>97</v>
      </c>
      <c r="I13" s="154" t="s">
        <v>98</v>
      </c>
      <c r="J13" s="154" t="s">
        <v>99</v>
      </c>
      <c r="K13" s="154" t="s">
        <v>100</v>
      </c>
      <c r="L13" s="154" t="s">
        <v>101</v>
      </c>
      <c r="M13" s="154" t="s">
        <v>102</v>
      </c>
      <c r="N13" s="154" t="s">
        <v>103</v>
      </c>
      <c r="O13" s="154" t="s">
        <v>104</v>
      </c>
      <c r="Q13" s="115"/>
      <c r="R13" s="116"/>
      <c r="S13" s="116"/>
      <c r="T13" s="116"/>
      <c r="U13" s="116"/>
      <c r="V13" s="116"/>
      <c r="W13" s="116"/>
      <c r="X13" s="116"/>
      <c r="Y13" s="116"/>
    </row>
    <row r="14" spans="1:25" ht="13.95" customHeight="1" x14ac:dyDescent="0.3">
      <c r="A14" s="255"/>
      <c r="B14" s="117">
        <v>0</v>
      </c>
      <c r="C14" s="118">
        <v>0</v>
      </c>
      <c r="D14" s="140">
        <f t="shared" ref="D14:D26" si="0">C14*$C$11</f>
        <v>0</v>
      </c>
      <c r="E14" s="145"/>
      <c r="G14" s="257"/>
      <c r="H14" s="119">
        <f t="array" ref="H14:O26">csplinea($B$14:$B$26,$C$14:$C$26,$B$14:$B$26,2)</f>
        <v>1000000</v>
      </c>
      <c r="I14" s="119">
        <v>0</v>
      </c>
      <c r="J14" s="119">
        <v>1</v>
      </c>
      <c r="K14" s="119">
        <v>0</v>
      </c>
      <c r="L14" s="119">
        <v>0</v>
      </c>
      <c r="M14" s="119">
        <v>-8.1217515749586297E-4</v>
      </c>
      <c r="N14" s="119">
        <v>0</v>
      </c>
      <c r="O14" s="119">
        <v>8.1217515749586292E-16</v>
      </c>
      <c r="Q14" s="115"/>
      <c r="R14" s="116"/>
      <c r="S14" s="116"/>
      <c r="T14" s="116"/>
      <c r="U14" s="116"/>
      <c r="V14" s="116"/>
      <c r="W14" s="116"/>
      <c r="X14" s="116"/>
      <c r="Y14" s="116"/>
    </row>
    <row r="15" spans="1:25" ht="14.7" customHeight="1" x14ac:dyDescent="0.3">
      <c r="A15" s="255"/>
      <c r="B15" s="117">
        <v>1000000</v>
      </c>
      <c r="C15" s="118">
        <v>0</v>
      </c>
      <c r="D15" s="140">
        <f t="shared" si="0"/>
        <v>0</v>
      </c>
      <c r="E15" s="136"/>
      <c r="G15" s="257"/>
      <c r="H15" s="120">
        <v>1000000</v>
      </c>
      <c r="I15" s="120">
        <v>7.3018927055549368E-2</v>
      </c>
      <c r="J15" s="120">
        <v>4000000</v>
      </c>
      <c r="K15" s="121">
        <v>0.25</v>
      </c>
      <c r="L15" s="121">
        <v>1.8254731763887343E-8</v>
      </c>
      <c r="M15" s="121">
        <v>1.6243503149917203E-3</v>
      </c>
      <c r="N15" s="121">
        <v>2.4365254724875889E-9</v>
      </c>
      <c r="O15" s="121">
        <v>2.0278766564370477E-14</v>
      </c>
      <c r="Q15" s="115"/>
      <c r="R15" s="124"/>
      <c r="S15" s="124"/>
      <c r="T15" s="124"/>
      <c r="U15" s="125"/>
      <c r="V15" s="125"/>
      <c r="W15" s="125"/>
      <c r="X15" s="125"/>
      <c r="Y15" s="125"/>
    </row>
    <row r="16" spans="1:25" ht="14.7" customHeight="1" x14ac:dyDescent="0.3">
      <c r="A16" s="255"/>
      <c r="B16" s="126">
        <v>2000000</v>
      </c>
      <c r="C16" s="127">
        <v>24339.642351849787</v>
      </c>
      <c r="D16" s="143">
        <f t="shared" si="0"/>
        <v>24339.642351849787</v>
      </c>
      <c r="E16" s="144"/>
      <c r="G16" s="257"/>
      <c r="H16" s="120">
        <v>1000000</v>
      </c>
      <c r="I16" s="120">
        <v>0.22323226528117251</v>
      </c>
      <c r="J16" s="120">
        <v>3750000</v>
      </c>
      <c r="K16" s="121">
        <v>0.26666666666666666</v>
      </c>
      <c r="L16" s="121">
        <v>5.4660675604609379E-8</v>
      </c>
      <c r="M16" s="121">
        <v>6.7333700953078321E-2</v>
      </c>
      <c r="N16" s="121">
        <v>6.3272825165599018E-8</v>
      </c>
      <c r="O16" s="121">
        <v>-3.1856128673103386E-14</v>
      </c>
      <c r="Q16" s="115"/>
      <c r="R16" s="124"/>
      <c r="S16" s="124"/>
      <c r="T16" s="124"/>
      <c r="U16" s="125"/>
      <c r="V16" s="125"/>
      <c r="W16" s="125"/>
      <c r="X16" s="125"/>
      <c r="Y16" s="125"/>
    </row>
    <row r="17" spans="1:25" ht="14.7" customHeight="1" x14ac:dyDescent="0.3">
      <c r="A17" s="255"/>
      <c r="B17" s="126">
        <v>3000000</v>
      </c>
      <c r="C17" s="127">
        <v>123090.03979742374</v>
      </c>
      <c r="D17" s="143">
        <f t="shared" si="0"/>
        <v>123090.03979742374</v>
      </c>
      <c r="E17" s="142"/>
      <c r="G17" s="257"/>
      <c r="H17" s="120">
        <v>1500000</v>
      </c>
      <c r="I17" s="120">
        <v>-9.8750397445573984E-2</v>
      </c>
      <c r="J17" s="120">
        <v>4733333.333333333</v>
      </c>
      <c r="K17" s="121">
        <v>0.31690140845070425</v>
      </c>
      <c r="L17" s="121">
        <v>-3.2410790081024655E-8</v>
      </c>
      <c r="M17" s="121">
        <v>9.8310965264966216E-2</v>
      </c>
      <c r="N17" s="121">
        <v>-3.2295560853711133E-8</v>
      </c>
      <c r="O17" s="121">
        <v>7.0959885833999051E-15</v>
      </c>
      <c r="Q17" s="115"/>
      <c r="R17" s="124"/>
      <c r="S17" s="124"/>
      <c r="T17" s="124"/>
      <c r="U17" s="125"/>
      <c r="V17" s="125"/>
      <c r="W17" s="125"/>
      <c r="X17" s="125"/>
      <c r="Y17" s="125"/>
    </row>
    <row r="18" spans="1:25" ht="14.7" customHeight="1" x14ac:dyDescent="0.3">
      <c r="A18" s="255"/>
      <c r="B18" s="117">
        <v>4500000</v>
      </c>
      <c r="C18" s="118">
        <v>221840.43724299769</v>
      </c>
      <c r="D18" s="140">
        <f t="shared" si="0"/>
        <v>221840.43724299769</v>
      </c>
      <c r="E18" s="141"/>
      <c r="G18" s="257"/>
      <c r="H18" s="120">
        <v>1500000</v>
      </c>
      <c r="I18" s="120">
        <v>-5.7371750864990662E-2</v>
      </c>
      <c r="J18" s="120">
        <v>5524647.8873239439</v>
      </c>
      <c r="K18" s="121">
        <v>0.27151051625239003</v>
      </c>
      <c r="L18" s="121">
        <v>-1.5848187833912332E-9</v>
      </c>
      <c r="M18" s="121">
        <v>4.932220564178217E-2</v>
      </c>
      <c r="N18" s="121">
        <v>-3.6361222841155965E-10</v>
      </c>
      <c r="O18" s="121">
        <v>-9.1871375871663198E-16</v>
      </c>
      <c r="Q18" s="115"/>
      <c r="R18"/>
      <c r="S18" s="124"/>
      <c r="T18" s="124"/>
      <c r="U18" s="125"/>
      <c r="V18" s="125"/>
      <c r="W18" s="125"/>
      <c r="X18" s="125"/>
      <c r="Y18" s="125"/>
    </row>
    <row r="19" spans="1:25" ht="14.7" customHeight="1" x14ac:dyDescent="0.3">
      <c r="A19" s="255"/>
      <c r="B19" s="117">
        <v>6000000</v>
      </c>
      <c r="C19" s="118">
        <v>291904.95925607631</v>
      </c>
      <c r="D19" s="140">
        <f t="shared" si="0"/>
        <v>291904.95925607631</v>
      </c>
      <c r="E19" s="136"/>
      <c r="G19" s="257"/>
      <c r="H19" s="120">
        <v>2000000</v>
      </c>
      <c r="I19" s="120">
        <v>-3.5032261006539375E-2</v>
      </c>
      <c r="J19" s="120">
        <v>6592734.2256214153</v>
      </c>
      <c r="K19" s="121">
        <v>0.30336426914153131</v>
      </c>
      <c r="L19" s="121">
        <v>-4.9531850843531525E-9</v>
      </c>
      <c r="M19" s="121">
        <v>4.203005108521022E-2</v>
      </c>
      <c r="N19" s="121">
        <v>-4.4978241426364036E-9</v>
      </c>
      <c r="O19" s="121">
        <v>4.9946455165046672E-16</v>
      </c>
      <c r="Q19" s="115"/>
      <c r="R19" s="124"/>
      <c r="S19" s="124"/>
      <c r="T19" s="124"/>
      <c r="U19" s="125"/>
      <c r="V19" s="125"/>
      <c r="W19" s="125"/>
      <c r="X19" s="125"/>
      <c r="Y19" s="125"/>
    </row>
    <row r="20" spans="1:25" ht="15" customHeight="1" x14ac:dyDescent="0.3">
      <c r="A20" s="255"/>
      <c r="B20" s="117">
        <v>8000000</v>
      </c>
      <c r="C20" s="118">
        <v>361969.48126915487</v>
      </c>
      <c r="D20" s="137">
        <f t="shared" si="0"/>
        <v>361969.48126915487</v>
      </c>
      <c r="E20" s="136"/>
      <c r="G20" s="257"/>
      <c r="H20" s="122">
        <v>2000000</v>
      </c>
      <c r="I20" s="122">
        <v>-2.3577384904786544E-2</v>
      </c>
      <c r="J20" s="122">
        <v>7393271.4617169369</v>
      </c>
      <c r="K20" s="123">
        <v>0.27051624038914168</v>
      </c>
      <c r="L20" s="123">
        <v>-1.8491157543544903E-9</v>
      </c>
      <c r="M20" s="123">
        <v>3.0032329134470209E-2</v>
      </c>
      <c r="N20" s="123">
        <v>-1.5010368327336032E-9</v>
      </c>
      <c r="O20" s="123">
        <v>3.5719308985191236E-17</v>
      </c>
      <c r="Q20" s="115"/>
      <c r="R20" s="124"/>
      <c r="S20" s="124"/>
      <c r="T20" s="124"/>
      <c r="U20" s="125"/>
      <c r="V20" s="125"/>
      <c r="W20" s="125"/>
      <c r="X20" s="125"/>
      <c r="Y20" s="125"/>
    </row>
    <row r="21" spans="1:25" ht="15" customHeight="1" x14ac:dyDescent="0.3">
      <c r="A21" s="255"/>
      <c r="B21" s="117">
        <v>10000000</v>
      </c>
      <c r="C21" s="118">
        <v>416315.74667904241</v>
      </c>
      <c r="D21" s="137">
        <f t="shared" si="0"/>
        <v>416315.74667904241</v>
      </c>
      <c r="E21" s="139"/>
      <c r="G21" s="257"/>
      <c r="H21" s="122">
        <v>2000000</v>
      </c>
      <c r="I21" s="122">
        <v>-1.4913200061301701E-2</v>
      </c>
      <c r="J21" s="122">
        <v>7458967.5192217166</v>
      </c>
      <c r="K21" s="123">
        <v>0.26813362504207339</v>
      </c>
      <c r="L21" s="123">
        <v>-1.5035550863697704E-9</v>
      </c>
      <c r="M21" s="123">
        <v>2.4456813511358092E-2</v>
      </c>
      <c r="N21" s="123">
        <v>-1.2867209788224558E-9</v>
      </c>
      <c r="O21" s="123">
        <v>7.9673616032505229E-17</v>
      </c>
      <c r="Q21" s="115"/>
      <c r="R21" s="124"/>
      <c r="S21" s="124"/>
      <c r="T21" s="124"/>
      <c r="U21" s="125"/>
      <c r="V21" s="125"/>
      <c r="W21" s="125"/>
      <c r="X21" s="125"/>
      <c r="Y21" s="125"/>
    </row>
    <row r="22" spans="1:25" ht="15" customHeight="1" x14ac:dyDescent="0.3">
      <c r="A22" s="255"/>
      <c r="B22" s="117">
        <v>12000000</v>
      </c>
      <c r="C22" s="118">
        <v>460719.87871472881</v>
      </c>
      <c r="D22" s="137">
        <f t="shared" si="0"/>
        <v>460719.87871472881</v>
      </c>
      <c r="E22" s="139"/>
      <c r="G22" s="257"/>
      <c r="H22" s="122">
        <v>2500000</v>
      </c>
      <c r="I22" s="122">
        <v>-1.1298683880799569E-2</v>
      </c>
      <c r="J22" s="122">
        <v>8463732.7499158531</v>
      </c>
      <c r="K22" s="123">
        <v>0.29537794657148825</v>
      </c>
      <c r="L22" s="123">
        <v>-9.7965920629316452E-10</v>
      </c>
      <c r="M22" s="123">
        <v>2.0266012988458332E-2</v>
      </c>
      <c r="N22" s="123">
        <v>-8.0867928262742438E-10</v>
      </c>
      <c r="O22" s="123">
        <v>3.0643724109905282E-17</v>
      </c>
      <c r="Q22" s="115"/>
      <c r="R22" s="124"/>
      <c r="S22" s="124"/>
      <c r="T22" s="124"/>
      <c r="U22" s="125"/>
      <c r="V22" s="125"/>
      <c r="W22" s="125"/>
      <c r="X22" s="125"/>
      <c r="Y22" s="125"/>
    </row>
    <row r="23" spans="1:25" ht="15" customHeight="1" x14ac:dyDescent="0.3">
      <c r="A23" s="255"/>
      <c r="B23" s="117">
        <v>14500000</v>
      </c>
      <c r="C23" s="118">
        <v>506809.47385867051</v>
      </c>
      <c r="D23" s="137">
        <f t="shared" si="0"/>
        <v>506809.47385867051</v>
      </c>
      <c r="E23" s="139"/>
      <c r="G23" s="257"/>
      <c r="H23" s="122">
        <v>3000000</v>
      </c>
      <c r="I23" s="122">
        <v>-9.5076852106570145E-3</v>
      </c>
      <c r="J23" s="122">
        <v>10261555.13357128</v>
      </c>
      <c r="K23" s="123">
        <v>0.2923533480988007</v>
      </c>
      <c r="L23" s="123">
        <v>-6.8786232720532623E-10</v>
      </c>
      <c r="M23" s="123">
        <v>1.6797186402381932E-2</v>
      </c>
      <c r="N23" s="123">
        <v>-5.7885135180313476E-10</v>
      </c>
      <c r="O23" s="123">
        <v>2.2886367450201249E-17</v>
      </c>
      <c r="Q23" s="115"/>
      <c r="R23" s="124"/>
      <c r="S23" s="124"/>
      <c r="T23" s="124"/>
      <c r="U23" s="125"/>
      <c r="V23" s="125"/>
      <c r="W23" s="125"/>
      <c r="X23" s="125"/>
      <c r="Y23" s="125"/>
    </row>
    <row r="24" spans="1:25" ht="15" customHeight="1" x14ac:dyDescent="0.3">
      <c r="A24" s="255"/>
      <c r="B24" s="117">
        <v>17500000</v>
      </c>
      <c r="C24" s="118">
        <v>552609.30282074353</v>
      </c>
      <c r="D24" s="137">
        <f t="shared" si="0"/>
        <v>552609.30282074353</v>
      </c>
      <c r="E24" s="139"/>
      <c r="G24" s="257"/>
      <c r="H24" s="122">
        <v>6000000</v>
      </c>
      <c r="I24" s="122">
        <v>-9.9008438442276109E-3</v>
      </c>
      <c r="J24" s="122">
        <v>17122939.955703598</v>
      </c>
      <c r="K24" s="123">
        <v>0.35040711557254622</v>
      </c>
      <c r="L24" s="123">
        <v>-4.5770509520481419E-10</v>
      </c>
      <c r="M24" s="123">
        <v>1.3942010212718559E-2</v>
      </c>
      <c r="N24" s="123">
        <v>-3.7287404475132351E-10</v>
      </c>
      <c r="O24" s="123">
        <v>7.2656230112366476E-18</v>
      </c>
      <c r="Q24" s="115"/>
      <c r="R24" s="124"/>
      <c r="S24" s="124"/>
      <c r="T24" s="124"/>
      <c r="U24" s="125"/>
      <c r="V24" s="125"/>
      <c r="W24" s="125"/>
      <c r="X24" s="125"/>
      <c r="Y24" s="125"/>
    </row>
    <row r="25" spans="1:25" ht="15" customHeight="1" x14ac:dyDescent="0.3">
      <c r="A25" s="255"/>
      <c r="B25" s="117">
        <v>23500000</v>
      </c>
      <c r="C25" s="118">
        <v>624407.27305643435</v>
      </c>
      <c r="D25" s="137">
        <f t="shared" si="0"/>
        <v>624407.27305643435</v>
      </c>
      <c r="E25" s="139"/>
      <c r="G25" s="257"/>
      <c r="H25" s="122">
        <v>2500000</v>
      </c>
      <c r="I25" s="122">
        <v>-6.3528223878420269E-3</v>
      </c>
      <c r="J25" s="122">
        <v>14897557.306564722</v>
      </c>
      <c r="K25" s="123">
        <v>0.16781274597939327</v>
      </c>
      <c r="L25" s="123">
        <v>-2.4209283054906386E-10</v>
      </c>
      <c r="M25" s="123">
        <v>1.0252208960916233E-2</v>
      </c>
      <c r="N25" s="123">
        <v>-2.4209283054906386E-10</v>
      </c>
      <c r="O25" s="123">
        <v>3.2279044073208513E-17</v>
      </c>
      <c r="Q25" s="115"/>
      <c r="R25" s="124"/>
      <c r="S25" s="124"/>
      <c r="T25" s="124"/>
      <c r="U25" s="125"/>
      <c r="V25" s="125"/>
      <c r="W25" s="125"/>
      <c r="X25" s="125"/>
      <c r="Y25" s="125"/>
    </row>
    <row r="26" spans="1:25" ht="15" customHeight="1" x14ac:dyDescent="0.3">
      <c r="A26" s="255"/>
      <c r="B26" s="117">
        <v>26000000</v>
      </c>
      <c r="C26" s="118">
        <v>649029.07533143717</v>
      </c>
      <c r="D26" s="137">
        <f t="shared" si="0"/>
        <v>649029.07533143717</v>
      </c>
      <c r="E26" s="138"/>
      <c r="G26" s="257"/>
      <c r="H26" s="122">
        <v>0</v>
      </c>
      <c r="I26" s="122">
        <v>0</v>
      </c>
      <c r="J26" s="122">
        <v>1</v>
      </c>
      <c r="K26" s="123">
        <v>0</v>
      </c>
      <c r="L26" s="123">
        <v>0</v>
      </c>
      <c r="M26" s="123">
        <v>0</v>
      </c>
      <c r="N26" s="123">
        <v>0</v>
      </c>
      <c r="O26" s="123">
        <v>0</v>
      </c>
      <c r="Q26" s="115"/>
      <c r="R26" s="124"/>
      <c r="S26" s="124"/>
      <c r="T26" s="124"/>
      <c r="U26" s="125"/>
      <c r="V26" s="125"/>
      <c r="W26" s="125"/>
      <c r="X26" s="125"/>
      <c r="Y26" s="125"/>
    </row>
    <row r="27" spans="1:25" ht="15" hidden="1" customHeight="1" x14ac:dyDescent="0.3">
      <c r="A27" s="255"/>
      <c r="B27" s="117"/>
      <c r="C27" s="118"/>
      <c r="D27" s="137"/>
      <c r="E27" s="136"/>
      <c r="G27" s="257"/>
      <c r="H27" s="122"/>
      <c r="I27" s="122"/>
      <c r="J27" s="122"/>
      <c r="K27" s="123"/>
      <c r="L27" s="123"/>
      <c r="M27" s="123"/>
      <c r="N27" s="123"/>
      <c r="O27" s="123"/>
      <c r="Q27" s="115"/>
      <c r="R27" s="124"/>
      <c r="S27" s="124"/>
      <c r="T27" s="124"/>
      <c r="U27" s="125"/>
      <c r="V27" s="125"/>
      <c r="W27" s="125"/>
      <c r="X27" s="125"/>
      <c r="Y27" s="125"/>
    </row>
    <row r="28" spans="1:25" ht="15" hidden="1" customHeight="1" x14ac:dyDescent="0.3">
      <c r="A28" s="255"/>
      <c r="B28" s="117"/>
      <c r="C28" s="118"/>
      <c r="D28" s="137"/>
      <c r="E28" s="136"/>
      <c r="G28" s="257"/>
      <c r="H28" s="122"/>
      <c r="I28" s="122"/>
      <c r="J28" s="122"/>
      <c r="K28" s="123"/>
      <c r="L28" s="123"/>
      <c r="M28" s="123"/>
      <c r="N28" s="123"/>
      <c r="O28" s="123"/>
      <c r="Q28" s="115"/>
      <c r="R28" s="124"/>
      <c r="S28" s="124"/>
      <c r="T28" s="124"/>
      <c r="U28" s="125"/>
      <c r="V28" s="125"/>
      <c r="W28" s="125"/>
      <c r="X28" s="125"/>
      <c r="Y28" s="125"/>
    </row>
    <row r="29" spans="1:25" ht="15" hidden="1" customHeight="1" x14ac:dyDescent="0.3">
      <c r="A29" s="255"/>
      <c r="B29" s="117"/>
      <c r="C29" s="118"/>
      <c r="D29" s="137"/>
      <c r="E29" s="136"/>
      <c r="G29" s="257"/>
      <c r="H29" s="122"/>
      <c r="I29" s="122"/>
      <c r="J29" s="122"/>
      <c r="K29" s="123"/>
      <c r="L29" s="123"/>
      <c r="M29" s="123"/>
      <c r="N29" s="123"/>
      <c r="O29" s="123"/>
      <c r="Q29" s="115"/>
      <c r="R29" s="124"/>
      <c r="S29" s="124"/>
      <c r="T29" s="124"/>
      <c r="U29" s="125"/>
      <c r="V29" s="125"/>
      <c r="W29" s="125"/>
      <c r="X29" s="125"/>
      <c r="Y29" s="125"/>
    </row>
    <row r="30" spans="1:25" ht="15" hidden="1" customHeight="1" x14ac:dyDescent="0.3">
      <c r="A30" s="255"/>
      <c r="B30" s="117"/>
      <c r="C30" s="118"/>
      <c r="D30" s="137"/>
      <c r="E30" s="136"/>
      <c r="G30" s="257"/>
      <c r="H30" s="122"/>
      <c r="I30" s="122"/>
      <c r="J30" s="122"/>
      <c r="K30" s="123"/>
      <c r="L30" s="123"/>
      <c r="M30" s="123"/>
      <c r="N30" s="123"/>
      <c r="O30" s="123"/>
      <c r="Q30" s="115"/>
      <c r="R30" s="124"/>
      <c r="S30" s="124"/>
      <c r="T30" s="124"/>
      <c r="U30" s="125"/>
      <c r="V30" s="125"/>
      <c r="W30" s="125"/>
      <c r="X30" s="125"/>
      <c r="Y30" s="125"/>
    </row>
    <row r="31" spans="1:25" ht="15" hidden="1" customHeight="1" x14ac:dyDescent="0.3">
      <c r="A31" s="255"/>
      <c r="B31" s="117"/>
      <c r="C31" s="118"/>
      <c r="D31" s="137"/>
      <c r="E31" s="136"/>
      <c r="G31" s="257"/>
      <c r="H31" s="122"/>
      <c r="I31" s="122"/>
      <c r="J31" s="122"/>
      <c r="K31" s="123"/>
      <c r="L31" s="123"/>
      <c r="M31" s="123"/>
      <c r="N31" s="123"/>
      <c r="O31" s="123"/>
      <c r="Q31" s="115"/>
      <c r="R31" s="124"/>
      <c r="S31" s="124"/>
      <c r="T31" s="124"/>
      <c r="U31" s="125"/>
      <c r="V31" s="125"/>
      <c r="W31" s="125"/>
      <c r="X31" s="125"/>
      <c r="Y31" s="125"/>
    </row>
    <row r="32" spans="1:25" ht="15" hidden="1" customHeight="1" x14ac:dyDescent="0.3">
      <c r="A32" s="255"/>
      <c r="B32" s="117"/>
      <c r="C32" s="118"/>
      <c r="D32" s="137"/>
      <c r="E32" s="136"/>
      <c r="G32" s="257"/>
      <c r="H32" s="122"/>
      <c r="I32" s="122"/>
      <c r="J32" s="122"/>
      <c r="K32" s="123"/>
      <c r="L32" s="123"/>
      <c r="M32" s="123"/>
      <c r="N32" s="123"/>
      <c r="O32" s="123"/>
      <c r="Q32" s="115"/>
      <c r="R32" s="124"/>
      <c r="S32" s="124"/>
      <c r="T32" s="124"/>
      <c r="U32" s="125"/>
      <c r="V32" s="125"/>
      <c r="W32" s="125"/>
      <c r="X32" s="125"/>
      <c r="Y32" s="125"/>
    </row>
    <row r="33" spans="1:25" ht="15" hidden="1" customHeight="1" x14ac:dyDescent="0.3">
      <c r="A33" s="255"/>
      <c r="B33" s="117"/>
      <c r="C33" s="118"/>
      <c r="D33" s="137"/>
      <c r="E33" s="136"/>
      <c r="G33" s="257"/>
      <c r="H33" s="122"/>
      <c r="I33" s="122"/>
      <c r="J33" s="122"/>
      <c r="K33" s="123"/>
      <c r="L33" s="123"/>
      <c r="M33" s="123"/>
      <c r="N33" s="123"/>
      <c r="O33" s="123"/>
      <c r="Q33" s="115"/>
      <c r="R33" s="124"/>
      <c r="S33" s="124"/>
      <c r="T33" s="124"/>
      <c r="U33" s="125"/>
      <c r="V33" s="125"/>
      <c r="W33" s="125"/>
      <c r="X33" s="125"/>
      <c r="Y33" s="125"/>
    </row>
    <row r="34" spans="1:25" ht="15" hidden="1" customHeight="1" x14ac:dyDescent="0.3">
      <c r="A34" s="255"/>
      <c r="B34" s="117"/>
      <c r="C34" s="118"/>
      <c r="D34" s="137"/>
      <c r="E34" s="136"/>
      <c r="G34" s="257"/>
      <c r="H34" s="122"/>
      <c r="I34" s="122"/>
      <c r="J34" s="122"/>
      <c r="K34" s="123"/>
      <c r="L34" s="123"/>
      <c r="M34" s="123"/>
      <c r="N34" s="123"/>
      <c r="O34" s="123"/>
      <c r="Q34" s="115"/>
      <c r="R34" s="124"/>
      <c r="S34" s="124"/>
      <c r="T34" s="124"/>
      <c r="U34" s="125"/>
      <c r="V34" s="125"/>
      <c r="W34" s="125"/>
      <c r="X34" s="125"/>
      <c r="Y34" s="125"/>
    </row>
    <row r="35" spans="1:25" ht="15" hidden="1" customHeight="1" x14ac:dyDescent="0.3">
      <c r="A35" s="255"/>
      <c r="B35" s="117"/>
      <c r="C35" s="118"/>
      <c r="D35" s="137"/>
      <c r="E35" s="136"/>
      <c r="G35" s="257"/>
      <c r="H35" s="122"/>
      <c r="I35" s="122"/>
      <c r="J35" s="122"/>
      <c r="K35" s="123"/>
      <c r="L35" s="123"/>
      <c r="M35" s="123"/>
      <c r="N35" s="123"/>
      <c r="O35" s="123"/>
      <c r="Q35" s="115"/>
      <c r="R35" s="124"/>
      <c r="S35" s="124"/>
      <c r="T35" s="124"/>
      <c r="U35" s="125"/>
      <c r="V35" s="125"/>
      <c r="W35" s="125"/>
      <c r="X35" s="125"/>
      <c r="Y35" s="125"/>
    </row>
    <row r="36" spans="1:25" ht="15" hidden="1" customHeight="1" x14ac:dyDescent="0.3">
      <c r="A36" s="255"/>
      <c r="B36" s="117"/>
      <c r="C36" s="118"/>
      <c r="D36" s="137"/>
      <c r="E36" s="136"/>
      <c r="G36" s="257"/>
      <c r="H36" s="122"/>
      <c r="I36" s="122"/>
      <c r="J36" s="122"/>
      <c r="K36" s="123"/>
      <c r="L36" s="123"/>
      <c r="M36" s="123"/>
      <c r="N36" s="123"/>
      <c r="O36" s="123"/>
      <c r="Q36" s="115"/>
      <c r="R36" s="124"/>
      <c r="S36" s="124"/>
      <c r="T36" s="124"/>
      <c r="U36" s="125"/>
      <c r="V36" s="125"/>
      <c r="W36" s="125"/>
      <c r="X36" s="125"/>
      <c r="Y36" s="125"/>
    </row>
    <row r="37" spans="1:25" ht="15" hidden="1" customHeight="1" x14ac:dyDescent="0.3">
      <c r="A37" s="255"/>
      <c r="B37" s="117"/>
      <c r="C37" s="118"/>
      <c r="D37" s="137"/>
      <c r="E37" s="136"/>
      <c r="G37" s="257"/>
      <c r="H37" s="122"/>
      <c r="I37" s="122"/>
      <c r="J37" s="122"/>
      <c r="K37" s="123"/>
      <c r="L37" s="123"/>
      <c r="M37" s="123"/>
      <c r="N37" s="123"/>
      <c r="O37" s="123"/>
      <c r="Q37" s="115"/>
      <c r="R37" s="124"/>
      <c r="S37" s="124"/>
      <c r="T37" s="124"/>
      <c r="U37" s="125"/>
      <c r="V37" s="125"/>
      <c r="W37" s="125"/>
      <c r="X37" s="125"/>
      <c r="Y37" s="125"/>
    </row>
    <row r="38" spans="1:25" ht="15" hidden="1" customHeight="1" x14ac:dyDescent="0.3">
      <c r="A38" s="255"/>
      <c r="B38" s="117"/>
      <c r="C38" s="118"/>
      <c r="D38" s="137"/>
      <c r="E38" s="136"/>
      <c r="G38" s="257"/>
      <c r="H38" s="122"/>
      <c r="I38" s="122"/>
      <c r="J38" s="122"/>
      <c r="K38" s="123"/>
      <c r="L38" s="123"/>
      <c r="M38" s="123"/>
      <c r="N38" s="123"/>
      <c r="O38" s="123"/>
      <c r="Q38" s="115"/>
      <c r="R38" s="124"/>
      <c r="S38" s="124"/>
      <c r="T38" s="124"/>
      <c r="U38" s="125"/>
      <c r="V38" s="125"/>
      <c r="W38" s="125"/>
      <c r="X38" s="125"/>
      <c r="Y38" s="125"/>
    </row>
    <row r="39" spans="1:25" ht="15" hidden="1" customHeight="1" x14ac:dyDescent="0.3">
      <c r="A39" s="255"/>
      <c r="B39" s="117"/>
      <c r="C39" s="118"/>
      <c r="D39" s="137"/>
      <c r="E39" s="136"/>
      <c r="G39" s="257"/>
      <c r="H39" s="122"/>
      <c r="I39" s="122"/>
      <c r="J39" s="122"/>
      <c r="K39" s="123"/>
      <c r="L39" s="123"/>
      <c r="M39" s="123"/>
      <c r="N39" s="123"/>
      <c r="O39" s="123"/>
      <c r="Q39" s="115"/>
      <c r="R39" s="124"/>
      <c r="S39" s="124"/>
      <c r="T39" s="124"/>
      <c r="U39" s="125"/>
      <c r="V39" s="125"/>
      <c r="W39" s="125"/>
      <c r="X39" s="125"/>
      <c r="Y39" s="125"/>
    </row>
    <row r="40" spans="1:25" ht="15" hidden="1" customHeight="1" x14ac:dyDescent="0.3">
      <c r="A40" s="255"/>
      <c r="B40" s="117"/>
      <c r="C40" s="118"/>
      <c r="D40" s="137"/>
      <c r="E40" s="136"/>
      <c r="G40" s="257"/>
      <c r="H40" s="122"/>
      <c r="I40" s="122"/>
      <c r="J40" s="122"/>
      <c r="K40" s="123"/>
      <c r="L40" s="123"/>
      <c r="M40" s="123"/>
      <c r="N40" s="123"/>
      <c r="O40" s="123"/>
      <c r="Q40" s="115"/>
      <c r="R40" s="124"/>
      <c r="S40" s="124"/>
      <c r="T40" s="124"/>
      <c r="U40" s="125"/>
      <c r="V40" s="125"/>
      <c r="W40" s="125"/>
      <c r="X40" s="125"/>
      <c r="Y40" s="125"/>
    </row>
    <row r="41" spans="1:25" ht="15" hidden="1" customHeight="1" x14ac:dyDescent="0.3">
      <c r="A41" s="255"/>
      <c r="B41" s="117"/>
      <c r="C41" s="118"/>
      <c r="D41" s="137"/>
      <c r="E41" s="136"/>
      <c r="G41" s="257"/>
      <c r="H41" s="122"/>
      <c r="I41" s="122"/>
      <c r="J41" s="122"/>
      <c r="K41" s="123"/>
      <c r="L41" s="123"/>
      <c r="M41" s="123"/>
      <c r="N41" s="123"/>
      <c r="O41" s="123"/>
      <c r="Q41" s="115"/>
      <c r="R41" s="124"/>
      <c r="S41" s="124"/>
      <c r="T41" s="124"/>
      <c r="U41" s="125"/>
      <c r="V41" s="125"/>
      <c r="W41" s="125"/>
      <c r="X41" s="125"/>
      <c r="Y41" s="125"/>
    </row>
    <row r="42" spans="1:25" ht="15" hidden="1" customHeight="1" x14ac:dyDescent="0.3">
      <c r="A42" s="255"/>
      <c r="B42" s="117"/>
      <c r="C42" s="118"/>
      <c r="D42" s="137"/>
      <c r="E42" s="136"/>
      <c r="G42" s="257"/>
      <c r="H42" s="122"/>
      <c r="I42" s="122"/>
      <c r="J42" s="122"/>
      <c r="K42" s="123"/>
      <c r="L42" s="123"/>
      <c r="M42" s="123"/>
      <c r="N42" s="123"/>
      <c r="O42" s="123"/>
      <c r="Q42" s="115"/>
      <c r="R42" s="124"/>
      <c r="S42" s="124"/>
      <c r="T42" s="124"/>
      <c r="U42" s="125"/>
      <c r="V42" s="125"/>
      <c r="W42" s="125"/>
      <c r="X42" s="125"/>
      <c r="Y42" s="125"/>
    </row>
    <row r="43" spans="1:25" ht="15" hidden="1" customHeight="1" x14ac:dyDescent="0.3">
      <c r="A43" s="255"/>
      <c r="B43" s="117"/>
      <c r="C43" s="118"/>
      <c r="D43" s="137"/>
      <c r="E43" s="136"/>
      <c r="G43" s="257"/>
      <c r="H43" s="122"/>
      <c r="I43" s="122"/>
      <c r="J43" s="122"/>
      <c r="K43" s="123"/>
      <c r="L43" s="123"/>
      <c r="M43" s="123"/>
      <c r="N43" s="123"/>
      <c r="O43" s="123"/>
      <c r="Q43" s="115"/>
      <c r="R43" s="124"/>
      <c r="S43" s="124"/>
      <c r="T43" s="124"/>
      <c r="U43" s="125"/>
      <c r="V43" s="125"/>
      <c r="W43" s="125"/>
      <c r="X43" s="125"/>
      <c r="Y43" s="125"/>
    </row>
    <row r="44" spans="1:25" ht="15" hidden="1" customHeight="1" x14ac:dyDescent="0.3">
      <c r="A44" s="255"/>
      <c r="B44" s="117"/>
      <c r="C44" s="118"/>
      <c r="D44" s="137"/>
      <c r="E44" s="136"/>
      <c r="G44" s="257"/>
      <c r="H44" s="122"/>
      <c r="I44" s="122"/>
      <c r="J44" s="122"/>
      <c r="K44" s="123"/>
      <c r="L44" s="123"/>
      <c r="M44" s="123"/>
      <c r="N44" s="123"/>
      <c r="O44" s="123"/>
      <c r="Q44" s="115"/>
      <c r="R44" s="124"/>
      <c r="S44" s="124"/>
      <c r="T44" s="124"/>
      <c r="U44" s="125"/>
      <c r="V44" s="125"/>
      <c r="W44" s="125"/>
      <c r="X44" s="125"/>
      <c r="Y44" s="125"/>
    </row>
    <row r="45" spans="1:25" ht="15" hidden="1" customHeight="1" x14ac:dyDescent="0.3">
      <c r="A45" s="255"/>
      <c r="B45" s="117"/>
      <c r="C45" s="118"/>
      <c r="D45" s="137"/>
      <c r="E45" s="136"/>
      <c r="G45" s="257"/>
      <c r="H45" s="122"/>
      <c r="I45" s="122"/>
      <c r="J45" s="122"/>
      <c r="K45" s="123"/>
      <c r="L45" s="123"/>
      <c r="M45" s="123"/>
      <c r="N45" s="123"/>
      <c r="O45" s="123"/>
      <c r="Q45" s="115"/>
      <c r="R45" s="124"/>
      <c r="S45" s="124"/>
      <c r="T45" s="124"/>
      <c r="U45" s="125"/>
      <c r="V45" s="125"/>
      <c r="W45" s="125"/>
      <c r="X45" s="125"/>
      <c r="Y45" s="125"/>
    </row>
    <row r="46" spans="1:25" ht="15" hidden="1" customHeight="1" x14ac:dyDescent="0.3">
      <c r="A46" s="255"/>
      <c r="B46" s="117"/>
      <c r="C46" s="118"/>
      <c r="D46" s="137"/>
      <c r="E46" s="136"/>
      <c r="G46" s="257"/>
      <c r="H46" s="122"/>
      <c r="I46" s="122"/>
      <c r="J46" s="122"/>
      <c r="K46" s="123"/>
      <c r="L46" s="123"/>
      <c r="M46" s="123"/>
      <c r="N46" s="123"/>
      <c r="O46" s="123"/>
      <c r="Q46" s="115"/>
      <c r="R46" s="124"/>
      <c r="S46" s="124"/>
      <c r="T46" s="124"/>
      <c r="U46" s="125"/>
      <c r="V46" s="125"/>
      <c r="W46" s="125"/>
      <c r="X46" s="125"/>
      <c r="Y46" s="125"/>
    </row>
    <row r="47" spans="1:25" ht="15" hidden="1" customHeight="1" x14ac:dyDescent="0.3">
      <c r="A47" s="255"/>
      <c r="B47" s="117"/>
      <c r="C47" s="118"/>
      <c r="D47" s="137"/>
      <c r="E47" s="136"/>
      <c r="G47" s="257"/>
      <c r="H47" s="122"/>
      <c r="I47" s="122"/>
      <c r="J47" s="122"/>
      <c r="K47" s="123"/>
      <c r="L47" s="123"/>
      <c r="M47" s="123"/>
      <c r="N47" s="123"/>
      <c r="O47" s="123"/>
      <c r="Q47" s="115"/>
      <c r="R47" s="124"/>
      <c r="S47" s="124"/>
      <c r="T47" s="124"/>
      <c r="U47" s="125"/>
      <c r="V47" s="125"/>
      <c r="W47" s="125"/>
      <c r="X47" s="125"/>
      <c r="Y47" s="125"/>
    </row>
    <row r="48" spans="1:25" ht="15" hidden="1" customHeight="1" x14ac:dyDescent="0.3">
      <c r="A48" s="255"/>
      <c r="B48" s="117"/>
      <c r="C48" s="118"/>
      <c r="D48" s="137"/>
      <c r="E48" s="136"/>
      <c r="G48" s="257"/>
      <c r="H48" s="122"/>
      <c r="I48" s="122"/>
      <c r="J48" s="122"/>
      <c r="K48" s="123"/>
      <c r="L48" s="123"/>
      <c r="M48" s="123"/>
      <c r="N48" s="123"/>
      <c r="O48" s="123"/>
      <c r="Q48" s="115"/>
      <c r="R48" s="124"/>
      <c r="S48" s="124"/>
      <c r="T48" s="124"/>
      <c r="U48" s="125"/>
      <c r="V48" s="125"/>
      <c r="W48" s="125"/>
      <c r="X48" s="125"/>
      <c r="Y48" s="125"/>
    </row>
    <row r="49" spans="1:25" ht="15" hidden="1" customHeight="1" x14ac:dyDescent="0.3">
      <c r="A49" s="255"/>
      <c r="B49" s="117"/>
      <c r="C49" s="118"/>
      <c r="D49" s="137"/>
      <c r="E49" s="136"/>
      <c r="G49" s="258"/>
      <c r="H49" s="122"/>
      <c r="I49" s="122"/>
      <c r="J49" s="122"/>
      <c r="K49" s="123"/>
      <c r="L49" s="123"/>
      <c r="M49" s="123"/>
      <c r="N49" s="123"/>
      <c r="O49" s="123"/>
      <c r="Q49" s="115"/>
      <c r="R49" s="124"/>
      <c r="S49" s="124"/>
      <c r="T49" s="124"/>
      <c r="U49" s="125"/>
      <c r="V49" s="125"/>
      <c r="W49" s="125"/>
      <c r="X49" s="125"/>
      <c r="Y49" s="125"/>
    </row>
    <row r="50" spans="1:25" ht="47.4" customHeight="1" x14ac:dyDescent="0.3">
      <c r="A50" s="259" t="s">
        <v>105</v>
      </c>
      <c r="B50" s="260"/>
      <c r="C50" s="261"/>
      <c r="D50" s="128"/>
      <c r="G50" s="263" t="s">
        <v>106</v>
      </c>
      <c r="H50" s="263"/>
      <c r="I50" s="263"/>
      <c r="J50" s="263"/>
      <c r="K50" s="263"/>
      <c r="L50" s="263"/>
      <c r="M50" s="263"/>
      <c r="N50" s="263"/>
      <c r="O50" s="263"/>
      <c r="Q50" s="129"/>
      <c r="R50" s="129"/>
      <c r="S50" s="129"/>
      <c r="T50" s="129"/>
      <c r="U50" s="129"/>
      <c r="V50" s="129"/>
      <c r="W50" s="129"/>
      <c r="X50" s="129"/>
      <c r="Y50" s="129"/>
    </row>
    <row r="51" spans="1:25" ht="42" customHeight="1" x14ac:dyDescent="0.3">
      <c r="A51" s="218"/>
      <c r="B51" s="219"/>
      <c r="C51" s="262"/>
      <c r="D51" s="128"/>
      <c r="G51" s="263"/>
      <c r="H51" s="263"/>
      <c r="I51" s="263"/>
      <c r="J51" s="263"/>
      <c r="K51" s="263"/>
      <c r="L51" s="263"/>
      <c r="M51" s="263"/>
      <c r="N51" s="263"/>
      <c r="O51" s="263"/>
      <c r="Q51" s="129"/>
      <c r="R51" s="129"/>
      <c r="S51" s="129"/>
      <c r="T51" s="129"/>
      <c r="U51" s="129"/>
      <c r="V51" s="129"/>
      <c r="W51" s="129"/>
      <c r="X51" s="129"/>
      <c r="Y51" s="129"/>
    </row>
    <row r="53" spans="1:25" ht="14.4" thickBot="1" x14ac:dyDescent="0.35"/>
    <row r="54" spans="1:25" ht="16.95" customHeight="1" x14ac:dyDescent="0.3">
      <c r="A54" s="220" t="s">
        <v>30</v>
      </c>
      <c r="B54" s="154" t="s">
        <v>31</v>
      </c>
      <c r="C54" s="154" t="s">
        <v>32</v>
      </c>
      <c r="D54" s="155" t="s">
        <v>33</v>
      </c>
    </row>
    <row r="55" spans="1:25" ht="23.7" customHeight="1" thickBot="1" x14ac:dyDescent="0.35">
      <c r="A55" s="221"/>
      <c r="B55" s="9">
        <v>0</v>
      </c>
      <c r="C55" s="9">
        <v>26000000</v>
      </c>
      <c r="D55" s="6">
        <v>35</v>
      </c>
    </row>
    <row r="57" spans="1:25" x14ac:dyDescent="0.3">
      <c r="A57" s="215" t="s">
        <v>107</v>
      </c>
      <c r="B57" s="215"/>
      <c r="C57" s="215"/>
    </row>
    <row r="58" spans="1:25" x14ac:dyDescent="0.3">
      <c r="A58" s="156" t="s">
        <v>108</v>
      </c>
      <c r="B58" s="156" t="s">
        <v>112</v>
      </c>
      <c r="C58" s="156" t="s">
        <v>111</v>
      </c>
      <c r="D58" s="156" t="s">
        <v>110</v>
      </c>
    </row>
    <row r="59" spans="1:25" x14ac:dyDescent="0.3">
      <c r="A59" s="130">
        <f>B55</f>
        <v>0</v>
      </c>
      <c r="B59" s="131">
        <f t="shared" ref="B59:B95" si="1">IF(csplinePred($B$14:$B$26,$C$14:$C$26,$H$14:$O$26,A59)*$C$12&lt;0,0,csplinePred($B$14:$B$26,$C$14:$C$26,$H$14:$O$26,A59)*$C$12)</f>
        <v>0</v>
      </c>
      <c r="C59" s="131">
        <f t="shared" ref="C59:C95" si="2">B59*$C$11</f>
        <v>0</v>
      </c>
      <c r="D59" s="135">
        <f t="shared" ref="D59:D95" si="3">B59*$E$12</f>
        <v>0</v>
      </c>
    </row>
    <row r="60" spans="1:25" x14ac:dyDescent="0.3">
      <c r="A60" s="130">
        <f>100000</f>
        <v>100000</v>
      </c>
      <c r="B60" s="131">
        <f t="shared" si="1"/>
        <v>0</v>
      </c>
      <c r="C60" s="131">
        <f t="shared" si="2"/>
        <v>0</v>
      </c>
      <c r="D60" s="135">
        <f t="shared" si="3"/>
        <v>0</v>
      </c>
    </row>
    <row r="61" spans="1:25" x14ac:dyDescent="0.3">
      <c r="A61" s="130">
        <f>A59+(($C$55-$B$55)/$D$55)</f>
        <v>742857.14285714284</v>
      </c>
      <c r="B61" s="131">
        <f t="shared" si="1"/>
        <v>0</v>
      </c>
      <c r="C61" s="131">
        <f t="shared" si="2"/>
        <v>0</v>
      </c>
      <c r="D61" s="135">
        <f t="shared" si="3"/>
        <v>0</v>
      </c>
    </row>
    <row r="62" spans="1:25" x14ac:dyDescent="0.3">
      <c r="A62" s="130">
        <f t="shared" ref="A62:A95" si="4">A61+(($C$55-$B$55)/$D$55)</f>
        <v>1485714.2857142857</v>
      </c>
      <c r="B62" s="131">
        <f t="shared" si="1"/>
        <v>3687.5132497593258</v>
      </c>
      <c r="C62" s="131">
        <f t="shared" si="2"/>
        <v>3687.5132497593258</v>
      </c>
      <c r="D62" s="135">
        <f t="shared" si="3"/>
        <v>0</v>
      </c>
    </row>
    <row r="63" spans="1:25" x14ac:dyDescent="0.3">
      <c r="A63" s="130">
        <f t="shared" si="4"/>
        <v>2228571.4285714286</v>
      </c>
      <c r="B63" s="131">
        <f t="shared" si="1"/>
        <v>42655.46882280679</v>
      </c>
      <c r="C63" s="131">
        <f t="shared" si="2"/>
        <v>42655.46882280679</v>
      </c>
      <c r="D63" s="135">
        <f t="shared" si="3"/>
        <v>0</v>
      </c>
    </row>
    <row r="64" spans="1:25" x14ac:dyDescent="0.3">
      <c r="A64" s="130">
        <f t="shared" si="4"/>
        <v>2971428.5714285714</v>
      </c>
      <c r="B64" s="131">
        <f t="shared" si="1"/>
        <v>120255.53434964795</v>
      </c>
      <c r="C64" s="131">
        <f t="shared" si="2"/>
        <v>120255.53434964795</v>
      </c>
      <c r="D64" s="135">
        <f t="shared" si="3"/>
        <v>0</v>
      </c>
    </row>
    <row r="65" spans="1:4" x14ac:dyDescent="0.3">
      <c r="A65" s="130">
        <f t="shared" si="4"/>
        <v>3714285.7142857141</v>
      </c>
      <c r="B65" s="131">
        <f t="shared" si="1"/>
        <v>179420.83254888479</v>
      </c>
      <c r="C65" s="131">
        <f t="shared" si="2"/>
        <v>179420.83254888479</v>
      </c>
      <c r="D65" s="135">
        <f t="shared" si="3"/>
        <v>0</v>
      </c>
    </row>
    <row r="66" spans="1:4" x14ac:dyDescent="0.3">
      <c r="A66" s="130">
        <f t="shared" si="4"/>
        <v>4457142.8571428573</v>
      </c>
      <c r="B66" s="131">
        <f t="shared" si="1"/>
        <v>219725.40199210576</v>
      </c>
      <c r="C66" s="131">
        <f t="shared" si="2"/>
        <v>219725.40199210576</v>
      </c>
      <c r="D66" s="135">
        <f t="shared" si="3"/>
        <v>0</v>
      </c>
    </row>
    <row r="67" spans="1:4" x14ac:dyDescent="0.3">
      <c r="A67" s="130">
        <f t="shared" si="4"/>
        <v>5200000</v>
      </c>
      <c r="B67" s="131">
        <f t="shared" si="1"/>
        <v>255872.69238108373</v>
      </c>
      <c r="C67" s="131">
        <f t="shared" si="2"/>
        <v>255872.69238108373</v>
      </c>
      <c r="D67" s="135">
        <f t="shared" si="3"/>
        <v>0</v>
      </c>
    </row>
    <row r="68" spans="1:4" x14ac:dyDescent="0.3">
      <c r="A68" s="130">
        <f t="shared" si="4"/>
        <v>5942857.1428571427</v>
      </c>
      <c r="B68" s="131">
        <f t="shared" si="1"/>
        <v>289488.72670212865</v>
      </c>
      <c r="C68" s="131">
        <f t="shared" si="2"/>
        <v>289488.72670212865</v>
      </c>
      <c r="D68" s="135">
        <f t="shared" si="3"/>
        <v>0</v>
      </c>
    </row>
    <row r="69" spans="1:4" x14ac:dyDescent="0.3">
      <c r="A69" s="130">
        <f t="shared" si="4"/>
        <v>6685714.2857142854</v>
      </c>
      <c r="B69" s="131">
        <f t="shared" si="1"/>
        <v>318771.7106293533</v>
      </c>
      <c r="C69" s="131">
        <f t="shared" si="2"/>
        <v>318771.7106293533</v>
      </c>
      <c r="D69" s="135">
        <f t="shared" si="3"/>
        <v>0</v>
      </c>
    </row>
    <row r="70" spans="1:4" x14ac:dyDescent="0.3">
      <c r="A70" s="130">
        <f t="shared" si="4"/>
        <v>7428571.4285714282</v>
      </c>
      <c r="B70" s="131">
        <f t="shared" si="1"/>
        <v>344224.82130818686</v>
      </c>
      <c r="C70" s="131">
        <f t="shared" si="2"/>
        <v>344224.82130818686</v>
      </c>
      <c r="D70" s="135">
        <f t="shared" si="3"/>
        <v>0</v>
      </c>
    </row>
    <row r="71" spans="1:4" x14ac:dyDescent="0.3">
      <c r="A71" s="130">
        <f t="shared" si="4"/>
        <v>8171428.5714285709</v>
      </c>
      <c r="B71" s="131">
        <f t="shared" si="1"/>
        <v>367073.94839600474</v>
      </c>
      <c r="C71" s="131">
        <f t="shared" si="2"/>
        <v>367073.94839600474</v>
      </c>
      <c r="D71" s="135">
        <f t="shared" si="3"/>
        <v>0</v>
      </c>
    </row>
    <row r="72" spans="1:4" x14ac:dyDescent="0.3">
      <c r="A72" s="130">
        <f t="shared" si="4"/>
        <v>8914285.7142857146</v>
      </c>
      <c r="B72" s="131">
        <f t="shared" si="1"/>
        <v>388200.16563812637</v>
      </c>
      <c r="C72" s="131">
        <f t="shared" si="2"/>
        <v>388200.16563812637</v>
      </c>
      <c r="D72" s="135">
        <f t="shared" si="3"/>
        <v>0</v>
      </c>
    </row>
    <row r="73" spans="1:4" x14ac:dyDescent="0.3">
      <c r="A73" s="130">
        <f t="shared" si="4"/>
        <v>9657142.8571428582</v>
      </c>
      <c r="B73" s="131">
        <f t="shared" si="1"/>
        <v>407777.85850731673</v>
      </c>
      <c r="C73" s="131">
        <f t="shared" si="2"/>
        <v>407777.85850731673</v>
      </c>
      <c r="D73" s="135">
        <f t="shared" si="3"/>
        <v>0</v>
      </c>
    </row>
    <row r="74" spans="1:4" x14ac:dyDescent="0.3">
      <c r="A74" s="130">
        <f t="shared" si="4"/>
        <v>10400000.000000002</v>
      </c>
      <c r="B74" s="131">
        <f t="shared" si="1"/>
        <v>425897.6958384001</v>
      </c>
      <c r="C74" s="131">
        <f t="shared" si="2"/>
        <v>425897.6958384001</v>
      </c>
      <c r="D74" s="135">
        <f t="shared" si="3"/>
        <v>0</v>
      </c>
    </row>
    <row r="75" spans="1:4" x14ac:dyDescent="0.3">
      <c r="A75" s="130">
        <f t="shared" si="4"/>
        <v>11142857.142857146</v>
      </c>
      <c r="B75" s="131">
        <f t="shared" si="1"/>
        <v>442704.70524950721</v>
      </c>
      <c r="C75" s="131">
        <f t="shared" si="2"/>
        <v>442704.70524950721</v>
      </c>
      <c r="D75" s="135">
        <f t="shared" si="3"/>
        <v>0</v>
      </c>
    </row>
    <row r="76" spans="1:4" x14ac:dyDescent="0.3">
      <c r="A76" s="130">
        <f t="shared" si="4"/>
        <v>11885714.285714289</v>
      </c>
      <c r="B76" s="131">
        <f t="shared" si="1"/>
        <v>458393.08167296392</v>
      </c>
      <c r="C76" s="131">
        <f t="shared" si="2"/>
        <v>458393.08167296392</v>
      </c>
      <c r="D76" s="135">
        <f t="shared" si="3"/>
        <v>0</v>
      </c>
    </row>
    <row r="77" spans="1:4" x14ac:dyDescent="0.3">
      <c r="A77" s="130">
        <f t="shared" si="4"/>
        <v>12628571.428571433</v>
      </c>
      <c r="B77" s="131">
        <f t="shared" si="1"/>
        <v>473146.61498036591</v>
      </c>
      <c r="C77" s="131">
        <f t="shared" si="2"/>
        <v>473146.61498036591</v>
      </c>
      <c r="D77" s="135">
        <f t="shared" si="3"/>
        <v>0</v>
      </c>
    </row>
    <row r="78" spans="1:4" x14ac:dyDescent="0.3">
      <c r="A78" s="130">
        <f t="shared" si="4"/>
        <v>13371428.571428576</v>
      </c>
      <c r="B78" s="131">
        <f t="shared" si="1"/>
        <v>487071.33334061143</v>
      </c>
      <c r="C78" s="131">
        <f t="shared" si="2"/>
        <v>487071.33334061143</v>
      </c>
      <c r="D78" s="135">
        <f t="shared" si="3"/>
        <v>0</v>
      </c>
    </row>
    <row r="79" spans="1:4" x14ac:dyDescent="0.3">
      <c r="A79" s="130">
        <f t="shared" si="4"/>
        <v>14114285.71428572</v>
      </c>
      <c r="B79" s="131">
        <f t="shared" si="1"/>
        <v>500242.68171332142</v>
      </c>
      <c r="C79" s="131">
        <f t="shared" si="2"/>
        <v>500242.68171332142</v>
      </c>
      <c r="D79" s="135">
        <f t="shared" si="3"/>
        <v>0</v>
      </c>
    </row>
    <row r="80" spans="1:4" x14ac:dyDescent="0.3">
      <c r="A80" s="130">
        <f t="shared" si="4"/>
        <v>14857142.857142864</v>
      </c>
      <c r="B80" s="131">
        <f t="shared" si="1"/>
        <v>512735.67848520359</v>
      </c>
      <c r="C80" s="131">
        <f t="shared" si="2"/>
        <v>512735.67848520359</v>
      </c>
      <c r="D80" s="135">
        <f t="shared" si="3"/>
        <v>0</v>
      </c>
    </row>
    <row r="81" spans="1:4" x14ac:dyDescent="0.3">
      <c r="A81" s="130">
        <f t="shared" si="4"/>
        <v>15600000.000000007</v>
      </c>
      <c r="B81" s="131">
        <f t="shared" si="1"/>
        <v>524616.43052068504</v>
      </c>
      <c r="C81" s="131">
        <f t="shared" si="2"/>
        <v>524616.43052068504</v>
      </c>
      <c r="D81" s="135">
        <f t="shared" si="3"/>
        <v>0</v>
      </c>
    </row>
    <row r="82" spans="1:4" x14ac:dyDescent="0.3">
      <c r="A82" s="130">
        <f t="shared" si="4"/>
        <v>16342857.142857151</v>
      </c>
      <c r="B82" s="131">
        <f t="shared" si="1"/>
        <v>535941.67462906404</v>
      </c>
      <c r="C82" s="131">
        <f t="shared" si="2"/>
        <v>535941.67462906404</v>
      </c>
      <c r="D82" s="135">
        <f t="shared" si="3"/>
        <v>0</v>
      </c>
    </row>
    <row r="83" spans="1:4" x14ac:dyDescent="0.3">
      <c r="A83" s="130">
        <f t="shared" si="4"/>
        <v>17085714.285714295</v>
      </c>
      <c r="B83" s="131">
        <f t="shared" si="1"/>
        <v>546767.70246526995</v>
      </c>
      <c r="C83" s="131">
        <f t="shared" si="2"/>
        <v>546767.70246526995</v>
      </c>
      <c r="D83" s="135">
        <f t="shared" si="3"/>
        <v>0</v>
      </c>
    </row>
    <row r="84" spans="1:4" x14ac:dyDescent="0.3">
      <c r="A84" s="130">
        <f t="shared" si="4"/>
        <v>17828571.428571437</v>
      </c>
      <c r="B84" s="131">
        <f t="shared" si="1"/>
        <v>557150.25158478331</v>
      </c>
      <c r="C84" s="131">
        <f t="shared" si="2"/>
        <v>557150.25158478331</v>
      </c>
      <c r="D84" s="135">
        <f t="shared" si="3"/>
        <v>0</v>
      </c>
    </row>
    <row r="85" spans="1:4" x14ac:dyDescent="0.3">
      <c r="A85" s="130">
        <f t="shared" si="4"/>
        <v>18571428.571428578</v>
      </c>
      <c r="B85" s="131">
        <f t="shared" si="1"/>
        <v>567128.06311996235</v>
      </c>
      <c r="C85" s="131">
        <f t="shared" si="2"/>
        <v>567128.06311996235</v>
      </c>
      <c r="D85" s="135">
        <f t="shared" si="3"/>
        <v>0</v>
      </c>
    </row>
    <row r="86" spans="1:4" x14ac:dyDescent="0.3">
      <c r="A86" s="130">
        <f t="shared" si="4"/>
        <v>19314285.71428572</v>
      </c>
      <c r="B86" s="131">
        <f t="shared" si="1"/>
        <v>576720.11842235236</v>
      </c>
      <c r="C86" s="131">
        <f t="shared" si="2"/>
        <v>576720.11842235236</v>
      </c>
      <c r="D86" s="135">
        <f t="shared" si="3"/>
        <v>0</v>
      </c>
    </row>
    <row r="87" spans="1:4" x14ac:dyDescent="0.3">
      <c r="A87" s="130">
        <f t="shared" si="4"/>
        <v>20057142.857142862</v>
      </c>
      <c r="B87" s="131">
        <f t="shared" si="1"/>
        <v>585944.28812587669</v>
      </c>
      <c r="C87" s="131">
        <f t="shared" si="2"/>
        <v>585944.28812587669</v>
      </c>
      <c r="D87" s="135">
        <f t="shared" si="3"/>
        <v>0</v>
      </c>
    </row>
    <row r="88" spans="1:4" x14ac:dyDescent="0.3">
      <c r="A88" s="130">
        <f t="shared" si="4"/>
        <v>20800000.000000004</v>
      </c>
      <c r="B88" s="131">
        <f t="shared" si="1"/>
        <v>594818.44286952773</v>
      </c>
      <c r="C88" s="131">
        <f t="shared" si="2"/>
        <v>594818.44286952773</v>
      </c>
      <c r="D88" s="135">
        <f t="shared" si="3"/>
        <v>0</v>
      </c>
    </row>
    <row r="89" spans="1:4" x14ac:dyDescent="0.3">
      <c r="A89" s="130">
        <f t="shared" si="4"/>
        <v>21542857.142857146</v>
      </c>
      <c r="B89" s="131">
        <f t="shared" si="1"/>
        <v>603360.45328855014</v>
      </c>
      <c r="C89" s="131">
        <f t="shared" si="2"/>
        <v>603360.45328855014</v>
      </c>
      <c r="D89" s="135">
        <f t="shared" si="3"/>
        <v>0</v>
      </c>
    </row>
    <row r="90" spans="1:4" x14ac:dyDescent="0.3">
      <c r="A90" s="130">
        <f t="shared" si="4"/>
        <v>22285714.285714287</v>
      </c>
      <c r="B90" s="131">
        <f t="shared" si="1"/>
        <v>611588.19001836772</v>
      </c>
      <c r="C90" s="131">
        <f t="shared" si="2"/>
        <v>611588.19001836772</v>
      </c>
      <c r="D90" s="135">
        <f t="shared" si="3"/>
        <v>0</v>
      </c>
    </row>
    <row r="91" spans="1:4" x14ac:dyDescent="0.3">
      <c r="A91" s="130">
        <f t="shared" si="4"/>
        <v>23028571.428571429</v>
      </c>
      <c r="B91" s="131">
        <f t="shared" si="1"/>
        <v>619519.52369770454</v>
      </c>
      <c r="C91" s="131">
        <f t="shared" si="2"/>
        <v>619519.52369770454</v>
      </c>
      <c r="D91" s="135">
        <f t="shared" si="3"/>
        <v>0</v>
      </c>
    </row>
    <row r="92" spans="1:4" x14ac:dyDescent="0.3">
      <c r="A92" s="130">
        <f t="shared" si="4"/>
        <v>23771428.571428571</v>
      </c>
      <c r="B92" s="131">
        <f t="shared" si="1"/>
        <v>627172.82515642676</v>
      </c>
      <c r="C92" s="131">
        <f t="shared" si="2"/>
        <v>627172.82515642676</v>
      </c>
      <c r="D92" s="135">
        <f t="shared" si="3"/>
        <v>0</v>
      </c>
    </row>
    <row r="93" spans="1:4" x14ac:dyDescent="0.3">
      <c r="A93" s="130">
        <f t="shared" si="4"/>
        <v>24514285.714285713</v>
      </c>
      <c r="B93" s="131">
        <f t="shared" si="1"/>
        <v>634590.56525870401</v>
      </c>
      <c r="C93" s="131">
        <f t="shared" si="2"/>
        <v>634590.56525870401</v>
      </c>
      <c r="D93" s="135">
        <f t="shared" si="3"/>
        <v>0</v>
      </c>
    </row>
    <row r="94" spans="1:4" x14ac:dyDescent="0.3">
      <c r="A94" s="130">
        <f t="shared" si="4"/>
        <v>25257142.857142854</v>
      </c>
      <c r="B94" s="131">
        <f t="shared" si="1"/>
        <v>641849.51730766648</v>
      </c>
      <c r="C94" s="131">
        <f t="shared" si="2"/>
        <v>641849.51730766648</v>
      </c>
      <c r="D94" s="135">
        <f t="shared" si="3"/>
        <v>0</v>
      </c>
    </row>
    <row r="95" spans="1:4" x14ac:dyDescent="0.3">
      <c r="A95" s="130">
        <f t="shared" si="4"/>
        <v>25999999.999999996</v>
      </c>
      <c r="B95" s="131">
        <f t="shared" si="1"/>
        <v>649029.07533143717</v>
      </c>
      <c r="C95" s="131">
        <f t="shared" si="2"/>
        <v>649029.07533143717</v>
      </c>
      <c r="D95" s="135">
        <f t="shared" si="3"/>
        <v>0</v>
      </c>
    </row>
    <row r="96" spans="1:4" x14ac:dyDescent="0.3">
      <c r="A96" s="134"/>
      <c r="B96" s="133"/>
      <c r="C96" s="133"/>
      <c r="D96" s="132"/>
    </row>
  </sheetData>
  <mergeCells count="16">
    <mergeCell ref="M2:S2"/>
    <mergeCell ref="M3:S3"/>
    <mergeCell ref="B4:F4"/>
    <mergeCell ref="A7:A9"/>
    <mergeCell ref="B7:C7"/>
    <mergeCell ref="D7:F7"/>
    <mergeCell ref="G7:I7"/>
    <mergeCell ref="J7:K7"/>
    <mergeCell ref="M7:P8"/>
    <mergeCell ref="A57:C57"/>
    <mergeCell ref="A11:A12"/>
    <mergeCell ref="A13:A49"/>
    <mergeCell ref="G13:G49"/>
    <mergeCell ref="A50:C51"/>
    <mergeCell ref="G50:O51"/>
    <mergeCell ref="A54:A55"/>
  </mergeCells>
  <pageMargins left="0.7" right="0.7" top="0.75" bottom="0.75" header="0.3" footer="0.3"/>
  <pageSetup orientation="portrait"/>
  <headerFooter>
    <oddHeader>&amp;L&amp;"Calibri"&amp;12&amp;K8E6A00 Confidential&amp;1#_x000D_</oddHead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A15"/>
  <sheetViews>
    <sheetView showGridLines="0" topLeftCell="C4" zoomScaleNormal="100" workbookViewId="0">
      <selection sqref="A1:K1"/>
    </sheetView>
  </sheetViews>
  <sheetFormatPr defaultColWidth="9.109375" defaultRowHeight="15.6" x14ac:dyDescent="0.3"/>
  <cols>
    <col min="1" max="1" width="16.33203125" style="68" customWidth="1"/>
    <col min="2" max="2" width="13.44140625" style="68" customWidth="1"/>
    <col min="3" max="3" width="9.109375" style="68" customWidth="1"/>
    <col min="4" max="4" width="3" style="68" customWidth="1"/>
    <col min="5" max="5" width="8" style="68" customWidth="1"/>
    <col min="6" max="6" width="12.44140625" style="68" customWidth="1"/>
    <col min="7" max="7" width="8.109375" style="68" customWidth="1"/>
    <col min="8" max="8" width="15.6640625" style="68" customWidth="1"/>
    <col min="9" max="9" width="16.44140625" style="68" customWidth="1"/>
    <col min="10" max="12" width="15.6640625" style="68" customWidth="1"/>
    <col min="13" max="13" width="16.44140625" style="68" customWidth="1"/>
    <col min="14" max="14" width="16.44140625" style="71" customWidth="1"/>
    <col min="15" max="17" width="15.6640625" style="68" customWidth="1"/>
    <col min="18" max="18" width="16.44140625" style="68" customWidth="1"/>
    <col min="19" max="19" width="17.109375" style="68" customWidth="1"/>
    <col min="20" max="20" width="19.6640625" style="68" bestFit="1" customWidth="1"/>
    <col min="21" max="21" width="14.109375" style="68" bestFit="1" customWidth="1"/>
    <col min="22" max="22" width="9.44140625" style="68" customWidth="1"/>
    <col min="23" max="16384" width="9.109375" style="68"/>
  </cols>
  <sheetData>
    <row r="1" spans="1:27" x14ac:dyDescent="0.3">
      <c r="A1" s="273" t="s">
        <v>80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104"/>
      <c r="M1" s="104"/>
      <c r="N1" s="68"/>
    </row>
    <row r="2" spans="1:27" x14ac:dyDescent="0.3">
      <c r="N2" s="68"/>
    </row>
    <row r="3" spans="1:27" ht="38.25" customHeight="1" x14ac:dyDescent="0.3">
      <c r="A3" s="274" t="s">
        <v>1</v>
      </c>
      <c r="B3" s="274"/>
      <c r="C3" s="274"/>
      <c r="N3" s="68"/>
    </row>
    <row r="4" spans="1:27" ht="24" customHeight="1" x14ac:dyDescent="0.3">
      <c r="A4" s="69"/>
      <c r="B4" s="69" t="s">
        <v>81</v>
      </c>
      <c r="C4" s="70">
        <v>0.4</v>
      </c>
    </row>
    <row r="5" spans="1:27" s="59" customFormat="1" ht="24" customHeight="1" x14ac:dyDescent="0.3">
      <c r="A5" s="69"/>
      <c r="B5" s="69" t="s">
        <v>82</v>
      </c>
      <c r="C5" s="72">
        <v>250</v>
      </c>
      <c r="N5" s="71"/>
    </row>
    <row r="6" spans="1:27" s="59" customFormat="1" ht="24" customHeight="1" x14ac:dyDescent="0.3">
      <c r="A6" s="69"/>
      <c r="B6" s="69" t="s">
        <v>83</v>
      </c>
      <c r="C6" s="72">
        <v>125</v>
      </c>
      <c r="N6" s="71"/>
    </row>
    <row r="7" spans="1:27" s="59" customFormat="1" ht="28.5" customHeight="1" x14ac:dyDescent="0.3">
      <c r="D7" s="73"/>
      <c r="E7" s="73"/>
      <c r="F7" s="74"/>
      <c r="N7" s="75"/>
      <c r="P7" s="275" t="s">
        <v>73</v>
      </c>
      <c r="Q7" s="275"/>
      <c r="R7" s="275"/>
      <c r="S7" s="275"/>
      <c r="T7" s="275" t="s">
        <v>3</v>
      </c>
      <c r="U7" s="275"/>
    </row>
    <row r="8" spans="1:27" ht="45" customHeight="1" x14ac:dyDescent="0.3">
      <c r="M8" s="77" t="s">
        <v>84</v>
      </c>
      <c r="N8" s="78"/>
      <c r="O8" s="60"/>
      <c r="P8" s="60" t="s">
        <v>2</v>
      </c>
      <c r="Q8" s="60" t="s">
        <v>74</v>
      </c>
      <c r="R8" s="60" t="s">
        <v>77</v>
      </c>
      <c r="S8" s="61" t="s">
        <v>78</v>
      </c>
      <c r="T8" s="60" t="s">
        <v>75</v>
      </c>
      <c r="U8" s="60" t="s">
        <v>76</v>
      </c>
    </row>
    <row r="9" spans="1:27" s="81" customFormat="1" ht="27" customHeight="1" x14ac:dyDescent="0.3">
      <c r="L9" s="68"/>
      <c r="M9" s="79">
        <v>10600000</v>
      </c>
      <c r="N9" s="80"/>
      <c r="O9" s="62" t="s">
        <v>65</v>
      </c>
      <c r="P9" s="62">
        <f>H14</f>
        <v>14900000</v>
      </c>
      <c r="Q9" s="63">
        <f>J14</f>
        <v>721160</v>
      </c>
      <c r="R9" s="64">
        <f>Q9/$M$9</f>
        <v>6.8033962264150941E-2</v>
      </c>
      <c r="S9" s="65">
        <f>P9/Q9</f>
        <v>20.66115702479339</v>
      </c>
      <c r="T9" s="66">
        <v>0.15</v>
      </c>
      <c r="U9" s="67">
        <f>T9*$M$9</f>
        <v>1590000</v>
      </c>
      <c r="V9" s="68"/>
      <c r="W9" s="68"/>
      <c r="X9" s="68"/>
      <c r="Y9" s="68"/>
      <c r="Z9" s="68"/>
      <c r="AA9" s="68"/>
    </row>
    <row r="10" spans="1:27" ht="27.75" customHeight="1" x14ac:dyDescent="0.3">
      <c r="N10" s="75"/>
      <c r="O10" s="62" t="s">
        <v>63</v>
      </c>
      <c r="P10" s="62">
        <f>SUM(P9:P9)</f>
        <v>14900000</v>
      </c>
      <c r="Q10" s="63">
        <f>SUM(Q9:Q9)</f>
        <v>721160</v>
      </c>
      <c r="R10" s="64">
        <f>Q10/$M$9</f>
        <v>6.8033962264150941E-2</v>
      </c>
      <c r="S10" s="65">
        <f>P10/Q10</f>
        <v>20.66115702479339</v>
      </c>
      <c r="T10" s="66">
        <v>0.15</v>
      </c>
      <c r="U10" s="67">
        <f>SUM(U9:U9)</f>
        <v>1590000</v>
      </c>
    </row>
    <row r="11" spans="1:27" ht="27.75" customHeight="1" x14ac:dyDescent="0.3"/>
    <row r="12" spans="1:27" x14ac:dyDescent="0.3">
      <c r="H12" s="86">
        <v>2018</v>
      </c>
      <c r="K12" s="87">
        <v>0.9</v>
      </c>
      <c r="L12" s="87">
        <v>2</v>
      </c>
    </row>
    <row r="13" spans="1:27" s="81" customFormat="1" x14ac:dyDescent="0.3">
      <c r="B13" s="97" t="s">
        <v>55</v>
      </c>
      <c r="C13" s="97" t="s">
        <v>56</v>
      </c>
      <c r="D13" s="97"/>
      <c r="E13" s="97" t="s">
        <v>57</v>
      </c>
      <c r="F13" s="97" t="s">
        <v>58</v>
      </c>
      <c r="G13" s="97" t="s">
        <v>0</v>
      </c>
      <c r="H13" s="97" t="s">
        <v>59</v>
      </c>
      <c r="I13" s="97" t="s">
        <v>60</v>
      </c>
      <c r="J13" s="97" t="s">
        <v>72</v>
      </c>
      <c r="K13" s="76" t="s">
        <v>61</v>
      </c>
      <c r="L13" s="76" t="s">
        <v>62</v>
      </c>
      <c r="M13" s="68"/>
      <c r="N13" s="71"/>
      <c r="O13" s="68"/>
      <c r="P13" s="68"/>
    </row>
    <row r="14" spans="1:27" ht="45" customHeight="1" x14ac:dyDescent="0.3">
      <c r="B14" s="98" t="s">
        <v>85</v>
      </c>
      <c r="C14" s="98" t="s">
        <v>34</v>
      </c>
      <c r="D14" s="98"/>
      <c r="E14" s="98" t="s">
        <v>79</v>
      </c>
      <c r="F14" s="98">
        <v>1</v>
      </c>
      <c r="G14" s="99">
        <v>6.05</v>
      </c>
      <c r="H14" s="100">
        <v>14900000</v>
      </c>
      <c r="I14" s="101">
        <f>H14*G14</f>
        <v>90145000</v>
      </c>
      <c r="J14" s="83">
        <f>I14/$C$6</f>
        <v>721160</v>
      </c>
      <c r="K14" s="82">
        <f>H14*K12</f>
        <v>13410000</v>
      </c>
      <c r="L14" s="82">
        <f>H14*L12</f>
        <v>29800000</v>
      </c>
    </row>
    <row r="15" spans="1:27" x14ac:dyDescent="0.3">
      <c r="B15" s="276" t="s">
        <v>54</v>
      </c>
      <c r="C15" s="276"/>
      <c r="D15" s="276"/>
      <c r="E15" s="276"/>
      <c r="F15" s="276"/>
      <c r="G15" s="102">
        <f>I15/H15</f>
        <v>6.05</v>
      </c>
      <c r="H15" s="103">
        <f>SUM(H14:H14)</f>
        <v>14900000</v>
      </c>
      <c r="I15" s="103">
        <f>SUM(I14:I14)</f>
        <v>90145000</v>
      </c>
      <c r="J15" s="84">
        <f>SUM(J14:J14)</f>
        <v>721160</v>
      </c>
      <c r="K15" s="85">
        <f>SUM(K14:K14)</f>
        <v>13410000</v>
      </c>
      <c r="L15" s="85">
        <f>SUM(L14:L14)</f>
        <v>29800000</v>
      </c>
    </row>
  </sheetData>
  <mergeCells count="5">
    <mergeCell ref="A1:K1"/>
    <mergeCell ref="A3:C3"/>
    <mergeCell ref="P7:S7"/>
    <mergeCell ref="T7:U7"/>
    <mergeCell ref="B15:F15"/>
  </mergeCells>
  <pageMargins left="0.7" right="0.7" top="0.75" bottom="0.75" header="0.3" footer="0.3"/>
  <pageSetup orientation="portrait"/>
  <headerFooter>
    <oddHeader>&amp;L&amp;"Calibri"&amp;12&amp;K8E6A00 Confidential&amp;1#_x000D_</oddHeader>
  </headerFooter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CAB67D74-E89F-41A5-AE4B-8F57638162B6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TV</vt:lpstr>
      <vt:lpstr>Data</vt:lpstr>
      <vt:lpstr>TV - Power</vt:lpstr>
      <vt:lpstr>TV - Scurve</vt:lpstr>
      <vt:lpstr>2018</vt:lpstr>
      <vt:lpstr>2017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2024-03-21T05:46:18Z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c0a7c432-e19d-4f88-92b8-55e067f446f1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  <property fmtid="{D5CDD505-2E9C-101B-9397-08002B2CF9AE}" pid="7" name="MSIP_Label_2c56a699-e9bd-437a-8412-901342082749_Enabled">
    <vt:lpwstr>true</vt:lpwstr>
  </property>
  <property fmtid="{D5CDD505-2E9C-101B-9397-08002B2CF9AE}" pid="8" name="MSIP_Label_2c56a699-e9bd-437a-8412-901342082749_SetDate">
    <vt:lpwstr>2024-03-06T06:04:59Z</vt:lpwstr>
  </property>
  <property fmtid="{D5CDD505-2E9C-101B-9397-08002B2CF9AE}" pid="9" name="MSIP_Label_2c56a699-e9bd-437a-8412-901342082749_Method">
    <vt:lpwstr>Privileged</vt:lpwstr>
  </property>
  <property fmtid="{D5CDD505-2E9C-101B-9397-08002B2CF9AE}" pid="10" name="MSIP_Label_2c56a699-e9bd-437a-8412-901342082749_Name">
    <vt:lpwstr>2c56a699-e9bd-437a-8412-901342082749</vt:lpwstr>
  </property>
  <property fmtid="{D5CDD505-2E9C-101B-9397-08002B2CF9AE}" pid="11" name="MSIP_Label_2c56a699-e9bd-437a-8412-901342082749_SiteId">
    <vt:lpwstr>a00de4ec-48a8-43a6-be74-e31274e2060d</vt:lpwstr>
  </property>
  <property fmtid="{D5CDD505-2E9C-101B-9397-08002B2CF9AE}" pid="12" name="MSIP_Label_2c56a699-e9bd-437a-8412-901342082749_ActionId">
    <vt:lpwstr>434f4054-e9a0-495e-92d7-6d3c4db04daf</vt:lpwstr>
  </property>
  <property fmtid="{D5CDD505-2E9C-101B-9397-08002B2CF9AE}" pid="13" name="MSIP_Label_2c56a699-e9bd-437a-8412-901342082749_ContentBits">
    <vt:lpwstr>1</vt:lpwstr>
  </property>
</Properties>
</file>