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filterPrivacy="1" codeName="ThisWorkbook" defaultThemeVersion="124226"/>
  <xr:revisionPtr revIDLastSave="0" documentId="13_ncr:1_{4978BDDE-899D-4C7D-A949-A66F0B842A0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Radio" sheetId="5" r:id="rId1"/>
    <sheet name="Data" sheetId="6" r:id="rId2"/>
    <sheet name="Radio - Power" sheetId="11" r:id="rId3"/>
    <sheet name="Radio - Scurve" sheetId="7" r:id="rId4"/>
  </sheets>
  <definedNames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'Radio - Power'!$A$13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5" l="1"/>
  <c r="D4" i="5"/>
  <c r="A21" i="11" l="1"/>
  <c r="A22" i="11" l="1"/>
  <c r="A23" i="11" s="1"/>
  <c r="A24" i="11"/>
  <c r="A25" i="11" l="1"/>
  <c r="A26" i="11" l="1"/>
  <c r="A27" i="11" l="1"/>
  <c r="A28" i="11" l="1"/>
  <c r="A29" i="11" l="1"/>
  <c r="A30" i="11" l="1"/>
  <c r="A31" i="11" l="1"/>
  <c r="A32" i="11" l="1"/>
  <c r="A33" i="11" l="1"/>
  <c r="A34" i="11" l="1"/>
  <c r="A35" i="11" l="1"/>
  <c r="A36" i="11" l="1"/>
  <c r="A37" i="11" l="1"/>
  <c r="A38" i="11" l="1"/>
  <c r="A39" i="11" l="1"/>
  <c r="A40" i="11" l="1"/>
  <c r="A41" i="11" l="1"/>
  <c r="C5" i="5" l="1"/>
  <c r="F4" i="5" l="1"/>
  <c r="G4" i="5" s="1"/>
  <c r="F5" i="5" l="1"/>
  <c r="D5" i="5" s="1"/>
  <c r="F12" i="7"/>
  <c r="L12" i="7" s="1"/>
  <c r="A23" i="7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22" i="7"/>
  <c r="G5" i="5" l="1"/>
  <c r="I5" i="6" l="1"/>
  <c r="C12" i="11" s="1"/>
  <c r="D11" i="5"/>
  <c r="H5" i="6"/>
  <c r="B12" i="11" s="1"/>
  <c r="G9" i="11" l="1"/>
  <c r="E9" i="11"/>
  <c r="F9" i="11" s="1"/>
  <c r="B21" i="11"/>
  <c r="C21" i="11" s="1"/>
  <c r="B23" i="11"/>
  <c r="C23" i="11" s="1"/>
  <c r="D23" i="11" s="1"/>
  <c r="B22" i="11"/>
  <c r="C22" i="11" s="1"/>
  <c r="D22" i="11" s="1"/>
  <c r="B24" i="11"/>
  <c r="C24" i="11" s="1"/>
  <c r="D24" i="11" s="1"/>
  <c r="B25" i="11"/>
  <c r="C25" i="11" s="1"/>
  <c r="D25" i="11" s="1"/>
  <c r="B26" i="11"/>
  <c r="C26" i="11" s="1"/>
  <c r="D26" i="11" s="1"/>
  <c r="B27" i="11"/>
  <c r="C27" i="11" s="1"/>
  <c r="D27" i="11" s="1"/>
  <c r="B28" i="11"/>
  <c r="C28" i="11" s="1"/>
  <c r="D28" i="11" s="1"/>
  <c r="B29" i="11"/>
  <c r="C29" i="11" s="1"/>
  <c r="D29" i="11" s="1"/>
  <c r="B30" i="11"/>
  <c r="C30" i="11" s="1"/>
  <c r="D30" i="11" s="1"/>
  <c r="B31" i="11"/>
  <c r="C31" i="11" s="1"/>
  <c r="D31" i="11" s="1"/>
  <c r="B32" i="11"/>
  <c r="C32" i="11" s="1"/>
  <c r="D32" i="11" s="1"/>
  <c r="B33" i="11"/>
  <c r="C33" i="11" s="1"/>
  <c r="D33" i="11" s="1"/>
  <c r="B34" i="11"/>
  <c r="C34" i="11" s="1"/>
  <c r="D34" i="11" s="1"/>
  <c r="B35" i="11"/>
  <c r="C35" i="11" s="1"/>
  <c r="D35" i="11" s="1"/>
  <c r="B36" i="11"/>
  <c r="C36" i="11" s="1"/>
  <c r="D36" i="11" s="1"/>
  <c r="B37" i="11"/>
  <c r="C37" i="11" s="1"/>
  <c r="D37" i="11" s="1"/>
  <c r="B38" i="11"/>
  <c r="C38" i="11" s="1"/>
  <c r="D38" i="11" s="1"/>
  <c r="B39" i="11"/>
  <c r="C39" i="11" s="1"/>
  <c r="D39" i="11" s="1"/>
  <c r="B40" i="11"/>
  <c r="C40" i="11" s="1"/>
  <c r="D40" i="11" s="1"/>
  <c r="B41" i="11"/>
  <c r="C41" i="11" s="1"/>
  <c r="D41" i="11" s="1"/>
  <c r="C9" i="11"/>
  <c r="B9" i="11"/>
  <c r="H9" i="11"/>
  <c r="B12" i="7"/>
  <c r="C9" i="7" s="1"/>
  <c r="I9" i="11" l="1"/>
  <c r="K12" i="7"/>
  <c r="B9" i="7"/>
  <c r="F9" i="7"/>
  <c r="D9" i="7" s="1"/>
  <c r="J5" i="6" l="1"/>
  <c r="L5" i="6" s="1"/>
  <c r="M5" i="6" s="1"/>
  <c r="E12" i="7" s="1"/>
  <c r="C12" i="7"/>
  <c r="K5" i="6"/>
  <c r="I12" i="7" l="1"/>
  <c r="J12" i="7" s="1"/>
  <c r="G9" i="7"/>
  <c r="M12" i="7" l="1"/>
  <c r="N12" i="7" s="1"/>
  <c r="O12" i="7"/>
  <c r="B46" i="7" l="1"/>
  <c r="B37" i="7"/>
  <c r="C37" i="7" s="1"/>
  <c r="B50" i="7"/>
  <c r="C50" i="7" s="1"/>
  <c r="B33" i="7"/>
  <c r="C33" i="7" s="1"/>
  <c r="B27" i="7"/>
  <c r="C27" i="7" s="1"/>
  <c r="B23" i="7"/>
  <c r="C23" i="7" s="1"/>
  <c r="B28" i="7"/>
  <c r="C28" i="7" s="1"/>
  <c r="B38" i="7"/>
  <c r="C38" i="7" s="1"/>
  <c r="B34" i="7"/>
  <c r="C34" i="7" s="1"/>
  <c r="B48" i="7"/>
  <c r="C48" i="7" s="1"/>
  <c r="B25" i="7"/>
  <c r="C25" i="7" s="1"/>
  <c r="B24" i="7"/>
  <c r="C24" i="7" s="1"/>
  <c r="B26" i="7"/>
  <c r="C26" i="7" s="1"/>
  <c r="B22" i="7"/>
  <c r="C22" i="7" s="1"/>
  <c r="B40" i="7"/>
  <c r="C40" i="7" s="1"/>
  <c r="B52" i="7"/>
  <c r="C52" i="7" s="1"/>
  <c r="B45" i="7"/>
  <c r="C45" i="7" s="1"/>
  <c r="B39" i="7"/>
  <c r="C39" i="7" s="1"/>
  <c r="B35" i="7"/>
  <c r="C35" i="7" s="1"/>
  <c r="B47" i="7"/>
  <c r="C47" i="7" s="1"/>
  <c r="B31" i="7"/>
  <c r="C31" i="7" s="1"/>
  <c r="B29" i="7"/>
  <c r="C29" i="7" s="1"/>
  <c r="B36" i="7"/>
  <c r="C36" i="7" s="1"/>
  <c r="B32" i="7"/>
  <c r="C32" i="7" s="1"/>
  <c r="B41" i="7"/>
  <c r="C41" i="7" s="1"/>
  <c r="B42" i="7"/>
  <c r="C42" i="7" s="1"/>
  <c r="B51" i="7"/>
  <c r="C51" i="7" s="1"/>
  <c r="E9" i="7"/>
  <c r="B30" i="7"/>
  <c r="C30" i="7" s="1"/>
  <c r="B49" i="7"/>
  <c r="C49" i="7" s="1"/>
  <c r="B43" i="7"/>
  <c r="C43" i="7" s="1"/>
  <c r="B44" i="7"/>
  <c r="C44" i="7" s="1"/>
  <c r="C46" i="7" l="1"/>
  <c r="D46" i="7" s="1"/>
  <c r="D42" i="7"/>
  <c r="D37" i="7"/>
  <c r="D43" i="7"/>
  <c r="D35" i="7"/>
  <c r="D40" i="7"/>
  <c r="D28" i="7"/>
  <c r="D39" i="7"/>
  <c r="D23" i="7"/>
  <c r="D41" i="7"/>
  <c r="D26" i="7"/>
  <c r="D51" i="7"/>
  <c r="D36" i="7"/>
  <c r="D25" i="7"/>
  <c r="D50" i="7"/>
  <c r="D49" i="7"/>
  <c r="D29" i="7"/>
  <c r="D48" i="7"/>
  <c r="D30" i="7"/>
  <c r="D31" i="7"/>
  <c r="D45" i="7"/>
  <c r="D34" i="7"/>
  <c r="D27" i="7"/>
  <c r="D44" i="7"/>
  <c r="D32" i="7"/>
  <c r="D47" i="7"/>
  <c r="D52" i="7"/>
  <c r="D24" i="7"/>
  <c r="D38" i="7"/>
  <c r="D33" i="7"/>
</calcChain>
</file>

<file path=xl/sharedStrings.xml><?xml version="1.0" encoding="utf-8"?>
<sst xmlns="http://schemas.openxmlformats.org/spreadsheetml/2006/main" count="128" uniqueCount="99">
  <si>
    <t>Product</t>
  </si>
  <si>
    <t>Max Y Assumptions</t>
  </si>
  <si>
    <t>Pre-Tax Spend</t>
  </si>
  <si>
    <t>* Note: The above marroon colored values are used to construct lodish type response curve for Aquisition programs</t>
  </si>
  <si>
    <t>Purpose</t>
  </si>
  <si>
    <t>Creates a S type curve given (Xcurr,Ycurr), Ymin, Ymax. Uses equation proposed by Lodish.</t>
  </si>
  <si>
    <t>X unit</t>
  </si>
  <si>
    <t>Spend $</t>
  </si>
  <si>
    <t>Note 1: YELLOW cells need user input (some or optional)</t>
  </si>
  <si>
    <t>Channel</t>
  </si>
  <si>
    <t>Y unit</t>
  </si>
  <si>
    <t>Ybase</t>
  </si>
  <si>
    <t>Function Type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</si>
  <si>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</si>
  <si>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</si>
  <si>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</si>
  <si>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Optimization Details</t>
  </si>
  <si>
    <t>Constraints</t>
  </si>
  <si>
    <t>Objective Function</t>
  </si>
  <si>
    <t>Initial Starting Values (optional)</t>
  </si>
  <si>
    <t>Min</t>
  </si>
  <si>
    <t>Max</t>
  </si>
  <si>
    <t>Optimal X value</t>
  </si>
  <si>
    <t>Optimal Y value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</si>
  <si>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</si>
  <si>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</si>
  <si>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</si>
  <si>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</si>
  <si>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</si>
  <si>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</si>
  <si>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</si>
  <si>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Y Base</t>
  </si>
  <si>
    <t>Temporary Values</t>
  </si>
  <si>
    <t>YL min [=YBase - Ycurrent]</t>
  </si>
  <si>
    <t>YL max [=YLmin + Ymax]</t>
  </si>
  <si>
    <t>XL current [=Xcurrent]</t>
  </si>
  <si>
    <t>YL current [=YBase]</t>
  </si>
  <si>
    <t>A</t>
  </si>
  <si>
    <t>B</t>
  </si>
  <si>
    <t>C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</si>
  <si>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</si>
  <si>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</si>
  <si>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Axis Configuration for Plotting</t>
  </si>
  <si>
    <t>Xaxis MIN</t>
  </si>
  <si>
    <t>Xaxis Max</t>
  </si>
  <si>
    <t>Intervals</t>
  </si>
  <si>
    <t>Data Values</t>
  </si>
  <si>
    <t>Online</t>
  </si>
  <si>
    <t>incr. NRx</t>
  </si>
  <si>
    <t xml:space="preserve">Spend </t>
  </si>
  <si>
    <t>ROI:</t>
  </si>
  <si>
    <t>Pre-tax</t>
  </si>
  <si>
    <t>Comments:</t>
  </si>
  <si>
    <t>Program</t>
  </si>
  <si>
    <t>Pre-tax cost</t>
  </si>
  <si>
    <t>Pre-tax ROI</t>
  </si>
  <si>
    <t>Parameters for back-calculation of Incremental Rx</t>
  </si>
  <si>
    <t>Incr. Rx</t>
  </si>
  <si>
    <t xml:space="preserve"> Rx</t>
  </si>
  <si>
    <t>GARDASIL 9</t>
  </si>
  <si>
    <t># Incr. Doses</t>
  </si>
  <si>
    <t>Pre-tax PGM</t>
  </si>
  <si>
    <t>Estimated Incr. Dose</t>
  </si>
  <si>
    <t>Estimated Incr. Dose (as % of NPA Dose)</t>
  </si>
  <si>
    <t>Spend per Dose</t>
  </si>
  <si>
    <t>Anticipated Max Incr. Dose (in %) when HCC spend is increased to infinity</t>
  </si>
  <si>
    <t>Anticipated Max Incr. Dose</t>
  </si>
  <si>
    <t>Merck GARDASIL Online Programs: Incremental doses per Tactic with ROI, Spend and Incremental Revenue</t>
  </si>
  <si>
    <t>Radio</t>
  </si>
  <si>
    <t>YT unit</t>
  </si>
  <si>
    <t>Current Values (optional)</t>
  </si>
  <si>
    <t>Response Function Scaling Factor (for sensitivity analysis)</t>
  </si>
  <si>
    <t>X</t>
  </si>
  <si>
    <t>Gardasil</t>
  </si>
  <si>
    <t>Incr. Doses</t>
  </si>
  <si>
    <t>Doses</t>
  </si>
  <si>
    <t>Optimal YT value</t>
  </si>
  <si>
    <t>Starting YT value</t>
  </si>
  <si>
    <t>Power</t>
  </si>
  <si>
    <t>3-Yr Adherence Rxs per New Patient</t>
  </si>
  <si>
    <t xml:space="preserve">Note : </t>
  </si>
  <si>
    <t>Post Tax PGM ($)</t>
  </si>
  <si>
    <t>3-yr post tax NPV</t>
  </si>
  <si>
    <t>Y (Incr. doses)</t>
  </si>
  <si>
    <t>3-yr pre-tax Incr. Rev.</t>
  </si>
  <si>
    <t>HCC Online Radio</t>
  </si>
  <si>
    <t>Given a set of X and Y values, a power function (i.e., a smooth continuous curve) is fit for each pair of values</t>
  </si>
  <si>
    <t>Power Curve</t>
  </si>
  <si>
    <t>Revenue</t>
  </si>
  <si>
    <t>Audio</t>
  </si>
  <si>
    <t>ESTimated ROI</t>
  </si>
  <si>
    <t>2023 Spend</t>
  </si>
  <si>
    <t>Using the current 2023 spend as a guide, with a average of the the 2019 10:1 audio from g9 adol and the ~3 ROI from spotify for g9 adol 2021</t>
  </si>
  <si>
    <t>2022Tax-rate</t>
  </si>
  <si>
    <t>2022 Pre-tax PGM/Rx</t>
  </si>
  <si>
    <t>2022 Pre-tax PGM/NPV</t>
  </si>
  <si>
    <t>PRV GARDASIL Doses in 2022</t>
  </si>
  <si>
    <t>2023 Projection</t>
  </si>
  <si>
    <t>2022 (estimated) Pre-tax Pgm/Rx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</si>
</sst>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_);_(&quot;$&quot;* \(#,##0\);_(&quot;$&quot;* &quot;-&quot;??_);_(@_)"/>
    <numFmt numFmtId="166" formatCode="_(* #,##0_);_(* \(#,##0\);_(* &quot;-&quot;??_);_(@_)"/>
    <numFmt numFmtId="167" formatCode="&quot;$&quot;#,##0.00"/>
    <numFmt numFmtId="168" formatCode="0.0\ \t\o\ \1"/>
    <numFmt numFmtId="169" formatCode="0.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0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9" fontId="1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</cellStyleXfs>
  <cellXfs count="137">
    <xf numFmtId="0" fontId="0" fillId="0" borderId="0" xfId="0"/>
    <xf numFmtId="0" fontId="7" fillId="7" borderId="2" xfId="0" applyFont="1" applyFill="1" applyBorder="1"/>
    <xf numFmtId="0" fontId="8" fillId="0" borderId="0" xfId="0" applyFont="1"/>
    <xf numFmtId="0" fontId="7" fillId="7" borderId="3" xfId="0" applyFont="1" applyFill="1" applyBorder="1"/>
    <xf numFmtId="0" fontId="8" fillId="8" borderId="4" xfId="0" applyFont="1" applyFill="1" applyBorder="1"/>
    <xf numFmtId="0" fontId="7" fillId="7" borderId="4" xfId="0" applyFont="1" applyFill="1" applyBorder="1"/>
    <xf numFmtId="0" fontId="8" fillId="8" borderId="5" xfId="0" applyFont="1" applyFill="1" applyBorder="1"/>
    <xf numFmtId="0" fontId="8" fillId="8" borderId="6" xfId="0" applyFont="1" applyFill="1" applyBorder="1" applyAlignment="1">
      <alignment horizontal="left"/>
    </xf>
    <xf numFmtId="0" fontId="8" fillId="8" borderId="7" xfId="0" applyFont="1" applyFill="1" applyBorder="1" applyAlignment="1">
      <alignment horizontal="left"/>
    </xf>
    <xf numFmtId="0" fontId="8" fillId="8" borderId="8" xfId="0" applyFont="1" applyFill="1" applyBorder="1" applyAlignment="1">
      <alignment horizontal="left"/>
    </xf>
    <xf numFmtId="0" fontId="7" fillId="7" borderId="9" xfId="0" applyFont="1" applyFill="1" applyBorder="1"/>
    <xf numFmtId="0" fontId="8" fillId="8" borderId="2" xfId="0" applyFont="1" applyFill="1" applyBorder="1"/>
    <xf numFmtId="0" fontId="8" fillId="8" borderId="10" xfId="0" applyFont="1" applyFill="1" applyBorder="1"/>
    <xf numFmtId="0" fontId="7" fillId="7" borderId="11" xfId="0" applyFont="1" applyFill="1" applyBorder="1"/>
    <xf numFmtId="9" fontId="8" fillId="0" borderId="0" xfId="0" applyNumberFormat="1" applyFont="1"/>
    <xf numFmtId="0" fontId="7" fillId="7" borderId="1" xfId="0" applyFont="1" applyFill="1" applyBorder="1" applyAlignment="1">
      <alignment horizontal="center" vertical="center" wrapText="1"/>
    </xf>
    <xf numFmtId="0" fontId="7" fillId="7" borderId="20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7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165" fontId="8" fillId="8" borderId="24" xfId="2" applyNumberFormat="1" applyFont="1" applyFill="1" applyBorder="1"/>
    <xf numFmtId="165" fontId="9" fillId="9" borderId="25" xfId="2" applyNumberFormat="1" applyFont="1" applyFill="1" applyBorder="1"/>
    <xf numFmtId="3" fontId="9" fillId="9" borderId="26" xfId="0" applyNumberFormat="1" applyFont="1" applyFill="1" applyBorder="1"/>
    <xf numFmtId="3" fontId="8" fillId="8" borderId="24" xfId="0" applyNumberFormat="1" applyFont="1" applyFill="1" applyBorder="1"/>
    <xf numFmtId="0" fontId="7" fillId="7" borderId="4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8" fillId="8" borderId="24" xfId="0" applyFont="1" applyFill="1" applyBorder="1"/>
    <xf numFmtId="166" fontId="8" fillId="8" borderId="28" xfId="1" applyNumberFormat="1" applyFont="1" applyFill="1" applyBorder="1"/>
    <xf numFmtId="166" fontId="8" fillId="10" borderId="24" xfId="0" applyNumberFormat="1" applyFont="1" applyFill="1" applyBorder="1" applyAlignment="1">
      <alignment horizontal="center" vertical="center" wrapText="1"/>
    </xf>
    <xf numFmtId="165" fontId="8" fillId="10" borderId="24" xfId="2" applyNumberFormat="1" applyFont="1" applyFill="1" applyBorder="1" applyAlignment="1">
      <alignment horizontal="center" vertical="center" wrapText="1"/>
    </xf>
    <xf numFmtId="0" fontId="8" fillId="10" borderId="24" xfId="0" applyFont="1" applyFill="1" applyBorder="1" applyAlignment="1">
      <alignment horizontal="center" vertical="center" wrapText="1"/>
    </xf>
    <xf numFmtId="0" fontId="8" fillId="10" borderId="24" xfId="0" applyNumberFormat="1" applyFont="1" applyFill="1" applyBorder="1" applyAlignment="1">
      <alignment horizontal="center" vertical="center" wrapText="1"/>
    </xf>
    <xf numFmtId="166" fontId="8" fillId="10" borderId="28" xfId="0" applyNumberFormat="1" applyFont="1" applyFill="1" applyBorder="1" applyAlignment="1">
      <alignment horizontal="center" vertical="center" wrapText="1"/>
    </xf>
    <xf numFmtId="164" fontId="8" fillId="8" borderId="24" xfId="2" applyNumberFormat="1" applyFont="1" applyFill="1" applyBorder="1"/>
    <xf numFmtId="164" fontId="8" fillId="8" borderId="24" xfId="0" applyNumberFormat="1" applyFont="1" applyFill="1" applyBorder="1"/>
    <xf numFmtId="0" fontId="8" fillId="10" borderId="28" xfId="0" applyFont="1" applyFill="1" applyBorder="1"/>
    <xf numFmtId="3" fontId="8" fillId="0" borderId="1" xfId="0" applyNumberFormat="1" applyFont="1" applyBorder="1"/>
    <xf numFmtId="164" fontId="8" fillId="0" borderId="1" xfId="0" applyNumberFormat="1" applyFont="1" applyBorder="1"/>
    <xf numFmtId="5" fontId="8" fillId="0" borderId="0" xfId="0" applyNumberFormat="1" applyFont="1"/>
    <xf numFmtId="0" fontId="8" fillId="0" borderId="0" xfId="0" applyNumberFormat="1" applyFont="1"/>
    <xf numFmtId="0" fontId="8" fillId="0" borderId="0" xfId="0" applyFont="1" applyAlignment="1">
      <alignment horizontal="center"/>
    </xf>
    <xf numFmtId="5" fontId="8" fillId="0" borderId="0" xfId="0" applyNumberFormat="1" applyFont="1" applyAlignment="1">
      <alignment horizontal="center"/>
    </xf>
    <xf numFmtId="0" fontId="15" fillId="0" borderId="0" xfId="0" applyFont="1"/>
    <xf numFmtId="0" fontId="16" fillId="2" borderId="0" xfId="4" applyFont="1"/>
    <xf numFmtId="0" fontId="17" fillId="6" borderId="1" xfId="0" applyFont="1" applyFill="1" applyBorder="1" applyAlignment="1">
      <alignment wrapText="1"/>
    </xf>
    <xf numFmtId="0" fontId="15" fillId="0" borderId="0" xfId="0" applyFont="1" applyFill="1"/>
    <xf numFmtId="5" fontId="16" fillId="2" borderId="0" xfId="4" applyNumberFormat="1" applyFont="1"/>
    <xf numFmtId="165" fontId="18" fillId="5" borderId="1" xfId="0" applyNumberFormat="1" applyFont="1" applyFill="1" applyBorder="1" applyAlignment="1">
      <alignment horizontal="center" vertical="center"/>
    </xf>
    <xf numFmtId="166" fontId="18" fillId="5" borderId="1" xfId="0" applyNumberFormat="1" applyFont="1" applyFill="1" applyBorder="1" applyAlignment="1">
      <alignment horizontal="center" vertical="center"/>
    </xf>
    <xf numFmtId="10" fontId="13" fillId="5" borderId="1" xfId="3" applyNumberFormat="1" applyFont="1" applyFill="1" applyBorder="1" applyAlignment="1">
      <alignment horizontal="center" vertical="center"/>
    </xf>
    <xf numFmtId="44" fontId="13" fillId="5" borderId="1" xfId="2" applyFont="1" applyFill="1" applyBorder="1" applyAlignment="1">
      <alignment horizontal="center" vertical="center"/>
    </xf>
    <xf numFmtId="9" fontId="18" fillId="5" borderId="1" xfId="0" applyNumberFormat="1" applyFont="1" applyFill="1" applyBorder="1" applyAlignment="1">
      <alignment horizontal="center" vertical="center"/>
    </xf>
    <xf numFmtId="166" fontId="18" fillId="5" borderId="1" xfId="1" applyNumberFormat="1" applyFont="1" applyFill="1" applyBorder="1" applyAlignment="1">
      <alignment horizontal="center" vertical="center"/>
    </xf>
    <xf numFmtId="0" fontId="16" fillId="0" borderId="0" xfId="4" applyFont="1" applyFill="1"/>
    <xf numFmtId="5" fontId="16" fillId="0" borderId="0" xfId="4" applyNumberFormat="1" applyFont="1" applyFill="1"/>
    <xf numFmtId="0" fontId="19" fillId="0" borderId="0" xfId="0" applyFont="1" applyFill="1"/>
    <xf numFmtId="0" fontId="15" fillId="5" borderId="1" xfId="0" applyFont="1" applyFill="1" applyBorder="1" applyAlignment="1">
      <alignment horizontal="center" vertical="center" wrapText="1"/>
    </xf>
    <xf numFmtId="0" fontId="13" fillId="11" borderId="0" xfId="0" applyFont="1" applyFill="1" applyAlignment="1">
      <alignment horizontal="center"/>
    </xf>
    <xf numFmtId="0" fontId="14" fillId="12" borderId="0" xfId="0" applyFont="1" applyFill="1" applyAlignment="1">
      <alignment horizontal="center"/>
    </xf>
    <xf numFmtId="164" fontId="4" fillId="10" borderId="0" xfId="0" applyNumberFormat="1" applyFont="1" applyFill="1" applyAlignment="1">
      <alignment horizontal="center"/>
    </xf>
    <xf numFmtId="168" fontId="4" fillId="10" borderId="0" xfId="0" applyNumberFormat="1" applyFont="1" applyFill="1" applyAlignment="1">
      <alignment horizontal="center"/>
    </xf>
    <xf numFmtId="3" fontId="13" fillId="10" borderId="0" xfId="0" applyNumberFormat="1" applyFont="1" applyFill="1" applyAlignment="1">
      <alignment horizontal="center"/>
    </xf>
    <xf numFmtId="0" fontId="13" fillId="10" borderId="7" xfId="0" applyFont="1" applyFill="1" applyBorder="1" applyAlignment="1">
      <alignment horizontal="center"/>
    </xf>
    <xf numFmtId="3" fontId="13" fillId="10" borderId="7" xfId="0" applyNumberFormat="1" applyFont="1" applyFill="1" applyBorder="1" applyAlignment="1">
      <alignment horizontal="center"/>
    </xf>
    <xf numFmtId="164" fontId="13" fillId="10" borderId="7" xfId="0" applyNumberFormat="1" applyFont="1" applyFill="1" applyBorder="1" applyAlignment="1">
      <alignment horizontal="center"/>
    </xf>
    <xf numFmtId="167" fontId="13" fillId="10" borderId="7" xfId="0" applyNumberFormat="1" applyFont="1" applyFill="1" applyBorder="1" applyAlignment="1">
      <alignment horizontal="center"/>
    </xf>
    <xf numFmtId="0" fontId="4" fillId="10" borderId="8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44" fontId="1" fillId="5" borderId="1" xfId="2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/>
    </xf>
    <xf numFmtId="164" fontId="8" fillId="13" borderId="1" xfId="0" applyNumberFormat="1" applyFont="1" applyFill="1" applyBorder="1"/>
    <xf numFmtId="3" fontId="8" fillId="13" borderId="1" xfId="0" applyNumberFormat="1" applyFont="1" applyFill="1" applyBorder="1"/>
    <xf numFmtId="5" fontId="8" fillId="13" borderId="0" xfId="0" applyNumberFormat="1" applyFont="1" applyFill="1"/>
    <xf numFmtId="0" fontId="8" fillId="13" borderId="0" xfId="0" applyNumberFormat="1" applyFont="1" applyFill="1"/>
    <xf numFmtId="164" fontId="20" fillId="13" borderId="1" xfId="0" applyNumberFormat="1" applyFont="1" applyFill="1" applyBorder="1"/>
    <xf numFmtId="3" fontId="20" fillId="13" borderId="1" xfId="0" applyNumberFormat="1" applyFont="1" applyFill="1" applyBorder="1"/>
    <xf numFmtId="5" fontId="20" fillId="13" borderId="0" xfId="0" applyNumberFormat="1" applyFont="1" applyFill="1"/>
    <xf numFmtId="0" fontId="20" fillId="13" borderId="0" xfId="0" applyNumberFormat="1" applyFont="1" applyFill="1"/>
    <xf numFmtId="0" fontId="12" fillId="0" borderId="0" xfId="0" applyFont="1" applyFill="1" applyBorder="1" applyAlignment="1">
      <alignment horizontal="left"/>
    </xf>
    <xf numFmtId="9" fontId="16" fillId="2" borderId="0" xfId="3" applyFont="1" applyFill="1"/>
    <xf numFmtId="0" fontId="7" fillId="7" borderId="23" xfId="0" applyFont="1" applyFill="1" applyBorder="1"/>
    <xf numFmtId="0" fontId="7" fillId="7" borderId="24" xfId="0" applyFont="1" applyFill="1" applyBorder="1"/>
    <xf numFmtId="0" fontId="8" fillId="8" borderId="28" xfId="0" applyFont="1" applyFill="1" applyBorder="1"/>
    <xf numFmtId="0" fontId="7" fillId="7" borderId="4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9" fontId="8" fillId="0" borderId="0" xfId="0" applyNumberFormat="1" applyFont="1" applyAlignment="1">
      <alignment horizontal="center"/>
    </xf>
    <xf numFmtId="164" fontId="8" fillId="8" borderId="24" xfId="0" applyNumberFormat="1" applyFont="1" applyFill="1" applyBorder="1" applyAlignment="1">
      <alignment horizontal="center" vertical="center" wrapText="1"/>
    </xf>
    <xf numFmtId="164" fontId="9" fillId="9" borderId="24" xfId="0" applyNumberFormat="1" applyFont="1" applyFill="1" applyBorder="1" applyAlignment="1">
      <alignment horizontal="center"/>
    </xf>
    <xf numFmtId="3" fontId="8" fillId="14" borderId="1" xfId="0" applyNumberFormat="1" applyFont="1" applyFill="1" applyBorder="1" applyAlignment="1">
      <alignment horizontal="center"/>
    </xf>
    <xf numFmtId="3" fontId="9" fillId="14" borderId="24" xfId="0" applyNumberFormat="1" applyFont="1" applyFill="1" applyBorder="1" applyAlignment="1">
      <alignment horizontal="center"/>
    </xf>
    <xf numFmtId="164" fontId="8" fillId="8" borderId="24" xfId="0" applyNumberFormat="1" applyFont="1" applyFill="1" applyBorder="1" applyAlignment="1">
      <alignment horizontal="center"/>
    </xf>
    <xf numFmtId="3" fontId="8" fillId="14" borderId="28" xfId="0" applyNumberFormat="1" applyFont="1" applyFill="1" applyBorder="1" applyAlignment="1">
      <alignment horizontal="center"/>
    </xf>
    <xf numFmtId="2" fontId="8" fillId="8" borderId="1" xfId="0" applyNumberFormat="1" applyFont="1" applyFill="1" applyBorder="1" applyAlignment="1">
      <alignment horizontal="center"/>
    </xf>
    <xf numFmtId="5" fontId="8" fillId="8" borderId="1" xfId="2" applyNumberFormat="1" applyFont="1" applyFill="1" applyBorder="1" applyAlignment="1">
      <alignment horizontal="center" vertical="center"/>
    </xf>
    <xf numFmtId="3" fontId="8" fillId="8" borderId="1" xfId="0" applyNumberFormat="1" applyFont="1" applyFill="1" applyBorder="1" applyAlignment="1">
      <alignment horizontal="center" vertical="center"/>
    </xf>
    <xf numFmtId="169" fontId="8" fillId="8" borderId="1" xfId="0" applyNumberFormat="1" applyFont="1" applyFill="1" applyBorder="1" applyAlignment="1">
      <alignment horizontal="center" vertical="center"/>
    </xf>
    <xf numFmtId="9" fontId="8" fillId="8" borderId="1" xfId="0" applyNumberFormat="1" applyFont="1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5" fontId="8" fillId="9" borderId="1" xfId="2" applyNumberFormat="1" applyFont="1" applyFill="1" applyBorder="1" applyAlignment="1">
      <alignment horizontal="center"/>
    </xf>
    <xf numFmtId="0" fontId="22" fillId="0" borderId="39" xfId="0" applyFont="1" applyBorder="1"/>
    <xf numFmtId="0" fontId="23" fillId="0" borderId="38" xfId="0" applyFont="1" applyBorder="1" applyAlignment="1">
      <alignment horizontal="center" vertical="center"/>
    </xf>
    <xf numFmtId="6" fontId="24" fillId="0" borderId="41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3" fontId="24" fillId="0" borderId="41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vertical="center"/>
    </xf>
    <xf numFmtId="6" fontId="24" fillId="0" borderId="41" xfId="0" applyNumberFormat="1" applyFont="1" applyBorder="1" applyAlignment="1">
      <alignment vertical="center"/>
    </xf>
    <xf numFmtId="167" fontId="0" fillId="0" borderId="0" xfId="0" applyNumberFormat="1"/>
    <xf numFmtId="3" fontId="0" fillId="0" borderId="1" xfId="0" applyNumberFormat="1" applyBorder="1"/>
    <xf numFmtId="0" fontId="14" fillId="3" borderId="0" xfId="5" applyFont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5" fillId="4" borderId="1" xfId="0" applyFont="1" applyFill="1" applyBorder="1" applyAlignment="1">
      <alignment horizontal="center" wrapText="1"/>
    </xf>
    <xf numFmtId="0" fontId="7" fillId="7" borderId="4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31" xfId="0" applyFont="1" applyBorder="1" applyAlignment="1">
      <alignment horizontal="left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7" fillId="7" borderId="27" xfId="0" applyFont="1" applyFill="1" applyBorder="1" applyAlignment="1">
      <alignment horizontal="center" vertical="center" wrapText="1"/>
    </xf>
    <xf numFmtId="0" fontId="7" fillId="7" borderId="29" xfId="0" applyFont="1" applyFill="1" applyBorder="1" applyAlignment="1">
      <alignment horizontal="center" vertical="center" wrapText="1"/>
    </xf>
    <xf numFmtId="0" fontId="8" fillId="7" borderId="36" xfId="0" applyFont="1" applyFill="1" applyBorder="1" applyAlignment="1">
      <alignment horizontal="center"/>
    </xf>
    <xf numFmtId="0" fontId="8" fillId="7" borderId="37" xfId="0" applyFont="1" applyFill="1" applyBorder="1" applyAlignment="1">
      <alignment horizontal="center"/>
    </xf>
    <xf numFmtId="0" fontId="8" fillId="7" borderId="38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 vertical="center" wrapText="1"/>
    </xf>
    <xf numFmtId="0" fontId="7" fillId="7" borderId="19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8" fillId="7" borderId="12" xfId="0" applyFont="1" applyFill="1" applyBorder="1" applyAlignment="1">
      <alignment horizontal="center" wrapText="1"/>
    </xf>
    <xf numFmtId="0" fontId="8" fillId="7" borderId="13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16" xfId="0" applyFont="1" applyFill="1" applyBorder="1" applyAlignment="1">
      <alignment horizontal="center" vertical="center" wrapText="1"/>
    </xf>
    <xf numFmtId="0" fontId="7" fillId="7" borderId="17" xfId="0" applyFont="1" applyFill="1" applyBorder="1" applyAlignment="1">
      <alignment horizontal="center" vertical="center" wrapText="1"/>
    </xf>
    <xf numFmtId="0" fontId="7" fillId="7" borderId="18" xfId="0" applyFont="1" applyFill="1" applyBorder="1" applyAlignment="1">
      <alignment horizontal="center" vertical="center" wrapText="1"/>
    </xf>
    <xf numFmtId="0" fontId="8" fillId="0" borderId="32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</cellXfs>
  <cellStyles count="18">
    <cellStyle name="60% - Accent1" xfId="4" builtinId="32"/>
    <cellStyle name="60% - Accent4" xfId="5" builtinId="44"/>
    <cellStyle name="Comma" xfId="1" builtinId="3"/>
    <cellStyle name="Comma 2" xfId="6" xr:uid="{00000000-0005-0000-0000-000003000000}"/>
    <cellStyle name="Comma 2 2" xfId="7" xr:uid="{00000000-0005-0000-0000-000004000000}"/>
    <cellStyle name="Comma 2 3" xfId="8" xr:uid="{00000000-0005-0000-0000-000005000000}"/>
    <cellStyle name="Comma 3" xfId="14" xr:uid="{00000000-0005-0000-0000-000006000000}"/>
    <cellStyle name="Currency" xfId="2" builtinId="4"/>
    <cellStyle name="Currency 2" xfId="9" xr:uid="{00000000-0005-0000-0000-000008000000}"/>
    <cellStyle name="Normal" xfId="0" builtinId="0"/>
    <cellStyle name="Normal 2" xfId="10" xr:uid="{00000000-0005-0000-0000-00000A000000}"/>
    <cellStyle name="Normal 2 2" xfId="11" xr:uid="{00000000-0005-0000-0000-00000B000000}"/>
    <cellStyle name="Normal 2 2 2" xfId="15" xr:uid="{00000000-0005-0000-0000-00000C000000}"/>
    <cellStyle name="Normal 2 3" xfId="12" xr:uid="{00000000-0005-0000-0000-00000D000000}"/>
    <cellStyle name="Normal 3" xfId="16" xr:uid="{00000000-0005-0000-0000-00000E000000}"/>
    <cellStyle name="Normal 4" xfId="17" xr:uid="{00000000-0005-0000-0000-00000F000000}"/>
    <cellStyle name="Percent" xfId="3" builtinId="5"/>
    <cellStyle name="Percent 2" xfId="13" xr:uid="{00000000-0005-0000-0000-00001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'Radio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'Radio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75000</c:v>
                </c:pt>
                <c:pt idx="2">
                  <c:v>150000</c:v>
                </c:pt>
                <c:pt idx="3">
                  <c:v>225000</c:v>
                </c:pt>
                <c:pt idx="4">
                  <c:v>300000</c:v>
                </c:pt>
                <c:pt idx="5">
                  <c:v>375000</c:v>
                </c:pt>
                <c:pt idx="6">
                  <c:v>450000</c:v>
                </c:pt>
                <c:pt idx="7">
                  <c:v>525000</c:v>
                </c:pt>
                <c:pt idx="8">
                  <c:v>600000</c:v>
                </c:pt>
                <c:pt idx="9">
                  <c:v>675000</c:v>
                </c:pt>
                <c:pt idx="10">
                  <c:v>750000</c:v>
                </c:pt>
                <c:pt idx="11">
                  <c:v>825000</c:v>
                </c:pt>
                <c:pt idx="12">
                  <c:v>900000</c:v>
                </c:pt>
                <c:pt idx="13">
                  <c:v>975000</c:v>
                </c:pt>
                <c:pt idx="14">
                  <c:v>1050000</c:v>
                </c:pt>
                <c:pt idx="15">
                  <c:v>1125000</c:v>
                </c:pt>
                <c:pt idx="16">
                  <c:v>1200000</c:v>
                </c:pt>
                <c:pt idx="17">
                  <c:v>1275000</c:v>
                </c:pt>
                <c:pt idx="18">
                  <c:v>1350000</c:v>
                </c:pt>
                <c:pt idx="19">
                  <c:v>1425000</c:v>
                </c:pt>
                <c:pt idx="20">
                  <c:v>1500000</c:v>
                </c:pt>
              </c:numCache>
            </c:numRef>
          </c:xVal>
          <c:yVal>
            <c:numRef>
              <c:f>'Radio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9735.1101540205382</c:v>
                </c:pt>
                <c:pt idx="2">
                  <c:v>12845.554860475628</c:v>
                </c:pt>
                <c:pt idx="3">
                  <c:v>15107.387604095247</c:v>
                </c:pt>
                <c:pt idx="4">
                  <c:v>16949.811256664794</c:v>
                </c:pt>
                <c:pt idx="5">
                  <c:v>18532.280788534139</c:v>
                </c:pt>
                <c:pt idx="6">
                  <c:v>19934.317454716042</c:v>
                </c:pt>
                <c:pt idx="7">
                  <c:v>21202.158947488875</c:v>
                </c:pt>
                <c:pt idx="8">
                  <c:v>22365.410039276649</c:v>
                </c:pt>
                <c:pt idx="9">
                  <c:v>23444.33258683898</c:v>
                </c:pt>
                <c:pt idx="10">
                  <c:v>24453.49110513533</c:v>
                </c:pt>
                <c:pt idx="11">
                  <c:v>25403.756661206095</c:v>
                </c:pt>
                <c:pt idx="12">
                  <c:v>26303.489577356002</c:v>
                </c:pt>
                <c:pt idx="13">
                  <c:v>27159.277399088922</c:v>
                </c:pt>
                <c:pt idx="14">
                  <c:v>27976.416456675874</c:v>
                </c:pt>
                <c:pt idx="15">
                  <c:v>28759.237916243361</c:v>
                </c:pt>
                <c:pt idx="16">
                  <c:v>29511.335474505049</c:v>
                </c:pt>
                <c:pt idx="17">
                  <c:v>30235.728609202786</c:v>
                </c:pt>
                <c:pt idx="18">
                  <c:v>30934.982311124786</c:v>
                </c:pt>
                <c:pt idx="19">
                  <c:v>31611.296651583496</c:v>
                </c:pt>
                <c:pt idx="20">
                  <c:v>32266.574959240672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38-40E8-962D-BBA78DDA1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Response Curve: HCC Online</a:t>
            </a:r>
          </a:p>
        </c:rich>
      </c:tx>
      <c:layout>
        <c:manualLayout>
          <c:xMode val="edge"/>
          <c:yMode val="edge"/>
          <c:x val="0.3113975099703446"/>
          <c:y val="4.067796610169491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461324575189843"/>
          <c:y val="0.15277917287366105"/>
          <c:w val="0.69167370145026763"/>
          <c:h val="0.64334482514010072"/>
        </c:manualLayout>
      </c:layout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'Radio - Scurve'!$B$12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'Radio - Scurve'!$C$12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B-4C66-9F15-429BE4771ACB}"/>
            </c:ext>
          </c:extLst>
        </c:ser>
        <c:ser>
          <c:idx val="1"/>
          <c:order val="1"/>
          <c:tx>
            <c:strRef>
              <c:f>'Radio - Scurve'!$D$3</c:f>
              <c:strCache>
                <c:ptCount val="1"/>
                <c:pt idx="0">
                  <c:v>Incr. Rx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'Radio - Scurve'!$A$22:$A$52</c:f>
              <c:numCache>
                <c:formatCode>"$"#,##0</c:formatCode>
                <c:ptCount val="31"/>
                <c:pt idx="0">
                  <c:v>0</c:v>
                </c:pt>
                <c:pt idx="1">
                  <c:v>75000</c:v>
                </c:pt>
                <c:pt idx="2">
                  <c:v>150000</c:v>
                </c:pt>
                <c:pt idx="3">
                  <c:v>225000</c:v>
                </c:pt>
                <c:pt idx="4">
                  <c:v>300000</c:v>
                </c:pt>
                <c:pt idx="5">
                  <c:v>375000</c:v>
                </c:pt>
                <c:pt idx="6">
                  <c:v>450000</c:v>
                </c:pt>
                <c:pt idx="7">
                  <c:v>525000</c:v>
                </c:pt>
                <c:pt idx="8">
                  <c:v>600000</c:v>
                </c:pt>
                <c:pt idx="9">
                  <c:v>675000</c:v>
                </c:pt>
                <c:pt idx="10">
                  <c:v>750000</c:v>
                </c:pt>
                <c:pt idx="11">
                  <c:v>825000</c:v>
                </c:pt>
                <c:pt idx="12">
                  <c:v>900000</c:v>
                </c:pt>
                <c:pt idx="13">
                  <c:v>975000</c:v>
                </c:pt>
                <c:pt idx="14">
                  <c:v>1050000</c:v>
                </c:pt>
                <c:pt idx="15">
                  <c:v>1125000</c:v>
                </c:pt>
                <c:pt idx="16">
                  <c:v>1200000</c:v>
                </c:pt>
                <c:pt idx="17">
                  <c:v>1275000</c:v>
                </c:pt>
                <c:pt idx="18">
                  <c:v>1350000</c:v>
                </c:pt>
                <c:pt idx="19">
                  <c:v>1425000</c:v>
                </c:pt>
                <c:pt idx="20">
                  <c:v>1500000</c:v>
                </c:pt>
                <c:pt idx="21">
                  <c:v>1575000</c:v>
                </c:pt>
                <c:pt idx="22">
                  <c:v>1650000</c:v>
                </c:pt>
                <c:pt idx="23">
                  <c:v>1725000</c:v>
                </c:pt>
                <c:pt idx="24">
                  <c:v>1800000</c:v>
                </c:pt>
                <c:pt idx="25">
                  <c:v>1875000</c:v>
                </c:pt>
                <c:pt idx="26">
                  <c:v>1950000</c:v>
                </c:pt>
                <c:pt idx="27">
                  <c:v>2025000</c:v>
                </c:pt>
                <c:pt idx="28">
                  <c:v>2100000</c:v>
                </c:pt>
                <c:pt idx="29">
                  <c:v>2175000</c:v>
                </c:pt>
                <c:pt idx="30">
                  <c:v>2250000</c:v>
                </c:pt>
              </c:numCache>
            </c:numRef>
          </c:xVal>
          <c:yVal>
            <c:numRef>
              <c:f>'Radio - Scurve'!$B$22:$B$52</c:f>
              <c:numCache>
                <c:formatCode>#,##0</c:formatCode>
                <c:ptCount val="31"/>
                <c:pt idx="0">
                  <c:v>0</c:v>
                </c:pt>
                <c:pt idx="1">
                  <c:v>2900.416366899386</c:v>
                </c:pt>
                <c:pt idx="2">
                  <c:v>5644.2220328785479</c:v>
                </c:pt>
                <c:pt idx="3">
                  <c:v>8239.7003938732669</c:v>
                </c:pt>
                <c:pt idx="4">
                  <c:v>10694.715128227137</c:v>
                </c:pt>
                <c:pt idx="5">
                  <c:v>13016.729490369558</c:v>
                </c:pt>
                <c:pt idx="6">
                  <c:v>15212.824934370816</c:v>
                </c:pt>
                <c:pt idx="7">
                  <c:v>17289.71906504035</c:v>
                </c:pt>
                <c:pt idx="8">
                  <c:v>19253.782918122597</c:v>
                </c:pt>
                <c:pt idx="9">
                  <c:v>21111.057574492879</c:v>
                </c:pt>
                <c:pt idx="10">
                  <c:v>22867.270116120577</c:v>
                </c:pt>
                <c:pt idx="11">
                  <c:v>24527.848933938891</c:v>
                </c:pt>
                <c:pt idx="12">
                  <c:v>26097.938399801962</c:v>
                </c:pt>
                <c:pt idx="13">
                  <c:v>27582.412916363217</c:v>
                </c:pt>
                <c:pt idx="14">
                  <c:v>28985.89036004059</c:v>
                </c:pt>
                <c:pt idx="15">
                  <c:v>30312.74493332766</c:v>
                </c:pt>
                <c:pt idx="16">
                  <c:v>31567.119443522766</c:v>
                </c:pt>
                <c:pt idx="17">
                  <c:v>32752.937025572173</c:v>
                </c:pt>
                <c:pt idx="18">
                  <c:v>33873.912327170372</c:v>
                </c:pt>
                <c:pt idx="19">
                  <c:v>34933.562174494378</c:v>
                </c:pt>
                <c:pt idx="20">
                  <c:v>35935.21573710721</c:v>
                </c:pt>
                <c:pt idx="21">
                  <c:v>36882.024210589938</c:v>
                </c:pt>
                <c:pt idx="22">
                  <c:v>37776.970035319217</c:v>
                </c:pt>
                <c:pt idx="23">
                  <c:v>38622.875669664703</c:v>
                </c:pt>
                <c:pt idx="24">
                  <c:v>39422.411935631186</c:v>
                </c:pt>
                <c:pt idx="25">
                  <c:v>40178.105954617262</c:v>
                </c:pt>
                <c:pt idx="26">
                  <c:v>40892.348690632731</c:v>
                </c:pt>
                <c:pt idx="27">
                  <c:v>41567.402117878199</c:v>
                </c:pt>
                <c:pt idx="28">
                  <c:v>42205.406029174104</c:v>
                </c:pt>
                <c:pt idx="29">
                  <c:v>42808.384501248598</c:v>
                </c:pt>
                <c:pt idx="30">
                  <c:v>43378.252032381482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5B-4C66-9F15-429BE477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304128"/>
        <c:axId val="394310784"/>
      </c:scatterChart>
      <c:valAx>
        <c:axId val="394304128"/>
        <c:scaling>
          <c:orientation val="minMax"/>
        </c:scaling>
        <c:delete val="0"/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Promotion Spend ($ MM)</a:t>
                </a:r>
              </a:p>
            </c:rich>
          </c:tx>
          <c:layout>
            <c:manualLayout>
              <c:xMode val="edge"/>
              <c:yMode val="edge"/>
              <c:x val="0.38385556065604381"/>
              <c:y val="0.9191853585869334"/>
            </c:manualLayout>
          </c:layout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94310784"/>
        <c:crosses val="autoZero"/>
        <c:crossBetween val="midCat"/>
        <c:dispUnits>
          <c:builtInUnit val="millions"/>
        </c:dispUnits>
      </c:valAx>
      <c:valAx>
        <c:axId val="3943107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Incremental Rx</a:t>
                </a:r>
              </a:p>
            </c:rich>
          </c:tx>
          <c:layout>
            <c:manualLayout>
              <c:xMode val="edge"/>
              <c:yMode val="edge"/>
              <c:x val="2.3445648839349627E-2"/>
              <c:y val="0.30594670581431554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394304128"/>
        <c:crosses val="autoZero"/>
        <c:crossBetween val="midCat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100" b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502919</xdr:colOff>
      <xdr:row>20</xdr:row>
      <xdr:rowOff>56068</xdr:rowOff>
    </xdr:from>
    <xdr:to>
      <xdr:col>9</xdr:col>
      <xdr:colOff>95193</xdr:colOff>
      <xdr:row>36</xdr:row>
      <xdr:rowOff>86776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BF40FB-97B9-4FDA-9D73-725EFC4D06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18</xdr:row>
      <xdr:rowOff>161926</xdr:rowOff>
    </xdr:from>
    <xdr:to>
      <xdr:col>9</xdr:col>
      <xdr:colOff>746761</xdr:colOff>
      <xdr:row>40</xdr:row>
      <xdr:rowOff>123826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"/>
  <sheetViews>
    <sheetView showGridLines="0" tabSelected="1" workbookViewId="0">
      <selection activeCell="B6" sqref="B6"/>
    </sheetView>
  </sheetViews>
  <sheetFormatPr defaultColWidth="11.85546875" defaultRowHeight="15" x14ac:dyDescent="0.25"/>
  <cols>
    <col min="1" max="1" width="14.85546875" customWidth="1"/>
    <col min="2" max="2" width="27.85546875" bestFit="1" customWidth="1"/>
    <col min="3" max="3" width="16.140625" customWidth="1"/>
    <col min="5" max="5" width="28.7109375" bestFit="1" customWidth="1"/>
    <col min="6" max="6" width="25.140625" customWidth="1"/>
    <col min="7" max="7" width="19.28515625" customWidth="1"/>
    <col min="8" max="8" width="114.140625" bestFit="1" customWidth="1"/>
  </cols>
  <sheetData>
    <row r="1" spans="1:8" ht="27.75" customHeight="1" x14ac:dyDescent="0.25"/>
    <row r="2" spans="1:8" x14ac:dyDescent="0.25">
      <c r="A2" s="80"/>
    </row>
    <row r="3" spans="1:8" ht="16.5" x14ac:dyDescent="0.3">
      <c r="A3" s="57" t="s">
        <v>0</v>
      </c>
      <c r="B3" s="57" t="s">
        <v>53</v>
      </c>
      <c r="C3" s="57" t="s">
        <v>54</v>
      </c>
      <c r="D3" s="57" t="s">
        <v>55</v>
      </c>
      <c r="E3" s="57" t="s">
        <v>98</v>
      </c>
      <c r="F3" s="57" t="s">
        <v>61</v>
      </c>
      <c r="G3" s="57" t="s">
        <v>60</v>
      </c>
      <c r="H3" s="58" t="s">
        <v>52</v>
      </c>
    </row>
    <row r="4" spans="1:8" ht="16.5" x14ac:dyDescent="0.3">
      <c r="A4" s="68" t="s">
        <v>59</v>
      </c>
      <c r="B4" s="71" t="s">
        <v>68</v>
      </c>
      <c r="C4" s="59">
        <v>923975</v>
      </c>
      <c r="D4" s="60">
        <f>C11</f>
        <v>6.5</v>
      </c>
      <c r="E4" s="59">
        <v>225.94</v>
      </c>
      <c r="F4" s="59">
        <f>C4*D4</f>
        <v>6005837.5</v>
      </c>
      <c r="G4" s="61">
        <f>F4/E4</f>
        <v>26581.559263521289</v>
      </c>
      <c r="H4" s="71" t="s">
        <v>92</v>
      </c>
    </row>
    <row r="5" spans="1:8" ht="16.5" x14ac:dyDescent="0.3">
      <c r="A5" s="62"/>
      <c r="B5" s="62"/>
      <c r="C5" s="64">
        <f>SUM(C4:C4)</f>
        <v>923975</v>
      </c>
      <c r="D5" s="65">
        <f>F5/C5</f>
        <v>6.5</v>
      </c>
      <c r="E5" s="64"/>
      <c r="F5" s="64">
        <f>SUM(F4:F4)</f>
        <v>6005837.5</v>
      </c>
      <c r="G5" s="63">
        <f>SUM(G4:G4)</f>
        <v>26581.559263521289</v>
      </c>
      <c r="H5" s="66"/>
    </row>
    <row r="8" spans="1:8" x14ac:dyDescent="0.25">
      <c r="E8" s="108"/>
    </row>
    <row r="9" spans="1:8" ht="15.75" thickBot="1" x14ac:dyDescent="0.3"/>
    <row r="10" spans="1:8" ht="15.75" thickBot="1" x14ac:dyDescent="0.3">
      <c r="A10" s="101"/>
      <c r="B10" s="102" t="s">
        <v>91</v>
      </c>
      <c r="C10" s="102" t="s">
        <v>90</v>
      </c>
      <c r="D10" s="102" t="s">
        <v>74</v>
      </c>
      <c r="E10" s="102" t="s">
        <v>87</v>
      </c>
      <c r="F10" s="102" t="s">
        <v>88</v>
      </c>
    </row>
    <row r="11" spans="1:8" ht="15.75" thickBot="1" x14ac:dyDescent="0.3">
      <c r="A11" s="106" t="s">
        <v>89</v>
      </c>
      <c r="B11" s="103">
        <v>923975</v>
      </c>
      <c r="C11" s="104">
        <v>6.5</v>
      </c>
      <c r="D11" s="105">
        <f>G5</f>
        <v>26581.559263521289</v>
      </c>
      <c r="E11" s="104">
        <v>0.4</v>
      </c>
      <c r="F11" s="107">
        <f>B11*C11</f>
        <v>6005837.5</v>
      </c>
    </row>
  </sheetData>
  <pageMargins left="0.7" right="0.7" top="0.75" bottom="0.75" header="0.3" footer="0.3"/>
  <pageSetup orientation="portrait"/>
  <headerFooter>
    <oddHeader>&amp;L&amp;"Calibri"&amp;12&amp;K8E6A00 Confidential&amp;1#_x000D_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"/>
  <sheetViews>
    <sheetView showGridLines="0" zoomScaleNormal="100" workbookViewId="0">
      <selection activeCell="F7" sqref="F7"/>
    </sheetView>
  </sheetViews>
  <sheetFormatPr defaultColWidth="9.140625" defaultRowHeight="16.5" x14ac:dyDescent="0.3"/>
  <cols>
    <col min="1" max="1" width="6" style="42" bestFit="1" customWidth="1"/>
    <col min="2" max="2" width="8" style="42" bestFit="1" customWidth="1"/>
    <col min="3" max="3" width="40.28515625" style="42" bestFit="1" customWidth="1"/>
    <col min="4" max="4" width="8" style="42" bestFit="1" customWidth="1"/>
    <col min="5" max="5" width="4.5703125" style="42" customWidth="1"/>
    <col min="6" max="6" width="18" style="42" bestFit="1" customWidth="1"/>
    <col min="7" max="7" width="3.5703125" style="42" customWidth="1"/>
    <col min="8" max="8" width="14.140625" style="42" bestFit="1" customWidth="1"/>
    <col min="9" max="9" width="12.28515625" style="42" customWidth="1"/>
    <col min="10" max="10" width="12.140625" style="42" customWidth="1"/>
    <col min="11" max="11" width="14.28515625" style="42" customWidth="1"/>
    <col min="12" max="12" width="15.140625" style="42" customWidth="1"/>
    <col min="13" max="13" width="11.7109375" style="42" customWidth="1"/>
    <col min="14" max="16384" width="9.140625" style="42"/>
  </cols>
  <sheetData>
    <row r="1" spans="1:13" x14ac:dyDescent="0.3">
      <c r="A1" s="110" t="s">
        <v>67</v>
      </c>
      <c r="B1" s="110"/>
      <c r="C1" s="110"/>
      <c r="D1" s="110"/>
      <c r="E1" s="110"/>
      <c r="F1" s="110"/>
      <c r="G1" s="110"/>
      <c r="H1" s="110"/>
      <c r="I1" s="110"/>
      <c r="J1" s="110"/>
    </row>
    <row r="3" spans="1:13" x14ac:dyDescent="0.3">
      <c r="B3" s="43" t="s">
        <v>56</v>
      </c>
      <c r="C3" s="43"/>
      <c r="D3" s="43"/>
      <c r="H3" s="111" t="s">
        <v>97</v>
      </c>
      <c r="I3" s="112"/>
      <c r="J3" s="112"/>
      <c r="K3" s="112"/>
      <c r="L3" s="112" t="s">
        <v>1</v>
      </c>
      <c r="M3" s="112"/>
    </row>
    <row r="4" spans="1:13" ht="82.5" x14ac:dyDescent="0.3">
      <c r="B4" s="43"/>
      <c r="C4" s="43" t="s">
        <v>93</v>
      </c>
      <c r="D4" s="81"/>
      <c r="F4" s="44" t="s">
        <v>96</v>
      </c>
      <c r="H4" s="56" t="s">
        <v>2</v>
      </c>
      <c r="I4" s="67" t="s">
        <v>62</v>
      </c>
      <c r="J4" s="69" t="s">
        <v>63</v>
      </c>
      <c r="K4" s="70" t="s">
        <v>64</v>
      </c>
      <c r="L4" s="69" t="s">
        <v>65</v>
      </c>
      <c r="M4" s="69" t="s">
        <v>66</v>
      </c>
    </row>
    <row r="5" spans="1:13" s="45" customFormat="1" ht="25.5" customHeight="1" x14ac:dyDescent="0.3">
      <c r="B5" s="43"/>
      <c r="C5" s="43" t="s">
        <v>94</v>
      </c>
      <c r="D5" s="46">
        <v>225.94</v>
      </c>
      <c r="F5" s="109">
        <v>4647854</v>
      </c>
      <c r="G5" s="42"/>
      <c r="H5" s="47">
        <f>Radio!C5</f>
        <v>923975</v>
      </c>
      <c r="I5" s="48">
        <f>Radio!G5</f>
        <v>26581.559263521289</v>
      </c>
      <c r="J5" s="49">
        <f>I5/F5</f>
        <v>5.7191037548772593E-3</v>
      </c>
      <c r="K5" s="50">
        <f>H5/I5</f>
        <v>34.76</v>
      </c>
      <c r="L5" s="51">
        <f>J5*2</f>
        <v>1.1438207509754519E-2</v>
      </c>
      <c r="M5" s="52">
        <f>L5*F5</f>
        <v>53163.118527042578</v>
      </c>
    </row>
    <row r="6" spans="1:13" s="45" customFormat="1" ht="26.25" customHeight="1" x14ac:dyDescent="0.3">
      <c r="B6" s="53"/>
      <c r="C6" s="43" t="s">
        <v>95</v>
      </c>
      <c r="D6" s="46"/>
      <c r="H6" s="55" t="s">
        <v>3</v>
      </c>
    </row>
    <row r="7" spans="1:13" s="45" customFormat="1" x14ac:dyDescent="0.3">
      <c r="B7" s="53"/>
      <c r="C7" s="53"/>
      <c r="D7" s="54"/>
    </row>
    <row r="8" spans="1:13" s="45" customFormat="1" x14ac:dyDescent="0.3">
      <c r="B8" s="53"/>
      <c r="C8" s="53"/>
      <c r="D8" s="54"/>
    </row>
  </sheetData>
  <mergeCells count="3">
    <mergeCell ref="A1:J1"/>
    <mergeCell ref="H3:K3"/>
    <mergeCell ref="L3:M3"/>
  </mergeCells>
  <pageMargins left="0.7" right="0.7" top="0.75" bottom="0.75" header="0.3" footer="0.3"/>
  <pageSetup orientation="portrait"/>
  <headerFooter>
    <oddHeader>&amp;L&amp;"Calibri"&amp;12&amp;K8E6A00 Confidential&amp;1#_x000D_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564CF-36C0-40AA-949D-5C682B604B49}">
  <dimension ref="A1:I41"/>
  <sheetViews>
    <sheetView workbookViewId="0">
      <selection activeCell="B12" sqref="B12"/>
    </sheetView>
  </sheetViews>
  <sheetFormatPr defaultRowHeight="15" x14ac:dyDescent="0.25"/>
  <cols>
    <col min="1" max="1" width="16.42578125" bestFit="1" customWidth="1"/>
    <col min="2" max="2" width="18" customWidth="1"/>
    <col min="3" max="3" width="10.8554687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1" t="s">
        <v>4</v>
      </c>
      <c r="B1" s="2" t="s">
        <v>86</v>
      </c>
      <c r="C1" s="2"/>
      <c r="D1" s="2"/>
      <c r="E1" s="2"/>
      <c r="F1" s="2"/>
      <c r="G1" s="2"/>
      <c r="H1" s="2"/>
      <c r="I1" s="2"/>
    </row>
    <row r="2" spans="1:9" x14ac:dyDescent="0.25">
      <c r="A2" s="3" t="s">
        <v>0</v>
      </c>
      <c r="B2" s="4" t="s">
        <v>73</v>
      </c>
      <c r="C2" s="5" t="s">
        <v>6</v>
      </c>
      <c r="D2" s="6" t="s">
        <v>7</v>
      </c>
      <c r="E2" s="5" t="s">
        <v>69</v>
      </c>
      <c r="F2" s="6" t="s">
        <v>74</v>
      </c>
      <c r="G2" s="2"/>
      <c r="H2" s="2"/>
      <c r="I2" s="2"/>
    </row>
    <row r="3" spans="1:9" ht="15.75" thickBot="1" x14ac:dyDescent="0.3">
      <c r="A3" s="82" t="s">
        <v>9</v>
      </c>
      <c r="B3" s="26" t="s">
        <v>85</v>
      </c>
      <c r="C3" s="83" t="s">
        <v>10</v>
      </c>
      <c r="D3" s="84" t="s">
        <v>74</v>
      </c>
      <c r="E3" s="83" t="s">
        <v>11</v>
      </c>
      <c r="F3" s="84" t="s">
        <v>75</v>
      </c>
      <c r="G3" s="2"/>
      <c r="H3" s="2"/>
      <c r="I3" s="2"/>
    </row>
    <row r="4" spans="1:9" ht="15.75" thickBot="1" x14ac:dyDescent="0.3">
      <c r="A4" s="13" t="s">
        <v>12</v>
      </c>
      <c r="B4" s="122"/>
      <c r="C4" s="123"/>
      <c r="D4" s="123"/>
      <c r="E4" s="123"/>
      <c r="F4" s="124"/>
      <c r="G4" s="2"/>
      <c r="H4" s="2"/>
      <c r="I4" s="2"/>
    </row>
    <row r="5" spans="1:9" x14ac:dyDescent="0.25">
      <c r="A5" s="2"/>
      <c r="B5" s="2"/>
      <c r="C5" s="2"/>
      <c r="D5" s="2"/>
      <c r="E5" s="2"/>
      <c r="F5" s="2"/>
      <c r="G5" s="2"/>
      <c r="H5" s="2"/>
      <c r="I5" s="2"/>
    </row>
    <row r="6" spans="1:9" ht="15.75" thickBot="1" x14ac:dyDescent="0.3">
      <c r="A6" s="2"/>
      <c r="B6" s="87">
        <v>0.8</v>
      </c>
      <c r="C6" s="87">
        <v>1.2</v>
      </c>
      <c r="D6" s="2"/>
      <c r="E6" s="2"/>
      <c r="F6" s="2"/>
      <c r="G6" s="2"/>
      <c r="H6" s="2"/>
      <c r="I6" s="2"/>
    </row>
    <row r="7" spans="1:9" x14ac:dyDescent="0.25">
      <c r="A7" s="125" t="s">
        <v>16</v>
      </c>
      <c r="B7" s="113" t="s">
        <v>17</v>
      </c>
      <c r="C7" s="113"/>
      <c r="D7" s="113" t="s">
        <v>18</v>
      </c>
      <c r="E7" s="113"/>
      <c r="F7" s="113"/>
      <c r="G7" s="113" t="s">
        <v>70</v>
      </c>
      <c r="H7" s="113"/>
      <c r="I7" s="114"/>
    </row>
    <row r="8" spans="1:9" x14ac:dyDescent="0.25">
      <c r="A8" s="126"/>
      <c r="B8" s="86" t="s">
        <v>20</v>
      </c>
      <c r="C8" s="86" t="s">
        <v>21</v>
      </c>
      <c r="D8" s="86" t="s">
        <v>22</v>
      </c>
      <c r="E8" s="86" t="s">
        <v>23</v>
      </c>
      <c r="F8" s="86" t="s">
        <v>76</v>
      </c>
      <c r="G8" s="86" t="s">
        <v>24</v>
      </c>
      <c r="H8" s="86" t="s">
        <v>25</v>
      </c>
      <c r="I8" s="19" t="s">
        <v>77</v>
      </c>
    </row>
    <row r="9" spans="1:9" ht="15.75" thickBot="1" x14ac:dyDescent="0.3">
      <c r="A9" s="127"/>
      <c r="B9" s="88">
        <f>Data!$H$5*B6</f>
        <v>739180</v>
      </c>
      <c r="C9" s="88">
        <f>Data!$H$5*C6</f>
        <v>1108770</v>
      </c>
      <c r="D9" s="89"/>
      <c r="E9" s="90">
        <f>(('Radio - Power'!D9/$B$12)^$D$12)*$C$12</f>
        <v>0</v>
      </c>
      <c r="F9" s="91">
        <f>E9*F11</f>
        <v>0</v>
      </c>
      <c r="G9" s="92">
        <f>B12</f>
        <v>923975</v>
      </c>
      <c r="H9" s="93">
        <f>(('Radio - Power'!G9/$B$12)^$D$12)*$C$12</f>
        <v>26581.559263521289</v>
      </c>
      <c r="I9" s="93">
        <f>H9*F11</f>
        <v>26581.559263521289</v>
      </c>
    </row>
    <row r="10" spans="1:9" ht="15.75" thickBot="1" x14ac:dyDescent="0.3"/>
    <row r="11" spans="1:9" ht="48.95" customHeight="1" x14ac:dyDescent="0.25">
      <c r="A11" s="115" t="s">
        <v>26</v>
      </c>
      <c r="B11" s="85" t="s">
        <v>27</v>
      </c>
      <c r="C11" s="85" t="s">
        <v>28</v>
      </c>
      <c r="D11" s="85" t="s">
        <v>78</v>
      </c>
      <c r="E11" s="86" t="s">
        <v>79</v>
      </c>
      <c r="F11" s="94">
        <v>1</v>
      </c>
    </row>
    <row r="12" spans="1:9" ht="40.35" customHeight="1" thickBot="1" x14ac:dyDescent="0.3">
      <c r="A12" s="115"/>
      <c r="B12" s="95">
        <f>Data!H5</f>
        <v>923975</v>
      </c>
      <c r="C12" s="96">
        <f>Data!I5</f>
        <v>26581.559263521289</v>
      </c>
      <c r="D12" s="97">
        <v>0.4</v>
      </c>
      <c r="E12" s="86" t="s">
        <v>71</v>
      </c>
      <c r="F12" s="98">
        <v>1</v>
      </c>
    </row>
    <row r="13" spans="1:9" ht="18.75" customHeight="1" x14ac:dyDescent="0.25">
      <c r="A13" s="116" t="s">
        <v>80</v>
      </c>
      <c r="B13" s="117"/>
      <c r="C13" s="117"/>
      <c r="D13" s="117"/>
      <c r="E13" s="86" t="s">
        <v>81</v>
      </c>
      <c r="F13" s="86" t="s">
        <v>82</v>
      </c>
    </row>
    <row r="14" spans="1:9" ht="15.75" thickBot="1" x14ac:dyDescent="0.3">
      <c r="A14" s="118"/>
      <c r="B14" s="119"/>
      <c r="C14" s="119"/>
      <c r="D14" s="119"/>
      <c r="E14" s="20"/>
      <c r="F14" s="20"/>
    </row>
    <row r="15" spans="1:9" ht="15.75" thickBot="1" x14ac:dyDescent="0.3"/>
    <row r="16" spans="1:9" x14ac:dyDescent="0.25">
      <c r="A16" s="120" t="s">
        <v>42</v>
      </c>
      <c r="B16" s="85" t="s">
        <v>43</v>
      </c>
      <c r="C16" s="85" t="s">
        <v>44</v>
      </c>
      <c r="D16" s="25" t="s">
        <v>45</v>
      </c>
    </row>
    <row r="17" spans="1:4" ht="15.75" thickBot="1" x14ac:dyDescent="0.3">
      <c r="A17" s="121"/>
      <c r="B17" s="34">
        <v>0</v>
      </c>
      <c r="C17" s="34">
        <v>3000000</v>
      </c>
      <c r="D17" s="35">
        <v>40</v>
      </c>
    </row>
    <row r="18" spans="1:4" x14ac:dyDescent="0.25">
      <c r="A18" s="2"/>
      <c r="B18" s="2"/>
      <c r="C18" s="2"/>
      <c r="D18" s="2"/>
    </row>
    <row r="19" spans="1:4" x14ac:dyDescent="0.25">
      <c r="A19" s="115" t="s">
        <v>46</v>
      </c>
      <c r="B19" s="115"/>
      <c r="C19" s="115"/>
      <c r="D19" s="2"/>
    </row>
    <row r="20" spans="1:4" ht="25.5" x14ac:dyDescent="0.25">
      <c r="A20" s="86" t="s">
        <v>72</v>
      </c>
      <c r="B20" s="86" t="s">
        <v>83</v>
      </c>
      <c r="C20" s="86" t="s">
        <v>84</v>
      </c>
    </row>
    <row r="21" spans="1:4" x14ac:dyDescent="0.25">
      <c r="A21" s="99">
        <f>B17</f>
        <v>0</v>
      </c>
      <c r="B21" s="90">
        <f>(('Radio - Power'!A21/$B$12)^$D$12)*$C$12</f>
        <v>0</v>
      </c>
      <c r="C21" s="100">
        <f>B21*Radio!$E$4</f>
        <v>0</v>
      </c>
    </row>
    <row r="22" spans="1:4" x14ac:dyDescent="0.25">
      <c r="A22" s="99">
        <f>A21+(($C$17-$B$17)/$D$17)</f>
        <v>75000</v>
      </c>
      <c r="B22" s="90">
        <f>(('Radio - Power'!A22/$B$12)^$D$12)*$C$12</f>
        <v>9735.1101540205382</v>
      </c>
      <c r="C22" s="100">
        <f>B22*Radio!$E$4</f>
        <v>2199550.7881994005</v>
      </c>
      <c r="D22">
        <f>C22/A22</f>
        <v>29.327343842658674</v>
      </c>
    </row>
    <row r="23" spans="1:4" x14ac:dyDescent="0.25">
      <c r="A23" s="99">
        <f t="shared" ref="A23:A41" si="0">A22+(($C$17-$B$17)/$D$17)</f>
        <v>150000</v>
      </c>
      <c r="B23" s="90">
        <f>(('Radio - Power'!A23/$B$12)^$D$12)*$C$12</f>
        <v>12845.554860475628</v>
      </c>
      <c r="C23" s="100">
        <f>B23*Radio!$E$4</f>
        <v>2902324.6651758631</v>
      </c>
      <c r="D23">
        <f t="shared" ref="D23:D41" si="1">C23/A23</f>
        <v>19.348831101172422</v>
      </c>
    </row>
    <row r="24" spans="1:4" x14ac:dyDescent="0.25">
      <c r="A24" s="99">
        <f t="shared" si="0"/>
        <v>225000</v>
      </c>
      <c r="B24" s="90">
        <f>(('Radio - Power'!A24/$B$12)^$D$12)*$C$12</f>
        <v>15107.387604095247</v>
      </c>
      <c r="C24" s="100">
        <f>B24*Radio!$E$4</f>
        <v>3413363.1552692801</v>
      </c>
      <c r="D24">
        <f t="shared" si="1"/>
        <v>15.170502912307912</v>
      </c>
    </row>
    <row r="25" spans="1:4" x14ac:dyDescent="0.25">
      <c r="A25" s="99">
        <f t="shared" si="0"/>
        <v>300000</v>
      </c>
      <c r="B25" s="90">
        <f>(('Radio - Power'!A25/$B$12)^$D$12)*$C$12</f>
        <v>16949.811256664794</v>
      </c>
      <c r="C25" s="100">
        <f>B25*Radio!$E$4</f>
        <v>3829640.3553308435</v>
      </c>
      <c r="D25">
        <f t="shared" si="1"/>
        <v>12.765467851102812</v>
      </c>
    </row>
    <row r="26" spans="1:4" x14ac:dyDescent="0.25">
      <c r="A26" s="99">
        <f t="shared" si="0"/>
        <v>375000</v>
      </c>
      <c r="B26" s="90">
        <f>(('Radio - Power'!A26/$B$12)^$D$12)*$C$12</f>
        <v>18532.280788534139</v>
      </c>
      <c r="C26" s="100">
        <f>B26*Radio!$E$4</f>
        <v>4187183.5213614032</v>
      </c>
      <c r="D26">
        <f t="shared" si="1"/>
        <v>11.165822723630409</v>
      </c>
    </row>
    <row r="27" spans="1:4" x14ac:dyDescent="0.25">
      <c r="A27" s="99">
        <f t="shared" si="0"/>
        <v>450000</v>
      </c>
      <c r="B27" s="90">
        <f>(('Radio - Power'!A27/$B$12)^$D$12)*$C$12</f>
        <v>19934.317454716042</v>
      </c>
      <c r="C27" s="100">
        <f>B27*Radio!$E$4</f>
        <v>4503959.685718542</v>
      </c>
      <c r="D27">
        <f t="shared" si="1"/>
        <v>10.00879930159676</v>
      </c>
    </row>
    <row r="28" spans="1:4" x14ac:dyDescent="0.25">
      <c r="A28" s="99">
        <f t="shared" si="0"/>
        <v>525000</v>
      </c>
      <c r="B28" s="90">
        <f>(('Radio - Power'!A28/$B$12)^$D$12)*$C$12</f>
        <v>21202.158947488875</v>
      </c>
      <c r="C28" s="100">
        <f>B28*Radio!$E$4</f>
        <v>4790415.7925956361</v>
      </c>
      <c r="D28">
        <f t="shared" si="1"/>
        <v>9.1246015097059736</v>
      </c>
    </row>
    <row r="29" spans="1:4" x14ac:dyDescent="0.25">
      <c r="A29" s="99">
        <f t="shared" si="0"/>
        <v>600000</v>
      </c>
      <c r="B29" s="90">
        <f>(('Radio - Power'!A29/$B$12)^$D$12)*$C$12</f>
        <v>22365.410039276649</v>
      </c>
      <c r="C29" s="100">
        <f>B29*Radio!$E$4</f>
        <v>5053240.7442741655</v>
      </c>
      <c r="D29">
        <f t="shared" si="1"/>
        <v>8.4220679071236084</v>
      </c>
    </row>
    <row r="30" spans="1:4" x14ac:dyDescent="0.25">
      <c r="A30" s="99">
        <f t="shared" si="0"/>
        <v>675000</v>
      </c>
      <c r="B30" s="90">
        <f>(('Radio - Power'!A30/$B$12)^$D$12)*$C$12</f>
        <v>23444.33258683898</v>
      </c>
      <c r="C30" s="100">
        <f>B30*Radio!$E$4</f>
        <v>5297012.5046703992</v>
      </c>
      <c r="D30">
        <f t="shared" si="1"/>
        <v>7.8474259328450362</v>
      </c>
    </row>
    <row r="31" spans="1:4" x14ac:dyDescent="0.25">
      <c r="A31" s="99">
        <f t="shared" si="0"/>
        <v>750000</v>
      </c>
      <c r="B31" s="90">
        <f>(('Radio - Power'!A31/$B$12)^$D$12)*$C$12</f>
        <v>24453.49110513533</v>
      </c>
      <c r="C31" s="100">
        <f>B31*Radio!$E$4</f>
        <v>5525021.7802942768</v>
      </c>
      <c r="D31">
        <f t="shared" si="1"/>
        <v>7.3666957070590353</v>
      </c>
    </row>
    <row r="32" spans="1:4" x14ac:dyDescent="0.25">
      <c r="A32" s="99">
        <f t="shared" si="0"/>
        <v>825000</v>
      </c>
      <c r="B32" s="90">
        <f>(('Radio - Power'!A32/$B$12)^$D$12)*$C$12</f>
        <v>25403.756661206095</v>
      </c>
      <c r="C32" s="100">
        <f>B32*Radio!$E$4</f>
        <v>5739724.7800329048</v>
      </c>
      <c r="D32">
        <f t="shared" si="1"/>
        <v>6.9572421576156422</v>
      </c>
    </row>
    <row r="33" spans="1:4" x14ac:dyDescent="0.25">
      <c r="A33" s="99">
        <f t="shared" si="0"/>
        <v>900000</v>
      </c>
      <c r="B33" s="90">
        <f>(('Radio - Power'!A33/$B$12)^$D$12)*$C$12</f>
        <v>26303.489577356002</v>
      </c>
      <c r="C33" s="100">
        <f>B33*Radio!$E$4</f>
        <v>5943010.4351078151</v>
      </c>
      <c r="D33">
        <f t="shared" si="1"/>
        <v>6.603344927897572</v>
      </c>
    </row>
    <row r="34" spans="1:4" x14ac:dyDescent="0.25">
      <c r="A34" s="99">
        <f t="shared" si="0"/>
        <v>975000</v>
      </c>
      <c r="B34" s="90">
        <f>(('Radio - Power'!A34/$B$12)^$D$12)*$C$12</f>
        <v>27159.277399088922</v>
      </c>
      <c r="C34" s="100">
        <f>B34*Radio!$E$4</f>
        <v>6136367.1355501506</v>
      </c>
      <c r="D34">
        <f t="shared" si="1"/>
        <v>6.2937098826155395</v>
      </c>
    </row>
    <row r="35" spans="1:4" x14ac:dyDescent="0.25">
      <c r="A35" s="99">
        <f t="shared" si="0"/>
        <v>1050000</v>
      </c>
      <c r="B35" s="90">
        <f>(('Radio - Power'!A35/$B$12)^$D$12)*$C$12</f>
        <v>27976.416456675874</v>
      </c>
      <c r="C35" s="100">
        <f>B35*Radio!$E$4</f>
        <v>6320991.5342213465</v>
      </c>
      <c r="D35">
        <f t="shared" si="1"/>
        <v>6.0199919373536632</v>
      </c>
    </row>
    <row r="36" spans="1:4" x14ac:dyDescent="0.25">
      <c r="A36" s="99">
        <f t="shared" si="0"/>
        <v>1125000</v>
      </c>
      <c r="B36" s="90">
        <f>(('Radio - Power'!A36/$B$12)^$D$12)*$C$12</f>
        <v>28759.237916243361</v>
      </c>
      <c r="C36" s="100">
        <f>B36*Radio!$E$4</f>
        <v>6497862.2147960253</v>
      </c>
      <c r="D36">
        <f t="shared" si="1"/>
        <v>5.7758775242631337</v>
      </c>
    </row>
    <row r="37" spans="1:4" x14ac:dyDescent="0.25">
      <c r="A37" s="99">
        <f t="shared" si="0"/>
        <v>1200000</v>
      </c>
      <c r="B37" s="90">
        <f>(('Radio - Power'!A37/$B$12)^$D$12)*$C$12</f>
        <v>29511.335474505049</v>
      </c>
      <c r="C37" s="100">
        <f>B37*Radio!$E$4</f>
        <v>6667791.1371096708</v>
      </c>
      <c r="D37">
        <f t="shared" si="1"/>
        <v>5.5564926142580591</v>
      </c>
    </row>
    <row r="38" spans="1:4" x14ac:dyDescent="0.25">
      <c r="A38" s="99">
        <f t="shared" si="0"/>
        <v>1275000</v>
      </c>
      <c r="B38" s="90">
        <f>(('Radio - Power'!A38/$B$12)^$D$12)*$C$12</f>
        <v>30235.728609202786</v>
      </c>
      <c r="C38" s="100">
        <f>B38*Radio!$E$4</f>
        <v>6831460.5219632778</v>
      </c>
      <c r="D38">
        <f t="shared" si="1"/>
        <v>5.358008252520218</v>
      </c>
    </row>
    <row r="39" spans="1:4" x14ac:dyDescent="0.25">
      <c r="A39" s="99">
        <f t="shared" si="0"/>
        <v>1350000</v>
      </c>
      <c r="B39" s="90">
        <f>(('Radio - Power'!A39/$B$12)^$D$12)*$C$12</f>
        <v>30934.982311124786</v>
      </c>
      <c r="C39" s="100">
        <f>B39*Radio!$E$4</f>
        <v>6989449.9033755343</v>
      </c>
      <c r="D39">
        <f t="shared" si="1"/>
        <v>5.1773702987966921</v>
      </c>
    </row>
    <row r="40" spans="1:4" x14ac:dyDescent="0.25">
      <c r="A40" s="99">
        <f t="shared" si="0"/>
        <v>1425000</v>
      </c>
      <c r="B40" s="90">
        <f>(('Radio - Power'!A40/$B$12)^$D$12)*$C$12</f>
        <v>31611.296651583496</v>
      </c>
      <c r="C40" s="100">
        <f>B40*Radio!$E$4</f>
        <v>7142256.3654587753</v>
      </c>
      <c r="D40">
        <f t="shared" si="1"/>
        <v>5.0121097301465092</v>
      </c>
    </row>
    <row r="41" spans="1:4" x14ac:dyDescent="0.25">
      <c r="A41" s="99">
        <f t="shared" si="0"/>
        <v>1500000</v>
      </c>
      <c r="B41" s="90">
        <f>(('Radio - Power'!A41/$B$12)^$D$12)*$C$12</f>
        <v>32266.574959240672</v>
      </c>
      <c r="C41" s="100">
        <f>B41*Radio!$E$4</f>
        <v>7290309.9462908376</v>
      </c>
      <c r="D41">
        <f t="shared" si="1"/>
        <v>4.8602066308605583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&amp;L&amp;"Calibri"&amp;12&amp;K8E6A00 Confidential&amp;1#_x000D_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</sheetPr>
  <dimension ref="A1:O52"/>
  <sheetViews>
    <sheetView showGridLines="0" workbookViewId="0">
      <selection activeCell="E8" sqref="E8"/>
    </sheetView>
  </sheetViews>
  <sheetFormatPr defaultColWidth="8.85546875" defaultRowHeight="12.75" x14ac:dyDescent="0.2"/>
  <cols>
    <col min="1" max="1" width="12.140625" style="2" customWidth="1"/>
    <col min="2" max="2" width="13.5703125" style="2" customWidth="1"/>
    <col min="3" max="3" width="12.5703125" style="2" customWidth="1"/>
    <col min="4" max="4" width="13.7109375" style="2" customWidth="1"/>
    <col min="5" max="5" width="15.7109375" style="2" customWidth="1"/>
    <col min="6" max="6" width="12.42578125" style="2" customWidth="1"/>
    <col min="7" max="7" width="12" style="2" customWidth="1"/>
    <col min="8" max="8" width="10.28515625" style="2" customWidth="1"/>
    <col min="9" max="9" width="12.42578125" style="2" customWidth="1"/>
    <col min="10" max="10" width="12.7109375" style="2" customWidth="1"/>
    <col min="11" max="11" width="14.28515625" style="2" bestFit="1" customWidth="1"/>
    <col min="12" max="13" width="12" style="2" bestFit="1" customWidth="1"/>
    <col min="14" max="14" width="11.42578125" style="2" bestFit="1" customWidth="1"/>
    <col min="15" max="15" width="12.42578125" style="2" customWidth="1"/>
    <col min="16" max="16384" width="8.85546875" style="2"/>
  </cols>
  <sheetData>
    <row r="1" spans="1:15" ht="13.5" thickBot="1" x14ac:dyDescent="0.25">
      <c r="A1" s="1" t="s">
        <v>4</v>
      </c>
      <c r="B1" s="2" t="s">
        <v>5</v>
      </c>
    </row>
    <row r="2" spans="1:15" x14ac:dyDescent="0.2">
      <c r="A2" s="3" t="s">
        <v>0</v>
      </c>
      <c r="B2" s="4" t="s">
        <v>59</v>
      </c>
      <c r="C2" s="5" t="s">
        <v>6</v>
      </c>
      <c r="D2" s="6" t="s">
        <v>7</v>
      </c>
      <c r="H2" s="7" t="s">
        <v>8</v>
      </c>
      <c r="I2" s="8"/>
      <c r="J2" s="8"/>
      <c r="K2" s="8"/>
      <c r="L2" s="9"/>
    </row>
    <row r="3" spans="1:15" ht="13.5" thickBot="1" x14ac:dyDescent="0.25">
      <c r="A3" s="10" t="s">
        <v>9</v>
      </c>
      <c r="B3" s="11" t="s">
        <v>47</v>
      </c>
      <c r="C3" s="1" t="s">
        <v>10</v>
      </c>
      <c r="D3" s="12" t="s">
        <v>57</v>
      </c>
      <c r="E3" s="1" t="s">
        <v>11</v>
      </c>
      <c r="F3" s="12" t="s">
        <v>58</v>
      </c>
    </row>
    <row r="4" spans="1:15" ht="15" customHeight="1" thickBot="1" x14ac:dyDescent="0.25">
      <c r="A4" s="13" t="s">
        <v>12</v>
      </c>
      <c r="B4" s="128" t="s">
        <v>13</v>
      </c>
      <c r="C4" s="128"/>
      <c r="D4" s="128"/>
      <c r="E4" s="128"/>
      <c r="F4" s="129"/>
      <c r="H4" s="2" t="s">
        <v>14</v>
      </c>
    </row>
    <row r="5" spans="1:15" x14ac:dyDescent="0.2">
      <c r="H5" s="2" t="s">
        <v>15</v>
      </c>
    </row>
    <row r="6" spans="1:15" ht="13.5" thickBot="1" x14ac:dyDescent="0.25">
      <c r="B6" s="14">
        <v>0.5</v>
      </c>
      <c r="C6" s="14">
        <v>1.5</v>
      </c>
    </row>
    <row r="7" spans="1:15" ht="27.6" customHeight="1" x14ac:dyDescent="0.2">
      <c r="A7" s="125" t="s">
        <v>16</v>
      </c>
      <c r="B7" s="113" t="s">
        <v>17</v>
      </c>
      <c r="C7" s="130"/>
      <c r="D7" s="131" t="s">
        <v>18</v>
      </c>
      <c r="E7" s="132"/>
      <c r="F7" s="133" t="s">
        <v>19</v>
      </c>
      <c r="G7" s="134"/>
    </row>
    <row r="8" spans="1:15" ht="25.5" x14ac:dyDescent="0.2">
      <c r="A8" s="126"/>
      <c r="B8" s="15" t="s">
        <v>20</v>
      </c>
      <c r="C8" s="16" t="s">
        <v>21</v>
      </c>
      <c r="D8" s="17" t="s">
        <v>22</v>
      </c>
      <c r="E8" s="16" t="s">
        <v>23</v>
      </c>
      <c r="F8" s="18" t="s">
        <v>24</v>
      </c>
      <c r="G8" s="19" t="s">
        <v>25</v>
      </c>
    </row>
    <row r="9" spans="1:15" ht="13.5" thickBot="1" x14ac:dyDescent="0.25">
      <c r="A9" s="127"/>
      <c r="B9" s="20">
        <f>B6*B12</f>
        <v>461987.5</v>
      </c>
      <c r="C9" s="20">
        <f>C6*B12</f>
        <v>1385962.5</v>
      </c>
      <c r="D9" s="21">
        <f>F9</f>
        <v>923975</v>
      </c>
      <c r="E9" s="22">
        <f>(($O$12/(1+EXP($M$12+$N$12*D9)))-1) - ($F$12-$C$12)</f>
        <v>26581.559263520874</v>
      </c>
      <c r="F9" s="20">
        <f>B12</f>
        <v>923975</v>
      </c>
      <c r="G9" s="23">
        <f>C12</f>
        <v>26581.559263521289</v>
      </c>
    </row>
    <row r="10" spans="1:15" ht="13.5" thickBot="1" x14ac:dyDescent="0.25"/>
    <row r="11" spans="1:15" ht="51.6" customHeight="1" x14ac:dyDescent="0.2">
      <c r="A11" s="125" t="s">
        <v>26</v>
      </c>
      <c r="B11" s="24" t="s">
        <v>27</v>
      </c>
      <c r="C11" s="24" t="s">
        <v>28</v>
      </c>
      <c r="D11" s="24" t="s">
        <v>29</v>
      </c>
      <c r="E11" s="24" t="s">
        <v>30</v>
      </c>
      <c r="F11" s="25" t="s">
        <v>31</v>
      </c>
      <c r="H11" s="120" t="s">
        <v>32</v>
      </c>
      <c r="I11" s="24" t="s">
        <v>33</v>
      </c>
      <c r="J11" s="24" t="s">
        <v>34</v>
      </c>
      <c r="K11" s="24" t="s">
        <v>35</v>
      </c>
      <c r="L11" s="24" t="s">
        <v>36</v>
      </c>
      <c r="M11" s="24" t="s">
        <v>37</v>
      </c>
      <c r="N11" s="24" t="s">
        <v>38</v>
      </c>
      <c r="O11" s="25" t="s">
        <v>39</v>
      </c>
    </row>
    <row r="12" spans="1:15" ht="15" customHeight="1" thickBot="1" x14ac:dyDescent="0.25">
      <c r="A12" s="127"/>
      <c r="B12" s="20">
        <f>Data!H5</f>
        <v>923975</v>
      </c>
      <c r="C12" s="23">
        <f>Data!I5</f>
        <v>26581.559263521289</v>
      </c>
      <c r="D12" s="26">
        <v>0</v>
      </c>
      <c r="E12" s="23">
        <f>Data!M5</f>
        <v>53163.118527042578</v>
      </c>
      <c r="F12" s="27">
        <f>Data!F5</f>
        <v>4647854</v>
      </c>
      <c r="H12" s="121"/>
      <c r="I12" s="28">
        <f>F12-C12</f>
        <v>4621272.4407364791</v>
      </c>
      <c r="J12" s="28">
        <f>I12+E12</f>
        <v>4674435.5592635218</v>
      </c>
      <c r="K12" s="29">
        <f>B12</f>
        <v>923975</v>
      </c>
      <c r="L12" s="28">
        <f>F12</f>
        <v>4647854</v>
      </c>
      <c r="M12" s="30">
        <f>LN((($J$12+1)/($I$12+1))-1)</f>
        <v>-4.4650606874567149</v>
      </c>
      <c r="N12" s="31">
        <f>(LN((($J$12+1)/($L$12+1))-1)-$M$12)/$K$12</f>
        <v>-7.5638702321335745E-7</v>
      </c>
      <c r="O12" s="32">
        <f>J12+1</f>
        <v>4674436.5592635218</v>
      </c>
    </row>
    <row r="13" spans="1:15" ht="34.15" customHeight="1" x14ac:dyDescent="0.2">
      <c r="A13" s="116" t="s">
        <v>40</v>
      </c>
      <c r="B13" s="117"/>
      <c r="C13" s="117"/>
      <c r="D13" s="117"/>
      <c r="E13" s="117"/>
      <c r="F13" s="135"/>
      <c r="H13" s="116" t="s">
        <v>41</v>
      </c>
      <c r="I13" s="117"/>
      <c r="J13" s="117"/>
      <c r="K13" s="117"/>
      <c r="L13" s="117"/>
      <c r="M13" s="117"/>
      <c r="N13" s="117"/>
      <c r="O13" s="135"/>
    </row>
    <row r="14" spans="1:15" ht="33.6" customHeight="1" x14ac:dyDescent="0.2">
      <c r="A14" s="118"/>
      <c r="B14" s="119"/>
      <c r="C14" s="119"/>
      <c r="D14" s="119"/>
      <c r="E14" s="119"/>
      <c r="F14" s="136"/>
      <c r="H14" s="118"/>
      <c r="I14" s="119"/>
      <c r="J14" s="119"/>
      <c r="K14" s="119"/>
      <c r="L14" s="119"/>
      <c r="M14" s="119"/>
      <c r="N14" s="119"/>
      <c r="O14" s="136"/>
    </row>
    <row r="16" spans="1:15" ht="13.5" thickBot="1" x14ac:dyDescent="0.25"/>
    <row r="17" spans="1:5" ht="16.899999999999999" customHeight="1" x14ac:dyDescent="0.2">
      <c r="A17" s="120" t="s">
        <v>42</v>
      </c>
      <c r="B17" s="24" t="s">
        <v>43</v>
      </c>
      <c r="C17" s="24" t="s">
        <v>44</v>
      </c>
      <c r="D17" s="25" t="s">
        <v>45</v>
      </c>
    </row>
    <row r="18" spans="1:5" ht="23.65" customHeight="1" thickBot="1" x14ac:dyDescent="0.25">
      <c r="A18" s="121"/>
      <c r="B18" s="33">
        <v>0</v>
      </c>
      <c r="C18" s="34">
        <v>3000000</v>
      </c>
      <c r="D18" s="35">
        <v>40</v>
      </c>
    </row>
    <row r="20" spans="1:5" x14ac:dyDescent="0.2">
      <c r="A20" s="115" t="s">
        <v>46</v>
      </c>
      <c r="B20" s="115"/>
    </row>
    <row r="21" spans="1:5" x14ac:dyDescent="0.2">
      <c r="A21" s="15" t="s">
        <v>49</v>
      </c>
      <c r="B21" s="15" t="s">
        <v>48</v>
      </c>
      <c r="C21" s="40" t="s">
        <v>51</v>
      </c>
      <c r="D21" s="40" t="s">
        <v>50</v>
      </c>
      <c r="E21" s="41"/>
    </row>
    <row r="22" spans="1:5" x14ac:dyDescent="0.2">
      <c r="A22" s="37">
        <f>B18</f>
        <v>0</v>
      </c>
      <c r="B22" s="36">
        <f>(($O$12/(1+EXP($M$12+$N$12*A22)))-1) - ($F$12-$C$12)</f>
        <v>0</v>
      </c>
      <c r="C22" s="38">
        <f>B22*Radio!$E$4</f>
        <v>0</v>
      </c>
      <c r="D22" s="39"/>
      <c r="E22" s="38"/>
    </row>
    <row r="23" spans="1:5" x14ac:dyDescent="0.2">
      <c r="A23" s="37">
        <f>A22+(($C$18-$B$18)/$D$18)</f>
        <v>75000</v>
      </c>
      <c r="B23" s="36">
        <f t="shared" ref="B23:B42" si="0">(($O$12/(1+EXP($M$12+$N$12*A23)))-1) - ($F$12-$C$12)</f>
        <v>2900.416366899386</v>
      </c>
      <c r="C23" s="38">
        <f>B23*Radio!$E$4</f>
        <v>655320.07393724727</v>
      </c>
      <c r="D23" s="39">
        <f>C23/A23</f>
        <v>8.7376009858299639</v>
      </c>
      <c r="E23" s="38"/>
    </row>
    <row r="24" spans="1:5" x14ac:dyDescent="0.2">
      <c r="A24" s="37">
        <f t="shared" ref="A24:A52" si="1">A23+(($C$18-$B$18)/$D$18)</f>
        <v>150000</v>
      </c>
      <c r="B24" s="36">
        <f t="shared" si="0"/>
        <v>5644.2220328785479</v>
      </c>
      <c r="C24" s="38">
        <f>B24*Radio!$E$4</f>
        <v>1275255.526108579</v>
      </c>
      <c r="D24" s="39">
        <f t="shared" ref="D24:D42" si="2">C24/A24</f>
        <v>8.5017035073905269</v>
      </c>
      <c r="E24" s="38"/>
    </row>
    <row r="25" spans="1:5" x14ac:dyDescent="0.2">
      <c r="A25" s="37">
        <f t="shared" si="1"/>
        <v>225000</v>
      </c>
      <c r="B25" s="36">
        <f t="shared" si="0"/>
        <v>8239.7003938732669</v>
      </c>
      <c r="C25" s="38">
        <f>B25*Radio!$E$4</f>
        <v>1861677.9069917258</v>
      </c>
      <c r="D25" s="39">
        <f t="shared" si="2"/>
        <v>8.2741240310743365</v>
      </c>
      <c r="E25" s="38"/>
    </row>
    <row r="26" spans="1:5" x14ac:dyDescent="0.2">
      <c r="A26" s="37">
        <f t="shared" si="1"/>
        <v>300000</v>
      </c>
      <c r="B26" s="36">
        <f t="shared" si="0"/>
        <v>10694.715128227137</v>
      </c>
      <c r="C26" s="38">
        <f>B26*Radio!$E$4</f>
        <v>2416363.9360716394</v>
      </c>
      <c r="D26" s="39">
        <f t="shared" si="2"/>
        <v>8.0545464535721312</v>
      </c>
      <c r="E26" s="38"/>
    </row>
    <row r="27" spans="1:5" x14ac:dyDescent="0.2">
      <c r="A27" s="37">
        <f t="shared" si="1"/>
        <v>375000</v>
      </c>
      <c r="B27" s="36">
        <f t="shared" si="0"/>
        <v>13016.729490369558</v>
      </c>
      <c r="C27" s="38">
        <f>B27*Radio!$E$4</f>
        <v>2940999.8610540978</v>
      </c>
      <c r="D27" s="39">
        <f t="shared" si="2"/>
        <v>7.8426662961442606</v>
      </c>
      <c r="E27" s="38"/>
    </row>
    <row r="28" spans="1:5" x14ac:dyDescent="0.2">
      <c r="A28" s="72">
        <f t="shared" si="1"/>
        <v>450000</v>
      </c>
      <c r="B28" s="73">
        <f t="shared" si="0"/>
        <v>15212.824934370816</v>
      </c>
      <c r="C28" s="38">
        <f>B28*Radio!$E$4</f>
        <v>3437185.6656717421</v>
      </c>
      <c r="D28" s="75">
        <f t="shared" si="2"/>
        <v>7.6381903681594272</v>
      </c>
      <c r="E28" s="74"/>
    </row>
    <row r="29" spans="1:5" x14ac:dyDescent="0.2">
      <c r="A29" s="37">
        <f t="shared" si="1"/>
        <v>525000</v>
      </c>
      <c r="B29" s="36">
        <f t="shared" si="0"/>
        <v>17289.71906504035</v>
      </c>
      <c r="C29" s="38">
        <f>B29*Radio!$E$4</f>
        <v>3906439.1255552168</v>
      </c>
      <c r="D29" s="39">
        <f t="shared" si="2"/>
        <v>7.440836429628984</v>
      </c>
      <c r="E29" s="38"/>
    </row>
    <row r="30" spans="1:5" x14ac:dyDescent="0.2">
      <c r="A30" s="72">
        <f t="shared" si="1"/>
        <v>600000</v>
      </c>
      <c r="B30" s="73">
        <f t="shared" si="0"/>
        <v>19253.782918122597</v>
      </c>
      <c r="C30" s="38">
        <f>B30*Radio!$E$4</f>
        <v>4350199.7125206199</v>
      </c>
      <c r="D30" s="75">
        <f t="shared" si="2"/>
        <v>7.2503328542010328</v>
      </c>
      <c r="E30" s="74"/>
    </row>
    <row r="31" spans="1:5" x14ac:dyDescent="0.2">
      <c r="A31" s="37">
        <f t="shared" si="1"/>
        <v>675000</v>
      </c>
      <c r="B31" s="36">
        <f t="shared" si="0"/>
        <v>21111.057574492879</v>
      </c>
      <c r="C31" s="38">
        <f>B31*Radio!$E$4</f>
        <v>4769832.3483809214</v>
      </c>
      <c r="D31" s="39">
        <f t="shared" si="2"/>
        <v>7.0664182938976614</v>
      </c>
      <c r="E31" s="38"/>
    </row>
    <row r="32" spans="1:5" x14ac:dyDescent="0.2">
      <c r="A32" s="37">
        <f t="shared" si="1"/>
        <v>750000</v>
      </c>
      <c r="B32" s="36">
        <f t="shared" si="0"/>
        <v>22867.270116120577</v>
      </c>
      <c r="C32" s="38">
        <f>B32*Radio!$E$4</f>
        <v>5166631.0100362832</v>
      </c>
      <c r="D32" s="39">
        <f t="shared" si="2"/>
        <v>6.8888413467150444</v>
      </c>
      <c r="E32" s="38"/>
    </row>
    <row r="33" spans="1:5" x14ac:dyDescent="0.2">
      <c r="A33" s="72">
        <f t="shared" si="1"/>
        <v>825000</v>
      </c>
      <c r="B33" s="73">
        <f t="shared" si="0"/>
        <v>24527.848933938891</v>
      </c>
      <c r="C33" s="38">
        <f>B33*Radio!$E$4</f>
        <v>5541822.1881341524</v>
      </c>
      <c r="D33" s="75">
        <f t="shared" si="2"/>
        <v>6.7173602280413967</v>
      </c>
      <c r="E33" s="74"/>
    </row>
    <row r="34" spans="1:5" x14ac:dyDescent="0.2">
      <c r="A34" s="37">
        <f>A33+(($C$18-$B$18)/$D$18)</f>
        <v>900000</v>
      </c>
      <c r="B34" s="36">
        <f t="shared" si="0"/>
        <v>26097.938399801962</v>
      </c>
      <c r="C34" s="38">
        <f>B34*Radio!$E$4</f>
        <v>5896568.2020512549</v>
      </c>
      <c r="D34" s="39">
        <f t="shared" si="2"/>
        <v>6.5517424467236163</v>
      </c>
      <c r="E34" s="38"/>
    </row>
    <row r="35" spans="1:5" x14ac:dyDescent="0.2">
      <c r="A35" s="37">
        <f t="shared" si="1"/>
        <v>975000</v>
      </c>
      <c r="B35" s="36">
        <f t="shared" si="0"/>
        <v>27582.412916363217</v>
      </c>
      <c r="C35" s="38">
        <f>B35*Radio!$E$4</f>
        <v>6231970.3743231054</v>
      </c>
      <c r="D35" s="39">
        <f t="shared" si="2"/>
        <v>6.3917644864852363</v>
      </c>
      <c r="E35" s="38"/>
    </row>
    <row r="36" spans="1:5" x14ac:dyDescent="0.2">
      <c r="A36" s="76">
        <f t="shared" si="1"/>
        <v>1050000</v>
      </c>
      <c r="B36" s="77">
        <f t="shared" si="0"/>
        <v>28985.89036004059</v>
      </c>
      <c r="C36" s="38">
        <f>B36*Radio!$E$4</f>
        <v>6549072.0679475712</v>
      </c>
      <c r="D36" s="79">
        <f t="shared" si="2"/>
        <v>6.2372114932834011</v>
      </c>
      <c r="E36" s="78"/>
    </row>
    <row r="37" spans="1:5" x14ac:dyDescent="0.2">
      <c r="A37" s="37">
        <f t="shared" si="1"/>
        <v>1125000</v>
      </c>
      <c r="B37" s="36">
        <f t="shared" si="0"/>
        <v>30312.74493332766</v>
      </c>
      <c r="C37" s="38">
        <f>B37*Radio!$E$4</f>
        <v>6848861.590236051</v>
      </c>
      <c r="D37" s="39">
        <f t="shared" si="2"/>
        <v>6.087876969098712</v>
      </c>
      <c r="E37" s="38"/>
    </row>
    <row r="38" spans="1:5" x14ac:dyDescent="0.2">
      <c r="A38" s="37">
        <f t="shared" si="1"/>
        <v>1200000</v>
      </c>
      <c r="B38" s="36">
        <f t="shared" si="0"/>
        <v>31567.119443522766</v>
      </c>
      <c r="C38" s="38">
        <f>B38*Radio!$E$4</f>
        <v>7132274.9670695337</v>
      </c>
      <c r="D38" s="39">
        <f t="shared" si="2"/>
        <v>5.9435624725579448</v>
      </c>
      <c r="E38" s="38"/>
    </row>
    <row r="39" spans="1:5" x14ac:dyDescent="0.2">
      <c r="A39" s="37">
        <f t="shared" si="1"/>
        <v>1275000</v>
      </c>
      <c r="B39" s="36">
        <f t="shared" si="0"/>
        <v>32752.937025572173</v>
      </c>
      <c r="C39" s="38">
        <f>B39*Radio!$E$4</f>
        <v>7400198.5915577766</v>
      </c>
      <c r="D39" s="39">
        <f t="shared" si="2"/>
        <v>5.8040773267119814</v>
      </c>
      <c r="E39" s="38"/>
    </row>
    <row r="40" spans="1:5" x14ac:dyDescent="0.2">
      <c r="A40" s="37">
        <f t="shared" si="1"/>
        <v>1350000</v>
      </c>
      <c r="B40" s="36">
        <f t="shared" si="0"/>
        <v>33873.912327170372</v>
      </c>
      <c r="C40" s="38">
        <f>B40*Radio!$E$4</f>
        <v>7653471.7512008734</v>
      </c>
      <c r="D40" s="39">
        <f t="shared" si="2"/>
        <v>5.6692383342228689</v>
      </c>
      <c r="E40" s="38"/>
    </row>
    <row r="41" spans="1:5" x14ac:dyDescent="0.2">
      <c r="A41" s="37">
        <f>A40+(($C$18-$B$18)/$D$18)</f>
        <v>1425000</v>
      </c>
      <c r="B41" s="36">
        <f t="shared" si="0"/>
        <v>34933.562174494378</v>
      </c>
      <c r="C41" s="38">
        <f>B41*Radio!$E$4</f>
        <v>7892889.0377052594</v>
      </c>
      <c r="D41" s="39">
        <f t="shared" si="2"/>
        <v>5.5388695001440418</v>
      </c>
      <c r="E41" s="38"/>
    </row>
    <row r="42" spans="1:5" x14ac:dyDescent="0.2">
      <c r="A42" s="37">
        <f t="shared" si="1"/>
        <v>1500000</v>
      </c>
      <c r="B42" s="36">
        <f t="shared" si="0"/>
        <v>35935.21573710721</v>
      </c>
      <c r="C42" s="38">
        <f>B42*Radio!$E$4</f>
        <v>8119202.6436420027</v>
      </c>
      <c r="D42" s="39">
        <f t="shared" si="2"/>
        <v>5.4128017624280016</v>
      </c>
      <c r="E42" s="38"/>
    </row>
    <row r="43" spans="1:5" x14ac:dyDescent="0.2">
      <c r="A43" s="37">
        <f t="shared" si="1"/>
        <v>1575000</v>
      </c>
      <c r="B43" s="36">
        <f t="shared" ref="B43:B52" si="3">(($O$12/(1+EXP($M$12+$N$12*A43)))-1) - ($F$12-$C$12)</f>
        <v>36882.024210589938</v>
      </c>
      <c r="C43" s="38">
        <f>B43*Radio!$E$4</f>
        <v>8333124.5501406901</v>
      </c>
      <c r="D43" s="39">
        <f t="shared" ref="D43:D52" si="4">C43/A43</f>
        <v>5.2908727302480569</v>
      </c>
      <c r="E43" s="38"/>
    </row>
    <row r="44" spans="1:5" x14ac:dyDescent="0.2">
      <c r="A44" s="37">
        <f t="shared" si="1"/>
        <v>1650000</v>
      </c>
      <c r="B44" s="36">
        <f t="shared" si="3"/>
        <v>37776.970035319217</v>
      </c>
      <c r="C44" s="38">
        <f>B44*Radio!$E$4</f>
        <v>8535328.6097800229</v>
      </c>
      <c r="D44" s="39">
        <f t="shared" si="4"/>
        <v>5.1729264301697109</v>
      </c>
      <c r="E44" s="38"/>
    </row>
    <row r="45" spans="1:5" x14ac:dyDescent="0.2">
      <c r="A45" s="37">
        <f t="shared" si="1"/>
        <v>1725000</v>
      </c>
      <c r="B45" s="36">
        <f t="shared" si="3"/>
        <v>38622.875669664703</v>
      </c>
      <c r="C45" s="38">
        <f>B45*Radio!$E$4</f>
        <v>8726452.5288040433</v>
      </c>
      <c r="D45" s="39">
        <f t="shared" si="4"/>
        <v>5.0588130601762566</v>
      </c>
      <c r="E45" s="38"/>
    </row>
    <row r="46" spans="1:5" x14ac:dyDescent="0.2">
      <c r="A46" s="37">
        <f t="shared" si="1"/>
        <v>1800000</v>
      </c>
      <c r="B46" s="36">
        <f t="shared" si="3"/>
        <v>39422.411935631186</v>
      </c>
      <c r="C46" s="38">
        <f>B46*Radio!$E$4</f>
        <v>8907099.7527365107</v>
      </c>
      <c r="D46" s="39">
        <f t="shared" si="4"/>
        <v>4.9483887515202838</v>
      </c>
      <c r="E46" s="38"/>
    </row>
    <row r="47" spans="1:5" x14ac:dyDescent="0.2">
      <c r="A47" s="37">
        <f t="shared" si="1"/>
        <v>1875000</v>
      </c>
      <c r="B47" s="36">
        <f t="shared" si="3"/>
        <v>40178.105954617262</v>
      </c>
      <c r="C47" s="38">
        <f>B47*Radio!$E$4</f>
        <v>9077841.2593862247</v>
      </c>
      <c r="D47" s="39">
        <f t="shared" si="4"/>
        <v>4.8415153383393195</v>
      </c>
      <c r="E47" s="38"/>
    </row>
    <row r="48" spans="1:5" x14ac:dyDescent="0.2">
      <c r="A48" s="37">
        <f t="shared" si="1"/>
        <v>1950000</v>
      </c>
      <c r="B48" s="36">
        <f t="shared" si="3"/>
        <v>40892.348690632731</v>
      </c>
      <c r="C48" s="38">
        <f>B48*Radio!$E$4</f>
        <v>9239217.2631615587</v>
      </c>
      <c r="D48" s="39">
        <f t="shared" si="4"/>
        <v>4.7380601349546456</v>
      </c>
      <c r="E48" s="38"/>
    </row>
    <row r="49" spans="1:5" x14ac:dyDescent="0.2">
      <c r="A49" s="37">
        <f t="shared" si="1"/>
        <v>2025000</v>
      </c>
      <c r="B49" s="36">
        <f t="shared" si="3"/>
        <v>41567.402117878199</v>
      </c>
      <c r="C49" s="38">
        <f>B49*Radio!$E$4</f>
        <v>9391738.8345133997</v>
      </c>
      <c r="D49" s="39">
        <f t="shared" si="4"/>
        <v>4.6378957207473581</v>
      </c>
      <c r="E49" s="38"/>
    </row>
    <row r="50" spans="1:5" x14ac:dyDescent="0.2">
      <c r="A50" s="37">
        <f>A49+(($C$18-$B$18)/$D$18)</f>
        <v>2100000</v>
      </c>
      <c r="B50" s="36">
        <f t="shared" si="3"/>
        <v>42205.406029174104</v>
      </c>
      <c r="C50" s="38">
        <f>B50*Radio!$E$4</f>
        <v>9535889.4382315967</v>
      </c>
      <c r="D50" s="39">
        <f t="shared" si="4"/>
        <v>4.5408997324912361</v>
      </c>
      <c r="E50" s="38"/>
    </row>
    <row r="51" spans="1:5" x14ac:dyDescent="0.2">
      <c r="A51" s="37">
        <f t="shared" si="1"/>
        <v>2175000</v>
      </c>
      <c r="B51" s="36">
        <f t="shared" si="3"/>
        <v>42808.384501248598</v>
      </c>
      <c r="C51" s="38">
        <f>B51*Radio!$E$4</f>
        <v>9672126.3942121081</v>
      </c>
      <c r="D51" s="39">
        <f t="shared" si="4"/>
        <v>4.4469546640055668</v>
      </c>
      <c r="E51" s="38"/>
    </row>
    <row r="52" spans="1:5" x14ac:dyDescent="0.2">
      <c r="A52" s="37">
        <f t="shared" si="1"/>
        <v>2250000</v>
      </c>
      <c r="B52" s="36">
        <f t="shared" si="3"/>
        <v>43378.252032381482</v>
      </c>
      <c r="C52" s="38">
        <f>B52*Radio!$E$4</f>
        <v>9800882.2641962729</v>
      </c>
      <c r="D52" s="39">
        <f t="shared" si="4"/>
        <v>4.3559476729761215</v>
      </c>
      <c r="E52" s="38"/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headerFooter>
    <oddHeader>&amp;L&amp;"Calibri"&amp;12&amp;K8E6A00 Confidential&amp;1#_x000D_</oddHead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F3A55744-9032-4525-A80E-70C6F57A345E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Radio</vt:lpstr>
      <vt:lpstr>Data</vt:lpstr>
      <vt:lpstr>Radio - Power</vt:lpstr>
      <vt:lpstr>Radio - Scurve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2024-03-11T07:00:20Z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cd227225-4586-4bda-b25e-f654c0432825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  <property fmtid="{D5CDD505-2E9C-101B-9397-08002B2CF9AE}" pid="7" name="MSIP_Label_2c56a699-e9bd-437a-8412-901342082749_Enabled">
    <vt:lpwstr>true</vt:lpwstr>
  </property>
  <property fmtid="{D5CDD505-2E9C-101B-9397-08002B2CF9AE}" pid="8" name="MSIP_Label_2c56a699-e9bd-437a-8412-901342082749_SetDate">
    <vt:lpwstr>2024-03-06T05:52:52Z</vt:lpwstr>
  </property>
  <property fmtid="{D5CDD505-2E9C-101B-9397-08002B2CF9AE}" pid="9" name="MSIP_Label_2c56a699-e9bd-437a-8412-901342082749_Method">
    <vt:lpwstr>Privileged</vt:lpwstr>
  </property>
  <property fmtid="{D5CDD505-2E9C-101B-9397-08002B2CF9AE}" pid="10" name="MSIP_Label_2c56a699-e9bd-437a-8412-901342082749_Name">
    <vt:lpwstr>2c56a699-e9bd-437a-8412-901342082749</vt:lpwstr>
  </property>
  <property fmtid="{D5CDD505-2E9C-101B-9397-08002B2CF9AE}" pid="11" name="MSIP_Label_2c56a699-e9bd-437a-8412-901342082749_SiteId">
    <vt:lpwstr>a00de4ec-48a8-43a6-be74-e31274e2060d</vt:lpwstr>
  </property>
  <property fmtid="{D5CDD505-2E9C-101B-9397-08002B2CF9AE}" pid="12" name="MSIP_Label_2c56a699-e9bd-437a-8412-901342082749_ActionId">
    <vt:lpwstr>2f054bff-df24-4297-b7d3-750d3f3d8d41</vt:lpwstr>
  </property>
  <property fmtid="{D5CDD505-2E9C-101B-9397-08002B2CF9AE}" pid="13" name="MSIP_Label_2c56a699-e9bd-437a-8412-901342082749_ContentBits">
    <vt:lpwstr>1</vt:lpwstr>
  </property>
</Properties>
</file>