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ult\"/>
    </mc:Choice>
  </mc:AlternateContent>
  <xr:revisionPtr revIDLastSave="0" documentId="13_ncr:1_{40DAEF27-E353-47D0-B179-B74808225BF0}" xr6:coauthVersionLast="47" xr6:coauthVersionMax="47" xr10:uidLastSave="{00000000-0000-0000-0000-000000000000}"/>
  <bookViews>
    <workbookView xWindow="-120" yWindow="-120" windowWidth="20730" windowHeight="11160" tabRatio="574" xr2:uid="{00000000-000D-0000-FFFF-FFFF00000000}"/>
  </bookViews>
  <sheets>
    <sheet name="Streaming Video" sheetId="13" r:id="rId1"/>
    <sheet name="Data" sheetId="14" r:id="rId2"/>
    <sheet name="Streaming Video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3" l="1"/>
  <c r="F9" i="13" s="1"/>
  <c r="G5" i="13" s="1"/>
  <c r="D12" i="15"/>
  <c r="I5" i="14" l="1"/>
  <c r="H5" i="14"/>
  <c r="B12" i="15" s="1"/>
  <c r="A21" i="15"/>
  <c r="D6" i="13"/>
  <c r="J5" i="14" l="1"/>
  <c r="C12" i="15"/>
  <c r="E9" i="15" s="1"/>
  <c r="F9" i="15" s="1"/>
  <c r="G9" i="15"/>
  <c r="H9" i="15" s="1"/>
  <c r="I9" i="15" s="1"/>
  <c r="A22" i="15"/>
  <c r="A23" i="15" s="1"/>
  <c r="B23" i="15" s="1"/>
  <c r="C23" i="15" s="1"/>
  <c r="D23" i="15" s="1"/>
  <c r="C9" i="15"/>
  <c r="B9" i="15"/>
  <c r="K5" i="14"/>
  <c r="B21" i="15" l="1"/>
  <c r="C21" i="15" s="1"/>
  <c r="A24" i="15"/>
  <c r="B22" i="15"/>
  <c r="C22" i="15" s="1"/>
  <c r="D22" i="15" s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</calcChain>
</file>

<file path=xl/sharedStrings.xml><?xml version="1.0" encoding="utf-8"?>
<sst xmlns="http://schemas.openxmlformats.org/spreadsheetml/2006/main" count="125" uniqueCount="95">
  <si>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</si>
  <si>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</si>
  <si>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</si>
  <si>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</si>
  <si>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</si>
  <si>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</si>
  <si>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</si>
  <si>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</si>
  <si>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</si>
  <si>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</si>
  <si>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</si>
  <si>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</si>
  <si>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</si>
  <si>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</si>
  <si>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</si>
  <si>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</si>
  <si>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</si>
  <si>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</si>
  <si>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</si>
  <si>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</si>
  <si>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</si>
  <si>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</si>
  <si>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</si>
  <si>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</si>
  <si>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</si>
  <si>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</si>
  <si>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</si>
  <si>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</si>
  <si>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</si>
  <si>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</si>
  <si>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</si>
  <si>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</si>
  <si>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</si>
  <si>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</si>
  <si>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</si>
  <si>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</si>
  <si>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</si>
  <si>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</si>
  <si>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</si>
  <si>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</si>
  <si>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</si>
  <si>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</si>
  <si>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</si>
  <si>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</si>
  <si>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</si>
  <si>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</si>
  <si>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</si>
  <si>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</si>
  <si>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</si>
  <si>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</si>
  <si>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</si>
  <si>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</si>
  <si>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</si>
  <si>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</si>
  <si>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</si>
  <si>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</si>
  <si>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</si>
  <si>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</si>
  <si>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</si>
  <si>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</si>
  <si>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</si>
  <si>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</si>
  <si>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</si>
  <si>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</si>
  <si>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</si>
  <si>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</si>
  <si>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</si>
  <si>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</si>
  <si>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</si>
  <si>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</si>
  <si>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</si>
  <si>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</si>
  <si>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</si>
  <si>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</si>
  <si>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</si>
  <si>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</si>
  <si>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</si>
  <si>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</si>
  <si>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</si>
  <si>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</si>
  <si>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</si>
  <si>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</si>
  <si>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</si>
  <si>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HCC TV</t>
  </si>
  <si>
    <t>Doses</t>
  </si>
  <si>
    <t>Y (Incr. doses)</t>
  </si>
  <si>
    <t>Given a set of X and Y values, a power function (i.e., a smooth continuous curve) is fit for each pair of values</t>
  </si>
  <si>
    <t>Streaming Video</t>
  </si>
  <si>
    <t>Power Curve</t>
  </si>
  <si>
    <t>Revenue</t>
  </si>
  <si>
    <t>Merck GARDASIL streaming TV: Incremental Doses per Tactic with ROI, Spend and Incremental Revenue</t>
  </si>
  <si>
    <t>2023 Spend</t>
  </si>
  <si>
    <t>2022 ROI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</si>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</sst>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74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17" fillId="0" borderId="0" xfId="0" applyFont="1"/>
    <xf numFmtId="169" fontId="17" fillId="0" borderId="0" xfId="0" applyNumberFormat="1" applyFont="1"/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4" fillId="35" borderId="10" xfId="0" applyNumberFormat="1" applyFont="1" applyFill="1" applyBorder="1" applyAlignment="1">
      <alignment horizontal="center" vertical="center"/>
    </xf>
    <xf numFmtId="165" fontId="34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5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0" fontId="36" fillId="0" borderId="52" xfId="0" applyFont="1" applyBorder="1"/>
    <xf numFmtId="0" fontId="37" fillId="0" borderId="51" xfId="0" applyFont="1" applyBorder="1" applyAlignment="1">
      <alignment horizontal="center" vertical="center"/>
    </xf>
    <xf numFmtId="0" fontId="38" fillId="47" borderId="53" xfId="0" applyFont="1" applyFill="1" applyBorder="1" applyAlignment="1">
      <alignment vertical="center"/>
    </xf>
    <xf numFmtId="6" fontId="38" fillId="0" borderId="54" xfId="0" applyNumberFormat="1" applyFont="1" applyBorder="1" applyAlignment="1">
      <alignment horizontal="center" vertical="center"/>
    </xf>
    <xf numFmtId="0" fontId="38" fillId="0" borderId="54" xfId="0" applyFont="1" applyBorder="1" applyAlignment="1">
      <alignment horizontal="center" vertical="center"/>
    </xf>
    <xf numFmtId="3" fontId="38" fillId="0" borderId="54" xfId="0" applyNumberFormat="1" applyFont="1" applyBorder="1" applyAlignment="1">
      <alignment horizontal="center" vertical="center"/>
    </xf>
    <xf numFmtId="6" fontId="38" fillId="0" borderId="54" xfId="0" applyNumberFormat="1" applyFont="1" applyBorder="1" applyAlignment="1">
      <alignment vertical="center"/>
    </xf>
    <xf numFmtId="3" fontId="0" fillId="0" borderId="0" xfId="0" applyNumberFormat="1"/>
    <xf numFmtId="2" fontId="0" fillId="0" borderId="52" xfId="0" applyNumberFormat="1" applyBorder="1" applyAlignment="1">
      <alignment horizontal="center" vertical="center" wrapText="1"/>
    </xf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'Streaming Video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'Streaming Video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'Streaming Video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29664.267906017012</c:v>
                </c:pt>
                <c:pt idx="2">
                  <c:v>48189.745385631373</c:v>
                </c:pt>
                <c:pt idx="3">
                  <c:v>64005.679573749141</c:v>
                </c:pt>
                <c:pt idx="4">
                  <c:v>78284.472338551859</c:v>
                </c:pt>
                <c:pt idx="5">
                  <c:v>91519.289054054432</c:v>
                </c:pt>
                <c:pt idx="6">
                  <c:v>103977.5332283742</c:v>
                </c:pt>
                <c:pt idx="7">
                  <c:v>115824.9876913214</c:v>
                </c:pt>
                <c:pt idx="8">
                  <c:v>127173.50050894433</c:v>
                </c:pt>
                <c:pt idx="9">
                  <c:v>138103.08856017585</c:v>
                </c:pt>
                <c:pt idx="10">
                  <c:v>148673.52369394942</c:v>
                </c:pt>
                <c:pt idx="11">
                  <c:v>158930.96279203557</c:v>
                </c:pt>
                <c:pt idx="12">
                  <c:v>168912.0010639141</c:v>
                </c:pt>
                <c:pt idx="13">
                  <c:v>178646.28169763539</c:v>
                </c:pt>
                <c:pt idx="14">
                  <c:v>188158.24762041459</c:v>
                </c:pt>
                <c:pt idx="15">
                  <c:v>197468.3585170483</c:v>
                </c:pt>
                <c:pt idx="16">
                  <c:v>206593.96108280195</c:v>
                </c:pt>
                <c:pt idx="17">
                  <c:v>215549.92678642357</c:v>
                </c:pt>
                <c:pt idx="18">
                  <c:v>224349.12925440047</c:v>
                </c:pt>
                <c:pt idx="19">
                  <c:v>233002.80825994932</c:v>
                </c:pt>
                <c:pt idx="20">
                  <c:v>241520.85179027193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419099</xdr:colOff>
      <xdr:row>21</xdr:row>
      <xdr:rowOff>48448</xdr:rowOff>
    </xdr:from>
    <xdr:to>
      <xdr:col>9</xdr:col>
      <xdr:colOff>11373</xdr:colOff>
      <xdr:row>37</xdr:row>
      <xdr:rowOff>79156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tabSelected="1" zoomScale="120" zoomScaleNormal="120" workbookViewId="0">
      <selection activeCell="E9" sqref="E9"/>
    </sheetView>
  </sheetViews>
  <sheetFormatPr defaultRowHeight="15" x14ac:dyDescent="0.25"/>
  <cols>
    <col min="3" max="3" width="18.5703125" customWidth="1"/>
    <col min="4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71</v>
      </c>
      <c r="E4" s="79" t="s">
        <v>0</v>
      </c>
      <c r="F4" s="79" t="s">
        <v>72</v>
      </c>
      <c r="G4" s="79" t="s">
        <v>73</v>
      </c>
      <c r="L4" s="81"/>
    </row>
    <row r="5" spans="3:12" x14ac:dyDescent="0.25">
      <c r="C5" t="s">
        <v>87</v>
      </c>
      <c r="D5" s="82">
        <v>13418576</v>
      </c>
      <c r="E5" s="83">
        <v>3.0754936172850544</v>
      </c>
      <c r="F5" s="82">
        <v>225.94</v>
      </c>
      <c r="G5" s="84">
        <f>F9</f>
        <v>182653.55776336382</v>
      </c>
      <c r="L5" s="85"/>
    </row>
    <row r="6" spans="3:12" x14ac:dyDescent="0.25">
      <c r="C6" s="86"/>
      <c r="D6" s="87">
        <f>SUM(D5:D5)</f>
        <v>13418576</v>
      </c>
      <c r="E6" s="87"/>
      <c r="F6" s="87"/>
      <c r="G6" s="88"/>
      <c r="L6" s="85"/>
    </row>
    <row r="7" spans="3:12" ht="15.75" thickBot="1" x14ac:dyDescent="0.3">
      <c r="L7" s="85"/>
    </row>
    <row r="8" spans="3:12" ht="15.75" thickBot="1" x14ac:dyDescent="0.3">
      <c r="C8" s="121"/>
      <c r="D8" s="122" t="s">
        <v>91</v>
      </c>
      <c r="E8" s="122" t="s">
        <v>92</v>
      </c>
      <c r="F8" s="122" t="s">
        <v>69</v>
      </c>
      <c r="G8" s="122" t="s">
        <v>88</v>
      </c>
      <c r="H8" s="122" t="s">
        <v>89</v>
      </c>
      <c r="K8" s="89"/>
      <c r="L8" s="90"/>
    </row>
    <row r="9" spans="3:12" ht="15.75" thickBot="1" x14ac:dyDescent="0.3">
      <c r="C9" s="123" t="s">
        <v>87</v>
      </c>
      <c r="D9" s="124">
        <v>13418576</v>
      </c>
      <c r="E9" s="129">
        <v>3.0754936172850544</v>
      </c>
      <c r="F9" s="126">
        <f>H9/F5</f>
        <v>182653.55776336382</v>
      </c>
      <c r="G9" s="125">
        <v>0.7</v>
      </c>
      <c r="H9" s="127">
        <f>D9*E9</f>
        <v>41268744.841054417</v>
      </c>
    </row>
  </sheetData>
  <pageMargins left="0.7" right="0.7" top="0.75" bottom="0.75" header="0.3" footer="0.3"/>
  <pageSetup orientation="portrait" r:id="rId1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91" bestFit="1" customWidth="1"/>
    <col min="2" max="2" width="8" style="91" bestFit="1" customWidth="1"/>
    <col min="3" max="3" width="40.28515625" style="91" bestFit="1" customWidth="1"/>
    <col min="4" max="4" width="7.28515625" style="91" bestFit="1" customWidth="1"/>
    <col min="5" max="5" width="4.5703125" style="91" customWidth="1"/>
    <col min="6" max="6" width="18" style="91" bestFit="1" customWidth="1"/>
    <col min="7" max="7" width="3.5703125" style="91" customWidth="1"/>
    <col min="8" max="8" width="14.140625" style="91" bestFit="1" customWidth="1"/>
    <col min="9" max="9" width="12.28515625" style="91" customWidth="1"/>
    <col min="10" max="10" width="12.140625" style="91" customWidth="1"/>
    <col min="11" max="11" width="14.28515625" style="91" customWidth="1"/>
    <col min="12" max="12" width="11.7109375" style="91" customWidth="1"/>
    <col min="13" max="16384" width="9.140625" style="91"/>
  </cols>
  <sheetData>
    <row r="1" spans="1:11" x14ac:dyDescent="0.3">
      <c r="A1" s="130" t="s">
        <v>90</v>
      </c>
      <c r="B1" s="130"/>
      <c r="C1" s="130"/>
      <c r="D1" s="130"/>
      <c r="E1" s="130"/>
      <c r="F1" s="130"/>
      <c r="G1" s="130"/>
      <c r="H1" s="130"/>
      <c r="I1" s="130"/>
      <c r="J1" s="130"/>
    </row>
    <row r="3" spans="1:11" x14ac:dyDescent="0.3">
      <c r="B3" s="92" t="s">
        <v>1</v>
      </c>
      <c r="C3" s="92"/>
      <c r="D3" s="92"/>
      <c r="H3" s="131" t="s">
        <v>94</v>
      </c>
      <c r="I3" s="132"/>
      <c r="J3" s="132"/>
      <c r="K3" s="132"/>
    </row>
    <row r="4" spans="1:11" ht="66" x14ac:dyDescent="0.3">
      <c r="B4" s="92">
        <v>2022</v>
      </c>
      <c r="C4" s="92" t="s">
        <v>74</v>
      </c>
      <c r="D4" s="93"/>
      <c r="F4" s="94" t="s">
        <v>93</v>
      </c>
      <c r="H4" s="95" t="s">
        <v>2</v>
      </c>
      <c r="I4" s="95" t="s">
        <v>75</v>
      </c>
      <c r="J4" s="95" t="s">
        <v>76</v>
      </c>
      <c r="K4" s="96" t="s">
        <v>77</v>
      </c>
    </row>
    <row r="5" spans="1:11" s="97" customFormat="1" ht="25.5" customHeight="1" x14ac:dyDescent="0.3">
      <c r="B5" s="92">
        <v>2022</v>
      </c>
      <c r="C5" s="92" t="s">
        <v>78</v>
      </c>
      <c r="D5" s="98">
        <v>225.94</v>
      </c>
      <c r="F5" s="128">
        <v>4647854</v>
      </c>
      <c r="G5" s="91"/>
      <c r="H5" s="99">
        <f>'Streaming Video'!D5</f>
        <v>13418576</v>
      </c>
      <c r="I5" s="100">
        <f>'Streaming Video'!G5</f>
        <v>182653.55776336382</v>
      </c>
      <c r="J5" s="101">
        <f>I5/F5</f>
        <v>3.9298471458734247E-2</v>
      </c>
      <c r="K5" s="102">
        <f>H5/I5</f>
        <v>73.464629785007475</v>
      </c>
    </row>
    <row r="6" spans="1:11" s="97" customFormat="1" x14ac:dyDescent="0.3">
      <c r="B6" s="103"/>
      <c r="C6" s="103"/>
      <c r="D6" s="104"/>
      <c r="H6" s="105" t="s">
        <v>79</v>
      </c>
    </row>
    <row r="7" spans="1:11" s="97" customFormat="1" x14ac:dyDescent="0.3">
      <c r="B7" s="103"/>
      <c r="C7" s="103"/>
      <c r="D7" s="104"/>
    </row>
    <row r="8" spans="1:11" s="97" customFormat="1" x14ac:dyDescent="0.3">
      <c r="B8" s="103"/>
      <c r="C8" s="103"/>
      <c r="D8" s="104"/>
    </row>
    <row r="10" spans="1:11" x14ac:dyDescent="0.3">
      <c r="H10" s="106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topLeftCell="A4" workbookViewId="0">
      <selection activeCell="G12" sqref="G12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86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83</v>
      </c>
      <c r="C3" s="72" t="s">
        <v>10</v>
      </c>
      <c r="D3" s="5" t="s">
        <v>69</v>
      </c>
      <c r="E3" s="72" t="s">
        <v>47</v>
      </c>
      <c r="F3" s="5" t="s">
        <v>84</v>
      </c>
      <c r="G3" s="1"/>
      <c r="H3" s="1"/>
      <c r="I3" s="1"/>
    </row>
    <row r="4" spans="1:9" ht="15.75" thickBot="1" x14ac:dyDescent="0.3">
      <c r="A4" s="73" t="s">
        <v>11</v>
      </c>
      <c r="B4" s="133"/>
      <c r="C4" s="134"/>
      <c r="D4" s="134"/>
      <c r="E4" s="134"/>
      <c r="F4" s="135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20">
        <v>0.8</v>
      </c>
      <c r="C6" s="120">
        <v>1.2</v>
      </c>
      <c r="D6" s="1"/>
      <c r="E6" s="1"/>
      <c r="F6" s="1"/>
      <c r="G6" s="1"/>
      <c r="H6" s="1"/>
      <c r="I6" s="1"/>
    </row>
    <row r="7" spans="1:9" x14ac:dyDescent="0.25">
      <c r="A7" s="136" t="s">
        <v>12</v>
      </c>
      <c r="B7" s="139" t="s">
        <v>13</v>
      </c>
      <c r="C7" s="139"/>
      <c r="D7" s="139" t="s">
        <v>14</v>
      </c>
      <c r="E7" s="139"/>
      <c r="F7" s="139"/>
      <c r="G7" s="139" t="s">
        <v>59</v>
      </c>
      <c r="H7" s="139"/>
      <c r="I7" s="140"/>
    </row>
    <row r="8" spans="1:9" x14ac:dyDescent="0.25">
      <c r="A8" s="137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38"/>
      <c r="B9" s="107">
        <f>Data!$H$5*'Streaming Video - Power'!B6</f>
        <v>10734860.800000001</v>
      </c>
      <c r="C9" s="107">
        <f>Data!$H$5*'Streaming Video - Power'!C6</f>
        <v>16102291.199999999</v>
      </c>
      <c r="D9" s="108"/>
      <c r="E9" s="109">
        <f>(('Streaming Video - Power'!D9/$B$12)^$D$12)*$C$12</f>
        <v>0</v>
      </c>
      <c r="F9" s="110">
        <f>E9*F11</f>
        <v>0</v>
      </c>
      <c r="G9" s="111">
        <f>B12</f>
        <v>13418576</v>
      </c>
      <c r="H9" s="109">
        <f>(('Streaming Video - Power'!G9/$B$12)^$D$12)*$C$12</f>
        <v>182653.55776336382</v>
      </c>
      <c r="I9" s="112">
        <f>H9*F11</f>
        <v>182653.55776336382</v>
      </c>
    </row>
    <row r="10" spans="1:9" ht="15.75" thickBot="1" x14ac:dyDescent="0.3"/>
    <row r="11" spans="1:9" ht="48.95" customHeight="1" x14ac:dyDescent="0.25">
      <c r="A11" s="141" t="s">
        <v>20</v>
      </c>
      <c r="B11" s="76" t="s">
        <v>21</v>
      </c>
      <c r="C11" s="76" t="s">
        <v>22</v>
      </c>
      <c r="D11" s="76" t="s">
        <v>80</v>
      </c>
      <c r="E11" s="78" t="s">
        <v>66</v>
      </c>
      <c r="F11" s="113">
        <v>1</v>
      </c>
    </row>
    <row r="12" spans="1:9" ht="40.35" customHeight="1" thickBot="1" x14ac:dyDescent="0.3">
      <c r="A12" s="141"/>
      <c r="B12" s="114">
        <f>Data!H5</f>
        <v>13418576</v>
      </c>
      <c r="C12" s="115">
        <f>Data!I5</f>
        <v>182653.55776336382</v>
      </c>
      <c r="D12" s="116">
        <f>'Streaming Video'!G9</f>
        <v>0.7</v>
      </c>
      <c r="E12" s="78" t="s">
        <v>60</v>
      </c>
      <c r="F12" s="117">
        <v>1</v>
      </c>
    </row>
    <row r="13" spans="1:9" ht="18.75" customHeight="1" x14ac:dyDescent="0.25">
      <c r="A13" s="142" t="s">
        <v>81</v>
      </c>
      <c r="B13" s="143"/>
      <c r="C13" s="143"/>
      <c r="D13" s="143"/>
      <c r="E13" s="78" t="s">
        <v>65</v>
      </c>
      <c r="F13" s="78" t="s">
        <v>64</v>
      </c>
    </row>
    <row r="14" spans="1:9" ht="15.75" thickBot="1" x14ac:dyDescent="0.3">
      <c r="A14" s="144"/>
      <c r="B14" s="145"/>
      <c r="C14" s="145"/>
      <c r="D14" s="145"/>
      <c r="E14" s="74"/>
      <c r="F14" s="74"/>
    </row>
    <row r="15" spans="1:9" ht="15.75" thickBot="1" x14ac:dyDescent="0.3"/>
    <row r="16" spans="1:9" x14ac:dyDescent="0.25">
      <c r="A16" s="146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47"/>
      <c r="B17" s="9">
        <v>0</v>
      </c>
      <c r="C17" s="9">
        <v>20000000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41" t="s">
        <v>61</v>
      </c>
      <c r="B19" s="141"/>
      <c r="C19" s="141"/>
      <c r="D19" s="1"/>
    </row>
    <row r="20" spans="1:4" ht="25.5" x14ac:dyDescent="0.25">
      <c r="A20" s="78" t="s">
        <v>62</v>
      </c>
      <c r="B20" s="78" t="s">
        <v>85</v>
      </c>
      <c r="C20" s="78" t="s">
        <v>82</v>
      </c>
    </row>
    <row r="21" spans="1:4" x14ac:dyDescent="0.25">
      <c r="A21" s="118">
        <f>B17</f>
        <v>0</v>
      </c>
      <c r="B21" s="109">
        <f>(('Streaming Video - Power'!A21/$B$12)^$D$12)*$C$12</f>
        <v>0</v>
      </c>
      <c r="C21" s="119">
        <f>B21*'Streaming Video'!$F$5</f>
        <v>0</v>
      </c>
    </row>
    <row r="22" spans="1:4" x14ac:dyDescent="0.25">
      <c r="A22" s="118">
        <f>A21+(($C$17-$B$17)/$D$17)</f>
        <v>1000000</v>
      </c>
      <c r="B22" s="109">
        <f>(('Streaming Video - Power'!A22/$B$12)^$D$12)*$C$12</f>
        <v>29664.267906017012</v>
      </c>
      <c r="C22" s="119">
        <f>B22*'Streaming Video'!$F$5</f>
        <v>6702344.6906854836</v>
      </c>
      <c r="D22">
        <f>C22/A22</f>
        <v>6.702344690685484</v>
      </c>
    </row>
    <row r="23" spans="1:4" x14ac:dyDescent="0.25">
      <c r="A23" s="118">
        <f t="shared" ref="A23:A41" si="0">A22+(($C$17-$B$17)/$D$17)</f>
        <v>2000000</v>
      </c>
      <c r="B23" s="109">
        <f>(('Streaming Video - Power'!A23/$B$12)^$D$12)*$C$12</f>
        <v>48189.745385631373</v>
      </c>
      <c r="C23" s="119">
        <f>B23*'Streaming Video'!$F$5</f>
        <v>10887991.072429553</v>
      </c>
      <c r="D23">
        <f t="shared" ref="D23:D41" si="1">C23/A23</f>
        <v>5.4439955362147767</v>
      </c>
    </row>
    <row r="24" spans="1:4" x14ac:dyDescent="0.25">
      <c r="A24" s="118">
        <f t="shared" si="0"/>
        <v>3000000</v>
      </c>
      <c r="B24" s="109">
        <f>(('Streaming Video - Power'!A24/$B$12)^$D$12)*$C$12</f>
        <v>64005.679573749141</v>
      </c>
      <c r="C24" s="119">
        <f>B24*'Streaming Video'!$F$5</f>
        <v>14461443.24289288</v>
      </c>
      <c r="D24">
        <f t="shared" si="1"/>
        <v>4.8204810809642931</v>
      </c>
    </row>
    <row r="25" spans="1:4" x14ac:dyDescent="0.25">
      <c r="A25" s="118">
        <f t="shared" si="0"/>
        <v>4000000</v>
      </c>
      <c r="B25" s="109">
        <f>(('Streaming Video - Power'!A25/$B$12)^$D$12)*$C$12</f>
        <v>78284.472338551859</v>
      </c>
      <c r="C25" s="119">
        <f>B25*'Streaming Video'!$F$5</f>
        <v>17687593.680172406</v>
      </c>
      <c r="D25">
        <f t="shared" si="1"/>
        <v>4.4218984200431013</v>
      </c>
    </row>
    <row r="26" spans="1:4" x14ac:dyDescent="0.25">
      <c r="A26" s="118">
        <f t="shared" si="0"/>
        <v>5000000</v>
      </c>
      <c r="B26" s="109">
        <f>(('Streaming Video - Power'!A26/$B$12)^$D$12)*$C$12</f>
        <v>91519.289054054432</v>
      </c>
      <c r="C26" s="119">
        <f>B26*'Streaming Video'!$F$5</f>
        <v>20677868.168873057</v>
      </c>
      <c r="D26">
        <f t="shared" si="1"/>
        <v>4.1355736337746114</v>
      </c>
    </row>
    <row r="27" spans="1:4" x14ac:dyDescent="0.25">
      <c r="A27" s="118">
        <f t="shared" si="0"/>
        <v>6000000</v>
      </c>
      <c r="B27" s="109">
        <f>(('Streaming Video - Power'!A27/$B$12)^$D$12)*$C$12</f>
        <v>103977.5332283742</v>
      </c>
      <c r="C27" s="119">
        <f>B27*'Streaming Video'!$F$5</f>
        <v>23492683.857618868</v>
      </c>
      <c r="D27">
        <f t="shared" si="1"/>
        <v>3.9154473096031448</v>
      </c>
    </row>
    <row r="28" spans="1:4" x14ac:dyDescent="0.25">
      <c r="A28" s="118">
        <f t="shared" si="0"/>
        <v>7000000</v>
      </c>
      <c r="B28" s="109">
        <f>(('Streaming Video - Power'!A28/$B$12)^$D$12)*$C$12</f>
        <v>115824.9876913214</v>
      </c>
      <c r="C28" s="119">
        <f>B28*'Streaming Video'!$F$5</f>
        <v>26169497.718977157</v>
      </c>
      <c r="D28">
        <f t="shared" si="1"/>
        <v>3.7384996741395939</v>
      </c>
    </row>
    <row r="29" spans="1:4" x14ac:dyDescent="0.25">
      <c r="A29" s="118">
        <f t="shared" si="0"/>
        <v>8000000</v>
      </c>
      <c r="B29" s="109">
        <f>(('Streaming Video - Power'!A29/$B$12)^$D$12)*$C$12</f>
        <v>127173.50050894433</v>
      </c>
      <c r="C29" s="119">
        <f>B29*'Streaming Video'!$F$5</f>
        <v>28733580.704990882</v>
      </c>
      <c r="D29">
        <f t="shared" si="1"/>
        <v>3.5916975881238602</v>
      </c>
    </row>
    <row r="30" spans="1:4" x14ac:dyDescent="0.25">
      <c r="A30" s="118">
        <f t="shared" si="0"/>
        <v>9000000</v>
      </c>
      <c r="B30" s="109">
        <f>(('Streaming Video - Power'!A30/$B$12)^$D$12)*$C$12</f>
        <v>138103.08856017585</v>
      </c>
      <c r="C30" s="119">
        <f>B30*'Streaming Video'!$F$5</f>
        <v>31203011.829286132</v>
      </c>
      <c r="D30">
        <f t="shared" si="1"/>
        <v>3.4670013143651257</v>
      </c>
    </row>
    <row r="31" spans="1:4" x14ac:dyDescent="0.25">
      <c r="A31" s="118">
        <f t="shared" si="0"/>
        <v>10000000</v>
      </c>
      <c r="B31" s="109">
        <f>(('Streaming Video - Power'!A31/$B$12)^$D$12)*$C$12</f>
        <v>148673.52369394942</v>
      </c>
      <c r="C31" s="119">
        <f>B31*'Streaming Video'!$F$5</f>
        <v>33591295.943410933</v>
      </c>
      <c r="D31">
        <f t="shared" si="1"/>
        <v>3.3591295943410935</v>
      </c>
    </row>
    <row r="32" spans="1:4" x14ac:dyDescent="0.25">
      <c r="A32" s="118">
        <f t="shared" si="0"/>
        <v>11000000</v>
      </c>
      <c r="B32" s="109">
        <f>(('Streaming Video - Power'!A32/$B$12)^$D$12)*$C$12</f>
        <v>158930.96279203557</v>
      </c>
      <c r="C32" s="119">
        <f>B32*'Streaming Video'!$F$5</f>
        <v>35908861.733232513</v>
      </c>
      <c r="D32">
        <f t="shared" si="1"/>
        <v>3.2644419757484102</v>
      </c>
    </row>
    <row r="33" spans="1:4" x14ac:dyDescent="0.25">
      <c r="A33" s="118">
        <f t="shared" si="0"/>
        <v>12000000</v>
      </c>
      <c r="B33" s="109">
        <f>(('Streaming Video - Power'!A33/$B$12)^$D$12)*$C$12</f>
        <v>168912.0010639141</v>
      </c>
      <c r="C33" s="119">
        <f>B33*'Streaming Video'!$F$5</f>
        <v>38163977.52038075</v>
      </c>
      <c r="D33">
        <f t="shared" si="1"/>
        <v>3.1803314600317294</v>
      </c>
    </row>
    <row r="34" spans="1:4" x14ac:dyDescent="0.25">
      <c r="A34" s="118">
        <f t="shared" si="0"/>
        <v>13000000</v>
      </c>
      <c r="B34" s="109">
        <f>(('Streaming Video - Power'!A34/$B$12)^$D$12)*$C$12</f>
        <v>178646.28169763539</v>
      </c>
      <c r="C34" s="119">
        <f>B34*'Streaming Video'!$F$5</f>
        <v>40363340.886763744</v>
      </c>
      <c r="D34">
        <f t="shared" si="1"/>
        <v>3.1048723759049035</v>
      </c>
    </row>
    <row r="35" spans="1:4" x14ac:dyDescent="0.25">
      <c r="A35" s="118">
        <f t="shared" si="0"/>
        <v>14000000</v>
      </c>
      <c r="B35" s="109">
        <f>(('Streaming Video - Power'!A35/$B$12)^$D$12)*$C$12</f>
        <v>188158.24762041459</v>
      </c>
      <c r="C35" s="119">
        <f>B35*'Streaming Video'!$F$5</f>
        <v>42512474.467356473</v>
      </c>
      <c r="D35">
        <f t="shared" si="1"/>
        <v>3.0366053190968909</v>
      </c>
    </row>
    <row r="36" spans="1:4" x14ac:dyDescent="0.25">
      <c r="A36" s="118">
        <f t="shared" si="0"/>
        <v>15000000</v>
      </c>
      <c r="B36" s="109">
        <f>(('Streaming Video - Power'!A36/$B$12)^$D$12)*$C$12</f>
        <v>197468.3585170483</v>
      </c>
      <c r="C36" s="119">
        <f>B36*'Streaming Video'!$F$5</f>
        <v>44616000.923341893</v>
      </c>
      <c r="D36">
        <f t="shared" si="1"/>
        <v>2.9744000615561261</v>
      </c>
    </row>
    <row r="37" spans="1:4" x14ac:dyDescent="0.25">
      <c r="A37" s="118">
        <f t="shared" si="0"/>
        <v>16000000</v>
      </c>
      <c r="B37" s="109">
        <f>(('Streaming Video - Power'!A37/$B$12)^$D$12)*$C$12</f>
        <v>206593.96108280195</v>
      </c>
      <c r="C37" s="119">
        <f>B37*'Streaming Video'!$F$5</f>
        <v>46677839.567048274</v>
      </c>
      <c r="D37">
        <f t="shared" si="1"/>
        <v>2.9173649729405171</v>
      </c>
    </row>
    <row r="38" spans="1:4" x14ac:dyDescent="0.25">
      <c r="A38" s="118">
        <f t="shared" si="0"/>
        <v>17000000</v>
      </c>
      <c r="B38" s="109">
        <f>(('Streaming Video - Power'!A38/$B$12)^$D$12)*$C$12</f>
        <v>215549.92678642357</v>
      </c>
      <c r="C38" s="119">
        <f>B38*'Streaming Video'!$F$5</f>
        <v>48701350.458124541</v>
      </c>
      <c r="D38">
        <f t="shared" si="1"/>
        <v>2.8647853210661496</v>
      </c>
    </row>
    <row r="39" spans="1:4" x14ac:dyDescent="0.25">
      <c r="A39" s="118">
        <f t="shared" si="0"/>
        <v>18000000</v>
      </c>
      <c r="B39" s="109">
        <f>(('Streaming Video - Power'!A39/$B$12)^$D$12)*$C$12</f>
        <v>224349.12925440047</v>
      </c>
      <c r="C39" s="119">
        <f>B39*'Streaming Video'!$F$5</f>
        <v>50689442.263739243</v>
      </c>
      <c r="D39">
        <f t="shared" si="1"/>
        <v>2.8160801257632913</v>
      </c>
    </row>
    <row r="40" spans="1:4" x14ac:dyDescent="0.25">
      <c r="A40" s="118">
        <f t="shared" si="0"/>
        <v>19000000</v>
      </c>
      <c r="B40" s="109">
        <f>(('Streaming Video - Power'!A40/$B$12)^$D$12)*$C$12</f>
        <v>233002.80825994932</v>
      </c>
      <c r="C40" s="119">
        <f>B40*'Streaming Video'!$F$5</f>
        <v>52644654.498252951</v>
      </c>
      <c r="D40">
        <f t="shared" si="1"/>
        <v>2.7707712893817344</v>
      </c>
    </row>
    <row r="41" spans="1:4" x14ac:dyDescent="0.25">
      <c r="A41" s="118">
        <f t="shared" si="0"/>
        <v>20000000</v>
      </c>
      <c r="B41" s="109">
        <f>(('Streaming Video - Power'!A41/$B$12)^$D$12)*$C$12</f>
        <v>241520.85179027193</v>
      </c>
      <c r="C41" s="119">
        <f>B41*'Streaming Video'!$F$5</f>
        <v>54569221.253494039</v>
      </c>
      <c r="D41">
        <f t="shared" si="1"/>
        <v>2.7284610626747021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48" t="s">
        <v>46</v>
      </c>
      <c r="D4" s="148"/>
      <c r="E4" s="148"/>
      <c r="F4" s="148"/>
      <c r="G4" s="149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0" t="s">
        <v>12</v>
      </c>
      <c r="C7" s="153" t="s">
        <v>13</v>
      </c>
      <c r="D7" s="154"/>
      <c r="E7" s="155" t="s">
        <v>14</v>
      </c>
      <c r="F7" s="156"/>
      <c r="G7" s="157"/>
      <c r="H7" s="155" t="s">
        <v>15</v>
      </c>
      <c r="I7" s="161"/>
      <c r="K7" s="1" t="s">
        <v>50</v>
      </c>
    </row>
    <row r="8" spans="2:18" ht="25.5" x14ac:dyDescent="0.2">
      <c r="B8" s="151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2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0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73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62" t="s">
        <v>35</v>
      </c>
      <c r="C13" s="163"/>
      <c r="D13" s="163"/>
      <c r="E13" s="163"/>
      <c r="F13" s="163"/>
      <c r="G13" s="163"/>
      <c r="H13" s="163"/>
      <c r="I13" s="164"/>
    </row>
    <row r="14" spans="2:18" ht="11.25" customHeight="1" x14ac:dyDescent="0.2">
      <c r="B14" s="165"/>
      <c r="C14" s="166"/>
      <c r="D14" s="166"/>
      <c r="E14" s="166"/>
      <c r="F14" s="166"/>
      <c r="G14" s="166"/>
      <c r="H14" s="166"/>
      <c r="I14" s="167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68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69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70" t="s">
        <v>40</v>
      </c>
      <c r="C18" s="171"/>
      <c r="D18" s="171"/>
      <c r="E18" s="171"/>
      <c r="F18" s="171"/>
      <c r="G18" s="171"/>
      <c r="H18" s="171"/>
      <c r="I18" s="172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65"/>
      <c r="C19" s="166"/>
      <c r="D19" s="166"/>
      <c r="E19" s="166"/>
      <c r="F19" s="166"/>
      <c r="G19" s="166"/>
      <c r="H19" s="166"/>
      <c r="I19" s="167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68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69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58" t="s">
        <v>63</v>
      </c>
      <c r="C25" s="159"/>
      <c r="D25" s="159"/>
      <c r="E25" s="160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H7:I7"/>
    <mergeCell ref="B13:I14"/>
    <mergeCell ref="B16:B17"/>
    <mergeCell ref="B18:I19"/>
    <mergeCell ref="B21:B22"/>
    <mergeCell ref="B11:B12"/>
    <mergeCell ref="C4:G4"/>
    <mergeCell ref="B7:B9"/>
    <mergeCell ref="C7:D7"/>
    <mergeCell ref="E7:G7"/>
    <mergeCell ref="B25:E25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0D350054-F613-43DD-A819-7EA24B98001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Streaming Video</vt:lpstr>
      <vt:lpstr>Data</vt:lpstr>
      <vt:lpstr>Streaming Video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2024-03-11T07:01:59Z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2024-03-06T05:42:42Z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5f4ead4c-8d68-4218-a389-4ed027420c89</vt:lpwstr>
  </property>
  <property fmtid="{D5CDD505-2E9C-101B-9397-08002B2CF9AE}" pid="13" name="MSIP_Label_2c56a699-e9bd-437a-8412-901342082749_ContentBits">
    <vt:lpwstr>1</vt:lpwstr>
  </property>
</Properties>
</file>