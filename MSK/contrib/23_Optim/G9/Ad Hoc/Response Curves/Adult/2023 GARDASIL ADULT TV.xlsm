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Response Curves\Adult\"/>
    </mc:Choice>
  </mc:AlternateContent>
  <xr:revisionPtr revIDLastSave="0" documentId="13_ncr:1_{FA1425EF-47D8-408D-A82D-548E5D9A211A}" xr6:coauthVersionLast="47" xr6:coauthVersionMax="47" xr10:uidLastSave="{00000000-0000-0000-0000-000000000000}"/>
  <bookViews>
    <workbookView xWindow="-120" yWindow="-120" windowWidth="20730" windowHeight="11160" tabRatio="574" xr2:uid="{00000000-000D-0000-FFFF-FFFF00000000}"/>
  </bookViews>
  <sheets>
    <sheet name="TV" sheetId="13" r:id="rId1"/>
    <sheet name="Data" sheetId="14" r:id="rId2"/>
    <sheet name="TV - Power" sheetId="15" r:id="rId3"/>
    <sheet name="TV - Scurve" sheetId="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13" l="1"/>
  <c r="F9" i="13" s="1"/>
  <c r="G5" i="13" s="1"/>
  <c r="D6" i="13"/>
  <c r="D12" i="15"/>
  <c r="I5" i="14" l="1"/>
  <c r="C12" i="15" s="1"/>
  <c r="H5" i="14"/>
  <c r="B12" i="15" s="1"/>
  <c r="A21" i="15"/>
  <c r="J5" i="14" l="1"/>
  <c r="E9" i="15"/>
  <c r="F9" i="15" s="1"/>
  <c r="G9" i="15"/>
  <c r="H9" i="15" s="1"/>
  <c r="I9" i="15" s="1"/>
  <c r="A22" i="15"/>
  <c r="A23" i="15" s="1"/>
  <c r="B23" i="15" s="1"/>
  <c r="C23" i="15" s="1"/>
  <c r="D23" i="15" s="1"/>
  <c r="C9" i="15"/>
  <c r="B9" i="15"/>
  <c r="K5" i="14"/>
  <c r="B21" i="15" l="1"/>
  <c r="C21" i="15" s="1"/>
  <c r="A24" i="15"/>
  <c r="B22" i="15"/>
  <c r="C22" i="15" s="1"/>
  <c r="D22" i="15" s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<sst xmlns="http://schemas.openxmlformats.org/spreadsheetml/2006/main" count="125" uniqueCount="95">
  <si>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</si>
  <si>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</si>
  <si>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</si>
  <si>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</si>
  <si>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</si>
  <si>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</si>
  <si>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</si>
  <si>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</si>
  <si>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</si>
  <si>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</si>
  <si>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</si>
  <si>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</si>
  <si>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</si>
  <si>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</si>
  <si>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</si>
  <si>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</si>
  <si>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</si>
  <si>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</si>
  <si>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</si>
  <si>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</si>
  <si>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</si>
  <si>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</si>
  <si>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</si>
  <si>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</si>
  <si>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</si>
  <si>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</si>
  <si>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</si>
  <si>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</si>
  <si>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</si>
  <si>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</si>
  <si>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</si>
  <si>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</si>
  <si>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</si>
  <si>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TV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</si>
  <si>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</si>
  <si>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</si>
  <si>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</si>
  <si>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</si>
  <si>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</si>
  <si>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</si>
  <si>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</si>
  <si>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</si>
  <si>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</si>
  <si>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</si>
  <si>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</si>
  <si>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</si>
  <si>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</si>
  <si>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</si>
  <si>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</si>
  <si>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</si>
  <si>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</si>
  <si>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</si>
  <si>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</si>
  <si>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</si>
  <si>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</si>
  <si>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</si>
  <si>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</si>
  <si>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</si>
  <si>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</si>
  <si>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</si>
  <si>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</si>
  <si>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</si>
  <si>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</si>
  <si>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</si>
  <si>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</si>
  <si>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</si>
  <si>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</si>
  <si>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</si>
  <si>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</si>
  <si>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</si>
  <si>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</si>
  <si>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</si>
  <si>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</si>
  <si>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</si>
  <si>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</si>
  <si>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</si>
  <si>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</si>
  <si>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</si>
  <si>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</si>
  <si>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</si>
  <si>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</si>
  <si>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</si>
  <si>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</si>
  <si>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</si>
  <si>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Merck GARDASIL TV: Incremental Doses per Tactic with ROI, Spend and Incremental Revenue</t>
  </si>
  <si>
    <t>HCC TV</t>
  </si>
  <si>
    <t>Doses</t>
  </si>
  <si>
    <t>Y (Incr. doses)</t>
  </si>
  <si>
    <t>Given a set of X and Y values, a power function (i.e., a smooth continuous curve) is fit for each pair of values</t>
  </si>
  <si>
    <t>Power Curve</t>
  </si>
  <si>
    <t>Revenue</t>
  </si>
  <si>
    <t>2023 Spend</t>
  </si>
  <si>
    <t>2022 ROI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</si>
  <si>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Observed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</si>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</sst>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6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3" fontId="34" fillId="0" borderId="10" xfId="0" applyNumberFormat="1" applyFont="1" applyBorder="1" applyAlignment="1">
      <alignment horizontal="center"/>
    </xf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0" fontId="39" fillId="47" borderId="53" xfId="0" applyFont="1" applyFill="1" applyBorder="1" applyAlignment="1">
      <alignment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6" fontId="39" fillId="0" borderId="54" xfId="0" applyNumberFormat="1" applyFont="1" applyBorder="1" applyAlignment="1">
      <alignment vertical="center"/>
    </xf>
    <xf numFmtId="2" fontId="39" fillId="0" borderId="52" xfId="0" applyNumberFormat="1" applyFont="1" applyBorder="1" applyAlignment="1">
      <alignment horizontal="center" vertical="center"/>
    </xf>
    <xf numFmtId="166" fontId="38" fillId="0" borderId="51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52" xfId="0" applyNumberFormat="1" applyBorder="1" applyAlignment="1">
      <alignment horizontal="center"/>
    </xf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'TV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'TV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'TV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18078.636810461991</c:v>
                </c:pt>
                <c:pt idx="2">
                  <c:v>29368.832144303597</c:v>
                </c:pt>
                <c:pt idx="3">
                  <c:v>39007.71926975168</c:v>
                </c:pt>
                <c:pt idx="4">
                  <c:v>47709.808574789276</c:v>
                </c:pt>
                <c:pt idx="5">
                  <c:v>55775.655519357555</c:v>
                </c:pt>
                <c:pt idx="6">
                  <c:v>63368.226906494223</c:v>
                </c:pt>
                <c:pt idx="7">
                  <c:v>70588.557677598961</c:v>
                </c:pt>
                <c:pt idx="8">
                  <c:v>77504.812689139711</c:v>
                </c:pt>
                <c:pt idx="9">
                  <c:v>84165.757550216164</c:v>
                </c:pt>
                <c:pt idx="10">
                  <c:v>90607.819707876144</c:v>
                </c:pt>
                <c:pt idx="11">
                  <c:v>96859.129082752654</c:v>
                </c:pt>
                <c:pt idx="12">
                  <c:v>102941.98831529124</c:v>
                </c:pt>
                <c:pt idx="13">
                  <c:v>108874.46319536286</c:v>
                </c:pt>
                <c:pt idx="14">
                  <c:v>114671.45025792021</c:v>
                </c:pt>
                <c:pt idx="15">
                  <c:v>120345.41848456317</c:v>
                </c:pt>
                <c:pt idx="16">
                  <c:v>125906.93967178981</c:v>
                </c:pt>
                <c:pt idx="17">
                  <c:v>131365.07711026294</c:v>
                </c:pt>
                <c:pt idx="18">
                  <c:v>136727.67652260201</c:v>
                </c:pt>
                <c:pt idx="19">
                  <c:v>142001.58789338975</c:v>
                </c:pt>
                <c:pt idx="20">
                  <c:v>147192.83737267228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853439</xdr:colOff>
      <xdr:row>19</xdr:row>
      <xdr:rowOff>25588</xdr:rowOff>
    </xdr:from>
    <xdr:to>
      <xdr:col>9</xdr:col>
      <xdr:colOff>445713</xdr:colOff>
      <xdr:row>34</xdr:row>
      <xdr:rowOff>71536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9"/>
  <sheetViews>
    <sheetView showGridLines="0" tabSelected="1" zoomScale="120" zoomScaleNormal="120" workbookViewId="0">
      <selection activeCell="E9" sqref="E9"/>
    </sheetView>
  </sheetViews>
  <sheetFormatPr defaultRowHeight="15" x14ac:dyDescent="0.25"/>
  <cols>
    <col min="3" max="3" width="18.5703125" customWidth="1"/>
    <col min="4" max="4" width="14.5703125" bestFit="1" customWidth="1"/>
    <col min="5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71</v>
      </c>
      <c r="D4" s="79" t="s">
        <v>72</v>
      </c>
      <c r="E4" s="79" t="s">
        <v>0</v>
      </c>
      <c r="F4" s="79" t="s">
        <v>73</v>
      </c>
      <c r="G4" s="79" t="s">
        <v>74</v>
      </c>
      <c r="L4" s="81"/>
    </row>
    <row r="5" spans="3:12" x14ac:dyDescent="0.25">
      <c r="C5" t="s">
        <v>33</v>
      </c>
      <c r="D5" s="130">
        <v>25810928.600000001</v>
      </c>
      <c r="E5" s="83">
        <v>1.5403439803863832</v>
      </c>
      <c r="F5" s="82">
        <v>225.94</v>
      </c>
      <c r="G5" s="84">
        <f>F9</f>
        <v>175965.7807258243</v>
      </c>
      <c r="L5" s="85"/>
    </row>
    <row r="6" spans="3:12" x14ac:dyDescent="0.25">
      <c r="C6" s="86"/>
      <c r="D6" s="130">
        <f>SUM(D5)</f>
        <v>25810928.600000001</v>
      </c>
      <c r="E6" s="87"/>
      <c r="F6" s="87"/>
      <c r="G6" s="88"/>
      <c r="L6" s="85"/>
    </row>
    <row r="7" spans="3:12" ht="15.75" thickBot="1" x14ac:dyDescent="0.3">
      <c r="D7" s="130"/>
      <c r="L7" s="85"/>
    </row>
    <row r="8" spans="3:12" ht="15.75" thickBot="1" x14ac:dyDescent="0.3">
      <c r="C8" s="122"/>
      <c r="D8" s="129" t="s">
        <v>91</v>
      </c>
      <c r="E8" s="123" t="s">
        <v>92</v>
      </c>
      <c r="F8" s="123" t="s">
        <v>70</v>
      </c>
      <c r="G8" s="123" t="s">
        <v>89</v>
      </c>
      <c r="H8" s="123" t="s">
        <v>90</v>
      </c>
      <c r="K8" s="89"/>
      <c r="L8" s="90"/>
    </row>
    <row r="9" spans="3:12" ht="15.75" thickBot="1" x14ac:dyDescent="0.3">
      <c r="C9" s="124" t="s">
        <v>33</v>
      </c>
      <c r="D9" s="131">
        <v>25810928.600000001</v>
      </c>
      <c r="E9" s="128">
        <v>1.5403439803863832</v>
      </c>
      <c r="F9" s="126">
        <f>H9/F5</f>
        <v>175965.7807258243</v>
      </c>
      <c r="G9" s="125">
        <v>0.7</v>
      </c>
      <c r="H9" s="127">
        <f>D9*E9</f>
        <v>39757708.49719274</v>
      </c>
    </row>
  </sheetData>
  <pageMargins left="0.7" right="0.7" top="0.75" bottom="0.75" header="0.3" footer="0.3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topLeftCell="B1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91" bestFit="1" customWidth="1"/>
    <col min="2" max="2" width="8" style="91" bestFit="1" customWidth="1"/>
    <col min="3" max="3" width="40.28515625" style="91" bestFit="1" customWidth="1"/>
    <col min="4" max="4" width="7.28515625" style="91" bestFit="1" customWidth="1"/>
    <col min="5" max="5" width="4.5703125" style="91" customWidth="1"/>
    <col min="6" max="6" width="18" style="91" bestFit="1" customWidth="1"/>
    <col min="7" max="7" width="3.5703125" style="91" customWidth="1"/>
    <col min="8" max="8" width="14.140625" style="91" bestFit="1" customWidth="1"/>
    <col min="9" max="9" width="12.28515625" style="91" customWidth="1"/>
    <col min="10" max="10" width="12.140625" style="91" customWidth="1"/>
    <col min="11" max="11" width="14.28515625" style="91" customWidth="1"/>
    <col min="12" max="12" width="11.7109375" style="91" customWidth="1"/>
    <col min="13" max="16384" width="9.140625" style="91"/>
  </cols>
  <sheetData>
    <row r="1" spans="1:11" x14ac:dyDescent="0.3">
      <c r="A1" s="132" t="s">
        <v>84</v>
      </c>
      <c r="B1" s="132"/>
      <c r="C1" s="132"/>
      <c r="D1" s="132"/>
      <c r="E1" s="132"/>
      <c r="F1" s="132"/>
      <c r="G1" s="132"/>
      <c r="H1" s="132"/>
      <c r="I1" s="132"/>
      <c r="J1" s="132"/>
    </row>
    <row r="3" spans="1:11" x14ac:dyDescent="0.3">
      <c r="B3" s="92" t="s">
        <v>1</v>
      </c>
      <c r="C3" s="92"/>
      <c r="D3" s="92"/>
      <c r="H3" s="133" t="s">
        <v>94</v>
      </c>
      <c r="I3" s="134"/>
      <c r="J3" s="134"/>
      <c r="K3" s="134"/>
    </row>
    <row r="4" spans="1:11" ht="66" x14ac:dyDescent="0.3">
      <c r="B4" s="92">
        <v>2022</v>
      </c>
      <c r="C4" s="92" t="s">
        <v>75</v>
      </c>
      <c r="D4" s="93"/>
      <c r="F4" s="94" t="s">
        <v>93</v>
      </c>
      <c r="H4" s="95" t="s">
        <v>2</v>
      </c>
      <c r="I4" s="95" t="s">
        <v>76</v>
      </c>
      <c r="J4" s="95" t="s">
        <v>77</v>
      </c>
      <c r="K4" s="96" t="s">
        <v>78</v>
      </c>
    </row>
    <row r="5" spans="1:11" s="97" customFormat="1" ht="25.5" customHeight="1" x14ac:dyDescent="0.3">
      <c r="B5" s="92">
        <v>2022</v>
      </c>
      <c r="C5" s="92" t="s">
        <v>79</v>
      </c>
      <c r="D5" s="98">
        <v>225.94</v>
      </c>
      <c r="F5" s="99">
        <v>4647854</v>
      </c>
      <c r="G5" s="91"/>
      <c r="H5" s="100">
        <f>TV!D5</f>
        <v>25810928.600000001</v>
      </c>
      <c r="I5" s="101">
        <f>TV!G5</f>
        <v>175965.7807258243</v>
      </c>
      <c r="J5" s="102">
        <f>I5/F5</f>
        <v>3.7859575779666123E-2</v>
      </c>
      <c r="K5" s="103">
        <f>H5/I5</f>
        <v>146.68152235926206</v>
      </c>
    </row>
    <row r="6" spans="1:11" s="97" customFormat="1" x14ac:dyDescent="0.3">
      <c r="B6" s="104"/>
      <c r="C6" s="104"/>
      <c r="D6" s="105"/>
      <c r="H6" s="106" t="s">
        <v>80</v>
      </c>
    </row>
    <row r="7" spans="1:11" s="97" customFormat="1" x14ac:dyDescent="0.3">
      <c r="B7" s="104"/>
      <c r="C7" s="104"/>
      <c r="D7" s="105"/>
    </row>
    <row r="8" spans="1:11" s="97" customFormat="1" x14ac:dyDescent="0.3">
      <c r="B8" s="104"/>
      <c r="C8" s="104"/>
      <c r="D8" s="105"/>
    </row>
    <row r="10" spans="1:11" x14ac:dyDescent="0.3">
      <c r="H10" s="107"/>
    </row>
  </sheetData>
  <mergeCells count="2">
    <mergeCell ref="A1:J1"/>
    <mergeCell ref="H3:K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workbookViewId="0">
      <selection activeCell="F11" sqref="F11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88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69</v>
      </c>
      <c r="C2" s="70" t="s">
        <v>6</v>
      </c>
      <c r="D2" s="3" t="s">
        <v>7</v>
      </c>
      <c r="E2" s="70" t="s">
        <v>49</v>
      </c>
      <c r="F2" s="3" t="s">
        <v>70</v>
      </c>
      <c r="G2" s="1"/>
      <c r="H2" s="1"/>
      <c r="I2" s="1"/>
    </row>
    <row r="3" spans="1:9" ht="15.75" thickBot="1" x14ac:dyDescent="0.3">
      <c r="A3" s="71" t="s">
        <v>9</v>
      </c>
      <c r="B3" s="4" t="s">
        <v>85</v>
      </c>
      <c r="C3" s="72" t="s">
        <v>10</v>
      </c>
      <c r="D3" s="5" t="s">
        <v>70</v>
      </c>
      <c r="E3" s="72" t="s">
        <v>48</v>
      </c>
      <c r="F3" s="5" t="s">
        <v>86</v>
      </c>
      <c r="G3" s="1"/>
      <c r="H3" s="1"/>
      <c r="I3" s="1"/>
    </row>
    <row r="4" spans="1:9" ht="15.75" thickBot="1" x14ac:dyDescent="0.3">
      <c r="A4" s="73" t="s">
        <v>11</v>
      </c>
      <c r="B4" s="135"/>
      <c r="C4" s="136"/>
      <c r="D4" s="136"/>
      <c r="E4" s="136"/>
      <c r="F4" s="137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21">
        <v>0.8</v>
      </c>
      <c r="C6" s="121">
        <v>1.2</v>
      </c>
      <c r="D6" s="1"/>
      <c r="E6" s="1"/>
      <c r="F6" s="1"/>
      <c r="G6" s="1"/>
      <c r="H6" s="1"/>
      <c r="I6" s="1"/>
    </row>
    <row r="7" spans="1:9" x14ac:dyDescent="0.25">
      <c r="A7" s="138" t="s">
        <v>12</v>
      </c>
      <c r="B7" s="141" t="s">
        <v>13</v>
      </c>
      <c r="C7" s="141"/>
      <c r="D7" s="141" t="s">
        <v>14</v>
      </c>
      <c r="E7" s="141"/>
      <c r="F7" s="141"/>
      <c r="G7" s="141" t="s">
        <v>60</v>
      </c>
      <c r="H7" s="141"/>
      <c r="I7" s="142"/>
    </row>
    <row r="8" spans="1:9" x14ac:dyDescent="0.25">
      <c r="A8" s="139"/>
      <c r="B8" s="78" t="s">
        <v>16</v>
      </c>
      <c r="C8" s="78" t="s">
        <v>17</v>
      </c>
      <c r="D8" s="78" t="s">
        <v>45</v>
      </c>
      <c r="E8" s="78" t="s">
        <v>44</v>
      </c>
      <c r="F8" s="78" t="s">
        <v>34</v>
      </c>
      <c r="G8" s="78" t="s">
        <v>18</v>
      </c>
      <c r="H8" s="78" t="s">
        <v>19</v>
      </c>
      <c r="I8" s="75" t="s">
        <v>68</v>
      </c>
    </row>
    <row r="9" spans="1:9" ht="15.75" thickBot="1" x14ac:dyDescent="0.3">
      <c r="A9" s="140"/>
      <c r="B9" s="108">
        <f>Data!$H$5*'TV - Power'!B6</f>
        <v>20648742.880000003</v>
      </c>
      <c r="C9" s="108">
        <f>Data!$H$5*'TV - Power'!C6</f>
        <v>30973114.32</v>
      </c>
      <c r="D9" s="109"/>
      <c r="E9" s="110">
        <f>(('TV - Power'!D9/$B$12)^$D$12)*$C$12</f>
        <v>0</v>
      </c>
      <c r="F9" s="111">
        <f>E9*F11</f>
        <v>0</v>
      </c>
      <c r="G9" s="112">
        <f>B12</f>
        <v>25810928.600000001</v>
      </c>
      <c r="H9" s="110">
        <f>(('TV - Power'!G9/$B$12)^$D$12)*$C$12</f>
        <v>175965.7807258243</v>
      </c>
      <c r="I9" s="113">
        <f>H9*F11</f>
        <v>175965.7807258243</v>
      </c>
    </row>
    <row r="10" spans="1:9" ht="15.75" thickBot="1" x14ac:dyDescent="0.3"/>
    <row r="11" spans="1:9" ht="48.95" customHeight="1" x14ac:dyDescent="0.25">
      <c r="A11" s="143" t="s">
        <v>20</v>
      </c>
      <c r="B11" s="76" t="s">
        <v>21</v>
      </c>
      <c r="C11" s="76" t="s">
        <v>22</v>
      </c>
      <c r="D11" s="76" t="s">
        <v>81</v>
      </c>
      <c r="E11" s="78" t="s">
        <v>67</v>
      </c>
      <c r="F11" s="114">
        <v>1</v>
      </c>
    </row>
    <row r="12" spans="1:9" ht="40.35" customHeight="1" thickBot="1" x14ac:dyDescent="0.3">
      <c r="A12" s="143"/>
      <c r="B12" s="115">
        <f>Data!H5</f>
        <v>25810928.600000001</v>
      </c>
      <c r="C12" s="116">
        <f>Data!I5</f>
        <v>175965.7807258243</v>
      </c>
      <c r="D12" s="117">
        <f>TV!G9</f>
        <v>0.7</v>
      </c>
      <c r="E12" s="78" t="s">
        <v>61</v>
      </c>
      <c r="F12" s="118">
        <v>1</v>
      </c>
    </row>
    <row r="13" spans="1:9" ht="18.75" customHeight="1" x14ac:dyDescent="0.25">
      <c r="A13" s="144" t="s">
        <v>82</v>
      </c>
      <c r="B13" s="145"/>
      <c r="C13" s="145"/>
      <c r="D13" s="145"/>
      <c r="E13" s="78" t="s">
        <v>66</v>
      </c>
      <c r="F13" s="78" t="s">
        <v>65</v>
      </c>
    </row>
    <row r="14" spans="1:9" ht="15.75" thickBot="1" x14ac:dyDescent="0.3">
      <c r="A14" s="146"/>
      <c r="B14" s="147"/>
      <c r="C14" s="147"/>
      <c r="D14" s="147"/>
      <c r="E14" s="74"/>
      <c r="F14" s="74"/>
    </row>
    <row r="15" spans="1:9" ht="15.75" thickBot="1" x14ac:dyDescent="0.3"/>
    <row r="16" spans="1:9" x14ac:dyDescent="0.25">
      <c r="A16" s="148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49"/>
      <c r="B17" s="9">
        <v>0</v>
      </c>
      <c r="C17" s="9">
        <v>20000000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43" t="s">
        <v>62</v>
      </c>
      <c r="B19" s="143"/>
      <c r="C19" s="143"/>
      <c r="D19" s="1"/>
    </row>
    <row r="20" spans="1:4" ht="25.5" x14ac:dyDescent="0.25">
      <c r="A20" s="78" t="s">
        <v>63</v>
      </c>
      <c r="B20" s="78" t="s">
        <v>87</v>
      </c>
      <c r="C20" s="78" t="s">
        <v>83</v>
      </c>
    </row>
    <row r="21" spans="1:4" x14ac:dyDescent="0.25">
      <c r="A21" s="119">
        <f>B17</f>
        <v>0</v>
      </c>
      <c r="B21" s="110">
        <f>(('TV - Power'!A21/$B$12)^$D$12)*$C$12</f>
        <v>0</v>
      </c>
      <c r="C21" s="120">
        <f>B21*TV!$F$5</f>
        <v>0</v>
      </c>
    </row>
    <row r="22" spans="1:4" x14ac:dyDescent="0.25">
      <c r="A22" s="119">
        <f>A21+(($C$17-$B$17)/$D$17)</f>
        <v>1000000</v>
      </c>
      <c r="B22" s="110">
        <f>(('TV - Power'!A22/$B$12)^$D$12)*$C$12</f>
        <v>18078.636810461991</v>
      </c>
      <c r="C22" s="120">
        <f>B22*TV!$F$5</f>
        <v>4084687.2009557821</v>
      </c>
      <c r="D22">
        <f>C22/A22</f>
        <v>4.0846872009557824</v>
      </c>
    </row>
    <row r="23" spans="1:4" x14ac:dyDescent="0.25">
      <c r="A23" s="119">
        <f t="shared" ref="A23:A41" si="0">A22+(($C$17-$B$17)/$D$17)</f>
        <v>2000000</v>
      </c>
      <c r="B23" s="110">
        <f>(('TV - Power'!A23/$B$12)^$D$12)*$C$12</f>
        <v>29368.832144303597</v>
      </c>
      <c r="C23" s="120">
        <f>B23*TV!$F$5</f>
        <v>6635593.9346839543</v>
      </c>
      <c r="D23">
        <f t="shared" ref="D23:D41" si="1">C23/A23</f>
        <v>3.3177969673419772</v>
      </c>
    </row>
    <row r="24" spans="1:4" x14ac:dyDescent="0.25">
      <c r="A24" s="119">
        <f t="shared" si="0"/>
        <v>3000000</v>
      </c>
      <c r="B24" s="110">
        <f>(('TV - Power'!A24/$B$12)^$D$12)*$C$12</f>
        <v>39007.71926975168</v>
      </c>
      <c r="C24" s="120">
        <f>B24*TV!$F$5</f>
        <v>8813404.0918076951</v>
      </c>
      <c r="D24">
        <f t="shared" si="1"/>
        <v>2.9378013639358982</v>
      </c>
    </row>
    <row r="25" spans="1:4" x14ac:dyDescent="0.25">
      <c r="A25" s="119">
        <f t="shared" si="0"/>
        <v>4000000</v>
      </c>
      <c r="B25" s="110">
        <f>(('TV - Power'!A25/$B$12)^$D$12)*$C$12</f>
        <v>47709.808574789276</v>
      </c>
      <c r="C25" s="120">
        <f>B25*TV!$F$5</f>
        <v>10779554.149387889</v>
      </c>
      <c r="D25">
        <f t="shared" si="1"/>
        <v>2.694888537346972</v>
      </c>
    </row>
    <row r="26" spans="1:4" x14ac:dyDescent="0.25">
      <c r="A26" s="119">
        <f t="shared" si="0"/>
        <v>5000000</v>
      </c>
      <c r="B26" s="110">
        <f>(('TV - Power'!A26/$B$12)^$D$12)*$C$12</f>
        <v>55775.655519357555</v>
      </c>
      <c r="C26" s="120">
        <f>B26*TV!$F$5</f>
        <v>12601951.608043646</v>
      </c>
      <c r="D26">
        <f t="shared" si="1"/>
        <v>2.5203903216087293</v>
      </c>
    </row>
    <row r="27" spans="1:4" x14ac:dyDescent="0.25">
      <c r="A27" s="119">
        <f t="shared" si="0"/>
        <v>6000000</v>
      </c>
      <c r="B27" s="110">
        <f>(('TV - Power'!A27/$B$12)^$D$12)*$C$12</f>
        <v>63368.226906494223</v>
      </c>
      <c r="C27" s="120">
        <f>B27*TV!$F$5</f>
        <v>14317417.187253304</v>
      </c>
      <c r="D27">
        <f t="shared" si="1"/>
        <v>2.3862361978755509</v>
      </c>
    </row>
    <row r="28" spans="1:4" x14ac:dyDescent="0.25">
      <c r="A28" s="119">
        <f t="shared" si="0"/>
        <v>7000000</v>
      </c>
      <c r="B28" s="110">
        <f>(('TV - Power'!A28/$B$12)^$D$12)*$C$12</f>
        <v>70588.557677598961</v>
      </c>
      <c r="C28" s="120">
        <f>B28*TV!$F$5</f>
        <v>15948778.721676709</v>
      </c>
      <c r="D28">
        <f t="shared" si="1"/>
        <v>2.27839696023953</v>
      </c>
    </row>
    <row r="29" spans="1:4" x14ac:dyDescent="0.25">
      <c r="A29" s="119">
        <f t="shared" si="0"/>
        <v>8000000</v>
      </c>
      <c r="B29" s="110">
        <f>(('TV - Power'!A29/$B$12)^$D$12)*$C$12</f>
        <v>77504.812689139711</v>
      </c>
      <c r="C29" s="120">
        <f>B29*TV!$F$5</f>
        <v>17511437.378984228</v>
      </c>
      <c r="D29">
        <f t="shared" si="1"/>
        <v>2.1889296723730283</v>
      </c>
    </row>
    <row r="30" spans="1:4" x14ac:dyDescent="0.25">
      <c r="A30" s="119">
        <f t="shared" si="0"/>
        <v>9000000</v>
      </c>
      <c r="B30" s="110">
        <f>(('TV - Power'!A30/$B$12)^$D$12)*$C$12</f>
        <v>84165.757550216164</v>
      </c>
      <c r="C30" s="120">
        <f>B30*TV!$F$5</f>
        <v>19016411.260895841</v>
      </c>
      <c r="D30">
        <f t="shared" si="1"/>
        <v>2.1129345845439822</v>
      </c>
    </row>
    <row r="31" spans="1:4" x14ac:dyDescent="0.25">
      <c r="A31" s="119">
        <f t="shared" si="0"/>
        <v>10000000</v>
      </c>
      <c r="B31" s="110">
        <f>(('TV - Power'!A31/$B$12)^$D$12)*$C$12</f>
        <v>90607.819707876144</v>
      </c>
      <c r="C31" s="120">
        <f>B31*TV!$F$5</f>
        <v>20471930.784797534</v>
      </c>
      <c r="D31">
        <f t="shared" si="1"/>
        <v>2.0471930784797534</v>
      </c>
    </row>
    <row r="32" spans="1:4" x14ac:dyDescent="0.25">
      <c r="A32" s="119">
        <f t="shared" si="0"/>
        <v>11000000</v>
      </c>
      <c r="B32" s="110">
        <f>(('TV - Power'!A32/$B$12)^$D$12)*$C$12</f>
        <v>96859.129082752654</v>
      </c>
      <c r="C32" s="120">
        <f>B32*TV!$F$5</f>
        <v>21884351.624957133</v>
      </c>
      <c r="D32">
        <f t="shared" si="1"/>
        <v>1.9894865113597393</v>
      </c>
    </row>
    <row r="33" spans="1:4" x14ac:dyDescent="0.25">
      <c r="A33" s="119">
        <f t="shared" si="0"/>
        <v>12000000</v>
      </c>
      <c r="B33" s="110">
        <f>(('TV - Power'!A33/$B$12)^$D$12)*$C$12</f>
        <v>102941.98831529124</v>
      </c>
      <c r="C33" s="120">
        <f>B33*TV!$F$5</f>
        <v>23258712.839956902</v>
      </c>
      <c r="D33">
        <f t="shared" si="1"/>
        <v>1.9382260699964085</v>
      </c>
    </row>
    <row r="34" spans="1:4" x14ac:dyDescent="0.25">
      <c r="A34" s="119">
        <f t="shared" si="0"/>
        <v>13000000</v>
      </c>
      <c r="B34" s="110">
        <f>(('TV - Power'!A34/$B$12)^$D$12)*$C$12</f>
        <v>108874.46319536286</v>
      </c>
      <c r="C34" s="120">
        <f>B34*TV!$F$5</f>
        <v>24599096.214360282</v>
      </c>
      <c r="D34">
        <f t="shared" si="1"/>
        <v>1.8922381703354063</v>
      </c>
    </row>
    <row r="35" spans="1:4" x14ac:dyDescent="0.25">
      <c r="A35" s="119">
        <f t="shared" si="0"/>
        <v>14000000</v>
      </c>
      <c r="B35" s="110">
        <f>(('TV - Power'!A35/$B$12)^$D$12)*$C$12</f>
        <v>114671.45025792021</v>
      </c>
      <c r="C35" s="120">
        <f>B35*TV!$F$5</f>
        <v>25908867.471274491</v>
      </c>
      <c r="D35">
        <f t="shared" si="1"/>
        <v>1.8506333908053207</v>
      </c>
    </row>
    <row r="36" spans="1:4" x14ac:dyDescent="0.25">
      <c r="A36" s="119">
        <f t="shared" si="0"/>
        <v>15000000</v>
      </c>
      <c r="B36" s="110">
        <f>(('TV - Power'!A36/$B$12)^$D$12)*$C$12</f>
        <v>120345.41848456317</v>
      </c>
      <c r="C36" s="120">
        <f>B36*TV!$F$5</f>
        <v>27190843.852402203</v>
      </c>
      <c r="D36">
        <f t="shared" si="1"/>
        <v>1.8127229234934801</v>
      </c>
    </row>
    <row r="37" spans="1:4" x14ac:dyDescent="0.25">
      <c r="A37" s="119">
        <f t="shared" si="0"/>
        <v>16000000</v>
      </c>
      <c r="B37" s="110">
        <f>(('TV - Power'!A37/$B$12)^$D$12)*$C$12</f>
        <v>125906.93967178981</v>
      </c>
      <c r="C37" s="120">
        <f>B37*TV!$F$5</f>
        <v>28447413.94944419</v>
      </c>
      <c r="D37">
        <f t="shared" si="1"/>
        <v>1.7779633718402619</v>
      </c>
    </row>
    <row r="38" spans="1:4" x14ac:dyDescent="0.25">
      <c r="A38" s="119">
        <f t="shared" si="0"/>
        <v>17000000</v>
      </c>
      <c r="B38" s="110">
        <f>(('TV - Power'!A38/$B$12)^$D$12)*$C$12</f>
        <v>131365.07711026294</v>
      </c>
      <c r="C38" s="120">
        <f>B38*TV!$F$5</f>
        <v>29680625.522292808</v>
      </c>
      <c r="D38">
        <f t="shared" si="1"/>
        <v>1.7459191483701653</v>
      </c>
    </row>
    <row r="39" spans="1:4" x14ac:dyDescent="0.25">
      <c r="A39" s="119">
        <f t="shared" si="0"/>
        <v>18000000</v>
      </c>
      <c r="B39" s="110">
        <f>(('TV - Power'!A39/$B$12)^$D$12)*$C$12</f>
        <v>136727.67652260201</v>
      </c>
      <c r="C39" s="120">
        <f>B39*TV!$F$5</f>
        <v>30892251.233516697</v>
      </c>
      <c r="D39">
        <f t="shared" si="1"/>
        <v>1.7162361796398165</v>
      </c>
    </row>
    <row r="40" spans="1:4" x14ac:dyDescent="0.25">
      <c r="A40" s="119">
        <f t="shared" si="0"/>
        <v>19000000</v>
      </c>
      <c r="B40" s="110">
        <f>(('TV - Power'!A40/$B$12)^$D$12)*$C$12</f>
        <v>142001.58789338975</v>
      </c>
      <c r="C40" s="120">
        <f>B40*TV!$F$5</f>
        <v>32083838.768632479</v>
      </c>
      <c r="D40">
        <f t="shared" si="1"/>
        <v>1.6886230930859198</v>
      </c>
    </row>
    <row r="41" spans="1:4" x14ac:dyDescent="0.25">
      <c r="A41" s="119">
        <f t="shared" si="0"/>
        <v>20000000</v>
      </c>
      <c r="B41" s="110">
        <f>(('TV - Power'!A41/$B$12)^$D$12)*$C$12</f>
        <v>147192.83737267228</v>
      </c>
      <c r="C41" s="120">
        <f>B41*TV!$F$5</f>
        <v>33256749.675981574</v>
      </c>
      <c r="D41">
        <f t="shared" si="1"/>
        <v>1.6628374837990787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59</v>
      </c>
      <c r="D2" s="33" t="s">
        <v>6</v>
      </c>
      <c r="E2" s="2" t="s">
        <v>7</v>
      </c>
      <c r="F2" s="33" t="s">
        <v>49</v>
      </c>
      <c r="G2" s="3" t="s">
        <v>54</v>
      </c>
    </row>
    <row r="3" spans="2:18" ht="13.5" thickBot="1" x14ac:dyDescent="0.25">
      <c r="B3" s="31" t="s">
        <v>9</v>
      </c>
      <c r="C3" s="4" t="s">
        <v>58</v>
      </c>
      <c r="D3" s="34" t="s">
        <v>10</v>
      </c>
      <c r="E3" s="4" t="s">
        <v>56</v>
      </c>
      <c r="F3" s="34" t="s">
        <v>48</v>
      </c>
      <c r="G3" s="5" t="s">
        <v>55</v>
      </c>
    </row>
    <row r="4" spans="2:18" ht="15" customHeight="1" thickBot="1" x14ac:dyDescent="0.25">
      <c r="B4" s="32" t="s">
        <v>11</v>
      </c>
      <c r="C4" s="165" t="s">
        <v>47</v>
      </c>
      <c r="D4" s="165"/>
      <c r="E4" s="165"/>
      <c r="F4" s="165"/>
      <c r="G4" s="166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63" t="s">
        <v>12</v>
      </c>
      <c r="C7" s="169" t="s">
        <v>13</v>
      </c>
      <c r="D7" s="170"/>
      <c r="E7" s="150" t="s">
        <v>14</v>
      </c>
      <c r="F7" s="171"/>
      <c r="G7" s="172"/>
      <c r="H7" s="150" t="s">
        <v>15</v>
      </c>
      <c r="I7" s="151"/>
      <c r="K7" s="1" t="s">
        <v>51</v>
      </c>
    </row>
    <row r="8" spans="2:18" ht="25.5" x14ac:dyDescent="0.2">
      <c r="B8" s="167"/>
      <c r="C8" s="45" t="s">
        <v>16</v>
      </c>
      <c r="D8" s="24" t="s">
        <v>17</v>
      </c>
      <c r="E8" s="25" t="s">
        <v>45</v>
      </c>
      <c r="F8" s="45" t="s">
        <v>44</v>
      </c>
      <c r="G8" s="26" t="s">
        <v>34</v>
      </c>
      <c r="H8" s="27" t="s">
        <v>18</v>
      </c>
      <c r="I8" s="28" t="s">
        <v>19</v>
      </c>
      <c r="K8" s="1" t="s">
        <v>46</v>
      </c>
    </row>
    <row r="9" spans="2:18" ht="13.5" thickBot="1" x14ac:dyDescent="0.25">
      <c r="B9" s="168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63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35</v>
      </c>
      <c r="H11" s="23" t="s">
        <v>43</v>
      </c>
      <c r="I11" s="46" t="s">
        <v>42</v>
      </c>
    </row>
    <row r="12" spans="2:18" ht="15" customHeight="1" x14ac:dyDescent="0.2">
      <c r="B12" s="164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52" t="s">
        <v>36</v>
      </c>
      <c r="C13" s="153"/>
      <c r="D13" s="153"/>
      <c r="E13" s="153"/>
      <c r="F13" s="153"/>
      <c r="G13" s="153"/>
      <c r="H13" s="153"/>
      <c r="I13" s="154"/>
    </row>
    <row r="14" spans="2:18" ht="11.25" customHeight="1" x14ac:dyDescent="0.2">
      <c r="B14" s="155"/>
      <c r="C14" s="156"/>
      <c r="D14" s="156"/>
      <c r="E14" s="156"/>
      <c r="F14" s="156"/>
      <c r="G14" s="156"/>
      <c r="H14" s="156"/>
      <c r="I14" s="157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58" t="s">
        <v>25</v>
      </c>
      <c r="C16" s="46" t="s">
        <v>37</v>
      </c>
      <c r="D16" s="46" t="s">
        <v>38</v>
      </c>
      <c r="E16" s="46" t="s">
        <v>39</v>
      </c>
      <c r="F16" s="46" t="s">
        <v>40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59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60" t="s">
        <v>41</v>
      </c>
      <c r="C18" s="161"/>
      <c r="D18" s="161"/>
      <c r="E18" s="161"/>
      <c r="F18" s="161"/>
      <c r="G18" s="161"/>
      <c r="H18" s="161"/>
      <c r="I18" s="162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55"/>
      <c r="C19" s="156"/>
      <c r="D19" s="156"/>
      <c r="E19" s="156"/>
      <c r="F19" s="156"/>
      <c r="G19" s="156"/>
      <c r="H19" s="156"/>
      <c r="I19" s="157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58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59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73" t="s">
        <v>64</v>
      </c>
      <c r="C25" s="174"/>
      <c r="D25" s="174"/>
      <c r="E25" s="175"/>
    </row>
    <row r="26" spans="2:18" x14ac:dyDescent="0.2">
      <c r="B26" s="45" t="s">
        <v>52</v>
      </c>
      <c r="C26" s="45" t="s">
        <v>57</v>
      </c>
      <c r="D26" s="45" t="s">
        <v>53</v>
      </c>
      <c r="E26" s="45" t="s">
        <v>50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C4:G4"/>
    <mergeCell ref="B7:B9"/>
    <mergeCell ref="C7:D7"/>
    <mergeCell ref="E7:G7"/>
    <mergeCell ref="B25:E25"/>
    <mergeCell ref="H7:I7"/>
    <mergeCell ref="B13:I14"/>
    <mergeCell ref="B16:B17"/>
    <mergeCell ref="B18:I19"/>
    <mergeCell ref="B21:B22"/>
    <mergeCell ref="B11:B12"/>
  </mergeCells>
  <pageMargins left="0.7" right="0.7" top="0.75" bottom="0.75" header="0.3" footer="0.3"/>
  <pageSetup orientation="portrait" horizontalDpi="90" verticalDpi="90"/>
  <headerFooter>
    <oddHeader>&amp;L&amp;"Calibri"&amp;12&amp;K8E6A00 Confidential&amp;1#_x000D_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CAB67D74-E89F-41A5-AE4B-8F57638162B6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TV</vt:lpstr>
      <vt:lpstr>Data</vt:lpstr>
      <vt:lpstr>TV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2024-03-11T06:59:51Z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c0a7c432-e19d-4f88-92b8-55e067f446f1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2024-03-06T06:06:15Z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23bf4fb1-ccb9-4c10-941c-7cf830301c20</vt:lpwstr>
  </property>
  <property fmtid="{D5CDD505-2E9C-101B-9397-08002B2CF9AE}" pid="13" name="MSIP_Label_2c56a699-e9bd-437a-8412-901342082749_ContentBits">
    <vt:lpwstr>1</vt:lpwstr>
  </property>
</Properties>
</file>