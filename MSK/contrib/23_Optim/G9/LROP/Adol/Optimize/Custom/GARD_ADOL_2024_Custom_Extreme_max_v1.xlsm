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LROP\Adol\Optimize\Custom\"/>
    </mc:Choice>
  </mc:AlternateContent>
  <xr:revisionPtr revIDLastSave="0" documentId="13_ncr:1_{B8AB298B-CEB1-4396-B059-56E5B4F2C9CC}" xr6:coauthVersionLast="47" xr6:coauthVersionMax="47" xr10:uidLastSave="{00000000-0000-0000-0000-000000000000}"/>
  <bookViews>
    <workbookView xWindow="-120" yWindow="-120" windowWidth="20730" windowHeight="11160" tabRatio="709" firstSheet="7" activeTab="9" xr2:uid="{00000000-000D-0000-FFFF-FFFF00000000}"/>
  </bookViews>
  <sheets>
    <sheet name="YOY Curve comparison" sheetId="85" r:id="rId1"/>
    <sheet name="Scenario summary" sheetId="78" state="hidden" r:id="rId2"/>
    <sheet name="Chart - Combined" sheetId="36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4" sheetId="92" r:id="rId9"/>
    <sheet name="Scenario deep dive_24" sheetId="91" r:id="rId10"/>
    <sheet name="Sheet1" sheetId="93" r:id="rId11"/>
    <sheet name="VAC_Optim_Scenario" sheetId="23" r:id="rId12"/>
    <sheet name="GINOFF" sheetId="51" r:id="rId13"/>
    <sheet name="GMCM" sheetId="50" r:id="rId14"/>
    <sheet name="GSOC" sheetId="82" r:id="rId15"/>
    <sheet name="GOLV" sheetId="59" r:id="rId16"/>
    <sheet name="GSTRV" sheetId="84" r:id="rId17"/>
    <sheet name="GDISP" sheetId="88" r:id="rId18"/>
    <sheet name="GSEARCH" sheetId="77" r:id="rId19"/>
    <sheet name="GRADIO" sheetId="75" r:id="rId20"/>
    <sheet name="GAUDIO" sheetId="90" state="hidden" r:id="rId21"/>
    <sheet name="GTV" sheetId="74" r:id="rId22"/>
    <sheet name="GPRNT" sheetId="48" state="hidden" r:id="rId23"/>
    <sheet name="Fn.Templates ==&gt;" sheetId="3" r:id="rId24"/>
    <sheet name="FT_SCurveEst" sheetId="2" r:id="rId25"/>
    <sheet name="FT_Equation" sheetId="4" r:id="rId26"/>
    <sheet name="FT_SCurve3Est" sheetId="13" r:id="rId27"/>
    <sheet name="FT_Interpolate" sheetId="5" r:id="rId28"/>
  </sheets>
  <functionGroups builtInGroupCount="19"/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definedNames>
    <definedName name="_xlnm._FilterDatabase" localSheetId="7" hidden="1">'Contribution, promo eff, ROI'!$E$16:$F$24</definedName>
    <definedName name="solver_adj" localSheetId="11" hidden="1">VAC_Optim_Scenario!$I$17:$I$25</definedName>
    <definedName name="solver_cvg" localSheetId="6" hidden="1">0.0001</definedName>
    <definedName name="solver_cvg" localSheetId="5" hidden="1">0.0001</definedName>
    <definedName name="solver_cvg" localSheetId="11" hidden="1">0.0001</definedName>
    <definedName name="solver_drv" localSheetId="6" hidden="1">1</definedName>
    <definedName name="solver_drv" localSheetId="5" hidden="1">1</definedName>
    <definedName name="solver_drv" localSheetId="11" hidden="1">1</definedName>
    <definedName name="solver_eng" localSheetId="6" hidden="1">1</definedName>
    <definedName name="solver_eng" localSheetId="5" hidden="1">1</definedName>
    <definedName name="solver_eng" localSheetId="11" hidden="1">1</definedName>
    <definedName name="solver_est" localSheetId="6" hidden="1">1</definedName>
    <definedName name="solver_est" localSheetId="5" hidden="1">1</definedName>
    <definedName name="solver_est" localSheetId="11" hidden="1">1</definedName>
    <definedName name="solver_itr" localSheetId="6" hidden="1">2147483647</definedName>
    <definedName name="solver_itr" localSheetId="5" hidden="1">2147483647</definedName>
    <definedName name="solver_itr" localSheetId="11" hidden="1">2147483647</definedName>
    <definedName name="solver_lhs0" localSheetId="11" hidden="1">VAC_Optim_Scenario!$I$26</definedName>
    <definedName name="solver_lhs1" localSheetId="11" hidden="1">VAC_Optim_Scenario!$B$12</definedName>
    <definedName name="solver_lhs2" localSheetId="11" hidden="1">VAC_Optim_Scenario!$I$17:$I$25</definedName>
    <definedName name="solver_lhs3" localSheetId="11" hidden="1">VAC_Optim_Scenario!$I$17:$I$25</definedName>
    <definedName name="solver_lhs4" localSheetId="11" hidden="1">VAC_Optim_Scenario!$I$26</definedName>
    <definedName name="solver_lhs5" localSheetId="11" hidden="1">VAC_Optim_Scenario!#REF!</definedName>
    <definedName name="solver_mip" localSheetId="6" hidden="1">2147483647</definedName>
    <definedName name="solver_mip" localSheetId="5" hidden="1">2147483647</definedName>
    <definedName name="solver_mip" localSheetId="11" hidden="1">2147483647</definedName>
    <definedName name="solver_mni" localSheetId="6" hidden="1">30</definedName>
    <definedName name="solver_mni" localSheetId="5" hidden="1">30</definedName>
    <definedName name="solver_mni" localSheetId="11" hidden="1">30</definedName>
    <definedName name="solver_mrt" localSheetId="6" hidden="1">0.075</definedName>
    <definedName name="solver_mrt" localSheetId="5" hidden="1">0.075</definedName>
    <definedName name="solver_mrt" localSheetId="11" hidden="1">0.075</definedName>
    <definedName name="solver_msl" localSheetId="6" hidden="1">2</definedName>
    <definedName name="solver_msl" localSheetId="5" hidden="1">2</definedName>
    <definedName name="solver_msl" localSheetId="11" hidden="1">2</definedName>
    <definedName name="solver_neg" localSheetId="6" hidden="1">1</definedName>
    <definedName name="solver_neg" localSheetId="5" hidden="1">1</definedName>
    <definedName name="solver_neg" localSheetId="11" hidden="1">1</definedName>
    <definedName name="solver_nod" localSheetId="6" hidden="1">2147483647</definedName>
    <definedName name="solver_nod" localSheetId="5" hidden="1">2147483647</definedName>
    <definedName name="solver_nod" localSheetId="11" hidden="1">2147483647</definedName>
    <definedName name="solver_num" localSheetId="6" hidden="1">0</definedName>
    <definedName name="solver_num" localSheetId="5" hidden="1">0</definedName>
    <definedName name="solver_num" localSheetId="11" hidden="1">3</definedName>
    <definedName name="solver_nwt" localSheetId="6" hidden="1">1</definedName>
    <definedName name="solver_nwt" localSheetId="5" hidden="1">1</definedName>
    <definedName name="solver_nwt" localSheetId="11" hidden="1">1</definedName>
    <definedName name="solver_opt" localSheetId="6" hidden="1">'Sensitivity - Template'!$F$6</definedName>
    <definedName name="solver_opt" localSheetId="5" hidden="1">Senstivity!$F$6</definedName>
    <definedName name="solver_opt" localSheetId="11" hidden="1">VAC_Optim_Scenario!$B$9</definedName>
    <definedName name="solver_pre" localSheetId="6" hidden="1">0.000001</definedName>
    <definedName name="solver_pre" localSheetId="5" hidden="1">0.000001</definedName>
    <definedName name="solver_pre" localSheetId="11" hidden="1">0.00000001</definedName>
    <definedName name="solver_rbv" localSheetId="6" hidden="1">1</definedName>
    <definedName name="solver_rbv" localSheetId="5" hidden="1">1</definedName>
    <definedName name="solver_rbv" localSheetId="11" hidden="1">1</definedName>
    <definedName name="solver_rel0" localSheetId="11" hidden="1">3</definedName>
    <definedName name="solver_rel1" localSheetId="11" hidden="1">2</definedName>
    <definedName name="solver_rel2" localSheetId="11" hidden="1">1</definedName>
    <definedName name="solver_rel3" localSheetId="11" hidden="1">3</definedName>
    <definedName name="solver_rel4" localSheetId="11" hidden="1">3</definedName>
    <definedName name="solver_rel5" localSheetId="11" hidden="1">2</definedName>
    <definedName name="solver_rhs0" localSheetId="11" hidden="1">VAC_Optim_Scenario!$C$12</definedName>
    <definedName name="solver_rhs1" localSheetId="11" hidden="1">VAC_Optim_Scenario!$I$26</definedName>
    <definedName name="solver_rhs2" localSheetId="11" hidden="1">VAC_Optim_Scenario!$H$17:$H$25</definedName>
    <definedName name="solver_rhs3" localSheetId="11" hidden="1">VAC_Optim_Scenario!$G$17:$G$25</definedName>
    <definedName name="solver_rhs4" localSheetId="11" hidden="1">VAC_Optim_Scenario!$C$12</definedName>
    <definedName name="solver_rhs5" localSheetId="11" hidden="1">VAC_Optim_Scenario!#REF!</definedName>
    <definedName name="solver_rlx" localSheetId="6" hidden="1">2</definedName>
    <definedName name="solver_rlx" localSheetId="5" hidden="1">2</definedName>
    <definedName name="solver_rlx" localSheetId="11" hidden="1">2</definedName>
    <definedName name="solver_rsd" localSheetId="6" hidden="1">0</definedName>
    <definedName name="solver_rsd" localSheetId="5" hidden="1">0</definedName>
    <definedName name="solver_rsd" localSheetId="11" hidden="1">0</definedName>
    <definedName name="solver_scl" localSheetId="6" hidden="1">1</definedName>
    <definedName name="solver_scl" localSheetId="5" hidden="1">1</definedName>
    <definedName name="solver_scl" localSheetId="11" hidden="1">1</definedName>
    <definedName name="solver_sho" localSheetId="6" hidden="1">2</definedName>
    <definedName name="solver_sho" localSheetId="5" hidden="1">2</definedName>
    <definedName name="solver_sho" localSheetId="11" hidden="1">2</definedName>
    <definedName name="solver_ssz" localSheetId="6" hidden="1">100</definedName>
    <definedName name="solver_ssz" localSheetId="5" hidden="1">100</definedName>
    <definedName name="solver_ssz" localSheetId="11" hidden="1">100</definedName>
    <definedName name="solver_tim" localSheetId="6" hidden="1">2147483647</definedName>
    <definedName name="solver_tim" localSheetId="5" hidden="1">2147483647</definedName>
    <definedName name="solver_tim" localSheetId="11" hidden="1">2147483647</definedName>
    <definedName name="solver_tol" localSheetId="6" hidden="1">0.01</definedName>
    <definedName name="solver_tol" localSheetId="5" hidden="1">0.01</definedName>
    <definedName name="solver_tol" localSheetId="11" hidden="1">0.01</definedName>
    <definedName name="solver_typ" localSheetId="6" hidden="1">1</definedName>
    <definedName name="solver_typ" localSheetId="5" hidden="1">1</definedName>
    <definedName name="solver_typ" localSheetId="11" hidden="1">1</definedName>
    <definedName name="solver_val" localSheetId="6" hidden="1">0</definedName>
    <definedName name="solver_val" localSheetId="5" hidden="1">0</definedName>
    <definedName name="solver_val" localSheetId="11" hidden="1">0</definedName>
    <definedName name="solver_ver" localSheetId="6" hidden="1">3</definedName>
    <definedName name="solver_ver" localSheetId="5" hidden="1">3</definedName>
    <definedName name="solver_ver" localSheetId="1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7" i="91" l="1"/>
  <c r="P38" i="91" s="1"/>
  <c r="N37" i="91"/>
  <c r="L37" i="91"/>
  <c r="L38" i="91" s="1"/>
  <c r="J37" i="91"/>
  <c r="H37" i="91"/>
  <c r="H38" i="91" s="1"/>
  <c r="F37" i="91"/>
  <c r="C37" i="91"/>
  <c r="N34" i="91"/>
  <c r="J34" i="91"/>
  <c r="F34" i="91"/>
  <c r="C34" i="91"/>
  <c r="AC30" i="93"/>
  <c r="AC29" i="93"/>
  <c r="AC28" i="93"/>
  <c r="AC27" i="93"/>
  <c r="AC26" i="93"/>
  <c r="AC25" i="93"/>
  <c r="AC24" i="93"/>
  <c r="AC23" i="93"/>
  <c r="AC22" i="93"/>
  <c r="AC21" i="93"/>
  <c r="AC20" i="93"/>
  <c r="AC19" i="93"/>
  <c r="Y20" i="93"/>
  <c r="Y21" i="93"/>
  <c r="Y22" i="93"/>
  <c r="Y23" i="93"/>
  <c r="Y24" i="93"/>
  <c r="Y25" i="93"/>
  <c r="Y26" i="93"/>
  <c r="Y27" i="93"/>
  <c r="Y28" i="93"/>
  <c r="Y29" i="93"/>
  <c r="Y30" i="93"/>
  <c r="Y19" i="93"/>
  <c r="L8" i="92" l="1"/>
  <c r="A42" i="88"/>
  <c r="A43" i="88"/>
  <c r="A44" i="88" s="1"/>
  <c r="A24" i="88"/>
  <c r="A25" i="88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23" i="88"/>
  <c r="D6" i="80"/>
  <c r="D7" i="80"/>
  <c r="D8" i="80"/>
  <c r="D9" i="80"/>
  <c r="D10" i="80"/>
  <c r="D11" i="80"/>
  <c r="D12" i="80"/>
  <c r="D5" i="80"/>
  <c r="D4" i="80"/>
  <c r="Q11" i="80" a="1"/>
  <c r="Q6" i="80" a="1"/>
  <c r="Q7" i="80" a="1"/>
  <c r="Q4" i="80" a="1"/>
  <c r="Q9" i="80" a="1"/>
  <c r="R4" i="80" a="1"/>
  <c r="Q8" i="80" a="1"/>
  <c r="R6" i="80" a="1"/>
  <c r="Q12" i="80" a="1"/>
  <c r="R12" i="80" a="1"/>
  <c r="R10" i="80" a="1"/>
  <c r="R9" i="80" a="1"/>
  <c r="R8" i="80" a="1"/>
  <c r="R11" i="80" a="1"/>
  <c r="Q10" i="80" a="1"/>
  <c r="R7" i="80" a="1"/>
  <c r="R12" i="80" l="1"/>
  <c r="R11" i="80"/>
  <c r="R10" i="80"/>
  <c r="R8" i="80"/>
  <c r="R7" i="80"/>
  <c r="R6" i="80"/>
  <c r="R9" i="80"/>
  <c r="Q12" i="80"/>
  <c r="Q11" i="80"/>
  <c r="Q10" i="80"/>
  <c r="Q9" i="80"/>
  <c r="Q8" i="80"/>
  <c r="Q7" i="80"/>
  <c r="Q6" i="80"/>
  <c r="Q4" i="80"/>
  <c r="R4" i="80"/>
  <c r="D12" i="74" l="1"/>
  <c r="C12" i="74"/>
  <c r="B12" i="74"/>
  <c r="D12" i="75" l="1"/>
  <c r="C12" i="75"/>
  <c r="B12" i="75"/>
  <c r="B12" i="77" l="1"/>
  <c r="C12" i="77"/>
  <c r="D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G15" i="92" l="1"/>
  <c r="D14" i="92" l="1"/>
  <c r="N23" i="91"/>
  <c r="O23" i="91"/>
  <c r="P23" i="91"/>
  <c r="N24" i="91"/>
  <c r="O24" i="91"/>
  <c r="P24" i="91"/>
  <c r="N25" i="91"/>
  <c r="O25" i="91"/>
  <c r="P25" i="91"/>
  <c r="N26" i="91"/>
  <c r="O26" i="91"/>
  <c r="P26" i="91"/>
  <c r="N27" i="91"/>
  <c r="O27" i="91"/>
  <c r="P27" i="91"/>
  <c r="N28" i="91"/>
  <c r="O28" i="91"/>
  <c r="P28" i="91"/>
  <c r="N29" i="91"/>
  <c r="O29" i="91"/>
  <c r="P29" i="91"/>
  <c r="N30" i="91"/>
  <c r="O30" i="91"/>
  <c r="P30" i="91"/>
  <c r="P22" i="91"/>
  <c r="O22" i="91"/>
  <c r="N22" i="91"/>
  <c r="N20" i="91"/>
  <c r="P16" i="91"/>
  <c r="P31" i="91" s="1"/>
  <c r="P33" i="91" s="1"/>
  <c r="N16" i="91"/>
  <c r="N31" i="91" s="1"/>
  <c r="N33" i="91" s="1"/>
  <c r="D16" i="92"/>
  <c r="G6" i="92" l="1"/>
  <c r="N35" i="91"/>
  <c r="N32" i="91" s="1"/>
  <c r="H68" i="91"/>
  <c r="G68" i="91"/>
  <c r="F68" i="91"/>
  <c r="D68" i="91"/>
  <c r="C68" i="91"/>
  <c r="H67" i="91"/>
  <c r="G67" i="91"/>
  <c r="F67" i="91"/>
  <c r="D67" i="91"/>
  <c r="C67" i="91"/>
  <c r="H66" i="91"/>
  <c r="G66" i="91"/>
  <c r="F66" i="91"/>
  <c r="D66" i="91"/>
  <c r="C66" i="91"/>
  <c r="H65" i="91"/>
  <c r="G65" i="91"/>
  <c r="F65" i="91"/>
  <c r="D65" i="91"/>
  <c r="C65" i="91"/>
  <c r="H64" i="91"/>
  <c r="G64" i="91"/>
  <c r="F64" i="91"/>
  <c r="D64" i="91"/>
  <c r="C64" i="91"/>
  <c r="H63" i="91"/>
  <c r="G63" i="91"/>
  <c r="F63" i="91"/>
  <c r="D63" i="91"/>
  <c r="C63" i="91"/>
  <c r="H62" i="91"/>
  <c r="G62" i="91"/>
  <c r="F62" i="91"/>
  <c r="D62" i="91"/>
  <c r="C62" i="91"/>
  <c r="H61" i="91"/>
  <c r="G61" i="91"/>
  <c r="F61" i="91"/>
  <c r="D61" i="91"/>
  <c r="C61" i="91"/>
  <c r="F59" i="91"/>
  <c r="F58" i="91"/>
  <c r="H55" i="91"/>
  <c r="H69" i="91" s="1"/>
  <c r="F55" i="91"/>
  <c r="F69" i="91" s="1"/>
  <c r="D55" i="91"/>
  <c r="C55" i="91"/>
  <c r="C69" i="91" s="1"/>
  <c r="L30" i="91"/>
  <c r="K30" i="91"/>
  <c r="J30" i="91"/>
  <c r="H30" i="91"/>
  <c r="G30" i="91"/>
  <c r="F30" i="91"/>
  <c r="L29" i="91"/>
  <c r="K29" i="91"/>
  <c r="J29" i="91"/>
  <c r="H29" i="91"/>
  <c r="G29" i="91"/>
  <c r="F29" i="91"/>
  <c r="L28" i="91"/>
  <c r="K28" i="91"/>
  <c r="J28" i="91"/>
  <c r="H28" i="91"/>
  <c r="G28" i="91"/>
  <c r="F28" i="91"/>
  <c r="L27" i="91"/>
  <c r="K27" i="91"/>
  <c r="J27" i="91"/>
  <c r="H27" i="91"/>
  <c r="G27" i="91"/>
  <c r="F27" i="91"/>
  <c r="L26" i="91"/>
  <c r="K26" i="91"/>
  <c r="J26" i="91"/>
  <c r="H26" i="91"/>
  <c r="G26" i="91"/>
  <c r="F26" i="91"/>
  <c r="L25" i="91"/>
  <c r="K25" i="91"/>
  <c r="J25" i="91"/>
  <c r="H25" i="91"/>
  <c r="G25" i="91"/>
  <c r="F25" i="91"/>
  <c r="L24" i="91"/>
  <c r="K24" i="91"/>
  <c r="J24" i="91"/>
  <c r="H24" i="91"/>
  <c r="G24" i="91"/>
  <c r="F24" i="91"/>
  <c r="L23" i="91"/>
  <c r="K23" i="91"/>
  <c r="J23" i="91"/>
  <c r="H23" i="91"/>
  <c r="G23" i="91"/>
  <c r="F23" i="91"/>
  <c r="L22" i="91"/>
  <c r="K22" i="91"/>
  <c r="J22" i="91"/>
  <c r="H22" i="91"/>
  <c r="G22" i="91"/>
  <c r="F22" i="91"/>
  <c r="J20" i="91"/>
  <c r="F20" i="91"/>
  <c r="F19" i="91"/>
  <c r="L16" i="91"/>
  <c r="J16" i="91"/>
  <c r="J31" i="91" s="1"/>
  <c r="J33" i="91" s="1"/>
  <c r="H16" i="91"/>
  <c r="G8" i="92" s="1"/>
  <c r="F16" i="91"/>
  <c r="F31" i="91" s="1"/>
  <c r="F33" i="91" s="1"/>
  <c r="C15" i="91"/>
  <c r="C30" i="91" s="1"/>
  <c r="B15" i="91"/>
  <c r="B30" i="91" s="1"/>
  <c r="C14" i="91"/>
  <c r="C29" i="91" s="1"/>
  <c r="B14" i="91"/>
  <c r="B29" i="91" s="1"/>
  <c r="C13" i="91"/>
  <c r="B13" i="91"/>
  <c r="B28" i="91" s="1"/>
  <c r="C12" i="91"/>
  <c r="C27" i="91" s="1"/>
  <c r="B12" i="91"/>
  <c r="B27" i="91" s="1"/>
  <c r="C11" i="91"/>
  <c r="B11" i="91"/>
  <c r="B26" i="91" s="1"/>
  <c r="C10" i="91"/>
  <c r="C25" i="91" s="1"/>
  <c r="B10" i="91"/>
  <c r="B25" i="91" s="1"/>
  <c r="C9" i="91"/>
  <c r="B9" i="91"/>
  <c r="B24" i="91" s="1"/>
  <c r="C8" i="91"/>
  <c r="C23" i="91" s="1"/>
  <c r="B8" i="91"/>
  <c r="B23" i="91" s="1"/>
  <c r="C7" i="91"/>
  <c r="B7" i="91"/>
  <c r="B22" i="91" s="1"/>
  <c r="K8" i="92" l="1"/>
  <c r="L31" i="91"/>
  <c r="G7" i="92"/>
  <c r="F14" i="92" s="1"/>
  <c r="H31" i="91"/>
  <c r="D56" i="91"/>
  <c r="D69" i="91"/>
  <c r="B3" i="91"/>
  <c r="C22" i="91"/>
  <c r="C26" i="91"/>
  <c r="C24" i="91"/>
  <c r="C28" i="91"/>
  <c r="C16" i="91"/>
  <c r="G9" i="90"/>
  <c r="D9" i="90"/>
  <c r="C9" i="90"/>
  <c r="B9" i="90"/>
  <c r="A21" i="90"/>
  <c r="F14" i="90"/>
  <c r="E14" i="90"/>
  <c r="F12" i="90"/>
  <c r="D12" i="90"/>
  <c r="C12" i="90"/>
  <c r="B12" i="90"/>
  <c r="G12" i="90" s="1"/>
  <c r="F35" i="91" l="1"/>
  <c r="F32" i="91" s="1"/>
  <c r="H33" i="91"/>
  <c r="J35" i="91"/>
  <c r="J32" i="91" s="1"/>
  <c r="L33" i="91"/>
  <c r="C9" i="92"/>
  <c r="E6" i="92" s="1"/>
  <c r="C6" i="92" s="1"/>
  <c r="O16" i="91"/>
  <c r="O31" i="91" s="1"/>
  <c r="O33" i="91" s="1"/>
  <c r="F15" i="92"/>
  <c r="H71" i="91"/>
  <c r="H72" i="91" s="1"/>
  <c r="C31" i="91"/>
  <c r="C33" i="91" s="1"/>
  <c r="K16" i="91"/>
  <c r="K31" i="91" s="1"/>
  <c r="K33" i="91" s="1"/>
  <c r="G16" i="91"/>
  <c r="G31" i="91" s="1"/>
  <c r="G33" i="91" s="1"/>
  <c r="G55" i="91"/>
  <c r="G69" i="91" s="1"/>
  <c r="B21" i="90"/>
  <c r="C21" i="90" s="1"/>
  <c r="H9" i="90"/>
  <c r="I9" i="90" s="1"/>
  <c r="E9" i="90"/>
  <c r="F9" i="90" s="1"/>
  <c r="A22" i="90"/>
  <c r="E7" i="92" l="1"/>
  <c r="C7" i="92" s="1"/>
  <c r="C15" i="92" s="1"/>
  <c r="C14" i="92"/>
  <c r="L6" i="92"/>
  <c r="K6" i="92"/>
  <c r="E9" i="92"/>
  <c r="C16" i="92"/>
  <c r="K7" i="92"/>
  <c r="B22" i="90"/>
  <c r="C22" i="90" s="1"/>
  <c r="A23" i="90"/>
  <c r="L7" i="92" l="1"/>
  <c r="E15" i="92"/>
  <c r="I15" i="92" s="1"/>
  <c r="E14" i="92"/>
  <c r="A24" i="90"/>
  <c r="B23" i="90"/>
  <c r="C23" i="90" s="1"/>
  <c r="H15" i="92" l="1"/>
  <c r="I14" i="92"/>
  <c r="H14" i="92"/>
  <c r="B24" i="90"/>
  <c r="C24" i="90" s="1"/>
  <c r="A25" i="90"/>
  <c r="B25" i="90" l="1"/>
  <c r="C25" i="90" s="1"/>
  <c r="A26" i="90"/>
  <c r="A27" i="90" l="1"/>
  <c r="B26" i="90"/>
  <c r="C26" i="90" s="1"/>
  <c r="A28" i="90" l="1"/>
  <c r="B27" i="90"/>
  <c r="C27" i="90" s="1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36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E26" i="23"/>
  <c r="G15" i="78" l="1"/>
  <c r="I32" i="23" l="1"/>
  <c r="G14" i="88" s="1"/>
  <c r="F32" i="23" l="1"/>
  <c r="H14" i="88" s="1"/>
  <c r="G32" i="23"/>
  <c r="E26" i="88" l="1"/>
  <c r="E25" i="88"/>
  <c r="E23" i="88"/>
  <c r="E33" i="88"/>
  <c r="E37" i="88"/>
  <c r="E40" i="88"/>
  <c r="E22" i="88"/>
  <c r="E30" i="88"/>
  <c r="E28" i="88"/>
  <c r="E36" i="88"/>
  <c r="E31" i="88"/>
  <c r="E24" i="88"/>
  <c r="E39" i="88"/>
  <c r="E27" i="88"/>
  <c r="E35" i="88"/>
  <c r="E41" i="88"/>
  <c r="E32" i="88"/>
  <c r="E29" i="88"/>
  <c r="E38" i="88"/>
  <c r="E42" i="88"/>
  <c r="E34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 s="1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H39" i="23"/>
  <c r="F39" i="23"/>
  <c r="G39" i="23" s="1"/>
  <c r="D39" i="23"/>
  <c r="C39" i="23"/>
  <c r="B39" i="23"/>
  <c r="B40" i="23"/>
  <c r="B41" i="23"/>
  <c r="B42" i="23"/>
  <c r="B43" i="23"/>
  <c r="D11" i="91" l="1"/>
  <c r="D26" i="91" s="1"/>
  <c r="A26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O23" i="23"/>
  <c r="I18" i="78"/>
  <c r="I15" i="78"/>
  <c r="B24" i="77"/>
  <c r="C24" i="77" s="1"/>
  <c r="A25" i="77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I11" i="80" s="1"/>
  <c r="O24" i="23"/>
  <c r="E12" i="80"/>
  <c r="I12" i="80" s="1"/>
  <c r="O25" i="23"/>
  <c r="A22" i="75"/>
  <c r="A23" i="75" s="1"/>
  <c r="A24" i="75" s="1"/>
  <c r="A23" i="74"/>
  <c r="B21" i="74"/>
  <c r="C21" i="74" s="1"/>
  <c r="H12" i="80" l="1"/>
  <c r="H11" i="80"/>
  <c r="B23" i="75"/>
  <c r="C23" i="75" s="1"/>
  <c r="B22" i="75"/>
  <c r="C22" i="75" s="1"/>
  <c r="F22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C37" i="23"/>
  <c r="D37" i="23"/>
  <c r="H37" i="23"/>
  <c r="C38" i="23"/>
  <c r="D38" i="23"/>
  <c r="H38" i="23"/>
  <c r="C40" i="23"/>
  <c r="D40" i="23"/>
  <c r="H40" i="23"/>
  <c r="C41" i="23"/>
  <c r="D41" i="23"/>
  <c r="H41" i="23"/>
  <c r="C42" i="23"/>
  <c r="D42" i="23"/>
  <c r="H42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F20" i="80" l="1"/>
  <c r="I7" i="80"/>
  <c r="H7" i="80"/>
  <c r="F17" i="80"/>
  <c r="H36" i="23"/>
  <c r="H35" i="23"/>
  <c r="D36" i="23"/>
  <c r="B36" i="23"/>
  <c r="B35" i="23"/>
  <c r="A36" i="23"/>
  <c r="A35" i="23"/>
  <c r="Z7" i="89" l="1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R16" i="91" l="1"/>
  <c r="S16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41" i="23"/>
  <c r="J42" i="23"/>
  <c r="J40" i="23"/>
  <c r="G40" i="23"/>
  <c r="F9" i="80" s="1"/>
  <c r="G41" i="23"/>
  <c r="G38" i="23"/>
  <c r="F7" i="80" s="1"/>
  <c r="G42" i="23"/>
  <c r="H14" i="59"/>
  <c r="D14" i="91" l="1"/>
  <c r="D29" i="91" s="1"/>
  <c r="A29" i="91" s="1"/>
  <c r="F11" i="80"/>
  <c r="D13" i="91"/>
  <c r="D28" i="91" s="1"/>
  <c r="A28" i="91" s="1"/>
  <c r="F10" i="80"/>
  <c r="P38" i="23"/>
  <c r="D10" i="91"/>
  <c r="D25" i="91" s="1"/>
  <c r="A25" i="91" s="1"/>
  <c r="G9" i="80"/>
  <c r="D12" i="91"/>
  <c r="D27" i="91" s="1"/>
  <c r="A27" i="91" s="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16" i="79"/>
  <c r="W31" i="79" s="1"/>
  <c r="R31" i="79"/>
  <c r="S16" i="79"/>
  <c r="S31" i="79" s="1"/>
  <c r="G11" i="80"/>
  <c r="D14" i="79"/>
  <c r="D29" i="79" s="1"/>
  <c r="A29" i="79" s="1"/>
  <c r="G10" i="80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J7" i="80"/>
  <c r="D15" i="91" l="1"/>
  <c r="D30" i="91" s="1"/>
  <c r="A30" i="91" s="1"/>
  <c r="F12" i="80"/>
  <c r="G12" i="80" s="1"/>
  <c r="AB15" i="89"/>
  <c r="T15" i="91"/>
  <c r="P13" i="87"/>
  <c r="R27" i="87"/>
  <c r="R13" i="87"/>
  <c r="P27" i="87"/>
  <c r="N13" i="87"/>
  <c r="N27" i="87"/>
  <c r="P43" i="23"/>
  <c r="X30" i="79"/>
  <c r="H30" i="79"/>
  <c r="T30" i="79"/>
  <c r="P30" i="79"/>
  <c r="L30" i="79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37" i="23"/>
  <c r="F6" i="80" s="1"/>
  <c r="I35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G6" i="80"/>
  <c r="D9" i="91"/>
  <c r="E4" i="80"/>
  <c r="O17" i="23"/>
  <c r="F21" i="80"/>
  <c r="D9" i="79"/>
  <c r="L19" i="23"/>
  <c r="N19" i="23" s="1"/>
  <c r="I37" i="23"/>
  <c r="J37" i="23" s="1"/>
  <c r="F35" i="23"/>
  <c r="G35" i="23" s="1"/>
  <c r="F4" i="80" s="1"/>
  <c r="J35" i="23"/>
  <c r="H4" i="80" l="1"/>
  <c r="I4" i="80"/>
  <c r="A28" i="50"/>
  <c r="G4" i="80"/>
  <c r="D7" i="91"/>
  <c r="D24" i="91"/>
  <c r="A24" i="91" s="1"/>
  <c r="C3" i="91"/>
  <c r="F24" i="80"/>
  <c r="AB9" i="89"/>
  <c r="T9" i="91"/>
  <c r="AB7" i="89"/>
  <c r="T7" i="9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25" i="80"/>
  <c r="F23" i="80"/>
  <c r="D24" i="79"/>
  <c r="A24" i="79" s="1"/>
  <c r="C3" i="79"/>
  <c r="L37" i="23"/>
  <c r="N37" i="23" s="1"/>
  <c r="A29" i="50" l="1"/>
  <c r="D22" i="91"/>
  <c r="A22" i="91" s="1"/>
  <c r="X22" i="79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6" i="5"/>
  <c r="B27" i="5"/>
  <c r="B28" i="5"/>
  <c r="B45" i="5"/>
  <c r="B34" i="5"/>
  <c r="E9" i="5"/>
  <c r="B32" i="5"/>
  <c r="B29" i="5"/>
  <c r="B47" i="5"/>
  <c r="B41" i="5"/>
  <c r="B37" i="5"/>
  <c r="B38" i="5"/>
  <c r="B31" i="5"/>
  <c r="B39" i="5"/>
  <c r="B43" i="5"/>
  <c r="B42" i="5"/>
  <c r="B30" i="5"/>
  <c r="B35" i="5"/>
  <c r="B36" i="5"/>
  <c r="B40" i="5"/>
  <c r="B33" i="5"/>
  <c r="B44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R5" i="80" l="1"/>
  <c r="Q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J5" i="80"/>
  <c r="L18" i="23" l="1"/>
  <c r="N18" i="23" s="1"/>
  <c r="E5" i="80"/>
  <c r="I5" i="80" s="1"/>
  <c r="F36" i="23"/>
  <c r="F26" i="23"/>
  <c r="J36" i="23"/>
  <c r="I44" i="23"/>
  <c r="AB8" i="89" l="1"/>
  <c r="AB16" i="89" s="1"/>
  <c r="T8" i="91"/>
  <c r="T16" i="91" s="1"/>
  <c r="R6" i="87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G36" i="23"/>
  <c r="F5" i="80" s="1"/>
  <c r="F44" i="23"/>
  <c r="B9" i="23"/>
  <c r="E13" i="80"/>
  <c r="I13" i="80" s="1"/>
  <c r="F18" i="80"/>
  <c r="G5" i="80" l="1"/>
  <c r="D8" i="91"/>
  <c r="P36" i="23"/>
  <c r="X23" i="79"/>
  <c r="X16" i="79"/>
  <c r="L36" i="23"/>
  <c r="N36" i="23" s="1"/>
  <c r="D8" i="79"/>
  <c r="H16" i="79"/>
  <c r="L16" i="79"/>
  <c r="P16" i="79"/>
  <c r="T16" i="79"/>
  <c r="G44" i="23"/>
  <c r="D23" i="91" l="1"/>
  <c r="A23" i="91" s="1"/>
  <c r="D16" i="91"/>
  <c r="D23" i="79"/>
  <c r="A23" i="79" s="1"/>
  <c r="D16" i="79"/>
  <c r="L44" i="23"/>
  <c r="N44" i="23" s="1"/>
  <c r="L31" i="79"/>
  <c r="G9" i="78"/>
  <c r="K9" i="78" s="1"/>
  <c r="T31" i="79"/>
  <c r="G7" i="78"/>
  <c r="G6" i="78"/>
  <c r="X31" i="79"/>
  <c r="P31" i="79"/>
  <c r="G10" i="78"/>
  <c r="H31" i="79"/>
  <c r="G8" i="78"/>
  <c r="F13" i="80"/>
  <c r="F9" i="92" l="1"/>
  <c r="D17" i="91"/>
  <c r="D31" i="91"/>
  <c r="G13" i="80"/>
  <c r="F1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P35" i="91" l="1"/>
  <c r="P36" i="91" s="1"/>
  <c r="D33" i="91"/>
  <c r="J8" i="92"/>
  <c r="I8" i="92"/>
  <c r="I6" i="92"/>
  <c r="J6" i="92"/>
  <c r="C35" i="91"/>
  <c r="C32" i="91" s="1"/>
  <c r="L35" i="91"/>
  <c r="L36" i="91" s="1"/>
  <c r="H35" i="91"/>
  <c r="H36" i="91" s="1"/>
  <c r="B9" i="92"/>
  <c r="J7" i="92"/>
  <c r="I7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<sst xmlns="http://schemas.openxmlformats.org/spreadsheetml/2006/main" count="1528" uniqueCount="330">
  <si>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</si>
  <si>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</si>
  <si>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</si>
  <si>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</si>
  <si>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</si>
  <si>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</si>
  <si>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</si>
  <si>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</si>
  <si>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</si>
  <si>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</si>
  <si>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</si>
  <si>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</si>
  <si>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</si>
  <si>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</si>
  <si>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</si>
  <si>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</si>
  <si>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</si>
  <si>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</si>
  <si>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</si>
  <si>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</si>
  <si>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</si>
  <si>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</si>
  <si>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</si>
  <si>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</si>
  <si>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</si>
  <si>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</si>
  <si>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</si>
  <si>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</si>
  <si>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</si>
  <si>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</si>
  <si>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</si>
  <si>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</si>
  <si>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</si>
  <si>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</si>
  <si>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</si>
  <si>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</si>
  <si>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</si>
  <si>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</si>
  <si>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</si>
  <si>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</si>
  <si>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</si>
  <si>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</si>
  <si>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</si>
  <si>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</si>
  <si>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</si>
  <si>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</si>
  <si>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</si>
  <si>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</si>
  <si>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</si>
  <si>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</si>
  <si>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</si>
  <si>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</si>
  <si>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</si>
  <si>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</si>
  <si>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</si>
  <si>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</si>
  <si>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</si>
  <si>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</si>
  <si>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</si>
  <si>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</si>
  <si>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</si>
  <si>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</si>
  <si>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</si>
  <si>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</si>
  <si>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</si>
  <si>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</si>
  <si>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</si>
  <si>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</si>
  <si>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</si>
  <si>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</si>
  <si>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</si>
  <si>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</si>
  <si>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</si>
  <si>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</si>
  <si>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</si>
  <si>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</si>
  <si>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</si>
  <si>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</si>
  <si>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</si>
  <si>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</si>
  <si>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</si>
  <si>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</si>
  <si>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</si>
  <si>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</si>
  <si>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</si>
  <si>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</si>
  <si>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</si>
  <si>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</si>
  <si>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</si>
  <si>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</si>
  <si>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</si>
  <si>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</si>
  <si>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</si>
  <si>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</si>
  <si>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</si>
  <si>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</si>
  <si>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</si>
  <si>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</si>
  <si>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</si>
  <si>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</si>
  <si>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</si>
  <si>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</si>
  <si>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</si>
  <si>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</si>
  <si>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</si>
  <si>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</si>
  <si>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</si>
  <si>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</si>
  <si>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</si>
  <si>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</si>
  <si>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</si>
  <si>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</si>
  <si>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</si>
  <si>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</si>
  <si>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</si>
  <si>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</si>
  <si>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</si>
  <si>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</si>
  <si>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</si>
  <si>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</si>
  <si>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</si>
  <si>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</si>
  <si>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</si>
  <si>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</si>
  <si>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</si>
  <si>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</si>
  <si>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</si>
  <si>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</si>
  <si>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</si>
  <si>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</si>
  <si>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</si>
  <si>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</si>
  <si>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</si>
  <si>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</si>
  <si>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</si>
  <si>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</si>
  <si>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</si>
  <si>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</si>
  <si>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</si>
  <si>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</si>
  <si>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</si>
  <si>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</si>
  <si>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</si>
  <si>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</si>
  <si>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</si>
  <si>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</si>
  <si>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</si>
  <si>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</si>
  <si>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</si>
  <si>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</si>
  <si>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</si>
  <si>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</si>
  <si>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</si>
  <si>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</si>
  <si>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</si>
  <si>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</si>
  <si>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</si>
  <si>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</si>
  <si>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</si>
  <si>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</si>
  <si>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</si>
  <si>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</si>
  <si>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</si>
  <si>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</si>
  <si>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</si>
  <si>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</si>
  <si>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</si>
  <si>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</si>
  <si>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</si>
  <si>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</si>
  <si>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</si>
  <si>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</si>
  <si>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</si>
  <si>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</si>
  <si>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</si>
  <si>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</si>
  <si>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</si>
  <si>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</si>
  <si>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</si>
  <si>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</si>
  <si>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</si>
  <si>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</si>
  <si>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</si>
  <si>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</si>
  <si>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</si>
  <si>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</si>
  <si>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</si>
  <si>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</si>
  <si>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</si>
  <si>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</si>
  <si>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</si>
  <si>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</si>
  <si>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</si>
  <si>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</si>
  <si>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</si>
  <si>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</si>
  <si>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</si>
  <si>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</si>
  <si>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</si>
  <si>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</si>
  <si>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</si>
  <si>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</si>
  <si>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</si>
  <si>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</si>
  <si>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</si>
  <si>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</si>
  <si>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</si>
  <si>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</si>
  <si>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</si>
  <si>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</si>
  <si>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</si>
  <si>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</si>
  <si>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</si>
  <si>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</si>
  <si>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</si>
  <si>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</si>
  <si>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</si>
  <si>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</si>
  <si>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</si>
  <si>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</si>
  <si>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</si>
  <si>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</si>
  <si>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</si>
  <si>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</si>
  <si>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</si>
  <si>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</si>
  <si>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</si>
  <si>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</si>
  <si>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</si>
  <si>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</si>
  <si>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</si>
  <si>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</si>
  <si>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</si>
  <si>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</si>
  <si>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</si>
  <si>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</si>
  <si>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</si>
  <si>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</si>
  <si>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</si>
  <si>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</si>
  <si>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</si>
  <si>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</si>
  <si>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</si>
  <si>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</si>
  <si>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</si>
  <si>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</si>
  <si>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</si>
  <si>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</si>
  <si>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</si>
  <si>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</si>
  <si>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</si>
  <si>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</si>
  <si>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</si>
  <si>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</si>
  <si>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</si>
  <si>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</si>
  <si>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</si>
  <si>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</si>
  <si>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</si>
  <si>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</si>
  <si>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</si>
  <si>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</si>
  <si>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</si>
  <si>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</si>
  <si>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</si>
  <si>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</si>
  <si>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</si>
  <si>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</si>
  <si>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</si>
  <si>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</si>
  <si>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</si>
  <si>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</si>
  <si>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</si>
  <si>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</si>
  <si>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</si>
  <si>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</si>
  <si>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</si>
  <si>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</si>
  <si>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</si>
  <si>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</si>
  <si>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</si>
  <si>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</si>
  <si>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50% increase optimal ($48M)</t>
  </si>
  <si>
    <t>Gardasil Adolescents: HCC In Office, HCP MCM, HCC Digital, TV &amp; HCC audio.</t>
  </si>
  <si>
    <t>100% increase optimal ($65M)</t>
  </si>
  <si>
    <t>-50% / +100%</t>
  </si>
  <si>
    <t>BASE Case: Vary promotion type spend by - 50% / +100%. Keep global spend constant.</t>
  </si>
  <si>
    <t>Gardasil Adolescents Socail. Given a set of X and Y values, a power function (i.e., a smooth continuous curve) is fit for each pair of values</t>
  </si>
  <si>
    <t>Gardasil Adolescents STV. Given a set of X and Y values, a power function (i.e., a smooth continuous curve) is fit for each pair of values</t>
  </si>
  <si>
    <t>Gardasil Adolescents PS. Given a set of X and Y values, a power function (i.e., a smooth continuous curve) is fit for each pair of values</t>
  </si>
  <si>
    <t>Gardasil Adolescents Audio. Given a set of X and Y values, a power function (i.e., a smooth continuous curve) is fit for each pair of values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</si>
  <si>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</si>
  <si>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</si>
  <si>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</si>
  <si>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</si>
  <si>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</si>
  <si>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</si>
  <si>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</si>
  <si>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</t>
  </si>
  <si>
    <t>2023 pro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</si>
  <si>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</si>
  <si>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</si>
  <si>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</si>
  <si>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</si>
  <si>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</si>
  <si>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</si>
  <si>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</si>
  <si>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</si>
  <si>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</si>
  <si>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2023 Projected Promotion Efficiency</t>
  </si>
  <si>
    <t>2023 Current Baseline ($MM)</t>
  </si>
  <si>
    <t>1M increase in Spend (33M)</t>
  </si>
  <si>
    <t>Optimal channel spend allowed to vary based on custom constrains for the 2023 channel spend</t>
  </si>
  <si>
    <t>-$2(-1%)</t>
  </si>
  <si>
    <t>+$140(57%)</t>
  </si>
  <si>
    <t>+$89(36%)</t>
  </si>
  <si>
    <t>ROI 7.69</t>
  </si>
  <si>
    <t>ROI 7.45</t>
  </si>
  <si>
    <t>ROI 6.96</t>
  </si>
  <si>
    <t>ROI 6.02</t>
  </si>
  <si>
    <t>ROI 6.69</t>
  </si>
  <si>
    <t>+$76(30%)</t>
  </si>
  <si>
    <t>ROI 5.67</t>
  </si>
  <si>
    <t>+$118(47%)</t>
  </si>
  <si>
    <t>S</t>
  </si>
  <si>
    <t>Incr. Reve assuming increased channel effectiveness (120%)</t>
  </si>
  <si>
    <t>Δ Pre-tax Revenue w.r.t 2023 Current baseline with 140% effectiveness</t>
  </si>
  <si>
    <t>-$3(1%)</t>
  </si>
  <si>
    <t>+$106(36%)</t>
  </si>
  <si>
    <t>+$168(57%)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</si>
</sst>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</numFmts>
  <fonts count="4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theme="1" tint="4.9989318521683403E-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9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3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170" fontId="0" fillId="0" borderId="81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9" fontId="0" fillId="0" borderId="85" xfId="3" applyFont="1" applyBorder="1" applyAlignment="1">
      <alignment horizontal="center" vertical="center"/>
    </xf>
    <xf numFmtId="170" fontId="0" fillId="0" borderId="88" xfId="4" applyNumberFormat="1" applyFont="1" applyBorder="1" applyAlignment="1">
      <alignment horizontal="center" vertical="center"/>
    </xf>
    <xf numFmtId="0" fontId="28" fillId="48" borderId="89" xfId="0" applyFont="1" applyFill="1" applyBorder="1" applyAlignment="1">
      <alignment horizontal="left" wrapText="1" indent="1"/>
    </xf>
    <xf numFmtId="170" fontId="28" fillId="48" borderId="90" xfId="0" applyNumberFormat="1" applyFont="1" applyFill="1" applyBorder="1" applyAlignment="1">
      <alignment horizontal="center" vertical="center"/>
    </xf>
    <xf numFmtId="170" fontId="28" fillId="48" borderId="9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2" xfId="4" applyNumberFormat="1" applyFont="1" applyFill="1" applyBorder="1" applyAlignment="1">
      <alignment horizontal="center" vertical="center" wrapText="1"/>
    </xf>
    <xf numFmtId="9" fontId="28" fillId="48" borderId="93" xfId="3" applyFont="1" applyFill="1" applyBorder="1" applyAlignment="1">
      <alignment horizontal="center" vertical="center"/>
    </xf>
    <xf numFmtId="170" fontId="28" fillId="48" borderId="94" xfId="4" applyNumberFormat="1" applyFont="1" applyFill="1" applyBorder="1" applyAlignment="1">
      <alignment horizontal="center" vertical="center" wrapText="1"/>
    </xf>
    <xf numFmtId="166" fontId="38" fillId="48" borderId="94" xfId="4" applyNumberFormat="1" applyFont="1" applyFill="1" applyBorder="1" applyAlignment="1">
      <alignment horizontal="center" vertical="center" wrapText="1"/>
    </xf>
    <xf numFmtId="166" fontId="37" fillId="48" borderId="94" xfId="4" quotePrefix="1" applyNumberFormat="1" applyFont="1" applyFill="1" applyBorder="1" applyAlignment="1">
      <alignment horizontal="center" vertical="center" wrapText="1"/>
    </xf>
    <xf numFmtId="166" fontId="28" fillId="48" borderId="94" xfId="4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5" xfId="0" applyFont="1" applyFill="1" applyBorder="1" applyAlignment="1">
      <alignment horizontal="center" vertical="center" wrapText="1"/>
    </xf>
    <xf numFmtId="0" fontId="2" fillId="8" borderId="96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7" xfId="4" applyNumberFormat="1" applyFont="1" applyBorder="1"/>
    <xf numFmtId="164" fontId="0" fillId="0" borderId="98" xfId="4" applyNumberFormat="1" applyFont="1" applyBorder="1"/>
    <xf numFmtId="0" fontId="36" fillId="0" borderId="0" xfId="0" applyFont="1"/>
    <xf numFmtId="170" fontId="0" fillId="0" borderId="97" xfId="4" applyNumberFormat="1" applyFont="1" applyBorder="1" applyAlignment="1">
      <alignment horizontal="center"/>
    </xf>
    <xf numFmtId="170" fontId="0" fillId="0" borderId="98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9" xfId="4" applyNumberFormat="1" applyFont="1" applyBorder="1"/>
    <xf numFmtId="164" fontId="0" fillId="0" borderId="100" xfId="4" applyNumberFormat="1" applyFont="1" applyBorder="1"/>
    <xf numFmtId="170" fontId="0" fillId="0" borderId="99" xfId="4" applyNumberFormat="1" applyFont="1" applyBorder="1" applyAlignment="1">
      <alignment horizontal="center"/>
    </xf>
    <xf numFmtId="170" fontId="0" fillId="0" borderId="100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4" xfId="4" applyNumberFormat="1" applyFont="1" applyBorder="1" applyAlignment="1">
      <alignment horizontal="center" vertical="center"/>
    </xf>
    <xf numFmtId="166" fontId="0" fillId="0" borderId="88" xfId="4" applyNumberFormat="1" applyFont="1" applyBorder="1" applyAlignment="1">
      <alignment horizontal="center" vertical="center"/>
    </xf>
    <xf numFmtId="0" fontId="0" fillId="48" borderId="89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4" xfId="4" quotePrefix="1" applyNumberFormat="1" applyFont="1" applyFill="1" applyBorder="1" applyAlignment="1">
      <alignment horizontal="center" vertical="center" wrapText="1"/>
    </xf>
    <xf numFmtId="166" fontId="0" fillId="0" borderId="82" xfId="4" applyNumberFormat="1" applyFont="1" applyBorder="1" applyAlignment="1">
      <alignment horizontal="center" vertical="center"/>
    </xf>
    <xf numFmtId="166" fontId="0" fillId="0" borderId="86" xfId="4" applyNumberFormat="1" applyFont="1" applyBorder="1" applyAlignment="1">
      <alignment horizontal="center" vertical="center"/>
    </xf>
    <xf numFmtId="166" fontId="28" fillId="48" borderId="91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7" xfId="4" applyNumberFormat="1" applyFont="1" applyBorder="1" applyAlignment="1">
      <alignment horizontal="center"/>
    </xf>
    <xf numFmtId="166" fontId="0" fillId="0" borderId="99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0" fontId="41" fillId="48" borderId="92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170" fontId="28" fillId="48" borderId="0" xfId="4" applyNumberFormat="1" applyFont="1" applyFill="1" applyBorder="1" applyAlignment="1">
      <alignment horizontal="center" vertical="center" wrapText="1"/>
    </xf>
    <xf numFmtId="166" fontId="38" fillId="48" borderId="0" xfId="4" quotePrefix="1" applyNumberFormat="1" applyFont="1" applyFill="1" applyBorder="1" applyAlignment="1">
      <alignment horizontal="center" vertical="center" wrapText="1"/>
    </xf>
    <xf numFmtId="166" fontId="28" fillId="48" borderId="0" xfId="4" applyNumberFormat="1" applyFont="1" applyFill="1" applyBorder="1" applyAlignment="1">
      <alignment horizontal="center" vertical="center" wrapText="1"/>
    </xf>
    <xf numFmtId="9" fontId="28" fillId="0" borderId="0" xfId="0" applyNumberFormat="1" applyFont="1" applyAlignment="1">
      <alignment horizontal="center"/>
    </xf>
    <xf numFmtId="3" fontId="0" fillId="43" borderId="0" xfId="0" applyNumberFormat="1" applyFill="1"/>
    <xf numFmtId="174" fontId="42" fillId="0" borderId="48" xfId="0" applyNumberFormat="1" applyFont="1" applyBorder="1" applyAlignment="1">
      <alignment horizontal="center" vertical="center"/>
    </xf>
    <xf numFmtId="174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3" fontId="43" fillId="0" borderId="42" xfId="0" applyNumberFormat="1" applyFont="1" applyBorder="1" applyAlignment="1">
      <alignment horizontal="center" vertical="center"/>
    </xf>
    <xf numFmtId="174" fontId="43" fillId="0" borderId="42" xfId="0" applyNumberFormat="1" applyFont="1" applyBorder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169" fontId="43" fillId="0" borderId="42" xfId="0" applyNumberFormat="1" applyFont="1" applyBorder="1" applyAlignment="1">
      <alignment horizontal="center" vertical="center"/>
    </xf>
    <xf numFmtId="171" fontId="43" fillId="0" borderId="42" xfId="0" applyNumberFormat="1" applyFont="1" applyBorder="1" applyAlignment="1">
      <alignment horizontal="center" vertical="center"/>
    </xf>
    <xf numFmtId="166" fontId="43" fillId="0" borderId="42" xfId="4" applyNumberFormat="1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3" fillId="0" borderId="41" xfId="0" applyFont="1" applyBorder="1" applyAlignment="1">
      <alignment horizontal="left" vertical="center"/>
    </xf>
    <xf numFmtId="0" fontId="43" fillId="0" borderId="42" xfId="0" applyFont="1" applyBorder="1" applyAlignment="1">
      <alignment horizontal="left" vertical="center"/>
    </xf>
    <xf numFmtId="0" fontId="44" fillId="0" borderId="0" xfId="0" applyFont="1"/>
    <xf numFmtId="2" fontId="42" fillId="0" borderId="49" xfId="3" applyNumberFormat="1" applyFont="1" applyBorder="1" applyAlignment="1">
      <alignment horizontal="center" vertical="center"/>
    </xf>
    <xf numFmtId="2" fontId="42" fillId="0" borderId="67" xfId="3" applyNumberFormat="1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47" borderId="0" xfId="0" applyFont="1" applyFill="1" applyAlignment="1">
      <alignment horizontal="center" vertical="center"/>
    </xf>
    <xf numFmtId="168" fontId="0" fillId="43" borderId="85" xfId="4" applyNumberFormat="1" applyFont="1" applyFill="1" applyBorder="1" applyAlignment="1">
      <alignment horizontal="center" vertical="center"/>
    </xf>
    <xf numFmtId="168" fontId="0" fillId="43" borderId="87" xfId="4" applyNumberFormat="1" applyFont="1" applyFill="1" applyBorder="1" applyAlignment="1">
      <alignment horizontal="center" vertical="center"/>
    </xf>
    <xf numFmtId="168" fontId="0" fillId="43" borderId="83" xfId="4" applyNumberFormat="1" applyFont="1" applyFill="1" applyBorder="1" applyAlignment="1">
      <alignment horizontal="center" vertical="center"/>
    </xf>
    <xf numFmtId="0" fontId="0" fillId="43" borderId="0" xfId="0" applyFill="1"/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0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5" fillId="47" borderId="78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5" fillId="47" borderId="70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8" fillId="48" borderId="89" xfId="0" applyFont="1" applyFill="1" applyBorder="1" applyAlignment="1">
      <alignment horizontal="left" vertical="center" wrapText="1"/>
    </xf>
    <xf numFmtId="2" fontId="0" fillId="0" borderId="0" xfId="0" applyNumberFormat="1"/>
    <xf numFmtId="0" fontId="26" fillId="0" borderId="101" xfId="0" applyFont="1" applyBorder="1" applyAlignment="1">
      <alignment horizontal="center" vertical="center" wrapText="1"/>
    </xf>
    <xf numFmtId="0" fontId="26" fillId="0" borderId="102" xfId="0" applyFont="1" applyBorder="1" applyAlignment="1">
      <alignment horizontal="center" vertical="center" wrapText="1"/>
    </xf>
    <xf numFmtId="0" fontId="26" fillId="0" borderId="103" xfId="0" applyFont="1" applyBorder="1" applyAlignment="1">
      <alignment horizontal="center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Audio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9230788520129944E-2"/>
                  <c:y val="-3.0122441769199239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1633681056208279E-2"/>
                  <c:y val="-6.0224609120219125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999999.99999999988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5400000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283838.37274381984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14861790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271289.99209866516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118583.90541759932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1400000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69471.794076517137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13095.1080400832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96729.945919783786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1599500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64805.391873188775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6463714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149272.39229083114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7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0.99999999999999989</c:v>
                </c:pt>
                <c:pt idx="1">
                  <c:v>0.99999999999999989</c:v>
                </c:pt>
                <c:pt idx="2">
                  <c:v>0.99999999999999989</c:v>
                </c:pt>
                <c:pt idx="3">
                  <c:v>0.99999999999999989</c:v>
                </c:pt>
                <c:pt idx="4">
                  <c:v>0.99999999999999989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1.5994999999999999</c:v>
                </c:pt>
                <c:pt idx="1">
                  <c:v>1.5994999999999999</c:v>
                </c:pt>
                <c:pt idx="2">
                  <c:v>1.5994999999999999</c:v>
                </c:pt>
                <c:pt idx="3">
                  <c:v>1.5994999999999999</c:v>
                </c:pt>
                <c:pt idx="4">
                  <c:v>1.5994999999999999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6.4637140000000004</c:v>
                </c:pt>
                <c:pt idx="1">
                  <c:v>6.4637140000000004</c:v>
                </c:pt>
                <c:pt idx="2">
                  <c:v>6.4637140000000004</c:v>
                </c:pt>
                <c:pt idx="3">
                  <c:v>6.4637140000000004</c:v>
                </c:pt>
                <c:pt idx="4">
                  <c:v>6.4637140000000004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09152656441415"/>
          <c:y val="0.14814641287068245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summary_24'!$G$5</c:f>
              <c:strCache>
                <c:ptCount val="1"/>
                <c:pt idx="0">
                  <c:v>-50% / +100%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6.0301976288980826E-2"/>
                  <c:y val="-3.81899087658447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8.6276049356355133E-2"/>
                  <c:y val="-8.53542840892668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summary_24'!$C$6:$C$9</c:f>
              <c:numCache>
                <c:formatCode>_("$"* #,##0_);_("$"* \(#,##0\);_("$"* "-"??_);_(@_)</c:formatCode>
                <c:ptCount val="4"/>
                <c:pt idx="0">
                  <c:v>64561011.200000003</c:v>
                </c:pt>
                <c:pt idx="1">
                  <c:v>48420758.400000006</c:v>
                </c:pt>
                <c:pt idx="2">
                  <c:v>33025004</c:v>
                </c:pt>
                <c:pt idx="3">
                  <c:v>32280505.600000001</c:v>
                </c:pt>
              </c:numCache>
            </c:numRef>
          </c:xVal>
          <c:yVal>
            <c:numRef>
              <c:f>'Scenario summary_24'!$G$6:$G$9</c:f>
              <c:numCache>
                <c:formatCode>_("$"* #,##0_);_("$"* \(#,##0\);_("$"* "-"??_);_(@_)</c:formatCode>
                <c:ptCount val="4"/>
                <c:pt idx="0">
                  <c:v>388734779.8014487</c:v>
                </c:pt>
                <c:pt idx="1">
                  <c:v>337104930.94327742</c:v>
                </c:pt>
                <c:pt idx="2">
                  <c:v>246138403.80632758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summary_24'!$H$5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summary_24'!$C$6:$C$9</c:f>
              <c:numCache>
                <c:formatCode>_("$"* #,##0_);_("$"* \(#,##0\);_("$"* "-"??_);_(@_)</c:formatCode>
                <c:ptCount val="4"/>
                <c:pt idx="0">
                  <c:v>64561011.200000003</c:v>
                </c:pt>
                <c:pt idx="1">
                  <c:v>48420758.400000006</c:v>
                </c:pt>
                <c:pt idx="2">
                  <c:v>33025004</c:v>
                </c:pt>
                <c:pt idx="3">
                  <c:v>32280505.600000001</c:v>
                </c:pt>
              </c:numCache>
            </c:numRef>
          </c:xVal>
          <c:yVal>
            <c:numRef>
              <c:f>'Scenario summary_24'!$H$6:$H$9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summary_24'!$F$5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summary_24'!$C$9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summary_24'!$F$9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70000000"/>
          <c:min val="25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4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485775</xdr:colOff>
      <xdr:row>10</xdr:row>
      <xdr:rowOff>76200</xdr:rowOff>
    </xdr:from>
    <xdr:to>
      <xdr:col>11</xdr:col>
      <xdr:colOff>38100</xdr:colOff>
      <xdr:row>11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5972175" y="19812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14</xdr:row>
      <xdr:rowOff>82549</xdr:rowOff>
    </xdr:from>
    <xdr:to>
      <xdr:col>14</xdr:col>
      <xdr:colOff>181117</xdr:colOff>
      <xdr:row>29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525145</xdr:colOff>
      <xdr:row>10</xdr:row>
      <xdr:rowOff>107950</xdr:rowOff>
    </xdr:from>
    <xdr:to>
      <xdr:col>19</xdr:col>
      <xdr:colOff>292100</xdr:colOff>
      <xdr:row>33</xdr:row>
      <xdr:rowOff>16510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Au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Products/G9/adult/RespModels/2022%20GARDASIL%20ADULT%20HCC%20Rad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834344</v>
          </cell>
          <cell r="C12">
            <v>29779.417742639012</v>
          </cell>
          <cell r="D12">
            <v>0.4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  <row r="33">
          <cell r="E33">
            <v>193.91</v>
          </cell>
          <cell r="F33">
            <v>193.91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9B6016-6674-438D-A026-AD725876C8FA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97" t="s">
        <v>198</v>
      </c>
      <c r="H4" s="397"/>
      <c r="I4" s="398" t="s">
        <v>199</v>
      </c>
      <c r="J4" s="398"/>
      <c r="K4" s="399" t="s">
        <v>200</v>
      </c>
      <c r="L4" s="399"/>
    </row>
    <row r="5" spans="2:13" ht="38.65" customHeight="1" x14ac:dyDescent="0.25">
      <c r="B5" s="197"/>
      <c r="C5" s="272" t="s">
        <v>201</v>
      </c>
      <c r="D5" s="272" t="s">
        <v>202</v>
      </c>
      <c r="E5" s="181" t="s">
        <v>203</v>
      </c>
      <c r="F5" s="272" t="s">
        <v>250</v>
      </c>
      <c r="G5" s="293" t="s">
        <v>245</v>
      </c>
      <c r="H5" s="293"/>
      <c r="I5" s="293" t="s">
        <v>245</v>
      </c>
      <c r="J5" s="293"/>
      <c r="K5" s="293" t="s">
        <v>245</v>
      </c>
      <c r="L5" s="293"/>
      <c r="M5" s="294"/>
    </row>
    <row r="6" spans="2:13" x14ac:dyDescent="0.25">
      <c r="C6" s="183">
        <f>$C$8+E6</f>
        <v>38736606.719999999</v>
      </c>
      <c r="D6" s="184">
        <v>0.2</v>
      </c>
      <c r="E6" s="185">
        <f>D6*$C$8</f>
        <v>6456101.120000001</v>
      </c>
      <c r="F6" s="183"/>
      <c r="G6" s="183">
        <f>'Scenario deep dive'!X16</f>
        <v>213450965.49504656</v>
      </c>
      <c r="H6" s="183"/>
      <c r="I6" s="183">
        <f t="shared" ref="I6:J10" si="0">G6-$F$8</f>
        <v>-34904794.849378228</v>
      </c>
      <c r="J6" s="183">
        <f t="shared" si="0"/>
        <v>-248355760.34442478</v>
      </c>
      <c r="K6" s="186">
        <f t="shared" ref="K6:L10" si="1">G6/$C6</f>
        <v>5.5103165601967978</v>
      </c>
      <c r="L6" s="186">
        <f t="shared" si="1"/>
        <v>0</v>
      </c>
    </row>
    <row r="7" spans="2:13" x14ac:dyDescent="0.25">
      <c r="C7" s="183">
        <f>$C$8+E7</f>
        <v>35508556.160000004</v>
      </c>
      <c r="D7" s="184">
        <v>0.1</v>
      </c>
      <c r="E7" s="185">
        <f>D7*$C$8</f>
        <v>3228050.5600000005</v>
      </c>
      <c r="F7" s="183"/>
      <c r="G7" s="183">
        <f>'Scenario deep dive'!T16</f>
        <v>204849185.54615188</v>
      </c>
      <c r="H7" s="187"/>
      <c r="I7" s="183">
        <f t="shared" si="0"/>
        <v>-43506574.798272908</v>
      </c>
      <c r="J7" s="183">
        <f t="shared" si="0"/>
        <v>-248355760.34442478</v>
      </c>
      <c r="K7" s="186">
        <f t="shared" si="1"/>
        <v>5.7690091543883222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>
        <f>'Scenario deep dive'!H16</f>
        <v>195641074.52413151</v>
      </c>
      <c r="H8" s="183"/>
      <c r="I8" s="183">
        <f t="shared" si="0"/>
        <v>-52714685.820293278</v>
      </c>
      <c r="J8" s="183">
        <f t="shared" si="0"/>
        <v>-248355760.34442478</v>
      </c>
      <c r="K8" s="186">
        <f t="shared" si="1"/>
        <v>6.0606570711250418</v>
      </c>
      <c r="L8" s="186">
        <f t="shared" si="1"/>
        <v>0</v>
      </c>
    </row>
    <row r="9" spans="2:13" x14ac:dyDescent="0.25">
      <c r="C9" s="183">
        <f>$C$8+E9</f>
        <v>29052455.039999999</v>
      </c>
      <c r="D9" s="184">
        <v>-0.1</v>
      </c>
      <c r="E9" s="185">
        <f>D9*$C$8</f>
        <v>-3228050.5600000005</v>
      </c>
      <c r="F9" s="183"/>
      <c r="G9" s="183">
        <f>'Scenario deep dive'!L16</f>
        <v>185600061.71028784</v>
      </c>
      <c r="H9" s="183"/>
      <c r="I9" s="183">
        <f t="shared" si="0"/>
        <v>-62755698.634136945</v>
      </c>
      <c r="J9" s="183">
        <f t="shared" si="0"/>
        <v>-248355760.34442478</v>
      </c>
      <c r="K9" s="186">
        <f t="shared" si="1"/>
        <v>6.3884467407229435</v>
      </c>
      <c r="L9" s="186">
        <f t="shared" si="1"/>
        <v>0</v>
      </c>
    </row>
    <row r="10" spans="2:13" x14ac:dyDescent="0.25">
      <c r="C10" s="183">
        <f>$C$8+E10</f>
        <v>25824404.48</v>
      </c>
      <c r="D10" s="184">
        <v>-0.2</v>
      </c>
      <c r="E10" s="185">
        <f>D10*$C$8</f>
        <v>-6456101.120000001</v>
      </c>
      <c r="F10" s="183"/>
      <c r="G10" s="183">
        <f>'Scenario deep dive'!P16</f>
        <v>171847214.96344179</v>
      </c>
      <c r="H10" s="183"/>
      <c r="I10" s="183">
        <f t="shared" si="0"/>
        <v>-76508545.380982995</v>
      </c>
      <c r="J10" s="183">
        <f t="shared" si="0"/>
        <v>-248355760.34442478</v>
      </c>
      <c r="K10" s="186">
        <f t="shared" si="1"/>
        <v>6.6544502544688218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400" t="s">
        <v>204</v>
      </c>
      <c r="G13" s="400"/>
      <c r="H13" s="400" t="s">
        <v>205</v>
      </c>
      <c r="I13" s="400"/>
    </row>
    <row r="14" spans="2:13" x14ac:dyDescent="0.25">
      <c r="C14" s="180" t="s">
        <v>201</v>
      </c>
      <c r="D14" s="180" t="s">
        <v>202</v>
      </c>
      <c r="E14" s="97" t="s">
        <v>206</v>
      </c>
      <c r="F14" s="293" t="s">
        <v>245</v>
      </c>
      <c r="G14" s="182"/>
      <c r="H14" s="293" t="s">
        <v>245</v>
      </c>
      <c r="I14" s="182"/>
    </row>
    <row r="15" spans="2:13" x14ac:dyDescent="0.25">
      <c r="C15" s="190">
        <f t="shared" ref="C15:D19" si="2">C6</f>
        <v>38736606.719999999</v>
      </c>
      <c r="D15" s="191">
        <f t="shared" si="2"/>
        <v>0.2</v>
      </c>
      <c r="E15" s="190">
        <f>C15-C16</f>
        <v>3228050.5599999949</v>
      </c>
      <c r="F15" s="192">
        <f t="shared" ref="F15:G18" si="3">G6-G7</f>
        <v>8601779.9488946795</v>
      </c>
      <c r="G15" s="192">
        <f>H6-H7</f>
        <v>0</v>
      </c>
      <c r="H15" s="186">
        <f t="shared" ref="H15:I18" si="4">F15/$E15</f>
        <v>2.6646980240900233</v>
      </c>
      <c r="I15" s="186">
        <f t="shared" si="4"/>
        <v>0</v>
      </c>
    </row>
    <row r="16" spans="2:13" x14ac:dyDescent="0.25">
      <c r="C16" s="190">
        <f t="shared" si="2"/>
        <v>35508556.160000004</v>
      </c>
      <c r="D16" s="191">
        <f t="shared" si="2"/>
        <v>0.1</v>
      </c>
      <c r="E16" s="190">
        <f>C16-C17</f>
        <v>3228050.5600000024</v>
      </c>
      <c r="F16" s="192">
        <f>G7-G8</f>
        <v>9208111.0220203698</v>
      </c>
      <c r="G16" s="192">
        <f t="shared" si="3"/>
        <v>0</v>
      </c>
      <c r="H16" s="186">
        <f>F16/$E16</f>
        <v>2.8525299870211334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3228050.5600000024</v>
      </c>
      <c r="F17" s="192">
        <f>G8-G9</f>
        <v>10041012.813843668</v>
      </c>
      <c r="G17" s="192">
        <f t="shared" si="3"/>
        <v>0</v>
      </c>
      <c r="H17" s="186">
        <f>F17/$E17</f>
        <v>3.1105500447439276</v>
      </c>
      <c r="I17" s="186">
        <f t="shared" si="4"/>
        <v>0</v>
      </c>
    </row>
    <row r="18" spans="3:9" x14ac:dyDescent="0.25">
      <c r="C18" s="190">
        <f t="shared" si="2"/>
        <v>29052455.039999999</v>
      </c>
      <c r="D18" s="191">
        <f t="shared" si="2"/>
        <v>-0.1</v>
      </c>
      <c r="E18" s="190">
        <f>C18-C19</f>
        <v>3228050.5599999987</v>
      </c>
      <c r="F18" s="192">
        <f t="shared" si="3"/>
        <v>13752846.74684605</v>
      </c>
      <c r="G18" s="192">
        <f t="shared" si="3"/>
        <v>0</v>
      </c>
      <c r="H18" s="186">
        <f t="shared" si="4"/>
        <v>4.260418630755912</v>
      </c>
      <c r="I18" s="186">
        <f t="shared" si="4"/>
        <v>0</v>
      </c>
    </row>
    <row r="19" spans="3:9" x14ac:dyDescent="0.25">
      <c r="C19" s="190">
        <f t="shared" si="2"/>
        <v>25824404.48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A13" zoomScale="75" zoomScaleNormal="75" workbookViewId="0">
      <selection activeCell="U21" sqref="U21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10219266.309999999</v>
      </c>
      <c r="C3" s="194">
        <f>SUM(D9:D13)</f>
        <v>103543587.85847765</v>
      </c>
    </row>
    <row r="4" spans="1:28" x14ac:dyDescent="0.25">
      <c r="F4" s="409" t="s">
        <v>247</v>
      </c>
      <c r="G4" s="409"/>
      <c r="H4" s="409"/>
      <c r="I4" s="409"/>
      <c r="J4" s="409"/>
      <c r="K4" s="409"/>
      <c r="L4" s="409"/>
      <c r="M4" s="409"/>
      <c r="N4" s="409"/>
      <c r="O4" s="409"/>
      <c r="P4" s="409"/>
    </row>
    <row r="5" spans="1:28" x14ac:dyDescent="0.25">
      <c r="F5" s="403" t="s">
        <v>252</v>
      </c>
      <c r="G5" s="404"/>
      <c r="H5" s="405"/>
      <c r="I5" s="195"/>
      <c r="J5" s="403" t="s">
        <v>253</v>
      </c>
      <c r="K5" s="404"/>
      <c r="L5" s="405"/>
      <c r="M5" s="195"/>
      <c r="N5" s="403" t="s">
        <v>254</v>
      </c>
      <c r="O5" s="404"/>
      <c r="P5" s="405"/>
      <c r="R5" s="403" t="s">
        <v>255</v>
      </c>
      <c r="S5" s="404"/>
      <c r="T5" s="405"/>
      <c r="V5" s="403" t="s">
        <v>256</v>
      </c>
      <c r="W5" s="404"/>
      <c r="X5" s="405"/>
      <c r="Z5" s="97" t="s">
        <v>246</v>
      </c>
    </row>
    <row r="6" spans="1:28" ht="38.1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  <c r="V6" s="197" t="s">
        <v>219</v>
      </c>
      <c r="W6" s="197" t="s">
        <v>212</v>
      </c>
      <c r="X6" s="197" t="s">
        <v>213</v>
      </c>
      <c r="Z6" s="197" t="s">
        <v>219</v>
      </c>
      <c r="AA6" s="197" t="s">
        <v>212</v>
      </c>
      <c r="AB6" s="197" t="s">
        <v>213</v>
      </c>
    </row>
    <row r="7" spans="1:28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3081000</v>
      </c>
      <c r="G7" s="191">
        <v>0.3</v>
      </c>
      <c r="H7" s="199">
        <v>15505097.624899359</v>
      </c>
      <c r="I7" s="199"/>
      <c r="J7" s="199">
        <v>3029899.4181336327</v>
      </c>
      <c r="K7" s="191">
        <v>0.27843857305216574</v>
      </c>
      <c r="L7" s="199">
        <v>15366448.565486765</v>
      </c>
      <c r="N7" s="199">
        <v>1659000</v>
      </c>
      <c r="O7" s="191">
        <v>-0.3</v>
      </c>
      <c r="P7" s="199">
        <v>10462940.418460475</v>
      </c>
      <c r="R7" s="199">
        <v>3081000</v>
      </c>
      <c r="S7" s="191">
        <v>0.3</v>
      </c>
      <c r="T7" s="199">
        <v>15505097.624899359</v>
      </c>
      <c r="V7" s="199">
        <v>3081000</v>
      </c>
      <c r="W7" s="191">
        <v>0.3</v>
      </c>
      <c r="X7" s="199">
        <v>15505097.624899359</v>
      </c>
      <c r="Z7" s="199">
        <f>VAC_Optim_Scenario!$H35</f>
        <v>999999.99999999988</v>
      </c>
      <c r="AA7" s="191">
        <f>(Z7-$C7)/$C7</f>
        <v>-0.43029454341810747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7913750</v>
      </c>
      <c r="G8" s="191">
        <v>0.3</v>
      </c>
      <c r="H8" s="199">
        <v>57060597.381979063</v>
      </c>
      <c r="I8" s="199"/>
      <c r="J8" s="199">
        <v>7913750</v>
      </c>
      <c r="K8" s="191">
        <v>0.3</v>
      </c>
      <c r="L8" s="199">
        <v>57060597.381979063</v>
      </c>
      <c r="N8" s="199">
        <v>7209926.481508065</v>
      </c>
      <c r="O8" s="191">
        <v>0.18438217355368625</v>
      </c>
      <c r="P8" s="199">
        <v>53405020.704021804</v>
      </c>
      <c r="R8" s="199">
        <v>7913750</v>
      </c>
      <c r="S8" s="191">
        <v>0.3</v>
      </c>
      <c r="T8" s="199">
        <v>57060597.381979063</v>
      </c>
      <c r="V8" s="199">
        <v>7913750</v>
      </c>
      <c r="W8" s="191">
        <v>0.3</v>
      </c>
      <c r="X8" s="199">
        <v>57060597.381979063</v>
      </c>
      <c r="Z8" s="199">
        <f>VAC_Optim_Scenario!$H36</f>
        <v>5400000</v>
      </c>
      <c r="AA8" s="191">
        <f t="shared" ref="AA8:AA15" si="0">(Z8-$C8)/$C8</f>
        <v>6.4538123835786929E-3</v>
      </c>
      <c r="AB8" s="199">
        <f>VAC_Optim_Scenario!$J36</f>
        <v>64130441.937738657</v>
      </c>
    </row>
    <row r="9" spans="1:28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2938000</v>
      </c>
      <c r="G9" s="191">
        <v>0.3</v>
      </c>
      <c r="H9" s="199">
        <v>12484947.958885178</v>
      </c>
      <c r="I9" s="199"/>
      <c r="J9" s="199">
        <v>2455721.2256736076</v>
      </c>
      <c r="K9" s="191">
        <v>8.6602312244959095E-2</v>
      </c>
      <c r="L9" s="199">
        <v>11211483.960590508</v>
      </c>
      <c r="N9" s="199">
        <v>1582000</v>
      </c>
      <c r="O9" s="191">
        <v>-0.3</v>
      </c>
      <c r="P9" s="199">
        <v>8611514.7351030298</v>
      </c>
      <c r="R9" s="199">
        <v>2938000</v>
      </c>
      <c r="S9" s="191">
        <v>0.3</v>
      </c>
      <c r="T9" s="199">
        <v>12484947.958885178</v>
      </c>
      <c r="V9" s="199">
        <v>2938000</v>
      </c>
      <c r="W9" s="191">
        <v>0.3</v>
      </c>
      <c r="X9" s="199">
        <v>12484947.958885178</v>
      </c>
      <c r="Z9" s="199">
        <f>VAC_Optim_Scenario!$H37</f>
        <v>1599500</v>
      </c>
      <c r="AA9" s="191">
        <f t="shared" si="0"/>
        <v>-0.14602242391884676</v>
      </c>
      <c r="AB9" s="199">
        <f>VAC_Optim_Scenario!$J37</f>
        <v>14642130.239828272</v>
      </c>
    </row>
    <row r="10" spans="1:28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693000</v>
      </c>
      <c r="G10" s="191">
        <v>-0.3</v>
      </c>
      <c r="H10" s="199">
        <v>1393371.6974633737</v>
      </c>
      <c r="I10" s="199"/>
      <c r="J10" s="199">
        <v>693000</v>
      </c>
      <c r="K10" s="191">
        <v>-0.3</v>
      </c>
      <c r="L10" s="199">
        <v>1393371.6974633737</v>
      </c>
      <c r="N10" s="199">
        <v>693000</v>
      </c>
      <c r="O10" s="191">
        <v>-0.3</v>
      </c>
      <c r="P10" s="199">
        <v>1393371.6974633737</v>
      </c>
      <c r="R10" s="199">
        <v>693000</v>
      </c>
      <c r="S10" s="191">
        <v>-0.3</v>
      </c>
      <c r="T10" s="199">
        <v>1393371.6974633737</v>
      </c>
      <c r="V10" s="199">
        <v>693000</v>
      </c>
      <c r="W10" s="191">
        <v>-0.3</v>
      </c>
      <c r="X10" s="199">
        <v>1393371.6974633737</v>
      </c>
      <c r="Z10" s="199">
        <f>VAC_Optim_Scenario!$H38</f>
        <v>500000</v>
      </c>
      <c r="AA10" s="191">
        <f t="shared" si="0"/>
        <v>1.8888886064197807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3941643.9999999995</v>
      </c>
      <c r="G11" s="191">
        <v>-0.3000000000000001</v>
      </c>
      <c r="H11" s="199">
        <v>16046723.043048661</v>
      </c>
      <c r="I11" s="199"/>
      <c r="J11" s="199">
        <v>3941643.9999999995</v>
      </c>
      <c r="K11" s="191">
        <v>-0.3000000000000001</v>
      </c>
      <c r="L11" s="199">
        <v>16046723.043048661</v>
      </c>
      <c r="N11" s="199">
        <v>3941643.9999999995</v>
      </c>
      <c r="O11" s="191">
        <v>-0.3000000000000001</v>
      </c>
      <c r="P11" s="199">
        <v>16046723.043048661</v>
      </c>
      <c r="R11" s="199">
        <v>4506297.4444227098</v>
      </c>
      <c r="S11" s="191">
        <v>-0.19972270172143988</v>
      </c>
      <c r="T11" s="199">
        <v>17388888.846481122</v>
      </c>
      <c r="V11" s="199">
        <v>5267222.9195587309</v>
      </c>
      <c r="W11" s="191">
        <v>-6.4589282113982988E-2</v>
      </c>
      <c r="X11" s="199">
        <v>19095407.820782721</v>
      </c>
      <c r="Z11" s="199">
        <f>VAC_Optim_Scenario!$H39</f>
        <v>6463714</v>
      </c>
      <c r="AA11" s="191">
        <f t="shared" si="0"/>
        <v>4.5887259561902066E-2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1921400</v>
      </c>
      <c r="G12" s="191">
        <v>0.3</v>
      </c>
      <c r="H12" s="199">
        <v>18796150.349974733</v>
      </c>
      <c r="I12" s="199"/>
      <c r="J12" s="199">
        <v>1921400</v>
      </c>
      <c r="K12" s="191">
        <v>0.3</v>
      </c>
      <c r="L12" s="199">
        <v>18796150.349974733</v>
      </c>
      <c r="N12" s="199">
        <v>1921400</v>
      </c>
      <c r="O12" s="191">
        <v>0.3</v>
      </c>
      <c r="P12" s="199">
        <v>18796150.349974733</v>
      </c>
      <c r="R12" s="199">
        <v>1921400</v>
      </c>
      <c r="S12" s="191">
        <v>0.3</v>
      </c>
      <c r="T12" s="199">
        <v>18796150.349974733</v>
      </c>
      <c r="V12" s="199">
        <v>1921400</v>
      </c>
      <c r="W12" s="191">
        <v>0.3</v>
      </c>
      <c r="X12" s="199">
        <v>18796150.349974733</v>
      </c>
      <c r="Z12" s="199">
        <f>VAC_Optim_Scenario!$H40</f>
        <v>1500000</v>
      </c>
      <c r="AA12" s="191">
        <f t="shared" si="0"/>
        <v>-9.0003158720369056E-2</v>
      </c>
      <c r="AB12" s="199">
        <f>VAC_Optim_Scenario!$J40</f>
        <v>21855163.981115948</v>
      </c>
    </row>
    <row r="13" spans="1:28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1232000</v>
      </c>
      <c r="G13" s="191">
        <v>-0.3</v>
      </c>
      <c r="H13" s="199">
        <v>1724376.7699591145</v>
      </c>
      <c r="I13" s="199"/>
      <c r="J13" s="199">
        <v>1232000</v>
      </c>
      <c r="K13" s="191">
        <v>-0.3</v>
      </c>
      <c r="L13" s="199">
        <v>1724376.7699591145</v>
      </c>
      <c r="N13" s="199">
        <v>1232000</v>
      </c>
      <c r="O13" s="191">
        <v>-0.3</v>
      </c>
      <c r="P13" s="199">
        <v>1724376.7699591145</v>
      </c>
      <c r="R13" s="199">
        <v>1232000</v>
      </c>
      <c r="S13" s="191">
        <v>-0.3</v>
      </c>
      <c r="T13" s="199">
        <v>1724376.7699591145</v>
      </c>
      <c r="V13" s="199">
        <v>1232000</v>
      </c>
      <c r="W13" s="191">
        <v>-0.3</v>
      </c>
      <c r="X13" s="199">
        <v>1724376.7699591145</v>
      </c>
      <c r="Z13" s="199">
        <f>VAC_Optim_Scenario!$H41</f>
        <v>300000</v>
      </c>
      <c r="AA13" s="191">
        <f t="shared" si="0"/>
        <v>-0.12969565457040327</v>
      </c>
      <c r="AB13" s="199">
        <f>VAC_Optim_Scenario!$J41</f>
        <v>26792847.590052392</v>
      </c>
    </row>
    <row r="14" spans="1:28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1599670.8943365675</v>
      </c>
      <c r="G14" s="191">
        <v>0.22552253957265472</v>
      </c>
      <c r="H14" s="199">
        <v>9996422.054763034</v>
      </c>
      <c r="I14" s="199"/>
      <c r="J14" s="199">
        <v>1373287.8145490468</v>
      </c>
      <c r="K14" s="191">
        <v>5.2088386435460127E-2</v>
      </c>
      <c r="L14" s="199">
        <v>9404526.9087361041</v>
      </c>
      <c r="N14" s="199">
        <v>913707.89999999991</v>
      </c>
      <c r="O14" s="191">
        <v>-0.30000000000000004</v>
      </c>
      <c r="P14" s="199">
        <v>7990156.3714912347</v>
      </c>
      <c r="R14" s="199">
        <v>1696886.1</v>
      </c>
      <c r="S14" s="191">
        <v>0.30000000000000004</v>
      </c>
      <c r="T14" s="199">
        <v>10235130.95496013</v>
      </c>
      <c r="V14" s="199">
        <v>1696886.1</v>
      </c>
      <c r="W14" s="191">
        <v>0.30000000000000004</v>
      </c>
      <c r="X14" s="199">
        <v>10235130.95496013</v>
      </c>
      <c r="Z14" s="199">
        <f>VAC_Optim_Scenario!$H42</f>
        <v>1400000</v>
      </c>
      <c r="AA14" s="191">
        <f t="shared" si="0"/>
        <v>-2.5780906016937815E-2</v>
      </c>
      <c r="AB14" s="199">
        <f>VAC_Optim_Scenario!$J42</f>
        <v>15696457.153648281</v>
      </c>
    </row>
    <row r="15" spans="1:28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15034299.955663437</v>
      </c>
      <c r="G15" s="191">
        <v>-8.7339507991325518E-2</v>
      </c>
      <c r="H15" s="199">
        <v>62633387.643158987</v>
      </c>
      <c r="I15" s="199"/>
      <c r="J15" s="199">
        <v>11958585.90120472</v>
      </c>
      <c r="K15" s="191">
        <v>-0.27405140748105578</v>
      </c>
      <c r="L15" s="199">
        <v>54596383.033049487</v>
      </c>
      <c r="N15" s="199">
        <v>11531133.494999999</v>
      </c>
      <c r="O15" s="191">
        <v>-0.30000000000000004</v>
      </c>
      <c r="P15" s="199">
        <v>53416960.87391936</v>
      </c>
      <c r="R15" s="199">
        <v>18207907.763062701</v>
      </c>
      <c r="S15" s="191">
        <v>0.10531505334410238</v>
      </c>
      <c r="T15" s="199">
        <v>70260623.961549804</v>
      </c>
      <c r="V15" s="199">
        <v>21282458.837850466</v>
      </c>
      <c r="W15" s="191">
        <v>0.29195635389661462</v>
      </c>
      <c r="X15" s="199">
        <v>77155884.936142847</v>
      </c>
      <c r="Z15" s="199">
        <f>VAC_Optim_Scenario!$H43</f>
        <v>14861790</v>
      </c>
      <c r="AA15" s="191">
        <f t="shared" si="0"/>
        <v>0.10058595892597373</v>
      </c>
      <c r="AB15" s="199">
        <f>VAC_Optim_Scenario!$J43</f>
        <v>61295260.814772405</v>
      </c>
    </row>
    <row r="16" spans="1:28" ht="34.35" customHeight="1" x14ac:dyDescent="0.25">
      <c r="B16" s="201" t="s">
        <v>215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38354764.850000001</v>
      </c>
      <c r="G16" s="203">
        <f>(F16-$C$16)/$C$16</f>
        <v>0.18817113106183814</v>
      </c>
      <c r="H16" s="202">
        <f>SUM(H7:H15)</f>
        <v>195641074.52413151</v>
      </c>
      <c r="I16" s="193"/>
      <c r="J16" s="202">
        <f>SUM(J7:J15)</f>
        <v>34519288.359561011</v>
      </c>
      <c r="K16" s="203">
        <f>(J16-$C$16)/$C$16</f>
        <v>6.9354017787162839E-2</v>
      </c>
      <c r="L16" s="202">
        <f>SUM(L7:L15)</f>
        <v>185600061.71028784</v>
      </c>
      <c r="M16" s="193"/>
      <c r="N16" s="202">
        <f>SUM(N7:N15)</f>
        <v>30683811.876508065</v>
      </c>
      <c r="O16" s="203">
        <f>(N16-$C$16)/$C$16</f>
        <v>-4.9463095258704279E-2</v>
      </c>
      <c r="P16" s="202">
        <f>SUM(P7:P15)</f>
        <v>171847214.96344179</v>
      </c>
      <c r="Q16" s="193"/>
      <c r="R16" s="202">
        <f>SUM(R7:R15)</f>
        <v>42190241.307485417</v>
      </c>
      <c r="S16" s="203">
        <f>(R16-$C$16)/$C$16</f>
        <v>0.30698824331566277</v>
      </c>
      <c r="T16" s="202">
        <f>SUM(T7:T15)</f>
        <v>204849185.54615188</v>
      </c>
      <c r="V16" s="202">
        <f>SUM(V7:V15)</f>
        <v>46025717.857409194</v>
      </c>
      <c r="W16" s="203">
        <f>(V16-$C$16)/$C$16</f>
        <v>0.42580535843308454</v>
      </c>
      <c r="X16" s="202">
        <f>SUM(X7:X15)</f>
        <v>213450965.49504656</v>
      </c>
      <c r="Z16" s="202">
        <f>SUM(Z7:Z15)</f>
        <v>33025004</v>
      </c>
      <c r="AA16" s="203">
        <f>(Z16-$C$16)/$C$16</f>
        <v>2.3063405797460572E-2</v>
      </c>
      <c r="AB16" s="202">
        <f>SUM(AB7:AB15)</f>
        <v>246138403.80632758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409" t="str">
        <f>F4</f>
        <v>Optimal channel spend allowed to vary between +/- 30% of the 2021 channel spend</v>
      </c>
      <c r="G19" s="409"/>
      <c r="H19" s="409"/>
      <c r="I19" s="409"/>
      <c r="J19" s="409"/>
      <c r="K19" s="409"/>
      <c r="L19" s="409"/>
      <c r="M19" s="409"/>
      <c r="N19" s="409"/>
      <c r="O19" s="409"/>
      <c r="P19" s="409"/>
    </row>
    <row r="20" spans="1:24" ht="30.4" customHeight="1" x14ac:dyDescent="0.25">
      <c r="C20" s="401" t="s">
        <v>248</v>
      </c>
      <c r="D20" s="402"/>
      <c r="E20" s="204"/>
      <c r="F20" s="403" t="str">
        <f>F5</f>
        <v>Current Optimal ($38MM)</v>
      </c>
      <c r="G20" s="404"/>
      <c r="H20" s="405"/>
      <c r="I20" s="205"/>
      <c r="J20" s="403" t="str">
        <f>J5</f>
        <v>10% reduction optimal ($35M)</v>
      </c>
      <c r="K20" s="404"/>
      <c r="L20" s="405"/>
      <c r="M20" s="205"/>
      <c r="N20" s="403" t="str">
        <f>N5</f>
        <v>20% reduction optimal ($31M)</v>
      </c>
      <c r="O20" s="404"/>
      <c r="P20" s="405"/>
      <c r="R20" s="403" t="str">
        <f>R5</f>
        <v>10% increase optimal ($42M)</v>
      </c>
      <c r="S20" s="404"/>
      <c r="T20" s="405"/>
      <c r="V20" s="403" t="str">
        <f>V5</f>
        <v>20% increase optimal ($46M)</v>
      </c>
      <c r="W20" s="404"/>
      <c r="X20" s="405"/>
    </row>
    <row r="21" spans="1:24" ht="45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193"/>
      <c r="N21" s="231" t="s">
        <v>219</v>
      </c>
      <c r="O21" s="207" t="s">
        <v>212</v>
      </c>
      <c r="P21" s="209" t="s">
        <v>213</v>
      </c>
      <c r="R21" s="231" t="s">
        <v>219</v>
      </c>
      <c r="S21" s="207" t="s">
        <v>212</v>
      </c>
      <c r="T21" s="209" t="s">
        <v>213</v>
      </c>
      <c r="V21" s="231" t="s">
        <v>219</v>
      </c>
      <c r="W21" s="207" t="s">
        <v>212</v>
      </c>
      <c r="X21" s="209" t="s">
        <v>213</v>
      </c>
    </row>
    <row r="22" spans="1:24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300">
        <f>D7/1000000</f>
        <v>7.6999726835207554</v>
      </c>
      <c r="E22" s="212"/>
      <c r="F22" s="213">
        <f>F7/1000000</f>
        <v>3.081</v>
      </c>
      <c r="G22" s="214">
        <f>G7</f>
        <v>0.3</v>
      </c>
      <c r="H22" s="295">
        <f>H7/1000000</f>
        <v>15.50509762489936</v>
      </c>
      <c r="I22" s="212"/>
      <c r="J22" s="213">
        <f>J7/1000000</f>
        <v>3.0298994181336329</v>
      </c>
      <c r="K22" s="214">
        <f>K7</f>
        <v>0.27843857305216574</v>
      </c>
      <c r="L22" s="295">
        <f>L7/1000000</f>
        <v>15.366448565486765</v>
      </c>
      <c r="M22" s="193"/>
      <c r="N22" s="213">
        <f>N7/1000000</f>
        <v>1.659</v>
      </c>
      <c r="O22" s="214">
        <f>O7</f>
        <v>-0.3</v>
      </c>
      <c r="P22" s="295">
        <f>P7/1000000</f>
        <v>10.462940418460475</v>
      </c>
      <c r="Q22" s="193"/>
      <c r="R22" s="213">
        <f>R7/1000000</f>
        <v>3.081</v>
      </c>
      <c r="S22" s="214">
        <f>S7</f>
        <v>0.3</v>
      </c>
      <c r="T22" s="295">
        <f>T7/1000000</f>
        <v>15.50509762489936</v>
      </c>
      <c r="V22" s="213">
        <f>V7/1000000</f>
        <v>3.081</v>
      </c>
      <c r="W22" s="214">
        <f>W7</f>
        <v>0.3</v>
      </c>
      <c r="X22" s="215">
        <f>X7/1000000</f>
        <v>15.50509762489936</v>
      </c>
    </row>
    <row r="23" spans="1:24" x14ac:dyDescent="0.25">
      <c r="A23" s="186">
        <f t="shared" ref="A23:A30" si="1">D23/C23</f>
        <v>11.900373048317544</v>
      </c>
      <c r="B23" s="198" t="str">
        <f t="shared" ref="B23:B30" si="2">B8</f>
        <v>HCP MCM</v>
      </c>
      <c r="C23" s="216">
        <f t="shared" ref="C23:D23" si="3">C8/1000000</f>
        <v>5.3653728900000006</v>
      </c>
      <c r="D23" s="301">
        <f t="shared" si="3"/>
        <v>63.849938934329622</v>
      </c>
      <c r="E23" s="212"/>
      <c r="F23" s="218">
        <f t="shared" ref="F23:F30" si="4">F8/1000000</f>
        <v>7.9137500000000003</v>
      </c>
      <c r="G23" s="219">
        <f t="shared" ref="G23:G30" si="5">G8</f>
        <v>0.3</v>
      </c>
      <c r="H23" s="296">
        <f t="shared" ref="H23:H30" si="6">H8/1000000</f>
        <v>57.060597381979065</v>
      </c>
      <c r="I23" s="212"/>
      <c r="J23" s="218">
        <f t="shared" ref="J23:J30" si="7">J8/1000000</f>
        <v>7.9137500000000003</v>
      </c>
      <c r="K23" s="219">
        <f t="shared" ref="K23:K30" si="8">K8</f>
        <v>0.3</v>
      </c>
      <c r="L23" s="296">
        <f t="shared" ref="L23:L30" si="9">L8/1000000</f>
        <v>57.060597381979065</v>
      </c>
      <c r="M23" s="193"/>
      <c r="N23" s="218">
        <f t="shared" ref="N23:N30" si="10">N8/1000000</f>
        <v>7.2099264815080648</v>
      </c>
      <c r="O23" s="219">
        <f t="shared" ref="O23:O30" si="11">O8</f>
        <v>0.18438217355368625</v>
      </c>
      <c r="P23" s="296">
        <f t="shared" ref="P23:P30" si="12">P8/1000000</f>
        <v>53.405020704021801</v>
      </c>
      <c r="Q23" s="193"/>
      <c r="R23" s="218">
        <f t="shared" ref="R23:R30" si="13">R8/1000000</f>
        <v>7.9137500000000003</v>
      </c>
      <c r="S23" s="214">
        <f t="shared" ref="S23:S30" si="14">S8</f>
        <v>0.3</v>
      </c>
      <c r="T23" s="296">
        <f t="shared" ref="T23:T30" si="15">T8/1000000</f>
        <v>57.060597381979065</v>
      </c>
      <c r="V23" s="218">
        <f t="shared" ref="V23:V30" si="16">V8/1000000</f>
        <v>7.9137500000000003</v>
      </c>
      <c r="W23" s="214">
        <f t="shared" ref="W23:W30" si="17">W8</f>
        <v>0.3</v>
      </c>
      <c r="X23" s="220">
        <f t="shared" ref="X23:X30" si="18">X8/1000000</f>
        <v>57.060597381979065</v>
      </c>
    </row>
    <row r="24" spans="1:24" x14ac:dyDescent="0.25">
      <c r="A24" s="186">
        <f t="shared" si="1"/>
        <v>8.5940644823200767</v>
      </c>
      <c r="B24" s="198" t="str">
        <f t="shared" si="2"/>
        <v>HCC Social</v>
      </c>
      <c r="C24" s="216">
        <f t="shared" ref="C24:D24" si="19">C9/1000000</f>
        <v>1.873</v>
      </c>
      <c r="D24" s="301">
        <f t="shared" si="19"/>
        <v>16.096682775385503</v>
      </c>
      <c r="E24" s="212"/>
      <c r="F24" s="218">
        <f t="shared" si="4"/>
        <v>2.9380000000000002</v>
      </c>
      <c r="G24" s="219">
        <f t="shared" si="5"/>
        <v>0.3</v>
      </c>
      <c r="H24" s="296">
        <f t="shared" si="6"/>
        <v>12.484947958885177</v>
      </c>
      <c r="I24" s="212"/>
      <c r="J24" s="218">
        <f t="shared" si="7"/>
        <v>2.4557212256736074</v>
      </c>
      <c r="K24" s="219">
        <f t="shared" si="8"/>
        <v>8.6602312244959095E-2</v>
      </c>
      <c r="L24" s="296">
        <f t="shared" si="9"/>
        <v>11.211483960590508</v>
      </c>
      <c r="M24" s="193"/>
      <c r="N24" s="218">
        <f t="shared" si="10"/>
        <v>1.5820000000000001</v>
      </c>
      <c r="O24" s="219">
        <f t="shared" si="11"/>
        <v>-0.3</v>
      </c>
      <c r="P24" s="296">
        <f t="shared" si="12"/>
        <v>8.6115147351030306</v>
      </c>
      <c r="Q24" s="193"/>
      <c r="R24" s="218">
        <f t="shared" si="13"/>
        <v>2.9380000000000002</v>
      </c>
      <c r="S24" s="214">
        <f t="shared" si="14"/>
        <v>0.3</v>
      </c>
      <c r="T24" s="296">
        <f t="shared" si="15"/>
        <v>12.484947958885177</v>
      </c>
      <c r="V24" s="218">
        <f t="shared" si="16"/>
        <v>2.9380000000000002</v>
      </c>
      <c r="W24" s="214">
        <f t="shared" si="17"/>
        <v>0.3</v>
      </c>
      <c r="X24" s="220">
        <f t="shared" si="18"/>
        <v>12.484947958885177</v>
      </c>
    </row>
    <row r="25" spans="1:24" x14ac:dyDescent="0.25">
      <c r="A25" s="186">
        <f t="shared" si="1"/>
        <v>9.879885624736632</v>
      </c>
      <c r="B25" s="198" t="str">
        <f t="shared" si="2"/>
        <v>HCC Online Video</v>
      </c>
      <c r="C25" s="216">
        <f t="shared" ref="C25:D25" si="20">C10/1000000</f>
        <v>0.17307694000000001</v>
      </c>
      <c r="D25" s="301">
        <f t="shared" si="20"/>
        <v>1.7099803714794048</v>
      </c>
      <c r="E25" s="212"/>
      <c r="F25" s="218">
        <f t="shared" si="4"/>
        <v>0.69299999999999995</v>
      </c>
      <c r="G25" s="219">
        <f t="shared" si="5"/>
        <v>-0.3</v>
      </c>
      <c r="H25" s="296">
        <f t="shared" si="6"/>
        <v>1.3933716974633736</v>
      </c>
      <c r="I25" s="212"/>
      <c r="J25" s="218">
        <f t="shared" si="7"/>
        <v>0.69299999999999995</v>
      </c>
      <c r="K25" s="219">
        <f t="shared" si="8"/>
        <v>-0.3</v>
      </c>
      <c r="L25" s="296">
        <f t="shared" si="9"/>
        <v>1.3933716974633736</v>
      </c>
      <c r="M25" s="193"/>
      <c r="N25" s="218">
        <f t="shared" si="10"/>
        <v>0.69299999999999995</v>
      </c>
      <c r="O25" s="219">
        <f t="shared" si="11"/>
        <v>-0.3</v>
      </c>
      <c r="P25" s="296">
        <f t="shared" si="12"/>
        <v>1.3933716974633736</v>
      </c>
      <c r="Q25" s="193"/>
      <c r="R25" s="218">
        <f t="shared" si="13"/>
        <v>0.69299999999999995</v>
      </c>
      <c r="S25" s="214">
        <f t="shared" si="14"/>
        <v>-0.3</v>
      </c>
      <c r="T25" s="296">
        <f t="shared" si="15"/>
        <v>1.3933716974633736</v>
      </c>
      <c r="V25" s="218">
        <f t="shared" si="16"/>
        <v>0.69299999999999995</v>
      </c>
      <c r="W25" s="214">
        <f t="shared" si="17"/>
        <v>-0.3</v>
      </c>
      <c r="X25" s="220">
        <f t="shared" si="18"/>
        <v>1.3933716974633736</v>
      </c>
    </row>
    <row r="26" spans="1:24" x14ac:dyDescent="0.25">
      <c r="A26" s="186">
        <f t="shared" si="1"/>
        <v>5.288541872790403</v>
      </c>
      <c r="B26" s="198" t="str">
        <f t="shared" si="2"/>
        <v>HCC Streaming Video</v>
      </c>
      <c r="C26" s="216">
        <f t="shared" ref="C26:D26" si="21">C11/1000000</f>
        <v>6.1801250000000003</v>
      </c>
      <c r="D26" s="301">
        <f t="shared" si="21"/>
        <v>32.683849841578791</v>
      </c>
      <c r="E26" s="212"/>
      <c r="F26" s="218">
        <f t="shared" si="4"/>
        <v>3.9416439999999997</v>
      </c>
      <c r="G26" s="219">
        <f t="shared" si="5"/>
        <v>-0.3000000000000001</v>
      </c>
      <c r="H26" s="296">
        <f t="shared" si="6"/>
        <v>16.046723043048662</v>
      </c>
      <c r="I26" s="212"/>
      <c r="J26" s="218">
        <f t="shared" si="7"/>
        <v>3.9416439999999997</v>
      </c>
      <c r="K26" s="219">
        <f t="shared" si="8"/>
        <v>-0.3000000000000001</v>
      </c>
      <c r="L26" s="296">
        <f t="shared" si="9"/>
        <v>16.046723043048662</v>
      </c>
      <c r="M26" s="193"/>
      <c r="N26" s="218">
        <f t="shared" si="10"/>
        <v>3.9416439999999997</v>
      </c>
      <c r="O26" s="219">
        <f t="shared" si="11"/>
        <v>-0.3000000000000001</v>
      </c>
      <c r="P26" s="296">
        <f t="shared" si="12"/>
        <v>16.046723043048662</v>
      </c>
      <c r="Q26" s="193"/>
      <c r="R26" s="218">
        <f t="shared" si="13"/>
        <v>4.5062974444227102</v>
      </c>
      <c r="S26" s="214">
        <f t="shared" si="14"/>
        <v>-0.19972270172143988</v>
      </c>
      <c r="T26" s="296">
        <f t="shared" si="15"/>
        <v>17.388888846481123</v>
      </c>
      <c r="V26" s="218">
        <f t="shared" si="16"/>
        <v>5.2672229195587308</v>
      </c>
      <c r="W26" s="214">
        <f t="shared" si="17"/>
        <v>-6.4589282113982988E-2</v>
      </c>
      <c r="X26" s="220">
        <f t="shared" si="18"/>
        <v>19.095407820782722</v>
      </c>
    </row>
    <row r="27" spans="1:24" x14ac:dyDescent="0.25">
      <c r="A27" s="186">
        <f t="shared" si="1"/>
        <v>14.271209044334954</v>
      </c>
      <c r="B27" s="198" t="str">
        <f t="shared" si="2"/>
        <v>HCC Display</v>
      </c>
      <c r="C27" s="216">
        <f t="shared" ref="C27:D27" si="22">C12/1000000</f>
        <v>1.64835737</v>
      </c>
      <c r="D27" s="301">
        <f t="shared" si="22"/>
        <v>23.524052607040179</v>
      </c>
      <c r="E27" s="212"/>
      <c r="F27" s="218">
        <f t="shared" si="4"/>
        <v>1.9214</v>
      </c>
      <c r="G27" s="219">
        <f t="shared" si="5"/>
        <v>0.3</v>
      </c>
      <c r="H27" s="296">
        <f t="shared" si="6"/>
        <v>18.796150349974734</v>
      </c>
      <c r="I27" s="212"/>
      <c r="J27" s="218">
        <f t="shared" si="7"/>
        <v>1.9214</v>
      </c>
      <c r="K27" s="219">
        <f t="shared" si="8"/>
        <v>0.3</v>
      </c>
      <c r="L27" s="296">
        <f t="shared" si="9"/>
        <v>18.796150349974734</v>
      </c>
      <c r="M27" s="193"/>
      <c r="N27" s="218">
        <f t="shared" si="10"/>
        <v>1.9214</v>
      </c>
      <c r="O27" s="219">
        <f t="shared" si="11"/>
        <v>0.3</v>
      </c>
      <c r="P27" s="296">
        <f t="shared" si="12"/>
        <v>18.796150349974734</v>
      </c>
      <c r="Q27" s="193"/>
      <c r="R27" s="218">
        <f t="shared" si="13"/>
        <v>1.9214</v>
      </c>
      <c r="S27" s="214">
        <f t="shared" si="14"/>
        <v>0.3</v>
      </c>
      <c r="T27" s="296">
        <f t="shared" si="15"/>
        <v>18.796150349974734</v>
      </c>
      <c r="V27" s="218">
        <f t="shared" si="16"/>
        <v>1.9214</v>
      </c>
      <c r="W27" s="214">
        <f t="shared" si="17"/>
        <v>0.3</v>
      </c>
      <c r="X27" s="220">
        <f t="shared" si="18"/>
        <v>18.796150349974734</v>
      </c>
    </row>
    <row r="28" spans="1:24" x14ac:dyDescent="0.25">
      <c r="A28" s="186">
        <f t="shared" si="1"/>
        <v>85.664121305902583</v>
      </c>
      <c r="B28" s="198" t="str">
        <f t="shared" si="2"/>
        <v>HCC Paid Search</v>
      </c>
      <c r="C28" s="216">
        <f t="shared" ref="C28:D28" si="23">C13/1000000</f>
        <v>0.34470699999999999</v>
      </c>
      <c r="D28" s="301">
        <f t="shared" si="23"/>
        <v>29.52902226299376</v>
      </c>
      <c r="E28" s="212"/>
      <c r="F28" s="218">
        <f t="shared" si="4"/>
        <v>1.232</v>
      </c>
      <c r="G28" s="219">
        <f t="shared" si="5"/>
        <v>-0.3</v>
      </c>
      <c r="H28" s="296">
        <f t="shared" si="6"/>
        <v>1.7243767699591146</v>
      </c>
      <c r="I28" s="212"/>
      <c r="J28" s="218">
        <f t="shared" si="7"/>
        <v>1.232</v>
      </c>
      <c r="K28" s="219">
        <f t="shared" si="8"/>
        <v>-0.3</v>
      </c>
      <c r="L28" s="296">
        <f t="shared" si="9"/>
        <v>1.7243767699591146</v>
      </c>
      <c r="M28" s="193"/>
      <c r="N28" s="218">
        <f t="shared" si="10"/>
        <v>1.232</v>
      </c>
      <c r="O28" s="219">
        <f t="shared" si="11"/>
        <v>-0.3</v>
      </c>
      <c r="P28" s="296">
        <f t="shared" si="12"/>
        <v>1.7243767699591146</v>
      </c>
      <c r="Q28" s="193"/>
      <c r="R28" s="218">
        <f t="shared" si="13"/>
        <v>1.232</v>
      </c>
      <c r="S28" s="214">
        <f t="shared" si="14"/>
        <v>-0.3</v>
      </c>
      <c r="T28" s="296">
        <f t="shared" si="15"/>
        <v>1.7243767699591146</v>
      </c>
      <c r="V28" s="218">
        <f t="shared" si="16"/>
        <v>1.232</v>
      </c>
      <c r="W28" s="214">
        <f t="shared" si="17"/>
        <v>-0.3</v>
      </c>
      <c r="X28" s="220">
        <f t="shared" si="18"/>
        <v>1.7243767699591146</v>
      </c>
    </row>
    <row r="29" spans="1:24" x14ac:dyDescent="0.25">
      <c r="A29" s="186">
        <f t="shared" si="1"/>
        <v>11.095228688295396</v>
      </c>
      <c r="B29" s="198" t="str">
        <f t="shared" si="2"/>
        <v>HCC Audio</v>
      </c>
      <c r="C29" s="216">
        <f t="shared" ref="C29:D29" si="24">C14/1000000</f>
        <v>1.4370484099999998</v>
      </c>
      <c r="D29" s="301">
        <f t="shared" si="24"/>
        <v>15.944380745101283</v>
      </c>
      <c r="E29" s="212"/>
      <c r="F29" s="218">
        <f t="shared" si="4"/>
        <v>1.5996708943365674</v>
      </c>
      <c r="G29" s="219">
        <f t="shared" si="5"/>
        <v>0.22552253957265472</v>
      </c>
      <c r="H29" s="296">
        <f t="shared" si="6"/>
        <v>9.996422054763034</v>
      </c>
      <c r="I29" s="212"/>
      <c r="J29" s="218">
        <f t="shared" si="7"/>
        <v>1.3732878145490468</v>
      </c>
      <c r="K29" s="219">
        <f t="shared" si="8"/>
        <v>5.2088386435460127E-2</v>
      </c>
      <c r="L29" s="296">
        <f t="shared" si="9"/>
        <v>9.4045269087361039</v>
      </c>
      <c r="M29" s="193"/>
      <c r="N29" s="218">
        <f t="shared" si="10"/>
        <v>0.91370789999999991</v>
      </c>
      <c r="O29" s="219">
        <f t="shared" si="11"/>
        <v>-0.30000000000000004</v>
      </c>
      <c r="P29" s="296">
        <f t="shared" si="12"/>
        <v>7.9901563714912349</v>
      </c>
      <c r="Q29" s="193"/>
      <c r="R29" s="218">
        <f t="shared" si="13"/>
        <v>1.6968861000000002</v>
      </c>
      <c r="S29" s="214">
        <f t="shared" si="14"/>
        <v>0.30000000000000004</v>
      </c>
      <c r="T29" s="296">
        <f t="shared" si="15"/>
        <v>10.23513095496013</v>
      </c>
      <c r="V29" s="218">
        <f t="shared" si="16"/>
        <v>1.6968861000000002</v>
      </c>
      <c r="W29" s="214">
        <f t="shared" si="17"/>
        <v>0.30000000000000004</v>
      </c>
      <c r="X29" s="220">
        <f t="shared" si="18"/>
        <v>10.23513095496013</v>
      </c>
    </row>
    <row r="30" spans="1:24" x14ac:dyDescent="0.25">
      <c r="A30" s="186">
        <f t="shared" si="1"/>
        <v>4.2446605731053264</v>
      </c>
      <c r="B30" s="198" t="str">
        <f t="shared" si="2"/>
        <v>HCC TV</v>
      </c>
      <c r="C30" s="216">
        <f t="shared" ref="C30:D30" si="25">C15/1000000</f>
        <v>13.503524990000001</v>
      </c>
      <c r="D30" s="301">
        <f t="shared" si="25"/>
        <v>57.317880122995497</v>
      </c>
      <c r="E30" s="212"/>
      <c r="F30" s="218">
        <f t="shared" si="4"/>
        <v>15.034299955663437</v>
      </c>
      <c r="G30" s="219">
        <f t="shared" si="5"/>
        <v>-8.7339507991325518E-2</v>
      </c>
      <c r="H30" s="296">
        <f t="shared" si="6"/>
        <v>62.63338764315899</v>
      </c>
      <c r="I30" s="212"/>
      <c r="J30" s="218">
        <f t="shared" si="7"/>
        <v>11.958585901204721</v>
      </c>
      <c r="K30" s="219">
        <f t="shared" si="8"/>
        <v>-0.27405140748105578</v>
      </c>
      <c r="L30" s="296">
        <f t="shared" si="9"/>
        <v>54.596383033049484</v>
      </c>
      <c r="M30" s="193"/>
      <c r="N30" s="218">
        <f t="shared" si="10"/>
        <v>11.531133494999999</v>
      </c>
      <c r="O30" s="219">
        <f t="shared" si="11"/>
        <v>-0.30000000000000004</v>
      </c>
      <c r="P30" s="296">
        <f t="shared" si="12"/>
        <v>53.416960873919358</v>
      </c>
      <c r="Q30" s="193"/>
      <c r="R30" s="218">
        <f t="shared" si="13"/>
        <v>18.2079077630627</v>
      </c>
      <c r="S30" s="214">
        <f t="shared" si="14"/>
        <v>0.10531505334410238</v>
      </c>
      <c r="T30" s="296">
        <f t="shared" si="15"/>
        <v>70.260623961549797</v>
      </c>
      <c r="V30" s="218">
        <f t="shared" si="16"/>
        <v>21.282458837850466</v>
      </c>
      <c r="W30" s="214">
        <f t="shared" si="17"/>
        <v>0.29195635389661462</v>
      </c>
      <c r="X30" s="220">
        <f t="shared" si="18"/>
        <v>77.15588493614284</v>
      </c>
    </row>
    <row r="31" spans="1:24" ht="29.65" customHeight="1" x14ac:dyDescent="0.25">
      <c r="B31" s="221" t="s">
        <v>215</v>
      </c>
      <c r="C31" s="222">
        <f>C16/1000000</f>
        <v>32.280505600000005</v>
      </c>
      <c r="D31" s="302">
        <f>D16/1000000</f>
        <v>248.35576034442479</v>
      </c>
      <c r="E31" s="224"/>
      <c r="F31" s="225">
        <f>F16/1000000</f>
        <v>38.354764850000002</v>
      </c>
      <c r="G31" s="226">
        <f>G16</f>
        <v>0.18817113106183814</v>
      </c>
      <c r="H31" s="230">
        <f>H16/1000000</f>
        <v>195.64107452413151</v>
      </c>
      <c r="I31" s="224"/>
      <c r="J31" s="225">
        <f>J16/1000000</f>
        <v>34.51928835956101</v>
      </c>
      <c r="K31" s="226">
        <f>K16</f>
        <v>6.9354017787162839E-2</v>
      </c>
      <c r="L31" s="230">
        <f>L16/1000000</f>
        <v>185.60006171028783</v>
      </c>
      <c r="M31" s="224"/>
      <c r="N31" s="225">
        <f>N16/1000000</f>
        <v>30.683811876508063</v>
      </c>
      <c r="O31" s="226">
        <f>O16</f>
        <v>-4.9463095258704279E-2</v>
      </c>
      <c r="P31" s="230">
        <f>P16/1000000</f>
        <v>171.84721496344179</v>
      </c>
      <c r="R31" s="225">
        <f>R16/1000000</f>
        <v>42.190241307485415</v>
      </c>
      <c r="S31" s="226">
        <f>S16</f>
        <v>0.30698824331566277</v>
      </c>
      <c r="T31" s="230">
        <f>T16/1000000</f>
        <v>204.84918554615189</v>
      </c>
      <c r="V31" s="225">
        <f>V16/1000000</f>
        <v>46.025717857409191</v>
      </c>
      <c r="W31" s="226">
        <f>W16</f>
        <v>0.42580535843308454</v>
      </c>
      <c r="X31" s="227">
        <f>X16/1000000</f>
        <v>213.45096549504655</v>
      </c>
    </row>
    <row r="32" spans="1:24" ht="45" x14ac:dyDescent="0.25">
      <c r="B32" s="297" t="s">
        <v>249</v>
      </c>
      <c r="C32" s="222"/>
      <c r="D32" s="223"/>
      <c r="E32" s="224"/>
      <c r="F32" s="225"/>
      <c r="G32" s="226"/>
      <c r="H32" s="299" t="s">
        <v>257</v>
      </c>
      <c r="I32" s="224"/>
      <c r="J32" s="225"/>
      <c r="K32" s="226"/>
      <c r="L32" s="299" t="s">
        <v>258</v>
      </c>
      <c r="M32" s="224"/>
      <c r="N32" s="225"/>
      <c r="O32" s="226"/>
      <c r="P32" s="229" t="s">
        <v>259</v>
      </c>
      <c r="R32" s="225"/>
      <c r="S32" s="226"/>
      <c r="T32" s="299" t="s">
        <v>260</v>
      </c>
      <c r="V32" s="225"/>
      <c r="W32" s="226"/>
      <c r="X32" s="299" t="s">
        <v>261</v>
      </c>
    </row>
    <row r="33" spans="2:24" x14ac:dyDescent="0.25">
      <c r="H33" s="230">
        <f>(H31-$D$31)</f>
        <v>-52.714685820293283</v>
      </c>
      <c r="L33" s="230">
        <f>(L31-$D$31)</f>
        <v>-62.755698634136962</v>
      </c>
      <c r="P33" s="230">
        <f>(P31-$D$31)</f>
        <v>-76.508545380983008</v>
      </c>
      <c r="T33" s="230">
        <f>(T31-$D$31)</f>
        <v>-43.506574798272908</v>
      </c>
      <c r="X33" s="230">
        <f>(X31-$D$31)</f>
        <v>-34.904794849378249</v>
      </c>
    </row>
    <row r="34" spans="2:24" x14ac:dyDescent="0.25">
      <c r="H34" s="298">
        <f>H33/$D$31</f>
        <v>-0.21225473388331115</v>
      </c>
      <c r="L34" s="298">
        <f>L33/$D$31</f>
        <v>-0.25268469129568844</v>
      </c>
      <c r="P34" s="298">
        <f>P33/$D$31</f>
        <v>-0.30806028124686702</v>
      </c>
      <c r="T34" s="298">
        <f>T33/$D$31</f>
        <v>-0.17517844054809564</v>
      </c>
      <c r="X34" s="298">
        <f>X33/$D$31</f>
        <v>-0.14054352836822295</v>
      </c>
    </row>
    <row r="36" spans="2:24" x14ac:dyDescent="0.25">
      <c r="B36" s="410" t="s">
        <v>251</v>
      </c>
      <c r="C36" s="410"/>
      <c r="D36" s="410"/>
      <c r="E36" s="410"/>
      <c r="F36" s="410"/>
      <c r="G36" s="410"/>
      <c r="H36" s="410"/>
      <c r="I36" s="410"/>
      <c r="J36" s="410"/>
      <c r="K36" s="410"/>
      <c r="L36" s="410"/>
      <c r="M36" s="410"/>
      <c r="N36" s="410"/>
      <c r="O36" s="410"/>
      <c r="P36" s="410"/>
      <c r="Q36" s="410"/>
      <c r="R36" s="410"/>
      <c r="S36" s="410"/>
      <c r="T36" s="410"/>
    </row>
    <row r="37" spans="2:24" x14ac:dyDescent="0.25">
      <c r="B37" s="410"/>
      <c r="C37" s="410"/>
      <c r="D37" s="410"/>
      <c r="E37" s="410"/>
      <c r="F37" s="410"/>
      <c r="G37" s="410"/>
      <c r="H37" s="410"/>
      <c r="I37" s="410"/>
      <c r="J37" s="410"/>
      <c r="K37" s="410"/>
      <c r="L37" s="410"/>
      <c r="M37" s="410"/>
      <c r="N37" s="410"/>
      <c r="O37" s="410"/>
      <c r="P37" s="410"/>
      <c r="Q37" s="410"/>
      <c r="R37" s="410"/>
      <c r="S37" s="410"/>
      <c r="T37" s="410"/>
    </row>
    <row r="39" spans="2:24" x14ac:dyDescent="0.25">
      <c r="F39" s="403" t="s">
        <v>240</v>
      </c>
      <c r="G39" s="404"/>
      <c r="H39" s="405"/>
      <c r="I39" s="195"/>
      <c r="J39" s="403" t="s">
        <v>207</v>
      </c>
      <c r="K39" s="404"/>
      <c r="L39" s="405"/>
      <c r="M39" s="195"/>
      <c r="N39" s="403" t="s">
        <v>208</v>
      </c>
      <c r="O39" s="404"/>
      <c r="P39" s="405"/>
      <c r="R39" s="411"/>
      <c r="S39" s="412"/>
      <c r="T39" s="413"/>
    </row>
    <row r="40" spans="2:24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  <c r="J40" s="97" t="s">
        <v>210</v>
      </c>
      <c r="K40" s="197" t="s">
        <v>212</v>
      </c>
      <c r="L40" s="197" t="s">
        <v>213</v>
      </c>
      <c r="N40" s="97" t="s">
        <v>210</v>
      </c>
      <c r="O40" s="197" t="s">
        <v>212</v>
      </c>
      <c r="P40" s="197" t="s">
        <v>213</v>
      </c>
      <c r="R40" s="97" t="s">
        <v>210</v>
      </c>
      <c r="S40" s="197" t="s">
        <v>212</v>
      </c>
      <c r="T40" s="197" t="s">
        <v>213</v>
      </c>
    </row>
    <row r="41" spans="2:24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14" t="str">
        <f>B36</f>
        <v>Optimal Channel Spend  allowed to vary between  of the 2021 spend</v>
      </c>
      <c r="G53" s="414"/>
      <c r="H53" s="414"/>
      <c r="I53" s="414"/>
      <c r="J53" s="414"/>
      <c r="K53" s="414"/>
      <c r="L53" s="414"/>
      <c r="M53" s="414"/>
      <c r="N53" s="414"/>
      <c r="O53" s="414"/>
      <c r="P53" s="414"/>
    </row>
    <row r="54" spans="2:20" x14ac:dyDescent="0.25">
      <c r="C54" s="401" t="s">
        <v>241</v>
      </c>
      <c r="D54" s="402"/>
      <c r="E54" s="204"/>
      <c r="F54" s="403" t="str">
        <f>F39</f>
        <v>Current Optimal ($MM)</v>
      </c>
      <c r="G54" s="404"/>
      <c r="H54" s="405"/>
      <c r="I54" s="205"/>
      <c r="J54" s="403" t="str">
        <f>J39</f>
        <v>10% reduction optimal ($)</v>
      </c>
      <c r="K54" s="404"/>
      <c r="L54" s="405"/>
      <c r="M54" s="205"/>
      <c r="N54" s="403" t="str">
        <f>N39</f>
        <v>20% reduction optimal ()</v>
      </c>
      <c r="O54" s="404"/>
      <c r="P54" s="405"/>
      <c r="R54" s="406"/>
      <c r="S54" s="407"/>
      <c r="T54" s="408"/>
    </row>
    <row r="55" spans="2:20" ht="45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  <c r="J55" s="231" t="s">
        <v>219</v>
      </c>
      <c r="K55" s="207" t="s">
        <v>212</v>
      </c>
      <c r="L55" s="209" t="s">
        <v>213</v>
      </c>
      <c r="M55" s="193"/>
      <c r="N55" s="231" t="s">
        <v>219</v>
      </c>
      <c r="O55" s="207" t="s">
        <v>212</v>
      </c>
      <c r="P55" s="209" t="s">
        <v>213</v>
      </c>
      <c r="R55" s="231" t="s">
        <v>219</v>
      </c>
      <c r="S55" s="207" t="s">
        <v>212</v>
      </c>
      <c r="T55" s="209" t="s">
        <v>213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214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x14ac:dyDescent="0.25">
      <c r="B64" s="221" t="s">
        <v>215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55" priority="17" operator="lessThan">
      <formula>0</formula>
    </cfRule>
    <cfRule type="cellIs" dxfId="54" priority="18" operator="greaterThan">
      <formula>0</formula>
    </cfRule>
  </conditionalFormatting>
  <conditionalFormatting sqref="K22:K30">
    <cfRule type="cellIs" dxfId="53" priority="15" operator="lessThan">
      <formula>0</formula>
    </cfRule>
    <cfRule type="cellIs" dxfId="52" priority="16" operator="greaterThan">
      <formula>0</formula>
    </cfRule>
  </conditionalFormatting>
  <conditionalFormatting sqref="O22:O30">
    <cfRule type="cellIs" dxfId="51" priority="13" operator="lessThan">
      <formula>0</formula>
    </cfRule>
    <cfRule type="cellIs" dxfId="50" priority="14" operator="greaterThan">
      <formula>0</formula>
    </cfRule>
  </conditionalFormatting>
  <conditionalFormatting sqref="S22:S30">
    <cfRule type="cellIs" dxfId="49" priority="11" operator="lessThan">
      <formula>0</formula>
    </cfRule>
    <cfRule type="cellIs" dxfId="48" priority="12" operator="greaterThan">
      <formula>0</formula>
    </cfRule>
  </conditionalFormatting>
  <conditionalFormatting sqref="G56:G63">
    <cfRule type="cellIs" dxfId="47" priority="9" operator="lessThan">
      <formula>0</formula>
    </cfRule>
    <cfRule type="cellIs" dxfId="46" priority="10" operator="greaterThan">
      <formula>0</formula>
    </cfRule>
  </conditionalFormatting>
  <conditionalFormatting sqref="K56:K63">
    <cfRule type="cellIs" dxfId="45" priority="7" operator="lessThan">
      <formula>0</formula>
    </cfRule>
    <cfRule type="cellIs" dxfId="44" priority="8" operator="greaterThan">
      <formula>0</formula>
    </cfRule>
  </conditionalFormatting>
  <conditionalFormatting sqref="O56:O63">
    <cfRule type="cellIs" dxfId="43" priority="5" operator="lessThan">
      <formula>0</formula>
    </cfRule>
    <cfRule type="cellIs" dxfId="42" priority="6" operator="greaterThan">
      <formula>0</formula>
    </cfRule>
  </conditionalFormatting>
  <conditionalFormatting sqref="S56:S63">
    <cfRule type="cellIs" dxfId="41" priority="3" operator="lessThan">
      <formula>0</formula>
    </cfRule>
    <cfRule type="cellIs" dxfId="40" priority="4" operator="greaterThan">
      <formula>0</formula>
    </cfRule>
  </conditionalFormatting>
  <conditionalFormatting sqref="W22:W30">
    <cfRule type="cellIs" dxfId="39" priority="1" operator="lessThan">
      <formula>0</formula>
    </cfRule>
    <cfRule type="cellIs" dxfId="3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10204392</v>
      </c>
      <c r="C3" s="194">
        <f>SUM(D9:D13)</f>
        <v>50133606.969785728</v>
      </c>
    </row>
    <row r="4" spans="1:28" x14ac:dyDescent="0.25">
      <c r="F4" s="409" t="s">
        <v>247</v>
      </c>
      <c r="G4" s="409"/>
      <c r="H4" s="409"/>
      <c r="I4" s="409"/>
      <c r="J4" s="409"/>
      <c r="K4" s="409"/>
      <c r="L4" s="409"/>
      <c r="M4" s="409"/>
      <c r="N4" s="409"/>
      <c r="O4" s="409"/>
      <c r="P4" s="409"/>
    </row>
    <row r="5" spans="1:28" x14ac:dyDescent="0.25">
      <c r="F5" s="403" t="s">
        <v>269</v>
      </c>
      <c r="G5" s="404"/>
      <c r="H5" s="405"/>
      <c r="I5" s="195"/>
      <c r="J5" s="403" t="s">
        <v>275</v>
      </c>
      <c r="K5" s="404"/>
      <c r="L5" s="405"/>
      <c r="M5" s="195"/>
      <c r="N5" s="403" t="s">
        <v>276</v>
      </c>
      <c r="O5" s="404"/>
      <c r="P5" s="405"/>
      <c r="R5" s="403" t="s">
        <v>277</v>
      </c>
      <c r="S5" s="404"/>
      <c r="T5" s="405"/>
      <c r="V5" s="403" t="s">
        <v>278</v>
      </c>
      <c r="W5" s="404"/>
      <c r="X5" s="405"/>
      <c r="Z5" s="97" t="s">
        <v>246</v>
      </c>
    </row>
    <row r="6" spans="1:28" ht="38.1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  <c r="V6" s="197" t="s">
        <v>219</v>
      </c>
      <c r="W6" s="197" t="s">
        <v>212</v>
      </c>
      <c r="X6" s="197" t="s">
        <v>213</v>
      </c>
      <c r="Z6" s="197" t="s">
        <v>219</v>
      </c>
      <c r="AA6" s="197" t="s">
        <v>212</v>
      </c>
      <c r="AB6" s="197" t="s">
        <v>213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11948893.689698888</v>
      </c>
      <c r="E7" s="199"/>
      <c r="F7" s="199">
        <v>1500000</v>
      </c>
      <c r="G7" s="191">
        <v>-0.11764705882352899</v>
      </c>
      <c r="H7" s="199">
        <v>10876906.2138291</v>
      </c>
      <c r="I7" s="199"/>
      <c r="J7" s="199">
        <v>1500000</v>
      </c>
      <c r="K7" s="191">
        <v>-0.11764705882352899</v>
      </c>
      <c r="L7" s="199">
        <v>10876906.2138291</v>
      </c>
      <c r="N7" s="199">
        <v>1500000</v>
      </c>
      <c r="O7" s="191">
        <v>-0.11764705882352899</v>
      </c>
      <c r="P7" s="199">
        <v>10876906.2138291</v>
      </c>
      <c r="R7" s="199">
        <v>1500000</v>
      </c>
      <c r="S7" s="191">
        <v>-0.11764705882352899</v>
      </c>
      <c r="T7" s="199">
        <v>10876906.2138291</v>
      </c>
      <c r="V7" s="199">
        <v>1999999.9999999001</v>
      </c>
      <c r="W7" s="191">
        <v>0.17647058823523601</v>
      </c>
      <c r="X7" s="199">
        <v>13424538.4613891</v>
      </c>
      <c r="Z7" s="199">
        <f>VAC_Optim_Scenario!$H35</f>
        <v>999999.99999999988</v>
      </c>
      <c r="AA7" s="191">
        <f>(Z7-$C7)/$C7</f>
        <v>-0.41176470588235303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80807593.323891282</v>
      </c>
      <c r="E8" s="199"/>
      <c r="F8" s="199">
        <v>5717757.3654969297</v>
      </c>
      <c r="G8" s="191">
        <v>-4.5479074254800803E-3</v>
      </c>
      <c r="H8" s="199">
        <v>80610921.475562394</v>
      </c>
      <c r="I8" s="199"/>
      <c r="J8" s="199">
        <v>5383977.6643618997</v>
      </c>
      <c r="K8" s="191">
        <v>-6.26584008785184E-2</v>
      </c>
      <c r="L8" s="199">
        <v>78003621.173606202</v>
      </c>
      <c r="N8" s="199">
        <v>4239909.8</v>
      </c>
      <c r="O8" s="191">
        <v>-0.26183872225742899</v>
      </c>
      <c r="P8" s="199">
        <v>67599734.874740198</v>
      </c>
      <c r="R8" s="199">
        <v>6459284.8343797699</v>
      </c>
      <c r="S8" s="191">
        <v>0.12455079743653701</v>
      </c>
      <c r="T8" s="199">
        <v>85805345.146057501</v>
      </c>
      <c r="V8" s="199">
        <v>6700000</v>
      </c>
      <c r="W8" s="191">
        <v>0.16645890930869001</v>
      </c>
      <c r="X8" s="199">
        <v>87328998.526596501</v>
      </c>
      <c r="Z8" s="199">
        <f>VAC_Optim_Scenario!$H36</f>
        <v>5400000</v>
      </c>
      <c r="AA8" s="191">
        <f t="shared" ref="AA8:AA15" si="0">(Z8-$C8)/$C8</f>
        <v>-5.9868938766130211E-2</v>
      </c>
      <c r="AB8" s="199">
        <f>VAC_Optim_Scenario!$J36</f>
        <v>64130441.937738657</v>
      </c>
    </row>
    <row r="9" spans="1:28" x14ac:dyDescent="0.25">
      <c r="A9" s="194"/>
      <c r="B9" s="198" t="str">
        <f>VAC_Optim_Scenario!B19</f>
        <v>HCC Social</v>
      </c>
      <c r="C9" s="199">
        <v>1700000</v>
      </c>
      <c r="D9" s="199">
        <v>13043399.570972564</v>
      </c>
      <c r="E9" s="199"/>
      <c r="F9" s="199">
        <v>1540000</v>
      </c>
      <c r="G9" s="191">
        <v>-9.41176470588235E-2</v>
      </c>
      <c r="H9" s="199">
        <v>12292320.588962801</v>
      </c>
      <c r="I9" s="199"/>
      <c r="J9" s="199">
        <v>1540000</v>
      </c>
      <c r="K9" s="191">
        <v>-9.41176470588235E-2</v>
      </c>
      <c r="L9" s="199">
        <v>12292320.588962801</v>
      </c>
      <c r="N9" s="199">
        <v>1540000</v>
      </c>
      <c r="O9" s="191">
        <v>-9.41176470588235E-2</v>
      </c>
      <c r="P9" s="199">
        <v>12292320.588962801</v>
      </c>
      <c r="R9" s="199">
        <v>1540000</v>
      </c>
      <c r="S9" s="191">
        <v>-9.41176470588235E-2</v>
      </c>
      <c r="T9" s="199">
        <v>12292320.588962801</v>
      </c>
      <c r="V9" s="199">
        <v>2276766.2000001301</v>
      </c>
      <c r="W9" s="191">
        <v>0.33927423529419198</v>
      </c>
      <c r="X9" s="199">
        <v>15542200.4946498</v>
      </c>
      <c r="Z9" s="199">
        <f>VAC_Optim_Scenario!$H37</f>
        <v>1599500</v>
      </c>
      <c r="AA9" s="191">
        <f t="shared" si="0"/>
        <v>-5.9117647058823532E-2</v>
      </c>
      <c r="AB9" s="199">
        <f>VAC_Optim_Scenario!$J37</f>
        <v>14642130.239828272</v>
      </c>
    </row>
    <row r="10" spans="1:28" x14ac:dyDescent="0.25">
      <c r="A10" s="194"/>
      <c r="B10" s="198" t="str">
        <f>VAC_Optim_Scenario!B20</f>
        <v>HCC Online Video</v>
      </c>
      <c r="C10" s="199">
        <v>500000</v>
      </c>
      <c r="D10" s="199">
        <v>4153892.1957701114</v>
      </c>
      <c r="E10" s="199"/>
      <c r="F10" s="199">
        <v>522669.64779516403</v>
      </c>
      <c r="G10" s="191">
        <v>4.5339295590327698E-2</v>
      </c>
      <c r="H10" s="199">
        <v>4325697.6449485198</v>
      </c>
      <c r="I10" s="199"/>
      <c r="J10" s="199">
        <v>400000</v>
      </c>
      <c r="K10" s="191">
        <v>-0.2</v>
      </c>
      <c r="L10" s="199">
        <v>3379679.64757735</v>
      </c>
      <c r="N10" s="199">
        <v>400000</v>
      </c>
      <c r="O10" s="191">
        <v>-0.2</v>
      </c>
      <c r="P10" s="199">
        <v>3379679.64757735</v>
      </c>
      <c r="R10" s="199">
        <v>958286.18466166104</v>
      </c>
      <c r="S10" s="191">
        <v>0.91657236932332198</v>
      </c>
      <c r="T10" s="199">
        <v>7377156.6047256002</v>
      </c>
      <c r="V10" s="199">
        <v>1199999.99999998</v>
      </c>
      <c r="W10" s="191">
        <v>1.3999999999999599</v>
      </c>
      <c r="X10" s="199">
        <v>8880915.4732986707</v>
      </c>
      <c r="Z10" s="199">
        <f>VAC_Optim_Scenario!$H38</f>
        <v>500000</v>
      </c>
      <c r="AA10" s="191">
        <f t="shared" si="0"/>
        <v>0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v>6089896</v>
      </c>
      <c r="D11" s="199">
        <v>20251248.243479468</v>
      </c>
      <c r="E11" s="199"/>
      <c r="F11" s="199">
        <v>6089895.3063839599</v>
      </c>
      <c r="G11" s="191">
        <v>-1.13896204016787E-7</v>
      </c>
      <c r="H11" s="199">
        <v>20251246.628901199</v>
      </c>
      <c r="I11" s="199"/>
      <c r="J11" s="199">
        <v>6089895.3623382999</v>
      </c>
      <c r="K11" s="191">
        <v>-1.04708142668715E-7</v>
      </c>
      <c r="L11" s="199">
        <v>20251246.759149998</v>
      </c>
      <c r="N11" s="199">
        <v>6089895</v>
      </c>
      <c r="O11" s="191">
        <v>-1.6420641666130301E-7</v>
      </c>
      <c r="P11" s="199">
        <v>20251245.915709998</v>
      </c>
      <c r="R11" s="199">
        <v>6089895.4336254699</v>
      </c>
      <c r="S11" s="191">
        <v>-9.3002332838039298E-8</v>
      </c>
      <c r="T11" s="199">
        <v>20251246.925090101</v>
      </c>
      <c r="V11" s="199">
        <v>6089895</v>
      </c>
      <c r="W11" s="191">
        <v>-1.6420641666130301E-7</v>
      </c>
      <c r="X11" s="199">
        <v>20251245.915709998</v>
      </c>
      <c r="Z11" s="199">
        <f>VAC_Optim_Scenario!$H39</f>
        <v>6463714</v>
      </c>
      <c r="AA11" s="191">
        <f t="shared" si="0"/>
        <v>6.1383314263494811E-2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v>1314496</v>
      </c>
      <c r="D12" s="199">
        <v>12154827.131415794</v>
      </c>
      <c r="E12" s="199"/>
      <c r="F12" s="199">
        <v>1486857.76053572</v>
      </c>
      <c r="G12" s="191">
        <v>0.13112383798483901</v>
      </c>
      <c r="H12" s="199">
        <v>13483325.2911082</v>
      </c>
      <c r="I12" s="199"/>
      <c r="J12" s="199">
        <v>1204199.7439526799</v>
      </c>
      <c r="K12" s="191">
        <v>-8.3907639161561798E-2</v>
      </c>
      <c r="L12" s="199">
        <v>11275357.081743199</v>
      </c>
      <c r="N12" s="199">
        <v>1051596.8</v>
      </c>
      <c r="O12" s="191">
        <v>-0.2</v>
      </c>
      <c r="P12" s="199">
        <v>10019492.349713501</v>
      </c>
      <c r="R12" s="199">
        <v>1900000</v>
      </c>
      <c r="S12" s="191">
        <v>0.44542090656799299</v>
      </c>
      <c r="T12" s="199">
        <v>16451797.4520192</v>
      </c>
      <c r="V12" s="199">
        <v>1899999.99999999</v>
      </c>
      <c r="W12" s="191">
        <v>0.445420906567982</v>
      </c>
      <c r="X12" s="199">
        <v>16451797.4520192</v>
      </c>
      <c r="Z12" s="199">
        <f>VAC_Optim_Scenario!$H40</f>
        <v>1500000</v>
      </c>
      <c r="AA12" s="191">
        <f t="shared" si="0"/>
        <v>0.14112176834315204</v>
      </c>
      <c r="AB12" s="199">
        <f>VAC_Optim_Scenario!$J40</f>
        <v>21855163.981115948</v>
      </c>
    </row>
    <row r="13" spans="1:28" x14ac:dyDescent="0.25">
      <c r="A13" s="194"/>
      <c r="B13" s="198" t="str">
        <f>VAC_Optim_Scenario!B23</f>
        <v>HCC Paid Search</v>
      </c>
      <c r="C13" s="199">
        <v>600000</v>
      </c>
      <c r="D13" s="199">
        <v>530239.82814778807</v>
      </c>
      <c r="E13" s="199"/>
      <c r="F13" s="199">
        <v>420000</v>
      </c>
      <c r="G13" s="191">
        <v>-0.3</v>
      </c>
      <c r="H13" s="199">
        <v>413086.47325189703</v>
      </c>
      <c r="I13" s="199"/>
      <c r="J13" s="199">
        <v>420000</v>
      </c>
      <c r="K13" s="191">
        <v>-0.3</v>
      </c>
      <c r="L13" s="199">
        <v>413086.47325189703</v>
      </c>
      <c r="N13" s="199">
        <v>420000</v>
      </c>
      <c r="O13" s="191">
        <v>-0.3</v>
      </c>
      <c r="P13" s="199">
        <v>413086.47325189703</v>
      </c>
      <c r="R13" s="199">
        <v>420000</v>
      </c>
      <c r="S13" s="191">
        <v>-0.3</v>
      </c>
      <c r="T13" s="199">
        <v>413086.47325189703</v>
      </c>
      <c r="V13" s="199">
        <v>420000</v>
      </c>
      <c r="W13" s="191">
        <v>-0.3</v>
      </c>
      <c r="X13" s="199">
        <v>413086.47325189703</v>
      </c>
      <c r="Z13" s="199">
        <f>VAC_Optim_Scenario!$H41</f>
        <v>300000</v>
      </c>
      <c r="AA13" s="191">
        <f t="shared" si="0"/>
        <v>-0.5</v>
      </c>
      <c r="AB13" s="199">
        <f>VAC_Optim_Scenario!$J41</f>
        <v>26792847.590052392</v>
      </c>
    </row>
    <row r="14" spans="1:28" x14ac:dyDescent="0.25">
      <c r="A14" s="194"/>
      <c r="B14" s="198" t="str">
        <f>VAC_Optim_Scenario!B24</f>
        <v>HCC Audio</v>
      </c>
      <c r="C14" s="199">
        <v>1500000</v>
      </c>
      <c r="D14" s="199">
        <v>20616887.753370155</v>
      </c>
      <c r="E14" s="199"/>
      <c r="F14" s="199">
        <v>1871092.8703598899</v>
      </c>
      <c r="G14" s="191">
        <v>0.24739524690659501</v>
      </c>
      <c r="H14" s="199">
        <v>23541035.236405302</v>
      </c>
      <c r="I14" s="199"/>
      <c r="J14" s="199">
        <v>1578683.73716889</v>
      </c>
      <c r="K14" s="191">
        <v>5.2455824779258003E-2</v>
      </c>
      <c r="L14" s="199">
        <v>21259127.279598299</v>
      </c>
      <c r="N14" s="199">
        <v>1500000</v>
      </c>
      <c r="O14" s="191">
        <v>0</v>
      </c>
      <c r="P14" s="199">
        <v>20616887.753370199</v>
      </c>
      <c r="R14" s="199">
        <v>2000000</v>
      </c>
      <c r="S14" s="191">
        <v>0.33333333333333298</v>
      </c>
      <c r="T14" s="199">
        <v>24501143.189844601</v>
      </c>
      <c r="V14" s="199">
        <v>2000000</v>
      </c>
      <c r="W14" s="191">
        <v>0.33333333333333298</v>
      </c>
      <c r="X14" s="199">
        <v>24501143.189844601</v>
      </c>
      <c r="Z14" s="199">
        <f>VAC_Optim_Scenario!$H42</f>
        <v>1400000</v>
      </c>
      <c r="AA14" s="191">
        <f t="shared" si="0"/>
        <v>-6.6666666666666666E-2</v>
      </c>
      <c r="AB14" s="199">
        <f>VAC_Optim_Scenario!$J42</f>
        <v>15696457.153648281</v>
      </c>
    </row>
    <row r="15" spans="1:28" x14ac:dyDescent="0.25">
      <c r="A15" s="194"/>
      <c r="B15" s="198" t="str">
        <f>VAC_Optim_Scenario!B25</f>
        <v>HCC TV</v>
      </c>
      <c r="C15" s="199">
        <v>15235607.800000001</v>
      </c>
      <c r="D15" s="199">
        <v>62768371.376101136</v>
      </c>
      <c r="E15" s="199"/>
      <c r="F15" s="199">
        <v>15235607.049428299</v>
      </c>
      <c r="G15" s="191">
        <v>-4.92643077799188E-8</v>
      </c>
      <c r="H15" s="199">
        <v>62768369.211532898</v>
      </c>
      <c r="I15" s="199"/>
      <c r="J15" s="199">
        <v>15235607.092178199</v>
      </c>
      <c r="K15" s="191">
        <v>-4.6458387412666901E-8</v>
      </c>
      <c r="L15" s="199">
        <v>62768369.334818996</v>
      </c>
      <c r="N15" s="199">
        <v>15235606.800000001</v>
      </c>
      <c r="O15" s="191">
        <v>-6.5635714250927397E-8</v>
      </c>
      <c r="P15" s="199">
        <v>62768368.492208302</v>
      </c>
      <c r="R15" s="199">
        <v>15235607.547333101</v>
      </c>
      <c r="S15" s="191">
        <v>-1.6583972689274701E-8</v>
      </c>
      <c r="T15" s="199">
        <v>62768370.647436902</v>
      </c>
      <c r="V15" s="199">
        <v>15235606.800000001</v>
      </c>
      <c r="W15" s="191">
        <v>-6.5635714250927397E-8</v>
      </c>
      <c r="X15" s="199">
        <v>62768368.492208302</v>
      </c>
      <c r="Z15" s="199">
        <f>VAC_Optim_Scenario!$H43</f>
        <v>14861790</v>
      </c>
      <c r="AA15" s="191">
        <f t="shared" si="0"/>
        <v>-2.4535798302710361E-2</v>
      </c>
      <c r="AB15" s="199">
        <f>VAC_Optim_Scenario!$J43</f>
        <v>61295260.814772405</v>
      </c>
    </row>
    <row r="16" spans="1:28" ht="34.35" customHeight="1" x14ac:dyDescent="0.25">
      <c r="B16" s="201" t="s">
        <v>215</v>
      </c>
      <c r="C16" s="202">
        <f>SUM(C7:C15)</f>
        <v>34383879.799999997</v>
      </c>
      <c r="D16" s="202">
        <f>SUM(D7:D15)</f>
        <v>226275353.11284721</v>
      </c>
      <c r="E16" s="193"/>
      <c r="F16" s="202">
        <f>SUM(F7:F15)</f>
        <v>34383879.999999963</v>
      </c>
      <c r="G16" s="203">
        <f>(F16-$C$16)/$C$16</f>
        <v>5.8166782483729267E-9</v>
      </c>
      <c r="H16" s="202">
        <f>SUM(H7:H15)</f>
        <v>228562908.76450232</v>
      </c>
      <c r="I16" s="193"/>
      <c r="J16" s="202">
        <f>SUM(J7:J15)</f>
        <v>33352363.599999968</v>
      </c>
      <c r="K16" s="203">
        <f>(J16-$C$16)/$C$16</f>
        <v>-2.9999994357821979E-2</v>
      </c>
      <c r="L16" s="202">
        <f>SUM(L7:L15)</f>
        <v>220519714.55253786</v>
      </c>
      <c r="M16" s="193"/>
      <c r="N16" s="202">
        <f>SUM(N7:N15)</f>
        <v>31977008.400000002</v>
      </c>
      <c r="O16" s="203">
        <f>(N16-$C$16)/$C$16</f>
        <v>-6.9999994590488154E-2</v>
      </c>
      <c r="P16" s="202">
        <f>SUM(P7:P15)</f>
        <v>208217722.30936337</v>
      </c>
      <c r="Q16" s="193"/>
      <c r="R16" s="202">
        <f>SUM(R7:R15)</f>
        <v>36103074</v>
      </c>
      <c r="S16" s="203">
        <f>(R16-$C$16)/$C$16</f>
        <v>5.0000006107513296E-2</v>
      </c>
      <c r="T16" s="202">
        <f>SUM(T7:T15)</f>
        <v>240737373.24121773</v>
      </c>
      <c r="V16" s="202">
        <f>SUM(V7:V15)</f>
        <v>37822268</v>
      </c>
      <c r="W16" s="203">
        <f>(V16-$C$16)/$C$16</f>
        <v>0.10000000639834726</v>
      </c>
      <c r="X16" s="202">
        <f>SUM(X7:X15)</f>
        <v>249562294.47896805</v>
      </c>
      <c r="Z16" s="202">
        <f>SUM(Z7:Z15)</f>
        <v>33025004</v>
      </c>
      <c r="AA16" s="203">
        <f>(Z16-$C$16)/$C$16</f>
        <v>-3.9520723312905404E-2</v>
      </c>
      <c r="AB16" s="202">
        <f>SUM(AB7:AB15)</f>
        <v>246138403.80632758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409" t="str">
        <f>F4</f>
        <v>Optimal channel spend allowed to vary between +/- 30% of the 2021 channel spend</v>
      </c>
      <c r="G19" s="409"/>
      <c r="H19" s="409"/>
      <c r="I19" s="409"/>
      <c r="J19" s="409"/>
      <c r="K19" s="409"/>
      <c r="L19" s="409"/>
      <c r="M19" s="409"/>
      <c r="N19" s="409"/>
      <c r="O19" s="409"/>
      <c r="P19" s="409"/>
    </row>
    <row r="20" spans="1:28" ht="30.4" customHeight="1" x14ac:dyDescent="0.25">
      <c r="C20" s="401" t="s">
        <v>266</v>
      </c>
      <c r="D20" s="402"/>
      <c r="E20" s="204"/>
      <c r="F20" s="403" t="str">
        <f>F5</f>
        <v>Current Optimal ($34MM)</v>
      </c>
      <c r="G20" s="404"/>
      <c r="H20" s="405"/>
      <c r="I20" s="205"/>
      <c r="J20" s="403" t="str">
        <f>J5</f>
        <v>3% reduction optimal ($33M)</v>
      </c>
      <c r="K20" s="404"/>
      <c r="L20" s="405"/>
      <c r="M20" s="205"/>
      <c r="N20" s="403" t="str">
        <f>N5</f>
        <v>7% reduction optimal ($32M)</v>
      </c>
      <c r="O20" s="404"/>
      <c r="P20" s="405"/>
      <c r="R20" s="403" t="str">
        <f>R5</f>
        <v>5% increase optimal ($36M)</v>
      </c>
      <c r="S20" s="404"/>
      <c r="T20" s="405"/>
      <c r="V20" s="403" t="str">
        <f>V5</f>
        <v>10% increase optimal ($38M)</v>
      </c>
      <c r="W20" s="404"/>
      <c r="X20" s="405"/>
    </row>
    <row r="21" spans="1:28" ht="45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193"/>
      <c r="N21" s="231" t="s">
        <v>219</v>
      </c>
      <c r="O21" s="207" t="s">
        <v>212</v>
      </c>
      <c r="P21" s="209" t="s">
        <v>213</v>
      </c>
      <c r="R21" s="231" t="s">
        <v>219</v>
      </c>
      <c r="S21" s="207" t="s">
        <v>212</v>
      </c>
      <c r="T21" s="209" t="s">
        <v>213</v>
      </c>
      <c r="V21" s="231" t="s">
        <v>219</v>
      </c>
      <c r="W21" s="207" t="s">
        <v>212</v>
      </c>
      <c r="X21" s="209" t="s">
        <v>213</v>
      </c>
    </row>
    <row r="22" spans="1:28" x14ac:dyDescent="0.25">
      <c r="A22" s="186">
        <f>D22/C22</f>
        <v>7.0287609939405229</v>
      </c>
      <c r="B22" s="198" t="str">
        <f>B7</f>
        <v>HCC In Office</v>
      </c>
      <c r="C22" s="210">
        <f>C7/1000000</f>
        <v>1.7</v>
      </c>
      <c r="D22" s="300">
        <f>D7/1000000</f>
        <v>11.948893689698888</v>
      </c>
      <c r="E22" s="212"/>
      <c r="F22" s="213">
        <f>F7/1000000</f>
        <v>1.5</v>
      </c>
      <c r="G22" s="214">
        <f>G7</f>
        <v>-0.11764705882352899</v>
      </c>
      <c r="H22" s="295">
        <f>H7/1000000</f>
        <v>10.8769062138291</v>
      </c>
      <c r="I22" s="212"/>
      <c r="J22" s="213">
        <f>J7/1000000</f>
        <v>1.5</v>
      </c>
      <c r="K22" s="214">
        <f>K7</f>
        <v>-0.11764705882352899</v>
      </c>
      <c r="L22" s="295">
        <f>L7/1000000</f>
        <v>10.8769062138291</v>
      </c>
      <c r="M22" s="193"/>
      <c r="N22" s="213">
        <f>N7/1000000</f>
        <v>1.5</v>
      </c>
      <c r="O22" s="214">
        <f>O7</f>
        <v>-0.11764705882352899</v>
      </c>
      <c r="P22" s="295">
        <f>P7/1000000</f>
        <v>10.8769062138291</v>
      </c>
      <c r="Q22" s="193"/>
      <c r="R22" s="213">
        <f>R7/1000000</f>
        <v>1.5</v>
      </c>
      <c r="S22" s="214">
        <f>S7</f>
        <v>-0.11764705882352899</v>
      </c>
      <c r="T22" s="295">
        <f>T7/1000000</f>
        <v>10.8769062138291</v>
      </c>
      <c r="V22" s="213">
        <f>V7/1000000</f>
        <v>1.9999999999999001</v>
      </c>
      <c r="W22" s="214">
        <f>W7</f>
        <v>0.17647058823523601</v>
      </c>
      <c r="X22" s="215">
        <f>X7/1000000</f>
        <v>13.424538461389099</v>
      </c>
    </row>
    <row r="23" spans="1:28" x14ac:dyDescent="0.25">
      <c r="A23" s="186">
        <f t="shared" ref="A23:A30" si="1">D23/C23</f>
        <v>14.068468234693498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1">
        <f t="shared" si="3"/>
        <v>80.807593323891282</v>
      </c>
      <c r="E23" s="212"/>
      <c r="F23" s="218">
        <f t="shared" ref="F23:F30" si="4">F8/1000000</f>
        <v>5.7177573654969294</v>
      </c>
      <c r="G23" s="219">
        <f t="shared" ref="G23:G30" si="5">G8</f>
        <v>-4.5479074254800803E-3</v>
      </c>
      <c r="H23" s="296">
        <f t="shared" ref="H23:H30" si="6">H8/1000000</f>
        <v>80.610921475562392</v>
      </c>
      <c r="I23" s="212"/>
      <c r="J23" s="218">
        <f t="shared" ref="J23:J30" si="7">J8/1000000</f>
        <v>5.3839776643618995</v>
      </c>
      <c r="K23" s="219">
        <f t="shared" ref="K23:K30" si="8">K8</f>
        <v>-6.26584008785184E-2</v>
      </c>
      <c r="L23" s="296">
        <f t="shared" ref="L23:L30" si="9">L8/1000000</f>
        <v>78.003621173606206</v>
      </c>
      <c r="M23" s="193"/>
      <c r="N23" s="218">
        <f t="shared" ref="N23:N30" si="10">N8/1000000</f>
        <v>4.2399097999999995</v>
      </c>
      <c r="O23" s="219">
        <f t="shared" ref="O23:O30" si="11">O8</f>
        <v>-0.26183872225742899</v>
      </c>
      <c r="P23" s="296">
        <f t="shared" ref="P23:P30" si="12">P8/1000000</f>
        <v>67.599734874740193</v>
      </c>
      <c r="Q23" s="193"/>
      <c r="R23" s="218">
        <f t="shared" ref="R23:R30" si="13">R8/1000000</f>
        <v>6.45928483437977</v>
      </c>
      <c r="S23" s="214">
        <f t="shared" ref="S23:S30" si="14">S8</f>
        <v>0.12455079743653701</v>
      </c>
      <c r="T23" s="296">
        <f t="shared" ref="T23:T30" si="15">T8/1000000</f>
        <v>85.805345146057505</v>
      </c>
      <c r="V23" s="218">
        <f t="shared" ref="V23:V30" si="16">V8/1000000</f>
        <v>6.7</v>
      </c>
      <c r="W23" s="214">
        <f t="shared" ref="W23:W30" si="17">W8</f>
        <v>0.16645890930869001</v>
      </c>
      <c r="X23" s="220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86">
        <f t="shared" si="1"/>
        <v>7.6725879829250383</v>
      </c>
      <c r="B24" s="198" t="str">
        <f t="shared" si="2"/>
        <v>HCC Social</v>
      </c>
      <c r="C24" s="216">
        <f t="shared" si="3"/>
        <v>1.7</v>
      </c>
      <c r="D24" s="301">
        <f t="shared" si="3"/>
        <v>13.043399570972564</v>
      </c>
      <c r="E24" s="212"/>
      <c r="F24" s="218">
        <f t="shared" si="4"/>
        <v>1.54</v>
      </c>
      <c r="G24" s="219">
        <f t="shared" si="5"/>
        <v>-9.41176470588235E-2</v>
      </c>
      <c r="H24" s="296">
        <f t="shared" si="6"/>
        <v>12.2923205889628</v>
      </c>
      <c r="I24" s="212"/>
      <c r="J24" s="218">
        <f t="shared" si="7"/>
        <v>1.54</v>
      </c>
      <c r="K24" s="219">
        <f t="shared" si="8"/>
        <v>-9.41176470588235E-2</v>
      </c>
      <c r="L24" s="296">
        <f t="shared" si="9"/>
        <v>12.2923205889628</v>
      </c>
      <c r="M24" s="193"/>
      <c r="N24" s="218">
        <f t="shared" si="10"/>
        <v>1.54</v>
      </c>
      <c r="O24" s="219">
        <f t="shared" si="11"/>
        <v>-9.41176470588235E-2</v>
      </c>
      <c r="P24" s="296">
        <f t="shared" si="12"/>
        <v>12.2923205889628</v>
      </c>
      <c r="Q24" s="193"/>
      <c r="R24" s="218">
        <f t="shared" si="13"/>
        <v>1.54</v>
      </c>
      <c r="S24" s="214">
        <f t="shared" si="14"/>
        <v>-9.41176470588235E-2</v>
      </c>
      <c r="T24" s="296">
        <f t="shared" si="15"/>
        <v>12.2923205889628</v>
      </c>
      <c r="V24" s="218">
        <f t="shared" si="16"/>
        <v>2.2767662000001301</v>
      </c>
      <c r="W24" s="214">
        <f t="shared" si="17"/>
        <v>0.33927423529419198</v>
      </c>
      <c r="X24" s="220">
        <f t="shared" si="18"/>
        <v>15.5422004946498</v>
      </c>
      <c r="AB24" s="97">
        <f>14.8/8.3</f>
        <v>1.7831325301204819</v>
      </c>
    </row>
    <row r="25" spans="1:28" x14ac:dyDescent="0.25">
      <c r="A25" s="186">
        <f t="shared" si="1"/>
        <v>8.3077843915402223</v>
      </c>
      <c r="B25" s="198" t="str">
        <f t="shared" si="2"/>
        <v>HCC Online Video</v>
      </c>
      <c r="C25" s="216">
        <f t="shared" si="3"/>
        <v>0.5</v>
      </c>
      <c r="D25" s="301">
        <f t="shared" si="3"/>
        <v>4.1538921957701112</v>
      </c>
      <c r="E25" s="212"/>
      <c r="F25" s="218">
        <f t="shared" si="4"/>
        <v>0.52266964779516401</v>
      </c>
      <c r="G25" s="219">
        <f t="shared" si="5"/>
        <v>4.5339295590327698E-2</v>
      </c>
      <c r="H25" s="296">
        <f t="shared" si="6"/>
        <v>4.3256976449485194</v>
      </c>
      <c r="I25" s="212"/>
      <c r="J25" s="218">
        <f t="shared" si="7"/>
        <v>0.4</v>
      </c>
      <c r="K25" s="219">
        <f t="shared" si="8"/>
        <v>-0.2</v>
      </c>
      <c r="L25" s="296">
        <f t="shared" si="9"/>
        <v>3.3796796475773498</v>
      </c>
      <c r="M25" s="193"/>
      <c r="N25" s="218">
        <f t="shared" si="10"/>
        <v>0.4</v>
      </c>
      <c r="O25" s="219">
        <f t="shared" si="11"/>
        <v>-0.2</v>
      </c>
      <c r="P25" s="296">
        <f t="shared" si="12"/>
        <v>3.3796796475773498</v>
      </c>
      <c r="Q25" s="193"/>
      <c r="R25" s="218">
        <f t="shared" si="13"/>
        <v>0.95828618466166104</v>
      </c>
      <c r="S25" s="214">
        <f t="shared" si="14"/>
        <v>0.91657236932332198</v>
      </c>
      <c r="T25" s="296">
        <f t="shared" si="15"/>
        <v>7.3771566047256005</v>
      </c>
      <c r="V25" s="218">
        <f t="shared" si="16"/>
        <v>1.19999999999998</v>
      </c>
      <c r="W25" s="214">
        <f t="shared" si="17"/>
        <v>1.3999999999999599</v>
      </c>
      <c r="X25" s="220">
        <f t="shared" si="18"/>
        <v>8.8809154732986713</v>
      </c>
    </row>
    <row r="26" spans="1:28" x14ac:dyDescent="0.25">
      <c r="A26" s="186">
        <f t="shared" si="1"/>
        <v>3.3253849069802612</v>
      </c>
      <c r="B26" s="198" t="str">
        <f t="shared" si="2"/>
        <v>HCC Streaming Video</v>
      </c>
      <c r="C26" s="216">
        <f t="shared" si="3"/>
        <v>6.0898960000000004</v>
      </c>
      <c r="D26" s="301">
        <f t="shared" si="3"/>
        <v>20.251248243479466</v>
      </c>
      <c r="E26" s="212"/>
      <c r="F26" s="218">
        <f t="shared" si="4"/>
        <v>6.0898953063839603</v>
      </c>
      <c r="G26" s="219">
        <f t="shared" si="5"/>
        <v>-1.13896204016787E-7</v>
      </c>
      <c r="H26" s="296">
        <f t="shared" si="6"/>
        <v>20.2512466289012</v>
      </c>
      <c r="I26" s="212"/>
      <c r="J26" s="218">
        <f t="shared" si="7"/>
        <v>6.0898953623383001</v>
      </c>
      <c r="K26" s="219">
        <f t="shared" si="8"/>
        <v>-1.04708142668715E-7</v>
      </c>
      <c r="L26" s="296">
        <f t="shared" si="9"/>
        <v>20.25124675915</v>
      </c>
      <c r="M26" s="193"/>
      <c r="N26" s="218">
        <f t="shared" si="10"/>
        <v>6.0898950000000003</v>
      </c>
      <c r="O26" s="219">
        <f t="shared" si="11"/>
        <v>-1.6420641666130301E-7</v>
      </c>
      <c r="P26" s="296">
        <f t="shared" si="12"/>
        <v>20.251245915709998</v>
      </c>
      <c r="Q26" s="193"/>
      <c r="R26" s="218">
        <f t="shared" si="13"/>
        <v>6.08989543362547</v>
      </c>
      <c r="S26" s="214">
        <f t="shared" si="14"/>
        <v>-9.3002332838039298E-8</v>
      </c>
      <c r="T26" s="296">
        <f t="shared" si="15"/>
        <v>20.251246925090101</v>
      </c>
      <c r="V26" s="218">
        <f t="shared" si="16"/>
        <v>6.0898950000000003</v>
      </c>
      <c r="W26" s="214">
        <f t="shared" si="17"/>
        <v>-1.6420641666130301E-7</v>
      </c>
      <c r="X26" s="220">
        <f t="shared" si="18"/>
        <v>20.251245915709998</v>
      </c>
    </row>
    <row r="27" spans="1:28" x14ac:dyDescent="0.25">
      <c r="A27" s="186">
        <f t="shared" si="1"/>
        <v>9.2467585534043408</v>
      </c>
      <c r="B27" s="198" t="str">
        <f t="shared" si="2"/>
        <v>HCC Display</v>
      </c>
      <c r="C27" s="216">
        <f t="shared" si="3"/>
        <v>1.3144960000000001</v>
      </c>
      <c r="D27" s="301">
        <f t="shared" si="3"/>
        <v>12.154827131415793</v>
      </c>
      <c r="E27" s="212"/>
      <c r="F27" s="218">
        <f t="shared" si="4"/>
        <v>1.4868577605357201</v>
      </c>
      <c r="G27" s="219">
        <f t="shared" si="5"/>
        <v>0.13112383798483901</v>
      </c>
      <c r="H27" s="296">
        <f t="shared" si="6"/>
        <v>13.4833252911082</v>
      </c>
      <c r="I27" s="212"/>
      <c r="J27" s="218">
        <f t="shared" si="7"/>
        <v>1.2041997439526799</v>
      </c>
      <c r="K27" s="219">
        <f t="shared" si="8"/>
        <v>-8.3907639161561798E-2</v>
      </c>
      <c r="L27" s="296">
        <f t="shared" si="9"/>
        <v>11.275357081743199</v>
      </c>
      <c r="M27" s="193"/>
      <c r="N27" s="218">
        <f t="shared" si="10"/>
        <v>1.0515968</v>
      </c>
      <c r="O27" s="219">
        <f t="shared" si="11"/>
        <v>-0.2</v>
      </c>
      <c r="P27" s="296">
        <f t="shared" si="12"/>
        <v>10.0194923497135</v>
      </c>
      <c r="Q27" s="193"/>
      <c r="R27" s="218">
        <f t="shared" si="13"/>
        <v>1.9</v>
      </c>
      <c r="S27" s="214">
        <f t="shared" si="14"/>
        <v>0.44542090656799299</v>
      </c>
      <c r="T27" s="296">
        <f t="shared" si="15"/>
        <v>16.4517974520192</v>
      </c>
      <c r="V27" s="218">
        <f t="shared" si="16"/>
        <v>1.8999999999999899</v>
      </c>
      <c r="W27" s="214">
        <f t="shared" si="17"/>
        <v>0.445420906567982</v>
      </c>
      <c r="X27" s="220">
        <f t="shared" si="18"/>
        <v>16.4517974520192</v>
      </c>
    </row>
    <row r="28" spans="1:28" x14ac:dyDescent="0.25">
      <c r="A28" s="186">
        <f t="shared" si="1"/>
        <v>0.88373304691298005</v>
      </c>
      <c r="B28" s="198" t="str">
        <f t="shared" si="2"/>
        <v>HCC Paid Search</v>
      </c>
      <c r="C28" s="216">
        <f t="shared" si="3"/>
        <v>0.6</v>
      </c>
      <c r="D28" s="301">
        <f t="shared" si="3"/>
        <v>0.53023982814778803</v>
      </c>
      <c r="E28" s="212"/>
      <c r="F28" s="218">
        <f t="shared" si="4"/>
        <v>0.42</v>
      </c>
      <c r="G28" s="219">
        <f t="shared" si="5"/>
        <v>-0.3</v>
      </c>
      <c r="H28" s="296">
        <f t="shared" si="6"/>
        <v>0.41308647325189701</v>
      </c>
      <c r="I28" s="212"/>
      <c r="J28" s="218">
        <f t="shared" si="7"/>
        <v>0.42</v>
      </c>
      <c r="K28" s="219">
        <f t="shared" si="8"/>
        <v>-0.3</v>
      </c>
      <c r="L28" s="296">
        <f t="shared" si="9"/>
        <v>0.41308647325189701</v>
      </c>
      <c r="M28" s="193"/>
      <c r="N28" s="218">
        <f t="shared" si="10"/>
        <v>0.42</v>
      </c>
      <c r="O28" s="219">
        <f t="shared" si="11"/>
        <v>-0.3</v>
      </c>
      <c r="P28" s="296">
        <f t="shared" si="12"/>
        <v>0.41308647325189701</v>
      </c>
      <c r="Q28" s="193"/>
      <c r="R28" s="218">
        <f t="shared" si="13"/>
        <v>0.42</v>
      </c>
      <c r="S28" s="214">
        <f t="shared" si="14"/>
        <v>-0.3</v>
      </c>
      <c r="T28" s="296">
        <f t="shared" si="15"/>
        <v>0.41308647325189701</v>
      </c>
      <c r="V28" s="218">
        <f t="shared" si="16"/>
        <v>0.42</v>
      </c>
      <c r="W28" s="214">
        <f t="shared" si="17"/>
        <v>-0.3</v>
      </c>
      <c r="X28" s="220">
        <f t="shared" si="18"/>
        <v>0.41308647325189701</v>
      </c>
    </row>
    <row r="29" spans="1:28" x14ac:dyDescent="0.25">
      <c r="A29" s="186">
        <f t="shared" si="1"/>
        <v>13.744591835580103</v>
      </c>
      <c r="B29" s="198" t="str">
        <f t="shared" si="2"/>
        <v>HCC Audio</v>
      </c>
      <c r="C29" s="216">
        <f t="shared" si="3"/>
        <v>1.5</v>
      </c>
      <c r="D29" s="301">
        <f t="shared" si="3"/>
        <v>20.616887753370154</v>
      </c>
      <c r="E29" s="212"/>
      <c r="F29" s="218">
        <f t="shared" si="4"/>
        <v>1.8710928703598899</v>
      </c>
      <c r="G29" s="219">
        <f t="shared" si="5"/>
        <v>0.24739524690659501</v>
      </c>
      <c r="H29" s="296">
        <f t="shared" si="6"/>
        <v>23.541035236405303</v>
      </c>
      <c r="I29" s="212"/>
      <c r="J29" s="218">
        <f t="shared" si="7"/>
        <v>1.57868373716889</v>
      </c>
      <c r="K29" s="219">
        <f t="shared" si="8"/>
        <v>5.2455824779258003E-2</v>
      </c>
      <c r="L29" s="296">
        <f t="shared" si="9"/>
        <v>21.2591272795983</v>
      </c>
      <c r="M29" s="193"/>
      <c r="N29" s="218">
        <f t="shared" si="10"/>
        <v>1.5</v>
      </c>
      <c r="O29" s="219">
        <f t="shared" si="11"/>
        <v>0</v>
      </c>
      <c r="P29" s="296">
        <f t="shared" si="12"/>
        <v>20.6168877533702</v>
      </c>
      <c r="Q29" s="193"/>
      <c r="R29" s="218">
        <f t="shared" si="13"/>
        <v>2</v>
      </c>
      <c r="S29" s="214">
        <f t="shared" si="14"/>
        <v>0.33333333333333298</v>
      </c>
      <c r="T29" s="296">
        <f t="shared" si="15"/>
        <v>24.501143189844601</v>
      </c>
      <c r="V29" s="218">
        <f t="shared" si="16"/>
        <v>2</v>
      </c>
      <c r="W29" s="214">
        <f t="shared" si="17"/>
        <v>0.33333333333333298</v>
      </c>
      <c r="X29" s="220">
        <f t="shared" si="18"/>
        <v>24.501143189844601</v>
      </c>
    </row>
    <row r="30" spans="1:28" x14ac:dyDescent="0.25">
      <c r="A30" s="186">
        <f t="shared" si="1"/>
        <v>4.1198468876378618</v>
      </c>
      <c r="B30" s="198" t="str">
        <f t="shared" si="2"/>
        <v>HCC TV</v>
      </c>
      <c r="C30" s="216">
        <f t="shared" si="3"/>
        <v>15.2356078</v>
      </c>
      <c r="D30" s="301">
        <f t="shared" si="3"/>
        <v>62.768371376101136</v>
      </c>
      <c r="E30" s="212"/>
      <c r="F30" s="218">
        <f t="shared" si="4"/>
        <v>15.2356070494283</v>
      </c>
      <c r="G30" s="219">
        <f t="shared" si="5"/>
        <v>-4.92643077799188E-8</v>
      </c>
      <c r="H30" s="296">
        <f t="shared" si="6"/>
        <v>62.768369211532899</v>
      </c>
      <c r="I30" s="212"/>
      <c r="J30" s="218">
        <f t="shared" si="7"/>
        <v>15.235607092178199</v>
      </c>
      <c r="K30" s="219">
        <f t="shared" si="8"/>
        <v>-4.6458387412666901E-8</v>
      </c>
      <c r="L30" s="296">
        <f t="shared" si="9"/>
        <v>62.768369334818999</v>
      </c>
      <c r="M30" s="193"/>
      <c r="N30" s="218">
        <f t="shared" si="10"/>
        <v>15.235606800000001</v>
      </c>
      <c r="O30" s="219">
        <f t="shared" si="11"/>
        <v>-6.5635714250927397E-8</v>
      </c>
      <c r="P30" s="296">
        <f t="shared" si="12"/>
        <v>62.768368492208303</v>
      </c>
      <c r="Q30" s="193"/>
      <c r="R30" s="218">
        <f t="shared" si="13"/>
        <v>15.235607547333101</v>
      </c>
      <c r="S30" s="214">
        <f t="shared" si="14"/>
        <v>-1.6583972689274701E-8</v>
      </c>
      <c r="T30" s="296">
        <f t="shared" si="15"/>
        <v>62.768370647436903</v>
      </c>
      <c r="V30" s="218">
        <f t="shared" si="16"/>
        <v>15.235606800000001</v>
      </c>
      <c r="W30" s="214">
        <f t="shared" si="17"/>
        <v>-6.5635714250927397E-8</v>
      </c>
      <c r="X30" s="220">
        <f t="shared" si="18"/>
        <v>62.768368492208303</v>
      </c>
    </row>
    <row r="31" spans="1:28" ht="29.65" customHeight="1" x14ac:dyDescent="0.25">
      <c r="B31" s="221" t="s">
        <v>215</v>
      </c>
      <c r="C31" s="222">
        <f>C16/1000000</f>
        <v>34.383879799999995</v>
      </c>
      <c r="D31" s="302">
        <f>D16/1000000</f>
        <v>226.2753531128472</v>
      </c>
      <c r="E31" s="224"/>
      <c r="F31" s="225">
        <f>F16/1000000</f>
        <v>34.383879999999962</v>
      </c>
      <c r="G31" s="226">
        <f>G16</f>
        <v>5.8166782483729267E-9</v>
      </c>
      <c r="H31" s="230">
        <f>H16/1000000</f>
        <v>228.56290876450231</v>
      </c>
      <c r="I31" s="224"/>
      <c r="J31" s="225">
        <f>J16/1000000</f>
        <v>33.352363599999968</v>
      </c>
      <c r="K31" s="226">
        <f>K16</f>
        <v>-2.9999994357821979E-2</v>
      </c>
      <c r="L31" s="230">
        <f>L16/1000000</f>
        <v>220.51971455253786</v>
      </c>
      <c r="M31" s="224"/>
      <c r="N31" s="225">
        <f>N16/1000000</f>
        <v>31.977008400000003</v>
      </c>
      <c r="O31" s="226">
        <f>O16</f>
        <v>-6.9999994590488154E-2</v>
      </c>
      <c r="P31" s="230">
        <f>P16/1000000</f>
        <v>208.21772230936335</v>
      </c>
      <c r="R31" s="225">
        <f>R16/1000000</f>
        <v>36.103073999999999</v>
      </c>
      <c r="S31" s="226">
        <f>S16</f>
        <v>5.0000006107513296E-2</v>
      </c>
      <c r="T31" s="230">
        <f>T16/1000000</f>
        <v>240.73737324121774</v>
      </c>
      <c r="V31" s="225">
        <f>V16/1000000</f>
        <v>37.822268000000001</v>
      </c>
      <c r="W31" s="226">
        <f>W16</f>
        <v>0.10000000639834726</v>
      </c>
      <c r="X31" s="227">
        <f>X16/1000000</f>
        <v>249.56229447896806</v>
      </c>
    </row>
    <row r="32" spans="1:28" ht="45" x14ac:dyDescent="0.25">
      <c r="B32" s="297" t="s">
        <v>265</v>
      </c>
      <c r="C32" s="222"/>
      <c r="D32" s="223"/>
      <c r="E32" s="224"/>
      <c r="F32" s="225"/>
      <c r="G32" s="226"/>
      <c r="H32" s="299" t="s">
        <v>270</v>
      </c>
      <c r="I32" s="224"/>
      <c r="J32" s="225"/>
      <c r="K32" s="226"/>
      <c r="L32" s="229" t="s">
        <v>271</v>
      </c>
      <c r="M32" s="224"/>
      <c r="N32" s="225"/>
      <c r="O32" s="226"/>
      <c r="P32" s="229" t="s">
        <v>272</v>
      </c>
      <c r="R32" s="225"/>
      <c r="S32" s="226"/>
      <c r="T32" s="299" t="s">
        <v>273</v>
      </c>
      <c r="V32" s="225"/>
      <c r="W32" s="226"/>
      <c r="X32" s="299" t="s">
        <v>274</v>
      </c>
    </row>
    <row r="33" spans="2:24" x14ac:dyDescent="0.25">
      <c r="H33" s="230">
        <f>(H31-$D$31)</f>
        <v>2.2875556516551114</v>
      </c>
      <c r="L33" s="230">
        <f>(L31-$D$31)</f>
        <v>-5.7556385603093361</v>
      </c>
      <c r="P33" s="230">
        <f>(P31-$D$31)</f>
        <v>-18.057630803483846</v>
      </c>
      <c r="T33" s="230">
        <f>(T31-$D$31)</f>
        <v>14.46202012837054</v>
      </c>
      <c r="X33" s="230">
        <f>(X31-$D$31)</f>
        <v>23.286941366120857</v>
      </c>
    </row>
    <row r="34" spans="2:24" x14ac:dyDescent="0.25">
      <c r="H34" s="298">
        <f>H33/$D$31</f>
        <v>1.010961034945008E-2</v>
      </c>
      <c r="L34" s="298">
        <f>L33/$D$31</f>
        <v>-2.5436436099334714E-2</v>
      </c>
      <c r="P34" s="298">
        <f>P33/$D$31</f>
        <v>-7.9803790183362186E-2</v>
      </c>
      <c r="T34" s="298">
        <f>T33/$D$31</f>
        <v>6.3913368952552674E-2</v>
      </c>
      <c r="X34" s="298">
        <f>X33/$D$31</f>
        <v>0.10291417534329195</v>
      </c>
    </row>
    <row r="36" spans="2:24" x14ac:dyDescent="0.25">
      <c r="B36" s="410" t="s">
        <v>251</v>
      </c>
      <c r="C36" s="410"/>
      <c r="D36" s="410"/>
      <c r="E36" s="410"/>
      <c r="F36" s="410"/>
      <c r="G36" s="410"/>
      <c r="H36" s="410"/>
      <c r="I36" s="410"/>
      <c r="J36" s="410"/>
      <c r="K36" s="410"/>
      <c r="L36" s="410"/>
      <c r="M36" s="410"/>
      <c r="N36" s="410"/>
      <c r="O36" s="410"/>
      <c r="P36" s="410"/>
      <c r="Q36" s="410"/>
      <c r="R36" s="410"/>
      <c r="S36" s="410"/>
      <c r="T36" s="410"/>
    </row>
    <row r="37" spans="2:24" x14ac:dyDescent="0.25">
      <c r="B37" s="410"/>
      <c r="C37" s="410"/>
      <c r="D37" s="410"/>
      <c r="E37" s="410"/>
      <c r="F37" s="410"/>
      <c r="G37" s="410"/>
      <c r="H37" s="410"/>
      <c r="I37" s="410"/>
      <c r="J37" s="410"/>
      <c r="K37" s="410"/>
      <c r="L37" s="410"/>
      <c r="M37" s="410"/>
      <c r="N37" s="410"/>
      <c r="O37" s="410"/>
      <c r="P37" s="410"/>
      <c r="Q37" s="410"/>
      <c r="R37" s="410"/>
      <c r="S37" s="410"/>
      <c r="T37" s="410"/>
    </row>
    <row r="39" spans="2:24" x14ac:dyDescent="0.25">
      <c r="F39" s="403" t="s">
        <v>240</v>
      </c>
      <c r="G39" s="404"/>
      <c r="H39" s="405"/>
      <c r="I39" s="195"/>
      <c r="J39" s="403" t="s">
        <v>207</v>
      </c>
      <c r="K39" s="404"/>
      <c r="L39" s="405"/>
      <c r="M39" s="195"/>
      <c r="N39" s="403" t="s">
        <v>208</v>
      </c>
      <c r="O39" s="404"/>
      <c r="P39" s="405"/>
      <c r="R39" s="411"/>
      <c r="S39" s="412"/>
      <c r="T39" s="413"/>
    </row>
    <row r="40" spans="2:24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  <c r="J40" s="97" t="s">
        <v>210</v>
      </c>
      <c r="K40" s="197" t="s">
        <v>212</v>
      </c>
      <c r="L40" s="197" t="s">
        <v>213</v>
      </c>
      <c r="N40" s="97" t="s">
        <v>210</v>
      </c>
      <c r="O40" s="197" t="s">
        <v>212</v>
      </c>
      <c r="P40" s="197" t="s">
        <v>213</v>
      </c>
      <c r="R40" s="97" t="s">
        <v>210</v>
      </c>
      <c r="S40" s="197" t="s">
        <v>212</v>
      </c>
      <c r="T40" s="197" t="s">
        <v>213</v>
      </c>
    </row>
    <row r="41" spans="2:24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14" t="str">
        <f>B36</f>
        <v>Optimal Channel Spend  allowed to vary between  of the 2021 spend</v>
      </c>
      <c r="G53" s="414"/>
      <c r="H53" s="414"/>
      <c r="I53" s="414"/>
      <c r="J53" s="414"/>
      <c r="K53" s="414"/>
      <c r="L53" s="414"/>
      <c r="M53" s="414"/>
      <c r="N53" s="414"/>
      <c r="O53" s="414"/>
      <c r="P53" s="414"/>
    </row>
    <row r="54" spans="2:20" x14ac:dyDescent="0.25">
      <c r="C54" s="401" t="s">
        <v>241</v>
      </c>
      <c r="D54" s="402"/>
      <c r="E54" s="204"/>
      <c r="F54" s="403" t="str">
        <f>F39</f>
        <v>Current Optimal ($MM)</v>
      </c>
      <c r="G54" s="404"/>
      <c r="H54" s="405"/>
      <c r="I54" s="205"/>
      <c r="J54" s="403" t="str">
        <f>J39</f>
        <v>10% reduction optimal ($)</v>
      </c>
      <c r="K54" s="404"/>
      <c r="L54" s="405"/>
      <c r="M54" s="205"/>
      <c r="N54" s="403" t="str">
        <f>N39</f>
        <v>20% reduction optimal ()</v>
      </c>
      <c r="O54" s="404"/>
      <c r="P54" s="405"/>
      <c r="R54" s="406"/>
      <c r="S54" s="407"/>
      <c r="T54" s="408"/>
    </row>
    <row r="55" spans="2:20" ht="45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  <c r="J55" s="231" t="s">
        <v>219</v>
      </c>
      <c r="K55" s="207" t="s">
        <v>212</v>
      </c>
      <c r="L55" s="209" t="s">
        <v>213</v>
      </c>
      <c r="M55" s="193"/>
      <c r="N55" s="231" t="s">
        <v>219</v>
      </c>
      <c r="O55" s="207" t="s">
        <v>212</v>
      </c>
      <c r="P55" s="209" t="s">
        <v>213</v>
      </c>
      <c r="R55" s="231" t="s">
        <v>219</v>
      </c>
      <c r="S55" s="207" t="s">
        <v>212</v>
      </c>
      <c r="T55" s="209" t="s">
        <v>213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214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215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8"/>
      <c r="J67" s="348"/>
      <c r="K67" s="348"/>
      <c r="L67" s="191" t="e">
        <f>L66/$D$64</f>
        <v>#DIV/0!</v>
      </c>
      <c r="M67" s="348"/>
      <c r="N67" s="348"/>
      <c r="O67" s="348"/>
      <c r="P67" s="191" t="e">
        <f>P66/$D$64</f>
        <v>#DIV/0!</v>
      </c>
      <c r="Q67" s="348"/>
      <c r="R67" s="348"/>
      <c r="S67" s="348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37" priority="17" operator="lessThan">
      <formula>0</formula>
    </cfRule>
    <cfRule type="cellIs" dxfId="36" priority="18" operator="greaterThan">
      <formula>0</formula>
    </cfRule>
  </conditionalFormatting>
  <conditionalFormatting sqref="K22:K30">
    <cfRule type="cellIs" dxfId="35" priority="15" operator="lessThan">
      <formula>0</formula>
    </cfRule>
    <cfRule type="cellIs" dxfId="34" priority="16" operator="greaterThan">
      <formula>0</formula>
    </cfRule>
  </conditionalFormatting>
  <conditionalFormatting sqref="O22:O30">
    <cfRule type="cellIs" dxfId="33" priority="13" operator="lessThan">
      <formula>0</formula>
    </cfRule>
    <cfRule type="cellIs" dxfId="32" priority="14" operator="greaterThan">
      <formula>0</formula>
    </cfRule>
  </conditionalFormatting>
  <conditionalFormatting sqref="S22:S30">
    <cfRule type="cellIs" dxfId="31" priority="11" operator="lessThan">
      <formula>0</formula>
    </cfRule>
    <cfRule type="cellIs" dxfId="30" priority="12" operator="greaterThan">
      <formula>0</formula>
    </cfRule>
  </conditionalFormatting>
  <conditionalFormatting sqref="G56:G63">
    <cfRule type="cellIs" dxfId="29" priority="9" operator="lessThan">
      <formula>0</formula>
    </cfRule>
    <cfRule type="cellIs" dxfId="28" priority="10" operator="greaterThan">
      <formula>0</formula>
    </cfRule>
  </conditionalFormatting>
  <conditionalFormatting sqref="K56:K63">
    <cfRule type="cellIs" dxfId="27" priority="7" operator="lessThan">
      <formula>0</formula>
    </cfRule>
    <cfRule type="cellIs" dxfId="26" priority="8" operator="greaterThan">
      <formula>0</formula>
    </cfRule>
  </conditionalFormatting>
  <conditionalFormatting sqref="O56:O63">
    <cfRule type="cellIs" dxfId="25" priority="5" operator="lessThan">
      <formula>0</formula>
    </cfRule>
    <cfRule type="cellIs" dxfId="24" priority="6" operator="greaterThan">
      <formula>0</formula>
    </cfRule>
  </conditionalFormatting>
  <conditionalFormatting sqref="S56:S63">
    <cfRule type="cellIs" dxfId="23" priority="3" operator="lessThan">
      <formula>0</formula>
    </cfRule>
    <cfRule type="cellIs" dxfId="22" priority="4" operator="greaterThan">
      <formula>0</formula>
    </cfRule>
  </conditionalFormatting>
  <conditionalFormatting sqref="W22:W30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1" t="s">
        <v>229</v>
      </c>
    </row>
    <row r="2" spans="2:20" ht="15.75" thickBot="1" x14ac:dyDescent="0.3"/>
    <row r="3" spans="2:20" ht="30.2" customHeight="1" x14ac:dyDescent="0.25">
      <c r="B3" s="419" t="s">
        <v>2</v>
      </c>
      <c r="C3" s="417" t="s">
        <v>3</v>
      </c>
      <c r="D3" s="415" t="s">
        <v>230</v>
      </c>
      <c r="E3" s="416"/>
      <c r="F3" s="415" t="s">
        <v>231</v>
      </c>
      <c r="G3" s="416"/>
      <c r="H3" s="415" t="s">
        <v>232</v>
      </c>
      <c r="I3" s="416"/>
      <c r="K3" s="419" t="s">
        <v>2</v>
      </c>
      <c r="L3" s="417" t="s">
        <v>3</v>
      </c>
      <c r="M3" s="415" t="s">
        <v>230</v>
      </c>
      <c r="N3" s="416"/>
      <c r="O3" s="415" t="s">
        <v>231</v>
      </c>
      <c r="P3" s="416"/>
      <c r="Q3" s="415" t="s">
        <v>232</v>
      </c>
      <c r="R3" s="416"/>
    </row>
    <row r="4" spans="2:20" ht="25.5" x14ac:dyDescent="0.25">
      <c r="B4" s="418"/>
      <c r="C4" s="418"/>
      <c r="D4" s="242" t="s">
        <v>233</v>
      </c>
      <c r="E4" s="243" t="s">
        <v>234</v>
      </c>
      <c r="F4" s="242" t="s">
        <v>233</v>
      </c>
      <c r="G4" s="243" t="s">
        <v>234</v>
      </c>
      <c r="H4" s="242" t="s">
        <v>233</v>
      </c>
      <c r="I4" s="243" t="s">
        <v>234</v>
      </c>
      <c r="K4" s="418"/>
      <c r="L4" s="418"/>
      <c r="M4" s="242" t="s">
        <v>233</v>
      </c>
      <c r="N4" s="243" t="s">
        <v>234</v>
      </c>
      <c r="O4" s="242" t="s">
        <v>233</v>
      </c>
      <c r="P4" s="243" t="s">
        <v>234</v>
      </c>
      <c r="Q4" s="242" t="s">
        <v>233</v>
      </c>
      <c r="R4" s="243" t="s">
        <v>234</v>
      </c>
    </row>
    <row r="5" spans="2:20" x14ac:dyDescent="0.25">
      <c r="B5" s="53" t="s">
        <v>154</v>
      </c>
      <c r="C5" s="244" t="str">
        <f>VAC_Optim_Scenario!B17</f>
        <v>HCC In Office</v>
      </c>
      <c r="D5" s="245">
        <v>3081000</v>
      </c>
      <c r="E5" s="246">
        <v>15505097.624899359</v>
      </c>
      <c r="F5" s="245">
        <v>1659000</v>
      </c>
      <c r="G5" s="246">
        <v>5231470.2092302376</v>
      </c>
      <c r="H5" s="245">
        <v>3081000</v>
      </c>
      <c r="I5" s="246">
        <v>31010195.249798719</v>
      </c>
      <c r="J5" s="247"/>
      <c r="K5" s="53" t="s">
        <v>154</v>
      </c>
      <c r="L5" s="53" t="str">
        <f>VAC_Optim_Scenario!B17</f>
        <v>HCC In Office</v>
      </c>
      <c r="M5" s="248">
        <f>D5/1000000</f>
        <v>3.081</v>
      </c>
      <c r="N5" s="249">
        <f t="shared" ref="N5:R13" si="0">E5/1000000</f>
        <v>15.50509762489936</v>
      </c>
      <c r="O5" s="248">
        <f t="shared" si="0"/>
        <v>1.659</v>
      </c>
      <c r="P5" s="249">
        <f t="shared" si="0"/>
        <v>5.2314702092302374</v>
      </c>
      <c r="Q5" s="248">
        <f t="shared" si="0"/>
        <v>3.081</v>
      </c>
      <c r="R5" s="249">
        <f t="shared" si="0"/>
        <v>31.01019524979872</v>
      </c>
    </row>
    <row r="6" spans="2:20" x14ac:dyDescent="0.25">
      <c r="B6" s="54" t="s">
        <v>154</v>
      </c>
      <c r="C6" s="250" t="str">
        <f>VAC_Optim_Scenario!B18</f>
        <v>HCP MCM</v>
      </c>
      <c r="D6" s="251">
        <v>7913749.9886468202</v>
      </c>
      <c r="E6" s="252">
        <v>57060597.324814886</v>
      </c>
      <c r="F6" s="251">
        <v>7913749.9886468202</v>
      </c>
      <c r="G6" s="252">
        <v>28530298.662407443</v>
      </c>
      <c r="H6" s="251">
        <v>7913749.9886468202</v>
      </c>
      <c r="I6" s="252">
        <v>114121194.64962977</v>
      </c>
      <c r="J6" s="247"/>
      <c r="K6" s="54" t="s">
        <v>154</v>
      </c>
      <c r="L6" s="54" t="str">
        <f>VAC_Optim_Scenario!B18</f>
        <v>HCP MCM</v>
      </c>
      <c r="M6" s="253">
        <f t="shared" ref="M6:M13" si="1">D6/1000000</f>
        <v>7.9137499886468206</v>
      </c>
      <c r="N6" s="254">
        <f t="shared" si="0"/>
        <v>57.060597324814886</v>
      </c>
      <c r="O6" s="253">
        <f t="shared" si="0"/>
        <v>7.9137499886468206</v>
      </c>
      <c r="P6" s="254">
        <f t="shared" si="0"/>
        <v>28.530298662407443</v>
      </c>
      <c r="Q6" s="253">
        <f t="shared" si="0"/>
        <v>7.9137499886468206</v>
      </c>
      <c r="R6" s="254">
        <f t="shared" si="0"/>
        <v>114.12119464962977</v>
      </c>
    </row>
    <row r="7" spans="2:20" x14ac:dyDescent="0.25">
      <c r="B7" s="54" t="s">
        <v>154</v>
      </c>
      <c r="C7" s="250" t="str">
        <f>VAC_Optim_Scenario!B19</f>
        <v>HCC Social</v>
      </c>
      <c r="D7" s="251">
        <v>2938000</v>
      </c>
      <c r="E7" s="252">
        <v>12484947.958885178</v>
      </c>
      <c r="F7" s="251">
        <v>1582000</v>
      </c>
      <c r="G7" s="252">
        <v>4305757.3675515149</v>
      </c>
      <c r="H7" s="251">
        <v>2938000</v>
      </c>
      <c r="I7" s="252">
        <v>24969895.917770356</v>
      </c>
      <c r="J7" s="255"/>
      <c r="K7" s="54" t="s">
        <v>154</v>
      </c>
      <c r="L7" s="54" t="str">
        <f>VAC_Optim_Scenario!B19</f>
        <v>HCC Social</v>
      </c>
      <c r="M7" s="253">
        <f t="shared" si="1"/>
        <v>2.9380000000000002</v>
      </c>
      <c r="N7" s="254">
        <f t="shared" si="0"/>
        <v>12.484947958885177</v>
      </c>
      <c r="O7" s="253">
        <f t="shared" si="0"/>
        <v>1.5820000000000001</v>
      </c>
      <c r="P7" s="254">
        <f t="shared" si="0"/>
        <v>4.3057573675515153</v>
      </c>
      <c r="Q7" s="253">
        <f t="shared" si="0"/>
        <v>2.9380000000000002</v>
      </c>
      <c r="R7" s="254">
        <f t="shared" si="0"/>
        <v>24.969895917770355</v>
      </c>
    </row>
    <row r="8" spans="2:20" x14ac:dyDescent="0.25">
      <c r="B8" s="54" t="s">
        <v>154</v>
      </c>
      <c r="C8" s="250" t="str">
        <f>VAC_Optim_Scenario!B20</f>
        <v>HCC Online Video</v>
      </c>
      <c r="D8" s="251">
        <v>693000</v>
      </c>
      <c r="E8" s="252">
        <v>1393371.6974633737</v>
      </c>
      <c r="F8" s="251">
        <v>693000</v>
      </c>
      <c r="G8" s="252">
        <v>696685.84873168683</v>
      </c>
      <c r="H8" s="251">
        <v>1287000</v>
      </c>
      <c r="I8" s="252">
        <v>5072075.9622077979</v>
      </c>
      <c r="J8" s="247"/>
      <c r="K8" s="54" t="s">
        <v>154</v>
      </c>
      <c r="L8" s="54" t="str">
        <f>VAC_Optim_Scenario!B20</f>
        <v>HCC Online Video</v>
      </c>
      <c r="M8" s="253">
        <f t="shared" si="1"/>
        <v>0.69299999999999995</v>
      </c>
      <c r="N8" s="254">
        <f t="shared" si="0"/>
        <v>1.3933716974633736</v>
      </c>
      <c r="O8" s="253">
        <f t="shared" si="0"/>
        <v>0.69299999999999995</v>
      </c>
      <c r="P8" s="254">
        <f t="shared" si="0"/>
        <v>0.69668584873168682</v>
      </c>
      <c r="Q8" s="253">
        <f t="shared" si="0"/>
        <v>1.2869999999999999</v>
      </c>
      <c r="R8" s="254">
        <f t="shared" si="0"/>
        <v>5.0720759622077978</v>
      </c>
    </row>
    <row r="9" spans="2:20" x14ac:dyDescent="0.25">
      <c r="B9" s="54" t="s">
        <v>154</v>
      </c>
      <c r="C9" s="250" t="str">
        <f>VAC_Optim_Scenario!B21</f>
        <v>HCC Streaming Video</v>
      </c>
      <c r="D9" s="251">
        <v>3941643.9999999995</v>
      </c>
      <c r="E9" s="252">
        <v>16046723.043048661</v>
      </c>
      <c r="F9" s="251">
        <v>3941643.9999999995</v>
      </c>
      <c r="G9" s="252">
        <v>8023361.5215243306</v>
      </c>
      <c r="H9" s="251">
        <v>7320196</v>
      </c>
      <c r="I9" s="252">
        <v>46528980.850825705</v>
      </c>
      <c r="J9" s="255"/>
      <c r="K9" s="54" t="s">
        <v>154</v>
      </c>
      <c r="L9" s="54" t="str">
        <f>VAC_Optim_Scenario!B21</f>
        <v>HCC Streaming Video</v>
      </c>
      <c r="M9" s="253">
        <f t="shared" si="1"/>
        <v>3.9416439999999997</v>
      </c>
      <c r="N9" s="254">
        <f t="shared" si="0"/>
        <v>16.046723043048662</v>
      </c>
      <c r="O9" s="253">
        <f t="shared" si="0"/>
        <v>3.9416439999999997</v>
      </c>
      <c r="P9" s="254">
        <f t="shared" si="0"/>
        <v>8.0233615215243308</v>
      </c>
      <c r="Q9" s="253">
        <f t="shared" si="0"/>
        <v>7.3201960000000001</v>
      </c>
      <c r="R9" s="254">
        <f t="shared" si="0"/>
        <v>46.528980850825704</v>
      </c>
    </row>
    <row r="10" spans="2:20" x14ac:dyDescent="0.25">
      <c r="B10" s="54" t="s">
        <v>154</v>
      </c>
      <c r="C10" s="250" t="str">
        <f>VAC_Optim_Scenario!B22</f>
        <v>HCC Display</v>
      </c>
      <c r="D10" s="251">
        <v>1921400</v>
      </c>
      <c r="E10" s="252">
        <v>18796150.349974733</v>
      </c>
      <c r="F10" s="251">
        <v>1921400</v>
      </c>
      <c r="G10" s="252">
        <v>9398075.1749873664</v>
      </c>
      <c r="H10" s="251">
        <v>1921400</v>
      </c>
      <c r="I10" s="252">
        <v>37592300.699949466</v>
      </c>
      <c r="J10" s="255"/>
      <c r="K10" s="54" t="s">
        <v>154</v>
      </c>
      <c r="L10" s="54" t="str">
        <f>VAC_Optim_Scenario!B22</f>
        <v>HCC Display</v>
      </c>
      <c r="M10" s="253">
        <f t="shared" si="1"/>
        <v>1.9214</v>
      </c>
      <c r="N10" s="254">
        <f t="shared" si="0"/>
        <v>18.796150349974734</v>
      </c>
      <c r="O10" s="253">
        <f t="shared" si="0"/>
        <v>1.9214</v>
      </c>
      <c r="P10" s="254">
        <f t="shared" si="0"/>
        <v>9.3980751749873672</v>
      </c>
      <c r="Q10" s="253">
        <f t="shared" si="0"/>
        <v>1.9214</v>
      </c>
      <c r="R10" s="254">
        <f t="shared" si="0"/>
        <v>37.592300699949469</v>
      </c>
    </row>
    <row r="11" spans="2:20" x14ac:dyDescent="0.25">
      <c r="B11" s="54" t="s">
        <v>154</v>
      </c>
      <c r="C11" s="250" t="str">
        <f>VAC_Optim_Scenario!B23</f>
        <v>HCC Paid Search</v>
      </c>
      <c r="D11" s="251">
        <v>1232000</v>
      </c>
      <c r="E11" s="252">
        <v>1724376.7699591145</v>
      </c>
      <c r="F11" s="251">
        <v>1232000</v>
      </c>
      <c r="G11" s="252">
        <v>862188.38497955725</v>
      </c>
      <c r="H11" s="251">
        <v>1232000</v>
      </c>
      <c r="I11" s="252">
        <v>3448753.539918229</v>
      </c>
      <c r="J11" s="247"/>
      <c r="K11" s="54" t="s">
        <v>154</v>
      </c>
      <c r="L11" s="54" t="str">
        <f>VAC_Optim_Scenario!B23</f>
        <v>HCC Paid Search</v>
      </c>
      <c r="M11" s="253">
        <f t="shared" si="1"/>
        <v>1.232</v>
      </c>
      <c r="N11" s="254">
        <f t="shared" si="0"/>
        <v>1.7243767699591146</v>
      </c>
      <c r="O11" s="253">
        <f t="shared" si="0"/>
        <v>1.232</v>
      </c>
      <c r="P11" s="254">
        <f t="shared" si="0"/>
        <v>0.8621883849795573</v>
      </c>
      <c r="Q11" s="253">
        <f t="shared" si="0"/>
        <v>1.232</v>
      </c>
      <c r="R11" s="254">
        <f t="shared" si="0"/>
        <v>3.4487535399182292</v>
      </c>
    </row>
    <row r="12" spans="2:20" x14ac:dyDescent="0.25">
      <c r="B12" s="54" t="s">
        <v>154</v>
      </c>
      <c r="C12" s="250" t="str">
        <f>VAC_Optim_Scenario!B24</f>
        <v>HCC Audio</v>
      </c>
      <c r="D12" s="251">
        <v>1599670.8676800225</v>
      </c>
      <c r="E12" s="252">
        <v>9996421.98813181</v>
      </c>
      <c r="F12" s="251">
        <v>913707.9</v>
      </c>
      <c r="G12" s="252">
        <v>3995078.1857456174</v>
      </c>
      <c r="H12" s="251">
        <v>1696886.1</v>
      </c>
      <c r="I12" s="252">
        <v>20470261.90992026</v>
      </c>
      <c r="J12" s="247"/>
      <c r="K12" s="54" t="s">
        <v>154</v>
      </c>
      <c r="L12" s="54" t="str">
        <f>VAC_Optim_Scenario!B24</f>
        <v>HCC Audio</v>
      </c>
      <c r="M12" s="253">
        <f t="shared" si="1"/>
        <v>1.5996708676800224</v>
      </c>
      <c r="N12" s="254">
        <f t="shared" si="0"/>
        <v>9.9964219881318108</v>
      </c>
      <c r="O12" s="253">
        <f t="shared" si="0"/>
        <v>0.91370790000000002</v>
      </c>
      <c r="P12" s="254">
        <f t="shared" si="0"/>
        <v>3.9950781857456175</v>
      </c>
      <c r="Q12" s="253">
        <f t="shared" si="0"/>
        <v>1.6968861000000002</v>
      </c>
      <c r="R12" s="254">
        <f t="shared" si="0"/>
        <v>20.470261909920261</v>
      </c>
    </row>
    <row r="13" spans="2:20" x14ac:dyDescent="0.25">
      <c r="B13" s="264" t="s">
        <v>154</v>
      </c>
      <c r="C13" s="237" t="str">
        <f>VAC_Optim_Scenario!B25</f>
        <v>HCC TV</v>
      </c>
      <c r="D13" s="265">
        <v>15034299.993673161</v>
      </c>
      <c r="E13" s="265">
        <v>62633387.738168843</v>
      </c>
      <c r="F13" s="265">
        <v>11531133.494999999</v>
      </c>
      <c r="G13" s="265">
        <v>26708480.43695968</v>
      </c>
      <c r="H13" s="265">
        <v>18498262.961353183</v>
      </c>
      <c r="I13" s="265">
        <v>141861497.65733996</v>
      </c>
      <c r="J13" s="247"/>
      <c r="K13" s="264" t="s">
        <v>154</v>
      </c>
      <c r="L13" s="264" t="str">
        <f>VAC_Optim_Scenario!B25</f>
        <v>HCC TV</v>
      </c>
      <c r="M13" s="258">
        <f t="shared" si="1"/>
        <v>15.034299993673161</v>
      </c>
      <c r="N13" s="258">
        <f t="shared" si="0"/>
        <v>62.633387738168842</v>
      </c>
      <c r="O13" s="258">
        <f t="shared" si="0"/>
        <v>11.531133494999999</v>
      </c>
      <c r="P13" s="258">
        <f t="shared" si="0"/>
        <v>26.708480436959679</v>
      </c>
      <c r="Q13" s="258">
        <f t="shared" si="0"/>
        <v>18.498262961353184</v>
      </c>
      <c r="R13" s="258">
        <f t="shared" si="0"/>
        <v>141.86149765733995</v>
      </c>
    </row>
    <row r="14" spans="2:20" x14ac:dyDescent="0.25">
      <c r="T14" s="308"/>
    </row>
    <row r="15" spans="2:20" x14ac:dyDescent="0.25">
      <c r="C15" s="241" t="s">
        <v>236</v>
      </c>
    </row>
    <row r="16" spans="2:20" x14ac:dyDescent="0.25">
      <c r="F16" s="358"/>
      <c r="G16" s="358"/>
    </row>
    <row r="17" spans="2:19" ht="37.9" customHeight="1" x14ac:dyDescent="0.25">
      <c r="C17" s="417" t="s">
        <v>3</v>
      </c>
      <c r="D17" s="415" t="s">
        <v>230</v>
      </c>
      <c r="E17" s="416"/>
      <c r="F17" s="415" t="s">
        <v>237</v>
      </c>
      <c r="G17" s="416"/>
      <c r="H17" s="415" t="s">
        <v>238</v>
      </c>
      <c r="I17" s="416"/>
      <c r="L17" s="417" t="s">
        <v>3</v>
      </c>
      <c r="M17" s="415" t="s">
        <v>230</v>
      </c>
      <c r="N17" s="416"/>
      <c r="O17" s="415" t="s">
        <v>237</v>
      </c>
      <c r="P17" s="416"/>
      <c r="Q17" s="415" t="s">
        <v>238</v>
      </c>
      <c r="R17" s="416"/>
    </row>
    <row r="18" spans="2:19" ht="25.5" x14ac:dyDescent="0.25">
      <c r="C18" s="418"/>
      <c r="D18" s="55" t="s">
        <v>233</v>
      </c>
      <c r="E18" s="55" t="s">
        <v>234</v>
      </c>
      <c r="F18" s="55" t="s">
        <v>233</v>
      </c>
      <c r="G18" s="55" t="s">
        <v>234</v>
      </c>
      <c r="H18" s="55" t="s">
        <v>233</v>
      </c>
      <c r="I18" s="55" t="s">
        <v>234</v>
      </c>
      <c r="L18" s="418"/>
      <c r="M18" s="55" t="s">
        <v>233</v>
      </c>
      <c r="N18" s="55" t="s">
        <v>234</v>
      </c>
      <c r="O18" s="55" t="s">
        <v>233</v>
      </c>
      <c r="P18" s="55" t="s">
        <v>234</v>
      </c>
      <c r="Q18" s="55" t="s">
        <v>233</v>
      </c>
      <c r="R18" s="55" t="s">
        <v>234</v>
      </c>
    </row>
    <row r="19" spans="2:19" x14ac:dyDescent="0.25">
      <c r="B19" s="53" t="s">
        <v>154</v>
      </c>
      <c r="C19" s="244" t="str">
        <f>VAC_Optim_Scenario!B17</f>
        <v>HCC In Office</v>
      </c>
      <c r="D19" s="245">
        <v>3081000</v>
      </c>
      <c r="E19" s="246">
        <v>15505097.624899359</v>
      </c>
      <c r="F19" s="245">
        <v>1976029.1300433497</v>
      </c>
      <c r="G19" s="246">
        <v>7097337.0795079041</v>
      </c>
      <c r="H19" s="245">
        <v>3081000</v>
      </c>
      <c r="I19" s="246">
        <v>21707136.674859103</v>
      </c>
      <c r="J19" s="247"/>
      <c r="K19" s="53" t="s">
        <v>154</v>
      </c>
      <c r="L19" s="244" t="str">
        <f>VAC_Optim_Scenario!B17</f>
        <v>HCC In Office</v>
      </c>
      <c r="M19" s="248">
        <f>D19/1000000</f>
        <v>3.081</v>
      </c>
      <c r="N19" s="249">
        <f t="shared" ref="N19:R27" si="2">E19/1000000</f>
        <v>15.50509762489936</v>
      </c>
      <c r="O19" s="248">
        <f t="shared" si="2"/>
        <v>1.9760291300433497</v>
      </c>
      <c r="P19" s="249">
        <f t="shared" si="2"/>
        <v>7.0973370795079038</v>
      </c>
      <c r="Q19" s="248">
        <f t="shared" si="2"/>
        <v>3.081</v>
      </c>
      <c r="R19" s="249">
        <f t="shared" si="2"/>
        <v>21.707136674859104</v>
      </c>
    </row>
    <row r="20" spans="2:19" x14ac:dyDescent="0.25">
      <c r="B20" s="54" t="s">
        <v>154</v>
      </c>
      <c r="C20" s="250" t="str">
        <f>VAC_Optim_Scenario!B18</f>
        <v>HCP MCM</v>
      </c>
      <c r="D20" s="251">
        <v>7913749.9886468202</v>
      </c>
      <c r="E20" s="252">
        <v>57060597.324814886</v>
      </c>
      <c r="F20" s="251">
        <v>7913749.9886468202</v>
      </c>
      <c r="G20" s="252">
        <v>34236358.39488893</v>
      </c>
      <c r="H20" s="251">
        <v>7913749.9886468202</v>
      </c>
      <c r="I20" s="252">
        <v>79884836.254740834</v>
      </c>
      <c r="J20" s="247"/>
      <c r="K20" s="54" t="s">
        <v>154</v>
      </c>
      <c r="L20" s="250" t="str">
        <f>VAC_Optim_Scenario!B18</f>
        <v>HCP MCM</v>
      </c>
      <c r="M20" s="253">
        <f t="shared" ref="M20:M27" si="3">D20/1000000</f>
        <v>7.9137499886468206</v>
      </c>
      <c r="N20" s="254">
        <f t="shared" si="2"/>
        <v>57.060597324814886</v>
      </c>
      <c r="O20" s="253">
        <f t="shared" si="2"/>
        <v>7.9137499886468206</v>
      </c>
      <c r="P20" s="254">
        <f t="shared" si="2"/>
        <v>34.236358394888931</v>
      </c>
      <c r="Q20" s="253">
        <f t="shared" si="2"/>
        <v>7.9137499886468206</v>
      </c>
      <c r="R20" s="254">
        <f t="shared" si="2"/>
        <v>79.884836254740833</v>
      </c>
    </row>
    <row r="21" spans="2:19" x14ac:dyDescent="0.25">
      <c r="B21" s="54" t="s">
        <v>154</v>
      </c>
      <c r="C21" s="250" t="str">
        <f>VAC_Optim_Scenario!B19</f>
        <v>HCC Social</v>
      </c>
      <c r="D21" s="251">
        <v>2938000</v>
      </c>
      <c r="E21" s="252">
        <v>12484947.958885178</v>
      </c>
      <c r="F21" s="251">
        <v>1582000</v>
      </c>
      <c r="G21" s="252">
        <v>5166908.8410618175</v>
      </c>
      <c r="H21" s="251">
        <v>2938000</v>
      </c>
      <c r="I21" s="252">
        <v>17478927.142439246</v>
      </c>
      <c r="J21" s="255"/>
      <c r="K21" s="54" t="s">
        <v>154</v>
      </c>
      <c r="L21" s="250" t="str">
        <f>VAC_Optim_Scenario!B19</f>
        <v>HCC Social</v>
      </c>
      <c r="M21" s="253">
        <f t="shared" si="3"/>
        <v>2.9380000000000002</v>
      </c>
      <c r="N21" s="254">
        <f t="shared" si="2"/>
        <v>12.484947958885177</v>
      </c>
      <c r="O21" s="253">
        <f t="shared" si="2"/>
        <v>1.5820000000000001</v>
      </c>
      <c r="P21" s="254">
        <f t="shared" si="2"/>
        <v>5.1669088410618178</v>
      </c>
      <c r="Q21" s="253">
        <f t="shared" si="2"/>
        <v>2.9380000000000002</v>
      </c>
      <c r="R21" s="254">
        <f t="shared" si="2"/>
        <v>17.478927142439247</v>
      </c>
    </row>
    <row r="22" spans="2:19" x14ac:dyDescent="0.25">
      <c r="B22" s="54" t="s">
        <v>154</v>
      </c>
      <c r="C22" s="250" t="str">
        <f>VAC_Optim_Scenario!B20</f>
        <v>HCC Online Video</v>
      </c>
      <c r="D22" s="251">
        <v>693000</v>
      </c>
      <c r="E22" s="252">
        <v>1393371.6974633737</v>
      </c>
      <c r="F22" s="251">
        <v>693000</v>
      </c>
      <c r="G22" s="252">
        <v>836023.01847802405</v>
      </c>
      <c r="H22" s="251">
        <v>1287000</v>
      </c>
      <c r="I22" s="252">
        <v>3550453.1735454584</v>
      </c>
      <c r="J22" s="247"/>
      <c r="K22" s="54" t="s">
        <v>154</v>
      </c>
      <c r="L22" s="250" t="str">
        <f>VAC_Optim_Scenario!B20</f>
        <v>HCC Online Video</v>
      </c>
      <c r="M22" s="253">
        <f t="shared" si="3"/>
        <v>0.69299999999999995</v>
      </c>
      <c r="N22" s="254">
        <f t="shared" si="2"/>
        <v>1.3933716974633736</v>
      </c>
      <c r="O22" s="253">
        <f t="shared" si="2"/>
        <v>0.69299999999999995</v>
      </c>
      <c r="P22" s="254">
        <f t="shared" si="2"/>
        <v>0.83602301847802407</v>
      </c>
      <c r="Q22" s="253">
        <f t="shared" si="2"/>
        <v>1.2869999999999999</v>
      </c>
      <c r="R22" s="254">
        <f t="shared" si="2"/>
        <v>3.5504531735454585</v>
      </c>
    </row>
    <row r="23" spans="2:19" x14ac:dyDescent="0.25">
      <c r="B23" s="54" t="s">
        <v>154</v>
      </c>
      <c r="C23" s="250" t="str">
        <f>VAC_Optim_Scenario!B21</f>
        <v>HCC Streaming Video</v>
      </c>
      <c r="D23" s="251">
        <v>3941643.9999999995</v>
      </c>
      <c r="E23" s="252">
        <v>16046723.043048661</v>
      </c>
      <c r="F23" s="251">
        <v>3941643.9999999995</v>
      </c>
      <c r="G23" s="252">
        <v>9628033.8258291967</v>
      </c>
      <c r="H23" s="251">
        <v>7133528.9098028336</v>
      </c>
      <c r="I23" s="252">
        <v>32069383.393545374</v>
      </c>
      <c r="J23" s="255"/>
      <c r="K23" s="54" t="s">
        <v>154</v>
      </c>
      <c r="L23" s="250" t="str">
        <f>VAC_Optim_Scenario!B21</f>
        <v>HCC Streaming Video</v>
      </c>
      <c r="M23" s="253">
        <f t="shared" si="3"/>
        <v>3.9416439999999997</v>
      </c>
      <c r="N23" s="254">
        <f t="shared" si="2"/>
        <v>16.046723043048662</v>
      </c>
      <c r="O23" s="253">
        <f t="shared" si="2"/>
        <v>3.9416439999999997</v>
      </c>
      <c r="P23" s="254">
        <f t="shared" si="2"/>
        <v>9.6280338258291973</v>
      </c>
      <c r="Q23" s="253">
        <f t="shared" si="2"/>
        <v>7.1335289098028332</v>
      </c>
      <c r="R23" s="254">
        <f t="shared" si="2"/>
        <v>32.069383393545372</v>
      </c>
    </row>
    <row r="24" spans="2:19" x14ac:dyDescent="0.25">
      <c r="B24" s="54" t="s">
        <v>154</v>
      </c>
      <c r="C24" s="250" t="str">
        <f>VAC_Optim_Scenario!B22</f>
        <v>HCC Display</v>
      </c>
      <c r="D24" s="251">
        <v>1921400</v>
      </c>
      <c r="E24" s="252">
        <v>18796150.349974733</v>
      </c>
      <c r="F24" s="251">
        <v>1921400</v>
      </c>
      <c r="G24" s="252">
        <v>11277690.209984839</v>
      </c>
      <c r="H24" s="251">
        <v>1921400</v>
      </c>
      <c r="I24" s="252">
        <v>26314610.489964623</v>
      </c>
      <c r="J24" s="255"/>
      <c r="K24" s="54" t="s">
        <v>154</v>
      </c>
      <c r="L24" s="250" t="str">
        <f>VAC_Optim_Scenario!B22</f>
        <v>HCC Display</v>
      </c>
      <c r="M24" s="253">
        <f t="shared" si="3"/>
        <v>1.9214</v>
      </c>
      <c r="N24" s="254">
        <f t="shared" si="2"/>
        <v>18.796150349974734</v>
      </c>
      <c r="O24" s="253">
        <f t="shared" si="2"/>
        <v>1.9214</v>
      </c>
      <c r="P24" s="254">
        <f t="shared" si="2"/>
        <v>11.277690209984838</v>
      </c>
      <c r="Q24" s="253">
        <f t="shared" si="2"/>
        <v>1.9214</v>
      </c>
      <c r="R24" s="254">
        <f t="shared" si="2"/>
        <v>26.314610489964622</v>
      </c>
    </row>
    <row r="25" spans="2:19" x14ac:dyDescent="0.25">
      <c r="B25" s="54" t="s">
        <v>154</v>
      </c>
      <c r="C25" s="250" t="str">
        <f>VAC_Optim_Scenario!B23</f>
        <v>HCC Paid Search</v>
      </c>
      <c r="D25" s="251">
        <v>1232000</v>
      </c>
      <c r="E25" s="252">
        <v>1724376.7699591145</v>
      </c>
      <c r="F25" s="251">
        <v>1232000</v>
      </c>
      <c r="G25" s="252">
        <v>1034626.0619754686</v>
      </c>
      <c r="H25" s="251">
        <v>1232000</v>
      </c>
      <c r="I25" s="252">
        <v>2414127.4779427601</v>
      </c>
      <c r="J25" s="255"/>
      <c r="K25" s="54" t="s">
        <v>154</v>
      </c>
      <c r="L25" s="250" t="str">
        <f>VAC_Optim_Scenario!B23</f>
        <v>HCC Paid Search</v>
      </c>
      <c r="M25" s="253">
        <f t="shared" si="3"/>
        <v>1.232</v>
      </c>
      <c r="N25" s="254">
        <f t="shared" si="2"/>
        <v>1.7243767699591146</v>
      </c>
      <c r="O25" s="253">
        <f t="shared" si="2"/>
        <v>1.232</v>
      </c>
      <c r="P25" s="254">
        <f t="shared" si="2"/>
        <v>1.0346260619754686</v>
      </c>
      <c r="Q25" s="253">
        <f t="shared" si="2"/>
        <v>1.232</v>
      </c>
      <c r="R25" s="254">
        <f t="shared" si="2"/>
        <v>2.4141274779427602</v>
      </c>
    </row>
    <row r="26" spans="2:19" x14ac:dyDescent="0.25">
      <c r="B26" s="54" t="s">
        <v>154</v>
      </c>
      <c r="C26" s="250" t="str">
        <f>VAC_Optim_Scenario!B24</f>
        <v>HCC Audio</v>
      </c>
      <c r="D26" s="251">
        <v>1599670.7428443772</v>
      </c>
      <c r="E26" s="252">
        <v>9996421.676090166</v>
      </c>
      <c r="F26" s="251">
        <v>913707.89999999991</v>
      </c>
      <c r="G26" s="252">
        <v>4794093.8228947408</v>
      </c>
      <c r="H26" s="251">
        <v>1696886.1</v>
      </c>
      <c r="I26" s="252">
        <v>14329183.336944181</v>
      </c>
      <c r="J26" s="255"/>
      <c r="K26" s="54" t="s">
        <v>154</v>
      </c>
      <c r="L26" s="250" t="str">
        <f>VAC_Optim_Scenario!B24</f>
        <v>HCC Audio</v>
      </c>
      <c r="M26" s="253">
        <f t="shared" si="3"/>
        <v>1.5996707428443773</v>
      </c>
      <c r="N26" s="254">
        <f t="shared" si="2"/>
        <v>9.9964216760901667</v>
      </c>
      <c r="O26" s="253">
        <f t="shared" si="2"/>
        <v>0.91370789999999991</v>
      </c>
      <c r="P26" s="254">
        <f t="shared" si="2"/>
        <v>4.794093822894741</v>
      </c>
      <c r="Q26" s="253">
        <f t="shared" si="2"/>
        <v>1.6968861000000002</v>
      </c>
      <c r="R26" s="254">
        <f t="shared" si="2"/>
        <v>14.329183336944181</v>
      </c>
    </row>
    <row r="27" spans="2:19" x14ac:dyDescent="0.25">
      <c r="B27" s="264" t="s">
        <v>154</v>
      </c>
      <c r="C27" s="237" t="str">
        <f>VAC_Optim_Scenario!B25</f>
        <v>HCC TV</v>
      </c>
      <c r="D27" s="265">
        <v>15034300.118508808</v>
      </c>
      <c r="E27" s="265">
        <v>62633388.050210491</v>
      </c>
      <c r="F27" s="265">
        <v>11531133.494999999</v>
      </c>
      <c r="G27" s="265">
        <v>32050176.524351615</v>
      </c>
      <c r="H27" s="265">
        <v>17521435.993065551</v>
      </c>
      <c r="I27" s="265">
        <v>96122670.742821991</v>
      </c>
      <c r="J27" s="255"/>
      <c r="K27" s="264" t="s">
        <v>154</v>
      </c>
      <c r="L27" s="237" t="str">
        <f>VAC_Optim_Scenario!B25</f>
        <v>HCC TV</v>
      </c>
      <c r="M27" s="258">
        <f t="shared" si="3"/>
        <v>15.034300118508808</v>
      </c>
      <c r="N27" s="258">
        <f t="shared" si="2"/>
        <v>62.633388050210492</v>
      </c>
      <c r="O27" s="258">
        <f t="shared" si="2"/>
        <v>11.531133494999999</v>
      </c>
      <c r="P27" s="258">
        <f t="shared" si="2"/>
        <v>32.050176524351613</v>
      </c>
      <c r="Q27" s="258">
        <f t="shared" si="2"/>
        <v>17.521435993065552</v>
      </c>
      <c r="R27" s="258">
        <f t="shared" si="2"/>
        <v>96.122670742821995</v>
      </c>
    </row>
    <row r="30" spans="2:19" ht="34.35" customHeight="1" x14ac:dyDescent="0.25">
      <c r="C30" s="334" t="s">
        <v>3</v>
      </c>
      <c r="D30" s="335" t="s">
        <v>239</v>
      </c>
      <c r="E30" s="256">
        <v>-0.5</v>
      </c>
      <c r="F30" s="256">
        <v>2</v>
      </c>
      <c r="G30" s="256">
        <v>-0.4</v>
      </c>
      <c r="H30" s="256">
        <v>0.4</v>
      </c>
      <c r="J30" s="97" t="s">
        <v>3</v>
      </c>
      <c r="K30" s="97" t="s">
        <v>222</v>
      </c>
      <c r="L30" s="97" t="s">
        <v>223</v>
      </c>
      <c r="M30" s="97" t="s">
        <v>224</v>
      </c>
      <c r="N30" s="97" t="s">
        <v>242</v>
      </c>
      <c r="O30" s="97" t="s">
        <v>244</v>
      </c>
      <c r="P30" s="97" t="s">
        <v>225</v>
      </c>
      <c r="Q30" s="97" t="s">
        <v>226</v>
      </c>
      <c r="R30" s="97" t="s">
        <v>189</v>
      </c>
      <c r="S30" s="97" t="s">
        <v>187</v>
      </c>
    </row>
    <row r="31" spans="2:19" x14ac:dyDescent="0.25">
      <c r="B31" s="53" t="s">
        <v>154</v>
      </c>
      <c r="C31" s="309" t="str">
        <f>VAC_Optim_Scenario!B17</f>
        <v>HCC In Office</v>
      </c>
      <c r="D31" s="336">
        <f>M19</f>
        <v>3.081</v>
      </c>
      <c r="E31" s="336">
        <f>O5</f>
        <v>1.659</v>
      </c>
      <c r="F31" s="336">
        <f>Q5</f>
        <v>3.081</v>
      </c>
      <c r="G31" s="336">
        <f>O19</f>
        <v>1.9760291300433497</v>
      </c>
      <c r="H31" s="336">
        <f>Q19</f>
        <v>3.081</v>
      </c>
      <c r="J31" s="257">
        <v>-0.5</v>
      </c>
      <c r="K31" s="258">
        <f>E$31</f>
        <v>1.659</v>
      </c>
      <c r="L31" s="258">
        <f>E$32</f>
        <v>7.9137499886468206</v>
      </c>
      <c r="M31" s="258">
        <f>E$33</f>
        <v>1.5820000000000001</v>
      </c>
      <c r="N31" s="258">
        <f>E$34</f>
        <v>0.69299999999999995</v>
      </c>
      <c r="O31" s="258">
        <f>E$35</f>
        <v>3.9416439999999997</v>
      </c>
      <c r="P31" s="258">
        <f>E$36</f>
        <v>1.9214</v>
      </c>
      <c r="Q31" s="258">
        <f>E$37</f>
        <v>1.232</v>
      </c>
      <c r="R31" s="258">
        <f>E$38</f>
        <v>0.91370790000000002</v>
      </c>
      <c r="S31" s="258">
        <f>E$39</f>
        <v>11.531133494999999</v>
      </c>
    </row>
    <row r="32" spans="2:19" x14ac:dyDescent="0.25">
      <c r="B32" s="54" t="s">
        <v>154</v>
      </c>
      <c r="C32" s="310" t="str">
        <f>VAC_Optim_Scenario!B18</f>
        <v>HCP MCM</v>
      </c>
      <c r="D32" s="337">
        <f t="shared" ref="D32:D39" si="4">M20</f>
        <v>7.9137499886468206</v>
      </c>
      <c r="E32" s="337">
        <f t="shared" ref="E32:E39" si="5">O6</f>
        <v>7.9137499886468206</v>
      </c>
      <c r="F32" s="337">
        <f t="shared" ref="F32:F39" si="6">Q6</f>
        <v>7.9137499886468206</v>
      </c>
      <c r="G32" s="337">
        <f t="shared" ref="G32:G39" si="7">O20</f>
        <v>7.9137499886468206</v>
      </c>
      <c r="H32" s="337">
        <f t="shared" ref="H32:H39" si="8">Q20</f>
        <v>7.9137499886468206</v>
      </c>
      <c r="J32" s="257">
        <v>-0.4</v>
      </c>
      <c r="K32" s="258">
        <f>G$31</f>
        <v>1.9760291300433497</v>
      </c>
      <c r="L32" s="258">
        <f>G$32</f>
        <v>7.9137499886468206</v>
      </c>
      <c r="M32" s="258">
        <f>G$33</f>
        <v>1.5820000000000001</v>
      </c>
      <c r="N32" s="258">
        <f>G$34</f>
        <v>0.69299999999999995</v>
      </c>
      <c r="O32" s="258">
        <f>G$35</f>
        <v>3.9416439999999997</v>
      </c>
      <c r="P32" s="258">
        <f>G$36</f>
        <v>1.9214</v>
      </c>
      <c r="Q32" s="258">
        <f>G$37</f>
        <v>1.232</v>
      </c>
      <c r="R32" s="258">
        <f>G$38</f>
        <v>0.91370789999999991</v>
      </c>
      <c r="S32" s="258">
        <f>G$39</f>
        <v>11.531133494999999</v>
      </c>
    </row>
    <row r="33" spans="2:22" x14ac:dyDescent="0.25">
      <c r="B33" s="54" t="s">
        <v>154</v>
      </c>
      <c r="C33" s="310" t="str">
        <f>VAC_Optim_Scenario!B19</f>
        <v>HCC Social</v>
      </c>
      <c r="D33" s="337">
        <f t="shared" si="4"/>
        <v>2.9380000000000002</v>
      </c>
      <c r="E33" s="337">
        <f t="shared" si="5"/>
        <v>1.5820000000000001</v>
      </c>
      <c r="F33" s="337">
        <f t="shared" si="6"/>
        <v>2.9380000000000002</v>
      </c>
      <c r="G33" s="337">
        <f t="shared" si="7"/>
        <v>1.5820000000000001</v>
      </c>
      <c r="H33" s="337">
        <f t="shared" si="8"/>
        <v>2.9380000000000002</v>
      </c>
      <c r="J33" s="257" t="s">
        <v>239</v>
      </c>
      <c r="K33" s="258">
        <f>D$31</f>
        <v>3.081</v>
      </c>
      <c r="L33" s="258">
        <f>D$32</f>
        <v>7.9137499886468206</v>
      </c>
      <c r="M33" s="258">
        <f>D$33</f>
        <v>2.9380000000000002</v>
      </c>
      <c r="N33" s="258">
        <f>D$34</f>
        <v>0.69299999999999995</v>
      </c>
      <c r="O33" s="258">
        <f>D$35</f>
        <v>3.9416439999999997</v>
      </c>
      <c r="P33" s="258">
        <f>D$36</f>
        <v>1.9214</v>
      </c>
      <c r="Q33" s="258">
        <f>D$37</f>
        <v>1.232</v>
      </c>
      <c r="R33" s="258">
        <f>D$38</f>
        <v>1.5996707428443773</v>
      </c>
      <c r="S33" s="258">
        <f>D$39</f>
        <v>15.034300118508808</v>
      </c>
    </row>
    <row r="34" spans="2:22" x14ac:dyDescent="0.25">
      <c r="B34" s="54" t="s">
        <v>154</v>
      </c>
      <c r="C34" s="310" t="str">
        <f>VAC_Optim_Scenario!B20</f>
        <v>HCC Online Video</v>
      </c>
      <c r="D34" s="337">
        <f t="shared" si="4"/>
        <v>0.69299999999999995</v>
      </c>
      <c r="E34" s="337">
        <f t="shared" si="5"/>
        <v>0.69299999999999995</v>
      </c>
      <c r="F34" s="337">
        <f t="shared" si="6"/>
        <v>1.2869999999999999</v>
      </c>
      <c r="G34" s="337">
        <f t="shared" si="7"/>
        <v>0.69299999999999995</v>
      </c>
      <c r="H34" s="337">
        <f t="shared" si="8"/>
        <v>1.2869999999999999</v>
      </c>
      <c r="J34" s="257">
        <v>0.4</v>
      </c>
      <c r="K34" s="258">
        <f>H$31</f>
        <v>3.081</v>
      </c>
      <c r="L34" s="258">
        <f>H$32</f>
        <v>7.9137499886468206</v>
      </c>
      <c r="M34" s="258">
        <f>H$33</f>
        <v>2.9380000000000002</v>
      </c>
      <c r="N34" s="258">
        <f>H$34</f>
        <v>1.2869999999999999</v>
      </c>
      <c r="O34" s="258">
        <f>H$35</f>
        <v>7.1335289098028332</v>
      </c>
      <c r="P34" s="258">
        <f>H$36</f>
        <v>1.9214</v>
      </c>
      <c r="Q34" s="258">
        <f>H$37</f>
        <v>1.232</v>
      </c>
      <c r="R34" s="258">
        <f>H$38</f>
        <v>1.6968861000000002</v>
      </c>
      <c r="S34" s="258">
        <f>H$39</f>
        <v>17.521435993065552</v>
      </c>
    </row>
    <row r="35" spans="2:22" x14ac:dyDescent="0.25">
      <c r="B35" s="54" t="s">
        <v>154</v>
      </c>
      <c r="C35" s="310" t="str">
        <f>VAC_Optim_Scenario!B21</f>
        <v>HCC Streaming Video</v>
      </c>
      <c r="D35" s="337">
        <f t="shared" si="4"/>
        <v>3.9416439999999997</v>
      </c>
      <c r="E35" s="337">
        <f t="shared" si="5"/>
        <v>3.9416439999999997</v>
      </c>
      <c r="F35" s="337">
        <f t="shared" si="6"/>
        <v>7.3201960000000001</v>
      </c>
      <c r="G35" s="337">
        <f t="shared" si="7"/>
        <v>3.9416439999999997</v>
      </c>
      <c r="H35" s="337">
        <f t="shared" si="8"/>
        <v>7.1335289098028332</v>
      </c>
      <c r="J35" s="256">
        <v>2</v>
      </c>
      <c r="K35" s="258">
        <f>F$31</f>
        <v>3.081</v>
      </c>
      <c r="L35" s="258">
        <f>F$32</f>
        <v>7.9137499886468206</v>
      </c>
      <c r="M35" s="258">
        <f>F$33</f>
        <v>2.9380000000000002</v>
      </c>
      <c r="N35" s="258">
        <f>F$34</f>
        <v>1.2869999999999999</v>
      </c>
      <c r="O35" s="258">
        <f>F$35</f>
        <v>7.3201960000000001</v>
      </c>
      <c r="P35" s="258">
        <f>F$36</f>
        <v>1.9214</v>
      </c>
      <c r="Q35" s="258">
        <f>F$37</f>
        <v>1.232</v>
      </c>
      <c r="R35" s="258">
        <f>F$38</f>
        <v>1.6968861000000002</v>
      </c>
      <c r="S35" s="258">
        <f>F$39</f>
        <v>18.498262961353184</v>
      </c>
    </row>
    <row r="36" spans="2:22" x14ac:dyDescent="0.25">
      <c r="B36" s="54" t="s">
        <v>154</v>
      </c>
      <c r="C36" s="310" t="str">
        <f>VAC_Optim_Scenario!B22</f>
        <v>HCC Display</v>
      </c>
      <c r="D36" s="337">
        <f t="shared" si="4"/>
        <v>1.9214</v>
      </c>
      <c r="E36" s="337">
        <f t="shared" si="5"/>
        <v>1.9214</v>
      </c>
      <c r="F36" s="337">
        <f t="shared" si="6"/>
        <v>1.9214</v>
      </c>
      <c r="G36" s="337">
        <f t="shared" si="7"/>
        <v>1.9214</v>
      </c>
      <c r="H36" s="337">
        <f t="shared" si="8"/>
        <v>1.9214</v>
      </c>
    </row>
    <row r="37" spans="2:22" x14ac:dyDescent="0.25">
      <c r="B37" s="54" t="s">
        <v>154</v>
      </c>
      <c r="C37" s="310" t="str">
        <f>VAC_Optim_Scenario!B23</f>
        <v>HCC Paid Search</v>
      </c>
      <c r="D37" s="337">
        <f t="shared" si="4"/>
        <v>1.232</v>
      </c>
      <c r="E37" s="337">
        <f t="shared" si="5"/>
        <v>1.232</v>
      </c>
      <c r="F37" s="337">
        <f t="shared" si="6"/>
        <v>1.232</v>
      </c>
      <c r="G37" s="337">
        <f t="shared" si="7"/>
        <v>1.232</v>
      </c>
      <c r="H37" s="337">
        <f t="shared" si="8"/>
        <v>1.232</v>
      </c>
      <c r="J37" s="274"/>
      <c r="K37" s="259"/>
      <c r="L37" s="259"/>
      <c r="M37" s="259"/>
      <c r="N37" s="259"/>
      <c r="O37" s="259"/>
      <c r="P37" s="259"/>
      <c r="Q37" s="259"/>
      <c r="R37" s="259"/>
    </row>
    <row r="38" spans="2:22" x14ac:dyDescent="0.25">
      <c r="B38" s="54" t="s">
        <v>154</v>
      </c>
      <c r="C38" s="310" t="str">
        <f>VAC_Optim_Scenario!B24</f>
        <v>HCC Audio</v>
      </c>
      <c r="D38" s="337">
        <f t="shared" si="4"/>
        <v>1.5996707428443773</v>
      </c>
      <c r="E38" s="337">
        <f t="shared" si="5"/>
        <v>0.91370790000000002</v>
      </c>
      <c r="F38" s="337">
        <f t="shared" si="6"/>
        <v>1.6968861000000002</v>
      </c>
      <c r="G38" s="337">
        <f t="shared" si="7"/>
        <v>0.91370789999999991</v>
      </c>
      <c r="H38" s="337">
        <f t="shared" si="8"/>
        <v>1.6968861000000002</v>
      </c>
      <c r="J38" s="275"/>
      <c r="K38" s="260"/>
      <c r="L38" s="260"/>
      <c r="M38" s="260"/>
      <c r="N38" s="260"/>
      <c r="O38" s="260"/>
      <c r="P38" s="260"/>
      <c r="Q38" s="260"/>
      <c r="R38" s="260"/>
    </row>
    <row r="39" spans="2:22" x14ac:dyDescent="0.25">
      <c r="B39" s="97" t="s">
        <v>154</v>
      </c>
      <c r="C39" s="311" t="str">
        <f>VAC_Optim_Scenario!B25</f>
        <v>HCC TV</v>
      </c>
      <c r="D39" s="337">
        <f t="shared" si="4"/>
        <v>15.034300118508808</v>
      </c>
      <c r="E39" s="337">
        <f t="shared" si="5"/>
        <v>11.531133494999999</v>
      </c>
      <c r="F39" s="337">
        <f t="shared" si="6"/>
        <v>18.498262961353184</v>
      </c>
      <c r="G39" s="337">
        <f t="shared" si="7"/>
        <v>11.531133494999999</v>
      </c>
      <c r="H39" s="337">
        <f t="shared" si="8"/>
        <v>17.521435993065552</v>
      </c>
      <c r="J39" s="274"/>
      <c r="K39" s="259"/>
      <c r="L39" s="259"/>
      <c r="M39" s="259"/>
      <c r="N39" s="259"/>
      <c r="O39" s="259"/>
      <c r="P39" s="259"/>
      <c r="Q39" s="259"/>
      <c r="R39" s="259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8"/>
      <c r="M41" s="258"/>
      <c r="N41" s="258"/>
      <c r="O41" s="258"/>
      <c r="P41" s="258"/>
    </row>
    <row r="42" spans="2:22" x14ac:dyDescent="0.25">
      <c r="L42" s="258"/>
      <c r="M42" s="258"/>
      <c r="N42" s="258"/>
      <c r="O42" s="258"/>
      <c r="P42" s="258"/>
    </row>
    <row r="43" spans="2:22" x14ac:dyDescent="0.25">
      <c r="L43" s="258"/>
      <c r="M43" s="258"/>
      <c r="N43" s="258"/>
      <c r="O43" s="258"/>
      <c r="P43" s="258"/>
    </row>
    <row r="44" spans="2:22" x14ac:dyDescent="0.25">
      <c r="L44" s="258"/>
      <c r="M44" s="258"/>
      <c r="N44" s="258"/>
      <c r="O44" s="258"/>
      <c r="P44" s="258"/>
      <c r="S44" s="261"/>
      <c r="T44" s="261"/>
      <c r="V44" s="261"/>
    </row>
    <row r="45" spans="2:22" x14ac:dyDescent="0.25">
      <c r="L45" s="258"/>
      <c r="M45" s="258"/>
      <c r="N45" s="258"/>
      <c r="O45" s="258"/>
      <c r="P45" s="262"/>
      <c r="S45" s="263"/>
      <c r="T45" s="263"/>
      <c r="U45" s="263"/>
      <c r="V45" s="263"/>
    </row>
    <row r="46" spans="2:22" x14ac:dyDescent="0.25">
      <c r="L46" s="258"/>
      <c r="M46" s="258"/>
      <c r="N46" s="258"/>
      <c r="O46" s="258"/>
      <c r="P46" s="258"/>
      <c r="S46" s="263"/>
      <c r="T46" s="263"/>
      <c r="U46" s="263"/>
      <c r="V46" s="263"/>
    </row>
    <row r="47" spans="2:22" x14ac:dyDescent="0.25">
      <c r="L47" s="258"/>
      <c r="M47" s="258"/>
      <c r="N47" s="258"/>
      <c r="O47" s="258"/>
      <c r="P47" s="258"/>
    </row>
    <row r="48" spans="2:22" x14ac:dyDescent="0.25">
      <c r="L48" s="258"/>
      <c r="M48" s="258"/>
      <c r="N48" s="258"/>
      <c r="O48" s="258"/>
      <c r="P48" s="258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1" t="s">
        <v>229</v>
      </c>
    </row>
    <row r="2" spans="2:20" ht="15.75" thickBot="1" x14ac:dyDescent="0.3"/>
    <row r="3" spans="2:20" ht="30.2" customHeight="1" x14ac:dyDescent="0.25">
      <c r="B3" s="419" t="s">
        <v>2</v>
      </c>
      <c r="C3" s="417" t="s">
        <v>3</v>
      </c>
      <c r="D3" s="415" t="s">
        <v>230</v>
      </c>
      <c r="E3" s="416"/>
      <c r="F3" s="415" t="s">
        <v>231</v>
      </c>
      <c r="G3" s="416"/>
      <c r="H3" s="415" t="s">
        <v>232</v>
      </c>
      <c r="I3" s="416"/>
      <c r="K3" s="419" t="s">
        <v>2</v>
      </c>
      <c r="L3" s="417" t="s">
        <v>3</v>
      </c>
      <c r="M3" s="415" t="s">
        <v>230</v>
      </c>
      <c r="N3" s="416"/>
      <c r="O3" s="415" t="s">
        <v>231</v>
      </c>
      <c r="P3" s="416"/>
      <c r="Q3" s="415" t="s">
        <v>232</v>
      </c>
      <c r="R3" s="416"/>
    </row>
    <row r="4" spans="2:20" ht="25.5" x14ac:dyDescent="0.25">
      <c r="B4" s="418"/>
      <c r="C4" s="418"/>
      <c r="D4" s="242" t="s">
        <v>233</v>
      </c>
      <c r="E4" s="243" t="s">
        <v>234</v>
      </c>
      <c r="F4" s="242" t="s">
        <v>233</v>
      </c>
      <c r="G4" s="243" t="s">
        <v>234</v>
      </c>
      <c r="H4" s="242" t="s">
        <v>233</v>
      </c>
      <c r="I4" s="243" t="s">
        <v>234</v>
      </c>
      <c r="K4" s="418"/>
      <c r="L4" s="418"/>
      <c r="M4" s="242" t="s">
        <v>233</v>
      </c>
      <c r="N4" s="243" t="s">
        <v>234</v>
      </c>
      <c r="O4" s="242" t="s">
        <v>233</v>
      </c>
      <c r="P4" s="243" t="s">
        <v>234</v>
      </c>
      <c r="Q4" s="242" t="s">
        <v>233</v>
      </c>
      <c r="R4" s="243" t="s">
        <v>234</v>
      </c>
    </row>
    <row r="5" spans="2:20" x14ac:dyDescent="0.25">
      <c r="B5" s="53" t="s">
        <v>154</v>
      </c>
      <c r="C5" s="244" t="str">
        <f>VAC_Optim_Scenario!B17</f>
        <v>HCC In Office</v>
      </c>
      <c r="D5" s="245">
        <f>VAC_Optim_Scenario!$H35</f>
        <v>999999.99999999988</v>
      </c>
      <c r="E5" s="246">
        <f>VAC_Optim_Scenario!$J35</f>
        <v>5040789.0644048415</v>
      </c>
      <c r="F5" s="245">
        <f>VAC_Optim_Scenario!$H35</f>
        <v>999999.99999999988</v>
      </c>
      <c r="G5" s="246">
        <f>VAC_Optim_Scenario!$J35</f>
        <v>5040789.0644048415</v>
      </c>
      <c r="H5" s="245">
        <f>VAC_Optim_Scenario!$H35</f>
        <v>999999.99999999988</v>
      </c>
      <c r="I5" s="246">
        <f>VAC_Optim_Scenario!$J35</f>
        <v>5040789.0644048415</v>
      </c>
      <c r="J5" s="247"/>
      <c r="K5" s="53" t="s">
        <v>154</v>
      </c>
      <c r="L5" s="53" t="str">
        <f>VAC_Optim_Scenario!B17</f>
        <v>HCC In Office</v>
      </c>
      <c r="M5" s="248">
        <f>D5/1000000</f>
        <v>0.99999999999999989</v>
      </c>
      <c r="N5" s="249">
        <f t="shared" ref="N5:R13" si="0">E5/1000000</f>
        <v>5.0407890644048416</v>
      </c>
      <c r="O5" s="248">
        <f t="shared" si="0"/>
        <v>0.99999999999999989</v>
      </c>
      <c r="P5" s="249">
        <f t="shared" si="0"/>
        <v>5.0407890644048416</v>
      </c>
      <c r="Q5" s="248">
        <f t="shared" si="0"/>
        <v>0.99999999999999989</v>
      </c>
      <c r="R5" s="249">
        <f t="shared" si="0"/>
        <v>5.0407890644048416</v>
      </c>
    </row>
    <row r="6" spans="2:20" x14ac:dyDescent="0.25">
      <c r="B6" s="54" t="s">
        <v>154</v>
      </c>
      <c r="C6" s="250" t="str">
        <f>VAC_Optim_Scenario!B18</f>
        <v>HCP MCM</v>
      </c>
      <c r="D6" s="251">
        <f>VAC_Optim_Scenario!$H36</f>
        <v>5400000</v>
      </c>
      <c r="E6" s="252">
        <f>VAC_Optim_Scenario!$J36</f>
        <v>64130441.937738657</v>
      </c>
      <c r="F6" s="251">
        <f>VAC_Optim_Scenario!$H36</f>
        <v>5400000</v>
      </c>
      <c r="G6" s="252">
        <f>VAC_Optim_Scenario!$J36</f>
        <v>64130441.937738657</v>
      </c>
      <c r="H6" s="251">
        <f>VAC_Optim_Scenario!$H36</f>
        <v>5400000</v>
      </c>
      <c r="I6" s="252">
        <f>VAC_Optim_Scenario!$J36</f>
        <v>64130441.937738657</v>
      </c>
      <c r="J6" s="247"/>
      <c r="K6" s="54" t="s">
        <v>154</v>
      </c>
      <c r="L6" s="54" t="str">
        <f>VAC_Optim_Scenario!B18</f>
        <v>HCP MCM</v>
      </c>
      <c r="M6" s="253">
        <f t="shared" ref="M6:M13" si="1">D6/1000000</f>
        <v>5.4</v>
      </c>
      <c r="N6" s="254">
        <f t="shared" si="0"/>
        <v>64.130441937738652</v>
      </c>
      <c r="O6" s="253">
        <f t="shared" si="0"/>
        <v>5.4</v>
      </c>
      <c r="P6" s="254">
        <f t="shared" si="0"/>
        <v>64.130441937738652</v>
      </c>
      <c r="Q6" s="253">
        <f t="shared" si="0"/>
        <v>5.4</v>
      </c>
      <c r="R6" s="254">
        <f t="shared" si="0"/>
        <v>64.130441937738652</v>
      </c>
    </row>
    <row r="7" spans="2:20" x14ac:dyDescent="0.25">
      <c r="B7" s="54" t="s">
        <v>154</v>
      </c>
      <c r="C7" s="250" t="str">
        <f>VAC_Optim_Scenario!B19</f>
        <v>HCC Social</v>
      </c>
      <c r="D7" s="251">
        <f>VAC_Optim_Scenario!$H37</f>
        <v>1599500</v>
      </c>
      <c r="E7" s="252">
        <f>VAC_Optim_Scenario!$J37</f>
        <v>14642130.239828272</v>
      </c>
      <c r="F7" s="251">
        <f>VAC_Optim_Scenario!$H37</f>
        <v>1599500</v>
      </c>
      <c r="G7" s="252">
        <f>VAC_Optim_Scenario!$J37</f>
        <v>14642130.239828272</v>
      </c>
      <c r="H7" s="251">
        <f>VAC_Optim_Scenario!$H37</f>
        <v>1599500</v>
      </c>
      <c r="I7" s="252">
        <f>VAC_Optim_Scenario!$J37</f>
        <v>14642130.239828272</v>
      </c>
      <c r="J7" s="255"/>
      <c r="K7" s="54" t="s">
        <v>154</v>
      </c>
      <c r="L7" s="54" t="str">
        <f>VAC_Optim_Scenario!B19</f>
        <v>HCC Social</v>
      </c>
      <c r="M7" s="253">
        <f t="shared" si="1"/>
        <v>1.5994999999999999</v>
      </c>
      <c r="N7" s="254">
        <f t="shared" si="0"/>
        <v>14.642130239828273</v>
      </c>
      <c r="O7" s="253">
        <f t="shared" si="0"/>
        <v>1.5994999999999999</v>
      </c>
      <c r="P7" s="254">
        <f t="shared" si="0"/>
        <v>14.642130239828273</v>
      </c>
      <c r="Q7" s="253">
        <f t="shared" si="0"/>
        <v>1.5994999999999999</v>
      </c>
      <c r="R7" s="254">
        <f t="shared" si="0"/>
        <v>14.642130239828273</v>
      </c>
    </row>
    <row r="8" spans="2:20" x14ac:dyDescent="0.25">
      <c r="B8" s="54" t="s">
        <v>154</v>
      </c>
      <c r="C8" s="250" t="str">
        <f>VAC_Optim_Scenario!B20</f>
        <v>HCC Online Video</v>
      </c>
      <c r="D8" s="251">
        <f>VAC_Optim_Scenario!$H38</f>
        <v>500000</v>
      </c>
      <c r="E8" s="252">
        <f>VAC_Optim_Scenario!$J38</f>
        <v>2958708.7105763983</v>
      </c>
      <c r="F8" s="251">
        <f>VAC_Optim_Scenario!$H38</f>
        <v>500000</v>
      </c>
      <c r="G8" s="252">
        <f>VAC_Optim_Scenario!$J38</f>
        <v>2958708.7105763983</v>
      </c>
      <c r="H8" s="251">
        <f>VAC_Optim_Scenario!$H38</f>
        <v>500000</v>
      </c>
      <c r="I8" s="252">
        <f>VAC_Optim_Scenario!$J38</f>
        <v>2958708.7105763983</v>
      </c>
      <c r="J8" s="247"/>
      <c r="K8" s="54" t="s">
        <v>154</v>
      </c>
      <c r="L8" s="54" t="str">
        <f>VAC_Optim_Scenario!B20</f>
        <v>HCC Online Video</v>
      </c>
      <c r="M8" s="253">
        <f t="shared" si="1"/>
        <v>0.5</v>
      </c>
      <c r="N8" s="254">
        <f t="shared" si="0"/>
        <v>2.9587087105763983</v>
      </c>
      <c r="O8" s="253">
        <f t="shared" si="0"/>
        <v>0.5</v>
      </c>
      <c r="P8" s="254">
        <f t="shared" si="0"/>
        <v>2.9587087105763983</v>
      </c>
      <c r="Q8" s="253">
        <f t="shared" si="0"/>
        <v>0.5</v>
      </c>
      <c r="R8" s="254">
        <f t="shared" si="0"/>
        <v>2.9587087105763983</v>
      </c>
    </row>
    <row r="9" spans="2:20" x14ac:dyDescent="0.25">
      <c r="B9" s="54" t="s">
        <v>154</v>
      </c>
      <c r="C9" s="250" t="str">
        <f>VAC_Optim_Scenario!B21</f>
        <v>HCC Streaming Video</v>
      </c>
      <c r="D9" s="251">
        <f>VAC_Optim_Scenario!$H39</f>
        <v>6463714</v>
      </c>
      <c r="E9" s="252">
        <f>VAC_Optim_Scenario!$J39</f>
        <v>33726604.314190388</v>
      </c>
      <c r="F9" s="251">
        <f>VAC_Optim_Scenario!$H39</f>
        <v>6463714</v>
      </c>
      <c r="G9" s="252">
        <f>VAC_Optim_Scenario!$J39</f>
        <v>33726604.314190388</v>
      </c>
      <c r="H9" s="251">
        <f>VAC_Optim_Scenario!$H39</f>
        <v>6463714</v>
      </c>
      <c r="I9" s="252">
        <f>VAC_Optim_Scenario!$J39</f>
        <v>33726604.314190388</v>
      </c>
      <c r="J9" s="255"/>
      <c r="K9" s="54" t="s">
        <v>154</v>
      </c>
      <c r="L9" s="54" t="str">
        <f>VAC_Optim_Scenario!B21</f>
        <v>HCC Streaming Video</v>
      </c>
      <c r="M9" s="253">
        <f t="shared" si="1"/>
        <v>6.4637140000000004</v>
      </c>
      <c r="N9" s="254">
        <f t="shared" si="0"/>
        <v>33.726604314190389</v>
      </c>
      <c r="O9" s="253">
        <f t="shared" si="0"/>
        <v>6.4637140000000004</v>
      </c>
      <c r="P9" s="254">
        <f t="shared" si="0"/>
        <v>33.726604314190389</v>
      </c>
      <c r="Q9" s="253">
        <f t="shared" si="0"/>
        <v>6.4637140000000004</v>
      </c>
      <c r="R9" s="254">
        <f t="shared" si="0"/>
        <v>33.726604314190389</v>
      </c>
    </row>
    <row r="10" spans="2:20" x14ac:dyDescent="0.25">
      <c r="B10" s="54" t="s">
        <v>154</v>
      </c>
      <c r="C10" s="250" t="str">
        <f>VAC_Optim_Scenario!B22</f>
        <v>HCC Display</v>
      </c>
      <c r="D10" s="251">
        <f>VAC_Optim_Scenario!$H40</f>
        <v>1500000</v>
      </c>
      <c r="E10" s="252">
        <f>VAC_Optim_Scenario!$J40</f>
        <v>21855163.981115948</v>
      </c>
      <c r="F10" s="251">
        <f>VAC_Optim_Scenario!$H40</f>
        <v>1500000</v>
      </c>
      <c r="G10" s="252">
        <f>VAC_Optim_Scenario!$J40</f>
        <v>21855163.981115948</v>
      </c>
      <c r="H10" s="251">
        <f>VAC_Optim_Scenario!$H40</f>
        <v>1500000</v>
      </c>
      <c r="I10" s="252">
        <f>VAC_Optim_Scenario!$J40</f>
        <v>21855163.981115948</v>
      </c>
      <c r="J10" s="255"/>
      <c r="K10" s="54" t="s">
        <v>154</v>
      </c>
      <c r="L10" s="54" t="str">
        <f>VAC_Optim_Scenario!B22</f>
        <v>HCC Display</v>
      </c>
      <c r="M10" s="253">
        <f t="shared" si="1"/>
        <v>1.5</v>
      </c>
      <c r="N10" s="254">
        <f t="shared" si="0"/>
        <v>21.855163981115947</v>
      </c>
      <c r="O10" s="253">
        <f t="shared" si="0"/>
        <v>1.5</v>
      </c>
      <c r="P10" s="254">
        <f t="shared" si="0"/>
        <v>21.855163981115947</v>
      </c>
      <c r="Q10" s="253">
        <f t="shared" si="0"/>
        <v>1.5</v>
      </c>
      <c r="R10" s="254">
        <f t="shared" si="0"/>
        <v>21.855163981115947</v>
      </c>
    </row>
    <row r="11" spans="2:20" x14ac:dyDescent="0.25">
      <c r="B11" s="54" t="s">
        <v>154</v>
      </c>
      <c r="C11" s="250" t="str">
        <f>VAC_Optim_Scenario!B23</f>
        <v>HCC Paid Search</v>
      </c>
      <c r="D11" s="251">
        <f>VAC_Optim_Scenario!$H41</f>
        <v>300000</v>
      </c>
      <c r="E11" s="252">
        <f>VAC_Optim_Scenario!$J41</f>
        <v>26792847.590052392</v>
      </c>
      <c r="F11" s="251">
        <f>VAC_Optim_Scenario!$H41</f>
        <v>300000</v>
      </c>
      <c r="G11" s="252">
        <f>VAC_Optim_Scenario!$J41</f>
        <v>26792847.590052392</v>
      </c>
      <c r="H11" s="251">
        <f>VAC_Optim_Scenario!$H41</f>
        <v>300000</v>
      </c>
      <c r="I11" s="252">
        <f>VAC_Optim_Scenario!$J41</f>
        <v>26792847.590052392</v>
      </c>
      <c r="J11" s="247"/>
      <c r="K11" s="54" t="s">
        <v>154</v>
      </c>
      <c r="L11" s="54" t="str">
        <f>VAC_Optim_Scenario!B23</f>
        <v>HCC Paid Search</v>
      </c>
      <c r="M11" s="253">
        <f t="shared" si="1"/>
        <v>0.3</v>
      </c>
      <c r="N11" s="254">
        <f t="shared" si="0"/>
        <v>26.792847590052393</v>
      </c>
      <c r="O11" s="253">
        <f t="shared" si="0"/>
        <v>0.3</v>
      </c>
      <c r="P11" s="254">
        <f t="shared" si="0"/>
        <v>26.792847590052393</v>
      </c>
      <c r="Q11" s="253">
        <f t="shared" si="0"/>
        <v>0.3</v>
      </c>
      <c r="R11" s="254">
        <f t="shared" si="0"/>
        <v>26.792847590052393</v>
      </c>
    </row>
    <row r="12" spans="2:20" x14ac:dyDescent="0.25">
      <c r="B12" s="54" t="s">
        <v>154</v>
      </c>
      <c r="C12" s="250" t="str">
        <f>VAC_Optim_Scenario!B24</f>
        <v>HCC Audio</v>
      </c>
      <c r="D12" s="251">
        <f>VAC_Optim_Scenario!$H42</f>
        <v>1400000</v>
      </c>
      <c r="E12" s="252">
        <f>VAC_Optim_Scenario!$J42</f>
        <v>15696457.153648281</v>
      </c>
      <c r="F12" s="251">
        <f>VAC_Optim_Scenario!$H42</f>
        <v>1400000</v>
      </c>
      <c r="G12" s="252">
        <f>VAC_Optim_Scenario!$J42</f>
        <v>15696457.153648281</v>
      </c>
      <c r="H12" s="251">
        <f>VAC_Optim_Scenario!$H42</f>
        <v>1400000</v>
      </c>
      <c r="I12" s="252">
        <f>VAC_Optim_Scenario!$J42</f>
        <v>15696457.153648281</v>
      </c>
      <c r="J12" s="247"/>
      <c r="K12" s="54" t="s">
        <v>154</v>
      </c>
      <c r="L12" s="54" t="str">
        <f>VAC_Optim_Scenario!B24</f>
        <v>HCC Audio</v>
      </c>
      <c r="M12" s="253">
        <f t="shared" si="1"/>
        <v>1.4</v>
      </c>
      <c r="N12" s="254">
        <f t="shared" si="0"/>
        <v>15.696457153648282</v>
      </c>
      <c r="O12" s="253">
        <f t="shared" si="0"/>
        <v>1.4</v>
      </c>
      <c r="P12" s="254">
        <f t="shared" si="0"/>
        <v>15.696457153648282</v>
      </c>
      <c r="Q12" s="253">
        <f t="shared" si="0"/>
        <v>1.4</v>
      </c>
      <c r="R12" s="254">
        <f t="shared" si="0"/>
        <v>15.696457153648282</v>
      </c>
    </row>
    <row r="13" spans="2:20" x14ac:dyDescent="0.25">
      <c r="B13" s="264" t="s">
        <v>154</v>
      </c>
      <c r="C13" s="237" t="str">
        <f>VAC_Optim_Scenario!B25</f>
        <v>HCC TV</v>
      </c>
      <c r="D13" s="265">
        <f>VAC_Optim_Scenario!$H43</f>
        <v>14861790</v>
      </c>
      <c r="E13" s="265">
        <f>VAC_Optim_Scenario!$J43</f>
        <v>61295260.814772405</v>
      </c>
      <c r="F13" s="265">
        <f>VAC_Optim_Scenario!$H43</f>
        <v>14861790</v>
      </c>
      <c r="G13" s="265">
        <f>VAC_Optim_Scenario!$J43</f>
        <v>61295260.814772405</v>
      </c>
      <c r="H13" s="265">
        <f>VAC_Optim_Scenario!$H43</f>
        <v>14861790</v>
      </c>
      <c r="I13" s="265">
        <f>VAC_Optim_Scenario!$J43</f>
        <v>61295260.814772405</v>
      </c>
      <c r="J13" s="247"/>
      <c r="K13" s="264" t="s">
        <v>154</v>
      </c>
      <c r="L13" s="264" t="str">
        <f>VAC_Optim_Scenario!B25</f>
        <v>HCC TV</v>
      </c>
      <c r="M13" s="258">
        <f t="shared" si="1"/>
        <v>14.861789999999999</v>
      </c>
      <c r="N13" s="258">
        <f t="shared" si="0"/>
        <v>61.295260814772405</v>
      </c>
      <c r="O13" s="258">
        <f t="shared" si="0"/>
        <v>14.861789999999999</v>
      </c>
      <c r="P13" s="258">
        <f t="shared" si="0"/>
        <v>61.295260814772405</v>
      </c>
      <c r="Q13" s="258">
        <f t="shared" si="0"/>
        <v>14.861789999999999</v>
      </c>
      <c r="R13" s="258">
        <f t="shared" si="0"/>
        <v>61.295260814772405</v>
      </c>
    </row>
    <row r="14" spans="2:20" x14ac:dyDescent="0.25">
      <c r="T14" s="308"/>
    </row>
    <row r="15" spans="2:20" x14ac:dyDescent="0.25">
      <c r="C15" s="241" t="s">
        <v>236</v>
      </c>
    </row>
    <row r="17" spans="2:19" ht="37.9" customHeight="1" x14ac:dyDescent="0.25">
      <c r="C17" s="417" t="s">
        <v>3</v>
      </c>
      <c r="D17" s="415" t="s">
        <v>230</v>
      </c>
      <c r="E17" s="416"/>
      <c r="F17" s="415" t="s">
        <v>237</v>
      </c>
      <c r="G17" s="416"/>
      <c r="H17" s="415" t="s">
        <v>238</v>
      </c>
      <c r="I17" s="416"/>
      <c r="L17" s="417" t="s">
        <v>3</v>
      </c>
      <c r="M17" s="415" t="s">
        <v>230</v>
      </c>
      <c r="N17" s="416"/>
      <c r="O17" s="415" t="s">
        <v>237</v>
      </c>
      <c r="P17" s="416"/>
      <c r="Q17" s="415" t="s">
        <v>238</v>
      </c>
      <c r="R17" s="416"/>
    </row>
    <row r="18" spans="2:19" ht="25.5" x14ac:dyDescent="0.25">
      <c r="C18" s="418"/>
      <c r="D18" s="55" t="s">
        <v>233</v>
      </c>
      <c r="E18" s="55" t="s">
        <v>234</v>
      </c>
      <c r="F18" s="55" t="s">
        <v>233</v>
      </c>
      <c r="G18" s="55" t="s">
        <v>234</v>
      </c>
      <c r="H18" s="55" t="s">
        <v>233</v>
      </c>
      <c r="I18" s="55" t="s">
        <v>234</v>
      </c>
      <c r="L18" s="418"/>
      <c r="M18" s="55" t="s">
        <v>233</v>
      </c>
      <c r="N18" s="55" t="s">
        <v>234</v>
      </c>
      <c r="O18" s="55" t="s">
        <v>233</v>
      </c>
      <c r="P18" s="55" t="s">
        <v>234</v>
      </c>
      <c r="Q18" s="55" t="s">
        <v>233</v>
      </c>
      <c r="R18" s="55" t="s">
        <v>234</v>
      </c>
    </row>
    <row r="19" spans="2:19" x14ac:dyDescent="0.25">
      <c r="B19" s="53" t="s">
        <v>154</v>
      </c>
      <c r="C19" s="244" t="str">
        <f>VAC_Optim_Scenario!B17</f>
        <v>HCC In Office</v>
      </c>
      <c r="D19" s="245">
        <f>VAC_Optim_Scenario!$H35</f>
        <v>999999.99999999988</v>
      </c>
      <c r="E19" s="246">
        <f>VAC_Optim_Scenario!$J35</f>
        <v>5040789.0644048415</v>
      </c>
      <c r="F19" s="245">
        <f>VAC_Optim_Scenario!$H35</f>
        <v>999999.99999999988</v>
      </c>
      <c r="G19" s="246">
        <f>VAC_Optim_Scenario!$J35</f>
        <v>5040789.0644048415</v>
      </c>
      <c r="H19" s="245">
        <f>VAC_Optim_Scenario!$H35</f>
        <v>999999.99999999988</v>
      </c>
      <c r="I19" s="246">
        <f>VAC_Optim_Scenario!$J35</f>
        <v>5040789.0644048415</v>
      </c>
      <c r="J19" s="247"/>
      <c r="K19" s="53" t="s">
        <v>154</v>
      </c>
      <c r="L19" s="244" t="str">
        <f>VAC_Optim_Scenario!B17</f>
        <v>HCC In Office</v>
      </c>
      <c r="M19" s="248">
        <f>D19/1000000</f>
        <v>0.99999999999999989</v>
      </c>
      <c r="N19" s="249">
        <f t="shared" ref="N19:R27" si="2">E19/1000000</f>
        <v>5.0407890644048416</v>
      </c>
      <c r="O19" s="248">
        <f t="shared" si="2"/>
        <v>0.99999999999999989</v>
      </c>
      <c r="P19" s="249">
        <f t="shared" si="2"/>
        <v>5.0407890644048416</v>
      </c>
      <c r="Q19" s="248">
        <f t="shared" si="2"/>
        <v>0.99999999999999989</v>
      </c>
      <c r="R19" s="249">
        <f t="shared" si="2"/>
        <v>5.0407890644048416</v>
      </c>
    </row>
    <row r="20" spans="2:19" x14ac:dyDescent="0.25">
      <c r="B20" s="54" t="s">
        <v>154</v>
      </c>
      <c r="C20" s="250" t="str">
        <f>VAC_Optim_Scenario!B18</f>
        <v>HCP MCM</v>
      </c>
      <c r="D20" s="251">
        <f>VAC_Optim_Scenario!$H36</f>
        <v>5400000</v>
      </c>
      <c r="E20" s="252">
        <f>VAC_Optim_Scenario!$J36</f>
        <v>64130441.937738657</v>
      </c>
      <c r="F20" s="251">
        <f>VAC_Optim_Scenario!$H36</f>
        <v>5400000</v>
      </c>
      <c r="G20" s="252">
        <f>VAC_Optim_Scenario!$J36</f>
        <v>64130441.937738657</v>
      </c>
      <c r="H20" s="251">
        <f>VAC_Optim_Scenario!$H36</f>
        <v>5400000</v>
      </c>
      <c r="I20" s="252">
        <f>VAC_Optim_Scenario!$J36</f>
        <v>64130441.937738657</v>
      </c>
      <c r="J20" s="247"/>
      <c r="K20" s="54" t="s">
        <v>154</v>
      </c>
      <c r="L20" s="250" t="str">
        <f>VAC_Optim_Scenario!B18</f>
        <v>HCP MCM</v>
      </c>
      <c r="M20" s="253">
        <f t="shared" ref="M20:M27" si="3">D20/1000000</f>
        <v>5.4</v>
      </c>
      <c r="N20" s="254">
        <f t="shared" si="2"/>
        <v>64.130441937738652</v>
      </c>
      <c r="O20" s="253">
        <f t="shared" si="2"/>
        <v>5.4</v>
      </c>
      <c r="P20" s="254">
        <f t="shared" si="2"/>
        <v>64.130441937738652</v>
      </c>
      <c r="Q20" s="253">
        <f t="shared" si="2"/>
        <v>5.4</v>
      </c>
      <c r="R20" s="254">
        <f t="shared" si="2"/>
        <v>64.130441937738652</v>
      </c>
    </row>
    <row r="21" spans="2:19" x14ac:dyDescent="0.25">
      <c r="B21" s="54" t="s">
        <v>154</v>
      </c>
      <c r="C21" s="250" t="str">
        <f>VAC_Optim_Scenario!B19</f>
        <v>HCC Social</v>
      </c>
      <c r="D21" s="251">
        <f>VAC_Optim_Scenario!$H37</f>
        <v>1599500</v>
      </c>
      <c r="E21" s="252">
        <f>VAC_Optim_Scenario!$J37</f>
        <v>14642130.239828272</v>
      </c>
      <c r="F21" s="251">
        <f>VAC_Optim_Scenario!$H37</f>
        <v>1599500</v>
      </c>
      <c r="G21" s="252">
        <f>VAC_Optim_Scenario!$J37</f>
        <v>14642130.239828272</v>
      </c>
      <c r="H21" s="251">
        <f>VAC_Optim_Scenario!$H37</f>
        <v>1599500</v>
      </c>
      <c r="I21" s="252">
        <f>VAC_Optim_Scenario!$J37</f>
        <v>14642130.239828272</v>
      </c>
      <c r="J21" s="255"/>
      <c r="K21" s="54" t="s">
        <v>154</v>
      </c>
      <c r="L21" s="250" t="str">
        <f>VAC_Optim_Scenario!B19</f>
        <v>HCC Social</v>
      </c>
      <c r="M21" s="253">
        <f t="shared" si="3"/>
        <v>1.5994999999999999</v>
      </c>
      <c r="N21" s="254">
        <f t="shared" si="2"/>
        <v>14.642130239828273</v>
      </c>
      <c r="O21" s="253">
        <f t="shared" si="2"/>
        <v>1.5994999999999999</v>
      </c>
      <c r="P21" s="254">
        <f t="shared" si="2"/>
        <v>14.642130239828273</v>
      </c>
      <c r="Q21" s="253">
        <f t="shared" si="2"/>
        <v>1.5994999999999999</v>
      </c>
      <c r="R21" s="254">
        <f t="shared" si="2"/>
        <v>14.642130239828273</v>
      </c>
    </row>
    <row r="22" spans="2:19" x14ac:dyDescent="0.25">
      <c r="B22" s="54" t="s">
        <v>154</v>
      </c>
      <c r="C22" s="250" t="str">
        <f>VAC_Optim_Scenario!B20</f>
        <v>HCC Online Video</v>
      </c>
      <c r="D22" s="251">
        <f>VAC_Optim_Scenario!$H38</f>
        <v>500000</v>
      </c>
      <c r="E22" s="252">
        <f>VAC_Optim_Scenario!$J38</f>
        <v>2958708.7105763983</v>
      </c>
      <c r="F22" s="251">
        <f>VAC_Optim_Scenario!$H38</f>
        <v>500000</v>
      </c>
      <c r="G22" s="252">
        <f>VAC_Optim_Scenario!$J38</f>
        <v>2958708.7105763983</v>
      </c>
      <c r="H22" s="251">
        <f>VAC_Optim_Scenario!$H38</f>
        <v>500000</v>
      </c>
      <c r="I22" s="252">
        <f>VAC_Optim_Scenario!$J38</f>
        <v>2958708.7105763983</v>
      </c>
      <c r="J22" s="247"/>
      <c r="K22" s="54" t="s">
        <v>154</v>
      </c>
      <c r="L22" s="250" t="str">
        <f>VAC_Optim_Scenario!B20</f>
        <v>HCC Online Video</v>
      </c>
      <c r="M22" s="253">
        <f t="shared" si="3"/>
        <v>0.5</v>
      </c>
      <c r="N22" s="254">
        <f t="shared" si="2"/>
        <v>2.9587087105763983</v>
      </c>
      <c r="O22" s="253">
        <f t="shared" si="2"/>
        <v>0.5</v>
      </c>
      <c r="P22" s="254">
        <f t="shared" si="2"/>
        <v>2.9587087105763983</v>
      </c>
      <c r="Q22" s="253">
        <f t="shared" si="2"/>
        <v>0.5</v>
      </c>
      <c r="R22" s="254">
        <f t="shared" si="2"/>
        <v>2.9587087105763983</v>
      </c>
    </row>
    <row r="23" spans="2:19" x14ac:dyDescent="0.25">
      <c r="B23" s="54" t="s">
        <v>154</v>
      </c>
      <c r="C23" s="250" t="str">
        <f>VAC_Optim_Scenario!B21</f>
        <v>HCC Streaming Video</v>
      </c>
      <c r="D23" s="251">
        <f>VAC_Optim_Scenario!$H39</f>
        <v>6463714</v>
      </c>
      <c r="E23" s="252">
        <f>VAC_Optim_Scenario!$J39</f>
        <v>33726604.314190388</v>
      </c>
      <c r="F23" s="251">
        <f>VAC_Optim_Scenario!$H39</f>
        <v>6463714</v>
      </c>
      <c r="G23" s="252">
        <f>VAC_Optim_Scenario!$J39</f>
        <v>33726604.314190388</v>
      </c>
      <c r="H23" s="251">
        <f>VAC_Optim_Scenario!$H39</f>
        <v>6463714</v>
      </c>
      <c r="I23" s="252">
        <f>VAC_Optim_Scenario!$J39</f>
        <v>33726604.314190388</v>
      </c>
      <c r="J23" s="255"/>
      <c r="K23" s="54" t="s">
        <v>154</v>
      </c>
      <c r="L23" s="250" t="str">
        <f>VAC_Optim_Scenario!B21</f>
        <v>HCC Streaming Video</v>
      </c>
      <c r="M23" s="253">
        <f t="shared" si="3"/>
        <v>6.4637140000000004</v>
      </c>
      <c r="N23" s="254">
        <f t="shared" si="2"/>
        <v>33.726604314190389</v>
      </c>
      <c r="O23" s="253">
        <f t="shared" si="2"/>
        <v>6.4637140000000004</v>
      </c>
      <c r="P23" s="254">
        <f t="shared" si="2"/>
        <v>33.726604314190389</v>
      </c>
      <c r="Q23" s="253">
        <f t="shared" si="2"/>
        <v>6.4637140000000004</v>
      </c>
      <c r="R23" s="254">
        <f t="shared" si="2"/>
        <v>33.726604314190389</v>
      </c>
    </row>
    <row r="24" spans="2:19" x14ac:dyDescent="0.25">
      <c r="B24" s="54" t="s">
        <v>154</v>
      </c>
      <c r="C24" s="250" t="str">
        <f>VAC_Optim_Scenario!B22</f>
        <v>HCC Display</v>
      </c>
      <c r="D24" s="251">
        <f>VAC_Optim_Scenario!$H40</f>
        <v>1500000</v>
      </c>
      <c r="E24" s="252">
        <f>VAC_Optim_Scenario!$J40</f>
        <v>21855163.981115948</v>
      </c>
      <c r="F24" s="251">
        <f>VAC_Optim_Scenario!$H40</f>
        <v>1500000</v>
      </c>
      <c r="G24" s="252">
        <f>VAC_Optim_Scenario!$J40</f>
        <v>21855163.981115948</v>
      </c>
      <c r="H24" s="251">
        <f>VAC_Optim_Scenario!$H40</f>
        <v>1500000</v>
      </c>
      <c r="I24" s="252">
        <f>VAC_Optim_Scenario!$J40</f>
        <v>21855163.981115948</v>
      </c>
      <c r="J24" s="255"/>
      <c r="K24" s="54" t="s">
        <v>154</v>
      </c>
      <c r="L24" s="250" t="str">
        <f>VAC_Optim_Scenario!B22</f>
        <v>HCC Display</v>
      </c>
      <c r="M24" s="253">
        <f t="shared" si="3"/>
        <v>1.5</v>
      </c>
      <c r="N24" s="254">
        <f t="shared" si="2"/>
        <v>21.855163981115947</v>
      </c>
      <c r="O24" s="253">
        <f t="shared" si="2"/>
        <v>1.5</v>
      </c>
      <c r="P24" s="254">
        <f t="shared" si="2"/>
        <v>21.855163981115947</v>
      </c>
      <c r="Q24" s="253">
        <f t="shared" si="2"/>
        <v>1.5</v>
      </c>
      <c r="R24" s="254">
        <f t="shared" si="2"/>
        <v>21.855163981115947</v>
      </c>
    </row>
    <row r="25" spans="2:19" x14ac:dyDescent="0.25">
      <c r="B25" s="54" t="s">
        <v>154</v>
      </c>
      <c r="C25" s="250" t="str">
        <f>VAC_Optim_Scenario!B23</f>
        <v>HCC Paid Search</v>
      </c>
      <c r="D25" s="251">
        <f>VAC_Optim_Scenario!$H41</f>
        <v>300000</v>
      </c>
      <c r="E25" s="252">
        <f>VAC_Optim_Scenario!$J41</f>
        <v>26792847.590052392</v>
      </c>
      <c r="F25" s="251">
        <f>VAC_Optim_Scenario!$H41</f>
        <v>300000</v>
      </c>
      <c r="G25" s="252">
        <f>VAC_Optim_Scenario!$J41</f>
        <v>26792847.590052392</v>
      </c>
      <c r="H25" s="251">
        <f>VAC_Optim_Scenario!$H41</f>
        <v>300000</v>
      </c>
      <c r="I25" s="252">
        <f>VAC_Optim_Scenario!$J41</f>
        <v>26792847.590052392</v>
      </c>
      <c r="J25" s="255"/>
      <c r="K25" s="54" t="s">
        <v>154</v>
      </c>
      <c r="L25" s="250" t="str">
        <f>VAC_Optim_Scenario!B23</f>
        <v>HCC Paid Search</v>
      </c>
      <c r="M25" s="253">
        <f t="shared" si="3"/>
        <v>0.3</v>
      </c>
      <c r="N25" s="254">
        <f t="shared" si="2"/>
        <v>26.792847590052393</v>
      </c>
      <c r="O25" s="253">
        <f t="shared" si="2"/>
        <v>0.3</v>
      </c>
      <c r="P25" s="254">
        <f t="shared" si="2"/>
        <v>26.792847590052393</v>
      </c>
      <c r="Q25" s="253">
        <f t="shared" si="2"/>
        <v>0.3</v>
      </c>
      <c r="R25" s="254">
        <f t="shared" si="2"/>
        <v>26.792847590052393</v>
      </c>
    </row>
    <row r="26" spans="2:19" x14ac:dyDescent="0.25">
      <c r="B26" s="54" t="s">
        <v>154</v>
      </c>
      <c r="C26" s="250" t="str">
        <f>VAC_Optim_Scenario!B24</f>
        <v>HCC Audio</v>
      </c>
      <c r="D26" s="251">
        <f>VAC_Optim_Scenario!$H42</f>
        <v>1400000</v>
      </c>
      <c r="E26" s="252">
        <f>VAC_Optim_Scenario!$J42</f>
        <v>15696457.153648281</v>
      </c>
      <c r="F26" s="251">
        <f>VAC_Optim_Scenario!$H42</f>
        <v>1400000</v>
      </c>
      <c r="G26" s="252">
        <f>VAC_Optim_Scenario!$J42</f>
        <v>15696457.153648281</v>
      </c>
      <c r="H26" s="251">
        <f>VAC_Optim_Scenario!$H42</f>
        <v>1400000</v>
      </c>
      <c r="I26" s="252">
        <f>VAC_Optim_Scenario!$J42</f>
        <v>15696457.153648281</v>
      </c>
      <c r="J26" s="255"/>
      <c r="K26" s="54" t="s">
        <v>154</v>
      </c>
      <c r="L26" s="250" t="str">
        <f>VAC_Optim_Scenario!B24</f>
        <v>HCC Audio</v>
      </c>
      <c r="M26" s="253">
        <f t="shared" si="3"/>
        <v>1.4</v>
      </c>
      <c r="N26" s="254">
        <f t="shared" si="2"/>
        <v>15.696457153648282</v>
      </c>
      <c r="O26" s="253">
        <f t="shared" si="2"/>
        <v>1.4</v>
      </c>
      <c r="P26" s="254">
        <f t="shared" si="2"/>
        <v>15.696457153648282</v>
      </c>
      <c r="Q26" s="253">
        <f t="shared" si="2"/>
        <v>1.4</v>
      </c>
      <c r="R26" s="254">
        <f t="shared" si="2"/>
        <v>15.696457153648282</v>
      </c>
    </row>
    <row r="27" spans="2:19" x14ac:dyDescent="0.25">
      <c r="B27" s="264" t="s">
        <v>154</v>
      </c>
      <c r="C27" s="237" t="str">
        <f>VAC_Optim_Scenario!B25</f>
        <v>HCC TV</v>
      </c>
      <c r="D27" s="265">
        <f>VAC_Optim_Scenario!$H43</f>
        <v>14861790</v>
      </c>
      <c r="E27" s="265">
        <f>VAC_Optim_Scenario!$J43</f>
        <v>61295260.814772405</v>
      </c>
      <c r="F27" s="265">
        <f>VAC_Optim_Scenario!$H43</f>
        <v>14861790</v>
      </c>
      <c r="G27" s="265">
        <f>VAC_Optim_Scenario!$J43</f>
        <v>61295260.814772405</v>
      </c>
      <c r="H27" s="265">
        <f>VAC_Optim_Scenario!$H43</f>
        <v>14861790</v>
      </c>
      <c r="I27" s="265">
        <f>VAC_Optim_Scenario!$J43</f>
        <v>61295260.814772405</v>
      </c>
      <c r="J27" s="255"/>
      <c r="K27" s="264" t="s">
        <v>154</v>
      </c>
      <c r="L27" s="237" t="str">
        <f>VAC_Optim_Scenario!B25</f>
        <v>HCC TV</v>
      </c>
      <c r="M27" s="258">
        <f t="shared" si="3"/>
        <v>14.861789999999999</v>
      </c>
      <c r="N27" s="258">
        <f t="shared" si="2"/>
        <v>61.295260814772405</v>
      </c>
      <c r="O27" s="258">
        <f t="shared" si="2"/>
        <v>14.861789999999999</v>
      </c>
      <c r="P27" s="258">
        <f t="shared" si="2"/>
        <v>61.295260814772405</v>
      </c>
      <c r="Q27" s="258">
        <f t="shared" si="2"/>
        <v>14.861789999999999</v>
      </c>
      <c r="R27" s="258">
        <f t="shared" si="2"/>
        <v>61.295260814772405</v>
      </c>
    </row>
    <row r="30" spans="2:19" ht="34.35" customHeight="1" x14ac:dyDescent="0.25">
      <c r="C30" s="290" t="s">
        <v>3</v>
      </c>
      <c r="D30" s="291" t="s">
        <v>239</v>
      </c>
      <c r="E30" s="256">
        <v>-0.5</v>
      </c>
      <c r="F30" s="256">
        <v>2</v>
      </c>
      <c r="G30" s="256">
        <v>-0.4</v>
      </c>
      <c r="H30" s="256">
        <v>0.4</v>
      </c>
      <c r="J30" s="97" t="s">
        <v>3</v>
      </c>
      <c r="K30" s="97" t="s">
        <v>222</v>
      </c>
      <c r="L30" s="97" t="s">
        <v>223</v>
      </c>
      <c r="M30" s="97" t="s">
        <v>224</v>
      </c>
      <c r="N30" s="97" t="s">
        <v>242</v>
      </c>
      <c r="O30" s="97" t="s">
        <v>244</v>
      </c>
      <c r="P30" s="97" t="s">
        <v>225</v>
      </c>
      <c r="Q30" s="97" t="s">
        <v>226</v>
      </c>
      <c r="R30" s="97" t="s">
        <v>189</v>
      </c>
      <c r="S30" s="97" t="s">
        <v>187</v>
      </c>
    </row>
    <row r="31" spans="2:19" x14ac:dyDescent="0.25">
      <c r="B31" s="53" t="s">
        <v>154</v>
      </c>
      <c r="C31" s="309" t="str">
        <f>VAC_Optim_Scenario!B17</f>
        <v>HCC In Office</v>
      </c>
      <c r="D31" s="248">
        <f>M19</f>
        <v>0.99999999999999989</v>
      </c>
      <c r="E31" s="248">
        <f>O5</f>
        <v>0.99999999999999989</v>
      </c>
      <c r="F31" s="248">
        <f>Q5</f>
        <v>0.99999999999999989</v>
      </c>
      <c r="G31" s="248">
        <f>O19</f>
        <v>0.99999999999999989</v>
      </c>
      <c r="H31" s="248">
        <f>Q19</f>
        <v>0.99999999999999989</v>
      </c>
      <c r="J31" s="257">
        <v>-0.5</v>
      </c>
      <c r="K31" s="258">
        <f>E$31</f>
        <v>0.99999999999999989</v>
      </c>
      <c r="L31" s="258">
        <f>E$32</f>
        <v>5.4</v>
      </c>
      <c r="M31" s="258">
        <f>E$33</f>
        <v>1.5994999999999999</v>
      </c>
      <c r="N31" s="258">
        <f>E$34</f>
        <v>0.5</v>
      </c>
      <c r="O31" s="258">
        <f>E$35</f>
        <v>6.4637140000000004</v>
      </c>
      <c r="P31" s="258">
        <f>E$36</f>
        <v>1.5</v>
      </c>
      <c r="Q31" s="258">
        <f>E$37</f>
        <v>0.3</v>
      </c>
      <c r="R31" s="258">
        <f>E$38</f>
        <v>1.4</v>
      </c>
      <c r="S31" s="258">
        <f>E$39</f>
        <v>14.861789999999999</v>
      </c>
    </row>
    <row r="32" spans="2:19" x14ac:dyDescent="0.25">
      <c r="B32" s="54" t="s">
        <v>154</v>
      </c>
      <c r="C32" s="310" t="str">
        <f>VAC_Optim_Scenario!B18</f>
        <v>HCP MCM</v>
      </c>
      <c r="D32" s="253">
        <f t="shared" ref="D32:D39" si="4">M20</f>
        <v>5.4</v>
      </c>
      <c r="E32" s="253">
        <f t="shared" ref="E32:E39" si="5">O6</f>
        <v>5.4</v>
      </c>
      <c r="F32" s="253">
        <f t="shared" ref="F32:F39" si="6">Q6</f>
        <v>5.4</v>
      </c>
      <c r="G32" s="253">
        <f t="shared" ref="G32:G39" si="7">O20</f>
        <v>5.4</v>
      </c>
      <c r="H32" s="253">
        <f t="shared" ref="H32:H39" si="8">Q20</f>
        <v>5.4</v>
      </c>
      <c r="J32" s="257">
        <v>-0.4</v>
      </c>
      <c r="K32" s="258">
        <f>G$31</f>
        <v>0.99999999999999989</v>
      </c>
      <c r="L32" s="258">
        <f>G$32</f>
        <v>5.4</v>
      </c>
      <c r="M32" s="258">
        <f>G$33</f>
        <v>1.5994999999999999</v>
      </c>
      <c r="N32" s="258">
        <f>G$34</f>
        <v>0.5</v>
      </c>
      <c r="O32" s="258">
        <f>G$35</f>
        <v>6.4637140000000004</v>
      </c>
      <c r="P32" s="258">
        <f>G$36</f>
        <v>1.5</v>
      </c>
      <c r="Q32" s="258">
        <f>G$37</f>
        <v>0.3</v>
      </c>
      <c r="R32" s="258">
        <f>G$38</f>
        <v>1.4</v>
      </c>
      <c r="S32" s="258">
        <f>G$39</f>
        <v>14.861789999999999</v>
      </c>
    </row>
    <row r="33" spans="2:22" x14ac:dyDescent="0.25">
      <c r="B33" s="54" t="s">
        <v>154</v>
      </c>
      <c r="C33" s="310" t="str">
        <f>VAC_Optim_Scenario!B19</f>
        <v>HCC Social</v>
      </c>
      <c r="D33" s="253">
        <f t="shared" si="4"/>
        <v>1.5994999999999999</v>
      </c>
      <c r="E33" s="253">
        <f t="shared" si="5"/>
        <v>1.5994999999999999</v>
      </c>
      <c r="F33" s="253">
        <f t="shared" si="6"/>
        <v>1.5994999999999999</v>
      </c>
      <c r="G33" s="253">
        <f t="shared" si="7"/>
        <v>1.5994999999999999</v>
      </c>
      <c r="H33" s="253">
        <f t="shared" si="8"/>
        <v>1.5994999999999999</v>
      </c>
      <c r="J33" s="257" t="s">
        <v>239</v>
      </c>
      <c r="K33" s="258">
        <f>D$31</f>
        <v>0.99999999999999989</v>
      </c>
      <c r="L33" s="258">
        <f>D$32</f>
        <v>5.4</v>
      </c>
      <c r="M33" s="258">
        <f>D$33</f>
        <v>1.5994999999999999</v>
      </c>
      <c r="N33" s="258">
        <f>D$34</f>
        <v>0.5</v>
      </c>
      <c r="O33" s="258">
        <f>D$35</f>
        <v>6.4637140000000004</v>
      </c>
      <c r="P33" s="258">
        <f>D$36</f>
        <v>1.5</v>
      </c>
      <c r="Q33" s="258">
        <f>D$37</f>
        <v>0.3</v>
      </c>
      <c r="R33" s="258">
        <f>D$38</f>
        <v>1.4</v>
      </c>
      <c r="S33" s="258">
        <f>D$39</f>
        <v>14.861789999999999</v>
      </c>
    </row>
    <row r="34" spans="2:22" x14ac:dyDescent="0.25">
      <c r="B34" s="54" t="s">
        <v>154</v>
      </c>
      <c r="C34" s="310" t="str">
        <f>VAC_Optim_Scenario!B20</f>
        <v>HCC Online Video</v>
      </c>
      <c r="D34" s="253">
        <f t="shared" si="4"/>
        <v>0.5</v>
      </c>
      <c r="E34" s="253">
        <f t="shared" si="5"/>
        <v>0.5</v>
      </c>
      <c r="F34" s="253">
        <f t="shared" si="6"/>
        <v>0.5</v>
      </c>
      <c r="G34" s="253">
        <f t="shared" si="7"/>
        <v>0.5</v>
      </c>
      <c r="H34" s="253">
        <f t="shared" si="8"/>
        <v>0.5</v>
      </c>
      <c r="J34" s="257">
        <v>0.4</v>
      </c>
      <c r="K34" s="258">
        <f>H$31</f>
        <v>0.99999999999999989</v>
      </c>
      <c r="L34" s="258">
        <f>H$32</f>
        <v>5.4</v>
      </c>
      <c r="M34" s="258">
        <f>H$33</f>
        <v>1.5994999999999999</v>
      </c>
      <c r="N34" s="258">
        <f>H$34</f>
        <v>0.5</v>
      </c>
      <c r="O34" s="258">
        <f>H$35</f>
        <v>6.4637140000000004</v>
      </c>
      <c r="P34" s="258">
        <f>H$36</f>
        <v>1.5</v>
      </c>
      <c r="Q34" s="258">
        <f>H$37</f>
        <v>0.3</v>
      </c>
      <c r="R34" s="258">
        <f>H$38</f>
        <v>1.4</v>
      </c>
      <c r="S34" s="258">
        <f>H$39</f>
        <v>14.861789999999999</v>
      </c>
    </row>
    <row r="35" spans="2:22" x14ac:dyDescent="0.25">
      <c r="B35" s="54" t="s">
        <v>154</v>
      </c>
      <c r="C35" s="310" t="str">
        <f>VAC_Optim_Scenario!B21</f>
        <v>HCC Streaming Video</v>
      </c>
      <c r="D35" s="253">
        <f t="shared" si="4"/>
        <v>6.4637140000000004</v>
      </c>
      <c r="E35" s="253">
        <f t="shared" si="5"/>
        <v>6.4637140000000004</v>
      </c>
      <c r="F35" s="253">
        <f t="shared" si="6"/>
        <v>6.4637140000000004</v>
      </c>
      <c r="G35" s="253">
        <f t="shared" si="7"/>
        <v>6.4637140000000004</v>
      </c>
      <c r="H35" s="253">
        <f t="shared" si="8"/>
        <v>6.4637140000000004</v>
      </c>
      <c r="J35" s="256">
        <v>2</v>
      </c>
      <c r="K35" s="258">
        <f>F$31</f>
        <v>0.99999999999999989</v>
      </c>
      <c r="L35" s="258">
        <f>F$32</f>
        <v>5.4</v>
      </c>
      <c r="M35" s="258">
        <f>F$33</f>
        <v>1.5994999999999999</v>
      </c>
      <c r="N35" s="258">
        <f>F$34</f>
        <v>0.5</v>
      </c>
      <c r="O35" s="258">
        <f>F$35</f>
        <v>6.4637140000000004</v>
      </c>
      <c r="P35" s="258">
        <f>F$36</f>
        <v>1.5</v>
      </c>
      <c r="Q35" s="258">
        <f>F$37</f>
        <v>0.3</v>
      </c>
      <c r="R35" s="258">
        <f>F$38</f>
        <v>1.4</v>
      </c>
      <c r="S35" s="258">
        <f>F$39</f>
        <v>14.861789999999999</v>
      </c>
    </row>
    <row r="36" spans="2:22" x14ac:dyDescent="0.25">
      <c r="B36" s="54" t="s">
        <v>154</v>
      </c>
      <c r="C36" s="310" t="str">
        <f>VAC_Optim_Scenario!B22</f>
        <v>HCC Display</v>
      </c>
      <c r="D36" s="253">
        <f t="shared" si="4"/>
        <v>1.5</v>
      </c>
      <c r="E36" s="253">
        <f t="shared" si="5"/>
        <v>1.5</v>
      </c>
      <c r="F36" s="253">
        <f t="shared" si="6"/>
        <v>1.5</v>
      </c>
      <c r="G36" s="253">
        <f t="shared" si="7"/>
        <v>1.5</v>
      </c>
      <c r="H36" s="253">
        <f t="shared" si="8"/>
        <v>1.5</v>
      </c>
    </row>
    <row r="37" spans="2:22" x14ac:dyDescent="0.25">
      <c r="B37" s="54" t="s">
        <v>154</v>
      </c>
      <c r="C37" s="310" t="str">
        <f>VAC_Optim_Scenario!B23</f>
        <v>HCC Paid Search</v>
      </c>
      <c r="D37" s="253">
        <f t="shared" si="4"/>
        <v>0.3</v>
      </c>
      <c r="E37" s="253">
        <f t="shared" si="5"/>
        <v>0.3</v>
      </c>
      <c r="F37" s="253">
        <f t="shared" si="6"/>
        <v>0.3</v>
      </c>
      <c r="G37" s="253">
        <f t="shared" si="7"/>
        <v>0.3</v>
      </c>
      <c r="H37" s="253">
        <f t="shared" si="8"/>
        <v>0.3</v>
      </c>
      <c r="J37" s="274"/>
      <c r="K37" s="259"/>
      <c r="L37" s="259"/>
      <c r="M37" s="259"/>
      <c r="N37" s="259"/>
      <c r="O37" s="259"/>
      <c r="P37" s="259"/>
      <c r="Q37" s="259"/>
      <c r="R37" s="259"/>
    </row>
    <row r="38" spans="2:22" x14ac:dyDescent="0.25">
      <c r="B38" s="54" t="s">
        <v>154</v>
      </c>
      <c r="C38" s="310" t="str">
        <f>VAC_Optim_Scenario!B24</f>
        <v>HCC Audio</v>
      </c>
      <c r="D38" s="253">
        <f t="shared" si="4"/>
        <v>1.4</v>
      </c>
      <c r="E38" s="253">
        <f t="shared" si="5"/>
        <v>1.4</v>
      </c>
      <c r="F38" s="253">
        <f t="shared" si="6"/>
        <v>1.4</v>
      </c>
      <c r="G38" s="253">
        <f t="shared" si="7"/>
        <v>1.4</v>
      </c>
      <c r="H38" s="253">
        <f t="shared" si="8"/>
        <v>1.4</v>
      </c>
      <c r="J38" s="275"/>
      <c r="K38" s="260"/>
      <c r="L38" s="260"/>
      <c r="M38" s="260"/>
      <c r="N38" s="260"/>
      <c r="O38" s="260"/>
      <c r="P38" s="260"/>
      <c r="Q38" s="260"/>
      <c r="R38" s="260"/>
    </row>
    <row r="39" spans="2:22" x14ac:dyDescent="0.25">
      <c r="B39" s="97" t="s">
        <v>154</v>
      </c>
      <c r="C39" s="311" t="str">
        <f>VAC_Optim_Scenario!B25</f>
        <v>HCC TV</v>
      </c>
      <c r="D39" s="253">
        <f t="shared" si="4"/>
        <v>14.861789999999999</v>
      </c>
      <c r="E39" s="253">
        <f t="shared" si="5"/>
        <v>14.861789999999999</v>
      </c>
      <c r="F39" s="253">
        <f t="shared" si="6"/>
        <v>14.861789999999999</v>
      </c>
      <c r="G39" s="253">
        <f t="shared" si="7"/>
        <v>14.861789999999999</v>
      </c>
      <c r="H39" s="253">
        <f t="shared" si="8"/>
        <v>14.861789999999999</v>
      </c>
      <c r="J39" s="274"/>
      <c r="K39" s="259"/>
      <c r="L39" s="259"/>
      <c r="M39" s="259"/>
      <c r="N39" s="259"/>
      <c r="O39" s="259"/>
      <c r="P39" s="259"/>
      <c r="Q39" s="259"/>
      <c r="R39" s="259"/>
    </row>
    <row r="40" spans="2:22" x14ac:dyDescent="0.25">
      <c r="L40" s="191"/>
      <c r="M40" s="191"/>
      <c r="O40" s="191"/>
      <c r="P40" s="191"/>
    </row>
    <row r="41" spans="2:22" x14ac:dyDescent="0.25">
      <c r="L41" s="258"/>
      <c r="M41" s="258"/>
      <c r="N41" s="258"/>
      <c r="O41" s="258"/>
      <c r="P41" s="258"/>
    </row>
    <row r="42" spans="2:22" x14ac:dyDescent="0.25">
      <c r="L42" s="258"/>
      <c r="M42" s="258"/>
      <c r="N42" s="258"/>
      <c r="O42" s="258"/>
      <c r="P42" s="258"/>
    </row>
    <row r="43" spans="2:22" x14ac:dyDescent="0.25">
      <c r="L43" s="258"/>
      <c r="M43" s="258"/>
      <c r="N43" s="258"/>
      <c r="O43" s="258"/>
      <c r="P43" s="258"/>
    </row>
    <row r="44" spans="2:22" x14ac:dyDescent="0.25">
      <c r="L44" s="258"/>
      <c r="M44" s="258"/>
      <c r="N44" s="258"/>
      <c r="O44" s="258"/>
      <c r="P44" s="258"/>
      <c r="S44" s="261"/>
      <c r="T44" s="261"/>
      <c r="V44" s="261"/>
    </row>
    <row r="45" spans="2:22" x14ac:dyDescent="0.25">
      <c r="L45" s="258"/>
      <c r="M45" s="258"/>
      <c r="N45" s="258"/>
      <c r="O45" s="258"/>
      <c r="P45" s="262"/>
      <c r="S45" s="263"/>
      <c r="T45" s="263"/>
      <c r="U45" s="263"/>
      <c r="V45" s="263"/>
    </row>
    <row r="46" spans="2:22" x14ac:dyDescent="0.25">
      <c r="L46" s="258"/>
      <c r="M46" s="258"/>
      <c r="N46" s="258"/>
      <c r="O46" s="258"/>
      <c r="P46" s="258"/>
      <c r="S46" s="263"/>
      <c r="T46" s="263"/>
      <c r="U46" s="263"/>
      <c r="V46" s="263"/>
    </row>
    <row r="47" spans="2:22" x14ac:dyDescent="0.25">
      <c r="L47" s="258"/>
      <c r="M47" s="258"/>
      <c r="N47" s="258"/>
      <c r="O47" s="258"/>
      <c r="P47" s="258"/>
    </row>
    <row r="48" spans="2:22" x14ac:dyDescent="0.25">
      <c r="L48" s="258"/>
      <c r="M48" s="258"/>
      <c r="N48" s="258"/>
      <c r="O48" s="258"/>
      <c r="P48" s="258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5"/>
  <sheetViews>
    <sheetView zoomScale="90" zoomScaleNormal="90" workbookViewId="0">
      <selection activeCell="J5" sqref="J5"/>
    </sheetView>
  </sheetViews>
  <sheetFormatPr defaultColWidth="8.7109375" defaultRowHeight="15" x14ac:dyDescent="0.25"/>
  <cols>
    <col min="1" max="1" width="8.7109375" style="97"/>
    <col min="2" max="2" width="18.7109375" style="97" bestFit="1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3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28515625" style="97" bestFit="1" customWidth="1"/>
    <col min="19" max="16384" width="8.7109375" style="97"/>
  </cols>
  <sheetData>
    <row r="2" spans="1:18" x14ac:dyDescent="0.25">
      <c r="D2" s="420">
        <v>2023</v>
      </c>
      <c r="E2" s="420"/>
      <c r="F2" s="420"/>
      <c r="G2" s="420"/>
      <c r="H2" s="420"/>
      <c r="I2" s="420"/>
      <c r="L2" s="97" t="s">
        <v>298</v>
      </c>
    </row>
    <row r="3" spans="1:18" ht="51" x14ac:dyDescent="0.25">
      <c r="B3" s="233" t="s">
        <v>2</v>
      </c>
      <c r="C3" s="234" t="s">
        <v>3</v>
      </c>
      <c r="D3" s="234" t="s">
        <v>294</v>
      </c>
      <c r="E3" s="234" t="s">
        <v>295</v>
      </c>
      <c r="F3" s="234" t="s">
        <v>296</v>
      </c>
      <c r="G3" s="234" t="s">
        <v>297</v>
      </c>
      <c r="H3" s="234" t="s">
        <v>220</v>
      </c>
      <c r="I3" s="234" t="s">
        <v>221</v>
      </c>
      <c r="J3" s="306" t="s">
        <v>205</v>
      </c>
      <c r="K3"/>
      <c r="L3" s="366">
        <v>8649234</v>
      </c>
      <c r="M3" s="235" t="s">
        <v>299</v>
      </c>
    </row>
    <row r="4" spans="1:18" x14ac:dyDescent="0.25">
      <c r="A4" s="97" t="s">
        <v>300</v>
      </c>
      <c r="B4" s="382" t="s">
        <v>173</v>
      </c>
      <c r="C4" s="383" t="str">
        <f>VAC_Optim_Scenario!B17</f>
        <v>HCC In Office</v>
      </c>
      <c r="D4" s="367">
        <f>VAC_Optim_Scenario!E17</f>
        <v>1755293</v>
      </c>
      <c r="E4" s="369">
        <f>VAC_Optim_Scenario!F17</f>
        <v>34079.723304951563</v>
      </c>
      <c r="F4" s="367">
        <f>VAC_Optim_Scenario!G35</f>
        <v>7699972.6835207557</v>
      </c>
      <c r="G4" s="373">
        <f>F4/D4</f>
        <v>4.3867164533332925</v>
      </c>
      <c r="H4" s="374">
        <f>E4/$L$3</f>
        <v>3.9402013293838006E-3</v>
      </c>
      <c r="I4" s="375">
        <f>D4/E4</f>
        <v>51.50549446347668</v>
      </c>
      <c r="J4" s="389">
        <f ca="1">(VLOOKUP($Q4,INDIRECT("'"&amp;A4&amp;"'!"&amp;"A20:E42"),5,0)-VLOOKUP($R4,INDIRECT("'"&amp;A4&amp;"'!"&amp;"A20:E42"),5,0))/(Q4-R4)</f>
        <v>3.0770541370015128</v>
      </c>
      <c r="K4"/>
      <c r="Q4" s="388" cm="1">
        <f t="array" aca="1" ref="Q4" ca="1">MAX(_xlfn._xlws.FILTER(INDIRECT("'"&amp;A4&amp;"'!"&amp;"A20:A42"),INDIRECT("'"&amp;A4&amp;"'!"&amp;"A20:A42")&lt;$D4))</f>
        <v>1600000</v>
      </c>
      <c r="R4" s="388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301</v>
      </c>
      <c r="B5" s="384" t="s">
        <v>173</v>
      </c>
      <c r="C5" s="385" t="str">
        <f>VAC_Optim_Scenario!B18</f>
        <v>HCP MCM</v>
      </c>
      <c r="D5" s="368">
        <f>VAC_Optim_Scenario!E18</f>
        <v>5365372.8900000006</v>
      </c>
      <c r="E5" s="370">
        <f>VAC_Optim_Scenario!F18</f>
        <v>282596.87941192184</v>
      </c>
      <c r="F5" s="368">
        <f>VAC_Optim_Scenario!G36</f>
        <v>63849938.934329621</v>
      </c>
      <c r="G5" s="376">
        <f>F5/D5</f>
        <v>11.900373048317544</v>
      </c>
      <c r="H5" s="377">
        <f t="shared" ref="H5:H12" si="0">E5/$L$3</f>
        <v>3.2673052828946683E-2</v>
      </c>
      <c r="I5" s="378">
        <f t="shared" ref="I5:I12" si="1">D5/E5</f>
        <v>18.98595943863651</v>
      </c>
      <c r="J5" s="390">
        <f t="shared" ref="J5:J9" ca="1" si="2">(VLOOKUP($Q5,INDIRECT("'"&amp;A5&amp;"'!"&amp;"A20:E42"),5,0)-VLOOKUP($R5,INDIRECT("'"&amp;A5&amp;"'!"&amp;"A20:E42"),5,0))/(Q5-R5)</f>
        <v>8.4227566464673362</v>
      </c>
      <c r="K5"/>
      <c r="Q5" s="388" cm="1">
        <f t="array" aca="1" ref="Q5" ca="1">MAX(_xlfn._xlws.FILTER(INDIRECT("'"&amp;A5&amp;"'!"&amp;"A20:A42"),INDIRECT("'"&amp;A5&amp;"'!"&amp;"A20:A42")&lt;$D5))</f>
        <v>4800000</v>
      </c>
      <c r="R5" s="388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302</v>
      </c>
      <c r="B6" s="384" t="s">
        <v>173</v>
      </c>
      <c r="C6" s="385" t="str">
        <f>VAC_Optim_Scenario!B19</f>
        <v>HCC Social</v>
      </c>
      <c r="D6" s="368">
        <f>VAC_Optim_Scenario!E19</f>
        <v>1873000</v>
      </c>
      <c r="E6" s="370">
        <f>VAC_Optim_Scenario!F19</f>
        <v>71243.17418511775</v>
      </c>
      <c r="F6" s="368">
        <f>VAC_Optim_Scenario!G37</f>
        <v>16096682.775385505</v>
      </c>
      <c r="G6" s="376">
        <f t="shared" ref="G6:G12" si="3">F6/D6</f>
        <v>8.5940644823200767</v>
      </c>
      <c r="H6" s="377">
        <f t="shared" si="0"/>
        <v>8.2369345291291411E-3</v>
      </c>
      <c r="I6" s="378">
        <f t="shared" si="1"/>
        <v>26.290237926979646</v>
      </c>
      <c r="J6" s="390">
        <f ca="1">(VLOOKUP($Q6,INDIRECT("'"&amp;A6&amp;"'!"&amp;"A20:E42"),3,0)-VLOOKUP($R6,INDIRECT("'"&amp;A6&amp;"'!"&amp;"A20:E42"),3,0))/(Q6-R6)</f>
        <v>5.1563798454813883</v>
      </c>
      <c r="K6"/>
      <c r="Q6" s="388" cm="1">
        <f t="array" aca="1" ref="Q6" ca="1">MAX(_xlfn._xlws.FILTER(INDIRECT("'"&amp;A6&amp;"'!"&amp;"A20:A42"),INDIRECT("'"&amp;A6&amp;"'!"&amp;"A20:A42")&lt;$D6))</f>
        <v>1750000</v>
      </c>
      <c r="R6" s="388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303</v>
      </c>
      <c r="B7" s="384" t="s">
        <v>173</v>
      </c>
      <c r="C7" s="385" t="str">
        <f>VAC_Optim_Scenario!B20</f>
        <v>HCC Online Video</v>
      </c>
      <c r="D7" s="368">
        <f>VAC_Optim_Scenario!E20</f>
        <v>173076.94</v>
      </c>
      <c r="E7" s="370">
        <f>VAC_Optim_Scenario!F20</f>
        <v>7568.2941111773252</v>
      </c>
      <c r="F7" s="368">
        <f>VAC_Optim_Scenario!G38</f>
        <v>1709980.3714794049</v>
      </c>
      <c r="G7" s="376">
        <f t="shared" si="3"/>
        <v>9.8798856247366338</v>
      </c>
      <c r="H7" s="377">
        <f t="shared" si="0"/>
        <v>8.7502478383372738E-4</v>
      </c>
      <c r="I7" s="378">
        <f t="shared" si="1"/>
        <v>22.868685790684225</v>
      </c>
      <c r="J7" s="390">
        <f t="shared" ca="1" si="2"/>
        <v>7.3949364813552894</v>
      </c>
      <c r="K7"/>
      <c r="Q7" s="388" cm="1">
        <f t="array" aca="1" ref="Q7" ca="1">MAX(_xlfn._xlws.FILTER(INDIRECT("'"&amp;A7&amp;"'!"&amp;"A20:A42"),INDIRECT("'"&amp;A7&amp;"'!"&amp;"A20:A42")&lt;$D7))</f>
        <v>103851.36184614981</v>
      </c>
      <c r="R7" s="388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304</v>
      </c>
      <c r="B8" s="384" t="s">
        <v>173</v>
      </c>
      <c r="C8" s="385" t="str">
        <f>VAC_Optim_Scenario!B21</f>
        <v>HCC Streaming Video</v>
      </c>
      <c r="D8" s="368">
        <f>VAC_Optim_Scenario!E21</f>
        <v>6180125</v>
      </c>
      <c r="E8" s="370">
        <f>VAC_Optim_Scenario!F21</f>
        <v>144657.20917756393</v>
      </c>
      <c r="F8" s="368">
        <f>VAC_Optim_Scenario!G39</f>
        <v>32683849.841578793</v>
      </c>
      <c r="G8" s="376">
        <f t="shared" si="3"/>
        <v>5.2885418727904039</v>
      </c>
      <c r="H8" s="377">
        <f t="shared" si="0"/>
        <v>1.6724857851870341E-2</v>
      </c>
      <c r="I8" s="378">
        <f t="shared" si="1"/>
        <v>42.722551023461378</v>
      </c>
      <c r="J8" s="390">
        <f ca="1">(VLOOKUP($Q8,INDIRECT("'"&amp;A8&amp;"'!"&amp;"A20:E42"),3,0)-VLOOKUP($R8,INDIRECT("'"&amp;A8&amp;"'!"&amp;"A20:E42"),3,0))/(Q8-R8)</f>
        <v>3.6898979193167833</v>
      </c>
      <c r="K8"/>
      <c r="Q8" s="388" cm="1">
        <f t="array" aca="1" ref="Q8" ca="1">MAX(_xlfn._xlws.FILTER(INDIRECT("'"&amp;A8&amp;"'!"&amp;"A20:A42"),INDIRECT("'"&amp;A8&amp;"'!"&amp;"A20:A42")&lt;$D8))</f>
        <v>6000000</v>
      </c>
      <c r="R8" s="388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305</v>
      </c>
      <c r="B9" s="384" t="s">
        <v>173</v>
      </c>
      <c r="C9" s="385" t="str">
        <f>VAC_Optim_Scenario!B22</f>
        <v>HCC Display</v>
      </c>
      <c r="D9" s="368">
        <f>VAC_Optim_Scenario!E22</f>
        <v>1648357.37</v>
      </c>
      <c r="E9" s="370">
        <f>VAC_Optim_Scenario!F22</f>
        <v>104116.36986385845</v>
      </c>
      <c r="F9" s="368">
        <f>VAC_Optim_Scenario!G40</f>
        <v>23524052.607040178</v>
      </c>
      <c r="G9" s="376">
        <f t="shared" si="3"/>
        <v>14.271209044334952</v>
      </c>
      <c r="H9" s="377">
        <f t="shared" si="0"/>
        <v>1.2037640542949635E-2</v>
      </c>
      <c r="I9" s="378">
        <f t="shared" si="1"/>
        <v>15.831875161949808</v>
      </c>
      <c r="J9" s="390">
        <f t="shared" ca="1" si="2"/>
        <v>10.825038062094338</v>
      </c>
      <c r="K9"/>
      <c r="Q9" s="388" cm="1">
        <f t="array" aca="1" ref="Q9" ca="1">MAX(_xlfn._xlws.FILTER(INDIRECT("'"&amp;A9&amp;"'!"&amp;"A20:A42"),INDIRECT("'"&amp;A9&amp;"'!"&amp;"A20:A42")&lt;$D9))</f>
        <v>1600000</v>
      </c>
      <c r="R9" s="388" cm="1">
        <f t="array" aca="1" ref="R9" ca="1">MIN(_xlfn._xlws.FILTER(INDIRECT("'"&amp;A9&amp;"'!"&amp;"A20:A42"),INDIRECT("'"&amp;A9&amp;"'!"&amp;"A20:A42")&gt;=$D9))</f>
        <v>1800000</v>
      </c>
    </row>
    <row r="10" spans="1:18" x14ac:dyDescent="0.25">
      <c r="A10" s="97" t="s">
        <v>306</v>
      </c>
      <c r="B10" s="384" t="s">
        <v>173</v>
      </c>
      <c r="C10" s="385" t="str">
        <f>VAC_Optim_Scenario!B23</f>
        <v>HCC Paid Search</v>
      </c>
      <c r="D10" s="368">
        <f>VAC_Optim_Scenario!E23</f>
        <v>344707</v>
      </c>
      <c r="E10" s="370">
        <f>VAC_Optim_Scenario!F23</f>
        <v>130694.08808973072</v>
      </c>
      <c r="F10" s="368">
        <f>VAC_Optim_Scenario!G41</f>
        <v>29529022.26299376</v>
      </c>
      <c r="G10" s="376">
        <f t="shared" si="3"/>
        <v>85.664121305902583</v>
      </c>
      <c r="H10" s="377">
        <f t="shared" si="0"/>
        <v>1.5110481239116749E-2</v>
      </c>
      <c r="I10" s="378">
        <f t="shared" si="1"/>
        <v>2.6375102733287696</v>
      </c>
      <c r="J10" s="390">
        <f ca="1">(VLOOKUP($Q10,INDIRECT("'"&amp;A10&amp;"'!"&amp;"A20:E42"),3,0)-VLOOKUP($R10,INDIRECT("'"&amp;A10&amp;"'!"&amp;"A20:E42"),3,0))/(Q10-R10)</f>
        <v>58.622972004453118</v>
      </c>
      <c r="K10"/>
      <c r="Q10" s="388" cm="1">
        <f t="array" aca="1" ref="Q10" ca="1">MAX(_xlfn._xlws.FILTER(INDIRECT("'"&amp;A10&amp;"'!"&amp;"A20:A42"),INDIRECT("'"&amp;A10&amp;"'!"&amp;"A20:A42")&lt;$D10))</f>
        <v>300000</v>
      </c>
      <c r="R10" s="388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307</v>
      </c>
      <c r="B11" s="384" t="s">
        <v>173</v>
      </c>
      <c r="C11" s="385" t="str">
        <f>VAC_Optim_Scenario!B24</f>
        <v>HCC Audio</v>
      </c>
      <c r="D11" s="368">
        <f>VAC_Optim_Scenario!E24</f>
        <v>1437048.41</v>
      </c>
      <c r="E11" s="370">
        <f>VAC_Optim_Scenario!F24</f>
        <v>70569.092436493243</v>
      </c>
      <c r="F11" s="368">
        <f>VAC_Optim_Scenario!G42</f>
        <v>15944380.745101282</v>
      </c>
      <c r="G11" s="376">
        <f t="shared" si="3"/>
        <v>11.095228688295395</v>
      </c>
      <c r="H11" s="377">
        <f t="shared" si="0"/>
        <v>8.1589991017115785E-3</v>
      </c>
      <c r="I11" s="378">
        <f t="shared" si="1"/>
        <v>20.363708252210174</v>
      </c>
      <c r="J11" s="390">
        <f ca="1">(VLOOKUP($Q11,INDIRECT("'"&amp;A11&amp;"'!"&amp;"A20:E42"),3,0)-VLOOKUP($R11,INDIRECT("'"&amp;A11&amp;"'!"&amp;"A20:E42"),3,0))/(Q11-R11)</f>
        <v>6.5466633097348268</v>
      </c>
      <c r="K11"/>
      <c r="Q11" s="388" cm="1">
        <f t="array" aca="1" ref="Q11" ca="1">MAX(_xlfn._xlws.FILTER(INDIRECT("'"&amp;A11&amp;"'!"&amp;"A20:A42"),INDIRECT("'"&amp;A11&amp;"'!"&amp;"A20:A42")&lt;$D11))</f>
        <v>1400000</v>
      </c>
      <c r="R11" s="388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308</v>
      </c>
      <c r="B12" s="384" t="s">
        <v>173</v>
      </c>
      <c r="C12" s="385" t="str">
        <f>VAC_Optim_Scenario!B25</f>
        <v>HCC TV</v>
      </c>
      <c r="D12" s="368">
        <f>VAC_Optim_Scenario!E25</f>
        <v>13503524.99</v>
      </c>
      <c r="E12" s="370">
        <f>VAC_Optim_Scenario!F25</f>
        <v>253686.28893952153</v>
      </c>
      <c r="F12" s="368">
        <f>VAC_Optim_Scenario!G43</f>
        <v>57317880.122995496</v>
      </c>
      <c r="G12" s="376">
        <f t="shared" si="3"/>
        <v>4.2446605731053264</v>
      </c>
      <c r="H12" s="377">
        <f t="shared" si="0"/>
        <v>2.9330492034268182E-2</v>
      </c>
      <c r="I12" s="378">
        <f t="shared" si="1"/>
        <v>53.229226721114685</v>
      </c>
      <c r="J12" s="390">
        <f ca="1">(VLOOKUP($Q12,INDIRECT("'"&amp;A12&amp;"'!"&amp;"A20:E42"),3,0)-VLOOKUP($R12,INDIRECT("'"&amp;A12&amp;"'!"&amp;"A20:E42"),3,0))/(Q12-R12)</f>
        <v>2.9971565057842673</v>
      </c>
      <c r="K12"/>
      <c r="Q12" s="388" cm="1">
        <f t="array" aca="1" ref="Q12" ca="1">MAX(_xlfn._xlws.FILTER(INDIRECT("'"&amp;A12&amp;"'!"&amp;"A20:A42"),INDIRECT("'"&amp;A12&amp;"'!"&amp;"A20:A42")&lt;$D12))</f>
        <v>12500000</v>
      </c>
      <c r="R12" s="388" cm="1">
        <f t="array" aca="1" ref="R12" ca="1">MIN(_xlfn._xlws.FILTER(INDIRECT("'"&amp;A12&amp;"'!"&amp;"A20:A42"),INDIRECT("'"&amp;A12&amp;"'!"&amp;"A20:A42")&gt;=$D12))</f>
        <v>13750000</v>
      </c>
    </row>
    <row r="13" spans="1:18" ht="15.75" x14ac:dyDescent="0.25">
      <c r="B13" s="386" t="s">
        <v>154</v>
      </c>
      <c r="C13" s="387" t="s">
        <v>228</v>
      </c>
      <c r="D13" s="372">
        <f>SUM(D4:D12)</f>
        <v>32280505.600000001</v>
      </c>
      <c r="E13" s="371">
        <f>SUM(E4:E12)</f>
        <v>1099211.1195203364</v>
      </c>
      <c r="F13" s="372">
        <f>SUM(F4:F12)</f>
        <v>248355760.34442478</v>
      </c>
      <c r="G13" s="379">
        <f>F13/D13</f>
        <v>7.6936762831999994</v>
      </c>
      <c r="H13" s="380">
        <f>SUM(H4:H12)</f>
        <v>0.12708768424120984</v>
      </c>
      <c r="I13" s="381">
        <f>D13/E13</f>
        <v>29.366975121290867</v>
      </c>
      <c r="J13" s="307"/>
    </row>
    <row r="14" spans="1:18" x14ac:dyDescent="0.25">
      <c r="F14" s="97">
        <f>F13/D13</f>
        <v>7.6936762831999994</v>
      </c>
      <c r="G14" s="239"/>
      <c r="H14" s="240"/>
    </row>
    <row r="16" spans="1:18" ht="38.25" x14ac:dyDescent="0.25">
      <c r="E16" s="234" t="s">
        <v>3</v>
      </c>
      <c r="F16" s="235" t="s">
        <v>309</v>
      </c>
    </row>
    <row r="17" spans="5:6" x14ac:dyDescent="0.25">
      <c r="E17" s="236" t="s">
        <v>226</v>
      </c>
      <c r="F17" s="273">
        <f t="shared" ref="F17:F25" si="4">VLOOKUP(E17,$C$4:$I$12,7,0)</f>
        <v>2.6375102733287696</v>
      </c>
    </row>
    <row r="18" spans="5:6" x14ac:dyDescent="0.25">
      <c r="E18" s="237" t="s">
        <v>225</v>
      </c>
      <c r="F18" s="273">
        <f t="shared" si="4"/>
        <v>15.831875161949808</v>
      </c>
    </row>
    <row r="19" spans="5:6" x14ac:dyDescent="0.25">
      <c r="E19" s="237" t="s">
        <v>223</v>
      </c>
      <c r="F19" s="273">
        <f t="shared" si="4"/>
        <v>18.98595943863651</v>
      </c>
    </row>
    <row r="20" spans="5:6" x14ac:dyDescent="0.25">
      <c r="E20" s="237" t="s">
        <v>281</v>
      </c>
      <c r="F20" s="273">
        <f t="shared" si="4"/>
        <v>20.363708252210174</v>
      </c>
    </row>
    <row r="21" spans="5:6" x14ac:dyDescent="0.25">
      <c r="E21" s="237" t="s">
        <v>242</v>
      </c>
      <c r="F21" s="273">
        <f t="shared" si="4"/>
        <v>22.868685790684225</v>
      </c>
    </row>
    <row r="22" spans="5:6" x14ac:dyDescent="0.25">
      <c r="E22" s="237" t="s">
        <v>224</v>
      </c>
      <c r="F22" s="273">
        <f t="shared" si="4"/>
        <v>26.290237926979646</v>
      </c>
    </row>
    <row r="23" spans="5:6" x14ac:dyDescent="0.25">
      <c r="E23" s="237" t="s">
        <v>244</v>
      </c>
      <c r="F23" s="273">
        <f t="shared" si="4"/>
        <v>42.722551023461378</v>
      </c>
    </row>
    <row r="24" spans="5:6" x14ac:dyDescent="0.25">
      <c r="E24" s="237" t="s">
        <v>222</v>
      </c>
      <c r="F24" s="273">
        <f t="shared" si="4"/>
        <v>51.50549446347668</v>
      </c>
    </row>
    <row r="25" spans="5:6" x14ac:dyDescent="0.25">
      <c r="E25" s="238" t="s">
        <v>187</v>
      </c>
      <c r="F25" s="273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:J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97" t="s">
        <v>198</v>
      </c>
      <c r="H4" s="397"/>
      <c r="I4" s="398" t="s">
        <v>199</v>
      </c>
      <c r="J4" s="398"/>
      <c r="K4" s="399" t="s">
        <v>200</v>
      </c>
      <c r="L4" s="399"/>
    </row>
    <row r="5" spans="2:13" ht="38.65" customHeight="1" x14ac:dyDescent="0.25">
      <c r="B5" s="197"/>
      <c r="C5" s="272" t="s">
        <v>201</v>
      </c>
      <c r="D5" s="272" t="s">
        <v>202</v>
      </c>
      <c r="E5" s="181" t="s">
        <v>203</v>
      </c>
      <c r="F5" s="272" t="s">
        <v>291</v>
      </c>
      <c r="G5" s="293" t="s">
        <v>285</v>
      </c>
      <c r="H5" s="293"/>
      <c r="I5" s="293" t="s">
        <v>285</v>
      </c>
      <c r="J5" s="293"/>
      <c r="K5" s="293" t="s">
        <v>285</v>
      </c>
      <c r="L5" s="293"/>
      <c r="M5" s="294"/>
    </row>
    <row r="6" spans="2:13" ht="15" customHeight="1" x14ac:dyDescent="0.25">
      <c r="B6" s="197"/>
      <c r="C6" s="183">
        <f>$C$9+E6</f>
        <v>64561011.200000003</v>
      </c>
      <c r="D6" s="184">
        <v>1</v>
      </c>
      <c r="E6" s="185">
        <f>D6*$C$9</f>
        <v>32280505.600000001</v>
      </c>
      <c r="F6" s="272"/>
      <c r="G6" s="183">
        <f>'Scenario deep dive_24'!P16</f>
        <v>388734779.8014487</v>
      </c>
      <c r="H6" s="293"/>
      <c r="I6" s="183">
        <f t="shared" ref="I6:J7" si="0">G6-$F$9</f>
        <v>140379019.45702392</v>
      </c>
      <c r="J6" s="183">
        <f t="shared" si="0"/>
        <v>-248355760.34442478</v>
      </c>
      <c r="K6" s="186">
        <f t="shared" ref="K6:L8" si="1">G6/$C6</f>
        <v>6.0212002968356337</v>
      </c>
      <c r="L6" s="186">
        <f t="shared" si="1"/>
        <v>0</v>
      </c>
      <c r="M6" s="294"/>
    </row>
    <row r="7" spans="2:13" ht="15" customHeight="1" x14ac:dyDescent="0.25">
      <c r="B7" s="197"/>
      <c r="C7" s="183">
        <f>$C$9+E7</f>
        <v>48420758.400000006</v>
      </c>
      <c r="D7" s="184">
        <v>0.5</v>
      </c>
      <c r="E7" s="185">
        <f>D7*$C$9</f>
        <v>16140252.800000001</v>
      </c>
      <c r="F7" s="272"/>
      <c r="G7" s="183">
        <f>'Scenario deep dive_24'!L16</f>
        <v>337104930.94327742</v>
      </c>
      <c r="H7" s="293"/>
      <c r="I7" s="183">
        <f t="shared" si="0"/>
        <v>88749170.598852634</v>
      </c>
      <c r="J7" s="183">
        <f t="shared" si="0"/>
        <v>-248355760.34442478</v>
      </c>
      <c r="K7" s="186">
        <f t="shared" si="1"/>
        <v>6.9619919654806024</v>
      </c>
      <c r="L7" s="186">
        <f t="shared" si="1"/>
        <v>0</v>
      </c>
      <c r="M7" s="294"/>
    </row>
    <row r="8" spans="2:13" ht="15" customHeight="1" x14ac:dyDescent="0.25">
      <c r="B8" s="197"/>
      <c r="C8" s="183">
        <v>33025004</v>
      </c>
      <c r="D8" s="184">
        <v>0.02</v>
      </c>
      <c r="E8" s="185">
        <v>744498.39999999851</v>
      </c>
      <c r="F8" s="272"/>
      <c r="G8" s="183">
        <f>'Scenario deep dive_24'!H16</f>
        <v>246138403.80632758</v>
      </c>
      <c r="H8" s="293"/>
      <c r="I8" s="183">
        <f t="shared" ref="I8" si="2">G8-$F$9</f>
        <v>-2217356.5380972028</v>
      </c>
      <c r="J8" s="183">
        <f t="shared" ref="J8" si="3">H8-$F$9</f>
        <v>-248355760.34442478</v>
      </c>
      <c r="K8" s="186">
        <f t="shared" ref="K8" si="4">G8/$C8</f>
        <v>7.4530923238140288</v>
      </c>
      <c r="L8" s="186">
        <f t="shared" si="1"/>
        <v>0</v>
      </c>
      <c r="M8" s="294"/>
    </row>
    <row r="9" spans="2:13" x14ac:dyDescent="0.25">
      <c r="B9" s="188">
        <f>F9/C9</f>
        <v>7.6936762831999994</v>
      </c>
      <c r="C9" s="183">
        <f>'Scenario deep dive_24'!C16</f>
        <v>32280505.600000001</v>
      </c>
      <c r="D9" s="184">
        <v>0</v>
      </c>
      <c r="E9" s="185">
        <f>D9*$C$9</f>
        <v>0</v>
      </c>
      <c r="F9" s="183">
        <f>'Scenario deep dive_24'!D16</f>
        <v>248355760.34442478</v>
      </c>
      <c r="G9" s="183"/>
      <c r="H9" s="183"/>
      <c r="I9" s="183"/>
      <c r="J9" s="183"/>
      <c r="K9" s="186"/>
      <c r="L9" s="186"/>
    </row>
    <row r="10" spans="2:13" x14ac:dyDescent="0.25">
      <c r="C10" s="183"/>
      <c r="D10" s="184"/>
      <c r="E10" s="355"/>
      <c r="F10" s="183"/>
      <c r="G10" s="183"/>
      <c r="L10" s="186"/>
    </row>
    <row r="11" spans="2:13" x14ac:dyDescent="0.25">
      <c r="C11" s="190"/>
      <c r="D11" s="355"/>
      <c r="E11" s="355"/>
    </row>
    <row r="12" spans="2:13" x14ac:dyDescent="0.25">
      <c r="F12" s="400" t="s">
        <v>204</v>
      </c>
      <c r="G12" s="400"/>
      <c r="H12" s="400" t="s">
        <v>205</v>
      </c>
      <c r="I12" s="400"/>
    </row>
    <row r="13" spans="2:13" x14ac:dyDescent="0.25">
      <c r="C13" s="180" t="s">
        <v>201</v>
      </c>
      <c r="D13" s="180" t="s">
        <v>202</v>
      </c>
      <c r="E13" s="97" t="s">
        <v>206</v>
      </c>
      <c r="F13" s="293" t="s">
        <v>285</v>
      </c>
      <c r="G13" s="182"/>
      <c r="H13" s="293" t="s">
        <v>285</v>
      </c>
      <c r="I13" s="182"/>
    </row>
    <row r="14" spans="2:13" x14ac:dyDescent="0.25">
      <c r="C14" s="190">
        <f>C6</f>
        <v>64561011.200000003</v>
      </c>
      <c r="D14" s="365">
        <f>D6</f>
        <v>1</v>
      </c>
      <c r="E14" s="190">
        <f>C14-C15</f>
        <v>16140252.799999997</v>
      </c>
      <c r="F14" s="192">
        <f>G6-G7</f>
        <v>51629848.858171284</v>
      </c>
      <c r="G14" s="182"/>
      <c r="H14" s="186">
        <f t="shared" ref="H14:I15" si="5">F14/$E14</f>
        <v>3.1988252909007282</v>
      </c>
      <c r="I14" s="186">
        <f t="shared" si="5"/>
        <v>0</v>
      </c>
    </row>
    <row r="15" spans="2:13" x14ac:dyDescent="0.25">
      <c r="C15" s="190">
        <f>C7</f>
        <v>48420758.400000006</v>
      </c>
      <c r="D15" s="191">
        <v>0.5</v>
      </c>
      <c r="E15" s="190">
        <f>C15-C16</f>
        <v>16140252.800000004</v>
      </c>
      <c r="F15" s="192">
        <f>G7-G9</f>
        <v>337104930.94327742</v>
      </c>
      <c r="G15" s="192">
        <f>H7-H9</f>
        <v>0</v>
      </c>
      <c r="H15" s="186">
        <f t="shared" si="5"/>
        <v>20.885975896441803</v>
      </c>
      <c r="I15" s="186">
        <f t="shared" si="5"/>
        <v>0</v>
      </c>
    </row>
    <row r="16" spans="2:13" x14ac:dyDescent="0.25">
      <c r="C16" s="190">
        <f>C9</f>
        <v>32280505.600000001</v>
      </c>
      <c r="D16" s="191">
        <f>D9</f>
        <v>0</v>
      </c>
      <c r="E16" s="190"/>
      <c r="F16" s="192"/>
      <c r="G16" s="192"/>
      <c r="H16" s="186"/>
      <c r="I16" s="186"/>
    </row>
    <row r="17" spans="8:8" x14ac:dyDescent="0.25">
      <c r="H17" s="186"/>
    </row>
    <row r="53" spans="21:22" x14ac:dyDescent="0.25">
      <c r="U53" s="193"/>
      <c r="V53" s="193"/>
    </row>
    <row r="54" spans="21:22" x14ac:dyDescent="0.25">
      <c r="U54" s="193"/>
      <c r="V54" s="193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T72"/>
  <sheetViews>
    <sheetView showGridLines="0" tabSelected="1" topLeftCell="A17" zoomScale="75" zoomScaleNormal="75" workbookViewId="0">
      <selection activeCell="J28" sqref="J28"/>
    </sheetView>
  </sheetViews>
  <sheetFormatPr defaultColWidth="8.7109375" defaultRowHeight="15" x14ac:dyDescent="0.25"/>
  <cols>
    <col min="1" max="1" width="10.5703125" style="97" customWidth="1"/>
    <col min="2" max="2" width="44.140625" style="97" customWidth="1"/>
    <col min="3" max="4" width="13.85546875" style="97" bestFit="1" customWidth="1"/>
    <col min="5" max="5" width="0.85546875" style="97" customWidth="1"/>
    <col min="6" max="6" width="12.710937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7109375" style="97" bestFit="1" customWidth="1"/>
    <col min="11" max="11" width="12.140625" style="97" bestFit="1" customWidth="1"/>
    <col min="12" max="12" width="13.85546875" style="97" bestFit="1" customWidth="1"/>
    <col min="13" max="13" width="0.85546875" style="97" customWidth="1"/>
    <col min="14" max="16" width="13.85546875" style="97" customWidth="1"/>
    <col min="17" max="17" width="8.7109375" style="97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16384" width="8.7109375" style="97"/>
  </cols>
  <sheetData>
    <row r="3" spans="1:20" x14ac:dyDescent="0.25">
      <c r="B3" s="194">
        <f>SUM(C9:C13)</f>
        <v>10219266.309999999</v>
      </c>
      <c r="C3" s="194">
        <f>SUM(D9:D13)</f>
        <v>103543587.85847765</v>
      </c>
    </row>
    <row r="4" spans="1:20" x14ac:dyDescent="0.25">
      <c r="F4" s="409" t="s">
        <v>312</v>
      </c>
      <c r="G4" s="409"/>
      <c r="H4" s="409"/>
      <c r="I4" s="409"/>
      <c r="J4" s="409"/>
      <c r="K4" s="409"/>
      <c r="L4" s="409"/>
      <c r="M4" s="409"/>
      <c r="N4" s="409"/>
      <c r="O4" s="409"/>
      <c r="P4" s="409"/>
    </row>
    <row r="5" spans="1:20" x14ac:dyDescent="0.25">
      <c r="F5" s="403" t="s">
        <v>311</v>
      </c>
      <c r="G5" s="404"/>
      <c r="H5" s="405"/>
      <c r="I5" s="195"/>
      <c r="J5" s="403" t="s">
        <v>282</v>
      </c>
      <c r="K5" s="404"/>
      <c r="L5" s="405"/>
      <c r="M5" s="195"/>
      <c r="N5" s="403" t="s">
        <v>284</v>
      </c>
      <c r="O5" s="404"/>
      <c r="P5" s="405"/>
      <c r="R5" s="97" t="s">
        <v>246</v>
      </c>
    </row>
    <row r="6" spans="1:20" ht="51.75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M6" s="197"/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</row>
    <row r="7" spans="1:20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1000000</v>
      </c>
      <c r="G7" s="191">
        <v>-0.43029454341810741</v>
      </c>
      <c r="H7" s="199">
        <v>5040789.0644048415</v>
      </c>
      <c r="I7" s="199"/>
      <c r="J7" s="199">
        <v>1215994.2332681126</v>
      </c>
      <c r="K7" s="191">
        <v>-0.30724145013504145</v>
      </c>
      <c r="L7" s="199">
        <v>5886251.5263973633</v>
      </c>
      <c r="M7" s="199"/>
      <c r="N7" s="199">
        <v>1896391.6644921016</v>
      </c>
      <c r="O7" s="191">
        <v>8.0384679077568036E-2</v>
      </c>
      <c r="P7" s="199">
        <v>8112410.2887455719</v>
      </c>
      <c r="R7" s="199">
        <f>VAC_Optim_Scenario!$H35</f>
        <v>999999.99999999988</v>
      </c>
      <c r="S7" s="191">
        <f>(R7-$C7)/$C7</f>
        <v>-0.43029454341810747</v>
      </c>
      <c r="T7" s="199">
        <f>VAC_Optim_Scenario!$J35</f>
        <v>5040789.0644048415</v>
      </c>
    </row>
    <row r="8" spans="1:20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5400000</v>
      </c>
      <c r="G8" s="191">
        <v>6.4538123835786929E-3</v>
      </c>
      <c r="H8" s="199">
        <v>64130441.937738657</v>
      </c>
      <c r="I8" s="199"/>
      <c r="J8" s="199">
        <v>10904598.828706475</v>
      </c>
      <c r="K8" s="191">
        <v>1.0324027895676182</v>
      </c>
      <c r="L8" s="199">
        <v>95229281.594653457</v>
      </c>
      <c r="M8" s="199"/>
      <c r="N8" s="199">
        <v>12000000</v>
      </c>
      <c r="O8" s="191">
        <v>1.2365640275190637</v>
      </c>
      <c r="P8" s="199">
        <v>99028830.679674461</v>
      </c>
      <c r="R8" s="199">
        <f>VAC_Optim_Scenario!$H36</f>
        <v>5400000</v>
      </c>
      <c r="S8" s="191">
        <f t="shared" ref="S8:S15" si="0">(R8-$C8)/$C8</f>
        <v>6.4538123835786929E-3</v>
      </c>
      <c r="T8" s="199">
        <f>VAC_Optim_Scenario!$J36</f>
        <v>64130441.937738657</v>
      </c>
    </row>
    <row r="9" spans="1:20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1599500.0000000002</v>
      </c>
      <c r="G9" s="191">
        <v>-0.14602242391884665</v>
      </c>
      <c r="H9" s="199">
        <v>14642130.239828274</v>
      </c>
      <c r="I9" s="199"/>
      <c r="J9" s="199">
        <v>4166216.7877510954</v>
      </c>
      <c r="K9" s="191">
        <v>1.2243549320614497</v>
      </c>
      <c r="L9" s="199">
        <v>26005118.530697275</v>
      </c>
      <c r="M9" s="199"/>
      <c r="N9" s="199">
        <v>8320540.9331512107</v>
      </c>
      <c r="O9" s="191">
        <v>3.4423603487192795</v>
      </c>
      <c r="P9" s="199">
        <v>39382624.603452601</v>
      </c>
      <c r="R9" s="199">
        <f>VAC_Optim_Scenario!$H37</f>
        <v>1599500</v>
      </c>
      <c r="S9" s="191">
        <f t="shared" si="0"/>
        <v>-0.14602242391884676</v>
      </c>
      <c r="T9" s="199">
        <f>VAC_Optim_Scenario!$J37</f>
        <v>14642130.239828272</v>
      </c>
    </row>
    <row r="10" spans="1:20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500000</v>
      </c>
      <c r="G10" s="191">
        <v>1.8888886064197807</v>
      </c>
      <c r="H10" s="199">
        <v>2958708.7105763983</v>
      </c>
      <c r="I10" s="199"/>
      <c r="J10" s="199">
        <v>500000</v>
      </c>
      <c r="K10" s="191">
        <v>1.8888886064197807</v>
      </c>
      <c r="L10" s="199">
        <v>2958708.7105763983</v>
      </c>
      <c r="M10" s="199"/>
      <c r="N10" s="199">
        <v>500000</v>
      </c>
      <c r="O10" s="191">
        <v>1.8888886064197807</v>
      </c>
      <c r="P10" s="199">
        <v>2958708.7105763983</v>
      </c>
      <c r="R10" s="199">
        <f>VAC_Optim_Scenario!$H38</f>
        <v>500000</v>
      </c>
      <c r="S10" s="191">
        <f t="shared" si="0"/>
        <v>1.8888886064197807</v>
      </c>
      <c r="T10" s="199">
        <f>VAC_Optim_Scenario!$J38</f>
        <v>2958708.7105763983</v>
      </c>
    </row>
    <row r="11" spans="1:20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6463714</v>
      </c>
      <c r="G11" s="191">
        <v>4.5887259561902066E-2</v>
      </c>
      <c r="H11" s="199">
        <v>33726604.314190388</v>
      </c>
      <c r="I11" s="199"/>
      <c r="J11" s="199">
        <v>6463714</v>
      </c>
      <c r="K11" s="191">
        <v>4.5887259561902066E-2</v>
      </c>
      <c r="L11" s="199">
        <v>33726604.314190388</v>
      </c>
      <c r="M11" s="199"/>
      <c r="N11" s="199">
        <v>14954189.456298368</v>
      </c>
      <c r="O11" s="191">
        <v>1.4197228140690306</v>
      </c>
      <c r="P11" s="199">
        <v>60669321.779101267</v>
      </c>
      <c r="R11" s="199">
        <f>VAC_Optim_Scenario!$H39</f>
        <v>6463714</v>
      </c>
      <c r="S11" s="191">
        <f t="shared" si="0"/>
        <v>4.5887259561902066E-2</v>
      </c>
      <c r="T11" s="199">
        <f>VAC_Optim_Scenario!$J39</f>
        <v>33726604.314190388</v>
      </c>
    </row>
    <row r="12" spans="1:20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1500000</v>
      </c>
      <c r="G12" s="191">
        <v>-9.0003158720369056E-2</v>
      </c>
      <c r="H12" s="199">
        <v>21855163.981115948</v>
      </c>
      <c r="I12" s="199"/>
      <c r="J12" s="199">
        <v>5118444.5547082406</v>
      </c>
      <c r="K12" s="191">
        <v>2.1051789180329505</v>
      </c>
      <c r="L12" s="199">
        <v>46934100.606188953</v>
      </c>
      <c r="M12" s="199"/>
      <c r="N12" s="199">
        <v>5999784.0103534516</v>
      </c>
      <c r="O12" s="191">
        <v>2.6398563318544515</v>
      </c>
      <c r="P12" s="199">
        <v>49817756.356307864</v>
      </c>
      <c r="R12" s="199">
        <f>VAC_Optim_Scenario!$H40</f>
        <v>1500000</v>
      </c>
      <c r="S12" s="191">
        <f t="shared" si="0"/>
        <v>-9.0003158720369056E-2</v>
      </c>
      <c r="T12" s="199">
        <f>VAC_Optim_Scenario!$J40</f>
        <v>21855163.981115948</v>
      </c>
    </row>
    <row r="13" spans="1:20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300000</v>
      </c>
      <c r="G13" s="191">
        <v>-0.12969565457040327</v>
      </c>
      <c r="H13" s="199">
        <v>26792847.590052392</v>
      </c>
      <c r="I13" s="199"/>
      <c r="J13" s="199">
        <v>390000</v>
      </c>
      <c r="K13" s="191">
        <v>0.13139564905847576</v>
      </c>
      <c r="L13" s="199">
        <v>32194317.314408991</v>
      </c>
      <c r="M13" s="199"/>
      <c r="N13" s="199">
        <v>390000</v>
      </c>
      <c r="O13" s="191">
        <v>0.13139564905847576</v>
      </c>
      <c r="P13" s="199">
        <v>32194317.314408991</v>
      </c>
      <c r="R13" s="199">
        <f>VAC_Optim_Scenario!$H41</f>
        <v>300000</v>
      </c>
      <c r="S13" s="191">
        <f t="shared" si="0"/>
        <v>-0.12969565457040327</v>
      </c>
      <c r="T13" s="199">
        <f>VAC_Optim_Scenario!$J41</f>
        <v>26792847.590052392</v>
      </c>
    </row>
    <row r="14" spans="1:20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1400000</v>
      </c>
      <c r="G14" s="191">
        <v>-2.5780906016937815E-2</v>
      </c>
      <c r="H14" s="199">
        <v>15696457.153648281</v>
      </c>
      <c r="I14" s="199"/>
      <c r="J14" s="199">
        <v>4800000</v>
      </c>
      <c r="K14" s="191">
        <v>2.34017975079907</v>
      </c>
      <c r="L14" s="199">
        <v>32875287.531392161</v>
      </c>
      <c r="M14" s="199"/>
      <c r="N14" s="199">
        <v>4800000</v>
      </c>
      <c r="O14" s="191">
        <v>2.34017975079907</v>
      </c>
      <c r="P14" s="199">
        <v>32875287.531392161</v>
      </c>
      <c r="R14" s="199">
        <f>VAC_Optim_Scenario!$H42</f>
        <v>1400000</v>
      </c>
      <c r="S14" s="191">
        <f t="shared" si="0"/>
        <v>-2.5780906016937815E-2</v>
      </c>
      <c r="T14" s="199">
        <f>VAC_Optim_Scenario!$J42</f>
        <v>15696457.153648281</v>
      </c>
    </row>
    <row r="15" spans="1:20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14861790</v>
      </c>
      <c r="G15" s="191">
        <v>0.10058595892597373</v>
      </c>
      <c r="H15" s="199">
        <v>61295260.814772405</v>
      </c>
      <c r="I15" s="199"/>
      <c r="J15" s="199">
        <v>14861790</v>
      </c>
      <c r="K15" s="191">
        <v>0.10058595892597373</v>
      </c>
      <c r="L15" s="199">
        <v>61295260.814772405</v>
      </c>
      <c r="M15" s="199"/>
      <c r="N15" s="199">
        <v>15700105.095358061</v>
      </c>
      <c r="O15" s="191">
        <v>0.16266716335066081</v>
      </c>
      <c r="P15" s="199">
        <v>63695522.537789397</v>
      </c>
      <c r="R15" s="199">
        <f>VAC_Optim_Scenario!$H43</f>
        <v>14861790</v>
      </c>
      <c r="S15" s="191">
        <f t="shared" si="0"/>
        <v>0.10058595892597373</v>
      </c>
      <c r="T15" s="199">
        <f>VAC_Optim_Scenario!$J43</f>
        <v>61295260.814772405</v>
      </c>
    </row>
    <row r="16" spans="1:20" ht="34.35" customHeight="1" x14ac:dyDescent="0.25">
      <c r="B16" s="201" t="s">
        <v>215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33025004</v>
      </c>
      <c r="G16" s="203">
        <f>(F16-$C$16)/$C$16</f>
        <v>2.3063405797460572E-2</v>
      </c>
      <c r="H16" s="202">
        <f>SUM(H7:H15)</f>
        <v>246138403.80632758</v>
      </c>
      <c r="I16" s="193"/>
      <c r="J16" s="202">
        <f>SUM(J7:J15)</f>
        <v>48420758.404433921</v>
      </c>
      <c r="K16" s="203">
        <f>(J16-$C$16)/$C$16</f>
        <v>0.5000000001373559</v>
      </c>
      <c r="L16" s="202">
        <f>SUM(L7:L15)</f>
        <v>337104930.94327742</v>
      </c>
      <c r="M16" s="202"/>
      <c r="N16" s="202">
        <f>SUM(N7:N15)</f>
        <v>64561011.159653194</v>
      </c>
      <c r="O16" s="203">
        <f>(N16-$C$16)/$C$16</f>
        <v>0.99999999875011847</v>
      </c>
      <c r="P16" s="202">
        <f>SUM(P7:P15)</f>
        <v>388734779.8014487</v>
      </c>
      <c r="R16" s="202">
        <f>SUM(R7:R15)</f>
        <v>33025004</v>
      </c>
      <c r="S16" s="203">
        <f>(R16-$C$16)/$C$16</f>
        <v>2.3063405797460572E-2</v>
      </c>
      <c r="T16" s="202">
        <f>SUM(T7:T15)</f>
        <v>246138403.80632758</v>
      </c>
    </row>
    <row r="17" spans="1:16" x14ac:dyDescent="0.25">
      <c r="D17" s="97">
        <f>D16/C16</f>
        <v>7.6936762831999994</v>
      </c>
    </row>
    <row r="19" spans="1:16" ht="15" customHeight="1" x14ac:dyDescent="0.25">
      <c r="F19" s="489" t="str">
        <f>F4</f>
        <v>Optimal channel spend allowed to vary based on custom constrains for the 2023 channel spend</v>
      </c>
      <c r="G19" s="490"/>
      <c r="H19" s="490"/>
      <c r="I19" s="490"/>
      <c r="J19" s="490"/>
      <c r="K19" s="490"/>
      <c r="L19" s="490"/>
      <c r="M19" s="490"/>
      <c r="N19" s="490"/>
      <c r="O19" s="490"/>
      <c r="P19" s="491"/>
    </row>
    <row r="20" spans="1:16" ht="30.4" customHeight="1" x14ac:dyDescent="0.25">
      <c r="C20" s="401" t="s">
        <v>310</v>
      </c>
      <c r="D20" s="402"/>
      <c r="E20" s="204"/>
      <c r="F20" s="403" t="str">
        <f>F5</f>
        <v>1M increase in Spend (33M)</v>
      </c>
      <c r="G20" s="404"/>
      <c r="H20" s="405"/>
      <c r="I20" s="205"/>
      <c r="J20" s="403" t="str">
        <f>J5</f>
        <v>50% increase optimal ($48M)</v>
      </c>
      <c r="K20" s="404"/>
      <c r="L20" s="405"/>
      <c r="M20" s="359"/>
      <c r="N20" s="403" t="str">
        <f>N5</f>
        <v>100% increase optimal ($65M)</v>
      </c>
      <c r="O20" s="404"/>
      <c r="P20" s="405"/>
    </row>
    <row r="21" spans="1:16" ht="30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360"/>
      <c r="N21" s="231" t="s">
        <v>219</v>
      </c>
      <c r="O21" s="207" t="s">
        <v>212</v>
      </c>
      <c r="P21" s="209" t="s">
        <v>213</v>
      </c>
    </row>
    <row r="22" spans="1:16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211">
        <f>D7/1000000</f>
        <v>7.6999726835207554</v>
      </c>
      <c r="E22" s="212"/>
      <c r="F22" s="213">
        <f>F7/1000000</f>
        <v>1</v>
      </c>
      <c r="G22" s="214">
        <f>G7</f>
        <v>-0.43029454341810741</v>
      </c>
      <c r="H22" s="295">
        <f>H7/1000000</f>
        <v>5.0407890644048416</v>
      </c>
      <c r="I22" s="212"/>
      <c r="J22" s="213">
        <f t="shared" ref="J22:J28" si="1">J7/1000000</f>
        <v>1.2159942332681126</v>
      </c>
      <c r="K22" s="214">
        <f t="shared" ref="K22:K28" si="2">K7</f>
        <v>-0.30724145013504145</v>
      </c>
      <c r="L22" s="215">
        <f t="shared" ref="L22:L28" si="3">L7/1000000</f>
        <v>5.8862515263973636</v>
      </c>
      <c r="M22" s="361"/>
      <c r="N22" s="213">
        <f t="shared" ref="N22:N30" si="4">N7/1000000</f>
        <v>1.8963916644921017</v>
      </c>
      <c r="O22" s="214">
        <f t="shared" ref="O22:O30" si="5">O7</f>
        <v>8.0384679077568036E-2</v>
      </c>
      <c r="P22" s="215">
        <f t="shared" ref="P22:P30" si="6">P7/1000000</f>
        <v>8.112410288745572</v>
      </c>
    </row>
    <row r="23" spans="1:16" x14ac:dyDescent="0.25">
      <c r="A23" s="186">
        <f t="shared" ref="A23:A30" si="7">D23/C23</f>
        <v>11.900373048317544</v>
      </c>
      <c r="B23" s="198" t="str">
        <f t="shared" ref="B23:B30" si="8">B8</f>
        <v>HCP MCM</v>
      </c>
      <c r="C23" s="216">
        <f t="shared" ref="C23:D30" si="9">C8/1000000</f>
        <v>5.3653728900000006</v>
      </c>
      <c r="D23" s="217">
        <f t="shared" si="9"/>
        <v>63.849938934329622</v>
      </c>
      <c r="E23" s="212"/>
      <c r="F23" s="218">
        <f t="shared" ref="F23:F30" si="10">F8/1000000</f>
        <v>5.4</v>
      </c>
      <c r="G23" s="219">
        <f t="shared" ref="G23:G30" si="11">G8</f>
        <v>6.4538123835786929E-3</v>
      </c>
      <c r="H23" s="296">
        <f t="shared" ref="H23:H30" si="12">H8/1000000</f>
        <v>64.130441937738652</v>
      </c>
      <c r="I23" s="212"/>
      <c r="J23" s="218">
        <f t="shared" si="1"/>
        <v>10.904598828706474</v>
      </c>
      <c r="K23" s="214">
        <f t="shared" si="2"/>
        <v>1.0324027895676182</v>
      </c>
      <c r="L23" s="220">
        <f t="shared" si="3"/>
        <v>95.229281594653457</v>
      </c>
      <c r="M23" s="361"/>
      <c r="N23" s="213">
        <f t="shared" si="4"/>
        <v>12</v>
      </c>
      <c r="O23" s="214">
        <f t="shared" si="5"/>
        <v>1.2365640275190637</v>
      </c>
      <c r="P23" s="215">
        <f t="shared" si="6"/>
        <v>99.028830679674456</v>
      </c>
    </row>
    <row r="24" spans="1:16" x14ac:dyDescent="0.25">
      <c r="A24" s="186">
        <f t="shared" si="7"/>
        <v>8.5940644823200767</v>
      </c>
      <c r="B24" s="198" t="str">
        <f t="shared" si="8"/>
        <v>HCC Social</v>
      </c>
      <c r="C24" s="216">
        <f t="shared" si="9"/>
        <v>1.873</v>
      </c>
      <c r="D24" s="217">
        <f t="shared" si="9"/>
        <v>16.096682775385503</v>
      </c>
      <c r="E24" s="212"/>
      <c r="F24" s="218">
        <f t="shared" si="10"/>
        <v>1.5995000000000001</v>
      </c>
      <c r="G24" s="219">
        <f t="shared" si="11"/>
        <v>-0.14602242391884665</v>
      </c>
      <c r="H24" s="296">
        <f t="shared" si="12"/>
        <v>14.642130239828274</v>
      </c>
      <c r="I24" s="212"/>
      <c r="J24" s="218">
        <f t="shared" si="1"/>
        <v>4.1662167877510949</v>
      </c>
      <c r="K24" s="214">
        <f t="shared" si="2"/>
        <v>1.2243549320614497</v>
      </c>
      <c r="L24" s="220">
        <f t="shared" si="3"/>
        <v>26.005118530697274</v>
      </c>
      <c r="M24" s="361"/>
      <c r="N24" s="213">
        <f t="shared" si="4"/>
        <v>8.3205409331512108</v>
      </c>
      <c r="O24" s="214">
        <f t="shared" si="5"/>
        <v>3.4423603487192795</v>
      </c>
      <c r="P24" s="215">
        <f t="shared" si="6"/>
        <v>39.382624603452598</v>
      </c>
    </row>
    <row r="25" spans="1:16" x14ac:dyDescent="0.25">
      <c r="A25" s="186">
        <f t="shared" si="7"/>
        <v>9.879885624736632</v>
      </c>
      <c r="B25" s="198" t="str">
        <f t="shared" si="8"/>
        <v>HCC Online Video</v>
      </c>
      <c r="C25" s="216">
        <f t="shared" si="9"/>
        <v>0.17307694000000001</v>
      </c>
      <c r="D25" s="217">
        <f t="shared" si="9"/>
        <v>1.7099803714794048</v>
      </c>
      <c r="E25" s="212"/>
      <c r="F25" s="218">
        <f t="shared" si="10"/>
        <v>0.5</v>
      </c>
      <c r="G25" s="219">
        <f t="shared" si="11"/>
        <v>1.8888886064197807</v>
      </c>
      <c r="H25" s="296">
        <f t="shared" si="12"/>
        <v>2.9587087105763983</v>
      </c>
      <c r="I25" s="212"/>
      <c r="J25" s="218">
        <f t="shared" si="1"/>
        <v>0.5</v>
      </c>
      <c r="K25" s="214">
        <f t="shared" si="2"/>
        <v>1.8888886064197807</v>
      </c>
      <c r="L25" s="220">
        <f t="shared" si="3"/>
        <v>2.9587087105763983</v>
      </c>
      <c r="M25" s="361"/>
      <c r="N25" s="213">
        <f t="shared" si="4"/>
        <v>0.5</v>
      </c>
      <c r="O25" s="214">
        <f t="shared" si="5"/>
        <v>1.8888886064197807</v>
      </c>
      <c r="P25" s="215">
        <f t="shared" si="6"/>
        <v>2.9587087105763983</v>
      </c>
    </row>
    <row r="26" spans="1:16" x14ac:dyDescent="0.25">
      <c r="A26" s="186">
        <f t="shared" si="7"/>
        <v>5.288541872790403</v>
      </c>
      <c r="B26" s="198" t="str">
        <f t="shared" si="8"/>
        <v>HCC Streaming Video</v>
      </c>
      <c r="C26" s="216">
        <f t="shared" si="9"/>
        <v>6.1801250000000003</v>
      </c>
      <c r="D26" s="217">
        <f t="shared" si="9"/>
        <v>32.683849841578791</v>
      </c>
      <c r="E26" s="212"/>
      <c r="F26" s="218">
        <f t="shared" si="10"/>
        <v>6.4637140000000004</v>
      </c>
      <c r="G26" s="219">
        <f t="shared" si="11"/>
        <v>4.5887259561902066E-2</v>
      </c>
      <c r="H26" s="296">
        <f t="shared" si="12"/>
        <v>33.726604314190389</v>
      </c>
      <c r="I26" s="212"/>
      <c r="J26" s="218">
        <f t="shared" si="1"/>
        <v>6.4637140000000004</v>
      </c>
      <c r="K26" s="214">
        <f t="shared" si="2"/>
        <v>4.5887259561902066E-2</v>
      </c>
      <c r="L26" s="220">
        <f t="shared" si="3"/>
        <v>33.726604314190389</v>
      </c>
      <c r="M26" s="361"/>
      <c r="N26" s="213">
        <f t="shared" si="4"/>
        <v>14.954189456298367</v>
      </c>
      <c r="O26" s="214">
        <f t="shared" si="5"/>
        <v>1.4197228140690306</v>
      </c>
      <c r="P26" s="215">
        <f t="shared" si="6"/>
        <v>60.669321779101267</v>
      </c>
    </row>
    <row r="27" spans="1:16" x14ac:dyDescent="0.25">
      <c r="A27" s="186">
        <f t="shared" si="7"/>
        <v>14.271209044334954</v>
      </c>
      <c r="B27" s="198" t="str">
        <f t="shared" si="8"/>
        <v>HCC Display</v>
      </c>
      <c r="C27" s="216">
        <f t="shared" si="9"/>
        <v>1.64835737</v>
      </c>
      <c r="D27" s="217">
        <f t="shared" si="9"/>
        <v>23.524052607040179</v>
      </c>
      <c r="E27" s="212"/>
      <c r="F27" s="218">
        <f t="shared" si="10"/>
        <v>1.5</v>
      </c>
      <c r="G27" s="219">
        <f t="shared" si="11"/>
        <v>-9.0003158720369056E-2</v>
      </c>
      <c r="H27" s="296">
        <f t="shared" si="12"/>
        <v>21.855163981115947</v>
      </c>
      <c r="I27" s="212"/>
      <c r="J27" s="218">
        <f t="shared" si="1"/>
        <v>5.1184445547082404</v>
      </c>
      <c r="K27" s="214">
        <f t="shared" si="2"/>
        <v>2.1051789180329505</v>
      </c>
      <c r="L27" s="220">
        <f t="shared" si="3"/>
        <v>46.934100606188956</v>
      </c>
      <c r="M27" s="361"/>
      <c r="N27" s="213">
        <f t="shared" si="4"/>
        <v>5.9997840103534514</v>
      </c>
      <c r="O27" s="214">
        <f t="shared" si="5"/>
        <v>2.6398563318544515</v>
      </c>
      <c r="P27" s="215">
        <f t="shared" si="6"/>
        <v>49.817756356307861</v>
      </c>
    </row>
    <row r="28" spans="1:16" x14ac:dyDescent="0.25">
      <c r="A28" s="186">
        <f t="shared" si="7"/>
        <v>85.664121305902583</v>
      </c>
      <c r="B28" s="198" t="str">
        <f t="shared" si="8"/>
        <v>HCC Paid Search</v>
      </c>
      <c r="C28" s="216">
        <f t="shared" si="9"/>
        <v>0.34470699999999999</v>
      </c>
      <c r="D28" s="217">
        <f t="shared" si="9"/>
        <v>29.52902226299376</v>
      </c>
      <c r="E28" s="212"/>
      <c r="F28" s="218">
        <f t="shared" si="10"/>
        <v>0.3</v>
      </c>
      <c r="G28" s="219">
        <f t="shared" si="11"/>
        <v>-0.12969565457040327</v>
      </c>
      <c r="H28" s="296">
        <f t="shared" si="12"/>
        <v>26.792847590052393</v>
      </c>
      <c r="I28" s="212"/>
      <c r="J28" s="218">
        <f t="shared" si="1"/>
        <v>0.39</v>
      </c>
      <c r="K28" s="214">
        <f t="shared" si="2"/>
        <v>0.13139564905847576</v>
      </c>
      <c r="L28" s="220">
        <f t="shared" si="3"/>
        <v>32.194317314408991</v>
      </c>
      <c r="M28" s="361"/>
      <c r="N28" s="213">
        <f t="shared" si="4"/>
        <v>0.39</v>
      </c>
      <c r="O28" s="214">
        <f t="shared" si="5"/>
        <v>0.13139564905847576</v>
      </c>
      <c r="P28" s="215">
        <f t="shared" si="6"/>
        <v>32.194317314408991</v>
      </c>
    </row>
    <row r="29" spans="1:16" x14ac:dyDescent="0.25">
      <c r="A29" s="186">
        <f t="shared" si="7"/>
        <v>11.095228688295396</v>
      </c>
      <c r="B29" s="198" t="str">
        <f t="shared" si="8"/>
        <v>HCC Audio</v>
      </c>
      <c r="C29" s="216">
        <f t="shared" si="9"/>
        <v>1.4370484099999998</v>
      </c>
      <c r="D29" s="217">
        <f t="shared" si="9"/>
        <v>15.944380745101283</v>
      </c>
      <c r="E29" s="212"/>
      <c r="F29" s="218">
        <f t="shared" si="10"/>
        <v>1.4</v>
      </c>
      <c r="G29" s="219">
        <f t="shared" si="11"/>
        <v>-2.5780906016937815E-2</v>
      </c>
      <c r="H29" s="296">
        <f t="shared" si="12"/>
        <v>15.696457153648282</v>
      </c>
      <c r="I29" s="212"/>
      <c r="J29" s="218">
        <f t="shared" ref="J29:J30" si="13">J14/1000000</f>
        <v>4.8</v>
      </c>
      <c r="K29" s="214">
        <f t="shared" ref="K29:K30" si="14">K14</f>
        <v>2.34017975079907</v>
      </c>
      <c r="L29" s="220">
        <f t="shared" ref="L29:L30" si="15">L14/1000000</f>
        <v>32.875287531392161</v>
      </c>
      <c r="M29" s="361"/>
      <c r="N29" s="213">
        <f t="shared" si="4"/>
        <v>4.8</v>
      </c>
      <c r="O29" s="214">
        <f t="shared" si="5"/>
        <v>2.34017975079907</v>
      </c>
      <c r="P29" s="215">
        <f t="shared" si="6"/>
        <v>32.875287531392161</v>
      </c>
    </row>
    <row r="30" spans="1:16" x14ac:dyDescent="0.25">
      <c r="A30" s="186">
        <f t="shared" si="7"/>
        <v>4.2446605731053264</v>
      </c>
      <c r="B30" s="198" t="str">
        <f t="shared" si="8"/>
        <v>HCC TV</v>
      </c>
      <c r="C30" s="216">
        <f t="shared" si="9"/>
        <v>13.503524990000001</v>
      </c>
      <c r="D30" s="217">
        <f t="shared" si="9"/>
        <v>57.317880122995497</v>
      </c>
      <c r="E30" s="212"/>
      <c r="F30" s="218">
        <f t="shared" si="10"/>
        <v>14.861789999999999</v>
      </c>
      <c r="G30" s="219">
        <f t="shared" si="11"/>
        <v>0.10058595892597373</v>
      </c>
      <c r="H30" s="296">
        <f t="shared" si="12"/>
        <v>61.295260814772405</v>
      </c>
      <c r="I30" s="212"/>
      <c r="J30" s="218">
        <f t="shared" si="13"/>
        <v>14.861789999999999</v>
      </c>
      <c r="K30" s="214">
        <f t="shared" si="14"/>
        <v>0.10058595892597373</v>
      </c>
      <c r="L30" s="220">
        <f t="shared" si="15"/>
        <v>61.295260814772405</v>
      </c>
      <c r="M30" s="361"/>
      <c r="N30" s="213">
        <f t="shared" si="4"/>
        <v>15.70010509535806</v>
      </c>
      <c r="O30" s="214">
        <f t="shared" si="5"/>
        <v>0.16266716335066081</v>
      </c>
      <c r="P30" s="215">
        <f t="shared" si="6"/>
        <v>63.695522537789394</v>
      </c>
    </row>
    <row r="31" spans="1:16" ht="29.65" customHeight="1" x14ac:dyDescent="0.25">
      <c r="B31" s="487" t="s">
        <v>215</v>
      </c>
      <c r="C31" s="222">
        <f>C16/1000000</f>
        <v>32.280505600000005</v>
      </c>
      <c r="D31" s="223">
        <f>D16/1000000</f>
        <v>248.35576034442479</v>
      </c>
      <c r="E31" s="224"/>
      <c r="F31" s="225">
        <f>F16/1000000</f>
        <v>33.025004000000003</v>
      </c>
      <c r="G31" s="226">
        <f>G16</f>
        <v>2.3063405797460572E-2</v>
      </c>
      <c r="H31" s="230">
        <f>H16/1000000</f>
        <v>246.13840380632757</v>
      </c>
      <c r="I31" s="224"/>
      <c r="J31" s="225">
        <f>J16/1000000</f>
        <v>48.420758404433919</v>
      </c>
      <c r="K31" s="226">
        <f>K16</f>
        <v>0.5000000001373559</v>
      </c>
      <c r="L31" s="227">
        <f>L16/1000000</f>
        <v>337.1049309432774</v>
      </c>
      <c r="M31" s="362"/>
      <c r="N31" s="225">
        <f>N16/1000000</f>
        <v>64.561011159653191</v>
      </c>
      <c r="O31" s="226">
        <f>O16</f>
        <v>0.99999999875011847</v>
      </c>
      <c r="P31" s="227">
        <f>P16/1000000</f>
        <v>388.73477980144872</v>
      </c>
    </row>
    <row r="32" spans="1:16" x14ac:dyDescent="0.25">
      <c r="B32" s="487" t="s">
        <v>265</v>
      </c>
      <c r="C32" s="357" t="str">
        <f>_xlfn.CONCAT("ROI"," ", ,C35)</f>
        <v>ROI 7.69</v>
      </c>
      <c r="D32" s="223"/>
      <c r="E32" s="224"/>
      <c r="F32" s="225" t="str">
        <f>_xlfn.CONCAT("ROI"," ", ,F35)</f>
        <v>ROI 7.45</v>
      </c>
      <c r="G32" s="226"/>
      <c r="H32" s="229" t="s">
        <v>313</v>
      </c>
      <c r="I32" s="224"/>
      <c r="J32" s="225" t="str">
        <f>_xlfn.CONCAT("ROI"," ", ,J35)</f>
        <v>ROI 6.96</v>
      </c>
      <c r="K32" s="226"/>
      <c r="L32" s="299" t="s">
        <v>315</v>
      </c>
      <c r="M32" s="363"/>
      <c r="N32" s="225" t="str">
        <f>_xlfn.CONCAT("ROI"," ", ,N35)</f>
        <v>ROI 6.02</v>
      </c>
      <c r="O32" s="226"/>
      <c r="P32" s="299" t="s">
        <v>314</v>
      </c>
    </row>
    <row r="33" spans="2:16" ht="30" x14ac:dyDescent="0.25">
      <c r="B33" s="487" t="s">
        <v>325</v>
      </c>
      <c r="C33" s="222">
        <f>C31</f>
        <v>32.280505600000005</v>
      </c>
      <c r="D33" s="223">
        <f>D31*1.2</f>
        <v>298.02691241330973</v>
      </c>
      <c r="E33" s="224"/>
      <c r="F33" s="225">
        <f>F31</f>
        <v>33.025004000000003</v>
      </c>
      <c r="G33" s="226">
        <f>G31</f>
        <v>2.3063405797460572E-2</v>
      </c>
      <c r="H33" s="227">
        <f>H31*1.2</f>
        <v>295.36608456759308</v>
      </c>
      <c r="I33" s="224"/>
      <c r="J33" s="225">
        <f>J31</f>
        <v>48.420758404433919</v>
      </c>
      <c r="K33" s="226">
        <f>K31</f>
        <v>0.5000000001373559</v>
      </c>
      <c r="L33" s="227">
        <f>L31*1.2</f>
        <v>404.52591713193289</v>
      </c>
      <c r="M33" s="362"/>
      <c r="N33" s="225">
        <f>N31</f>
        <v>64.561011159653191</v>
      </c>
      <c r="O33" s="226">
        <f>O31</f>
        <v>0.99999999875011847</v>
      </c>
      <c r="P33" s="227">
        <f>P31*1.2</f>
        <v>466.48173576173843</v>
      </c>
    </row>
    <row r="34" spans="2:16" ht="30" x14ac:dyDescent="0.25">
      <c r="B34" s="487" t="s">
        <v>326</v>
      </c>
      <c r="C34" s="222" t="str">
        <f>_xlfn.CONCAT("ROI"," ", ,C37)</f>
        <v>ROI 9.23</v>
      </c>
      <c r="D34" s="223"/>
      <c r="E34" s="224"/>
      <c r="F34" s="225" t="str">
        <f>_xlfn.CONCAT("ROI"," ", ,F37)</f>
        <v>ROI 8.94</v>
      </c>
      <c r="G34" s="226"/>
      <c r="H34" s="229" t="s">
        <v>327</v>
      </c>
      <c r="I34" s="224"/>
      <c r="J34" s="225" t="str">
        <f>_xlfn.CONCAT("ROI"," ", ,J37)</f>
        <v>ROI 8.35</v>
      </c>
      <c r="K34" s="226"/>
      <c r="L34" s="299" t="s">
        <v>328</v>
      </c>
      <c r="M34" s="363"/>
      <c r="N34" s="225" t="str">
        <f>_xlfn.CONCAT("ROI"," ", ,N37)</f>
        <v>ROI 7.23</v>
      </c>
      <c r="O34" s="226"/>
      <c r="P34" s="299" t="s">
        <v>329</v>
      </c>
    </row>
    <row r="35" spans="2:16" x14ac:dyDescent="0.25">
      <c r="C35" s="97">
        <f>ROUND(D31/C31,2)</f>
        <v>7.69</v>
      </c>
      <c r="F35" s="97">
        <f>ROUND(H31/F31,2)</f>
        <v>7.45</v>
      </c>
      <c r="H35" s="230">
        <f>(H31-$D$31)</f>
        <v>-2.2173565380972207</v>
      </c>
      <c r="J35" s="97">
        <f>ROUND(L31/J31,2)</f>
        <v>6.96</v>
      </c>
      <c r="L35" s="230">
        <f>(L31-$D$31)</f>
        <v>88.749170598852601</v>
      </c>
      <c r="M35" s="364"/>
      <c r="N35" s="97">
        <f>ROUND(P31/N31,2)</f>
        <v>6.02</v>
      </c>
      <c r="P35" s="230">
        <f>(P31-$D$31)</f>
        <v>140.37901945702393</v>
      </c>
    </row>
    <row r="36" spans="2:16" x14ac:dyDescent="0.25">
      <c r="H36" s="356">
        <f>H35/$D$31</f>
        <v>-8.9281462005235783E-3</v>
      </c>
      <c r="J36" s="261"/>
      <c r="K36" s="261"/>
      <c r="L36" s="356">
        <f>L35/$D$31</f>
        <v>0.35734693842322585</v>
      </c>
      <c r="M36" s="356"/>
      <c r="N36" s="261"/>
      <c r="O36" s="261"/>
      <c r="P36" s="356">
        <f>P35/$D$31</f>
        <v>0.56523359579960397</v>
      </c>
    </row>
    <row r="37" spans="2:16" x14ac:dyDescent="0.25">
      <c r="C37" s="97">
        <f>ROUND(D33/C33,2)</f>
        <v>9.23</v>
      </c>
      <c r="F37" s="97">
        <f>ROUND(H33/F33,2)</f>
        <v>8.94</v>
      </c>
      <c r="H37" s="230">
        <f>(H33-$D$33)</f>
        <v>-2.6608278457166534</v>
      </c>
      <c r="J37" s="97">
        <f>ROUND(L33/J33,2)</f>
        <v>8.35</v>
      </c>
      <c r="L37" s="230">
        <f>(L33-$D$33)</f>
        <v>106.49900471862315</v>
      </c>
      <c r="M37" s="364"/>
      <c r="N37" s="488">
        <f>ROUND(P33/N33,2)</f>
        <v>7.23</v>
      </c>
      <c r="P37" s="230">
        <f>(P33-$D$33)</f>
        <v>168.4548233484287</v>
      </c>
    </row>
    <row r="38" spans="2:16" x14ac:dyDescent="0.25">
      <c r="H38" s="191">
        <f>H37/$D$33</f>
        <v>-8.9281462005235419E-3</v>
      </c>
      <c r="I38" s="261"/>
      <c r="J38" s="261"/>
      <c r="K38" s="261"/>
      <c r="L38" s="191">
        <f>L37/$D$33</f>
        <v>0.35734693842322596</v>
      </c>
      <c r="M38" s="191"/>
      <c r="N38" s="261"/>
      <c r="O38" s="261"/>
      <c r="P38" s="191">
        <f>P37/$D$33</f>
        <v>0.56523359579960397</v>
      </c>
    </row>
    <row r="39" spans="2:16" x14ac:dyDescent="0.25">
      <c r="H39" s="356"/>
      <c r="J39" s="261"/>
      <c r="K39" s="261"/>
      <c r="L39" s="356"/>
      <c r="M39" s="356"/>
      <c r="N39" s="261"/>
      <c r="O39" s="261"/>
      <c r="P39" s="356"/>
    </row>
    <row r="41" spans="2:16" x14ac:dyDescent="0.25">
      <c r="B41" s="410" t="s">
        <v>251</v>
      </c>
      <c r="C41" s="410"/>
      <c r="D41" s="410"/>
      <c r="E41" s="410"/>
      <c r="F41" s="410"/>
      <c r="G41" s="410"/>
      <c r="H41" s="410"/>
      <c r="I41" s="410"/>
    </row>
    <row r="42" spans="2:16" x14ac:dyDescent="0.25">
      <c r="B42" s="410"/>
      <c r="C42" s="410"/>
      <c r="D42" s="410"/>
      <c r="E42" s="410"/>
      <c r="F42" s="410"/>
      <c r="G42" s="410"/>
      <c r="H42" s="410"/>
      <c r="I42" s="410"/>
    </row>
    <row r="44" spans="2:16" x14ac:dyDescent="0.25">
      <c r="F44" s="403" t="s">
        <v>240</v>
      </c>
      <c r="G44" s="404"/>
      <c r="H44" s="405"/>
      <c r="I44" s="195"/>
    </row>
    <row r="45" spans="2:16" ht="45" x14ac:dyDescent="0.25">
      <c r="B45" s="196" t="s">
        <v>209</v>
      </c>
      <c r="C45" s="97" t="s">
        <v>210</v>
      </c>
      <c r="D45" s="197" t="s">
        <v>211</v>
      </c>
      <c r="E45" s="197"/>
      <c r="F45" s="97" t="s">
        <v>210</v>
      </c>
      <c r="G45" s="197" t="s">
        <v>212</v>
      </c>
      <c r="H45" s="197" t="s">
        <v>213</v>
      </c>
      <c r="I45" s="197"/>
    </row>
    <row r="46" spans="2:16" x14ac:dyDescent="0.25">
      <c r="B46" s="198" t="s">
        <v>222</v>
      </c>
      <c r="C46" s="199"/>
      <c r="D46" s="199"/>
      <c r="E46" s="199"/>
      <c r="F46" s="199"/>
      <c r="G46" s="191"/>
      <c r="H46" s="199"/>
      <c r="I46" s="199"/>
    </row>
    <row r="47" spans="2:16" x14ac:dyDescent="0.25">
      <c r="B47" s="200" t="s">
        <v>223</v>
      </c>
      <c r="C47" s="199"/>
      <c r="D47" s="199"/>
      <c r="E47" s="199"/>
      <c r="F47" s="199"/>
      <c r="G47" s="191"/>
      <c r="H47" s="199"/>
      <c r="I47" s="199"/>
    </row>
    <row r="48" spans="2:16" x14ac:dyDescent="0.25">
      <c r="B48" s="200" t="s">
        <v>224</v>
      </c>
      <c r="C48" s="199"/>
      <c r="D48" s="199"/>
      <c r="E48" s="199"/>
      <c r="F48" s="199"/>
      <c r="G48" s="191"/>
      <c r="H48" s="199"/>
      <c r="I48" s="199"/>
    </row>
    <row r="49" spans="2:9" x14ac:dyDescent="0.25">
      <c r="B49" s="200" t="s">
        <v>235</v>
      </c>
      <c r="C49" s="199"/>
      <c r="D49" s="199"/>
      <c r="E49" s="199"/>
      <c r="F49" s="199"/>
      <c r="G49" s="191"/>
      <c r="H49" s="199"/>
      <c r="I49" s="199"/>
    </row>
    <row r="50" spans="2:9" x14ac:dyDescent="0.25">
      <c r="B50" s="200" t="s">
        <v>225</v>
      </c>
      <c r="C50" s="199"/>
      <c r="D50" s="199"/>
      <c r="E50" s="199"/>
      <c r="F50" s="199"/>
      <c r="G50" s="191"/>
      <c r="H50" s="199"/>
      <c r="I50" s="199"/>
    </row>
    <row r="51" spans="2:9" x14ac:dyDescent="0.25">
      <c r="B51" s="200" t="s">
        <v>226</v>
      </c>
      <c r="C51" s="199"/>
      <c r="D51" s="199"/>
      <c r="E51" s="199"/>
      <c r="F51" s="199"/>
      <c r="G51" s="191"/>
      <c r="H51" s="199"/>
      <c r="I51" s="199"/>
    </row>
    <row r="52" spans="2:9" x14ac:dyDescent="0.25">
      <c r="B52" s="200" t="s">
        <v>189</v>
      </c>
      <c r="C52" s="199"/>
      <c r="D52" s="199"/>
      <c r="E52" s="199"/>
      <c r="F52" s="199"/>
      <c r="G52" s="191"/>
      <c r="H52" s="199"/>
      <c r="I52" s="199"/>
    </row>
    <row r="53" spans="2:9" x14ac:dyDescent="0.25">
      <c r="B53" s="200" t="s">
        <v>187</v>
      </c>
      <c r="C53" s="199"/>
      <c r="D53" s="199"/>
      <c r="E53" s="199"/>
      <c r="F53" s="199"/>
      <c r="G53" s="191"/>
      <c r="H53" s="199"/>
      <c r="I53" s="199"/>
    </row>
    <row r="54" spans="2:9" x14ac:dyDescent="0.25">
      <c r="B54" s="200" t="s">
        <v>227</v>
      </c>
      <c r="C54" s="199"/>
      <c r="D54" s="199"/>
      <c r="E54" s="199"/>
      <c r="F54" s="199"/>
      <c r="G54" s="191"/>
      <c r="H54" s="199"/>
      <c r="I54" s="199"/>
    </row>
    <row r="55" spans="2:9" x14ac:dyDescent="0.25">
      <c r="B55" s="201" t="s">
        <v>215</v>
      </c>
      <c r="C55" s="202">
        <f>SUM(C46:C54)</f>
        <v>0</v>
      </c>
      <c r="D55" s="202">
        <f>SUM(D46:D54)</f>
        <v>0</v>
      </c>
      <c r="E55" s="193"/>
      <c r="F55" s="202">
        <f>SUM(F46:F54)</f>
        <v>0</v>
      </c>
      <c r="G55" s="203">
        <f>(F55-$C$16)/$C$16</f>
        <v>-1</v>
      </c>
      <c r="H55" s="202">
        <f>SUM(H46:H54)</f>
        <v>0</v>
      </c>
      <c r="I55" s="193"/>
    </row>
    <row r="56" spans="2:9" x14ac:dyDescent="0.25">
      <c r="D56" s="97" t="e">
        <f>D55/C55</f>
        <v>#DIV/0!</v>
      </c>
    </row>
    <row r="58" spans="2:9" ht="27.6" customHeight="1" x14ac:dyDescent="0.25">
      <c r="F58" s="414" t="str">
        <f>B41</f>
        <v>Optimal Channel Spend  allowed to vary between  of the 2021 spend</v>
      </c>
      <c r="G58" s="414"/>
      <c r="H58" s="414"/>
      <c r="I58" s="414"/>
    </row>
    <row r="59" spans="2:9" x14ac:dyDescent="0.25">
      <c r="C59" s="401" t="s">
        <v>241</v>
      </c>
      <c r="D59" s="402"/>
      <c r="E59" s="204"/>
      <c r="F59" s="403" t="str">
        <f>F44</f>
        <v>Current Optimal ($MM)</v>
      </c>
      <c r="G59" s="404"/>
      <c r="H59" s="405"/>
      <c r="I59" s="205"/>
    </row>
    <row r="60" spans="2:9" ht="30" x14ac:dyDescent="0.25">
      <c r="B60" s="196" t="s">
        <v>209</v>
      </c>
      <c r="C60" s="207" t="s">
        <v>219</v>
      </c>
      <c r="D60" s="207" t="s">
        <v>217</v>
      </c>
      <c r="E60" s="208"/>
      <c r="F60" s="231" t="s">
        <v>219</v>
      </c>
      <c r="G60" s="207" t="s">
        <v>212</v>
      </c>
      <c r="H60" s="209" t="s">
        <v>213</v>
      </c>
      <c r="I60" s="208"/>
    </row>
    <row r="61" spans="2:9" x14ac:dyDescent="0.25">
      <c r="B61" s="198" t="s">
        <v>155</v>
      </c>
      <c r="C61" s="210">
        <f t="shared" ref="C61:D67" si="16">C46/1000000</f>
        <v>0</v>
      </c>
      <c r="D61" s="211">
        <f t="shared" si="16"/>
        <v>0</v>
      </c>
      <c r="E61" s="212"/>
      <c r="F61" s="213">
        <f t="shared" ref="F61:F67" si="17">F46/1000000</f>
        <v>0</v>
      </c>
      <c r="G61" s="214">
        <f t="shared" ref="G61:G67" si="18">G46</f>
        <v>0</v>
      </c>
      <c r="H61" s="215">
        <f t="shared" ref="H61:H67" si="19">H46/1000000</f>
        <v>0</v>
      </c>
      <c r="I61" s="212"/>
    </row>
    <row r="62" spans="2:9" x14ac:dyDescent="0.25">
      <c r="B62" s="200" t="s">
        <v>93</v>
      </c>
      <c r="C62" s="216">
        <f t="shared" si="16"/>
        <v>0</v>
      </c>
      <c r="D62" s="217">
        <f t="shared" si="16"/>
        <v>0</v>
      </c>
      <c r="E62" s="212"/>
      <c r="F62" s="218">
        <f t="shared" si="17"/>
        <v>0</v>
      </c>
      <c r="G62" s="219">
        <f t="shared" si="18"/>
        <v>0</v>
      </c>
      <c r="H62" s="220">
        <f t="shared" si="19"/>
        <v>0</v>
      </c>
      <c r="I62" s="212"/>
    </row>
    <row r="63" spans="2:9" x14ac:dyDescent="0.25">
      <c r="B63" s="200" t="s">
        <v>162</v>
      </c>
      <c r="C63" s="216">
        <f t="shared" si="16"/>
        <v>0</v>
      </c>
      <c r="D63" s="217">
        <f t="shared" si="16"/>
        <v>0</v>
      </c>
      <c r="E63" s="212"/>
      <c r="F63" s="218">
        <f t="shared" si="17"/>
        <v>0</v>
      </c>
      <c r="G63" s="219">
        <f t="shared" si="18"/>
        <v>0</v>
      </c>
      <c r="H63" s="220">
        <f t="shared" si="19"/>
        <v>0</v>
      </c>
      <c r="I63" s="212"/>
    </row>
    <row r="64" spans="2:9" x14ac:dyDescent="0.25">
      <c r="B64" s="200" t="s">
        <v>163</v>
      </c>
      <c r="C64" s="216">
        <f t="shared" si="16"/>
        <v>0</v>
      </c>
      <c r="D64" s="217">
        <f t="shared" si="16"/>
        <v>0</v>
      </c>
      <c r="E64" s="212"/>
      <c r="F64" s="218">
        <f t="shared" si="17"/>
        <v>0</v>
      </c>
      <c r="G64" s="219">
        <f t="shared" si="18"/>
        <v>0</v>
      </c>
      <c r="H64" s="220">
        <f t="shared" si="19"/>
        <v>0</v>
      </c>
      <c r="I64" s="212"/>
    </row>
    <row r="65" spans="2:9" x14ac:dyDescent="0.25">
      <c r="B65" s="200" t="s">
        <v>165</v>
      </c>
      <c r="C65" s="216">
        <f t="shared" si="16"/>
        <v>0</v>
      </c>
      <c r="D65" s="217">
        <f t="shared" si="16"/>
        <v>0</v>
      </c>
      <c r="E65" s="212"/>
      <c r="F65" s="218">
        <f t="shared" si="17"/>
        <v>0</v>
      </c>
      <c r="G65" s="219">
        <f t="shared" si="18"/>
        <v>0</v>
      </c>
      <c r="H65" s="220">
        <f t="shared" si="19"/>
        <v>0</v>
      </c>
      <c r="I65" s="212"/>
    </row>
    <row r="66" spans="2:9" x14ac:dyDescent="0.25">
      <c r="B66" s="200" t="s">
        <v>164</v>
      </c>
      <c r="C66" s="216">
        <f t="shared" si="16"/>
        <v>0</v>
      </c>
      <c r="D66" s="217">
        <f t="shared" si="16"/>
        <v>0</v>
      </c>
      <c r="E66" s="212"/>
      <c r="F66" s="218">
        <f t="shared" si="17"/>
        <v>0</v>
      </c>
      <c r="G66" s="219">
        <f t="shared" si="18"/>
        <v>0</v>
      </c>
      <c r="H66" s="220">
        <f t="shared" si="19"/>
        <v>0</v>
      </c>
      <c r="I66" s="212"/>
    </row>
    <row r="67" spans="2:9" x14ac:dyDescent="0.25">
      <c r="B67" s="200" t="s">
        <v>161</v>
      </c>
      <c r="C67" s="216">
        <f t="shared" si="16"/>
        <v>0</v>
      </c>
      <c r="D67" s="217">
        <f t="shared" si="16"/>
        <v>0</v>
      </c>
      <c r="E67" s="212"/>
      <c r="F67" s="218">
        <f t="shared" si="17"/>
        <v>0</v>
      </c>
      <c r="G67" s="219">
        <f t="shared" si="18"/>
        <v>0</v>
      </c>
      <c r="H67" s="220">
        <f t="shared" si="19"/>
        <v>0</v>
      </c>
      <c r="I67" s="212"/>
    </row>
    <row r="68" spans="2:9" x14ac:dyDescent="0.25">
      <c r="B68" s="200" t="s">
        <v>214</v>
      </c>
      <c r="C68" s="216">
        <f t="shared" ref="C68:D69" si="20">C54/1000000</f>
        <v>0</v>
      </c>
      <c r="D68" s="217">
        <f t="shared" si="20"/>
        <v>0</v>
      </c>
      <c r="E68" s="212"/>
      <c r="F68" s="218">
        <f t="shared" ref="F68:F69" si="21">F54/1000000</f>
        <v>0</v>
      </c>
      <c r="G68" s="219">
        <f t="shared" ref="G68" si="22">G54</f>
        <v>0</v>
      </c>
      <c r="H68" s="220">
        <f t="shared" ref="H68:H69" si="23">H54/1000000</f>
        <v>0</v>
      </c>
      <c r="I68" s="212"/>
    </row>
    <row r="69" spans="2:9" x14ac:dyDescent="0.25">
      <c r="B69" s="221" t="s">
        <v>215</v>
      </c>
      <c r="C69" s="222">
        <f t="shared" si="20"/>
        <v>0</v>
      </c>
      <c r="D69" s="223">
        <f t="shared" si="20"/>
        <v>0</v>
      </c>
      <c r="E69" s="224"/>
      <c r="F69" s="225">
        <f t="shared" si="21"/>
        <v>0</v>
      </c>
      <c r="G69" s="226">
        <f>G55</f>
        <v>-1</v>
      </c>
      <c r="H69" s="227">
        <f t="shared" si="23"/>
        <v>0</v>
      </c>
      <c r="I69" s="224"/>
    </row>
    <row r="70" spans="2:9" x14ac:dyDescent="0.25">
      <c r="B70" s="221" t="s">
        <v>218</v>
      </c>
      <c r="C70" s="222"/>
      <c r="D70" s="223"/>
      <c r="E70" s="224"/>
      <c r="F70" s="225"/>
      <c r="G70" s="226"/>
      <c r="H70" s="228"/>
      <c r="I70" s="224"/>
    </row>
    <row r="71" spans="2:9" x14ac:dyDescent="0.25">
      <c r="H71" s="232">
        <f>H69-$D$69</f>
        <v>0</v>
      </c>
    </row>
    <row r="72" spans="2:9" x14ac:dyDescent="0.25">
      <c r="H72" s="191" t="e">
        <f>H71/$D$69</f>
        <v>#DIV/0!</v>
      </c>
      <c r="I72" s="353"/>
    </row>
  </sheetData>
  <mergeCells count="14">
    <mergeCell ref="C59:D59"/>
    <mergeCell ref="F59:H59"/>
    <mergeCell ref="C20:D20"/>
    <mergeCell ref="F20:H20"/>
    <mergeCell ref="B41:I42"/>
    <mergeCell ref="F44:H44"/>
    <mergeCell ref="N5:P5"/>
    <mergeCell ref="F19:P19"/>
    <mergeCell ref="F58:I58"/>
    <mergeCell ref="F4:P4"/>
    <mergeCell ref="N20:P20"/>
    <mergeCell ref="J5:L5"/>
    <mergeCell ref="F5:H5"/>
    <mergeCell ref="J20:L20"/>
  </mergeCells>
  <conditionalFormatting sqref="G22:G30">
    <cfRule type="cellIs" dxfId="19" priority="35" operator="lessThan">
      <formula>0</formula>
    </cfRule>
    <cfRule type="cellIs" dxfId="18" priority="36" operator="greaterThan">
      <formula>0</formula>
    </cfRule>
  </conditionalFormatting>
  <conditionalFormatting sqref="G61:G68">
    <cfRule type="cellIs" dxfId="17" priority="27" operator="lessThan">
      <formula>0</formula>
    </cfRule>
    <cfRule type="cellIs" dxfId="16" priority="28" operator="greaterThan">
      <formula>0</formula>
    </cfRule>
  </conditionalFormatting>
  <conditionalFormatting sqref="K22:K30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O22:O30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6 K16 O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B8BA5-7B4A-4BF7-A119-26209CAED72E}">
  <dimension ref="B1:AE30"/>
  <sheetViews>
    <sheetView showGridLines="0" zoomScale="75" zoomScaleNormal="75" workbookViewId="0">
      <selection activeCell="O12" sqref="O12"/>
    </sheetView>
  </sheetViews>
  <sheetFormatPr defaultRowHeight="15" x14ac:dyDescent="0.25"/>
  <cols>
    <col min="2" max="2" width="26.42578125" customWidth="1"/>
    <col min="5" max="5" width="0.85546875" customWidth="1"/>
    <col min="9" max="9" width="0.85546875" customWidth="1"/>
    <col min="13" max="13" width="0.85546875" customWidth="1"/>
    <col min="18" max="18" width="11.85546875" hidden="1" customWidth="1"/>
    <col min="19" max="19" width="0" hidden="1" customWidth="1"/>
    <col min="20" max="20" width="3.5703125" hidden="1" customWidth="1"/>
    <col min="21" max="23" width="0" hidden="1" customWidth="1"/>
    <col min="24" max="24" width="3.42578125" customWidth="1"/>
    <col min="28" max="28" width="1.28515625" customWidth="1"/>
  </cols>
  <sheetData>
    <row r="1" spans="2:31" x14ac:dyDescent="0.25">
      <c r="Y1" s="400" t="s">
        <v>324</v>
      </c>
      <c r="Z1" s="400"/>
      <c r="AA1" s="400"/>
      <c r="AB1" s="400"/>
      <c r="AC1" s="400"/>
      <c r="AD1" s="400"/>
      <c r="AE1" s="400"/>
    </row>
    <row r="2" spans="2:31" x14ac:dyDescent="0.25">
      <c r="Y2" s="400"/>
      <c r="Z2" s="400"/>
      <c r="AA2" s="400"/>
      <c r="AB2" s="400"/>
      <c r="AC2" s="400"/>
      <c r="AD2" s="400"/>
      <c r="AE2" s="400"/>
    </row>
    <row r="3" spans="2:31" x14ac:dyDescent="0.25">
      <c r="B3" s="97"/>
      <c r="C3" s="97"/>
      <c r="D3" s="97"/>
      <c r="E3" s="97"/>
      <c r="F3" s="409" t="s">
        <v>312</v>
      </c>
      <c r="G3" s="409"/>
      <c r="H3" s="409"/>
      <c r="I3" s="409"/>
      <c r="J3" s="409"/>
      <c r="K3" s="409"/>
      <c r="L3" s="409"/>
      <c r="M3" s="409"/>
      <c r="N3" s="409"/>
      <c r="O3" s="409"/>
      <c r="P3" s="409"/>
    </row>
    <row r="4" spans="2:31" x14ac:dyDescent="0.25">
      <c r="B4" s="97"/>
      <c r="C4" s="401" t="s">
        <v>310</v>
      </c>
      <c r="D4" s="402"/>
      <c r="E4" s="204"/>
      <c r="F4" s="403" t="s">
        <v>311</v>
      </c>
      <c r="G4" s="404"/>
      <c r="H4" s="405"/>
      <c r="I4" s="205"/>
      <c r="J4" s="403" t="s">
        <v>282</v>
      </c>
      <c r="K4" s="404"/>
      <c r="L4" s="405"/>
      <c r="M4" s="359"/>
      <c r="N4" s="403" t="s">
        <v>284</v>
      </c>
      <c r="O4" s="404"/>
      <c r="P4" s="405"/>
      <c r="R4" s="401" t="s">
        <v>310</v>
      </c>
      <c r="S4" s="402"/>
      <c r="T4" s="204"/>
      <c r="U4" s="403" t="s">
        <v>311</v>
      </c>
      <c r="V4" s="404"/>
      <c r="W4" s="405"/>
      <c r="X4" s="391"/>
      <c r="Y4" s="403" t="s">
        <v>282</v>
      </c>
      <c r="Z4" s="404"/>
      <c r="AA4" s="405"/>
      <c r="AB4" s="392"/>
      <c r="AC4" s="403" t="s">
        <v>284</v>
      </c>
      <c r="AD4" s="404"/>
      <c r="AE4" s="405"/>
    </row>
    <row r="5" spans="2:31" ht="60" x14ac:dyDescent="0.25">
      <c r="B5" s="196" t="s">
        <v>209</v>
      </c>
      <c r="C5" s="206" t="s">
        <v>216</v>
      </c>
      <c r="D5" s="207" t="s">
        <v>217</v>
      </c>
      <c r="E5" s="208"/>
      <c r="F5" s="231" t="s">
        <v>219</v>
      </c>
      <c r="G5" s="207" t="s">
        <v>212</v>
      </c>
      <c r="H5" s="209" t="s">
        <v>213</v>
      </c>
      <c r="I5" s="208"/>
      <c r="J5" s="231" t="s">
        <v>219</v>
      </c>
      <c r="K5" s="207" t="s">
        <v>212</v>
      </c>
      <c r="L5" s="209" t="s">
        <v>213</v>
      </c>
      <c r="M5" s="360"/>
      <c r="N5" s="231" t="s">
        <v>219</v>
      </c>
      <c r="O5" s="207" t="s">
        <v>212</v>
      </c>
      <c r="P5" s="209" t="s">
        <v>213</v>
      </c>
      <c r="R5" s="206" t="s">
        <v>216</v>
      </c>
      <c r="S5" s="207" t="s">
        <v>217</v>
      </c>
      <c r="T5" s="208"/>
      <c r="U5" s="231" t="s">
        <v>219</v>
      </c>
      <c r="V5" s="207" t="s">
        <v>212</v>
      </c>
      <c r="W5" s="209" t="s">
        <v>213</v>
      </c>
      <c r="X5" s="208"/>
      <c r="Y5" s="231" t="s">
        <v>219</v>
      </c>
      <c r="Z5" s="207" t="s">
        <v>212</v>
      </c>
      <c r="AA5" s="209" t="s">
        <v>213</v>
      </c>
      <c r="AB5" s="208"/>
      <c r="AC5" s="231" t="s">
        <v>219</v>
      </c>
      <c r="AD5" s="207" t="s">
        <v>212</v>
      </c>
      <c r="AE5" s="209" t="s">
        <v>213</v>
      </c>
    </row>
    <row r="6" spans="2:31" x14ac:dyDescent="0.25">
      <c r="B6" s="198" t="s">
        <v>222</v>
      </c>
      <c r="C6" s="210">
        <v>1.755293</v>
      </c>
      <c r="D6" s="211">
        <v>7.6999726835207554</v>
      </c>
      <c r="E6" s="212"/>
      <c r="F6" s="213">
        <v>1</v>
      </c>
      <c r="G6" s="214">
        <v>-0.43029454341810741</v>
      </c>
      <c r="H6" s="295">
        <v>5.0407890644048416</v>
      </c>
      <c r="I6" s="212"/>
      <c r="J6" s="213">
        <v>1.2159942332681126</v>
      </c>
      <c r="K6" s="214">
        <v>-0.30724145013504145</v>
      </c>
      <c r="L6" s="215">
        <v>5.8862515263973636</v>
      </c>
      <c r="M6" s="361"/>
      <c r="N6" s="213">
        <v>1.8963916644921017</v>
      </c>
      <c r="O6" s="214">
        <v>8.0384679077568036E-2</v>
      </c>
      <c r="P6" s="215">
        <v>8.112410288745572</v>
      </c>
      <c r="Q6" s="198" t="s">
        <v>222</v>
      </c>
      <c r="R6" s="210">
        <v>1.755293</v>
      </c>
      <c r="S6" s="211">
        <v>7.6999726835207554</v>
      </c>
      <c r="T6" s="212"/>
      <c r="U6" s="213">
        <v>1</v>
      </c>
      <c r="V6" s="214">
        <v>-0.43029454341810741</v>
      </c>
      <c r="W6" s="295">
        <v>5.0407890644048416</v>
      </c>
      <c r="X6" s="212"/>
      <c r="Y6" s="213">
        <v>1.6260289774082533</v>
      </c>
      <c r="Z6" s="214">
        <v>-7.3642419010243099E-2</v>
      </c>
      <c r="AA6" s="215">
        <v>7.3007697532979936</v>
      </c>
      <c r="AB6" s="361"/>
      <c r="AC6" s="213">
        <v>3.9144449548722422</v>
      </c>
      <c r="AD6" s="214">
        <v>1.2300806502801767</v>
      </c>
      <c r="AE6" s="215">
        <v>12.018588491450149</v>
      </c>
    </row>
    <row r="7" spans="2:31" x14ac:dyDescent="0.25">
      <c r="B7" s="198" t="s">
        <v>223</v>
      </c>
      <c r="C7" s="216">
        <v>5.3653728900000006</v>
      </c>
      <c r="D7" s="217">
        <v>63.849938934329622</v>
      </c>
      <c r="E7" s="212"/>
      <c r="F7" s="218">
        <v>5.4</v>
      </c>
      <c r="G7" s="219">
        <v>6.4538123835786929E-3</v>
      </c>
      <c r="H7" s="296">
        <v>64.130441937738652</v>
      </c>
      <c r="I7" s="212"/>
      <c r="J7" s="218">
        <v>10.904598828706474</v>
      </c>
      <c r="K7" s="214">
        <v>1.0324027895676182</v>
      </c>
      <c r="L7" s="220">
        <v>95.229281594653457</v>
      </c>
      <c r="M7" s="361"/>
      <c r="N7" s="213">
        <v>12</v>
      </c>
      <c r="O7" s="214">
        <v>1.2365640275190637</v>
      </c>
      <c r="P7" s="215">
        <v>99.028830679674456</v>
      </c>
      <c r="Q7" s="198" t="s">
        <v>223</v>
      </c>
      <c r="R7" s="216">
        <v>5.3653728900000006</v>
      </c>
      <c r="S7" s="217">
        <v>63.849938934329622</v>
      </c>
      <c r="T7" s="212"/>
      <c r="U7" s="218">
        <v>5.4000000000000012</v>
      </c>
      <c r="V7" s="219">
        <v>6.4538123835788663E-3</v>
      </c>
      <c r="W7" s="296">
        <v>64.130441937738652</v>
      </c>
      <c r="X7" s="212"/>
      <c r="Y7" s="218">
        <v>8.75</v>
      </c>
      <c r="Z7" s="214">
        <v>0.6308279367326507</v>
      </c>
      <c r="AA7" s="220">
        <v>85.797425159909636</v>
      </c>
      <c r="AB7" s="361"/>
      <c r="AC7" s="213">
        <v>8.75</v>
      </c>
      <c r="AD7" s="214">
        <v>0.6308279367326507</v>
      </c>
      <c r="AE7" s="215">
        <v>85.797425159909636</v>
      </c>
    </row>
    <row r="8" spans="2:31" x14ac:dyDescent="0.25">
      <c r="B8" s="198" t="s">
        <v>224</v>
      </c>
      <c r="C8" s="216">
        <v>1.873</v>
      </c>
      <c r="D8" s="217">
        <v>16.096682775385503</v>
      </c>
      <c r="E8" s="212"/>
      <c r="F8" s="218">
        <v>1.5995000000000001</v>
      </c>
      <c r="G8" s="219">
        <v>-0.14602242391884665</v>
      </c>
      <c r="H8" s="296">
        <v>14.642130239828274</v>
      </c>
      <c r="I8" s="212"/>
      <c r="J8" s="218">
        <v>4.1662167877510949</v>
      </c>
      <c r="K8" s="214">
        <v>1.2243549320614497</v>
      </c>
      <c r="L8" s="220">
        <v>26.005118530697274</v>
      </c>
      <c r="M8" s="361"/>
      <c r="N8" s="213">
        <v>8.3205409331512108</v>
      </c>
      <c r="O8" s="214">
        <v>3.4423603487192795</v>
      </c>
      <c r="P8" s="215">
        <v>39.382624603452598</v>
      </c>
      <c r="Q8" s="198" t="s">
        <v>224</v>
      </c>
      <c r="R8" s="216">
        <v>1.873</v>
      </c>
      <c r="S8" s="217">
        <v>16.096682775385503</v>
      </c>
      <c r="T8" s="212"/>
      <c r="U8" s="218">
        <v>1.5994999999999997</v>
      </c>
      <c r="V8" s="219">
        <v>-0.1460224239188469</v>
      </c>
      <c r="W8" s="296">
        <v>14.642130239828273</v>
      </c>
      <c r="X8" s="212"/>
      <c r="Y8" s="218">
        <v>6.319746422969458</v>
      </c>
      <c r="Z8" s="214">
        <v>2.3741304981150333</v>
      </c>
      <c r="AA8" s="220">
        <v>33.391314075163663</v>
      </c>
      <c r="AB8" s="361"/>
      <c r="AC8" s="213">
        <v>6.5000000000000009</v>
      </c>
      <c r="AD8" s="214">
        <v>2.4703683929524831</v>
      </c>
      <c r="AE8" s="215">
        <v>33.959534839013607</v>
      </c>
    </row>
    <row r="9" spans="2:31" x14ac:dyDescent="0.25">
      <c r="B9" s="198" t="s">
        <v>242</v>
      </c>
      <c r="C9" s="216">
        <v>0.17307694000000001</v>
      </c>
      <c r="D9" s="217">
        <v>1.7099803714794048</v>
      </c>
      <c r="E9" s="212"/>
      <c r="F9" s="218">
        <v>0.5</v>
      </c>
      <c r="G9" s="219">
        <v>1.8888886064197807</v>
      </c>
      <c r="H9" s="296">
        <v>2.9587087105763983</v>
      </c>
      <c r="I9" s="212"/>
      <c r="J9" s="218">
        <v>0.5</v>
      </c>
      <c r="K9" s="214">
        <v>1.8888886064197807</v>
      </c>
      <c r="L9" s="220">
        <v>2.9587087105763983</v>
      </c>
      <c r="M9" s="361"/>
      <c r="N9" s="213">
        <v>0.5</v>
      </c>
      <c r="O9" s="214">
        <v>1.8888886064197807</v>
      </c>
      <c r="P9" s="215">
        <v>2.9587087105763983</v>
      </c>
      <c r="Q9" s="198" t="s">
        <v>242</v>
      </c>
      <c r="R9" s="216">
        <v>0.17307694000000001</v>
      </c>
      <c r="S9" s="217">
        <v>1.7099803714794048</v>
      </c>
      <c r="T9" s="212"/>
      <c r="U9" s="218">
        <v>0.5</v>
      </c>
      <c r="V9" s="219">
        <v>1.8888886064197807</v>
      </c>
      <c r="W9" s="296">
        <v>2.9587087105763983</v>
      </c>
      <c r="X9" s="212"/>
      <c r="Y9" s="218">
        <v>0.5</v>
      </c>
      <c r="Z9" s="214">
        <v>1.8888886064197807</v>
      </c>
      <c r="AA9" s="220">
        <v>2.9587087105763983</v>
      </c>
      <c r="AB9" s="361"/>
      <c r="AC9" s="213">
        <v>0.59838724562371437</v>
      </c>
      <c r="AD9" s="214">
        <v>2.4573481922185265</v>
      </c>
      <c r="AE9" s="215">
        <v>3.1090525435648013</v>
      </c>
    </row>
    <row r="10" spans="2:31" x14ac:dyDescent="0.25">
      <c r="B10" s="198" t="s">
        <v>244</v>
      </c>
      <c r="C10" s="216">
        <v>6.1801250000000003</v>
      </c>
      <c r="D10" s="217">
        <v>32.683849841578791</v>
      </c>
      <c r="E10" s="212"/>
      <c r="F10" s="218">
        <v>6.4637140000000004</v>
      </c>
      <c r="G10" s="219">
        <v>4.5887259561902066E-2</v>
      </c>
      <c r="H10" s="296">
        <v>33.726604314190389</v>
      </c>
      <c r="I10" s="212"/>
      <c r="J10" s="218">
        <v>6.4637140000000004</v>
      </c>
      <c r="K10" s="214">
        <v>4.5887259561902066E-2</v>
      </c>
      <c r="L10" s="220">
        <v>33.726604314190389</v>
      </c>
      <c r="M10" s="361"/>
      <c r="N10" s="213">
        <v>14.954189456298367</v>
      </c>
      <c r="O10" s="214">
        <v>1.4197228140690306</v>
      </c>
      <c r="P10" s="215">
        <v>60.669321779101267</v>
      </c>
      <c r="Q10" s="198" t="s">
        <v>244</v>
      </c>
      <c r="R10" s="216">
        <v>6.1801250000000003</v>
      </c>
      <c r="S10" s="217">
        <v>32.683849841578791</v>
      </c>
      <c r="T10" s="212"/>
      <c r="U10" s="218">
        <v>6.4637140000000004</v>
      </c>
      <c r="V10" s="219">
        <v>4.5887259561902066E-2</v>
      </c>
      <c r="W10" s="296">
        <v>33.726604314190389</v>
      </c>
      <c r="X10" s="212"/>
      <c r="Y10" s="218">
        <v>10.363192995068092</v>
      </c>
      <c r="Z10" s="214">
        <v>0.67685815336552124</v>
      </c>
      <c r="AA10" s="220">
        <v>46.933250693109827</v>
      </c>
      <c r="AB10" s="361"/>
      <c r="AC10" s="213">
        <v>12.070112999999997</v>
      </c>
      <c r="AD10" s="214">
        <v>0.95305321494306316</v>
      </c>
      <c r="AE10" s="215">
        <v>52.219542216157258</v>
      </c>
    </row>
    <row r="11" spans="2:31" x14ac:dyDescent="0.25">
      <c r="B11" s="198" t="s">
        <v>225</v>
      </c>
      <c r="C11" s="216">
        <v>1.64835737</v>
      </c>
      <c r="D11" s="217">
        <v>23.524052607040179</v>
      </c>
      <c r="E11" s="212"/>
      <c r="F11" s="218">
        <v>1.5</v>
      </c>
      <c r="G11" s="219">
        <v>-9.0003158720369056E-2</v>
      </c>
      <c r="H11" s="296">
        <v>21.855163981115947</v>
      </c>
      <c r="I11" s="212"/>
      <c r="J11" s="218">
        <v>5.1184445547082404</v>
      </c>
      <c r="K11" s="214">
        <v>2.1051789180329505</v>
      </c>
      <c r="L11" s="220">
        <v>46.934100606188956</v>
      </c>
      <c r="M11" s="361"/>
      <c r="N11" s="213">
        <v>5.9997840103534514</v>
      </c>
      <c r="O11" s="214">
        <v>2.6398563318544515</v>
      </c>
      <c r="P11" s="215">
        <v>49.817756356307861</v>
      </c>
      <c r="Q11" s="198" t="s">
        <v>225</v>
      </c>
      <c r="R11" s="216">
        <v>1.64835737</v>
      </c>
      <c r="S11" s="217">
        <v>23.524052607040179</v>
      </c>
      <c r="T11" s="212"/>
      <c r="U11" s="218">
        <v>1.5</v>
      </c>
      <c r="V11" s="219">
        <v>-9.0003158720369056E-2</v>
      </c>
      <c r="W11" s="296">
        <v>21.855163981115947</v>
      </c>
      <c r="X11" s="212"/>
      <c r="Y11" s="218">
        <v>3.5</v>
      </c>
      <c r="Z11" s="214">
        <v>1.1233259629858054</v>
      </c>
      <c r="AA11" s="220">
        <v>39.043978652453582</v>
      </c>
      <c r="AB11" s="361"/>
      <c r="AC11" s="213">
        <v>3.5</v>
      </c>
      <c r="AD11" s="214">
        <v>1.1233259629858054</v>
      </c>
      <c r="AE11" s="215">
        <v>39.043978652453582</v>
      </c>
    </row>
    <row r="12" spans="2:31" x14ac:dyDescent="0.25">
      <c r="B12" s="198" t="s">
        <v>226</v>
      </c>
      <c r="C12" s="393">
        <v>0.34470699999999999</v>
      </c>
      <c r="D12" s="217">
        <v>29.52902226299376</v>
      </c>
      <c r="E12" s="212"/>
      <c r="F12" s="218">
        <v>0.3</v>
      </c>
      <c r="G12" s="219">
        <v>-0.12969565457040327</v>
      </c>
      <c r="H12" s="296">
        <v>26.792847590052393</v>
      </c>
      <c r="I12" s="212"/>
      <c r="J12" s="218">
        <v>0.39</v>
      </c>
      <c r="K12" s="214">
        <v>0.13139564905847576</v>
      </c>
      <c r="L12" s="220">
        <v>32.194317314408991</v>
      </c>
      <c r="M12" s="361"/>
      <c r="N12" s="213">
        <v>0.39</v>
      </c>
      <c r="O12" s="214">
        <v>0.13139564905847576</v>
      </c>
      <c r="P12" s="215">
        <v>32.194317314408991</v>
      </c>
      <c r="Q12" s="198" t="s">
        <v>226</v>
      </c>
      <c r="R12" s="216">
        <v>0.34470699999999999</v>
      </c>
      <c r="S12" s="217">
        <v>29.52902226299376</v>
      </c>
      <c r="T12" s="212"/>
      <c r="U12" s="218">
        <v>0.3</v>
      </c>
      <c r="V12" s="219">
        <v>-0.12969565457040327</v>
      </c>
      <c r="W12" s="296">
        <v>26.792847590052393</v>
      </c>
      <c r="X12" s="212"/>
      <c r="Y12" s="394">
        <v>0.3</v>
      </c>
      <c r="Z12" s="214">
        <v>-0.12969565457040327</v>
      </c>
      <c r="AA12" s="220">
        <v>26.792847590052393</v>
      </c>
      <c r="AB12" s="361"/>
      <c r="AC12" s="395">
        <v>0.3</v>
      </c>
      <c r="AD12" s="214">
        <v>-0.12969565457040327</v>
      </c>
      <c r="AE12" s="215">
        <v>26.792847590052393</v>
      </c>
    </row>
    <row r="13" spans="2:31" x14ac:dyDescent="0.25">
      <c r="B13" s="198" t="s">
        <v>281</v>
      </c>
      <c r="C13" s="216">
        <v>1.4370484099999998</v>
      </c>
      <c r="D13" s="217">
        <v>15.944380745101283</v>
      </c>
      <c r="E13" s="212"/>
      <c r="F13" s="218">
        <v>1.4</v>
      </c>
      <c r="G13" s="219">
        <v>-2.5780906016937815E-2</v>
      </c>
      <c r="H13" s="296">
        <v>15.696457153648282</v>
      </c>
      <c r="I13" s="212"/>
      <c r="J13" s="218">
        <v>4.8</v>
      </c>
      <c r="K13" s="214">
        <v>2.34017975079907</v>
      </c>
      <c r="L13" s="220">
        <v>32.875287531392161</v>
      </c>
      <c r="M13" s="361"/>
      <c r="N13" s="213">
        <v>4.8</v>
      </c>
      <c r="O13" s="214">
        <v>2.34017975079907</v>
      </c>
      <c r="P13" s="215">
        <v>32.875287531392161</v>
      </c>
      <c r="Q13" s="198" t="s">
        <v>281</v>
      </c>
      <c r="R13" s="216">
        <v>1.4370484099999998</v>
      </c>
      <c r="S13" s="217">
        <v>15.944380745101283</v>
      </c>
      <c r="T13" s="212"/>
      <c r="U13" s="218">
        <v>1.4</v>
      </c>
      <c r="V13" s="219">
        <v>-2.5780906016937815E-2</v>
      </c>
      <c r="W13" s="296">
        <v>15.696457153648282</v>
      </c>
      <c r="X13" s="212"/>
      <c r="Y13" s="218">
        <v>2.2000000000000002</v>
      </c>
      <c r="Z13" s="214">
        <v>0.53091571911624058</v>
      </c>
      <c r="AA13" s="220">
        <v>20.586306096078072</v>
      </c>
      <c r="AB13" s="361"/>
      <c r="AC13" s="213">
        <v>2.2000000000000002</v>
      </c>
      <c r="AD13" s="214">
        <v>0.53091571911624058</v>
      </c>
      <c r="AE13" s="215">
        <v>20.586306096078072</v>
      </c>
    </row>
    <row r="14" spans="2:31" x14ac:dyDescent="0.25">
      <c r="B14" s="198" t="s">
        <v>187</v>
      </c>
      <c r="C14" s="216">
        <v>13.503524990000001</v>
      </c>
      <c r="D14" s="217">
        <v>57.317880122995497</v>
      </c>
      <c r="E14" s="212"/>
      <c r="F14" s="218">
        <v>14.861789999999999</v>
      </c>
      <c r="G14" s="219">
        <v>0.10058595892597373</v>
      </c>
      <c r="H14" s="296">
        <v>61.295260814772405</v>
      </c>
      <c r="I14" s="212"/>
      <c r="J14" s="218">
        <v>14.861789999999999</v>
      </c>
      <c r="K14" s="214">
        <v>0.10058595892597373</v>
      </c>
      <c r="L14" s="220">
        <v>61.295260814772405</v>
      </c>
      <c r="M14" s="361"/>
      <c r="N14" s="213">
        <v>15.70010509535806</v>
      </c>
      <c r="O14" s="214">
        <v>0.16266716335066081</v>
      </c>
      <c r="P14" s="215">
        <v>63.695522537789394</v>
      </c>
      <c r="Q14" s="198" t="s">
        <v>187</v>
      </c>
      <c r="R14" s="216">
        <v>13.503524990000001</v>
      </c>
      <c r="S14" s="217">
        <v>57.317880122995497</v>
      </c>
      <c r="T14" s="212"/>
      <c r="U14" s="218">
        <v>14.861789999999999</v>
      </c>
      <c r="V14" s="219">
        <v>0.10058595892597373</v>
      </c>
      <c r="W14" s="296">
        <v>61.295260814772405</v>
      </c>
      <c r="X14" s="212"/>
      <c r="Y14" s="218">
        <v>14.861789999999999</v>
      </c>
      <c r="Z14" s="214">
        <v>0.10058595892597373</v>
      </c>
      <c r="AA14" s="220">
        <v>61.295260814772405</v>
      </c>
      <c r="AB14" s="361"/>
      <c r="AC14" s="213">
        <v>26.728065999999998</v>
      </c>
      <c r="AD14" s="214">
        <v>0.97933991456256042</v>
      </c>
      <c r="AE14" s="215">
        <v>92.438818857170247</v>
      </c>
    </row>
    <row r="15" spans="2:31" x14ac:dyDescent="0.25">
      <c r="B15" s="221" t="s">
        <v>215</v>
      </c>
      <c r="C15" s="222">
        <v>32.280505600000005</v>
      </c>
      <c r="D15" s="223">
        <v>248.35576034442479</v>
      </c>
      <c r="E15" s="224"/>
      <c r="F15" s="225">
        <v>33.025004000000003</v>
      </c>
      <c r="G15" s="226">
        <v>2.3063405797460572E-2</v>
      </c>
      <c r="H15" s="230">
        <v>246.13840380632757</v>
      </c>
      <c r="I15" s="224"/>
      <c r="J15" s="225">
        <v>48.420758404433919</v>
      </c>
      <c r="K15" s="226">
        <v>0.5000000001373559</v>
      </c>
      <c r="L15" s="227">
        <v>337.1049309432774</v>
      </c>
      <c r="M15" s="362"/>
      <c r="N15" s="225">
        <v>64.561011159653191</v>
      </c>
      <c r="O15" s="226">
        <v>0.99999999875011847</v>
      </c>
      <c r="P15" s="227">
        <v>388.73477980144872</v>
      </c>
      <c r="R15" s="222">
        <v>32.280505600000005</v>
      </c>
      <c r="S15" s="223">
        <v>248.35576034442479</v>
      </c>
      <c r="T15" s="224"/>
      <c r="U15" s="225">
        <v>33.025004000000003</v>
      </c>
      <c r="V15" s="226">
        <v>2.3063405797460572E-2</v>
      </c>
      <c r="W15" s="230">
        <v>246.13840380632757</v>
      </c>
      <c r="X15" s="224"/>
      <c r="Y15" s="225">
        <v>48.420758395445802</v>
      </c>
      <c r="Z15" s="226">
        <v>0.49999999985891791</v>
      </c>
      <c r="AA15" s="227">
        <v>324.09986154541394</v>
      </c>
      <c r="AB15" s="362"/>
      <c r="AC15" s="225">
        <v>64.561011200495955</v>
      </c>
      <c r="AD15" s="226">
        <v>1.0000000000153639</v>
      </c>
      <c r="AE15" s="227">
        <v>365.96609444584976</v>
      </c>
    </row>
    <row r="16" spans="2:31" ht="30" x14ac:dyDescent="0.25">
      <c r="B16" s="297" t="s">
        <v>265</v>
      </c>
      <c r="C16" s="357" t="s">
        <v>316</v>
      </c>
      <c r="D16" s="223"/>
      <c r="E16" s="224"/>
      <c r="F16" s="225" t="s">
        <v>317</v>
      </c>
      <c r="G16" s="226"/>
      <c r="H16" s="229" t="s">
        <v>313</v>
      </c>
      <c r="I16" s="224"/>
      <c r="J16" s="225" t="s">
        <v>318</v>
      </c>
      <c r="K16" s="226"/>
      <c r="L16" s="299" t="s">
        <v>315</v>
      </c>
      <c r="M16" s="363"/>
      <c r="N16" s="225" t="s">
        <v>319</v>
      </c>
      <c r="O16" s="226"/>
      <c r="P16" s="299" t="s">
        <v>314</v>
      </c>
      <c r="R16" s="357" t="s">
        <v>316</v>
      </c>
      <c r="S16" s="223"/>
      <c r="T16" s="224"/>
      <c r="U16" s="225" t="s">
        <v>317</v>
      </c>
      <c r="V16" s="226"/>
      <c r="W16" s="229" t="s">
        <v>313</v>
      </c>
      <c r="X16" s="224"/>
      <c r="Y16" s="225" t="s">
        <v>320</v>
      </c>
      <c r="Z16" s="226"/>
      <c r="AA16" s="299" t="s">
        <v>321</v>
      </c>
      <c r="AB16" s="363"/>
      <c r="AC16" s="225" t="s">
        <v>322</v>
      </c>
      <c r="AD16" s="226"/>
      <c r="AE16" s="299" t="s">
        <v>323</v>
      </c>
    </row>
    <row r="19" spans="2:29" x14ac:dyDescent="0.25">
      <c r="Y19" t="b">
        <f>J6&gt;=Y6</f>
        <v>0</v>
      </c>
      <c r="AC19" s="396" t="b">
        <f>N6&gt;=AC6</f>
        <v>0</v>
      </c>
    </row>
    <row r="20" spans="2:29" x14ac:dyDescent="0.25">
      <c r="Y20" s="97" t="b">
        <f t="shared" ref="Y20:Y30" si="0">J7&gt;=Y7</f>
        <v>1</v>
      </c>
      <c r="AC20" s="97" t="b">
        <f t="shared" ref="AC20:AC30" si="1">N7&gt;=AC7</f>
        <v>1</v>
      </c>
    </row>
    <row r="21" spans="2:29" x14ac:dyDescent="0.25">
      <c r="B21" s="97"/>
      <c r="C21" s="97"/>
      <c r="D21" s="97"/>
      <c r="E21" s="97"/>
      <c r="F21" s="414" t="s">
        <v>312</v>
      </c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Y21" s="97" t="b">
        <f t="shared" si="0"/>
        <v>0</v>
      </c>
      <c r="AC21" s="97" t="b">
        <f t="shared" si="1"/>
        <v>1</v>
      </c>
    </row>
    <row r="22" spans="2:29" x14ac:dyDescent="0.25">
      <c r="Y22" s="97" t="b">
        <f t="shared" si="0"/>
        <v>1</v>
      </c>
      <c r="AC22" s="396" t="b">
        <f t="shared" si="1"/>
        <v>0</v>
      </c>
    </row>
    <row r="23" spans="2:29" x14ac:dyDescent="0.25">
      <c r="Y23" s="97" t="b">
        <f t="shared" si="0"/>
        <v>0</v>
      </c>
      <c r="AC23" s="97" t="b">
        <f t="shared" si="1"/>
        <v>1</v>
      </c>
    </row>
    <row r="24" spans="2:29" x14ac:dyDescent="0.25">
      <c r="Y24" s="97" t="b">
        <f t="shared" si="0"/>
        <v>1</v>
      </c>
      <c r="AC24" s="97" t="b">
        <f t="shared" si="1"/>
        <v>1</v>
      </c>
    </row>
    <row r="25" spans="2:29" x14ac:dyDescent="0.25">
      <c r="Y25" s="97" t="b">
        <f t="shared" si="0"/>
        <v>1</v>
      </c>
      <c r="AC25" s="97" t="b">
        <f t="shared" si="1"/>
        <v>1</v>
      </c>
    </row>
    <row r="26" spans="2:29" x14ac:dyDescent="0.25">
      <c r="Y26" s="97" t="b">
        <f t="shared" si="0"/>
        <v>1</v>
      </c>
      <c r="AC26" s="97" t="b">
        <f t="shared" si="1"/>
        <v>1</v>
      </c>
    </row>
    <row r="27" spans="2:29" x14ac:dyDescent="0.25">
      <c r="Y27" s="97" t="b">
        <f t="shared" si="0"/>
        <v>1</v>
      </c>
      <c r="AC27" s="97" t="b">
        <f t="shared" si="1"/>
        <v>0</v>
      </c>
    </row>
    <row r="28" spans="2:29" x14ac:dyDescent="0.25">
      <c r="Y28" s="97" t="b">
        <f t="shared" si="0"/>
        <v>1</v>
      </c>
      <c r="AC28" s="97" t="b">
        <f t="shared" si="1"/>
        <v>0</v>
      </c>
    </row>
    <row r="29" spans="2:29" x14ac:dyDescent="0.25">
      <c r="Y29" s="97" t="b">
        <f t="shared" si="0"/>
        <v>1</v>
      </c>
      <c r="AC29" s="97" t="b">
        <f t="shared" si="1"/>
        <v>1</v>
      </c>
    </row>
    <row r="30" spans="2:29" x14ac:dyDescent="0.25">
      <c r="Y30" s="97" t="b">
        <f t="shared" si="0"/>
        <v>1</v>
      </c>
      <c r="AC30" s="97" t="b">
        <f t="shared" si="1"/>
        <v>1</v>
      </c>
    </row>
  </sheetData>
  <mergeCells count="11">
    <mergeCell ref="F21:P21"/>
    <mergeCell ref="F3:P3"/>
    <mergeCell ref="C4:D4"/>
    <mergeCell ref="F4:H4"/>
    <mergeCell ref="J4:L4"/>
    <mergeCell ref="N4:P4"/>
    <mergeCell ref="R4:S4"/>
    <mergeCell ref="U4:W4"/>
    <mergeCell ref="Y4:AA4"/>
    <mergeCell ref="AC4:AE4"/>
    <mergeCell ref="Y1:AE2"/>
  </mergeCells>
  <conditionalFormatting sqref="G6:G14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K6:K1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O6:O1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V6:V1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Z6:Z1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AD6:AD1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5"/>
  <sheetViews>
    <sheetView topLeftCell="A13" zoomScale="90" zoomScaleNormal="90" workbookViewId="0">
      <selection activeCell="B10" sqref="B10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28515625" style="1" customWidth="1"/>
    <col min="4" max="4" width="14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191</v>
      </c>
    </row>
    <row r="2" spans="1:14" x14ac:dyDescent="0.2">
      <c r="A2" s="48" t="s">
        <v>76</v>
      </c>
      <c r="B2" s="1" t="s">
        <v>197</v>
      </c>
    </row>
    <row r="3" spans="1:14" x14ac:dyDescent="0.2">
      <c r="A3" s="48" t="s">
        <v>77</v>
      </c>
      <c r="B3" s="1" t="s">
        <v>283</v>
      </c>
    </row>
    <row r="4" spans="1:14" ht="28.9" customHeight="1" x14ac:dyDescent="0.2">
      <c r="A4" s="49" t="s">
        <v>78</v>
      </c>
      <c r="B4" s="425" t="s">
        <v>286</v>
      </c>
      <c r="C4" s="426"/>
      <c r="D4" s="426"/>
      <c r="E4" s="426"/>
      <c r="F4" s="426"/>
      <c r="G4" s="426"/>
      <c r="H4" s="426"/>
      <c r="I4" s="426"/>
      <c r="N4" s="1" t="s">
        <v>267</v>
      </c>
    </row>
    <row r="5" spans="1:14" x14ac:dyDescent="0.2">
      <c r="A5" s="48" t="s">
        <v>79</v>
      </c>
      <c r="B5" s="1" t="s">
        <v>127</v>
      </c>
      <c r="E5" s="427" t="s">
        <v>50</v>
      </c>
      <c r="F5" s="428"/>
      <c r="G5" s="428"/>
      <c r="H5" s="428"/>
      <c r="I5" s="429"/>
      <c r="N5" s="1" t="s">
        <v>268</v>
      </c>
    </row>
    <row r="6" spans="1:14" x14ac:dyDescent="0.2">
      <c r="A6" s="48" t="s">
        <v>80</v>
      </c>
      <c r="B6" s="1" t="s">
        <v>192</v>
      </c>
      <c r="E6" s="430" t="s">
        <v>51</v>
      </c>
      <c r="F6" s="431"/>
      <c r="G6" s="431"/>
      <c r="H6" s="431"/>
      <c r="I6" s="432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246138403.80632758</v>
      </c>
    </row>
    <row r="10" spans="1:14" ht="13.5" thickBot="1" x14ac:dyDescent="0.25">
      <c r="A10" s="50"/>
      <c r="B10" s="1">
        <v>1.0230634057974606</v>
      </c>
      <c r="E10" s="1" t="s">
        <v>94</v>
      </c>
    </row>
    <row r="11" spans="1:14" ht="26.25" thickBot="1" x14ac:dyDescent="0.25">
      <c r="A11" s="283" t="s">
        <v>82</v>
      </c>
      <c r="B11" s="280" t="s">
        <v>84</v>
      </c>
      <c r="C11" s="276" t="s">
        <v>97</v>
      </c>
      <c r="D11" s="156" t="s">
        <v>98</v>
      </c>
      <c r="E11" s="276" t="s">
        <v>159</v>
      </c>
      <c r="F11" s="156" t="s">
        <v>160</v>
      </c>
    </row>
    <row r="12" spans="1:14" s="264" customFormat="1" ht="13.5" thickBot="1" x14ac:dyDescent="0.25">
      <c r="A12" s="157" t="s">
        <v>158</v>
      </c>
      <c r="B12" s="158">
        <f>E26*B10</f>
        <v>33025004</v>
      </c>
      <c r="C12" s="159">
        <f>B12*E12</f>
        <v>33025004</v>
      </c>
      <c r="D12" s="159">
        <f>B12*F12</f>
        <v>33025004</v>
      </c>
      <c r="E12" s="160">
        <v>1</v>
      </c>
      <c r="F12" s="161">
        <v>1</v>
      </c>
      <c r="I12" s="281"/>
      <c r="K12" s="282"/>
      <c r="L12" s="282"/>
    </row>
    <row r="13" spans="1:14" ht="13.5" thickBot="1" x14ac:dyDescent="0.25">
      <c r="L13" s="149"/>
      <c r="M13" s="113"/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2"/>
      <c r="H14" s="292"/>
      <c r="I14" s="56" t="s">
        <v>95</v>
      </c>
      <c r="J14" s="56" t="s">
        <v>96</v>
      </c>
    </row>
    <row r="15" spans="1:14" ht="27.75" customHeight="1" x14ac:dyDescent="0.2">
      <c r="A15" s="419" t="s">
        <v>2</v>
      </c>
      <c r="B15" s="417" t="s">
        <v>3</v>
      </c>
      <c r="C15" s="417" t="s">
        <v>38</v>
      </c>
      <c r="D15" s="417" t="s">
        <v>128</v>
      </c>
      <c r="E15" s="433" t="s">
        <v>86</v>
      </c>
      <c r="F15" s="435"/>
      <c r="G15" s="415" t="s">
        <v>131</v>
      </c>
      <c r="H15" s="416"/>
      <c r="I15" s="415" t="s">
        <v>89</v>
      </c>
      <c r="J15" s="416"/>
      <c r="K15" s="433" t="s">
        <v>90</v>
      </c>
      <c r="L15" s="434"/>
      <c r="M15" s="434"/>
      <c r="N15" s="435"/>
    </row>
    <row r="16" spans="1:14" ht="25.5" x14ac:dyDescent="0.2">
      <c r="A16" s="418"/>
      <c r="B16" s="418"/>
      <c r="C16" s="418"/>
      <c r="D16" s="418"/>
      <c r="E16" s="78" t="s">
        <v>149</v>
      </c>
      <c r="F16" s="78" t="s">
        <v>190</v>
      </c>
      <c r="G16" s="78" t="s">
        <v>87</v>
      </c>
      <c r="H16" s="78" t="s">
        <v>88</v>
      </c>
      <c r="I16" s="55" t="s">
        <v>148</v>
      </c>
      <c r="J16" s="55" t="s">
        <v>193</v>
      </c>
      <c r="K16" s="78" t="s">
        <v>130</v>
      </c>
      <c r="L16" s="78" t="s">
        <v>194</v>
      </c>
      <c r="M16" s="78" t="s">
        <v>91</v>
      </c>
      <c r="N16" s="78" t="s">
        <v>92</v>
      </c>
    </row>
    <row r="17" spans="1:17" x14ac:dyDescent="0.2">
      <c r="A17" s="285" t="s">
        <v>173</v>
      </c>
      <c r="B17" s="303" t="s">
        <v>222</v>
      </c>
      <c r="C17" s="54" t="s">
        <v>129</v>
      </c>
      <c r="D17" s="313">
        <v>1</v>
      </c>
      <c r="E17" s="324">
        <v>1755293</v>
      </c>
      <c r="F17" s="314">
        <f>GINOFF!I9</f>
        <v>34079.723304951563</v>
      </c>
      <c r="G17" s="328">
        <v>1000000</v>
      </c>
      <c r="H17" s="328">
        <v>10300000</v>
      </c>
      <c r="I17" s="327">
        <v>999999.99999999988</v>
      </c>
      <c r="J17" s="315">
        <f>GINOFF!F9</f>
        <v>22310.299479529262</v>
      </c>
      <c r="K17" s="316">
        <f>I17-E17</f>
        <v>-755293.00000000012</v>
      </c>
      <c r="L17" s="316">
        <f>J17-F17</f>
        <v>-11769.423825422302</v>
      </c>
      <c r="M17" s="317">
        <f>K17/E17</f>
        <v>-0.43029454341810747</v>
      </c>
      <c r="N17" s="317">
        <f>L17/F17</f>
        <v>-0.34534974712404076</v>
      </c>
      <c r="O17" s="349">
        <f>E17/F17</f>
        <v>51.50549446347668</v>
      </c>
      <c r="P17" s="305">
        <f>G17/1000000</f>
        <v>1</v>
      </c>
      <c r="Q17" s="305">
        <f>H17/1000000</f>
        <v>10.3</v>
      </c>
    </row>
    <row r="18" spans="1:17" x14ac:dyDescent="0.2">
      <c r="A18" s="286" t="s">
        <v>173</v>
      </c>
      <c r="B18" s="304" t="s">
        <v>223</v>
      </c>
      <c r="C18" s="54" t="s">
        <v>129</v>
      </c>
      <c r="D18" s="318">
        <v>1</v>
      </c>
      <c r="E18" s="325">
        <v>5365372.8900000006</v>
      </c>
      <c r="F18" s="319">
        <f>GMCM!I9</f>
        <v>282596.87941192184</v>
      </c>
      <c r="G18" s="328">
        <v>5400000</v>
      </c>
      <c r="H18" s="328">
        <v>12000000</v>
      </c>
      <c r="I18" s="329">
        <v>5400000</v>
      </c>
      <c r="J18" s="320">
        <f>GMCM!F9</f>
        <v>283838.37274381984</v>
      </c>
      <c r="K18" s="321">
        <f>I18-E18</f>
        <v>34627.109999999404</v>
      </c>
      <c r="L18" s="321">
        <f t="shared" ref="L18" si="0">J18-F18</f>
        <v>1241.4933318980038</v>
      </c>
      <c r="M18" s="322">
        <f>K18/E18</f>
        <v>6.4538123835786929E-3</v>
      </c>
      <c r="N18" s="322">
        <f t="shared" ref="N18:N24" si="1">L18/F18</f>
        <v>4.3931600889632093E-3</v>
      </c>
      <c r="O18" s="349">
        <f t="shared" ref="O18:O25" si="2">E18/F18</f>
        <v>18.98595943863651</v>
      </c>
      <c r="P18" s="305">
        <f t="shared" ref="P18:Q25" si="3">G18/1000000</f>
        <v>5.4</v>
      </c>
      <c r="Q18" s="305">
        <f t="shared" si="3"/>
        <v>12</v>
      </c>
    </row>
    <row r="19" spans="1:17" s="98" customFormat="1" x14ac:dyDescent="0.2">
      <c r="A19" s="286" t="s">
        <v>173</v>
      </c>
      <c r="B19" s="304" t="s">
        <v>224</v>
      </c>
      <c r="C19" s="54" t="s">
        <v>167</v>
      </c>
      <c r="D19" s="318">
        <v>1</v>
      </c>
      <c r="E19" s="325">
        <v>1873000</v>
      </c>
      <c r="F19" s="319">
        <f>GSOC!I9</f>
        <v>71243.17418511775</v>
      </c>
      <c r="G19" s="328">
        <v>1599500</v>
      </c>
      <c r="H19" s="328">
        <v>15000000</v>
      </c>
      <c r="I19" s="329">
        <v>1599500</v>
      </c>
      <c r="J19" s="320">
        <f>GSOC!F9</f>
        <v>64805.391873188775</v>
      </c>
      <c r="K19" s="321">
        <f t="shared" ref="K19:K25" si="4">I19-E19</f>
        <v>-273500</v>
      </c>
      <c r="L19" s="321">
        <f t="shared" ref="L19:L25" si="5">J19-F19</f>
        <v>-6437.7823119289751</v>
      </c>
      <c r="M19" s="322">
        <f t="shared" ref="M19:M25" si="6">K19/E19</f>
        <v>-0.14602242391884676</v>
      </c>
      <c r="N19" s="322">
        <f t="shared" si="1"/>
        <v>-9.0363496370909693E-2</v>
      </c>
      <c r="O19" s="349">
        <f t="shared" si="2"/>
        <v>26.290237926979646</v>
      </c>
      <c r="P19" s="305">
        <f t="shared" si="3"/>
        <v>1.5994999999999999</v>
      </c>
      <c r="Q19" s="305">
        <f t="shared" si="3"/>
        <v>15</v>
      </c>
    </row>
    <row r="20" spans="1:17" s="98" customFormat="1" x14ac:dyDescent="0.2">
      <c r="A20" s="286" t="s">
        <v>173</v>
      </c>
      <c r="B20" s="304" t="s">
        <v>242</v>
      </c>
      <c r="C20" s="54" t="s">
        <v>129</v>
      </c>
      <c r="D20" s="318">
        <v>1</v>
      </c>
      <c r="E20" s="325">
        <v>173076.94</v>
      </c>
      <c r="F20" s="319">
        <f>GOLV!I9</f>
        <v>7568.2941111773252</v>
      </c>
      <c r="G20" s="328">
        <v>500000</v>
      </c>
      <c r="H20" s="328">
        <v>6000000</v>
      </c>
      <c r="I20" s="329">
        <v>500000</v>
      </c>
      <c r="J20" s="320">
        <f>GOLV!F9</f>
        <v>13095.1080400832</v>
      </c>
      <c r="K20" s="321">
        <f t="shared" si="4"/>
        <v>326923.06</v>
      </c>
      <c r="L20" s="321">
        <f t="shared" si="5"/>
        <v>5526.8139289058745</v>
      </c>
      <c r="M20" s="322">
        <f t="shared" si="6"/>
        <v>1.8888886064197807</v>
      </c>
      <c r="N20" s="322">
        <f t="shared" si="1"/>
        <v>0.73025887309843485</v>
      </c>
      <c r="O20" s="349">
        <f t="shared" si="2"/>
        <v>22.868685790684225</v>
      </c>
      <c r="P20" s="305">
        <f t="shared" si="3"/>
        <v>0.5</v>
      </c>
      <c r="Q20" s="305">
        <f t="shared" si="3"/>
        <v>6</v>
      </c>
    </row>
    <row r="21" spans="1:17" s="98" customFormat="1" x14ac:dyDescent="0.2">
      <c r="A21" s="286" t="s">
        <v>173</v>
      </c>
      <c r="B21" s="304" t="s">
        <v>244</v>
      </c>
      <c r="C21" s="54" t="s">
        <v>167</v>
      </c>
      <c r="D21" s="318">
        <v>1</v>
      </c>
      <c r="E21" s="325">
        <v>6180125</v>
      </c>
      <c r="F21" s="319">
        <f>GSTRV!I9</f>
        <v>144657.20917756393</v>
      </c>
      <c r="G21" s="328">
        <v>6463714</v>
      </c>
      <c r="H21" s="328">
        <v>16991986</v>
      </c>
      <c r="I21" s="329">
        <v>6463714</v>
      </c>
      <c r="J21" s="320">
        <f>GSTRV!F9</f>
        <v>149272.39229083114</v>
      </c>
      <c r="K21" s="321">
        <f t="shared" si="4"/>
        <v>283589</v>
      </c>
      <c r="L21" s="321">
        <f t="shared" si="5"/>
        <v>4615.1831132672087</v>
      </c>
      <c r="M21" s="322">
        <f t="shared" si="6"/>
        <v>4.5887259561902066E-2</v>
      </c>
      <c r="N21" s="322">
        <f t="shared" si="1"/>
        <v>3.1904273139973002E-2</v>
      </c>
      <c r="O21" s="349">
        <f t="shared" si="2"/>
        <v>42.722551023461378</v>
      </c>
      <c r="P21" s="305">
        <f t="shared" si="3"/>
        <v>6.4637140000000004</v>
      </c>
      <c r="Q21" s="305">
        <f t="shared" si="3"/>
        <v>16.991986000000001</v>
      </c>
    </row>
    <row r="22" spans="1:17" s="98" customFormat="1" x14ac:dyDescent="0.2">
      <c r="A22" s="286" t="s">
        <v>173</v>
      </c>
      <c r="B22" s="304" t="s">
        <v>225</v>
      </c>
      <c r="C22" s="54" t="s">
        <v>129</v>
      </c>
      <c r="D22" s="318">
        <v>1</v>
      </c>
      <c r="E22" s="325">
        <v>1648357.37</v>
      </c>
      <c r="F22" s="319">
        <f>GDISP!I9</f>
        <v>104116.36986385845</v>
      </c>
      <c r="G22" s="328">
        <v>1500000</v>
      </c>
      <c r="H22" s="328">
        <v>7000000</v>
      </c>
      <c r="I22" s="329">
        <v>1500000</v>
      </c>
      <c r="J22" s="320">
        <f>GDISP!F9</f>
        <v>96729.945919783786</v>
      </c>
      <c r="K22" s="321">
        <f t="shared" si="4"/>
        <v>-148357.37000000011</v>
      </c>
      <c r="L22" s="321">
        <f t="shared" si="5"/>
        <v>-7386.4239440746605</v>
      </c>
      <c r="M22" s="322">
        <f t="shared" si="6"/>
        <v>-9.0003158720369056E-2</v>
      </c>
      <c r="N22" s="322">
        <f t="shared" si="1"/>
        <v>-7.0943925088178511E-2</v>
      </c>
      <c r="O22" s="349">
        <f t="shared" si="2"/>
        <v>15.831875161949808</v>
      </c>
      <c r="P22" s="305">
        <f t="shared" si="3"/>
        <v>1.5</v>
      </c>
      <c r="Q22" s="305">
        <f t="shared" si="3"/>
        <v>7</v>
      </c>
    </row>
    <row r="23" spans="1:17" s="98" customFormat="1" x14ac:dyDescent="0.2">
      <c r="A23" s="286" t="s">
        <v>173</v>
      </c>
      <c r="B23" s="304" t="s">
        <v>226</v>
      </c>
      <c r="C23" s="54" t="s">
        <v>167</v>
      </c>
      <c r="D23" s="318">
        <v>1</v>
      </c>
      <c r="E23" s="325">
        <v>344707</v>
      </c>
      <c r="F23" s="319">
        <f>GSEARCH!I9</f>
        <v>130694.08808973072</v>
      </c>
      <c r="G23" s="328">
        <v>300000</v>
      </c>
      <c r="H23" s="328">
        <v>390000</v>
      </c>
      <c r="I23" s="329">
        <v>300000</v>
      </c>
      <c r="J23" s="320">
        <f>GSEARCH!F9</f>
        <v>118583.90541759932</v>
      </c>
      <c r="K23" s="321">
        <f t="shared" si="4"/>
        <v>-44707</v>
      </c>
      <c r="L23" s="321">
        <f t="shared" si="5"/>
        <v>-12110.182672131399</v>
      </c>
      <c r="M23" s="322">
        <f t="shared" si="6"/>
        <v>-0.12969565457040327</v>
      </c>
      <c r="N23" s="322">
        <f t="shared" si="1"/>
        <v>-9.266052389314583E-2</v>
      </c>
      <c r="O23" s="349">
        <f t="shared" si="2"/>
        <v>2.6375102733287696</v>
      </c>
      <c r="P23" s="305">
        <f t="shared" si="3"/>
        <v>0.3</v>
      </c>
      <c r="Q23" s="305">
        <f t="shared" si="3"/>
        <v>0.39</v>
      </c>
    </row>
    <row r="24" spans="1:17" x14ac:dyDescent="0.2">
      <c r="A24" s="286" t="s">
        <v>173</v>
      </c>
      <c r="B24" s="304" t="s">
        <v>281</v>
      </c>
      <c r="C24" s="54" t="s">
        <v>167</v>
      </c>
      <c r="D24" s="318">
        <v>1</v>
      </c>
      <c r="E24" s="325">
        <v>1437048.41</v>
      </c>
      <c r="F24" s="319">
        <f>GRADIO!I9</f>
        <v>70569.092436493243</v>
      </c>
      <c r="G24" s="328">
        <v>1400000</v>
      </c>
      <c r="H24" s="328">
        <v>4800000</v>
      </c>
      <c r="I24" s="329">
        <v>1400000</v>
      </c>
      <c r="J24" s="320">
        <f>GRADIO!F9</f>
        <v>69471.794076517137</v>
      </c>
      <c r="K24" s="321">
        <f t="shared" si="4"/>
        <v>-37048.409999999916</v>
      </c>
      <c r="L24" s="321">
        <f t="shared" si="5"/>
        <v>-1097.2983599761064</v>
      </c>
      <c r="M24" s="322">
        <f t="shared" si="6"/>
        <v>-2.5780906016937815E-2</v>
      </c>
      <c r="N24" s="322">
        <f t="shared" si="1"/>
        <v>-1.5549276915578737E-2</v>
      </c>
      <c r="O24" s="349">
        <f t="shared" si="2"/>
        <v>20.363708252210174</v>
      </c>
      <c r="P24" s="305">
        <f t="shared" si="3"/>
        <v>1.4</v>
      </c>
      <c r="Q24" s="305">
        <f t="shared" si="3"/>
        <v>4.8</v>
      </c>
    </row>
    <row r="25" spans="1:17" s="98" customFormat="1" x14ac:dyDescent="0.2">
      <c r="A25" s="286" t="s">
        <v>173</v>
      </c>
      <c r="B25" s="304" t="s">
        <v>187</v>
      </c>
      <c r="C25" s="54" t="s">
        <v>167</v>
      </c>
      <c r="D25" s="318">
        <v>1</v>
      </c>
      <c r="E25" s="325">
        <v>13503524.99</v>
      </c>
      <c r="F25" s="319">
        <f>GTV!I9</f>
        <v>253686.28893952153</v>
      </c>
      <c r="G25" s="328">
        <v>14861790</v>
      </c>
      <c r="H25" s="328">
        <v>37627064</v>
      </c>
      <c r="I25" s="329">
        <v>14861790</v>
      </c>
      <c r="J25" s="320">
        <f>GTV!F9</f>
        <v>271289.99209866516</v>
      </c>
      <c r="K25" s="321">
        <f t="shared" si="4"/>
        <v>1358265.0099999998</v>
      </c>
      <c r="L25" s="321">
        <f t="shared" si="5"/>
        <v>17603.703159143624</v>
      </c>
      <c r="M25" s="322">
        <f t="shared" si="6"/>
        <v>0.10058595892597373</v>
      </c>
      <c r="N25" s="322">
        <f t="shared" ref="N25" si="7">L25/F25</f>
        <v>6.9391622356619845E-2</v>
      </c>
      <c r="O25" s="349">
        <f t="shared" si="2"/>
        <v>53.229226721114685</v>
      </c>
      <c r="P25" s="305">
        <f t="shared" si="3"/>
        <v>14.861789999999999</v>
      </c>
      <c r="Q25" s="305">
        <f t="shared" si="3"/>
        <v>37.627063999999997</v>
      </c>
    </row>
    <row r="26" spans="1:17" s="98" customFormat="1" x14ac:dyDescent="0.2">
      <c r="A26" s="127" t="s">
        <v>154</v>
      </c>
      <c r="B26" s="127" t="s">
        <v>99</v>
      </c>
      <c r="C26" s="127"/>
      <c r="D26" s="323"/>
      <c r="E26" s="326">
        <f>SUM(E17:E25)</f>
        <v>32280505.600000001</v>
      </c>
      <c r="F26" s="331">
        <f t="shared" ref="F26:L26" si="8">SUM(F17:F25)</f>
        <v>1099211.1195203364</v>
      </c>
      <c r="G26" s="330">
        <f t="shared" si="8"/>
        <v>33025004</v>
      </c>
      <c r="H26" s="330">
        <f t="shared" si="8"/>
        <v>110109050</v>
      </c>
      <c r="I26" s="330">
        <f t="shared" si="8"/>
        <v>33025004</v>
      </c>
      <c r="J26" s="331">
        <f t="shared" si="8"/>
        <v>1089397.2019400175</v>
      </c>
      <c r="K26" s="330">
        <f t="shared" si="8"/>
        <v>744498.39999999898</v>
      </c>
      <c r="L26" s="165">
        <f t="shared" si="8"/>
        <v>-9813.9175803187318</v>
      </c>
      <c r="M26" s="166">
        <f>K26/E26</f>
        <v>2.3063405797460586E-2</v>
      </c>
      <c r="N26" s="166">
        <f>L26/F26</f>
        <v>-8.9281462005235523E-3</v>
      </c>
    </row>
    <row r="27" spans="1:17" x14ac:dyDescent="0.2">
      <c r="E27" s="113"/>
      <c r="G27" s="349"/>
      <c r="H27" s="349"/>
    </row>
    <row r="29" spans="1:17" x14ac:dyDescent="0.2">
      <c r="J29" s="339"/>
      <c r="K29" s="87"/>
    </row>
    <row r="30" spans="1:17" s="98" customFormat="1" x14ac:dyDescent="0.2">
      <c r="D30" s="440" t="s">
        <v>154</v>
      </c>
      <c r="E30" s="440"/>
      <c r="F30" s="440"/>
      <c r="G30" s="440"/>
      <c r="H30" s="440"/>
      <c r="I30" s="440"/>
      <c r="J30" s="439"/>
      <c r="K30" s="439"/>
      <c r="L30" s="439"/>
      <c r="M30" s="439"/>
      <c r="N30" s="439"/>
      <c r="O30" s="439"/>
      <c r="P30" s="134"/>
    </row>
    <row r="31" spans="1:17" ht="38.25" x14ac:dyDescent="0.2">
      <c r="A31" s="422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22"/>
      <c r="D32" s="168">
        <v>1</v>
      </c>
      <c r="E32" s="126">
        <v>225.94</v>
      </c>
      <c r="F32" s="312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21" t="s">
        <v>2</v>
      </c>
      <c r="B33" s="417" t="s">
        <v>3</v>
      </c>
      <c r="C33" s="417" t="str">
        <f t="shared" ref="C33:C43" si="9">D15</f>
        <v>Response Scaling Factor for Sensitivity Analysis</v>
      </c>
      <c r="D33" s="436" t="s">
        <v>86</v>
      </c>
      <c r="E33" s="437"/>
      <c r="F33" s="437"/>
      <c r="G33" s="438"/>
      <c r="H33" s="423" t="s">
        <v>89</v>
      </c>
      <c r="I33" s="424"/>
      <c r="J33" s="424"/>
      <c r="K33" s="436" t="s">
        <v>136</v>
      </c>
      <c r="L33" s="437"/>
      <c r="M33" s="437"/>
      <c r="N33" s="438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18"/>
      <c r="B34" s="418"/>
      <c r="C34" s="418">
        <f t="shared" si="9"/>
        <v>0</v>
      </c>
      <c r="D34" s="93" t="s">
        <v>292</v>
      </c>
      <c r="E34" s="93" t="s">
        <v>133</v>
      </c>
      <c r="F34" s="93" t="s">
        <v>134</v>
      </c>
      <c r="G34" s="93" t="s">
        <v>146</v>
      </c>
      <c r="H34" s="55" t="s">
        <v>293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205</v>
      </c>
    </row>
    <row r="35" spans="1:22" x14ac:dyDescent="0.2">
      <c r="A35" s="244" t="str">
        <f t="shared" ref="A35:B38" si="10">A17</f>
        <v>Gardasil Adolescents</v>
      </c>
      <c r="B35" s="244" t="str">
        <f t="shared" si="10"/>
        <v>HCC In Office</v>
      </c>
      <c r="C35" s="313">
        <f t="shared" si="9"/>
        <v>1</v>
      </c>
      <c r="D35" s="99">
        <f t="shared" ref="D35:D43" si="11">E17</f>
        <v>1755293</v>
      </c>
      <c r="E35" s="266" t="s">
        <v>166</v>
      </c>
      <c r="F35" s="101">
        <f t="shared" ref="F35:F43" si="12">F17/$D$32</f>
        <v>34079.723304951563</v>
      </c>
      <c r="G35" s="103">
        <f>F35*$F$32</f>
        <v>7699972.6835207557</v>
      </c>
      <c r="H35" s="105">
        <f t="shared" ref="H35:H43" si="13">I17</f>
        <v>999999.99999999988</v>
      </c>
      <c r="I35" s="101">
        <f t="shared" ref="I35:I43" si="14">J17/$D$32</f>
        <v>22310.299479529262</v>
      </c>
      <c r="J35" s="107">
        <f>I35*$F$32</f>
        <v>5040789.0644048415</v>
      </c>
      <c r="K35" s="99">
        <f>H35-D35</f>
        <v>-755293.00000000012</v>
      </c>
      <c r="L35" s="99">
        <f>J35-G35</f>
        <v>-2659183.6191159142</v>
      </c>
      <c r="M35" s="109">
        <f>K35/D35</f>
        <v>-0.43029454341810747</v>
      </c>
      <c r="N35" s="110">
        <f>L35/G35</f>
        <v>-0.34534974712404071</v>
      </c>
      <c r="O35" s="148"/>
      <c r="P35" s="333">
        <f>(J35-G35)/1000000</f>
        <v>-2.6591836191159142</v>
      </c>
    </row>
    <row r="36" spans="1:22" x14ac:dyDescent="0.2">
      <c r="A36" s="250" t="str">
        <f t="shared" si="10"/>
        <v>Gardasil Adolescents</v>
      </c>
      <c r="B36" s="250" t="str">
        <f t="shared" si="10"/>
        <v>HCP MCM</v>
      </c>
      <c r="C36" s="318">
        <f t="shared" si="9"/>
        <v>1</v>
      </c>
      <c r="D36" s="100">
        <f>E18</f>
        <v>5365372.8900000006</v>
      </c>
      <c r="E36" s="267" t="s">
        <v>166</v>
      </c>
      <c r="F36" s="102">
        <f t="shared" si="12"/>
        <v>282596.87941192184</v>
      </c>
      <c r="G36" s="104">
        <f t="shared" ref="G36:G43" si="15">F36*$F$32</f>
        <v>63849938.934329621</v>
      </c>
      <c r="H36" s="106">
        <f t="shared" si="13"/>
        <v>5400000</v>
      </c>
      <c r="I36" s="102">
        <f t="shared" si="14"/>
        <v>283838.37274381984</v>
      </c>
      <c r="J36" s="108">
        <f t="shared" ref="J36" si="16">I36*$F$32</f>
        <v>64130441.937738657</v>
      </c>
      <c r="K36" s="100">
        <f t="shared" ref="K36" si="17">H36-D36</f>
        <v>34627.109999999404</v>
      </c>
      <c r="L36" s="100">
        <f t="shared" ref="L36" si="18">J36-G36</f>
        <v>280503.0034090355</v>
      </c>
      <c r="M36" s="111">
        <f t="shared" ref="M36" si="19">K36/D36</f>
        <v>6.4538123835786929E-3</v>
      </c>
      <c r="N36" s="112">
        <f t="shared" ref="N36" si="20">L36/G36</f>
        <v>4.3931600889632171E-3</v>
      </c>
      <c r="O36" s="148"/>
      <c r="P36" s="333">
        <f t="shared" ref="P36:P43" si="21">(J36-G36)/1000000</f>
        <v>0.2805030034090355</v>
      </c>
    </row>
    <row r="37" spans="1:22" s="98" customFormat="1" x14ac:dyDescent="0.2">
      <c r="A37" s="250" t="str">
        <f t="shared" si="10"/>
        <v>Gardasil Adolescents</v>
      </c>
      <c r="B37" s="250" t="str">
        <f t="shared" si="10"/>
        <v>HCC Social</v>
      </c>
      <c r="C37" s="318">
        <f t="shared" si="9"/>
        <v>1</v>
      </c>
      <c r="D37" s="100">
        <f t="shared" si="11"/>
        <v>1873000</v>
      </c>
      <c r="E37" s="267" t="s">
        <v>166</v>
      </c>
      <c r="F37" s="102">
        <f t="shared" si="12"/>
        <v>71243.17418511775</v>
      </c>
      <c r="G37" s="104">
        <f t="shared" si="15"/>
        <v>16096682.775385505</v>
      </c>
      <c r="H37" s="106">
        <f t="shared" si="13"/>
        <v>1599500</v>
      </c>
      <c r="I37" s="102">
        <f t="shared" si="14"/>
        <v>64805.391873188775</v>
      </c>
      <c r="J37" s="108">
        <f t="shared" ref="J37:J43" si="22">I37*$F$32</f>
        <v>14642130.239828272</v>
      </c>
      <c r="K37" s="100">
        <f t="shared" ref="K37:K43" si="23">H37-D37</f>
        <v>-273500</v>
      </c>
      <c r="L37" s="100">
        <f t="shared" ref="L37:L43" si="24">J37-G37</f>
        <v>-1454552.5355572328</v>
      </c>
      <c r="M37" s="111">
        <f t="shared" ref="M37:M43" si="25">K37/D37</f>
        <v>-0.14602242391884676</v>
      </c>
      <c r="N37" s="112">
        <f t="shared" ref="N37:N43" si="26">L37/G37</f>
        <v>-9.0363496370909707E-2</v>
      </c>
      <c r="O37" s="148"/>
      <c r="P37" s="333">
        <f t="shared" si="21"/>
        <v>-1.4545525355572329</v>
      </c>
    </row>
    <row r="38" spans="1:22" s="98" customFormat="1" x14ac:dyDescent="0.2">
      <c r="A38" s="250" t="str">
        <f t="shared" si="10"/>
        <v>Gardasil Adolescents</v>
      </c>
      <c r="B38" s="250" t="str">
        <f t="shared" si="10"/>
        <v>HCC Online Video</v>
      </c>
      <c r="C38" s="318">
        <f t="shared" si="9"/>
        <v>1</v>
      </c>
      <c r="D38" s="100">
        <f t="shared" si="11"/>
        <v>173076.94</v>
      </c>
      <c r="E38" s="267" t="s">
        <v>166</v>
      </c>
      <c r="F38" s="102">
        <f t="shared" si="12"/>
        <v>7568.2941111773252</v>
      </c>
      <c r="G38" s="104">
        <f t="shared" si="15"/>
        <v>1709980.3714794049</v>
      </c>
      <c r="H38" s="106">
        <f t="shared" si="13"/>
        <v>500000</v>
      </c>
      <c r="I38" s="102">
        <f t="shared" si="14"/>
        <v>13095.1080400832</v>
      </c>
      <c r="J38" s="108">
        <f t="shared" si="22"/>
        <v>2958708.7105763983</v>
      </c>
      <c r="K38" s="100">
        <f t="shared" si="23"/>
        <v>326923.06</v>
      </c>
      <c r="L38" s="100">
        <f t="shared" si="24"/>
        <v>1248728.3390969934</v>
      </c>
      <c r="M38" s="111">
        <f t="shared" si="25"/>
        <v>1.8888886064197807</v>
      </c>
      <c r="N38" s="112">
        <f t="shared" si="26"/>
        <v>0.73025887309843496</v>
      </c>
      <c r="O38" s="148"/>
      <c r="P38" s="333">
        <f t="shared" si="21"/>
        <v>1.2487283390969934</v>
      </c>
    </row>
    <row r="39" spans="1:22" s="98" customFormat="1" x14ac:dyDescent="0.2">
      <c r="A39" s="286" t="s">
        <v>173</v>
      </c>
      <c r="B39" s="250" t="str">
        <f>B21</f>
        <v>HCC Streaming Video</v>
      </c>
      <c r="C39" s="318">
        <f t="shared" si="9"/>
        <v>1</v>
      </c>
      <c r="D39" s="100">
        <f t="shared" si="11"/>
        <v>6180125</v>
      </c>
      <c r="E39" s="267" t="s">
        <v>166</v>
      </c>
      <c r="F39" s="102">
        <f t="shared" si="12"/>
        <v>144657.20917756393</v>
      </c>
      <c r="G39" s="104">
        <f t="shared" si="15"/>
        <v>32683849.841578793</v>
      </c>
      <c r="H39" s="106">
        <f t="shared" si="13"/>
        <v>6463714</v>
      </c>
      <c r="I39" s="102">
        <f t="shared" si="14"/>
        <v>149272.39229083114</v>
      </c>
      <c r="J39" s="108">
        <f t="shared" si="22"/>
        <v>33726604.314190388</v>
      </c>
      <c r="K39" s="100">
        <f t="shared" si="23"/>
        <v>283589</v>
      </c>
      <c r="L39" s="100">
        <f t="shared" si="24"/>
        <v>1042754.4726115949</v>
      </c>
      <c r="M39" s="111">
        <f t="shared" si="25"/>
        <v>4.5887259561902066E-2</v>
      </c>
      <c r="N39" s="112">
        <f t="shared" si="26"/>
        <v>3.1904273139973058E-2</v>
      </c>
      <c r="O39" s="148"/>
      <c r="P39" s="333">
        <f t="shared" si="21"/>
        <v>1.0427544726115949</v>
      </c>
    </row>
    <row r="40" spans="1:22" s="98" customFormat="1" x14ac:dyDescent="0.2">
      <c r="A40" s="250" t="str">
        <f>A22</f>
        <v>Gardasil Adolescents</v>
      </c>
      <c r="B40" s="250" t="str">
        <f>B22</f>
        <v>HCC Display</v>
      </c>
      <c r="C40" s="318">
        <f t="shared" si="9"/>
        <v>1</v>
      </c>
      <c r="D40" s="100">
        <f t="shared" si="11"/>
        <v>1648357.37</v>
      </c>
      <c r="E40" s="267" t="s">
        <v>166</v>
      </c>
      <c r="F40" s="102">
        <f t="shared" si="12"/>
        <v>104116.36986385845</v>
      </c>
      <c r="G40" s="104">
        <f t="shared" si="15"/>
        <v>23524052.607040178</v>
      </c>
      <c r="H40" s="106">
        <f t="shared" si="13"/>
        <v>1500000</v>
      </c>
      <c r="I40" s="102">
        <f t="shared" si="14"/>
        <v>96729.945919783786</v>
      </c>
      <c r="J40" s="108">
        <f t="shared" si="22"/>
        <v>21855163.981115948</v>
      </c>
      <c r="K40" s="100">
        <f t="shared" si="23"/>
        <v>-148357.37000000011</v>
      </c>
      <c r="L40" s="100">
        <f t="shared" si="24"/>
        <v>-1668888.6259242296</v>
      </c>
      <c r="M40" s="111">
        <f t="shared" si="25"/>
        <v>-9.0003158720369056E-2</v>
      </c>
      <c r="N40" s="112">
        <f t="shared" si="26"/>
        <v>-7.0943925088178553E-2</v>
      </c>
      <c r="O40" s="148"/>
      <c r="P40" s="333">
        <f t="shared" si="21"/>
        <v>-1.6688886259242297</v>
      </c>
    </row>
    <row r="41" spans="1:22" x14ac:dyDescent="0.2">
      <c r="A41" s="250" t="str">
        <f>A23</f>
        <v>Gardasil Adolescents</v>
      </c>
      <c r="B41" s="250" t="str">
        <f>B23</f>
        <v>HCC Paid Search</v>
      </c>
      <c r="C41" s="318">
        <f t="shared" si="9"/>
        <v>1</v>
      </c>
      <c r="D41" s="100">
        <f t="shared" si="11"/>
        <v>344707</v>
      </c>
      <c r="E41" s="267" t="s">
        <v>166</v>
      </c>
      <c r="F41" s="102">
        <f t="shared" si="12"/>
        <v>130694.08808973072</v>
      </c>
      <c r="G41" s="104">
        <f t="shared" si="15"/>
        <v>29529022.26299376</v>
      </c>
      <c r="H41" s="106">
        <f t="shared" si="13"/>
        <v>300000</v>
      </c>
      <c r="I41" s="102">
        <f t="shared" si="14"/>
        <v>118583.90541759932</v>
      </c>
      <c r="J41" s="108">
        <f t="shared" si="22"/>
        <v>26792847.590052392</v>
      </c>
      <c r="K41" s="100">
        <f t="shared" si="23"/>
        <v>-44707</v>
      </c>
      <c r="L41" s="100">
        <f t="shared" si="24"/>
        <v>-2736174.6729413681</v>
      </c>
      <c r="M41" s="111">
        <f t="shared" si="25"/>
        <v>-0.12969565457040327</v>
      </c>
      <c r="N41" s="112">
        <f t="shared" si="26"/>
        <v>-9.2660523893145816E-2</v>
      </c>
      <c r="O41" s="148"/>
      <c r="P41" s="333">
        <f t="shared" si="21"/>
        <v>-2.7361746729413681</v>
      </c>
    </row>
    <row r="42" spans="1:22" s="98" customFormat="1" x14ac:dyDescent="0.2">
      <c r="A42" s="250" t="str">
        <f>A24</f>
        <v>Gardasil Adolescents</v>
      </c>
      <c r="B42" s="250" t="str">
        <f>B24</f>
        <v>HCC Audio</v>
      </c>
      <c r="C42" s="318">
        <f t="shared" si="9"/>
        <v>1</v>
      </c>
      <c r="D42" s="100">
        <f t="shared" si="11"/>
        <v>1437048.41</v>
      </c>
      <c r="E42" s="267" t="s">
        <v>166</v>
      </c>
      <c r="F42" s="102">
        <f t="shared" si="12"/>
        <v>70569.092436493243</v>
      </c>
      <c r="G42" s="104">
        <f t="shared" si="15"/>
        <v>15944380.745101282</v>
      </c>
      <c r="H42" s="106">
        <f t="shared" si="13"/>
        <v>1400000</v>
      </c>
      <c r="I42" s="102">
        <f t="shared" si="14"/>
        <v>69471.794076517137</v>
      </c>
      <c r="J42" s="108">
        <f t="shared" si="22"/>
        <v>15696457.153648281</v>
      </c>
      <c r="K42" s="100">
        <f t="shared" si="23"/>
        <v>-37048.409999999916</v>
      </c>
      <c r="L42" s="100">
        <f t="shared" si="24"/>
        <v>-247923.5914530009</v>
      </c>
      <c r="M42" s="111">
        <f t="shared" si="25"/>
        <v>-2.5780906016937815E-2</v>
      </c>
      <c r="N42" s="112">
        <f t="shared" si="26"/>
        <v>-1.5549276915578702E-2</v>
      </c>
      <c r="O42" s="148"/>
      <c r="P42" s="333">
        <f t="shared" si="21"/>
        <v>-0.24792359145300091</v>
      </c>
    </row>
    <row r="43" spans="1:22" s="98" customFormat="1" x14ac:dyDescent="0.2">
      <c r="A43" s="250" t="str">
        <f>A25</f>
        <v>Gardasil Adolescents</v>
      </c>
      <c r="B43" s="250" t="str">
        <f>B25</f>
        <v>HCC TV</v>
      </c>
      <c r="C43" s="318">
        <f t="shared" si="9"/>
        <v>1</v>
      </c>
      <c r="D43" s="100">
        <f t="shared" si="11"/>
        <v>13503524.99</v>
      </c>
      <c r="E43" s="267" t="s">
        <v>166</v>
      </c>
      <c r="F43" s="102">
        <f t="shared" si="12"/>
        <v>253686.28893952153</v>
      </c>
      <c r="G43" s="104">
        <f t="shared" si="15"/>
        <v>57317880.122995496</v>
      </c>
      <c r="H43" s="106">
        <f t="shared" si="13"/>
        <v>14861790</v>
      </c>
      <c r="I43" s="102">
        <f t="shared" si="14"/>
        <v>271289.99209866516</v>
      </c>
      <c r="J43" s="108">
        <f t="shared" si="22"/>
        <v>61295260.814772405</v>
      </c>
      <c r="K43" s="100">
        <f t="shared" si="23"/>
        <v>1358265.0099999998</v>
      </c>
      <c r="L43" s="100">
        <f t="shared" si="24"/>
        <v>3977380.6917769089</v>
      </c>
      <c r="M43" s="111">
        <f t="shared" si="25"/>
        <v>0.10058595892597373</v>
      </c>
      <c r="N43" s="112">
        <f t="shared" si="26"/>
        <v>6.9391622356619817E-2</v>
      </c>
      <c r="O43" s="148"/>
      <c r="P43" s="333">
        <f t="shared" si="21"/>
        <v>3.9773806917769088</v>
      </c>
    </row>
    <row r="44" spans="1:22" s="98" customFormat="1" x14ac:dyDescent="0.2">
      <c r="A44" s="128" t="s">
        <v>154</v>
      </c>
      <c r="B44" s="128" t="s">
        <v>99</v>
      </c>
      <c r="C44" s="332"/>
      <c r="D44" s="131">
        <f>SUM(D35:D43)</f>
        <v>32280505.600000001</v>
      </c>
      <c r="E44" s="268"/>
      <c r="F44" s="130">
        <f>SUM(F35:F43)</f>
        <v>1099211.1195203364</v>
      </c>
      <c r="G44" s="131">
        <f>SUM(G35:G43)</f>
        <v>248355760.34442478</v>
      </c>
      <c r="H44" s="131">
        <f>SUM(H35:H43)</f>
        <v>33025004</v>
      </c>
      <c r="I44" s="130">
        <f>SUM(I35:I43)</f>
        <v>1089397.2019400175</v>
      </c>
      <c r="J44" s="131">
        <f>SUM(J35:J43)</f>
        <v>246138403.80632758</v>
      </c>
      <c r="K44" s="131">
        <f t="shared" ref="K44" si="27">H44-D44</f>
        <v>744498.39999999851</v>
      </c>
      <c r="L44" s="131">
        <f t="shared" ref="L44" si="28">J44-G44</f>
        <v>-2217356.5380972028</v>
      </c>
      <c r="M44" s="129">
        <f t="shared" ref="M44" si="29">K44/D44</f>
        <v>2.3063405797460572E-2</v>
      </c>
      <c r="N44" s="132">
        <f t="shared" ref="N44" si="30">L44/G44</f>
        <v>-8.9281462005235072E-3</v>
      </c>
    </row>
    <row r="45" spans="1:22" x14ac:dyDescent="0.2">
      <c r="D45" s="162"/>
      <c r="E45" s="269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69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69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0"/>
      <c r="F48" s="13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0"/>
      <c r="F49" s="13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0"/>
      <c r="F50" s="134"/>
    </row>
    <row r="51" spans="4:14" x14ac:dyDescent="0.2">
      <c r="E51" s="271"/>
    </row>
    <row r="52" spans="4:14" x14ac:dyDescent="0.2">
      <c r="E52" s="271"/>
    </row>
    <row r="53" spans="4:14" x14ac:dyDescent="0.2">
      <c r="E53" s="271"/>
    </row>
    <row r="54" spans="4:14" x14ac:dyDescent="0.2">
      <c r="E54" s="271"/>
    </row>
    <row r="55" spans="4:14" x14ac:dyDescent="0.2">
      <c r="E55" s="271"/>
    </row>
  </sheetData>
  <mergeCells count="20"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  <mergeCell ref="A33:A34"/>
    <mergeCell ref="B33:B34"/>
    <mergeCell ref="A31:A32"/>
    <mergeCell ref="A15:A16"/>
    <mergeCell ref="B15:B16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2" workbookViewId="0">
      <selection activeCell="C23" sqref="C23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51" t="s">
        <v>106</v>
      </c>
      <c r="C4" s="451"/>
      <c r="D4" s="451"/>
      <c r="E4" s="451"/>
      <c r="F4" s="452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9" t="s">
        <v>8</v>
      </c>
      <c r="B7" s="454" t="s">
        <v>9</v>
      </c>
      <c r="C7" s="455"/>
      <c r="D7" s="456" t="s">
        <v>12</v>
      </c>
      <c r="E7" s="457"/>
      <c r="F7" s="458"/>
      <c r="G7" s="454" t="s">
        <v>124</v>
      </c>
      <c r="H7" s="454"/>
      <c r="I7" s="459"/>
      <c r="J7" s="98" t="s">
        <v>125</v>
      </c>
    </row>
    <row r="8" spans="1:18" ht="28.15" customHeight="1" x14ac:dyDescent="0.2">
      <c r="A8" s="45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50"/>
      <c r="B9" s="95">
        <f>VAC_Optim_Scenario!G17</f>
        <v>1000000</v>
      </c>
      <c r="C9" s="95">
        <f>VAC_Optim_Scenario!H17</f>
        <v>10300000</v>
      </c>
      <c r="D9" s="68">
        <f>VAC_Optim_Scenario!I17</f>
        <v>999999.99999999988</v>
      </c>
      <c r="E9" s="84">
        <f>((($R$12/(1+EXP($P$12+$Q$12*D9)))-1) - ($F$12-$C$12))*$I$12</f>
        <v>22310.299479529262</v>
      </c>
      <c r="F9" s="89">
        <f>E9*$G$12</f>
        <v>22310.299479529262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4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4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0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42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43" t="s">
        <v>180</v>
      </c>
      <c r="B13" s="444"/>
      <c r="C13" s="444"/>
      <c r="D13" s="444"/>
      <c r="E13" s="444"/>
      <c r="F13" s="445"/>
      <c r="G13" s="119" t="s">
        <v>150</v>
      </c>
      <c r="H13" s="119" t="s">
        <v>151</v>
      </c>
      <c r="K13" s="443" t="s">
        <v>115</v>
      </c>
      <c r="L13" s="444"/>
      <c r="M13" s="444"/>
      <c r="N13" s="444"/>
      <c r="O13" s="444"/>
      <c r="P13" s="444"/>
      <c r="Q13" s="444"/>
      <c r="R13" s="445"/>
    </row>
    <row r="14" spans="1:18" ht="33.6" customHeight="1" thickBot="1" x14ac:dyDescent="0.25">
      <c r="A14" s="446"/>
      <c r="B14" s="447"/>
      <c r="C14" s="447"/>
      <c r="D14" s="447"/>
      <c r="E14" s="447"/>
      <c r="F14" s="448"/>
      <c r="G14" s="95">
        <f>VAC_Optim_Scenario!$I$32</f>
        <v>225.94</v>
      </c>
      <c r="H14" s="95">
        <f>VAC_Optim_Scenario!$F$32</f>
        <v>225.94</v>
      </c>
      <c r="K14" s="446"/>
      <c r="L14" s="447"/>
      <c r="M14" s="447"/>
      <c r="N14" s="447"/>
      <c r="O14" s="447"/>
      <c r="P14" s="447"/>
      <c r="Q14" s="447"/>
      <c r="R14" s="448"/>
    </row>
    <row r="16" spans="1:18" ht="13.5" thickBot="1" x14ac:dyDescent="0.25"/>
    <row r="17" spans="1:8" ht="42.6" customHeight="1" x14ac:dyDescent="0.2">
      <c r="A17" s="44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2"/>
      <c r="B18" s="75">
        <v>0</v>
      </c>
      <c r="C18" s="76">
        <v>4000000</v>
      </c>
      <c r="D18" s="26">
        <v>20</v>
      </c>
    </row>
    <row r="20" spans="1:8" x14ac:dyDescent="0.2">
      <c r="A20" s="422" t="s">
        <v>37</v>
      </c>
      <c r="B20" s="422"/>
      <c r="C20" s="422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51" t="s">
        <v>106</v>
      </c>
      <c r="C4" s="451"/>
      <c r="D4" s="451"/>
      <c r="E4" s="451"/>
      <c r="F4" s="452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9" t="s">
        <v>8</v>
      </c>
      <c r="B7" s="454" t="s">
        <v>9</v>
      </c>
      <c r="C7" s="455"/>
      <c r="D7" s="456" t="s">
        <v>12</v>
      </c>
      <c r="E7" s="457"/>
      <c r="F7" s="458"/>
      <c r="G7" s="454" t="s">
        <v>124</v>
      </c>
      <c r="H7" s="454"/>
      <c r="I7" s="459"/>
      <c r="J7" s="98" t="s">
        <v>125</v>
      </c>
    </row>
    <row r="8" spans="1:18" ht="28.15" customHeight="1" x14ac:dyDescent="0.2">
      <c r="A8" s="45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50"/>
      <c r="B9" s="95">
        <f>VAC_Optim_Scenario!G18</f>
        <v>5400000</v>
      </c>
      <c r="C9" s="95">
        <f>VAC_Optim_Scenario!H18</f>
        <v>12000000</v>
      </c>
      <c r="D9" s="68">
        <f>VAC_Optim_Scenario!I18</f>
        <v>5400000</v>
      </c>
      <c r="E9" s="84">
        <f>((($R$12/(1+EXP($P$12+$Q$12*D9)))-1) - ($F$12-$C$12))*$I$12</f>
        <v>283838.37274381984</v>
      </c>
      <c r="F9" s="89">
        <f>E9*$G$12</f>
        <v>283838.37274381984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4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4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0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42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43" t="s">
        <v>185</v>
      </c>
      <c r="B13" s="444"/>
      <c r="C13" s="444"/>
      <c r="D13" s="444"/>
      <c r="E13" s="444"/>
      <c r="F13" s="445"/>
      <c r="G13" s="119" t="s">
        <v>150</v>
      </c>
      <c r="H13" s="119" t="s">
        <v>151</v>
      </c>
      <c r="K13" s="443" t="s">
        <v>115</v>
      </c>
      <c r="L13" s="444"/>
      <c r="M13" s="444"/>
      <c r="N13" s="444"/>
      <c r="O13" s="444"/>
      <c r="P13" s="444"/>
      <c r="Q13" s="444"/>
      <c r="R13" s="445"/>
    </row>
    <row r="14" spans="1:18" ht="33.6" customHeight="1" thickBot="1" x14ac:dyDescent="0.25">
      <c r="A14" s="446"/>
      <c r="B14" s="447"/>
      <c r="C14" s="447"/>
      <c r="D14" s="447"/>
      <c r="E14" s="447"/>
      <c r="F14" s="448"/>
      <c r="G14" s="95">
        <f>VAC_Optim_Scenario!$I$32</f>
        <v>225.94</v>
      </c>
      <c r="H14" s="95">
        <f>VAC_Optim_Scenario!$F$32</f>
        <v>225.94</v>
      </c>
      <c r="K14" s="446"/>
      <c r="L14" s="447"/>
      <c r="M14" s="447"/>
      <c r="N14" s="447"/>
      <c r="O14" s="447"/>
      <c r="P14" s="447"/>
      <c r="Q14" s="447"/>
      <c r="R14" s="448"/>
    </row>
    <row r="16" spans="1:18" ht="13.5" thickBot="1" x14ac:dyDescent="0.25"/>
    <row r="17" spans="1:8" ht="42.6" customHeight="1" x14ac:dyDescent="0.2">
      <c r="A17" s="44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2"/>
      <c r="B18" s="75">
        <v>0</v>
      </c>
      <c r="C18" s="76">
        <v>12000000</v>
      </c>
      <c r="D18" s="26">
        <v>20</v>
      </c>
    </row>
    <row r="20" spans="1:8" x14ac:dyDescent="0.2">
      <c r="A20" s="422" t="s">
        <v>37</v>
      </c>
      <c r="B20" s="422"/>
      <c r="C20" s="422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21" workbookViewId="0">
      <selection activeCell="A30" sqref="A30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60"/>
      <c r="C4" s="461"/>
      <c r="D4" s="461"/>
      <c r="E4" s="461"/>
      <c r="F4" s="46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9" t="s">
        <v>8</v>
      </c>
      <c r="B7" s="454" t="s">
        <v>9</v>
      </c>
      <c r="C7" s="454"/>
      <c r="D7" s="454" t="s">
        <v>12</v>
      </c>
      <c r="E7" s="454"/>
      <c r="F7" s="454"/>
      <c r="G7" s="454" t="s">
        <v>124</v>
      </c>
      <c r="H7" s="454"/>
      <c r="I7" s="459"/>
    </row>
    <row r="8" spans="1:9" x14ac:dyDescent="0.25">
      <c r="A8" s="453"/>
      <c r="B8" s="277" t="s">
        <v>10</v>
      </c>
      <c r="C8" s="277" t="s">
        <v>11</v>
      </c>
      <c r="D8" s="277" t="s">
        <v>20</v>
      </c>
      <c r="E8" s="277" t="s">
        <v>21</v>
      </c>
      <c r="F8" s="277" t="s">
        <v>117</v>
      </c>
      <c r="G8" s="277" t="s">
        <v>22</v>
      </c>
      <c r="H8" s="277" t="s">
        <v>23</v>
      </c>
      <c r="I8" s="4" t="s">
        <v>123</v>
      </c>
    </row>
    <row r="9" spans="1:9" ht="15.75" thickBot="1" x14ac:dyDescent="0.3">
      <c r="A9" s="450"/>
      <c r="B9" s="171">
        <f>VAC_Optim_Scenario!G$19</f>
        <v>1599500</v>
      </c>
      <c r="C9" s="171">
        <f>VAC_Optim_Scenario!H$19</f>
        <v>15000000</v>
      </c>
      <c r="D9" s="172">
        <f>VAC_Optim_Scenario!I$19</f>
        <v>1599500</v>
      </c>
      <c r="E9" s="84">
        <f>((GSOC!D9/$B$12)^$D$12)*$C$12*$F$12</f>
        <v>64805.391873188775</v>
      </c>
      <c r="F9" s="84">
        <f>E9*F11</f>
        <v>64805.391873188775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22" t="s">
        <v>15</v>
      </c>
      <c r="B11" s="278" t="s">
        <v>16</v>
      </c>
      <c r="C11" s="278" t="s">
        <v>17</v>
      </c>
      <c r="D11" s="278" t="s">
        <v>168</v>
      </c>
      <c r="E11" s="277" t="s">
        <v>126</v>
      </c>
      <c r="F11" s="175">
        <v>1</v>
      </c>
    </row>
    <row r="12" spans="1:9" ht="40.5" customHeight="1" thickBot="1" x14ac:dyDescent="0.3">
      <c r="A12" s="422"/>
      <c r="B12" s="176">
        <f>'[3]HCC Social - Power'!$B$12</f>
        <v>1873000</v>
      </c>
      <c r="C12" s="176">
        <f>'[3]HCC Social - Power'!$C$12</f>
        <v>71243.17418511775</v>
      </c>
      <c r="D12" s="338">
        <f>'[3]HCC Social - Power'!$D$12</f>
        <v>0.6</v>
      </c>
      <c r="E12" s="277" t="s">
        <v>122</v>
      </c>
      <c r="F12" s="177">
        <f>VAC_Optim_Scenario!D19</f>
        <v>1</v>
      </c>
      <c r="G12" s="284">
        <f>B12*2</f>
        <v>3746000</v>
      </c>
    </row>
    <row r="13" spans="1:9" ht="18.75" customHeight="1" x14ac:dyDescent="0.25">
      <c r="A13" s="443" t="s">
        <v>169</v>
      </c>
      <c r="B13" s="444"/>
      <c r="C13" s="444"/>
      <c r="D13" s="444"/>
      <c r="E13" s="277" t="s">
        <v>170</v>
      </c>
      <c r="F13" s="277" t="s">
        <v>171</v>
      </c>
    </row>
    <row r="14" spans="1:9" ht="15.75" thickBot="1" x14ac:dyDescent="0.3">
      <c r="A14" s="446"/>
      <c r="B14" s="447"/>
      <c r="C14" s="447"/>
      <c r="D14" s="44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1" t="s">
        <v>34</v>
      </c>
      <c r="B16" s="278" t="s">
        <v>32</v>
      </c>
      <c r="C16" s="278" t="s">
        <v>31</v>
      </c>
      <c r="D16" s="279" t="s">
        <v>33</v>
      </c>
    </row>
    <row r="17" spans="1:4" ht="15.75" thickBot="1" x14ac:dyDescent="0.3">
      <c r="A17" s="44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2" t="s">
        <v>37</v>
      </c>
      <c r="B19" s="422"/>
      <c r="C19" s="422"/>
      <c r="D19" s="98"/>
    </row>
    <row r="20" spans="1:4" ht="25.5" x14ac:dyDescent="0.25">
      <c r="A20" s="277" t="s">
        <v>35</v>
      </c>
      <c r="B20" s="277" t="s">
        <v>175</v>
      </c>
      <c r="C20" s="277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3" workbookViewId="0">
      <selection activeCell="A23" sqref="A23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243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51" t="s">
        <v>106</v>
      </c>
      <c r="C4" s="451"/>
      <c r="D4" s="451"/>
      <c r="E4" s="451"/>
      <c r="F4" s="45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9" t="s">
        <v>8</v>
      </c>
      <c r="B7" s="454" t="s">
        <v>9</v>
      </c>
      <c r="C7" s="455"/>
      <c r="D7" s="456" t="s">
        <v>12</v>
      </c>
      <c r="E7" s="457"/>
      <c r="F7" s="458"/>
      <c r="G7" s="454" t="s">
        <v>124</v>
      </c>
      <c r="H7" s="454"/>
      <c r="I7" s="459"/>
      <c r="J7" s="98" t="s">
        <v>125</v>
      </c>
    </row>
    <row r="8" spans="1:18" ht="28.15" customHeight="1" x14ac:dyDescent="0.2">
      <c r="A8" s="453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50"/>
      <c r="B9" s="95">
        <f>VAC_Optim_Scenario!G20</f>
        <v>500000</v>
      </c>
      <c r="C9" s="95">
        <f>VAC_Optim_Scenario!H20</f>
        <v>6000000</v>
      </c>
      <c r="D9" s="68">
        <f>VAC_Optim_Scenario!I20</f>
        <v>500000</v>
      </c>
      <c r="E9" s="84">
        <f>((($R$12/(1+EXP($P$12+$Q$12*D9)))-1) - ($F$12-$C$12))*$I$12</f>
        <v>13095.1080400832</v>
      </c>
      <c r="F9" s="89">
        <f>E9*$G$12</f>
        <v>13095.1080400832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195</v>
      </c>
    </row>
    <row r="10" spans="1:18" ht="13.5" thickBot="1" x14ac:dyDescent="0.25"/>
    <row r="11" spans="1:18" ht="51.6" customHeight="1" x14ac:dyDescent="0.2">
      <c r="A11" s="449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41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50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42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43" t="s">
        <v>114</v>
      </c>
      <c r="B13" s="444"/>
      <c r="C13" s="444"/>
      <c r="D13" s="444"/>
      <c r="E13" s="444"/>
      <c r="F13" s="445"/>
      <c r="G13" s="139" t="s">
        <v>150</v>
      </c>
      <c r="H13" s="139" t="s">
        <v>151</v>
      </c>
      <c r="K13" s="443" t="s">
        <v>115</v>
      </c>
      <c r="L13" s="444"/>
      <c r="M13" s="444"/>
      <c r="N13" s="444"/>
      <c r="O13" s="444"/>
      <c r="P13" s="444"/>
      <c r="Q13" s="444"/>
      <c r="R13" s="445"/>
    </row>
    <row r="14" spans="1:18" ht="33.6" customHeight="1" thickBot="1" x14ac:dyDescent="0.25">
      <c r="A14" s="446"/>
      <c r="B14" s="447"/>
      <c r="C14" s="447"/>
      <c r="D14" s="447"/>
      <c r="E14" s="447"/>
      <c r="F14" s="448"/>
      <c r="G14" s="95">
        <f>VAC_Optim_Scenario!$I$32</f>
        <v>225.94</v>
      </c>
      <c r="H14" s="95">
        <f>VAC_Optim_Scenario!$F$32</f>
        <v>225.94</v>
      </c>
      <c r="K14" s="446"/>
      <c r="L14" s="447"/>
      <c r="M14" s="447"/>
      <c r="N14" s="447"/>
      <c r="O14" s="447"/>
      <c r="P14" s="447"/>
      <c r="Q14" s="447"/>
      <c r="R14" s="448"/>
    </row>
    <row r="16" spans="1:18" ht="13.5" thickBot="1" x14ac:dyDescent="0.25"/>
    <row r="17" spans="1:8" ht="42.6" customHeight="1" x14ac:dyDescent="0.2">
      <c r="A17" s="441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42"/>
      <c r="B18" s="75">
        <v>0</v>
      </c>
      <c r="C18" s="76">
        <v>2000000</v>
      </c>
      <c r="D18" s="26">
        <v>20</v>
      </c>
    </row>
    <row r="20" spans="1:8" x14ac:dyDescent="0.2">
      <c r="A20" s="422" t="s">
        <v>37</v>
      </c>
      <c r="B20" s="422"/>
      <c r="C20" s="422"/>
    </row>
    <row r="21" spans="1:8" ht="25.5" x14ac:dyDescent="0.2">
      <c r="A21" s="139" t="s">
        <v>35</v>
      </c>
      <c r="B21" s="139" t="s">
        <v>120</v>
      </c>
      <c r="C21" s="139" t="s">
        <v>196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3" workbookViewId="0">
      <selection activeCell="A23" sqref="A2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264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60"/>
      <c r="C4" s="461"/>
      <c r="D4" s="461"/>
      <c r="E4" s="461"/>
      <c r="F4" s="46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9" t="s">
        <v>8</v>
      </c>
      <c r="B7" s="454" t="s">
        <v>9</v>
      </c>
      <c r="C7" s="454"/>
      <c r="D7" s="454" t="s">
        <v>12</v>
      </c>
      <c r="E7" s="454"/>
      <c r="F7" s="454"/>
      <c r="G7" s="454" t="s">
        <v>124</v>
      </c>
      <c r="H7" s="454"/>
      <c r="I7" s="459"/>
    </row>
    <row r="8" spans="1:9" x14ac:dyDescent="0.25">
      <c r="A8" s="453"/>
      <c r="B8" s="287" t="s">
        <v>10</v>
      </c>
      <c r="C8" s="287" t="s">
        <v>11</v>
      </c>
      <c r="D8" s="287" t="s">
        <v>20</v>
      </c>
      <c r="E8" s="287" t="s">
        <v>21</v>
      </c>
      <c r="F8" s="287" t="s">
        <v>117</v>
      </c>
      <c r="G8" s="287" t="s">
        <v>22</v>
      </c>
      <c r="H8" s="287" t="s">
        <v>23</v>
      </c>
      <c r="I8" s="4" t="s">
        <v>123</v>
      </c>
    </row>
    <row r="9" spans="1:9" ht="15.75" thickBot="1" x14ac:dyDescent="0.3">
      <c r="A9" s="450"/>
      <c r="B9" s="171">
        <f>VAC_Optim_Scenario!G21</f>
        <v>6463714</v>
      </c>
      <c r="C9" s="171">
        <f>VAC_Optim_Scenario!H21</f>
        <v>16991986</v>
      </c>
      <c r="D9" s="172">
        <f>VAC_Optim_Scenario!I21</f>
        <v>6463714</v>
      </c>
      <c r="E9" s="84">
        <f>((GSTRV!D9/$B$12)^$D$12)*$C$12*$F$12</f>
        <v>149272.39229083114</v>
      </c>
      <c r="F9" s="84">
        <f>E9*F11</f>
        <v>149272.39229083114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22" t="s">
        <v>15</v>
      </c>
      <c r="B11" s="288" t="s">
        <v>16</v>
      </c>
      <c r="C11" s="288" t="s">
        <v>17</v>
      </c>
      <c r="D11" s="288" t="s">
        <v>168</v>
      </c>
      <c r="E11" s="287" t="s">
        <v>126</v>
      </c>
      <c r="F11" s="175">
        <v>1</v>
      </c>
    </row>
    <row r="12" spans="1:9" ht="40.5" customHeight="1" thickBot="1" x14ac:dyDescent="0.3">
      <c r="A12" s="422"/>
      <c r="B12" s="176">
        <f>'[5]Streaming Video - Power'!$B$12</f>
        <v>5935125</v>
      </c>
      <c r="C12" s="176">
        <f>'[5]Streaming Video - Power'!$C$12</f>
        <v>140618.64530883348</v>
      </c>
      <c r="D12" s="338">
        <f>'[5]Streaming Video - Power'!$D$12</f>
        <v>0.7</v>
      </c>
      <c r="E12" s="287" t="s">
        <v>122</v>
      </c>
      <c r="F12" s="177">
        <f>VAC_Optim_Scenario!D21</f>
        <v>1</v>
      </c>
      <c r="H12" s="284"/>
    </row>
    <row r="13" spans="1:9" ht="18.75" customHeight="1" x14ac:dyDescent="0.25">
      <c r="A13" s="443" t="s">
        <v>169</v>
      </c>
      <c r="B13" s="444"/>
      <c r="C13" s="444"/>
      <c r="D13" s="444"/>
      <c r="E13" s="287" t="s">
        <v>170</v>
      </c>
      <c r="F13" s="287" t="s">
        <v>171</v>
      </c>
    </row>
    <row r="14" spans="1:9" ht="15.75" thickBot="1" x14ac:dyDescent="0.3">
      <c r="A14" s="446"/>
      <c r="B14" s="447"/>
      <c r="C14" s="447"/>
      <c r="D14" s="44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1" t="s">
        <v>34</v>
      </c>
      <c r="B16" s="288" t="s">
        <v>32</v>
      </c>
      <c r="C16" s="288" t="s">
        <v>31</v>
      </c>
      <c r="D16" s="289" t="s">
        <v>33</v>
      </c>
    </row>
    <row r="17" spans="1:4" ht="15.75" thickBot="1" x14ac:dyDescent="0.3">
      <c r="A17" s="442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2" t="s">
        <v>37</v>
      </c>
      <c r="B19" s="422"/>
      <c r="C19" s="422"/>
      <c r="D19" s="98"/>
    </row>
    <row r="20" spans="1:4" ht="25.5" x14ac:dyDescent="0.25">
      <c r="A20" s="287" t="s">
        <v>35</v>
      </c>
      <c r="B20" s="287" t="s">
        <v>175</v>
      </c>
      <c r="C20" s="287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topLeftCell="A22" workbookViewId="0">
      <selection activeCell="B38" sqref="B38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0" t="s">
        <v>102</v>
      </c>
      <c r="I2" s="341"/>
      <c r="J2" s="341"/>
      <c r="K2" s="341"/>
      <c r="L2" s="342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51" t="s">
        <v>106</v>
      </c>
      <c r="C4" s="451"/>
      <c r="D4" s="451"/>
      <c r="E4" s="451"/>
      <c r="F4" s="45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9" t="s">
        <v>8</v>
      </c>
      <c r="B7" s="454" t="s">
        <v>9</v>
      </c>
      <c r="C7" s="455"/>
      <c r="D7" s="456" t="s">
        <v>12</v>
      </c>
      <c r="E7" s="457"/>
      <c r="F7" s="458"/>
      <c r="G7" s="454" t="s">
        <v>124</v>
      </c>
      <c r="H7" s="454"/>
      <c r="I7" s="459"/>
      <c r="J7" s="98" t="s">
        <v>125</v>
      </c>
    </row>
    <row r="8" spans="1:18" ht="28.15" customHeight="1" x14ac:dyDescent="0.2">
      <c r="A8" s="453"/>
      <c r="B8" s="344" t="s">
        <v>10</v>
      </c>
      <c r="C8" s="17" t="s">
        <v>11</v>
      </c>
      <c r="D8" s="19" t="s">
        <v>20</v>
      </c>
      <c r="E8" s="344" t="s">
        <v>21</v>
      </c>
      <c r="F8" s="81" t="s">
        <v>117</v>
      </c>
      <c r="G8" s="343" t="s">
        <v>22</v>
      </c>
      <c r="H8" s="344" t="s">
        <v>23</v>
      </c>
      <c r="I8" s="88" t="s">
        <v>123</v>
      </c>
    </row>
    <row r="9" spans="1:18" ht="14.65" customHeight="1" thickBot="1" x14ac:dyDescent="0.25">
      <c r="A9" s="450"/>
      <c r="B9" s="95">
        <f>VAC_Optim_Scenario!G22</f>
        <v>1500000</v>
      </c>
      <c r="C9" s="95">
        <f>VAC_Optim_Scenario!H22</f>
        <v>7000000</v>
      </c>
      <c r="D9" s="68">
        <f>VAC_Optim_Scenario!I22</f>
        <v>1500000</v>
      </c>
      <c r="E9" s="84">
        <f>((($R$12/(1+EXP($P$12+$Q$12*D9)))-1) - ($F$12-$C$12))*$I$12</f>
        <v>96729.945919783786</v>
      </c>
      <c r="F9" s="89">
        <f>E9*$G$12</f>
        <v>96729.945919783786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195</v>
      </c>
    </row>
    <row r="10" spans="1:18" ht="13.5" thickBot="1" x14ac:dyDescent="0.25"/>
    <row r="11" spans="1:18" ht="51.6" customHeight="1" x14ac:dyDescent="0.2">
      <c r="A11" s="449" t="s">
        <v>15</v>
      </c>
      <c r="B11" s="346" t="s">
        <v>16</v>
      </c>
      <c r="C11" s="346" t="s">
        <v>17</v>
      </c>
      <c r="D11" s="346" t="s">
        <v>18</v>
      </c>
      <c r="E11" s="346" t="s">
        <v>19</v>
      </c>
      <c r="F11" s="347" t="s">
        <v>109</v>
      </c>
      <c r="G11" s="345" t="s">
        <v>118</v>
      </c>
      <c r="H11" s="346" t="s">
        <v>119</v>
      </c>
      <c r="I11" s="92" t="s">
        <v>122</v>
      </c>
      <c r="K11" s="441" t="s">
        <v>25</v>
      </c>
      <c r="L11" s="346" t="s">
        <v>110</v>
      </c>
      <c r="M11" s="346" t="s">
        <v>111</v>
      </c>
      <c r="N11" s="346" t="s">
        <v>112</v>
      </c>
      <c r="O11" s="346" t="s">
        <v>113</v>
      </c>
      <c r="P11" s="346" t="s">
        <v>26</v>
      </c>
      <c r="Q11" s="346" t="s">
        <v>27</v>
      </c>
      <c r="R11" s="347" t="s">
        <v>28</v>
      </c>
    </row>
    <row r="12" spans="1:18" ht="15" customHeight="1" thickBot="1" x14ac:dyDescent="0.25">
      <c r="A12" s="450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442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443" t="s">
        <v>114</v>
      </c>
      <c r="B13" s="444"/>
      <c r="C13" s="444"/>
      <c r="D13" s="444"/>
      <c r="E13" s="444"/>
      <c r="F13" s="445"/>
      <c r="G13" s="344" t="s">
        <v>150</v>
      </c>
      <c r="H13" s="344" t="s">
        <v>151</v>
      </c>
      <c r="K13" s="443" t="s">
        <v>115</v>
      </c>
      <c r="L13" s="444"/>
      <c r="M13" s="444"/>
      <c r="N13" s="444"/>
      <c r="O13" s="444"/>
      <c r="P13" s="444"/>
      <c r="Q13" s="444"/>
      <c r="R13" s="445"/>
    </row>
    <row r="14" spans="1:18" ht="33.6" customHeight="1" thickBot="1" x14ac:dyDescent="0.25">
      <c r="A14" s="446"/>
      <c r="B14" s="447"/>
      <c r="C14" s="447"/>
      <c r="D14" s="447"/>
      <c r="E14" s="447"/>
      <c r="F14" s="448"/>
      <c r="G14" s="95">
        <f>VAC_Optim_Scenario!$I$32</f>
        <v>225.94</v>
      </c>
      <c r="H14" s="95">
        <f>VAC_Optim_Scenario!$F$32</f>
        <v>225.94</v>
      </c>
      <c r="K14" s="446"/>
      <c r="L14" s="447"/>
      <c r="M14" s="447"/>
      <c r="N14" s="447"/>
      <c r="O14" s="447"/>
      <c r="P14" s="447"/>
      <c r="Q14" s="447"/>
      <c r="R14" s="448"/>
    </row>
    <row r="16" spans="1:18" ht="13.5" thickBot="1" x14ac:dyDescent="0.25"/>
    <row r="17" spans="1:8" ht="42.6" customHeight="1" x14ac:dyDescent="0.2">
      <c r="A17" s="441" t="s">
        <v>34</v>
      </c>
      <c r="B17" s="346" t="s">
        <v>32</v>
      </c>
      <c r="C17" s="346" t="s">
        <v>31</v>
      </c>
      <c r="D17" s="347" t="s">
        <v>33</v>
      </c>
      <c r="F17" s="82"/>
      <c r="G17" s="82"/>
      <c r="H17" s="83"/>
    </row>
    <row r="18" spans="1:8" ht="23.65" customHeight="1" thickBot="1" x14ac:dyDescent="0.25">
      <c r="A18" s="442"/>
      <c r="B18" s="75">
        <v>0</v>
      </c>
      <c r="C18" s="76">
        <v>4000000</v>
      </c>
      <c r="D18" s="26">
        <v>20</v>
      </c>
    </row>
    <row r="20" spans="1:8" x14ac:dyDescent="0.2">
      <c r="A20" s="422" t="s">
        <v>37</v>
      </c>
      <c r="B20" s="422"/>
      <c r="C20" s="422"/>
    </row>
    <row r="21" spans="1:8" ht="25.5" x14ac:dyDescent="0.2">
      <c r="A21" s="344" t="s">
        <v>35</v>
      </c>
      <c r="B21" s="344" t="s">
        <v>120</v>
      </c>
      <c r="C21" s="344" t="s">
        <v>196</v>
      </c>
      <c r="D21" s="98" t="s">
        <v>121</v>
      </c>
      <c r="E21" s="344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>A41+(($C$18-$B$18)/$D$18)</f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16" workbookViewId="0">
      <selection activeCell="A25" sqref="A25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263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60"/>
      <c r="C4" s="461"/>
      <c r="D4" s="461"/>
      <c r="E4" s="461"/>
      <c r="F4" s="46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9" t="s">
        <v>8</v>
      </c>
      <c r="B7" s="454" t="s">
        <v>9</v>
      </c>
      <c r="C7" s="454"/>
      <c r="D7" s="454" t="s">
        <v>12</v>
      </c>
      <c r="E7" s="454"/>
      <c r="F7" s="454"/>
      <c r="G7" s="454" t="s">
        <v>124</v>
      </c>
      <c r="H7" s="454"/>
      <c r="I7" s="459"/>
    </row>
    <row r="8" spans="1:9" x14ac:dyDescent="0.25">
      <c r="A8" s="453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50"/>
      <c r="B9" s="171">
        <f>VAC_Optim_Scenario!G23</f>
        <v>300000</v>
      </c>
      <c r="C9" s="171">
        <f>VAC_Optim_Scenario!H23</f>
        <v>390000</v>
      </c>
      <c r="D9" s="172">
        <f>VAC_Optim_Scenario!I23</f>
        <v>300000</v>
      </c>
      <c r="E9" s="84">
        <f>((GSEARCH!D9/$B$12)^$D$12)*$C$12*$F$12</f>
        <v>118583.90541759932</v>
      </c>
      <c r="F9" s="84">
        <f>E9*F11</f>
        <v>118583.90541759932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22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22"/>
      <c r="B12" s="176">
        <f>'[7]HCC Paid Search - Power'!$B$12</f>
        <v>344707</v>
      </c>
      <c r="C12" s="176">
        <f>'[7]HCC Paid Search - Power'!$C$12</f>
        <v>130694.08808973072</v>
      </c>
      <c r="D12" s="338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43" t="s">
        <v>169</v>
      </c>
      <c r="B13" s="444"/>
      <c r="C13" s="444"/>
      <c r="D13" s="444"/>
      <c r="E13" s="153" t="s">
        <v>170</v>
      </c>
      <c r="F13" s="153" t="s">
        <v>171</v>
      </c>
    </row>
    <row r="14" spans="1:9" ht="15.75" thickBot="1" x14ac:dyDescent="0.3">
      <c r="A14" s="446"/>
      <c r="B14" s="447"/>
      <c r="C14" s="447"/>
      <c r="D14" s="44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1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42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2" t="s">
        <v>37</v>
      </c>
      <c r="B19" s="422"/>
      <c r="C19" s="422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281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60"/>
      <c r="C4" s="461"/>
      <c r="D4" s="461"/>
      <c r="E4" s="461"/>
      <c r="F4" s="46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9" t="s">
        <v>8</v>
      </c>
      <c r="B7" s="454" t="s">
        <v>9</v>
      </c>
      <c r="C7" s="454"/>
      <c r="D7" s="454" t="s">
        <v>12</v>
      </c>
      <c r="E7" s="454"/>
      <c r="F7" s="454"/>
      <c r="G7" s="454" t="s">
        <v>124</v>
      </c>
      <c r="H7" s="454"/>
      <c r="I7" s="459"/>
    </row>
    <row r="8" spans="1:9" x14ac:dyDescent="0.25">
      <c r="A8" s="453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50"/>
      <c r="B9" s="171">
        <f>VAC_Optim_Scenario!G24</f>
        <v>1400000</v>
      </c>
      <c r="C9" s="171">
        <f>VAC_Optim_Scenario!H24</f>
        <v>4800000</v>
      </c>
      <c r="D9" s="172">
        <f>VAC_Optim_Scenario!I24</f>
        <v>1400000</v>
      </c>
      <c r="E9" s="173">
        <f>((GRADIO!D9/$B$12)^$D$12)*$C$12*$F$12</f>
        <v>69471.794076517137</v>
      </c>
      <c r="F9" s="84">
        <f>E9*F11</f>
        <v>69471.794076517137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22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22"/>
      <c r="B12" s="176">
        <f>'[8]Radio - Power'!$B$12</f>
        <v>1437048.41</v>
      </c>
      <c r="C12" s="176">
        <f>'[8]Radio - Power'!$C$12</f>
        <v>70569.092436493243</v>
      </c>
      <c r="D12" s="338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43" t="s">
        <v>169</v>
      </c>
      <c r="B13" s="444"/>
      <c r="C13" s="444"/>
      <c r="D13" s="444"/>
      <c r="E13" s="150" t="s">
        <v>170</v>
      </c>
      <c r="F13" s="150" t="s">
        <v>171</v>
      </c>
    </row>
    <row r="14" spans="1:9" ht="15.75" thickBot="1" x14ac:dyDescent="0.3">
      <c r="A14" s="446"/>
      <c r="B14" s="447"/>
      <c r="C14" s="447"/>
      <c r="D14" s="44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1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42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2" t="s">
        <v>37</v>
      </c>
      <c r="B19" s="422"/>
      <c r="C19" s="422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279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279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280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60"/>
      <c r="C4" s="461"/>
      <c r="D4" s="461"/>
      <c r="E4" s="461"/>
      <c r="F4" s="46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0.8</v>
      </c>
      <c r="C6" s="170">
        <v>1.3</v>
      </c>
      <c r="D6" s="98"/>
      <c r="E6" s="98"/>
      <c r="F6" s="98"/>
      <c r="G6" s="98"/>
      <c r="H6" s="98"/>
      <c r="I6" s="98"/>
    </row>
    <row r="7" spans="1:9" x14ac:dyDescent="0.25">
      <c r="A7" s="449" t="s">
        <v>8</v>
      </c>
      <c r="B7" s="454" t="s">
        <v>9</v>
      </c>
      <c r="C7" s="454"/>
      <c r="D7" s="454" t="s">
        <v>12</v>
      </c>
      <c r="E7" s="454"/>
      <c r="F7" s="454"/>
      <c r="G7" s="454" t="s">
        <v>124</v>
      </c>
      <c r="H7" s="454"/>
      <c r="I7" s="459"/>
    </row>
    <row r="8" spans="1:9" x14ac:dyDescent="0.25">
      <c r="A8" s="453"/>
      <c r="B8" s="350" t="s">
        <v>10</v>
      </c>
      <c r="C8" s="350" t="s">
        <v>11</v>
      </c>
      <c r="D8" s="350" t="s">
        <v>20</v>
      </c>
      <c r="E8" s="350" t="s">
        <v>21</v>
      </c>
      <c r="F8" s="350" t="s">
        <v>117</v>
      </c>
      <c r="G8" s="350" t="s">
        <v>22</v>
      </c>
      <c r="H8" s="350" t="s">
        <v>23</v>
      </c>
      <c r="I8" s="4" t="s">
        <v>123</v>
      </c>
    </row>
    <row r="9" spans="1:9" ht="15.75" thickBot="1" x14ac:dyDescent="0.3">
      <c r="A9" s="450"/>
      <c r="B9" s="171">
        <f>VAC_Optim_Scenario!G24</f>
        <v>1400000</v>
      </c>
      <c r="C9" s="171">
        <f>VAC_Optim_Scenario!H24</f>
        <v>4800000</v>
      </c>
      <c r="D9" s="172">
        <f>VAC_Optim_Scenario!I24</f>
        <v>1400000</v>
      </c>
      <c r="E9" s="84">
        <f>((GAUDIO!D9/$B$12)^$D$12)*$C$12*$F$12</f>
        <v>36629.36226331244</v>
      </c>
      <c r="F9" s="84">
        <f>E9*F11</f>
        <v>36629.36226331244</v>
      </c>
      <c r="G9" s="76">
        <f>VAC_Optim_Scenario!E24</f>
        <v>1437048.41</v>
      </c>
      <c r="H9" s="173">
        <f>((GAUDIO!G9/$B$12)^$D$12)*$C$12*$F$12</f>
        <v>37014.058119934656</v>
      </c>
      <c r="I9" s="174">
        <f>H9*F11</f>
        <v>37014.058119934656</v>
      </c>
    </row>
    <row r="10" spans="1:9" ht="15.75" thickBot="1" x14ac:dyDescent="0.3"/>
    <row r="11" spans="1:9" ht="48.95" customHeight="1" x14ac:dyDescent="0.25">
      <c r="A11" s="422" t="s">
        <v>15</v>
      </c>
      <c r="B11" s="351" t="s">
        <v>16</v>
      </c>
      <c r="C11" s="351" t="s">
        <v>17</v>
      </c>
      <c r="D11" s="351" t="s">
        <v>168</v>
      </c>
      <c r="E11" s="350" t="s">
        <v>126</v>
      </c>
      <c r="F11" s="175">
        <v>1</v>
      </c>
    </row>
    <row r="12" spans="1:9" ht="40.5" customHeight="1" thickBot="1" x14ac:dyDescent="0.3">
      <c r="A12" s="422"/>
      <c r="B12" s="176">
        <f>'[9]Radio - Power'!$B$12</f>
        <v>834344</v>
      </c>
      <c r="C12" s="176">
        <f>'[9]Radio - Power'!$C$12</f>
        <v>29779.417742639012</v>
      </c>
      <c r="D12" s="354">
        <f>'[9]Radio - Power'!$D$12</f>
        <v>0.4</v>
      </c>
      <c r="E12" s="350" t="s">
        <v>122</v>
      </c>
      <c r="F12" s="177">
        <f>[10]VAC_Optim_Scenario!D24</f>
        <v>1</v>
      </c>
      <c r="G12" s="284">
        <f>B12*2</f>
        <v>1668688</v>
      </c>
    </row>
    <row r="13" spans="1:9" ht="18.75" customHeight="1" x14ac:dyDescent="0.25">
      <c r="A13" s="443" t="s">
        <v>169</v>
      </c>
      <c r="B13" s="444"/>
      <c r="C13" s="444"/>
      <c r="D13" s="444"/>
      <c r="E13" s="350" t="s">
        <v>170</v>
      </c>
      <c r="F13" s="350" t="s">
        <v>171</v>
      </c>
    </row>
    <row r="14" spans="1:9" ht="15.75" thickBot="1" x14ac:dyDescent="0.3">
      <c r="A14" s="446"/>
      <c r="B14" s="447"/>
      <c r="C14" s="447"/>
      <c r="D14" s="447"/>
      <c r="E14" s="95">
        <f>[10]VAC_Optim_Scenario!F33</f>
        <v>193.91</v>
      </c>
      <c r="F14" s="95">
        <f>[10]VAC_Optim_Scenario!E33</f>
        <v>193.91</v>
      </c>
    </row>
    <row r="15" spans="1:9" ht="15.75" thickBot="1" x14ac:dyDescent="0.3"/>
    <row r="16" spans="1:9" x14ac:dyDescent="0.25">
      <c r="A16" s="441" t="s">
        <v>34</v>
      </c>
      <c r="B16" s="351" t="s">
        <v>32</v>
      </c>
      <c r="C16" s="351" t="s">
        <v>31</v>
      </c>
      <c r="D16" s="352" t="s">
        <v>33</v>
      </c>
    </row>
    <row r="17" spans="1:4" ht="15.75" thickBot="1" x14ac:dyDescent="0.3">
      <c r="A17" s="44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2" t="s">
        <v>37</v>
      </c>
      <c r="B19" s="422"/>
      <c r="C19" s="422"/>
      <c r="D19" s="98"/>
    </row>
    <row r="20" spans="1:4" ht="25.5" x14ac:dyDescent="0.25">
      <c r="A20" s="350" t="s">
        <v>35</v>
      </c>
      <c r="B20" s="350" t="s">
        <v>175</v>
      </c>
      <c r="C20" s="350" t="s">
        <v>172</v>
      </c>
    </row>
    <row r="21" spans="1:4" x14ac:dyDescent="0.25">
      <c r="A21" s="178">
        <f>B17</f>
        <v>0</v>
      </c>
      <c r="B21" s="173">
        <f>((A21/$B$12)^$D$12)*$C$12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 t="shared" ref="B22:B41" si="0">((A22/$B$12)^$D$12)*$C$12</f>
        <v>18388.832064236187</v>
      </c>
      <c r="C22" s="179">
        <f t="shared" ref="C22:C41" si="1">B22*$F$14</f>
        <v>3565778.4255760391</v>
      </c>
    </row>
    <row r="23" spans="1:4" x14ac:dyDescent="0.25">
      <c r="A23" s="178">
        <f t="shared" ref="A23:A41" si="2">A22+(($C$17-$B$17)/$D$17)</f>
        <v>500000</v>
      </c>
      <c r="B23" s="173">
        <f t="shared" si="0"/>
        <v>24264.209378633903</v>
      </c>
      <c r="C23" s="179">
        <f t="shared" si="1"/>
        <v>4705072.8406109</v>
      </c>
    </row>
    <row r="24" spans="1:4" x14ac:dyDescent="0.25">
      <c r="A24" s="178">
        <f t="shared" si="2"/>
        <v>750000</v>
      </c>
      <c r="B24" s="173">
        <f t="shared" si="0"/>
        <v>28536.627648357779</v>
      </c>
      <c r="C24" s="179">
        <f t="shared" si="1"/>
        <v>5533537.4672930567</v>
      </c>
    </row>
    <row r="25" spans="1:4" x14ac:dyDescent="0.25">
      <c r="A25" s="178">
        <f t="shared" si="2"/>
        <v>1000000</v>
      </c>
      <c r="B25" s="173">
        <f t="shared" si="0"/>
        <v>32016.816223757287</v>
      </c>
      <c r="C25" s="179">
        <f t="shared" si="1"/>
        <v>6208380.8339487752</v>
      </c>
    </row>
    <row r="26" spans="1:4" x14ac:dyDescent="0.25">
      <c r="A26" s="178">
        <f t="shared" si="2"/>
        <v>1250000</v>
      </c>
      <c r="B26" s="173">
        <f t="shared" si="0"/>
        <v>35005.972587468059</v>
      </c>
      <c r="C26" s="179">
        <f t="shared" si="1"/>
        <v>6788008.144435931</v>
      </c>
    </row>
    <row r="27" spans="1:4" x14ac:dyDescent="0.25">
      <c r="A27" s="178">
        <f t="shared" si="2"/>
        <v>1500000</v>
      </c>
      <c r="B27" s="173">
        <f t="shared" si="0"/>
        <v>37654.305928788584</v>
      </c>
      <c r="C27" s="179">
        <f t="shared" si="1"/>
        <v>7301546.4626513943</v>
      </c>
    </row>
    <row r="28" spans="1:4" x14ac:dyDescent="0.25">
      <c r="A28" s="178">
        <f t="shared" si="2"/>
        <v>1750000</v>
      </c>
      <c r="B28" s="173">
        <f t="shared" si="0"/>
        <v>40049.15549143494</v>
      </c>
      <c r="C28" s="179">
        <f t="shared" si="1"/>
        <v>7765931.7413441492</v>
      </c>
    </row>
    <row r="29" spans="1:4" x14ac:dyDescent="0.25">
      <c r="A29" s="178">
        <f t="shared" si="2"/>
        <v>2000000</v>
      </c>
      <c r="B29" s="173">
        <f t="shared" si="0"/>
        <v>42246.442285009682</v>
      </c>
      <c r="C29" s="179">
        <f t="shared" si="1"/>
        <v>8192007.6234862274</v>
      </c>
    </row>
    <row r="30" spans="1:4" x14ac:dyDescent="0.25">
      <c r="A30" s="178">
        <f t="shared" si="2"/>
        <v>2250000</v>
      </c>
      <c r="B30" s="173">
        <f t="shared" si="0"/>
        <v>44284.4393105747</v>
      </c>
      <c r="C30" s="179">
        <f t="shared" si="1"/>
        <v>8587195.6267135404</v>
      </c>
    </row>
    <row r="31" spans="1:4" x14ac:dyDescent="0.25">
      <c r="A31" s="178">
        <f t="shared" si="2"/>
        <v>2500000</v>
      </c>
      <c r="B31" s="173">
        <f t="shared" si="0"/>
        <v>46190.657753463194</v>
      </c>
      <c r="C31" s="179">
        <f t="shared" si="1"/>
        <v>8956830.4449740481</v>
      </c>
    </row>
    <row r="32" spans="1:4" x14ac:dyDescent="0.25">
      <c r="A32" s="178">
        <f t="shared" si="2"/>
        <v>2750000</v>
      </c>
      <c r="B32" s="173">
        <f t="shared" si="0"/>
        <v>47985.632175996718</v>
      </c>
      <c r="C32" s="179">
        <f t="shared" si="1"/>
        <v>9304893.9352475237</v>
      </c>
    </row>
    <row r="33" spans="1:3" x14ac:dyDescent="0.25">
      <c r="A33" s="178">
        <f t="shared" si="2"/>
        <v>3000000</v>
      </c>
      <c r="B33" s="173">
        <f t="shared" si="0"/>
        <v>49685.154547699232</v>
      </c>
      <c r="C33" s="179">
        <f t="shared" si="1"/>
        <v>9634448.3183443584</v>
      </c>
    </row>
    <row r="34" spans="1:3" x14ac:dyDescent="0.25">
      <c r="A34" s="178">
        <f t="shared" si="2"/>
        <v>3250000</v>
      </c>
      <c r="B34" s="173">
        <f t="shared" si="0"/>
        <v>51301.668206763061</v>
      </c>
      <c r="C34" s="179">
        <f t="shared" si="1"/>
        <v>9947906.4819734246</v>
      </c>
    </row>
    <row r="35" spans="1:3" x14ac:dyDescent="0.25">
      <c r="A35" s="178">
        <f t="shared" si="2"/>
        <v>3500000</v>
      </c>
      <c r="B35" s="173">
        <f t="shared" si="0"/>
        <v>52845.177490722104</v>
      </c>
      <c r="C35" s="179">
        <f t="shared" si="1"/>
        <v>10247208.367225923</v>
      </c>
    </row>
    <row r="36" spans="1:3" x14ac:dyDescent="0.25">
      <c r="A36" s="178">
        <f t="shared" si="2"/>
        <v>3750000</v>
      </c>
      <c r="B36" s="173">
        <f t="shared" si="0"/>
        <v>54323.863620464719</v>
      </c>
      <c r="C36" s="179">
        <f t="shared" si="1"/>
        <v>10533940.394644314</v>
      </c>
    </row>
    <row r="37" spans="1:3" x14ac:dyDescent="0.25">
      <c r="A37" s="178">
        <f t="shared" si="2"/>
        <v>4000000</v>
      </c>
      <c r="B37" s="173">
        <f t="shared" si="0"/>
        <v>55744.514797080788</v>
      </c>
      <c r="C37" s="179">
        <f t="shared" si="1"/>
        <v>10809418.864301935</v>
      </c>
    </row>
    <row r="38" spans="1:3" x14ac:dyDescent="0.25">
      <c r="A38" s="178">
        <f t="shared" si="2"/>
        <v>4250000</v>
      </c>
      <c r="B38" s="173">
        <f t="shared" si="0"/>
        <v>57112.834568679988</v>
      </c>
      <c r="C38" s="179">
        <f t="shared" si="1"/>
        <v>11074749.751212737</v>
      </c>
    </row>
    <row r="39" spans="1:3" x14ac:dyDescent="0.25">
      <c r="A39" s="178">
        <f t="shared" si="2"/>
        <v>4500000</v>
      </c>
      <c r="B39" s="173">
        <f t="shared" si="0"/>
        <v>58433.667994445452</v>
      </c>
      <c r="C39" s="179">
        <f t="shared" si="1"/>
        <v>11330872.560802918</v>
      </c>
    </row>
    <row r="40" spans="1:3" x14ac:dyDescent="0.25">
      <c r="A40" s="178">
        <f t="shared" si="2"/>
        <v>4750000</v>
      </c>
      <c r="B40" s="173">
        <f t="shared" si="0"/>
        <v>59711.170830321797</v>
      </c>
      <c r="C40" s="179">
        <f t="shared" si="1"/>
        <v>11578593.135707699</v>
      </c>
    </row>
    <row r="41" spans="1:3" x14ac:dyDescent="0.25">
      <c r="A41" s="178">
        <f t="shared" si="2"/>
        <v>5000000</v>
      </c>
      <c r="B41" s="173">
        <f t="shared" si="0"/>
        <v>60948.938309498</v>
      </c>
      <c r="C41" s="179">
        <f t="shared" si="1"/>
        <v>11818608.627594758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60"/>
      <c r="C4" s="461"/>
      <c r="D4" s="461"/>
      <c r="E4" s="461"/>
      <c r="F4" s="46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9" t="s">
        <v>8</v>
      </c>
      <c r="B7" s="454" t="s">
        <v>9</v>
      </c>
      <c r="C7" s="454"/>
      <c r="D7" s="454" t="s">
        <v>12</v>
      </c>
      <c r="E7" s="454"/>
      <c r="F7" s="454"/>
      <c r="G7" s="454" t="s">
        <v>124</v>
      </c>
      <c r="H7" s="454"/>
      <c r="I7" s="459"/>
    </row>
    <row r="8" spans="1:9" x14ac:dyDescent="0.25">
      <c r="A8" s="453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50"/>
      <c r="B9" s="171">
        <f>VAC_Optim_Scenario!G25</f>
        <v>14861790</v>
      </c>
      <c r="C9" s="171">
        <f>VAC_Optim_Scenario!H25</f>
        <v>37627064</v>
      </c>
      <c r="D9" s="172">
        <f>VAC_Optim_Scenario!I25</f>
        <v>14861790</v>
      </c>
      <c r="E9" s="84">
        <f>((GTV!D9/$B$12)^$D$12)*$C$12*$F$12</f>
        <v>271289.99209866516</v>
      </c>
      <c r="F9" s="84">
        <f>E9*F11</f>
        <v>271289.99209866516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22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22"/>
      <c r="B12" s="176">
        <f>'[11]TV - Power'!$B$12</f>
        <v>13503524.99</v>
      </c>
      <c r="C12" s="176">
        <f>'[11]TV - Power'!$C$12</f>
        <v>253686.28893952153</v>
      </c>
      <c r="D12" s="338">
        <f>'[11]TV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43" t="s">
        <v>169</v>
      </c>
      <c r="B13" s="444"/>
      <c r="C13" s="444"/>
      <c r="D13" s="444"/>
      <c r="E13" s="150" t="s">
        <v>170</v>
      </c>
      <c r="F13" s="150" t="s">
        <v>171</v>
      </c>
    </row>
    <row r="14" spans="1:9" ht="15.75" thickBot="1" x14ac:dyDescent="0.3">
      <c r="A14" s="446"/>
      <c r="B14" s="447"/>
      <c r="C14" s="447"/>
      <c r="D14" s="44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1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42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2" t="s">
        <v>37</v>
      </c>
      <c r="B19" s="422"/>
      <c r="C19" s="422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51" t="s">
        <v>106</v>
      </c>
      <c r="C4" s="451"/>
      <c r="D4" s="451"/>
      <c r="E4" s="451"/>
      <c r="F4" s="45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9" t="s">
        <v>8</v>
      </c>
      <c r="B7" s="454" t="s">
        <v>9</v>
      </c>
      <c r="C7" s="455"/>
      <c r="D7" s="456" t="s">
        <v>12</v>
      </c>
      <c r="E7" s="457"/>
      <c r="F7" s="458"/>
      <c r="G7" s="454" t="s">
        <v>124</v>
      </c>
      <c r="H7" s="454"/>
      <c r="I7" s="459"/>
      <c r="J7" s="98" t="s">
        <v>125</v>
      </c>
    </row>
    <row r="8" spans="1:18" ht="28.15" customHeight="1" x14ac:dyDescent="0.2">
      <c r="A8" s="45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50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195</v>
      </c>
    </row>
    <row r="10" spans="1:18" ht="13.5" thickBot="1" x14ac:dyDescent="0.25"/>
    <row r="11" spans="1:18" ht="51.6" customHeight="1" x14ac:dyDescent="0.2">
      <c r="A11" s="44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4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50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42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43" t="s">
        <v>114</v>
      </c>
      <c r="B13" s="444"/>
      <c r="C13" s="444"/>
      <c r="D13" s="444"/>
      <c r="E13" s="444"/>
      <c r="F13" s="445"/>
      <c r="G13" s="119" t="s">
        <v>150</v>
      </c>
      <c r="H13" s="119" t="s">
        <v>151</v>
      </c>
      <c r="K13" s="443" t="s">
        <v>115</v>
      </c>
      <c r="L13" s="444"/>
      <c r="M13" s="444"/>
      <c r="N13" s="444"/>
      <c r="O13" s="444"/>
      <c r="P13" s="444"/>
      <c r="Q13" s="444"/>
      <c r="R13" s="445"/>
    </row>
    <row r="14" spans="1:18" ht="33.6" customHeight="1" thickBot="1" x14ac:dyDescent="0.25">
      <c r="A14" s="446"/>
      <c r="B14" s="447"/>
      <c r="C14" s="447"/>
      <c r="D14" s="447"/>
      <c r="E14" s="447"/>
      <c r="F14" s="448"/>
      <c r="G14" s="95">
        <f>VAC_Optim_Scenario!I32</f>
        <v>225.94</v>
      </c>
      <c r="H14" s="95">
        <f>VAC_Optim_Scenario!G32</f>
        <v>225.94</v>
      </c>
      <c r="K14" s="446"/>
      <c r="L14" s="447"/>
      <c r="M14" s="447"/>
      <c r="N14" s="447"/>
      <c r="O14" s="447"/>
      <c r="P14" s="447"/>
      <c r="Q14" s="447"/>
      <c r="R14" s="448"/>
    </row>
    <row r="16" spans="1:18" ht="13.5" thickBot="1" x14ac:dyDescent="0.25"/>
    <row r="17" spans="1:8" ht="42.6" customHeight="1" x14ac:dyDescent="0.2">
      <c r="A17" s="44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2"/>
      <c r="B18" s="75">
        <v>0</v>
      </c>
      <c r="C18" s="76">
        <v>4000000</v>
      </c>
      <c r="D18" s="26">
        <v>20</v>
      </c>
    </row>
    <row r="20" spans="1:8" x14ac:dyDescent="0.2">
      <c r="A20" s="422" t="s">
        <v>37</v>
      </c>
      <c r="B20" s="422"/>
      <c r="C20" s="422"/>
    </row>
    <row r="21" spans="1:8" ht="25.5" x14ac:dyDescent="0.2">
      <c r="A21" s="119" t="s">
        <v>35</v>
      </c>
      <c r="B21" s="119" t="s">
        <v>120</v>
      </c>
      <c r="C21" s="119" t="s">
        <v>196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27" t="s">
        <v>100</v>
      </c>
      <c r="G2" s="428"/>
      <c r="H2" s="428"/>
      <c r="I2" s="428"/>
      <c r="J2" s="428"/>
      <c r="K2" s="428"/>
      <c r="L2" s="429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30" t="s">
        <v>72</v>
      </c>
      <c r="G3" s="431"/>
      <c r="H3" s="431"/>
      <c r="I3" s="431"/>
      <c r="J3" s="431"/>
      <c r="K3" s="431"/>
      <c r="L3" s="432"/>
    </row>
    <row r="4" spans="1:12" ht="13.5" thickBot="1" x14ac:dyDescent="0.25">
      <c r="A4" s="29" t="s">
        <v>38</v>
      </c>
      <c r="B4" s="463" t="s">
        <v>39</v>
      </c>
      <c r="C4" s="463"/>
      <c r="D4" s="464"/>
    </row>
    <row r="6" spans="1:12" ht="13.5" thickBot="1" x14ac:dyDescent="0.25"/>
    <row r="7" spans="1:12" ht="27.75" customHeight="1" x14ac:dyDescent="0.2">
      <c r="A7" s="449" t="s">
        <v>8</v>
      </c>
      <c r="B7" s="454" t="s">
        <v>9</v>
      </c>
      <c r="C7" s="455"/>
      <c r="D7" s="456" t="s">
        <v>12</v>
      </c>
      <c r="E7" s="458"/>
      <c r="F7" s="457" t="s">
        <v>24</v>
      </c>
      <c r="G7" s="471"/>
    </row>
    <row r="8" spans="1:12" ht="25.5" x14ac:dyDescent="0.2">
      <c r="A8" s="45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5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49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49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50"/>
      <c r="B12" s="12">
        <v>20</v>
      </c>
      <c r="C12" s="12">
        <v>30</v>
      </c>
      <c r="D12" s="12">
        <v>0</v>
      </c>
      <c r="E12" s="14">
        <v>70</v>
      </c>
      <c r="G12" s="45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43" t="s">
        <v>30</v>
      </c>
      <c r="B13" s="444"/>
      <c r="C13" s="444"/>
      <c r="D13" s="444"/>
      <c r="E13" s="445"/>
      <c r="G13" s="465" t="s">
        <v>29</v>
      </c>
      <c r="H13" s="466"/>
      <c r="I13" s="466"/>
      <c r="J13" s="467"/>
    </row>
    <row r="14" spans="1:12" ht="33.6" customHeight="1" x14ac:dyDescent="0.2">
      <c r="A14" s="446"/>
      <c r="B14" s="447"/>
      <c r="C14" s="447"/>
      <c r="D14" s="447"/>
      <c r="E14" s="448"/>
      <c r="G14" s="468"/>
      <c r="H14" s="469"/>
      <c r="I14" s="469"/>
      <c r="J14" s="470"/>
    </row>
    <row r="16" spans="1:12" ht="13.5" thickBot="1" x14ac:dyDescent="0.25"/>
    <row r="17" spans="1:4" ht="16.899999999999999" customHeight="1" x14ac:dyDescent="0.2">
      <c r="A17" s="441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42"/>
      <c r="B18" s="12">
        <v>0</v>
      </c>
      <c r="C18" s="12">
        <v>100</v>
      </c>
      <c r="D18" s="26">
        <v>20</v>
      </c>
    </row>
    <row r="20" spans="1:4" x14ac:dyDescent="0.2">
      <c r="A20" s="422" t="s">
        <v>37</v>
      </c>
      <c r="B20" s="422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27" t="s">
        <v>100</v>
      </c>
      <c r="G2" s="428"/>
      <c r="H2" s="428"/>
      <c r="I2" s="428"/>
      <c r="J2" s="428"/>
      <c r="K2" s="428"/>
      <c r="L2" s="429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30" t="s">
        <v>72</v>
      </c>
      <c r="G3" s="431"/>
      <c r="H3" s="431"/>
      <c r="I3" s="431"/>
      <c r="J3" s="431"/>
      <c r="K3" s="431"/>
      <c r="L3" s="432"/>
    </row>
    <row r="4" spans="1:12" ht="31.9" customHeight="1" thickBot="1" x14ac:dyDescent="0.25">
      <c r="A4" s="29" t="s">
        <v>38</v>
      </c>
      <c r="B4" s="472" t="s">
        <v>41</v>
      </c>
      <c r="C4" s="473"/>
      <c r="D4" s="474"/>
    </row>
    <row r="6" spans="1:12" ht="13.5" thickBot="1" x14ac:dyDescent="0.25"/>
    <row r="7" spans="1:12" ht="27.75" customHeight="1" x14ac:dyDescent="0.2">
      <c r="A7" s="449" t="s">
        <v>8</v>
      </c>
      <c r="B7" s="454" t="s">
        <v>9</v>
      </c>
      <c r="C7" s="455"/>
      <c r="D7" s="456" t="s">
        <v>12</v>
      </c>
      <c r="E7" s="458"/>
      <c r="F7" s="457" t="s">
        <v>24</v>
      </c>
      <c r="G7" s="471"/>
      <c r="H7" s="1" t="s">
        <v>54</v>
      </c>
    </row>
    <row r="8" spans="1:12" ht="25.5" x14ac:dyDescent="0.2">
      <c r="A8" s="45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5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49" t="s">
        <v>42</v>
      </c>
      <c r="B11" s="419" t="s">
        <v>47</v>
      </c>
      <c r="C11" s="476" t="s">
        <v>46</v>
      </c>
      <c r="D11" s="457"/>
      <c r="E11" s="457"/>
      <c r="F11" s="3" t="s">
        <v>48</v>
      </c>
      <c r="G11" s="33"/>
      <c r="H11" s="32"/>
      <c r="I11" s="32"/>
      <c r="J11" s="32"/>
    </row>
    <row r="12" spans="1:12" x14ac:dyDescent="0.2">
      <c r="A12" s="477"/>
      <c r="B12" s="418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78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475" t="s">
        <v>52</v>
      </c>
      <c r="B14" s="475"/>
      <c r="C14" s="475"/>
      <c r="D14" s="475"/>
      <c r="E14" s="475"/>
      <c r="F14" s="475"/>
      <c r="G14" s="38"/>
      <c r="H14" s="39"/>
      <c r="I14" s="39"/>
      <c r="J14" s="39"/>
    </row>
    <row r="15" spans="1:12" ht="30.6" customHeight="1" x14ac:dyDescent="0.2">
      <c r="A15" s="475"/>
      <c r="B15" s="475"/>
      <c r="C15" s="475"/>
      <c r="D15" s="475"/>
      <c r="E15" s="475"/>
      <c r="F15" s="475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41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42"/>
      <c r="B19" s="12">
        <v>0</v>
      </c>
      <c r="C19" s="12">
        <v>20000000</v>
      </c>
      <c r="D19" s="26">
        <v>20</v>
      </c>
    </row>
    <row r="21" spans="1:4" x14ac:dyDescent="0.2">
      <c r="A21" s="422" t="s">
        <v>37</v>
      </c>
      <c r="B21" s="422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79" t="s">
        <v>106</v>
      </c>
      <c r="C4" s="479"/>
      <c r="D4" s="479"/>
      <c r="E4" s="479"/>
      <c r="F4" s="480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49" t="s">
        <v>8</v>
      </c>
      <c r="B7" s="454" t="s">
        <v>9</v>
      </c>
      <c r="C7" s="455"/>
      <c r="D7" s="456" t="s">
        <v>12</v>
      </c>
      <c r="E7" s="458"/>
      <c r="F7" s="457" t="s">
        <v>24</v>
      </c>
      <c r="G7" s="471"/>
    </row>
    <row r="8" spans="1:15" ht="25.5" x14ac:dyDescent="0.2">
      <c r="A8" s="453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50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49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41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50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42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43" t="s">
        <v>114</v>
      </c>
      <c r="B13" s="444"/>
      <c r="C13" s="444"/>
      <c r="D13" s="444"/>
      <c r="E13" s="444"/>
      <c r="F13" s="445"/>
      <c r="H13" s="443" t="s">
        <v>115</v>
      </c>
      <c r="I13" s="444"/>
      <c r="J13" s="444"/>
      <c r="K13" s="444"/>
      <c r="L13" s="444"/>
      <c r="M13" s="444"/>
      <c r="N13" s="444"/>
      <c r="O13" s="445"/>
    </row>
    <row r="14" spans="1:15" ht="33.6" customHeight="1" x14ac:dyDescent="0.2">
      <c r="A14" s="446"/>
      <c r="B14" s="447"/>
      <c r="C14" s="447"/>
      <c r="D14" s="447"/>
      <c r="E14" s="447"/>
      <c r="F14" s="448"/>
      <c r="H14" s="446"/>
      <c r="I14" s="447"/>
      <c r="J14" s="447"/>
      <c r="K14" s="447"/>
      <c r="L14" s="447"/>
      <c r="M14" s="447"/>
      <c r="N14" s="447"/>
      <c r="O14" s="448"/>
    </row>
    <row r="16" spans="1:15" ht="13.5" thickBot="1" x14ac:dyDescent="0.25"/>
    <row r="17" spans="1:4" ht="16.899999999999999" customHeight="1" x14ac:dyDescent="0.2">
      <c r="A17" s="441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42"/>
      <c r="B18" s="75">
        <v>0</v>
      </c>
      <c r="C18" s="76">
        <v>200000000</v>
      </c>
      <c r="D18" s="26">
        <v>20</v>
      </c>
    </row>
    <row r="20" spans="1:4" x14ac:dyDescent="0.2">
      <c r="A20" s="422" t="s">
        <v>37</v>
      </c>
      <c r="B20" s="422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27" t="s">
        <v>100</v>
      </c>
      <c r="G2" s="428"/>
      <c r="H2" s="428"/>
      <c r="I2" s="428"/>
      <c r="J2" s="428"/>
      <c r="K2" s="428"/>
      <c r="L2" s="429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30" t="s">
        <v>72</v>
      </c>
      <c r="G3" s="431"/>
      <c r="H3" s="431"/>
      <c r="I3" s="431"/>
      <c r="J3" s="431"/>
      <c r="K3" s="431"/>
      <c r="L3" s="432"/>
    </row>
    <row r="4" spans="1:14" ht="13.5" thickBot="1" x14ac:dyDescent="0.25">
      <c r="A4" s="29" t="s">
        <v>38</v>
      </c>
      <c r="B4" s="463" t="s">
        <v>57</v>
      </c>
      <c r="C4" s="463"/>
      <c r="D4" s="464"/>
    </row>
    <row r="6" spans="1:14" ht="13.5" thickBot="1" x14ac:dyDescent="0.25"/>
    <row r="7" spans="1:14" ht="27.75" customHeight="1" x14ac:dyDescent="0.2">
      <c r="A7" s="449" t="s">
        <v>8</v>
      </c>
      <c r="B7" s="454" t="s">
        <v>9</v>
      </c>
      <c r="C7" s="455"/>
      <c r="D7" s="456" t="s">
        <v>12</v>
      </c>
      <c r="E7" s="458"/>
      <c r="F7" s="457" t="s">
        <v>24</v>
      </c>
      <c r="G7" s="471"/>
      <c r="I7" s="483" t="s">
        <v>73</v>
      </c>
      <c r="J7" s="483"/>
      <c r="K7" s="483"/>
      <c r="L7" s="483"/>
      <c r="N7" s="47" t="s">
        <v>58</v>
      </c>
    </row>
    <row r="8" spans="1:14" ht="25.5" x14ac:dyDescent="0.2">
      <c r="A8" s="45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83"/>
      <c r="J8" s="483"/>
      <c r="K8" s="483"/>
      <c r="L8" s="483"/>
      <c r="N8" s="47" t="s">
        <v>59</v>
      </c>
    </row>
    <row r="9" spans="1:14" ht="13.5" thickBot="1" x14ac:dyDescent="0.25">
      <c r="A9" s="45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22" t="s">
        <v>60</v>
      </c>
      <c r="B11" s="3" t="s">
        <v>61</v>
      </c>
      <c r="C11" s="3" t="s">
        <v>62</v>
      </c>
      <c r="D11" s="32"/>
      <c r="E11" s="48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22"/>
      <c r="B12" s="41">
        <v>0</v>
      </c>
      <c r="C12" s="41">
        <v>0</v>
      </c>
      <c r="D12" s="32"/>
      <c r="E12" s="48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22"/>
      <c r="B13" s="41">
        <v>1</v>
      </c>
      <c r="C13" s="41">
        <v>0.75</v>
      </c>
      <c r="D13" s="32"/>
      <c r="E13" s="48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22"/>
      <c r="B14" s="41">
        <v>2</v>
      </c>
      <c r="C14" s="41">
        <v>0</v>
      </c>
      <c r="D14" s="32"/>
      <c r="E14" s="48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22"/>
      <c r="B15" s="41">
        <v>3</v>
      </c>
      <c r="C15" s="41">
        <v>-1</v>
      </c>
      <c r="D15" s="32"/>
      <c r="E15" s="48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22"/>
      <c r="B16" s="41">
        <v>4</v>
      </c>
      <c r="C16" s="41">
        <v>3</v>
      </c>
      <c r="D16" s="32"/>
      <c r="E16" s="48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22"/>
      <c r="B17" s="42">
        <v>5</v>
      </c>
      <c r="C17" s="42">
        <v>3</v>
      </c>
      <c r="D17" s="40"/>
      <c r="E17" s="48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84" t="s">
        <v>74</v>
      </c>
      <c r="B18" s="485"/>
      <c r="C18" s="486"/>
      <c r="D18" s="33"/>
      <c r="E18" s="475" t="s">
        <v>75</v>
      </c>
      <c r="F18" s="475"/>
      <c r="G18" s="475"/>
      <c r="H18" s="475"/>
      <c r="I18" s="475"/>
      <c r="J18" s="475"/>
      <c r="K18" s="475"/>
      <c r="L18" s="475"/>
      <c r="M18" s="475"/>
    </row>
    <row r="19" spans="1:13" ht="35.65" customHeight="1" x14ac:dyDescent="0.2">
      <c r="A19" s="446"/>
      <c r="B19" s="447"/>
      <c r="C19" s="448"/>
      <c r="D19" s="33"/>
      <c r="E19" s="475"/>
      <c r="F19" s="475"/>
      <c r="G19" s="475"/>
      <c r="H19" s="475"/>
      <c r="I19" s="475"/>
      <c r="J19" s="475"/>
      <c r="K19" s="475"/>
      <c r="L19" s="475"/>
      <c r="M19" s="475"/>
    </row>
    <row r="21" spans="1:13" ht="13.5" thickBot="1" x14ac:dyDescent="0.25"/>
    <row r="22" spans="1:13" ht="16.899999999999999" customHeight="1" x14ac:dyDescent="0.2">
      <c r="A22" s="441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42"/>
      <c r="B23" s="12">
        <v>0</v>
      </c>
      <c r="C23" s="12">
        <v>5</v>
      </c>
      <c r="D23" s="26">
        <v>20</v>
      </c>
    </row>
    <row r="25" spans="1:13" x14ac:dyDescent="0.2">
      <c r="A25" s="422" t="s">
        <v>37</v>
      </c>
      <c r="B25" s="422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summary_24</vt:lpstr>
      <vt:lpstr>Scenario deep dive_24</vt:lpstr>
      <vt:lpstr>Sheet1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GAUDIO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2023-09-05T13:33:40Z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