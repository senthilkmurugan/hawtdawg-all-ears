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filterPrivacy="1" codeName="ThisWorkbook" defaultThemeVersion="124226"/>
  <xr:revisionPtr revIDLastSave="0" documentId="13_ncr:1_{002B63F6-6659-4862-8D14-C82422C5B00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Radio" sheetId="5" r:id="rId1"/>
    <sheet name="Data" sheetId="6" r:id="rId2"/>
    <sheet name="Radio - Power" sheetId="11" r:id="rId3"/>
    <sheet name="Radio - Scurve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6" l="1"/>
  <c r="F11" i="5"/>
  <c r="D11" i="5"/>
  <c r="F4" i="5"/>
  <c r="D12" i="11"/>
  <c r="A21" i="11" l="1"/>
  <c r="A22" i="11" l="1"/>
  <c r="A23" i="11" s="1"/>
  <c r="A24" i="1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C5" i="5" l="1"/>
  <c r="G4" i="5" l="1"/>
  <c r="F5" i="5" l="1"/>
  <c r="D5" i="5" s="1"/>
  <c r="F12" i="7"/>
  <c r="L12" i="7" s="1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22" i="7"/>
  <c r="M5" i="6"/>
  <c r="E12" i="7" s="1"/>
  <c r="G5" i="5" l="1"/>
  <c r="I5" i="6" s="1"/>
  <c r="C12" i="11" s="1"/>
  <c r="H5" i="6" l="1"/>
  <c r="B12" i="11" s="1"/>
  <c r="G9" i="11" l="1"/>
  <c r="E9" i="11"/>
  <c r="F9" i="11" s="1"/>
  <c r="B21" i="11"/>
  <c r="C21" i="11" s="1"/>
  <c r="B23" i="11"/>
  <c r="C23" i="11" s="1"/>
  <c r="D23" i="11" s="1"/>
  <c r="B22" i="11"/>
  <c r="C22" i="11" s="1"/>
  <c r="D22" i="11" s="1"/>
  <c r="B24" i="11"/>
  <c r="C24" i="11" s="1"/>
  <c r="D24" i="11" s="1"/>
  <c r="B25" i="11"/>
  <c r="C25" i="11" s="1"/>
  <c r="D25" i="11" s="1"/>
  <c r="B26" i="11"/>
  <c r="C26" i="11" s="1"/>
  <c r="D26" i="11" s="1"/>
  <c r="B27" i="11"/>
  <c r="C27" i="11" s="1"/>
  <c r="D27" i="11" s="1"/>
  <c r="B28" i="11"/>
  <c r="C28" i="11" s="1"/>
  <c r="D28" i="11" s="1"/>
  <c r="B29" i="11"/>
  <c r="C29" i="11" s="1"/>
  <c r="D29" i="11" s="1"/>
  <c r="B30" i="11"/>
  <c r="C30" i="11" s="1"/>
  <c r="D30" i="11" s="1"/>
  <c r="B31" i="11"/>
  <c r="C31" i="11" s="1"/>
  <c r="D31" i="11" s="1"/>
  <c r="B32" i="11"/>
  <c r="C32" i="11" s="1"/>
  <c r="D32" i="11" s="1"/>
  <c r="B33" i="11"/>
  <c r="C33" i="11" s="1"/>
  <c r="D33" i="11" s="1"/>
  <c r="B34" i="11"/>
  <c r="C34" i="11" s="1"/>
  <c r="D34" i="11" s="1"/>
  <c r="B35" i="11"/>
  <c r="C35" i="11" s="1"/>
  <c r="D35" i="11" s="1"/>
  <c r="B36" i="11"/>
  <c r="C36" i="11" s="1"/>
  <c r="D36" i="11" s="1"/>
  <c r="B37" i="11"/>
  <c r="C37" i="11" s="1"/>
  <c r="D37" i="11" s="1"/>
  <c r="B38" i="11"/>
  <c r="C38" i="11" s="1"/>
  <c r="D38" i="11" s="1"/>
  <c r="B39" i="11"/>
  <c r="C39" i="11" s="1"/>
  <c r="D39" i="11" s="1"/>
  <c r="B40" i="11"/>
  <c r="C40" i="11" s="1"/>
  <c r="D40" i="11" s="1"/>
  <c r="B41" i="11"/>
  <c r="C41" i="11" s="1"/>
  <c r="D41" i="11" s="1"/>
  <c r="C9" i="11"/>
  <c r="B9" i="11"/>
  <c r="H9" i="11"/>
  <c r="B12" i="7"/>
  <c r="C9" i="7" s="1"/>
  <c r="I9" i="11" l="1"/>
  <c r="K12" i="7"/>
  <c r="B9" i="7"/>
  <c r="F9" i="7"/>
  <c r="D9" i="7" s="1"/>
  <c r="J5" i="6" l="1"/>
  <c r="C12" i="7"/>
  <c r="K5" i="6"/>
  <c r="I12" i="7" l="1"/>
  <c r="J12" i="7" s="1"/>
  <c r="G9" i="7"/>
  <c r="M12" i="7" l="1"/>
  <c r="N12" i="7" s="1"/>
  <c r="O12" i="7"/>
  <c r="B46" i="7" l="1"/>
  <c r="B37" i="7"/>
  <c r="C37" i="7" s="1"/>
  <c r="B50" i="7"/>
  <c r="C50" i="7" s="1"/>
  <c r="B33" i="7"/>
  <c r="C33" i="7" s="1"/>
  <c r="B27" i="7"/>
  <c r="C27" i="7" s="1"/>
  <c r="B23" i="7"/>
  <c r="C23" i="7" s="1"/>
  <c r="B28" i="7"/>
  <c r="C28" i="7" s="1"/>
  <c r="B38" i="7"/>
  <c r="C38" i="7" s="1"/>
  <c r="B34" i="7"/>
  <c r="C34" i="7" s="1"/>
  <c r="B48" i="7"/>
  <c r="C48" i="7" s="1"/>
  <c r="B25" i="7"/>
  <c r="C25" i="7" s="1"/>
  <c r="B24" i="7"/>
  <c r="C24" i="7" s="1"/>
  <c r="B26" i="7"/>
  <c r="C26" i="7" s="1"/>
  <c r="B22" i="7"/>
  <c r="C22" i="7" s="1"/>
  <c r="B40" i="7"/>
  <c r="C40" i="7" s="1"/>
  <c r="B52" i="7"/>
  <c r="C52" i="7" s="1"/>
  <c r="B45" i="7"/>
  <c r="C45" i="7" s="1"/>
  <c r="B39" i="7"/>
  <c r="C39" i="7" s="1"/>
  <c r="B35" i="7"/>
  <c r="C35" i="7" s="1"/>
  <c r="B47" i="7"/>
  <c r="C47" i="7" s="1"/>
  <c r="B31" i="7"/>
  <c r="C31" i="7" s="1"/>
  <c r="B29" i="7"/>
  <c r="C29" i="7" s="1"/>
  <c r="B36" i="7"/>
  <c r="C36" i="7" s="1"/>
  <c r="B32" i="7"/>
  <c r="C32" i="7" s="1"/>
  <c r="B41" i="7"/>
  <c r="C41" i="7" s="1"/>
  <c r="B42" i="7"/>
  <c r="C42" i="7" s="1"/>
  <c r="B51" i="7"/>
  <c r="C51" i="7" s="1"/>
  <c r="E9" i="7"/>
  <c r="B30" i="7"/>
  <c r="C30" i="7" s="1"/>
  <c r="B49" i="7"/>
  <c r="C49" i="7" s="1"/>
  <c r="B43" i="7"/>
  <c r="C43" i="7" s="1"/>
  <c r="B44" i="7"/>
  <c r="C44" i="7" s="1"/>
  <c r="C46" i="7" l="1"/>
  <c r="D46" i="7" s="1"/>
  <c r="D42" i="7"/>
  <c r="D37" i="7"/>
  <c r="D43" i="7"/>
  <c r="D35" i="7"/>
  <c r="D40" i="7"/>
  <c r="D28" i="7"/>
  <c r="D39" i="7"/>
  <c r="D23" i="7"/>
  <c r="D41" i="7"/>
  <c r="D26" i="7"/>
  <c r="D51" i="7"/>
  <c r="D36" i="7"/>
  <c r="D25" i="7"/>
  <c r="D50" i="7"/>
  <c r="D49" i="7"/>
  <c r="D29" i="7"/>
  <c r="D48" i="7"/>
  <c r="D30" i="7"/>
  <c r="D31" i="7"/>
  <c r="D45" i="7"/>
  <c r="D34" i="7"/>
  <c r="D27" i="7"/>
  <c r="D44" i="7"/>
  <c r="D32" i="7"/>
  <c r="D47" i="7"/>
  <c r="D52" i="7"/>
  <c r="D24" i="7"/>
  <c r="D38" i="7"/>
  <c r="D33" i="7"/>
</calcChain>
</file>

<file path=xl/sharedStrings.xml><?xml version="1.0" encoding="utf-8"?>
<sst xmlns="http://schemas.openxmlformats.org/spreadsheetml/2006/main" count="127" uniqueCount="98">
  <si>
    <t>Product</t>
  </si>
  <si>
    <t>Max Y Assumptions</t>
  </si>
  <si>
    <t>Pre-Tax Spend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</si>
  <si>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</si>
  <si>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</si>
  <si>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</si>
  <si>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</si>
  <si>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</si>
  <si>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</si>
  <si>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</si>
  <si>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</si>
  <si>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Ybase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</si>
  <si>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</si>
  <si>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</si>
  <si>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</si>
  <si>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</si>
  <si>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</si>
  <si>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</si>
  <si>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</si>
  <si>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</si>
  <si>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</si>
  <si>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</si>
  <si>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</si>
  <si>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</si>
  <si>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</si>
  <si>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</si>
  <si>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</si>
  <si>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</si>
  <si>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</si>
  <si>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</si>
  <si>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</si>
  <si>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</si>
  <si>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</si>
  <si>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</si>
  <si>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</si>
  <si>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</si>
  <si>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</si>
  <si>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</si>
  <si>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</si>
  <si>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</si>
  <si>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</si>
  <si>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</si>
  <si>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</si>
  <si>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</si>
  <si>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</si>
  <si>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</si>
  <si>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</si>
  <si>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</si>
  <si>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incr. NRx</t>
  </si>
  <si>
    <t xml:space="preserve">Spend </t>
  </si>
  <si>
    <t>ROI:</t>
  </si>
  <si>
    <t>Pre-tax</t>
  </si>
  <si>
    <t>Comments:</t>
  </si>
  <si>
    <t>Program</t>
  </si>
  <si>
    <t>Pre-tax cost</t>
  </si>
  <si>
    <t>Pre-tax ROI</t>
  </si>
  <si>
    <t>Parameters for back-calculation of Incremental Rx</t>
  </si>
  <si>
    <t>Incr. Rx</t>
  </si>
  <si>
    <t xml:space="preserve"> Rx</t>
  </si>
  <si>
    <t>GARDASIL 9</t>
  </si>
  <si>
    <t># Incr. Doses</t>
  </si>
  <si>
    <t>Pre-tax PGM</t>
  </si>
  <si>
    <t>Estimated Incr. Dose</t>
  </si>
  <si>
    <t>Estimated Incr. Dose (as % of NPA Dose)</t>
  </si>
  <si>
    <t>Spend per Dose</t>
  </si>
  <si>
    <t>Anticipated Max Incr. Dose (in %) when HCC spend is increased to infinity</t>
  </si>
  <si>
    <t>Anticipated Max Incr. Dose</t>
  </si>
  <si>
    <t>Merck GARDASIL Online Programs: Incremental doses per Tactic with ROI, Spend and Incremental Revenue</t>
  </si>
  <si>
    <t>Radio</t>
  </si>
  <si>
    <t>YT unit</t>
  </si>
  <si>
    <t>Current Values (optional)</t>
  </si>
  <si>
    <t>Response Function Scaling Factor (for sensitivity analysis)</t>
  </si>
  <si>
    <t>X</t>
  </si>
  <si>
    <t>2019 Projection</t>
  </si>
  <si>
    <t>Gardasil</t>
  </si>
  <si>
    <t>Incr. Doses</t>
  </si>
  <si>
    <t>Doses</t>
  </si>
  <si>
    <t>Optimal YT value</t>
  </si>
  <si>
    <t>Starting YT value</t>
  </si>
  <si>
    <t>Power</t>
  </si>
  <si>
    <t>3-Yr Adherence Rxs per New Patient</t>
  </si>
  <si>
    <t xml:space="preserve">Note : </t>
  </si>
  <si>
    <t>Post Tax PGM ($)</t>
  </si>
  <si>
    <t>3-yr post tax NPV</t>
  </si>
  <si>
    <t>Y (Incr. doses)</t>
  </si>
  <si>
    <t>3-yr pre-tax Incr. Rev.</t>
  </si>
  <si>
    <t>Given a set of X and Y values, a power function (i.e., a smooth continuous curve) is fit for each pair of values</t>
  </si>
  <si>
    <t>2020 Spend</t>
  </si>
  <si>
    <t>2020 ROI</t>
  </si>
  <si>
    <t>Power Curve</t>
  </si>
  <si>
    <t>Revenue</t>
  </si>
  <si>
    <t>Audio</t>
  </si>
  <si>
    <t>2022 Pre-tax Pgm/Rx</t>
  </si>
  <si>
    <t>2022 Tax-rate</t>
  </si>
  <si>
    <t>2022 Pre-tax PGM/Rx</t>
  </si>
  <si>
    <t>2022 Pre-tax PGM/NPV</t>
  </si>
  <si>
    <t>Total GARDASIL Doses in 2022</t>
  </si>
  <si>
    <t>HCC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</si>
</sst>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&quot;$&quot;#,##0.00"/>
    <numFmt numFmtId="168" formatCode="0.0\ \t\o\ \1"/>
    <numFmt numFmtId="169" formatCode="0.0"/>
    <numFmt numFmtId="170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9" fontId="1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</cellStyleXfs>
  <cellXfs count="137">
    <xf numFmtId="0" fontId="0" fillId="0" borderId="0" xfId="0"/>
    <xf numFmtId="0" fontId="7" fillId="7" borderId="2" xfId="0" applyFont="1" applyFill="1" applyBorder="1"/>
    <xf numFmtId="0" fontId="8" fillId="0" borderId="0" xfId="0" applyFont="1"/>
    <xf numFmtId="0" fontId="7" fillId="7" borderId="3" xfId="0" applyFont="1" applyFill="1" applyBorder="1"/>
    <xf numFmtId="0" fontId="8" fillId="8" borderId="4" xfId="0" applyFont="1" applyFill="1" applyBorder="1"/>
    <xf numFmtId="0" fontId="7" fillId="7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 applyAlignment="1">
      <alignment horizontal="left"/>
    </xf>
    <xf numFmtId="0" fontId="8" fillId="8" borderId="7" xfId="0" applyFont="1" applyFill="1" applyBorder="1" applyAlignment="1">
      <alignment horizontal="left"/>
    </xf>
    <xf numFmtId="0" fontId="8" fillId="8" borderId="8" xfId="0" applyFont="1" applyFill="1" applyBorder="1" applyAlignment="1">
      <alignment horizontal="left"/>
    </xf>
    <xf numFmtId="0" fontId="7" fillId="7" borderId="9" xfId="0" applyFont="1" applyFill="1" applyBorder="1"/>
    <xf numFmtId="0" fontId="8" fillId="8" borderId="2" xfId="0" applyFont="1" applyFill="1" applyBorder="1"/>
    <xf numFmtId="0" fontId="8" fillId="8" borderId="10" xfId="0" applyFont="1" applyFill="1" applyBorder="1"/>
    <xf numFmtId="0" fontId="7" fillId="7" borderId="11" xfId="0" applyFont="1" applyFill="1" applyBorder="1"/>
    <xf numFmtId="9" fontId="8" fillId="0" borderId="0" xfId="0" applyNumberFormat="1" applyFont="1"/>
    <xf numFmtId="0" fontId="7" fillId="7" borderId="1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165" fontId="8" fillId="8" borderId="24" xfId="2" applyNumberFormat="1" applyFont="1" applyFill="1" applyBorder="1"/>
    <xf numFmtId="165" fontId="9" fillId="9" borderId="25" xfId="2" applyNumberFormat="1" applyFont="1" applyFill="1" applyBorder="1"/>
    <xf numFmtId="3" fontId="9" fillId="9" borderId="26" xfId="0" applyNumberFormat="1" applyFont="1" applyFill="1" applyBorder="1"/>
    <xf numFmtId="3" fontId="8" fillId="8" borderId="24" xfId="0" applyNumberFormat="1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8" fillId="8" borderId="24" xfId="0" applyFont="1" applyFill="1" applyBorder="1"/>
    <xf numFmtId="166" fontId="8" fillId="8" borderId="28" xfId="1" applyNumberFormat="1" applyFont="1" applyFill="1" applyBorder="1"/>
    <xf numFmtId="166" fontId="8" fillId="10" borderId="24" xfId="0" applyNumberFormat="1" applyFont="1" applyFill="1" applyBorder="1" applyAlignment="1">
      <alignment horizontal="center" vertical="center" wrapText="1"/>
    </xf>
    <xf numFmtId="165" fontId="8" fillId="10" borderId="24" xfId="2" applyNumberFormat="1" applyFont="1" applyFill="1" applyBorder="1" applyAlignment="1">
      <alignment horizontal="center" vertical="center" wrapText="1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4" xfId="0" applyNumberFormat="1" applyFont="1" applyFill="1" applyBorder="1" applyAlignment="1">
      <alignment horizontal="center" vertical="center" wrapText="1"/>
    </xf>
    <xf numFmtId="166" fontId="8" fillId="10" borderId="28" xfId="0" applyNumberFormat="1" applyFont="1" applyFill="1" applyBorder="1" applyAlignment="1">
      <alignment horizontal="center" vertical="center" wrapText="1"/>
    </xf>
    <xf numFmtId="164" fontId="8" fillId="8" borderId="24" xfId="2" applyNumberFormat="1" applyFont="1" applyFill="1" applyBorder="1"/>
    <xf numFmtId="164" fontId="8" fillId="8" borderId="24" xfId="0" applyNumberFormat="1" applyFont="1" applyFill="1" applyBorder="1"/>
    <xf numFmtId="0" fontId="8" fillId="10" borderId="28" xfId="0" applyFont="1" applyFill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5" fontId="8" fillId="0" borderId="0" xfId="0" applyNumberFormat="1" applyFont="1"/>
    <xf numFmtId="0" fontId="8" fillId="0" borderId="0" xfId="0" applyNumberFormat="1" applyFont="1"/>
    <xf numFmtId="0" fontId="8" fillId="0" borderId="0" xfId="0" applyFont="1" applyAlignment="1">
      <alignment horizontal="center"/>
    </xf>
    <xf numFmtId="5" fontId="8" fillId="0" borderId="0" xfId="0" applyNumberFormat="1" applyFont="1" applyAlignment="1">
      <alignment horizontal="center"/>
    </xf>
    <xf numFmtId="0" fontId="15" fillId="0" borderId="0" xfId="0" applyFont="1"/>
    <xf numFmtId="0" fontId="16" fillId="2" borderId="0" xfId="4" applyFont="1"/>
    <xf numFmtId="0" fontId="17" fillId="6" borderId="1" xfId="0" applyFont="1" applyFill="1" applyBorder="1" applyAlignment="1">
      <alignment wrapText="1"/>
    </xf>
    <xf numFmtId="0" fontId="15" fillId="0" borderId="0" xfId="0" applyFont="1" applyFill="1"/>
    <xf numFmtId="5" fontId="16" fillId="2" borderId="0" xfId="4" applyNumberFormat="1" applyFont="1"/>
    <xf numFmtId="3" fontId="18" fillId="0" borderId="1" xfId="0" applyNumberFormat="1" applyFont="1" applyBorder="1"/>
    <xf numFmtId="165" fontId="19" fillId="5" borderId="1" xfId="0" applyNumberFormat="1" applyFont="1" applyFill="1" applyBorder="1" applyAlignment="1">
      <alignment horizontal="center" vertical="center"/>
    </xf>
    <xf numFmtId="166" fontId="19" fillId="5" borderId="1" xfId="0" applyNumberFormat="1" applyFont="1" applyFill="1" applyBorder="1" applyAlignment="1">
      <alignment horizontal="center" vertical="center"/>
    </xf>
    <xf numFmtId="10" fontId="13" fillId="5" borderId="1" xfId="3" applyNumberFormat="1" applyFont="1" applyFill="1" applyBorder="1" applyAlignment="1">
      <alignment horizontal="center" vertical="center"/>
    </xf>
    <xf numFmtId="44" fontId="13" fillId="5" borderId="1" xfId="2" applyFont="1" applyFill="1" applyBorder="1" applyAlignment="1">
      <alignment horizontal="center" vertical="center"/>
    </xf>
    <xf numFmtId="166" fontId="19" fillId="5" borderId="1" xfId="1" applyNumberFormat="1" applyFont="1" applyFill="1" applyBorder="1" applyAlignment="1">
      <alignment horizontal="center" vertical="center"/>
    </xf>
    <xf numFmtId="0" fontId="16" fillId="0" borderId="0" xfId="4" applyFont="1" applyFill="1"/>
    <xf numFmtId="5" fontId="16" fillId="0" borderId="0" xfId="4" applyNumberFormat="1" applyFont="1" applyFill="1"/>
    <xf numFmtId="0" fontId="20" fillId="0" borderId="0" xfId="0" applyFont="1" applyFill="1"/>
    <xf numFmtId="0" fontId="15" fillId="5" borderId="1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64" fontId="4" fillId="10" borderId="0" xfId="0" applyNumberFormat="1" applyFont="1" applyFill="1" applyAlignment="1">
      <alignment horizontal="center"/>
    </xf>
    <xf numFmtId="168" fontId="4" fillId="10" borderId="0" xfId="0" applyNumberFormat="1" applyFont="1" applyFill="1" applyAlignment="1">
      <alignment horizontal="center"/>
    </xf>
    <xf numFmtId="3" fontId="13" fillId="10" borderId="0" xfId="0" applyNumberFormat="1" applyFont="1" applyFill="1" applyAlignment="1">
      <alignment horizontal="center"/>
    </xf>
    <xf numFmtId="0" fontId="13" fillId="10" borderId="7" xfId="0" applyFont="1" applyFill="1" applyBorder="1" applyAlignment="1">
      <alignment horizontal="center"/>
    </xf>
    <xf numFmtId="3" fontId="13" fillId="10" borderId="7" xfId="0" applyNumberFormat="1" applyFont="1" applyFill="1" applyBorder="1" applyAlignment="1">
      <alignment horizontal="center"/>
    </xf>
    <xf numFmtId="164" fontId="13" fillId="10" borderId="7" xfId="0" applyNumberFormat="1" applyFont="1" applyFill="1" applyBorder="1" applyAlignment="1">
      <alignment horizontal="center"/>
    </xf>
    <xf numFmtId="167" fontId="13" fillId="10" borderId="7" xfId="0" applyNumberFormat="1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44" fontId="1" fillId="5" borderId="1" xfId="2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164" fontId="8" fillId="13" borderId="1" xfId="0" applyNumberFormat="1" applyFont="1" applyFill="1" applyBorder="1"/>
    <xf numFmtId="3" fontId="8" fillId="13" borderId="1" xfId="0" applyNumberFormat="1" applyFont="1" applyFill="1" applyBorder="1"/>
    <xf numFmtId="5" fontId="8" fillId="13" borderId="0" xfId="0" applyNumberFormat="1" applyFont="1" applyFill="1"/>
    <xf numFmtId="0" fontId="8" fillId="13" borderId="0" xfId="0" applyNumberFormat="1" applyFont="1" applyFill="1"/>
    <xf numFmtId="164" fontId="21" fillId="13" borderId="1" xfId="0" applyNumberFormat="1" applyFont="1" applyFill="1" applyBorder="1"/>
    <xf numFmtId="3" fontId="21" fillId="13" borderId="1" xfId="0" applyNumberFormat="1" applyFont="1" applyFill="1" applyBorder="1"/>
    <xf numFmtId="5" fontId="21" fillId="13" borderId="0" xfId="0" applyNumberFormat="1" applyFont="1" applyFill="1"/>
    <xf numFmtId="0" fontId="21" fillId="13" borderId="0" xfId="0" applyNumberFormat="1" applyFont="1" applyFill="1"/>
    <xf numFmtId="0" fontId="12" fillId="0" borderId="0" xfId="0" applyFont="1" applyFill="1" applyBorder="1" applyAlignment="1">
      <alignment horizontal="left"/>
    </xf>
    <xf numFmtId="9" fontId="16" fillId="2" borderId="0" xfId="3" applyFont="1" applyFill="1"/>
    <xf numFmtId="0" fontId="7" fillId="7" borderId="23" xfId="0" applyFont="1" applyFill="1" applyBorder="1"/>
    <xf numFmtId="0" fontId="7" fillId="7" borderId="24" xfId="0" applyFont="1" applyFill="1" applyBorder="1"/>
    <xf numFmtId="0" fontId="8" fillId="8" borderId="28" xfId="0" applyFont="1" applyFill="1" applyBorder="1"/>
    <xf numFmtId="0" fontId="7" fillId="7" borderId="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8" fillId="0" borderId="0" xfId="0" applyNumberFormat="1" applyFont="1" applyAlignment="1">
      <alignment horizontal="center"/>
    </xf>
    <xf numFmtId="164" fontId="8" fillId="8" borderId="24" xfId="0" applyNumberFormat="1" applyFont="1" applyFill="1" applyBorder="1" applyAlignment="1">
      <alignment horizontal="center" vertical="center" wrapText="1"/>
    </xf>
    <xf numFmtId="164" fontId="9" fillId="9" borderId="24" xfId="0" applyNumberFormat="1" applyFont="1" applyFill="1" applyBorder="1" applyAlignment="1">
      <alignment horizontal="center"/>
    </xf>
    <xf numFmtId="3" fontId="8" fillId="14" borderId="1" xfId="0" applyNumberFormat="1" applyFont="1" applyFill="1" applyBorder="1" applyAlignment="1">
      <alignment horizontal="center"/>
    </xf>
    <xf numFmtId="3" fontId="9" fillId="14" borderId="24" xfId="0" applyNumberFormat="1" applyFont="1" applyFill="1" applyBorder="1" applyAlignment="1">
      <alignment horizontal="center"/>
    </xf>
    <xf numFmtId="164" fontId="8" fillId="8" borderId="24" xfId="0" applyNumberFormat="1" applyFont="1" applyFill="1" applyBorder="1" applyAlignment="1">
      <alignment horizontal="center"/>
    </xf>
    <xf numFmtId="3" fontId="8" fillId="14" borderId="28" xfId="0" applyNumberFormat="1" applyFont="1" applyFill="1" applyBorder="1" applyAlignment="1">
      <alignment horizontal="center"/>
    </xf>
    <xf numFmtId="2" fontId="8" fillId="8" borderId="1" xfId="0" applyNumberFormat="1" applyFont="1" applyFill="1" applyBorder="1" applyAlignment="1">
      <alignment horizontal="center"/>
    </xf>
    <xf numFmtId="5" fontId="8" fillId="8" borderId="1" xfId="2" applyNumberFormat="1" applyFont="1" applyFill="1" applyBorder="1" applyAlignment="1">
      <alignment horizontal="center" vertical="center"/>
    </xf>
    <xf numFmtId="3" fontId="8" fillId="8" borderId="1" xfId="0" applyNumberFormat="1" applyFont="1" applyFill="1" applyBorder="1" applyAlignment="1">
      <alignment horizontal="center" vertical="center"/>
    </xf>
    <xf numFmtId="169" fontId="8" fillId="8" borderId="1" xfId="0" applyNumberFormat="1" applyFont="1" applyFill="1" applyBorder="1" applyAlignment="1">
      <alignment horizontal="center" vertical="center"/>
    </xf>
    <xf numFmtId="9" fontId="8" fillId="8" borderId="1" xfId="0" applyNumberFormat="1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5" fontId="8" fillId="9" borderId="1" xfId="2" applyNumberFormat="1" applyFont="1" applyFill="1" applyBorder="1" applyAlignment="1">
      <alignment horizontal="center"/>
    </xf>
    <xf numFmtId="0" fontId="23" fillId="0" borderId="39" xfId="0" applyFont="1" applyBorder="1"/>
    <xf numFmtId="0" fontId="24" fillId="0" borderId="38" xfId="0" applyFont="1" applyBorder="1" applyAlignment="1">
      <alignment horizontal="center" vertical="center"/>
    </xf>
    <xf numFmtId="6" fontId="25" fillId="0" borderId="41" xfId="0" applyNumberFormat="1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3" fontId="25" fillId="0" borderId="41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vertical="center"/>
    </xf>
    <xf numFmtId="6" fontId="25" fillId="0" borderId="41" xfId="0" applyNumberFormat="1" applyFont="1" applyBorder="1" applyAlignment="1">
      <alignment vertical="center"/>
    </xf>
    <xf numFmtId="169" fontId="25" fillId="0" borderId="41" xfId="0" applyNumberFormat="1" applyFont="1" applyBorder="1" applyAlignment="1">
      <alignment horizontal="center" vertical="center"/>
    </xf>
    <xf numFmtId="170" fontId="19" fillId="5" borderId="1" xfId="0" applyNumberFormat="1" applyFont="1" applyFill="1" applyBorder="1" applyAlignment="1">
      <alignment horizontal="center" vertical="center"/>
    </xf>
    <xf numFmtId="0" fontId="14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8" fillId="7" borderId="36" xfId="0" applyFont="1" applyFill="1" applyBorder="1" applyAlignment="1">
      <alignment horizontal="center"/>
    </xf>
    <xf numFmtId="0" fontId="8" fillId="7" borderId="37" xfId="0" applyFont="1" applyFill="1" applyBorder="1" applyAlignment="1">
      <alignment horizontal="center"/>
    </xf>
    <xf numFmtId="0" fontId="8" fillId="7" borderId="38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7" borderId="12" xfId="0" applyFont="1" applyFill="1" applyBorder="1" applyAlignment="1">
      <alignment horizontal="center" wrapText="1"/>
    </xf>
    <xf numFmtId="0" fontId="8" fillId="7" borderId="13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16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A000000}"/>
    <cellStyle name="Normal 2 2" xfId="11" xr:uid="{00000000-0005-0000-0000-00000B000000}"/>
    <cellStyle name="Normal 2 2 2" xfId="15" xr:uid="{00000000-0005-0000-0000-00000C000000}"/>
    <cellStyle name="Normal 2 3" xfId="12" xr:uid="{00000000-0005-0000-0000-00000D000000}"/>
    <cellStyle name="Normal 3" xfId="16" xr:uid="{00000000-0005-0000-0000-00000E000000}"/>
    <cellStyle name="Normal 4" xfId="17" xr:uid="{00000000-0005-0000-0000-00000F000000}"/>
    <cellStyle name="Percent" xfId="3" builtinId="5"/>
    <cellStyle name="Percent 2" xfId="13" xr:uid="{00000000-0005-0000-0000-00001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'Radio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'Radio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</c:numCache>
            </c:numRef>
          </c:xVal>
          <c:yVal>
            <c:numRef>
              <c:f>'Radio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11999.646467703113</c:v>
                </c:pt>
                <c:pt idx="2">
                  <c:v>18188.062943365592</c:v>
                </c:pt>
                <c:pt idx="3">
                  <c:v>23197.501096892502</c:v>
                </c:pt>
                <c:pt idx="4">
                  <c:v>27567.948315993093</c:v>
                </c:pt>
                <c:pt idx="5">
                  <c:v>31517.405090437667</c:v>
                </c:pt>
                <c:pt idx="6">
                  <c:v>35160.836714203098</c:v>
                </c:pt>
                <c:pt idx="7">
                  <c:v>38568.013909904294</c:v>
                </c:pt>
                <c:pt idx="8">
                  <c:v>41785.195967253159</c:v>
                </c:pt>
                <c:pt idx="9">
                  <c:v>44844.99260779746</c:v>
                </c:pt>
                <c:pt idx="10">
                  <c:v>47771.453028995529</c:v>
                </c:pt>
                <c:pt idx="11">
                  <c:v>50582.939327970947</c:v>
                </c:pt>
                <c:pt idx="12">
                  <c:v>53293.862700084668</c:v>
                </c:pt>
                <c:pt idx="13">
                  <c:v>55915.789655436703</c:v>
                </c:pt>
                <c:pt idx="14">
                  <c:v>58458.177620645409</c:v>
                </c:pt>
                <c:pt idx="15">
                  <c:v>60928.881623675043</c:v>
                </c:pt>
                <c:pt idx="16">
                  <c:v>63334.513762449089</c:v>
                </c:pt>
                <c:pt idx="17">
                  <c:v>65680.704725145595</c:v>
                </c:pt>
                <c:pt idx="18">
                  <c:v>67972.298220674944</c:v>
                </c:pt>
                <c:pt idx="19">
                  <c:v>70213.498286356713</c:v>
                </c:pt>
                <c:pt idx="20">
                  <c:v>72407.982762321859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8-40E8-962D-BBA78DDA1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'Radio - Scurve'!$B$12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'Radio - Scurve'!$C$12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B-4C66-9F15-429BE4771ACB}"/>
            </c:ext>
          </c:extLst>
        </c:ser>
        <c:ser>
          <c:idx val="1"/>
          <c:order val="1"/>
          <c:tx>
            <c:strRef>
              <c:f>'Radio - Scurve'!$D$3</c:f>
              <c:strCache>
                <c:ptCount val="1"/>
                <c:pt idx="0">
                  <c:v>Incr. 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'Radio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75000</c:v>
                </c:pt>
                <c:pt idx="2">
                  <c:v>150000</c:v>
                </c:pt>
                <c:pt idx="3">
                  <c:v>225000</c:v>
                </c:pt>
                <c:pt idx="4">
                  <c:v>300000</c:v>
                </c:pt>
                <c:pt idx="5">
                  <c:v>375000</c:v>
                </c:pt>
                <c:pt idx="6">
                  <c:v>450000</c:v>
                </c:pt>
                <c:pt idx="7">
                  <c:v>525000</c:v>
                </c:pt>
                <c:pt idx="8">
                  <c:v>600000</c:v>
                </c:pt>
                <c:pt idx="9">
                  <c:v>675000</c:v>
                </c:pt>
                <c:pt idx="10">
                  <c:v>750000</c:v>
                </c:pt>
                <c:pt idx="11">
                  <c:v>825000</c:v>
                </c:pt>
                <c:pt idx="12">
                  <c:v>900000</c:v>
                </c:pt>
                <c:pt idx="13">
                  <c:v>975000</c:v>
                </c:pt>
                <c:pt idx="14">
                  <c:v>1050000</c:v>
                </c:pt>
                <c:pt idx="15">
                  <c:v>1125000</c:v>
                </c:pt>
                <c:pt idx="16">
                  <c:v>1200000</c:v>
                </c:pt>
                <c:pt idx="17">
                  <c:v>1275000</c:v>
                </c:pt>
                <c:pt idx="18">
                  <c:v>1350000</c:v>
                </c:pt>
                <c:pt idx="19">
                  <c:v>1425000</c:v>
                </c:pt>
                <c:pt idx="20">
                  <c:v>1500000</c:v>
                </c:pt>
                <c:pt idx="21">
                  <c:v>1575000</c:v>
                </c:pt>
                <c:pt idx="22">
                  <c:v>1650000</c:v>
                </c:pt>
                <c:pt idx="23">
                  <c:v>1725000</c:v>
                </c:pt>
                <c:pt idx="24">
                  <c:v>1800000</c:v>
                </c:pt>
                <c:pt idx="25">
                  <c:v>1875000</c:v>
                </c:pt>
                <c:pt idx="26">
                  <c:v>1950000</c:v>
                </c:pt>
                <c:pt idx="27">
                  <c:v>2025000</c:v>
                </c:pt>
                <c:pt idx="28">
                  <c:v>2100000</c:v>
                </c:pt>
                <c:pt idx="29">
                  <c:v>2175000</c:v>
                </c:pt>
                <c:pt idx="30">
                  <c:v>2250000</c:v>
                </c:pt>
              </c:numCache>
            </c:numRef>
          </c:xVal>
          <c:yVal>
            <c:numRef>
              <c:f>'Radio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5872.9300122205168</c:v>
                </c:pt>
                <c:pt idx="2">
                  <c:v>11423.607121022418</c:v>
                </c:pt>
                <c:pt idx="3">
                  <c:v>16669.326071634889</c:v>
                </c:pt>
                <c:pt idx="4">
                  <c:v>21626.495363794267</c:v>
                </c:pt>
                <c:pt idx="5">
                  <c:v>26310.678092258051</c:v>
                </c:pt>
                <c:pt idx="6">
                  <c:v>30736.63141756691</c:v>
                </c:pt>
                <c:pt idx="7">
                  <c:v>34918.344650791958</c:v>
                </c:pt>
                <c:pt idx="8">
                  <c:v>38869.075945969671</c:v>
                </c:pt>
                <c:pt idx="9">
                  <c:v>42601.387602452189</c:v>
                </c:pt>
                <c:pt idx="10">
                  <c:v>46127.179986737669</c:v>
                </c:pt>
                <c:pt idx="11">
                  <c:v>49457.724089564756</c:v>
                </c:pt>
                <c:pt idx="12">
                  <c:v>52603.692739324644</c:v>
                </c:pt>
                <c:pt idx="13">
                  <c:v>55575.190497184172</c:v>
                </c:pt>
                <c:pt idx="14">
                  <c:v>58381.782262949273</c:v>
                </c:pt>
                <c:pt idx="15">
                  <c:v>61032.520623596385</c:v>
                </c:pt>
                <c:pt idx="16">
                  <c:v>63535.971978718415</c:v>
                </c:pt>
                <c:pt idx="17">
                  <c:v>65900.24147891067</c:v>
                </c:pt>
                <c:pt idx="18">
                  <c:v>68132.996814418584</c:v>
                </c:pt>
                <c:pt idx="19">
                  <c:v>70241.490892358124</c:v>
                </c:pt>
                <c:pt idx="20">
                  <c:v>72232.583441264927</c:v>
                </c:pt>
                <c:pt idx="21">
                  <c:v>74112.761582093313</c:v>
                </c:pt>
                <c:pt idx="22">
                  <c:v>75888.159404728562</c:v>
                </c:pt>
                <c:pt idx="23">
                  <c:v>77564.576588882133</c:v>
                </c:pt>
                <c:pt idx="24">
                  <c:v>79147.49610779807</c:v>
                </c:pt>
                <c:pt idx="25">
                  <c:v>80642.101052666083</c:v>
                </c:pt>
                <c:pt idx="26">
                  <c:v>82053.290614895523</c:v>
                </c:pt>
                <c:pt idx="27">
                  <c:v>83385.695262668654</c:v>
                </c:pt>
                <c:pt idx="28">
                  <c:v>84643.69114721939</c:v>
                </c:pt>
                <c:pt idx="29">
                  <c:v>85831.413773337379</c:v>
                </c:pt>
                <c:pt idx="30">
                  <c:v>86952.770967660472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5B-4C66-9F15-429BE477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04128"/>
        <c:axId val="394310784"/>
      </c:scatterChart>
      <c:valAx>
        <c:axId val="394304128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4310784"/>
        <c:crosses val="autoZero"/>
        <c:crossBetween val="midCat"/>
        <c:dispUnits>
          <c:builtInUnit val="millions"/>
        </c:dispUnits>
      </c:valAx>
      <c:valAx>
        <c:axId val="3943107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394304128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502919</xdr:colOff>
      <xdr:row>20</xdr:row>
      <xdr:rowOff>56068</xdr:rowOff>
    </xdr:from>
    <xdr:to>
      <xdr:col>9</xdr:col>
      <xdr:colOff>95193</xdr:colOff>
      <xdr:row>36</xdr:row>
      <xdr:rowOff>86776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BF40FB-97B9-4FDA-9D73-725EFC4D0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18</xdr:row>
      <xdr:rowOff>161926</xdr:rowOff>
    </xdr:from>
    <xdr:to>
      <xdr:col>9</xdr:col>
      <xdr:colOff>746761</xdr:colOff>
      <xdr:row>40</xdr:row>
      <xdr:rowOff>123826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showGridLines="0" workbookViewId="0">
      <selection activeCell="E11" sqref="E11"/>
    </sheetView>
  </sheetViews>
  <sheetFormatPr defaultColWidth="11.85546875" defaultRowHeight="15" x14ac:dyDescent="0.25"/>
  <cols>
    <col min="1" max="1" width="14.85546875" customWidth="1"/>
    <col min="2" max="2" width="27.85546875" bestFit="1" customWidth="1"/>
    <col min="3" max="3" width="16.140625" customWidth="1"/>
    <col min="5" max="5" width="18.42578125" bestFit="1" customWidth="1"/>
    <col min="6" max="6" width="25.140625" customWidth="1"/>
    <col min="7" max="7" width="19.28515625" customWidth="1"/>
    <col min="8" max="8" width="30.85546875" customWidth="1"/>
  </cols>
  <sheetData>
    <row r="1" spans="1:8" ht="27.75" customHeight="1" x14ac:dyDescent="0.25"/>
    <row r="2" spans="1:8" x14ac:dyDescent="0.25">
      <c r="A2" s="80"/>
    </row>
    <row r="3" spans="1:8" ht="16.5" x14ac:dyDescent="0.3">
      <c r="A3" s="57" t="s">
        <v>0</v>
      </c>
      <c r="B3" s="57" t="s">
        <v>53</v>
      </c>
      <c r="C3" s="57" t="s">
        <v>54</v>
      </c>
      <c r="D3" s="57" t="s">
        <v>55</v>
      </c>
      <c r="E3" s="57" t="s">
        <v>92</v>
      </c>
      <c r="F3" s="57" t="s">
        <v>61</v>
      </c>
      <c r="G3" s="57" t="s">
        <v>60</v>
      </c>
      <c r="H3" s="58" t="s">
        <v>52</v>
      </c>
    </row>
    <row r="4" spans="1:8" ht="16.5" x14ac:dyDescent="0.3">
      <c r="A4" s="68" t="s">
        <v>59</v>
      </c>
      <c r="B4" s="71" t="s">
        <v>68</v>
      </c>
      <c r="C4" s="59">
        <v>1437048.41</v>
      </c>
      <c r="D4" s="60">
        <v>11.095228688295396</v>
      </c>
      <c r="E4" s="59">
        <v>225.94</v>
      </c>
      <c r="F4" s="59">
        <f>C4*D4</f>
        <v>15944380.745101284</v>
      </c>
      <c r="G4" s="61">
        <f>F4/E4</f>
        <v>70569.092436493243</v>
      </c>
      <c r="H4" s="71"/>
    </row>
    <row r="5" spans="1:8" ht="16.5" x14ac:dyDescent="0.3">
      <c r="A5" s="62"/>
      <c r="B5" s="62"/>
      <c r="C5" s="64">
        <f>SUM(C4:C4)</f>
        <v>1437048.41</v>
      </c>
      <c r="D5" s="65">
        <f>F5/C5</f>
        <v>11.095228688295396</v>
      </c>
      <c r="E5" s="64"/>
      <c r="F5" s="64">
        <f>SUM(F4:F4)</f>
        <v>15944380.745101284</v>
      </c>
      <c r="G5" s="63">
        <f>SUM(G4:G4)</f>
        <v>70569.092436493243</v>
      </c>
      <c r="H5" s="66"/>
    </row>
    <row r="9" spans="1:8" ht="15.75" thickBot="1" x14ac:dyDescent="0.3"/>
    <row r="10" spans="1:8" ht="15.75" thickBot="1" x14ac:dyDescent="0.3">
      <c r="A10" s="101"/>
      <c r="B10" s="102" t="s">
        <v>87</v>
      </c>
      <c r="C10" s="102" t="s">
        <v>88</v>
      </c>
      <c r="D10" s="102" t="s">
        <v>75</v>
      </c>
      <c r="E10" s="102" t="s">
        <v>89</v>
      </c>
      <c r="F10" s="102" t="s">
        <v>90</v>
      </c>
    </row>
    <row r="11" spans="1:8" ht="15.75" thickBot="1" x14ac:dyDescent="0.3">
      <c r="A11" s="106" t="s">
        <v>91</v>
      </c>
      <c r="B11" s="103">
        <v>1437048.41</v>
      </c>
      <c r="C11" s="108">
        <v>11.095228688295396</v>
      </c>
      <c r="D11" s="105">
        <f>F11/E4</f>
        <v>70569.092436493243</v>
      </c>
      <c r="E11" s="104">
        <v>0.6</v>
      </c>
      <c r="F11" s="107">
        <f>B11*C11</f>
        <v>15944380.745101284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"/>
  <sheetViews>
    <sheetView showGridLines="0" zoomScaleNormal="100" workbookViewId="0">
      <selection activeCell="M5" sqref="M5"/>
    </sheetView>
  </sheetViews>
  <sheetFormatPr defaultColWidth="9.140625" defaultRowHeight="16.5" x14ac:dyDescent="0.3"/>
  <cols>
    <col min="1" max="1" width="6" style="42" bestFit="1" customWidth="1"/>
    <col min="2" max="2" width="8" style="42" bestFit="1" customWidth="1"/>
    <col min="3" max="3" width="40.28515625" style="42" bestFit="1" customWidth="1"/>
    <col min="4" max="4" width="8" style="42" bestFit="1" customWidth="1"/>
    <col min="5" max="5" width="4.5703125" style="42" customWidth="1"/>
    <col min="6" max="6" width="18" style="42" bestFit="1" customWidth="1"/>
    <col min="7" max="7" width="3.5703125" style="42" customWidth="1"/>
    <col min="8" max="8" width="14.140625" style="42" bestFit="1" customWidth="1"/>
    <col min="9" max="9" width="12.28515625" style="42" customWidth="1"/>
    <col min="10" max="10" width="12.140625" style="42" customWidth="1"/>
    <col min="11" max="11" width="14.28515625" style="42" customWidth="1"/>
    <col min="12" max="12" width="15.140625" style="42" customWidth="1"/>
    <col min="13" max="13" width="11.7109375" style="42" customWidth="1"/>
    <col min="14" max="16384" width="9.140625" style="42"/>
  </cols>
  <sheetData>
    <row r="1" spans="1:13" x14ac:dyDescent="0.3">
      <c r="A1" s="110" t="s">
        <v>67</v>
      </c>
      <c r="B1" s="110"/>
      <c r="C1" s="110"/>
      <c r="D1" s="110"/>
      <c r="E1" s="110"/>
      <c r="F1" s="110"/>
      <c r="G1" s="110"/>
      <c r="H1" s="110"/>
      <c r="I1" s="110"/>
      <c r="J1" s="110"/>
    </row>
    <row r="3" spans="1:13" x14ac:dyDescent="0.3">
      <c r="B3" s="43" t="s">
        <v>56</v>
      </c>
      <c r="C3" s="43"/>
      <c r="D3" s="43"/>
      <c r="H3" s="111" t="s">
        <v>73</v>
      </c>
      <c r="I3" s="112"/>
      <c r="J3" s="112"/>
      <c r="K3" s="112"/>
      <c r="L3" s="112" t="s">
        <v>1</v>
      </c>
      <c r="M3" s="112"/>
    </row>
    <row r="4" spans="1:13" ht="82.5" x14ac:dyDescent="0.3">
      <c r="B4" s="43"/>
      <c r="C4" s="43" t="s">
        <v>93</v>
      </c>
      <c r="D4" s="81"/>
      <c r="F4" s="44" t="s">
        <v>96</v>
      </c>
      <c r="H4" s="56" t="s">
        <v>2</v>
      </c>
      <c r="I4" s="67" t="s">
        <v>62</v>
      </c>
      <c r="J4" s="69" t="s">
        <v>63</v>
      </c>
      <c r="K4" s="70" t="s">
        <v>64</v>
      </c>
      <c r="L4" s="69" t="s">
        <v>65</v>
      </c>
      <c r="M4" s="69" t="s">
        <v>66</v>
      </c>
    </row>
    <row r="5" spans="1:13" s="45" customFormat="1" ht="25.5" customHeight="1" x14ac:dyDescent="0.3">
      <c r="B5" s="43"/>
      <c r="C5" s="43" t="s">
        <v>94</v>
      </c>
      <c r="D5" s="46">
        <v>225.94</v>
      </c>
      <c r="F5" s="47">
        <v>8649234</v>
      </c>
      <c r="G5" s="42"/>
      <c r="H5" s="48">
        <f>Radio!C5</f>
        <v>1437048.41</v>
      </c>
      <c r="I5" s="49">
        <f>Radio!G5</f>
        <v>70569.092436493243</v>
      </c>
      <c r="J5" s="50">
        <f>I5/F5</f>
        <v>8.1589991017115785E-3</v>
      </c>
      <c r="K5" s="51">
        <f>H5/I5</f>
        <v>20.363708252210174</v>
      </c>
      <c r="L5" s="109">
        <f>J5*1.5</f>
        <v>1.2238498652567369E-2</v>
      </c>
      <c r="M5" s="52">
        <f>L5*F5</f>
        <v>105853.63865473987</v>
      </c>
    </row>
    <row r="6" spans="1:13" s="45" customFormat="1" ht="26.25" customHeight="1" x14ac:dyDescent="0.3">
      <c r="B6" s="53"/>
      <c r="C6" s="43" t="s">
        <v>95</v>
      </c>
      <c r="D6" s="46"/>
      <c r="H6" s="55" t="s">
        <v>3</v>
      </c>
    </row>
    <row r="7" spans="1:13" s="45" customFormat="1" x14ac:dyDescent="0.3">
      <c r="B7" s="53"/>
      <c r="C7" s="53"/>
      <c r="D7" s="54"/>
    </row>
    <row r="8" spans="1:13" s="45" customFormat="1" x14ac:dyDescent="0.3">
      <c r="B8" s="53"/>
      <c r="C8" s="53"/>
      <c r="D8" s="54"/>
    </row>
  </sheetData>
  <mergeCells count="3">
    <mergeCell ref="A1:J1"/>
    <mergeCell ref="H3:K3"/>
    <mergeCell ref="L3:M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564CF-36C0-40AA-949D-5C682B604B49}">
  <dimension ref="A1:I41"/>
  <sheetViews>
    <sheetView tabSelected="1" workbookViewId="0">
      <selection activeCell="B4" sqref="B4:F4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1" t="s">
        <v>4</v>
      </c>
      <c r="B1" s="2" t="s">
        <v>86</v>
      </c>
      <c r="C1" s="2"/>
      <c r="D1" s="2"/>
      <c r="E1" s="2"/>
      <c r="F1" s="2"/>
      <c r="G1" s="2"/>
      <c r="H1" s="2"/>
      <c r="I1" s="2"/>
    </row>
    <row r="2" spans="1:9" x14ac:dyDescent="0.25">
      <c r="A2" s="3" t="s">
        <v>0</v>
      </c>
      <c r="B2" s="4" t="s">
        <v>74</v>
      </c>
      <c r="C2" s="5" t="s">
        <v>6</v>
      </c>
      <c r="D2" s="6" t="s">
        <v>7</v>
      </c>
      <c r="E2" s="5" t="s">
        <v>69</v>
      </c>
      <c r="F2" s="6" t="s">
        <v>75</v>
      </c>
      <c r="G2" s="2"/>
      <c r="H2" s="2"/>
      <c r="I2" s="2"/>
    </row>
    <row r="3" spans="1:9" ht="15.75" thickBot="1" x14ac:dyDescent="0.3">
      <c r="A3" s="82" t="s">
        <v>9</v>
      </c>
      <c r="B3" s="26" t="s">
        <v>97</v>
      </c>
      <c r="C3" s="83" t="s">
        <v>10</v>
      </c>
      <c r="D3" s="84" t="s">
        <v>75</v>
      </c>
      <c r="E3" s="83" t="s">
        <v>11</v>
      </c>
      <c r="F3" s="84" t="s">
        <v>76</v>
      </c>
      <c r="G3" s="2"/>
      <c r="H3" s="2"/>
      <c r="I3" s="2"/>
    </row>
    <row r="4" spans="1:9" ht="15.75" thickBot="1" x14ac:dyDescent="0.3">
      <c r="A4" s="13" t="s">
        <v>12</v>
      </c>
      <c r="B4" s="113"/>
      <c r="C4" s="114"/>
      <c r="D4" s="114"/>
      <c r="E4" s="114"/>
      <c r="F4" s="115"/>
      <c r="G4" s="2"/>
      <c r="H4" s="2"/>
      <c r="I4" s="2"/>
    </row>
    <row r="5" spans="1:9" x14ac:dyDescent="0.25">
      <c r="A5" s="2"/>
      <c r="B5" s="2"/>
      <c r="C5" s="2"/>
      <c r="D5" s="2"/>
      <c r="E5" s="2"/>
      <c r="F5" s="2"/>
      <c r="G5" s="2"/>
      <c r="H5" s="2"/>
      <c r="I5" s="2"/>
    </row>
    <row r="6" spans="1:9" ht="15.75" thickBot="1" x14ac:dyDescent="0.3">
      <c r="A6" s="2"/>
      <c r="B6" s="87">
        <v>0.8</v>
      </c>
      <c r="C6" s="87">
        <v>1.2</v>
      </c>
      <c r="D6" s="2"/>
      <c r="E6" s="2"/>
      <c r="F6" s="2"/>
      <c r="G6" s="2"/>
      <c r="H6" s="2"/>
      <c r="I6" s="2"/>
    </row>
    <row r="7" spans="1:9" x14ac:dyDescent="0.25">
      <c r="A7" s="116" t="s">
        <v>16</v>
      </c>
      <c r="B7" s="119" t="s">
        <v>17</v>
      </c>
      <c r="C7" s="119"/>
      <c r="D7" s="119" t="s">
        <v>18</v>
      </c>
      <c r="E7" s="119"/>
      <c r="F7" s="119"/>
      <c r="G7" s="119" t="s">
        <v>70</v>
      </c>
      <c r="H7" s="119"/>
      <c r="I7" s="120"/>
    </row>
    <row r="8" spans="1:9" x14ac:dyDescent="0.25">
      <c r="A8" s="117"/>
      <c r="B8" s="86" t="s">
        <v>20</v>
      </c>
      <c r="C8" s="86" t="s">
        <v>21</v>
      </c>
      <c r="D8" s="86" t="s">
        <v>22</v>
      </c>
      <c r="E8" s="86" t="s">
        <v>23</v>
      </c>
      <c r="F8" s="86" t="s">
        <v>77</v>
      </c>
      <c r="G8" s="86" t="s">
        <v>24</v>
      </c>
      <c r="H8" s="86" t="s">
        <v>25</v>
      </c>
      <c r="I8" s="19" t="s">
        <v>78</v>
      </c>
    </row>
    <row r="9" spans="1:9" ht="15.75" thickBot="1" x14ac:dyDescent="0.3">
      <c r="A9" s="118"/>
      <c r="B9" s="88">
        <f>Data!$H$5*B6</f>
        <v>1149638.7279999999</v>
      </c>
      <c r="C9" s="88">
        <f>Data!$H$5*C6</f>
        <v>1724458.0919999999</v>
      </c>
      <c r="D9" s="89"/>
      <c r="E9" s="90">
        <f>(('Radio - Power'!D9/$B$12)^$D$12)*$C$12</f>
        <v>0</v>
      </c>
      <c r="F9" s="91">
        <f>E9*F11</f>
        <v>0</v>
      </c>
      <c r="G9" s="92">
        <f>B12</f>
        <v>1437048.41</v>
      </c>
      <c r="H9" s="93">
        <f>(('Radio - Power'!G9/$B$12)^$D$12)*$C$12</f>
        <v>70569.092436493243</v>
      </c>
      <c r="I9" s="93">
        <f>H9*F11</f>
        <v>70569.092436493243</v>
      </c>
    </row>
    <row r="10" spans="1:9" ht="15.75" thickBot="1" x14ac:dyDescent="0.3"/>
    <row r="11" spans="1:9" ht="48.95" customHeight="1" x14ac:dyDescent="0.25">
      <c r="A11" s="121" t="s">
        <v>26</v>
      </c>
      <c r="B11" s="85" t="s">
        <v>27</v>
      </c>
      <c r="C11" s="85" t="s">
        <v>28</v>
      </c>
      <c r="D11" s="85" t="s">
        <v>79</v>
      </c>
      <c r="E11" s="86" t="s">
        <v>80</v>
      </c>
      <c r="F11" s="94">
        <v>1</v>
      </c>
    </row>
    <row r="12" spans="1:9" ht="40.35" customHeight="1" thickBot="1" x14ac:dyDescent="0.3">
      <c r="A12" s="121"/>
      <c r="B12" s="95">
        <f>Data!H5</f>
        <v>1437048.41</v>
      </c>
      <c r="C12" s="96">
        <f>Data!I5</f>
        <v>70569.092436493243</v>
      </c>
      <c r="D12" s="97">
        <f>Radio!E11</f>
        <v>0.6</v>
      </c>
      <c r="E12" s="86" t="s">
        <v>71</v>
      </c>
      <c r="F12" s="98">
        <v>1</v>
      </c>
    </row>
    <row r="13" spans="1:9" ht="18.75" customHeight="1" x14ac:dyDescent="0.25">
      <c r="A13" s="122" t="s">
        <v>81</v>
      </c>
      <c r="B13" s="123"/>
      <c r="C13" s="123"/>
      <c r="D13" s="123"/>
      <c r="E13" s="86" t="s">
        <v>82</v>
      </c>
      <c r="F13" s="86" t="s">
        <v>83</v>
      </c>
    </row>
    <row r="14" spans="1:9" ht="15.75" thickBot="1" x14ac:dyDescent="0.3">
      <c r="A14" s="124"/>
      <c r="B14" s="125"/>
      <c r="C14" s="125"/>
      <c r="D14" s="125"/>
      <c r="E14" s="20"/>
      <c r="F14" s="20"/>
    </row>
    <row r="15" spans="1:9" ht="15.75" thickBot="1" x14ac:dyDescent="0.3"/>
    <row r="16" spans="1:9" x14ac:dyDescent="0.25">
      <c r="A16" s="126" t="s">
        <v>42</v>
      </c>
      <c r="B16" s="85" t="s">
        <v>43</v>
      </c>
      <c r="C16" s="85" t="s">
        <v>44</v>
      </c>
      <c r="D16" s="25" t="s">
        <v>45</v>
      </c>
    </row>
    <row r="17" spans="1:4" ht="15.75" thickBot="1" x14ac:dyDescent="0.3">
      <c r="A17" s="127"/>
      <c r="B17" s="34">
        <v>0</v>
      </c>
      <c r="C17" s="34">
        <v>3000000</v>
      </c>
      <c r="D17" s="35">
        <v>40</v>
      </c>
    </row>
    <row r="18" spans="1:4" x14ac:dyDescent="0.25">
      <c r="A18" s="2"/>
      <c r="B18" s="2"/>
      <c r="C18" s="2"/>
      <c r="D18" s="2"/>
    </row>
    <row r="19" spans="1:4" x14ac:dyDescent="0.25">
      <c r="A19" s="121" t="s">
        <v>46</v>
      </c>
      <c r="B19" s="121"/>
      <c r="C19" s="121"/>
      <c r="D19" s="2"/>
    </row>
    <row r="20" spans="1:4" ht="25.5" x14ac:dyDescent="0.25">
      <c r="A20" s="86" t="s">
        <v>72</v>
      </c>
      <c r="B20" s="86" t="s">
        <v>84</v>
      </c>
      <c r="C20" s="86" t="s">
        <v>85</v>
      </c>
    </row>
    <row r="21" spans="1:4" x14ac:dyDescent="0.25">
      <c r="A21" s="99">
        <f>B17</f>
        <v>0</v>
      </c>
      <c r="B21" s="90">
        <f>(('Radio - Power'!A21/$B$12)^$D$12)*$C$12</f>
        <v>0</v>
      </c>
      <c r="C21" s="100">
        <f>B21*Radio!$E$4</f>
        <v>0</v>
      </c>
    </row>
    <row r="22" spans="1:4" x14ac:dyDescent="0.25">
      <c r="A22" s="99">
        <f>A21+(($C$17-$B$17)/$D$17)</f>
        <v>75000</v>
      </c>
      <c r="B22" s="90">
        <f>(('Radio - Power'!A22/$B$12)^$D$12)*$C$12</f>
        <v>11999.646467703113</v>
      </c>
      <c r="C22" s="100">
        <f>B22*Radio!$E$4</f>
        <v>2711200.1229128414</v>
      </c>
      <c r="D22">
        <f>C22/A22</f>
        <v>36.149334972171218</v>
      </c>
    </row>
    <row r="23" spans="1:4" x14ac:dyDescent="0.25">
      <c r="A23" s="99">
        <f t="shared" ref="A23:A41" si="0">A22+(($C$17-$B$17)/$D$17)</f>
        <v>150000</v>
      </c>
      <c r="B23" s="90">
        <f>(('Radio - Power'!A23/$B$12)^$D$12)*$C$12</f>
        <v>18188.062943365592</v>
      </c>
      <c r="C23" s="100">
        <f>B23*Radio!$E$4</f>
        <v>4109410.941424022</v>
      </c>
      <c r="D23">
        <f t="shared" ref="D23:D41" si="1">C23/A23</f>
        <v>27.396072942826812</v>
      </c>
    </row>
    <row r="24" spans="1:4" x14ac:dyDescent="0.25">
      <c r="A24" s="99">
        <f t="shared" si="0"/>
        <v>225000</v>
      </c>
      <c r="B24" s="90">
        <f>(('Radio - Power'!A24/$B$12)^$D$12)*$C$12</f>
        <v>23197.501096892502</v>
      </c>
      <c r="C24" s="100">
        <f>B24*Radio!$E$4</f>
        <v>5241243.3978318917</v>
      </c>
      <c r="D24">
        <f t="shared" si="1"/>
        <v>23.294415101475074</v>
      </c>
    </row>
    <row r="25" spans="1:4" x14ac:dyDescent="0.25">
      <c r="A25" s="99">
        <f t="shared" si="0"/>
        <v>300000</v>
      </c>
      <c r="B25" s="90">
        <f>(('Radio - Power'!A25/$B$12)^$D$12)*$C$12</f>
        <v>27567.948315993093</v>
      </c>
      <c r="C25" s="100">
        <f>B25*Radio!$E$4</f>
        <v>6228702.2425154792</v>
      </c>
      <c r="D25">
        <f t="shared" si="1"/>
        <v>20.762340808384931</v>
      </c>
    </row>
    <row r="26" spans="1:4" x14ac:dyDescent="0.25">
      <c r="A26" s="99">
        <f t="shared" si="0"/>
        <v>375000</v>
      </c>
      <c r="B26" s="90">
        <f>(('Radio - Power'!A26/$B$12)^$D$12)*$C$12</f>
        <v>31517.405090437667</v>
      </c>
      <c r="C26" s="100">
        <f>B26*Radio!$E$4</f>
        <v>7121042.5061334865</v>
      </c>
      <c r="D26">
        <f t="shared" si="1"/>
        <v>18.989446683022631</v>
      </c>
    </row>
    <row r="27" spans="1:4" x14ac:dyDescent="0.25">
      <c r="A27" s="99">
        <f t="shared" si="0"/>
        <v>450000</v>
      </c>
      <c r="B27" s="90">
        <f>(('Radio - Power'!A27/$B$12)^$D$12)*$C$12</f>
        <v>35160.836714203098</v>
      </c>
      <c r="C27" s="100">
        <f>B27*Radio!$E$4</f>
        <v>7944239.4472070476</v>
      </c>
      <c r="D27">
        <f t="shared" si="1"/>
        <v>17.653865438237883</v>
      </c>
    </row>
    <row r="28" spans="1:4" x14ac:dyDescent="0.25">
      <c r="A28" s="99">
        <f t="shared" si="0"/>
        <v>525000</v>
      </c>
      <c r="B28" s="90">
        <f>(('Radio - Power'!A28/$B$12)^$D$12)*$C$12</f>
        <v>38568.013909904294</v>
      </c>
      <c r="C28" s="100">
        <f>B28*Radio!$E$4</f>
        <v>8714057.0628037751</v>
      </c>
      <c r="D28">
        <f t="shared" si="1"/>
        <v>16.598203929150049</v>
      </c>
    </row>
    <row r="29" spans="1:4" x14ac:dyDescent="0.25">
      <c r="A29" s="99">
        <f t="shared" si="0"/>
        <v>600000</v>
      </c>
      <c r="B29" s="90">
        <f>(('Radio - Power'!A29/$B$12)^$D$12)*$C$12</f>
        <v>41785.195967253159</v>
      </c>
      <c r="C29" s="100">
        <f>B29*Radio!$E$4</f>
        <v>9440947.1768411789</v>
      </c>
      <c r="D29">
        <f t="shared" si="1"/>
        <v>15.734911961401965</v>
      </c>
    </row>
    <row r="30" spans="1:4" x14ac:dyDescent="0.25">
      <c r="A30" s="99">
        <f t="shared" si="0"/>
        <v>675000</v>
      </c>
      <c r="B30" s="90">
        <f>(('Radio - Power'!A30/$B$12)^$D$12)*$C$12</f>
        <v>44844.99260779746</v>
      </c>
      <c r="C30" s="100">
        <f>B30*Radio!$E$4</f>
        <v>10132277.629805759</v>
      </c>
      <c r="D30">
        <f t="shared" si="1"/>
        <v>15.010781673786308</v>
      </c>
    </row>
    <row r="31" spans="1:4" x14ac:dyDescent="0.25">
      <c r="A31" s="99">
        <f t="shared" si="0"/>
        <v>750000</v>
      </c>
      <c r="B31" s="90">
        <f>(('Radio - Power'!A31/$B$12)^$D$12)*$C$12</f>
        <v>47771.453028995529</v>
      </c>
      <c r="C31" s="100">
        <f>B31*Radio!$E$4</f>
        <v>10793482.09737125</v>
      </c>
      <c r="D31">
        <f t="shared" si="1"/>
        <v>14.391309463161667</v>
      </c>
    </row>
    <row r="32" spans="1:4" x14ac:dyDescent="0.25">
      <c r="A32" s="99">
        <f t="shared" si="0"/>
        <v>825000</v>
      </c>
      <c r="B32" s="90">
        <f>(('Radio - Power'!A32/$B$12)^$D$12)*$C$12</f>
        <v>50582.939327970947</v>
      </c>
      <c r="C32" s="100">
        <f>B32*Radio!$E$4</f>
        <v>11428709.311761755</v>
      </c>
      <c r="D32">
        <f t="shared" si="1"/>
        <v>13.852980983953643</v>
      </c>
    </row>
    <row r="33" spans="1:4" x14ac:dyDescent="0.25">
      <c r="A33" s="99">
        <f t="shared" si="0"/>
        <v>900000</v>
      </c>
      <c r="B33" s="90">
        <f>(('Radio - Power'!A33/$B$12)^$D$12)*$C$12</f>
        <v>53293.862700084668</v>
      </c>
      <c r="C33" s="100">
        <f>B33*Radio!$E$4</f>
        <v>12041215.33845713</v>
      </c>
      <c r="D33">
        <f t="shared" si="1"/>
        <v>13.379128153841256</v>
      </c>
    </row>
    <row r="34" spans="1:4" x14ac:dyDescent="0.25">
      <c r="A34" s="99">
        <f t="shared" si="0"/>
        <v>975000</v>
      </c>
      <c r="B34" s="90">
        <f>(('Radio - Power'!A34/$B$12)^$D$12)*$C$12</f>
        <v>55915.789655436703</v>
      </c>
      <c r="C34" s="100">
        <f>B34*Radio!$E$4</f>
        <v>12633613.514749369</v>
      </c>
      <c r="D34">
        <f t="shared" si="1"/>
        <v>12.957552322819865</v>
      </c>
    </row>
    <row r="35" spans="1:4" x14ac:dyDescent="0.25">
      <c r="A35" s="99">
        <f t="shared" si="0"/>
        <v>1050000</v>
      </c>
      <c r="B35" s="90">
        <f>(('Radio - Power'!A35/$B$12)^$D$12)*$C$12</f>
        <v>58458.177620645409</v>
      </c>
      <c r="C35" s="100">
        <f>B35*Radio!$E$4</f>
        <v>13208040.651608624</v>
      </c>
      <c r="D35">
        <f t="shared" si="1"/>
        <v>12.579086334865355</v>
      </c>
    </row>
    <row r="36" spans="1:4" x14ac:dyDescent="0.25">
      <c r="A36" s="99">
        <f t="shared" si="0"/>
        <v>1125000</v>
      </c>
      <c r="B36" s="90">
        <f>(('Radio - Power'!A36/$B$12)^$D$12)*$C$12</f>
        <v>60928.881623675043</v>
      </c>
      <c r="C36" s="100">
        <f>B36*Radio!$E$4</f>
        <v>13766271.51405314</v>
      </c>
      <c r="D36">
        <f t="shared" si="1"/>
        <v>12.236685790269458</v>
      </c>
    </row>
    <row r="37" spans="1:4" x14ac:dyDescent="0.25">
      <c r="A37" s="99">
        <f t="shared" si="0"/>
        <v>1200000</v>
      </c>
      <c r="B37" s="90">
        <f>(('Radio - Power'!A37/$B$12)^$D$12)*$C$12</f>
        <v>63334.513762449089</v>
      </c>
      <c r="C37" s="100">
        <f>B37*Radio!$E$4</f>
        <v>14309800.039487747</v>
      </c>
      <c r="D37">
        <f t="shared" si="1"/>
        <v>11.92483336623979</v>
      </c>
    </row>
    <row r="38" spans="1:4" x14ac:dyDescent="0.25">
      <c r="A38" s="99">
        <f t="shared" si="0"/>
        <v>1275000</v>
      </c>
      <c r="B38" s="90">
        <f>(('Radio - Power'!A38/$B$12)^$D$12)*$C$12</f>
        <v>65680.704725145595</v>
      </c>
      <c r="C38" s="100">
        <f>B38*Radio!$E$4</f>
        <v>14839898.425599396</v>
      </c>
      <c r="D38">
        <f t="shared" si="1"/>
        <v>11.639136020077958</v>
      </c>
    </row>
    <row r="39" spans="1:4" x14ac:dyDescent="0.25">
      <c r="A39" s="99">
        <f t="shared" si="0"/>
        <v>1350000</v>
      </c>
      <c r="B39" s="90">
        <f>(('Radio - Power'!A39/$B$12)^$D$12)*$C$12</f>
        <v>67972.298220674944</v>
      </c>
      <c r="C39" s="100">
        <f>B39*Radio!$E$4</f>
        <v>15357661.059979297</v>
      </c>
      <c r="D39">
        <f t="shared" si="1"/>
        <v>11.376045229614295</v>
      </c>
    </row>
    <row r="40" spans="1:4" x14ac:dyDescent="0.25">
      <c r="A40" s="99">
        <f t="shared" si="0"/>
        <v>1425000</v>
      </c>
      <c r="B40" s="90">
        <f>(('Radio - Power'!A40/$B$12)^$D$12)*$C$12</f>
        <v>70213.498286356713</v>
      </c>
      <c r="C40" s="100">
        <f>B40*Radio!$E$4</f>
        <v>15864037.802819436</v>
      </c>
      <c r="D40">
        <f t="shared" si="1"/>
        <v>11.13265810724171</v>
      </c>
    </row>
    <row r="41" spans="1:4" x14ac:dyDescent="0.25">
      <c r="A41" s="99">
        <f t="shared" si="0"/>
        <v>1500000</v>
      </c>
      <c r="B41" s="90">
        <f>(('Radio - Power'!A41/$B$12)^$D$12)*$C$12</f>
        <v>72407.982762321859</v>
      </c>
      <c r="C41" s="100">
        <f>B41*Radio!$E$4</f>
        <v>16359859.625319</v>
      </c>
      <c r="D41">
        <f t="shared" si="1"/>
        <v>10.906573083546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O52"/>
  <sheetViews>
    <sheetView showGridLines="0" workbookViewId="0">
      <selection activeCell="G6" sqref="G6"/>
    </sheetView>
  </sheetViews>
  <sheetFormatPr defaultColWidth="8.85546875" defaultRowHeight="12.75" x14ac:dyDescent="0.2"/>
  <cols>
    <col min="1" max="1" width="12.140625" style="2" customWidth="1"/>
    <col min="2" max="2" width="13.5703125" style="2" customWidth="1"/>
    <col min="3" max="3" width="12.5703125" style="2" customWidth="1"/>
    <col min="4" max="4" width="13.7109375" style="2" customWidth="1"/>
    <col min="5" max="5" width="15.7109375" style="2" customWidth="1"/>
    <col min="6" max="6" width="12.42578125" style="2" customWidth="1"/>
    <col min="7" max="7" width="12" style="2" customWidth="1"/>
    <col min="8" max="8" width="10.28515625" style="2" customWidth="1"/>
    <col min="9" max="9" width="12.42578125" style="2" customWidth="1"/>
    <col min="10" max="10" width="12.7109375" style="2" customWidth="1"/>
    <col min="11" max="11" width="14.28515625" style="2" bestFit="1" customWidth="1"/>
    <col min="12" max="13" width="12" style="2" bestFit="1" customWidth="1"/>
    <col min="14" max="14" width="11.42578125" style="2" bestFit="1" customWidth="1"/>
    <col min="15" max="15" width="12.42578125" style="2" customWidth="1"/>
    <col min="16" max="16384" width="8.85546875" style="2"/>
  </cols>
  <sheetData>
    <row r="1" spans="1:15" ht="13.5" thickBot="1" x14ac:dyDescent="0.25">
      <c r="A1" s="1" t="s">
        <v>4</v>
      </c>
      <c r="B1" s="2" t="s">
        <v>5</v>
      </c>
    </row>
    <row r="2" spans="1:15" x14ac:dyDescent="0.2">
      <c r="A2" s="3" t="s">
        <v>0</v>
      </c>
      <c r="B2" s="4" t="s">
        <v>59</v>
      </c>
      <c r="C2" s="5" t="s">
        <v>6</v>
      </c>
      <c r="D2" s="6" t="s">
        <v>7</v>
      </c>
      <c r="H2" s="7" t="s">
        <v>8</v>
      </c>
      <c r="I2" s="8"/>
      <c r="J2" s="8"/>
      <c r="K2" s="8"/>
      <c r="L2" s="9"/>
    </row>
    <row r="3" spans="1:15" ht="13.5" thickBot="1" x14ac:dyDescent="0.25">
      <c r="A3" s="10" t="s">
        <v>9</v>
      </c>
      <c r="B3" s="11" t="s">
        <v>47</v>
      </c>
      <c r="C3" s="1" t="s">
        <v>10</v>
      </c>
      <c r="D3" s="12" t="s">
        <v>57</v>
      </c>
      <c r="E3" s="1" t="s">
        <v>11</v>
      </c>
      <c r="F3" s="12" t="s">
        <v>58</v>
      </c>
    </row>
    <row r="4" spans="1:15" ht="15" customHeight="1" thickBot="1" x14ac:dyDescent="0.25">
      <c r="A4" s="13" t="s">
        <v>12</v>
      </c>
      <c r="B4" s="130" t="s">
        <v>13</v>
      </c>
      <c r="C4" s="130"/>
      <c r="D4" s="130"/>
      <c r="E4" s="130"/>
      <c r="F4" s="131"/>
      <c r="H4" s="2" t="s">
        <v>14</v>
      </c>
    </row>
    <row r="5" spans="1:15" x14ac:dyDescent="0.2">
      <c r="H5" s="2" t="s">
        <v>15</v>
      </c>
    </row>
    <row r="6" spans="1:15" ht="13.5" thickBot="1" x14ac:dyDescent="0.25">
      <c r="B6" s="14">
        <v>0.5</v>
      </c>
      <c r="C6" s="14">
        <v>1.5</v>
      </c>
    </row>
    <row r="7" spans="1:15" ht="27.6" customHeight="1" x14ac:dyDescent="0.2">
      <c r="A7" s="116" t="s">
        <v>16</v>
      </c>
      <c r="B7" s="119" t="s">
        <v>17</v>
      </c>
      <c r="C7" s="132"/>
      <c r="D7" s="133" t="s">
        <v>18</v>
      </c>
      <c r="E7" s="134"/>
      <c r="F7" s="135" t="s">
        <v>19</v>
      </c>
      <c r="G7" s="136"/>
    </row>
    <row r="8" spans="1:15" ht="25.5" x14ac:dyDescent="0.2">
      <c r="A8" s="117"/>
      <c r="B8" s="15" t="s">
        <v>20</v>
      </c>
      <c r="C8" s="16" t="s">
        <v>21</v>
      </c>
      <c r="D8" s="17" t="s">
        <v>22</v>
      </c>
      <c r="E8" s="16" t="s">
        <v>23</v>
      </c>
      <c r="F8" s="18" t="s">
        <v>24</v>
      </c>
      <c r="G8" s="19" t="s">
        <v>25</v>
      </c>
    </row>
    <row r="9" spans="1:15" ht="13.5" thickBot="1" x14ac:dyDescent="0.25">
      <c r="A9" s="118"/>
      <c r="B9" s="20">
        <f>B6*B12</f>
        <v>718524.20499999996</v>
      </c>
      <c r="C9" s="20">
        <f>C6*B12</f>
        <v>2155572.6149999998</v>
      </c>
      <c r="D9" s="21">
        <f>F9</f>
        <v>1437048.41</v>
      </c>
      <c r="E9" s="22">
        <f>(($O$12/(1+EXP($M$12+$N$12*D9)))-1) - ($F$12-$C$12)</f>
        <v>70569.092436492443</v>
      </c>
      <c r="F9" s="20">
        <f>B12</f>
        <v>1437048.41</v>
      </c>
      <c r="G9" s="23">
        <f>C12</f>
        <v>70569.092436493243</v>
      </c>
    </row>
    <row r="10" spans="1:15" ht="13.5" thickBot="1" x14ac:dyDescent="0.25"/>
    <row r="11" spans="1:15" ht="51.6" customHeight="1" x14ac:dyDescent="0.2">
      <c r="A11" s="116" t="s">
        <v>26</v>
      </c>
      <c r="B11" s="24" t="s">
        <v>27</v>
      </c>
      <c r="C11" s="24" t="s">
        <v>28</v>
      </c>
      <c r="D11" s="24" t="s">
        <v>29</v>
      </c>
      <c r="E11" s="24" t="s">
        <v>30</v>
      </c>
      <c r="F11" s="25" t="s">
        <v>31</v>
      </c>
      <c r="H11" s="126" t="s">
        <v>32</v>
      </c>
      <c r="I11" s="24" t="s">
        <v>33</v>
      </c>
      <c r="J11" s="24" t="s">
        <v>34</v>
      </c>
      <c r="K11" s="24" t="s">
        <v>35</v>
      </c>
      <c r="L11" s="24" t="s">
        <v>36</v>
      </c>
      <c r="M11" s="24" t="s">
        <v>37</v>
      </c>
      <c r="N11" s="24" t="s">
        <v>38</v>
      </c>
      <c r="O11" s="25" t="s">
        <v>39</v>
      </c>
    </row>
    <row r="12" spans="1:15" ht="15" customHeight="1" thickBot="1" x14ac:dyDescent="0.25">
      <c r="A12" s="118"/>
      <c r="B12" s="20">
        <f>Data!H5</f>
        <v>1437048.41</v>
      </c>
      <c r="C12" s="23">
        <f>Data!I5</f>
        <v>70569.092436493243</v>
      </c>
      <c r="D12" s="26">
        <v>0</v>
      </c>
      <c r="E12" s="23">
        <f>Data!M5</f>
        <v>105853.63865473987</v>
      </c>
      <c r="F12" s="27">
        <f>Data!F5</f>
        <v>8649234</v>
      </c>
      <c r="H12" s="127"/>
      <c r="I12" s="28">
        <f>F12-C12</f>
        <v>8578664.9075635076</v>
      </c>
      <c r="J12" s="28">
        <f>I12+E12</f>
        <v>8684518.5462182481</v>
      </c>
      <c r="K12" s="29">
        <f>B12</f>
        <v>1437048.41</v>
      </c>
      <c r="L12" s="28">
        <f>F12</f>
        <v>8649234</v>
      </c>
      <c r="M12" s="30">
        <f>LN((($J$12+1)/($I$12+1))-1)</f>
        <v>-4.3949763191971973</v>
      </c>
      <c r="N12" s="31">
        <f>(LN((($J$12+1)/($L$12+1))-1)-$M$12)/$K$12</f>
        <v>-7.7019308877231137E-7</v>
      </c>
      <c r="O12" s="32">
        <f>J12+1</f>
        <v>8684519.5462182481</v>
      </c>
    </row>
    <row r="13" spans="1:15" ht="34.15" customHeight="1" x14ac:dyDescent="0.2">
      <c r="A13" s="122" t="s">
        <v>40</v>
      </c>
      <c r="B13" s="123"/>
      <c r="C13" s="123"/>
      <c r="D13" s="123"/>
      <c r="E13" s="123"/>
      <c r="F13" s="128"/>
      <c r="H13" s="122" t="s">
        <v>41</v>
      </c>
      <c r="I13" s="123"/>
      <c r="J13" s="123"/>
      <c r="K13" s="123"/>
      <c r="L13" s="123"/>
      <c r="M13" s="123"/>
      <c r="N13" s="123"/>
      <c r="O13" s="128"/>
    </row>
    <row r="14" spans="1:15" ht="33.6" customHeight="1" x14ac:dyDescent="0.2">
      <c r="A14" s="124"/>
      <c r="B14" s="125"/>
      <c r="C14" s="125"/>
      <c r="D14" s="125"/>
      <c r="E14" s="125"/>
      <c r="F14" s="129"/>
      <c r="H14" s="124"/>
      <c r="I14" s="125"/>
      <c r="J14" s="125"/>
      <c r="K14" s="125"/>
      <c r="L14" s="125"/>
      <c r="M14" s="125"/>
      <c r="N14" s="125"/>
      <c r="O14" s="129"/>
    </row>
    <row r="16" spans="1:15" ht="13.5" thickBot="1" x14ac:dyDescent="0.25"/>
    <row r="17" spans="1:5" ht="16.899999999999999" customHeight="1" x14ac:dyDescent="0.2">
      <c r="A17" s="126" t="s">
        <v>42</v>
      </c>
      <c r="B17" s="24" t="s">
        <v>43</v>
      </c>
      <c r="C17" s="24" t="s">
        <v>44</v>
      </c>
      <c r="D17" s="25" t="s">
        <v>45</v>
      </c>
    </row>
    <row r="18" spans="1:5" ht="23.65" customHeight="1" thickBot="1" x14ac:dyDescent="0.25">
      <c r="A18" s="127"/>
      <c r="B18" s="33">
        <v>0</v>
      </c>
      <c r="C18" s="34">
        <v>3000000</v>
      </c>
      <c r="D18" s="35">
        <v>40</v>
      </c>
    </row>
    <row r="20" spans="1:5" x14ac:dyDescent="0.2">
      <c r="A20" s="121" t="s">
        <v>46</v>
      </c>
      <c r="B20" s="121"/>
    </row>
    <row r="21" spans="1:5" x14ac:dyDescent="0.2">
      <c r="A21" s="15" t="s">
        <v>49</v>
      </c>
      <c r="B21" s="15" t="s">
        <v>48</v>
      </c>
      <c r="C21" s="40" t="s">
        <v>51</v>
      </c>
      <c r="D21" s="40" t="s">
        <v>50</v>
      </c>
      <c r="E21" s="41"/>
    </row>
    <row r="22" spans="1:5" x14ac:dyDescent="0.2">
      <c r="A22" s="37">
        <f>B18</f>
        <v>0</v>
      </c>
      <c r="B22" s="36">
        <f>(($O$12/(1+EXP($M$12+$N$12*A22)))-1) - ($F$12-$C$12)</f>
        <v>0</v>
      </c>
      <c r="C22" s="38">
        <f>B22*Radio!$E$4</f>
        <v>0</v>
      </c>
      <c r="D22" s="39"/>
      <c r="E22" s="38"/>
    </row>
    <row r="23" spans="1:5" x14ac:dyDescent="0.2">
      <c r="A23" s="37">
        <f>A22+(($C$18-$B$18)/$D$18)</f>
        <v>75000</v>
      </c>
      <c r="B23" s="36">
        <f t="shared" ref="B23:B42" si="0">(($O$12/(1+EXP($M$12+$N$12*A23)))-1) - ($F$12-$C$12)</f>
        <v>5872.9300122205168</v>
      </c>
      <c r="C23" s="38">
        <f>B23*Radio!$E$4</f>
        <v>1326929.8069611036</v>
      </c>
      <c r="D23" s="39">
        <f>C23/A23</f>
        <v>17.692397426148048</v>
      </c>
      <c r="E23" s="38"/>
    </row>
    <row r="24" spans="1:5" x14ac:dyDescent="0.2">
      <c r="A24" s="37">
        <f t="shared" ref="A24:A52" si="1">A23+(($C$18-$B$18)/$D$18)</f>
        <v>150000</v>
      </c>
      <c r="B24" s="36">
        <f t="shared" si="0"/>
        <v>11423.607121022418</v>
      </c>
      <c r="C24" s="38">
        <f>B24*Radio!$E$4</f>
        <v>2581049.7929238053</v>
      </c>
      <c r="D24" s="39">
        <f t="shared" ref="D24:D42" si="2">C24/A24</f>
        <v>17.206998619492037</v>
      </c>
      <c r="E24" s="38"/>
    </row>
    <row r="25" spans="1:5" x14ac:dyDescent="0.2">
      <c r="A25" s="37">
        <f t="shared" si="1"/>
        <v>225000</v>
      </c>
      <c r="B25" s="36">
        <f t="shared" si="0"/>
        <v>16669.326071634889</v>
      </c>
      <c r="C25" s="38">
        <f>B25*Radio!$E$4</f>
        <v>3766267.5326251867</v>
      </c>
      <c r="D25" s="39">
        <f t="shared" si="2"/>
        <v>16.738966811667495</v>
      </c>
      <c r="E25" s="38"/>
    </row>
    <row r="26" spans="1:5" x14ac:dyDescent="0.2">
      <c r="A26" s="37">
        <f t="shared" si="1"/>
        <v>300000</v>
      </c>
      <c r="B26" s="36">
        <f t="shared" si="0"/>
        <v>21626.495363794267</v>
      </c>
      <c r="C26" s="38">
        <f>B26*Radio!$E$4</f>
        <v>4886290.3624956766</v>
      </c>
      <c r="D26" s="39">
        <f t="shared" si="2"/>
        <v>16.287634541652256</v>
      </c>
      <c r="E26" s="38"/>
    </row>
    <row r="27" spans="1:5" x14ac:dyDescent="0.2">
      <c r="A27" s="37">
        <f t="shared" si="1"/>
        <v>375000</v>
      </c>
      <c r="B27" s="36">
        <f t="shared" si="0"/>
        <v>26310.678092258051</v>
      </c>
      <c r="C27" s="38">
        <f>B27*Radio!$E$4</f>
        <v>5944634.6081647836</v>
      </c>
      <c r="D27" s="39">
        <f t="shared" si="2"/>
        <v>15.852358955106089</v>
      </c>
      <c r="E27" s="38"/>
    </row>
    <row r="28" spans="1:5" x14ac:dyDescent="0.2">
      <c r="A28" s="72">
        <f t="shared" si="1"/>
        <v>450000</v>
      </c>
      <c r="B28" s="73">
        <f t="shared" si="0"/>
        <v>30736.63141756691</v>
      </c>
      <c r="C28" s="38">
        <f>B28*Radio!$E$4</f>
        <v>6944634.5024850676</v>
      </c>
      <c r="D28" s="75">
        <f t="shared" si="2"/>
        <v>15.432521116633483</v>
      </c>
      <c r="E28" s="74"/>
    </row>
    <row r="29" spans="1:5" x14ac:dyDescent="0.2">
      <c r="A29" s="37">
        <f t="shared" si="1"/>
        <v>525000</v>
      </c>
      <c r="B29" s="36">
        <f t="shared" si="0"/>
        <v>34918.344650791958</v>
      </c>
      <c r="C29" s="38">
        <f>B29*Radio!$E$4</f>
        <v>7889450.7903999351</v>
      </c>
      <c r="D29" s="39">
        <f t="shared" si="2"/>
        <v>15.027525315047495</v>
      </c>
      <c r="E29" s="38"/>
    </row>
    <row r="30" spans="1:5" x14ac:dyDescent="0.2">
      <c r="A30" s="72">
        <f t="shared" si="1"/>
        <v>600000</v>
      </c>
      <c r="B30" s="73">
        <f t="shared" si="0"/>
        <v>38869.075945969671</v>
      </c>
      <c r="C30" s="38">
        <f>B30*Radio!$E$4</f>
        <v>8782079.0192323867</v>
      </c>
      <c r="D30" s="75">
        <f t="shared" si="2"/>
        <v>14.63679836538731</v>
      </c>
      <c r="E30" s="74"/>
    </row>
    <row r="31" spans="1:5" x14ac:dyDescent="0.2">
      <c r="A31" s="37">
        <f t="shared" si="1"/>
        <v>675000</v>
      </c>
      <c r="B31" s="36">
        <f t="shared" si="0"/>
        <v>42601.387602452189</v>
      </c>
      <c r="C31" s="38">
        <f>B31*Radio!$E$4</f>
        <v>9625357.5148980469</v>
      </c>
      <c r="D31" s="39">
        <f t="shared" si="2"/>
        <v>14.259788910960069</v>
      </c>
      <c r="E31" s="38"/>
    </row>
    <row r="32" spans="1:5" x14ac:dyDescent="0.2">
      <c r="A32" s="37">
        <f t="shared" si="1"/>
        <v>750000</v>
      </c>
      <c r="B32" s="36">
        <f t="shared" si="0"/>
        <v>46127.179986737669</v>
      </c>
      <c r="C32" s="38">
        <f>B32*Radio!$E$4</f>
        <v>10421975.046203509</v>
      </c>
      <c r="D32" s="39">
        <f t="shared" si="2"/>
        <v>13.895966728271345</v>
      </c>
      <c r="E32" s="38"/>
    </row>
    <row r="33" spans="1:5" x14ac:dyDescent="0.2">
      <c r="A33" s="72">
        <f t="shared" si="1"/>
        <v>825000</v>
      </c>
      <c r="B33" s="73">
        <f t="shared" si="0"/>
        <v>49457.724089564756</v>
      </c>
      <c r="C33" s="38">
        <f>B33*Radio!$E$4</f>
        <v>11174478.18079626</v>
      </c>
      <c r="D33" s="75">
        <f t="shared" si="2"/>
        <v>13.5448220373288</v>
      </c>
      <c r="E33" s="74"/>
    </row>
    <row r="34" spans="1:5" x14ac:dyDescent="0.2">
      <c r="A34" s="37">
        <f>A33+(($C$18-$B$18)/$D$18)</f>
        <v>900000</v>
      </c>
      <c r="B34" s="36">
        <f t="shared" si="0"/>
        <v>52603.692739324644</v>
      </c>
      <c r="C34" s="38">
        <f>B34*Radio!$E$4</f>
        <v>11885278.33752301</v>
      </c>
      <c r="D34" s="39">
        <f t="shared" si="2"/>
        <v>13.20586481947001</v>
      </c>
      <c r="E34" s="38"/>
    </row>
    <row r="35" spans="1:5" x14ac:dyDescent="0.2">
      <c r="A35" s="37">
        <f t="shared" si="1"/>
        <v>975000</v>
      </c>
      <c r="B35" s="36">
        <f t="shared" si="0"/>
        <v>55575.190497184172</v>
      </c>
      <c r="C35" s="38">
        <f>B35*Radio!$E$4</f>
        <v>12556658.540933792</v>
      </c>
      <c r="D35" s="39">
        <f t="shared" si="2"/>
        <v>12.878624144547478</v>
      </c>
      <c r="E35" s="38"/>
    </row>
    <row r="36" spans="1:5" x14ac:dyDescent="0.2">
      <c r="A36" s="76">
        <f t="shared" si="1"/>
        <v>1050000</v>
      </c>
      <c r="B36" s="77">
        <f t="shared" si="0"/>
        <v>58381.782262949273</v>
      </c>
      <c r="C36" s="38">
        <f>B36*Radio!$E$4</f>
        <v>13190779.884490758</v>
      </c>
      <c r="D36" s="79">
        <f t="shared" si="2"/>
        <v>12.562647509038817</v>
      </c>
      <c r="E36" s="78"/>
    </row>
    <row r="37" spans="1:5" x14ac:dyDescent="0.2">
      <c r="A37" s="37">
        <f t="shared" si="1"/>
        <v>1125000</v>
      </c>
      <c r="B37" s="36">
        <f t="shared" si="0"/>
        <v>61032.520623596385</v>
      </c>
      <c r="C37" s="38">
        <f>B37*Radio!$E$4</f>
        <v>13789687.709695367</v>
      </c>
      <c r="D37" s="39">
        <f t="shared" si="2"/>
        <v>12.257500186395882</v>
      </c>
      <c r="E37" s="38"/>
    </row>
    <row r="38" spans="1:5" x14ac:dyDescent="0.2">
      <c r="A38" s="37">
        <f t="shared" si="1"/>
        <v>1200000</v>
      </c>
      <c r="B38" s="36">
        <f t="shared" si="0"/>
        <v>63535.971978718415</v>
      </c>
      <c r="C38" s="38">
        <f>B38*Radio!$E$4</f>
        <v>14355317.508871639</v>
      </c>
      <c r="D38" s="39">
        <f t="shared" si="2"/>
        <v>11.962764590726366</v>
      </c>
      <c r="E38" s="38"/>
    </row>
    <row r="39" spans="1:5" x14ac:dyDescent="0.2">
      <c r="A39" s="37">
        <f t="shared" si="1"/>
        <v>1275000</v>
      </c>
      <c r="B39" s="36">
        <f t="shared" si="0"/>
        <v>65900.24147891067</v>
      </c>
      <c r="C39" s="38">
        <f>B39*Radio!$E$4</f>
        <v>14889500.559745077</v>
      </c>
      <c r="D39" s="39">
        <f t="shared" si="2"/>
        <v>11.678039654702021</v>
      </c>
      <c r="E39" s="38"/>
    </row>
    <row r="40" spans="1:5" x14ac:dyDescent="0.2">
      <c r="A40" s="37">
        <f t="shared" si="1"/>
        <v>1350000</v>
      </c>
      <c r="B40" s="36">
        <f t="shared" si="0"/>
        <v>68132.996814418584</v>
      </c>
      <c r="C40" s="38">
        <f>B40*Radio!$E$4</f>
        <v>15393969.300249735</v>
      </c>
      <c r="D40" s="39">
        <f t="shared" si="2"/>
        <v>11.402940222407212</v>
      </c>
      <c r="E40" s="38"/>
    </row>
    <row r="41" spans="1:5" x14ac:dyDescent="0.2">
      <c r="A41" s="37">
        <f>A40+(($C$18-$B$18)/$D$18)</f>
        <v>1425000</v>
      </c>
      <c r="B41" s="36">
        <f t="shared" si="0"/>
        <v>70241.490892358124</v>
      </c>
      <c r="C41" s="38">
        <f>B41*Radio!$E$4</f>
        <v>15870362.452219395</v>
      </c>
      <c r="D41" s="39">
        <f t="shared" si="2"/>
        <v>11.137096457697821</v>
      </c>
      <c r="E41" s="38"/>
    </row>
    <row r="42" spans="1:5" x14ac:dyDescent="0.2">
      <c r="A42" s="37">
        <f t="shared" si="1"/>
        <v>1500000</v>
      </c>
      <c r="B42" s="36">
        <f t="shared" si="0"/>
        <v>72232.583441264927</v>
      </c>
      <c r="C42" s="38">
        <f>B42*Radio!$E$4</f>
        <v>16320229.902719397</v>
      </c>
      <c r="D42" s="39">
        <f t="shared" si="2"/>
        <v>10.880153268479598</v>
      </c>
      <c r="E42" s="38"/>
    </row>
    <row r="43" spans="1:5" x14ac:dyDescent="0.2">
      <c r="A43" s="37">
        <f t="shared" si="1"/>
        <v>1575000</v>
      </c>
      <c r="B43" s="36">
        <f t="shared" ref="B43:B52" si="3">(($O$12/(1+EXP($M$12+$N$12*A43)))-1) - ($F$12-$C$12)</f>
        <v>74112.761582093313</v>
      </c>
      <c r="C43" s="38">
        <f>B43*Radio!$E$4</f>
        <v>16745037.351858163</v>
      </c>
      <c r="D43" s="39">
        <f t="shared" ref="D43:D52" si="4">C43/A43</f>
        <v>10.631769747211532</v>
      </c>
      <c r="E43" s="38"/>
    </row>
    <row r="44" spans="1:5" x14ac:dyDescent="0.2">
      <c r="A44" s="37">
        <f t="shared" si="1"/>
        <v>1650000</v>
      </c>
      <c r="B44" s="36">
        <f t="shared" si="3"/>
        <v>75888.159404728562</v>
      </c>
      <c r="C44" s="38">
        <f>B44*Radio!$E$4</f>
        <v>17146170.73590437</v>
      </c>
      <c r="D44" s="39">
        <f t="shared" si="4"/>
        <v>10.391618627820829</v>
      </c>
      <c r="E44" s="38"/>
    </row>
    <row r="45" spans="1:5" x14ac:dyDescent="0.2">
      <c r="A45" s="37">
        <f t="shared" si="1"/>
        <v>1725000</v>
      </c>
      <c r="B45" s="36">
        <f t="shared" si="3"/>
        <v>77564.576588882133</v>
      </c>
      <c r="C45" s="38">
        <f>B45*Radio!$E$4</f>
        <v>17524940.434492029</v>
      </c>
      <c r="D45" s="39">
        <f t="shared" si="4"/>
        <v>10.159385759125813</v>
      </c>
      <c r="E45" s="38"/>
    </row>
    <row r="46" spans="1:5" x14ac:dyDescent="0.2">
      <c r="A46" s="37">
        <f t="shared" si="1"/>
        <v>1800000</v>
      </c>
      <c r="B46" s="36">
        <f t="shared" si="3"/>
        <v>79147.49610779807</v>
      </c>
      <c r="C46" s="38">
        <f>B46*Radio!$E$4</f>
        <v>17882585.270595897</v>
      </c>
      <c r="D46" s="39">
        <f t="shared" si="4"/>
        <v>9.9347695947754975</v>
      </c>
      <c r="E46" s="38"/>
    </row>
    <row r="47" spans="1:5" x14ac:dyDescent="0.2">
      <c r="A47" s="37">
        <f t="shared" si="1"/>
        <v>1875000</v>
      </c>
      <c r="B47" s="36">
        <f t="shared" si="3"/>
        <v>80642.101052666083</v>
      </c>
      <c r="C47" s="38">
        <f>B47*Radio!$E$4</f>
        <v>18220276.311839376</v>
      </c>
      <c r="D47" s="39">
        <f t="shared" si="4"/>
        <v>9.7174806996476661</v>
      </c>
      <c r="E47" s="38"/>
    </row>
    <row r="48" spans="1:5" x14ac:dyDescent="0.2">
      <c r="A48" s="37">
        <f t="shared" si="1"/>
        <v>1950000</v>
      </c>
      <c r="B48" s="36">
        <f t="shared" si="3"/>
        <v>82053.290614895523</v>
      </c>
      <c r="C48" s="38">
        <f>B48*Radio!$E$4</f>
        <v>18539120.481529493</v>
      </c>
      <c r="D48" s="39">
        <f t="shared" si="4"/>
        <v>9.5072412725792272</v>
      </c>
      <c r="E48" s="38"/>
    </row>
    <row r="49" spans="1:5" x14ac:dyDescent="0.2">
      <c r="A49" s="37">
        <f t="shared" si="1"/>
        <v>2025000</v>
      </c>
      <c r="B49" s="36">
        <f t="shared" si="3"/>
        <v>83385.695262668654</v>
      </c>
      <c r="C49" s="38">
        <f>B49*Radio!$E$4</f>
        <v>18840163.987647355</v>
      </c>
      <c r="D49" s="39">
        <f t="shared" si="4"/>
        <v>9.3037846852579538</v>
      </c>
      <c r="E49" s="38"/>
    </row>
    <row r="50" spans="1:5" x14ac:dyDescent="0.2">
      <c r="A50" s="37">
        <f>A49+(($C$18-$B$18)/$D$18)</f>
        <v>2100000</v>
      </c>
      <c r="B50" s="36">
        <f t="shared" si="3"/>
        <v>84643.69114721939</v>
      </c>
      <c r="C50" s="38">
        <f>B50*Radio!$E$4</f>
        <v>19124395.577802747</v>
      </c>
      <c r="D50" s="39">
        <f t="shared" si="4"/>
        <v>9.106855037048927</v>
      </c>
      <c r="E50" s="38"/>
    </row>
    <row r="51" spans="1:5" x14ac:dyDescent="0.2">
      <c r="A51" s="37">
        <f t="shared" si="1"/>
        <v>2175000</v>
      </c>
      <c r="B51" s="36">
        <f t="shared" si="3"/>
        <v>85831.413773337379</v>
      </c>
      <c r="C51" s="38">
        <f>B51*Radio!$E$4</f>
        <v>19392749.627947848</v>
      </c>
      <c r="D51" s="39">
        <f t="shared" si="4"/>
        <v>8.9162067254932644</v>
      </c>
      <c r="E51" s="38"/>
    </row>
    <row r="52" spans="1:5" x14ac:dyDescent="0.2">
      <c r="A52" s="37">
        <f t="shared" si="1"/>
        <v>2250000</v>
      </c>
      <c r="B52" s="36">
        <f t="shared" si="3"/>
        <v>86952.770967660472</v>
      </c>
      <c r="C52" s="38">
        <f>B52*Radio!$E$4</f>
        <v>19646109.072433207</v>
      </c>
      <c r="D52" s="39">
        <f t="shared" si="4"/>
        <v>8.7316040321925357</v>
      </c>
      <c r="E52" s="38"/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3A55744-9032-4525-A80E-70C6F57A345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Radio</vt:lpstr>
      <vt:lpstr>Data</vt:lpstr>
      <vt:lpstr>Radio - Power</vt:lpstr>
      <vt:lpstr>Radio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2023-08-17T08:45:50Z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cd227225-4586-4bda-b25e-f654c0432825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