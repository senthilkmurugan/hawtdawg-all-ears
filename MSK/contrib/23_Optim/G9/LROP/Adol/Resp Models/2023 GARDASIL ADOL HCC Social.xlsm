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OL\Resp Models\"/>
    </mc:Choice>
  </mc:AlternateContent>
  <xr:revisionPtr revIDLastSave="0" documentId="13_ncr:1_{1262629D-2DD1-4D52-B824-6C45273E23DC}" xr6:coauthVersionLast="47" xr6:coauthVersionMax="47" xr10:uidLastSave="{00000000-0000-0000-0000-000000000000}"/>
  <bookViews>
    <workbookView xWindow="-120" yWindow="-120" windowWidth="20730" windowHeight="11160" tabRatio="574" xr2:uid="{00000000-000D-0000-FFFF-FFFF00000000}"/>
  </bookViews>
  <sheets>
    <sheet name="HCC Social" sheetId="13" r:id="rId1"/>
    <sheet name="Data" sheetId="14" r:id="rId2"/>
    <sheet name="HCC Social - Power" sheetId="15" r:id="rId3"/>
    <sheet name="TV - Scurve" sheetId="8" state="hidden" r:id="rId4"/>
  </sheets>
  <functionGroups builtInGroupCount="19"/>
  <definedNames>
    <definedName name="solver_eng" localSheetId="2" hidden="1">1</definedName>
    <definedName name="solver_neg" localSheetId="2" hidden="1">1</definedName>
    <definedName name="solver_num" localSheetId="2" hidden="1">0</definedName>
    <definedName name="solver_opt" localSheetId="2" hidden="1">'HCC Social - Power'!$D$12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3" l="1"/>
  <c r="F10" i="13" s="1"/>
  <c r="G5" i="13" s="1"/>
  <c r="I5" i="14" s="1"/>
  <c r="C12" i="15" s="1"/>
  <c r="D12" i="15"/>
  <c r="H5" i="14" l="1"/>
  <c r="B12" i="15" s="1"/>
  <c r="A21" i="15"/>
  <c r="D6" i="13"/>
  <c r="B21" i="15" l="1"/>
  <c r="C21" i="15" s="1"/>
  <c r="G9" i="15"/>
  <c r="H9" i="15" s="1"/>
  <c r="E9" i="15"/>
  <c r="F9" i="15" s="1"/>
  <c r="A22" i="15"/>
  <c r="A23" i="15" s="1"/>
  <c r="A24" i="15"/>
  <c r="B23" i="15"/>
  <c r="C23" i="15" s="1"/>
  <c r="D23" i="15" s="1"/>
  <c r="B22" i="15"/>
  <c r="C22" i="15" s="1"/>
  <c r="D22" i="15" s="1"/>
  <c r="I9" i="15" l="1"/>
  <c r="B24" i="15"/>
  <c r="C24" i="15" s="1"/>
  <c r="D24" i="15" s="1"/>
  <c r="A25" i="15"/>
  <c r="B25" i="15" l="1"/>
  <c r="C25" i="15" s="1"/>
  <c r="D25" i="15" s="1"/>
  <c r="A26" i="15"/>
  <c r="A27" i="15" l="1"/>
  <c r="B26" i="15"/>
  <c r="C26" i="15" s="1"/>
  <c r="D26" i="15" s="1"/>
  <c r="A28" i="15" l="1"/>
  <c r="B27" i="15"/>
  <c r="C27" i="15" s="1"/>
  <c r="D27" i="15" s="1"/>
  <c r="B28" i="15" l="1"/>
  <c r="C28" i="15" s="1"/>
  <c r="D28" i="15" s="1"/>
  <c r="A29" i="15"/>
  <c r="B29" i="15" l="1"/>
  <c r="C29" i="15" s="1"/>
  <c r="D29" i="15" s="1"/>
  <c r="A30" i="15"/>
  <c r="A31" i="15" l="1"/>
  <c r="B30" i="15"/>
  <c r="C30" i="15" s="1"/>
  <c r="D30" i="15" s="1"/>
  <c r="B31" i="15" l="1"/>
  <c r="C31" i="15" s="1"/>
  <c r="D31" i="15" s="1"/>
  <c r="A32" i="15"/>
  <c r="B32" i="15" l="1"/>
  <c r="C32" i="15" s="1"/>
  <c r="D32" i="15" s="1"/>
  <c r="A33" i="15"/>
  <c r="A34" i="15" l="1"/>
  <c r="B33" i="15"/>
  <c r="C33" i="15" s="1"/>
  <c r="D33" i="15" s="1"/>
  <c r="A35" i="15" l="1"/>
  <c r="B34" i="15"/>
  <c r="C34" i="15" s="1"/>
  <c r="D34" i="15" s="1"/>
  <c r="A36" i="15" l="1"/>
  <c r="B35" i="15"/>
  <c r="C35" i="15" s="1"/>
  <c r="D35" i="15" s="1"/>
  <c r="B36" i="15" l="1"/>
  <c r="C36" i="15" s="1"/>
  <c r="D36" i="15" s="1"/>
  <c r="A37" i="15"/>
  <c r="B37" i="15" l="1"/>
  <c r="C37" i="15" s="1"/>
  <c r="D37" i="15" s="1"/>
  <c r="A38" i="15"/>
  <c r="A39" i="15" l="1"/>
  <c r="B38" i="15"/>
  <c r="C38" i="15" s="1"/>
  <c r="D38" i="15" s="1"/>
  <c r="B39" i="15" l="1"/>
  <c r="C39" i="15" s="1"/>
  <c r="D39" i="15" s="1"/>
  <c r="A40" i="15"/>
  <c r="B40" i="15" l="1"/>
  <c r="C40" i="15" s="1"/>
  <c r="D40" i="15" s="1"/>
  <c r="A41" i="15"/>
  <c r="B41" i="15" s="1"/>
  <c r="C41" i="15" s="1"/>
  <c r="D41" i="15" s="1"/>
  <c r="G12" i="8" l="1"/>
  <c r="F17" i="8" s="1"/>
  <c r="B27" i="8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C12" i="8" l="1"/>
  <c r="H9" i="8" s="1"/>
  <c r="E9" i="8" s="1"/>
  <c r="D12" i="8"/>
  <c r="F12" i="8"/>
  <c r="C9" i="8" l="1"/>
  <c r="D9" i="8"/>
  <c r="E17" i="8"/>
  <c r="C17" i="8"/>
  <c r="D17" i="8" s="1"/>
  <c r="I12" i="8"/>
  <c r="I9" i="8"/>
  <c r="G17" i="8" l="1"/>
  <c r="H17" i="8" s="1"/>
  <c r="I17" i="8"/>
  <c r="C50" i="8" l="1"/>
  <c r="D50" i="8" s="1"/>
  <c r="F50" i="8" s="1"/>
  <c r="C35" i="8"/>
  <c r="D35" i="8" s="1"/>
  <c r="F35" i="8" s="1"/>
  <c r="C56" i="8"/>
  <c r="D56" i="8" s="1"/>
  <c r="C38" i="8"/>
  <c r="D38" i="8" s="1"/>
  <c r="F38" i="8" s="1"/>
  <c r="C43" i="8"/>
  <c r="D43" i="8" s="1"/>
  <c r="F43" i="8" s="1"/>
  <c r="C31" i="8"/>
  <c r="C52" i="8"/>
  <c r="D52" i="8" s="1"/>
  <c r="F52" i="8" s="1"/>
  <c r="C45" i="8"/>
  <c r="D45" i="8" s="1"/>
  <c r="F45" i="8" s="1"/>
  <c r="C48" i="8"/>
  <c r="C39" i="8"/>
  <c r="D39" i="8" s="1"/>
  <c r="F39" i="8" s="1"/>
  <c r="C30" i="8"/>
  <c r="D30" i="8" s="1"/>
  <c r="F30" i="8" s="1"/>
  <c r="C53" i="8"/>
  <c r="D53" i="8" s="1"/>
  <c r="F53" i="8" s="1"/>
  <c r="C36" i="8"/>
  <c r="D36" i="8" s="1"/>
  <c r="F36" i="8" s="1"/>
  <c r="C44" i="8"/>
  <c r="D44" i="8" s="1"/>
  <c r="F44" i="8" s="1"/>
  <c r="C63" i="8"/>
  <c r="D63" i="8" s="1"/>
  <c r="F63" i="8" s="1"/>
  <c r="C42" i="8"/>
  <c r="C57" i="8"/>
  <c r="D57" i="8" s="1"/>
  <c r="F57" i="8" s="1"/>
  <c r="C40" i="8"/>
  <c r="C49" i="8"/>
  <c r="D49" i="8" s="1"/>
  <c r="F9" i="8"/>
  <c r="G9" i="8" s="1"/>
  <c r="C54" i="8"/>
  <c r="D54" i="8" s="1"/>
  <c r="F54" i="8" s="1"/>
  <c r="C61" i="8"/>
  <c r="C37" i="8"/>
  <c r="D37" i="8" s="1"/>
  <c r="F37" i="8" s="1"/>
  <c r="C67" i="8"/>
  <c r="D67" i="8" s="1"/>
  <c r="F67" i="8" s="1"/>
  <c r="C34" i="8"/>
  <c r="D34" i="8" s="1"/>
  <c r="F34" i="8" s="1"/>
  <c r="C41" i="8"/>
  <c r="D41" i="8" s="1"/>
  <c r="F41" i="8" s="1"/>
  <c r="C32" i="8"/>
  <c r="D32" i="8" s="1"/>
  <c r="F32" i="8" s="1"/>
  <c r="C33" i="8"/>
  <c r="C28" i="8"/>
  <c r="D28" i="8" s="1"/>
  <c r="F28" i="8" s="1"/>
  <c r="C29" i="8"/>
  <c r="C58" i="8"/>
  <c r="C46" i="8"/>
  <c r="E46" i="8" s="1"/>
  <c r="C47" i="8"/>
  <c r="C62" i="8"/>
  <c r="E62" i="8" s="1"/>
  <c r="C51" i="8"/>
  <c r="E52" i="8" s="1"/>
  <c r="C65" i="8"/>
  <c r="D65" i="8" s="1"/>
  <c r="F65" i="8" s="1"/>
  <c r="C64" i="8"/>
  <c r="D64" i="8" s="1"/>
  <c r="C59" i="8"/>
  <c r="D59" i="8" s="1"/>
  <c r="C60" i="8"/>
  <c r="C55" i="8"/>
  <c r="D55" i="8" s="1"/>
  <c r="F55" i="8" s="1"/>
  <c r="C27" i="8"/>
  <c r="D27" i="8" s="1"/>
  <c r="D40" i="8"/>
  <c r="F40" i="8" s="1"/>
  <c r="C66" i="8"/>
  <c r="D66" i="8" s="1"/>
  <c r="G50" i="8" l="1"/>
  <c r="E43" i="8"/>
  <c r="D46" i="8"/>
  <c r="F46" i="8" s="1"/>
  <c r="G67" i="8"/>
  <c r="E47" i="8"/>
  <c r="G54" i="8"/>
  <c r="E56" i="8"/>
  <c r="E31" i="8"/>
  <c r="E36" i="8"/>
  <c r="E48" i="8"/>
  <c r="F49" i="8"/>
  <c r="E49" i="8"/>
  <c r="D48" i="8"/>
  <c r="F48" i="8" s="1"/>
  <c r="E39" i="8"/>
  <c r="E54" i="8"/>
  <c r="E60" i="8"/>
  <c r="E38" i="8"/>
  <c r="E51" i="8"/>
  <c r="E61" i="8"/>
  <c r="G53" i="8"/>
  <c r="D31" i="8"/>
  <c r="F31" i="8" s="1"/>
  <c r="D51" i="8"/>
  <c r="E64" i="8"/>
  <c r="G55" i="8"/>
  <c r="D60" i="8"/>
  <c r="F60" i="8" s="1"/>
  <c r="E32" i="8"/>
  <c r="E53" i="8"/>
  <c r="G64" i="8"/>
  <c r="E50" i="8"/>
  <c r="E63" i="8"/>
  <c r="D29" i="8"/>
  <c r="F29" i="8" s="1"/>
  <c r="E29" i="8"/>
  <c r="E41" i="8"/>
  <c r="D61" i="8"/>
  <c r="D62" i="8"/>
  <c r="E40" i="8"/>
  <c r="F59" i="8"/>
  <c r="D47" i="8"/>
  <c r="F47" i="8" s="1"/>
  <c r="E55" i="8"/>
  <c r="E28" i="8"/>
  <c r="E59" i="8"/>
  <c r="E44" i="8"/>
  <c r="E34" i="8"/>
  <c r="E65" i="8"/>
  <c r="D33" i="8"/>
  <c r="F33" i="8" s="1"/>
  <c r="E33" i="8"/>
  <c r="E42" i="8"/>
  <c r="D42" i="8"/>
  <c r="F42" i="8" s="1"/>
  <c r="F64" i="8"/>
  <c r="E35" i="8"/>
  <c r="G57" i="8"/>
  <c r="E45" i="8"/>
  <c r="E57" i="8"/>
  <c r="E37" i="8"/>
  <c r="E58" i="8"/>
  <c r="D58" i="8"/>
  <c r="E30" i="8"/>
  <c r="E66" i="8"/>
  <c r="F66" i="8"/>
  <c r="E67" i="8"/>
  <c r="G56" i="8"/>
  <c r="F56" i="8"/>
  <c r="G66" i="8"/>
  <c r="G65" i="8"/>
  <c r="G60" i="8" l="1"/>
  <c r="G49" i="8"/>
  <c r="G51" i="8"/>
  <c r="F51" i="8"/>
  <c r="G52" i="8"/>
  <c r="G63" i="8"/>
  <c r="G62" i="8"/>
  <c r="F62" i="8"/>
  <c r="F58" i="8"/>
  <c r="G58" i="8"/>
  <c r="G61" i="8"/>
  <c r="F61" i="8"/>
  <c r="G59" i="8"/>
  <c r="K5" i="14" l="1"/>
  <c r="J5" i="14"/>
</calcChain>
</file>

<file path=xl/sharedStrings.xml><?xml version="1.0" encoding="utf-8"?>
<sst xmlns="http://schemas.openxmlformats.org/spreadsheetml/2006/main" count="125" uniqueCount="95">
  <si>
    <t>ROI</t>
  </si>
  <si>
    <t>Parameters for back-calculation of Incremental NRx</t>
  </si>
  <si>
    <t>Pre-Tax Spend</t>
  </si>
  <si>
    <t>Purpose</t>
  </si>
  <si>
    <t>Creates a S type curve given (Xcurr,Ycurr), Ymin, Ymax. Uses equation proposed by Lodish.</t>
  </si>
  <si>
    <t>Product</t>
  </si>
  <si>
    <t>X unit</t>
  </si>
  <si>
    <t>Spend $</t>
  </si>
  <si>
    <t>Note 1: YELLOW cells need user input (some or optional)</t>
  </si>
  <si>
    <t>Channel</t>
  </si>
  <si>
    <t>Y unit</t>
  </si>
  <si>
    <t>Function Type</t>
  </si>
  <si>
    <t>Optimization Details</t>
  </si>
  <si>
    <t>Constraints</t>
  </si>
  <si>
    <t>Objective Function</t>
  </si>
  <si>
    <t>Initial Starting Values (optional)</t>
  </si>
  <si>
    <t>Min</t>
  </si>
  <si>
    <t>Max</t>
  </si>
  <si>
    <t>Starting X value</t>
  </si>
  <si>
    <t>Starting Y value</t>
  </si>
  <si>
    <t>Inputs</t>
  </si>
  <si>
    <t>X current</t>
  </si>
  <si>
    <t>Y current</t>
  </si>
  <si>
    <t>Y min</t>
  </si>
  <si>
    <t>Y max</t>
  </si>
  <si>
    <t>Temporary Values</t>
  </si>
  <si>
    <t>A</t>
  </si>
  <si>
    <t>B</t>
  </si>
  <si>
    <t>C</t>
  </si>
  <si>
    <t>Axis Configuration for Plotting</t>
  </si>
  <si>
    <t>Xaxis MIN</t>
  </si>
  <si>
    <t>Xaxis Max</t>
  </si>
  <si>
    <t>Intervals</t>
  </si>
  <si>
    <t>Optimal YT value</t>
  </si>
  <si>
    <t>Y Base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</si>
  <si>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</si>
  <si>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YL min [=YBase - Ycurrent]</t>
  </si>
  <si>
    <t>YL max [=YLmin + Ymax]</t>
  </si>
  <si>
    <t>XL current [=Xcurrent]</t>
  </si>
  <si>
    <t>YL current [=YBase]</t>
  </si>
  <si>
    <t>* Note: To avoid singularity when YLmin is 0, the whole curve is lifted up in Y axis by one unit and then in the final objective function estimation, they are brought down by one unit.</t>
  </si>
  <si>
    <t>YT Current</t>
  </si>
  <si>
    <t>Multiplication Factor (3yr Adherence Rxs)</t>
  </si>
  <si>
    <t>Optimal Y value</t>
  </si>
  <si>
    <t>Optimal X value</t>
  </si>
  <si>
    <t xml:space="preserve">In terms of NRx, Ybase = Curr NRx; YLmin =  Curr NRx - Curr Incr. NRx(Yc).; YLMax = Curr NRx + Max Possible Incr. NRx (Ymax); Ymin = min Incr NRx for no investmet = 0; </t>
  </si>
  <si>
    <t>S type curve estimation(Lodish). Adjusted with respect to Y base</t>
  </si>
  <si>
    <t>Ybase</t>
  </si>
  <si>
    <t>YT unit</t>
  </si>
  <si>
    <t>Slope chg</t>
  </si>
  <si>
    <t>In here, S curve is applied to YLmin = Ybase + Ymin and YLmax = YLmin + Ymax.</t>
  </si>
  <si>
    <t>X (Spend)</t>
  </si>
  <si>
    <t>YR (Incr. Rev)</t>
  </si>
  <si>
    <t>Incr. Rx</t>
  </si>
  <si>
    <t>Rx</t>
  </si>
  <si>
    <t>Incr.Rx</t>
  </si>
  <si>
    <t>Y (Incr. Rx</t>
  </si>
  <si>
    <t>TV &amp; Print</t>
  </si>
  <si>
    <t>GARDASIL 9</t>
  </si>
  <si>
    <t>Current Values (optional)</t>
  </si>
  <si>
    <t>Response Function Scaling Factor (for sensitivity analysis)</t>
  </si>
  <si>
    <t>Data Values</t>
  </si>
  <si>
    <t>X</t>
  </si>
  <si>
    <t>2018 Curve</t>
  </si>
  <si>
    <t>3-yr post tax NPV</t>
  </si>
  <si>
    <t>Post Tax PGM ($)</t>
  </si>
  <si>
    <t>3-Yr Adherence Rxs per New Patient</t>
  </si>
  <si>
    <t>Starting YT value</t>
  </si>
  <si>
    <t>Gardasil</t>
  </si>
  <si>
    <t>Incr. Doses</t>
  </si>
  <si>
    <t>Program</t>
  </si>
  <si>
    <t>Pre-tax cost</t>
  </si>
  <si>
    <t>Pre-tax NPV</t>
  </si>
  <si>
    <t># Incr. NRxs</t>
  </si>
  <si>
    <t>tax rate on revenue</t>
  </si>
  <si>
    <t>Estimated Incr. NRx</t>
  </si>
  <si>
    <t>Estimated Incr. NRx (as % of NPA NRx)</t>
  </si>
  <si>
    <t>Spend per NRx</t>
  </si>
  <si>
    <t>* Note: The above marroon colored values are used to construct lodish type response curve for Aquisition programs</t>
  </si>
  <si>
    <t>Power</t>
  </si>
  <si>
    <t xml:space="preserve">Note : </t>
  </si>
  <si>
    <t>3-yr pre-tax Incr. Rev.</t>
  </si>
  <si>
    <t>Doses</t>
  </si>
  <si>
    <t>Y (Incr. doses)</t>
  </si>
  <si>
    <t>Given a set of X and Y values, a power function (i.e., a smooth continuous curve) is fit for each pair of values</t>
  </si>
  <si>
    <t>HCC Social</t>
  </si>
  <si>
    <t>Merck GARDASIL HCC Social: Incremental Doses per Tactic with ROI, Spend and Incremental Revenue</t>
  </si>
  <si>
    <t>Power Curve</t>
  </si>
  <si>
    <t>Revenue</t>
  </si>
  <si>
    <t>Social</t>
  </si>
  <si>
    <t>2021 ROI</t>
  </si>
  <si>
    <t>2022 Pre-tax PGM/Rx</t>
  </si>
  <si>
    <r>
      <t xml:space="preserve">Total GARDASIL </t>
    </r>
    <r>
      <rPr>
        <b/>
        <sz val="10"/>
        <color rgb="FF0000FF"/>
        <rFont val="Arial Narrow"/>
        <family val="2"/>
      </rPr>
      <t xml:space="preserve">Forecasted </t>
    </r>
    <r>
      <rPr>
        <b/>
        <sz val="10"/>
        <color theme="1"/>
        <rFont val="Arial Narrow"/>
        <family val="2"/>
      </rPr>
      <t>Doses in 2022</t>
    </r>
  </si>
  <si>
    <t>2023 Projection</t>
  </si>
  <si>
    <t>2023 Spend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</si>
</sst>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&quot;$&quot;#,##0.00"/>
    <numFmt numFmtId="168" formatCode="0.0000"/>
    <numFmt numFmtId="169" formatCode="\$##,###,###"/>
    <numFmt numFmtId="170" formatCode="\$#,###,###"/>
    <numFmt numFmtId="171" formatCode="0.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sz val="11"/>
      <color theme="1"/>
      <name val="Arial Narrow"/>
      <family val="2"/>
    </font>
    <font>
      <sz val="11"/>
      <color theme="0"/>
      <name val="Arial Narrow"/>
      <family val="2"/>
    </font>
    <font>
      <b/>
      <sz val="10"/>
      <color theme="1"/>
      <name val="Arial Narrow"/>
      <family val="2"/>
    </font>
    <font>
      <b/>
      <sz val="10"/>
      <color rgb="FF0000FF"/>
      <name val="Arial Narrow"/>
      <family val="2"/>
    </font>
    <font>
      <sz val="10"/>
      <color rgb="FF0000FF"/>
      <name val="Arial Narrow"/>
      <family val="2"/>
    </font>
    <font>
      <b/>
      <sz val="11"/>
      <color rgb="FFC00000"/>
      <name val="Arial Narrow"/>
      <family val="2"/>
    </font>
    <font>
      <sz val="11"/>
      <color rgb="FFC00000"/>
      <name val="Arial Narrow"/>
      <family val="2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47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5" borderId="0" applyNumberFormat="0" applyBorder="0" applyAlignment="0" applyProtection="0"/>
    <xf numFmtId="0" fontId="9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4" applyNumberFormat="0" applyAlignment="0" applyProtection="0"/>
    <xf numFmtId="0" fontId="12" fillId="9" borderId="5" applyNumberFormat="0" applyAlignment="0" applyProtection="0"/>
    <xf numFmtId="0" fontId="13" fillId="9" borderId="4" applyNumberFormat="0" applyAlignment="0" applyProtection="0"/>
    <xf numFmtId="0" fontId="14" fillId="0" borderId="6" applyNumberFormat="0" applyFill="0" applyAlignment="0" applyProtection="0"/>
    <xf numFmtId="0" fontId="2" fillId="10" borderId="7" applyNumberFormat="0" applyAlignment="0" applyProtection="0"/>
    <xf numFmtId="0" fontId="15" fillId="0" borderId="0" applyNumberFormat="0" applyFill="0" applyBorder="0" applyAlignment="0" applyProtection="0"/>
    <xf numFmtId="0" fontId="1" fillId="11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3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3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43" fontId="27" fillId="0" borderId="0" applyFont="0" applyFill="0" applyBorder="0" applyAlignment="0" applyProtection="0"/>
    <xf numFmtId="0" fontId="27" fillId="0" borderId="0"/>
    <xf numFmtId="0" fontId="27" fillId="0" borderId="0"/>
    <xf numFmtId="0" fontId="27" fillId="0" borderId="0"/>
  </cellStyleXfs>
  <cellXfs count="176">
    <xf numFmtId="0" fontId="0" fillId="0" borderId="0" xfId="0"/>
    <xf numFmtId="0" fontId="21" fillId="0" borderId="0" xfId="0" applyFont="1"/>
    <xf numFmtId="0" fontId="21" fillId="37" borderId="13" xfId="0" applyFont="1" applyFill="1" applyBorder="1"/>
    <xf numFmtId="0" fontId="21" fillId="37" borderId="14" xfId="0" applyFont="1" applyFill="1" applyBorder="1"/>
    <xf numFmtId="0" fontId="21" fillId="37" borderId="19" xfId="0" applyFont="1" applyFill="1" applyBorder="1"/>
    <xf numFmtId="0" fontId="21" fillId="37" borderId="20" xfId="0" applyFont="1" applyFill="1" applyBorder="1"/>
    <xf numFmtId="0" fontId="21" fillId="36" borderId="20" xfId="0" applyFont="1" applyFill="1" applyBorder="1"/>
    <xf numFmtId="9" fontId="21" fillId="0" borderId="0" xfId="0" applyNumberFormat="1" applyFont="1"/>
    <xf numFmtId="166" fontId="21" fillId="37" borderId="19" xfId="2" applyNumberFormat="1" applyFont="1" applyFill="1" applyBorder="1"/>
    <xf numFmtId="166" fontId="21" fillId="37" borderId="19" xfId="0" applyNumberFormat="1" applyFont="1" applyFill="1" applyBorder="1"/>
    <xf numFmtId="0" fontId="21" fillId="37" borderId="15" xfId="0" applyFont="1" applyFill="1" applyBorder="1" applyAlignment="1">
      <alignment horizontal="left"/>
    </xf>
    <xf numFmtId="0" fontId="21" fillId="37" borderId="16" xfId="0" applyFont="1" applyFill="1" applyBorder="1" applyAlignment="1">
      <alignment horizontal="left"/>
    </xf>
    <xf numFmtId="0" fontId="21" fillId="37" borderId="17" xfId="0" applyFont="1" applyFill="1" applyBorder="1" applyAlignment="1">
      <alignment horizontal="left"/>
    </xf>
    <xf numFmtId="165" fontId="21" fillId="36" borderId="19" xfId="0" applyNumberFormat="1" applyFont="1" applyFill="1" applyBorder="1" applyAlignment="1">
      <alignment horizontal="center" vertical="center" wrapText="1"/>
    </xf>
    <xf numFmtId="164" fontId="21" fillId="36" borderId="19" xfId="2" applyNumberFormat="1" applyFont="1" applyFill="1" applyBorder="1" applyAlignment="1">
      <alignment horizontal="center" vertical="center" wrapText="1"/>
    </xf>
    <xf numFmtId="165" fontId="21" fillId="0" borderId="0" xfId="0" applyNumberFormat="1" applyFont="1"/>
    <xf numFmtId="0" fontId="20" fillId="0" borderId="0" xfId="0" applyFont="1" applyFill="1" applyBorder="1"/>
    <xf numFmtId="0" fontId="21" fillId="0" borderId="0" xfId="0" applyFont="1" applyFill="1" applyBorder="1" applyAlignment="1">
      <alignment wrapText="1"/>
    </xf>
    <xf numFmtId="164" fontId="21" fillId="37" borderId="11" xfId="2" applyNumberFormat="1" applyFont="1" applyFill="1" applyBorder="1"/>
    <xf numFmtId="3" fontId="21" fillId="37" borderId="11" xfId="0" applyNumberFormat="1" applyFont="1" applyFill="1" applyBorder="1"/>
    <xf numFmtId="0" fontId="21" fillId="37" borderId="11" xfId="0" applyFont="1" applyFill="1" applyBorder="1"/>
    <xf numFmtId="165" fontId="21" fillId="37" borderId="46" xfId="1" applyNumberFormat="1" applyFont="1" applyFill="1" applyBorder="1"/>
    <xf numFmtId="43" fontId="21" fillId="37" borderId="46" xfId="1" applyNumberFormat="1" applyFont="1" applyFill="1" applyBorder="1"/>
    <xf numFmtId="0" fontId="23" fillId="40" borderId="14" xfId="0" applyFont="1" applyFill="1" applyBorder="1" applyAlignment="1">
      <alignment horizontal="center" vertical="center" wrapText="1"/>
    </xf>
    <xf numFmtId="0" fontId="23" fillId="40" borderId="27" xfId="0" applyFont="1" applyFill="1" applyBorder="1" applyAlignment="1">
      <alignment horizontal="center" vertical="center" wrapText="1"/>
    </xf>
    <xf numFmtId="0" fontId="23" fillId="40" borderId="28" xfId="0" applyFont="1" applyFill="1" applyBorder="1" applyAlignment="1">
      <alignment horizontal="center" vertical="center" wrapText="1"/>
    </xf>
    <xf numFmtId="0" fontId="23" fillId="40" borderId="42" xfId="0" applyFont="1" applyFill="1" applyBorder="1" applyAlignment="1">
      <alignment horizontal="center" vertical="center" wrapText="1"/>
    </xf>
    <xf numFmtId="0" fontId="23" fillId="40" borderId="17" xfId="0" applyFont="1" applyFill="1" applyBorder="1" applyAlignment="1">
      <alignment horizontal="center" vertical="center" wrapText="1"/>
    </xf>
    <xf numFmtId="0" fontId="23" fillId="40" borderId="29" xfId="0" applyFont="1" applyFill="1" applyBorder="1" applyAlignment="1">
      <alignment horizontal="center" vertical="center" wrapText="1"/>
    </xf>
    <xf numFmtId="0" fontId="23" fillId="40" borderId="11" xfId="0" applyFont="1" applyFill="1" applyBorder="1"/>
    <xf numFmtId="0" fontId="23" fillId="40" borderId="12" xfId="0" applyFont="1" applyFill="1" applyBorder="1"/>
    <xf numFmtId="0" fontId="23" fillId="40" borderId="18" xfId="0" applyFont="1" applyFill="1" applyBorder="1"/>
    <xf numFmtId="0" fontId="23" fillId="40" borderId="38" xfId="0" applyFont="1" applyFill="1" applyBorder="1"/>
    <xf numFmtId="0" fontId="23" fillId="40" borderId="13" xfId="0" applyFont="1" applyFill="1" applyBorder="1"/>
    <xf numFmtId="0" fontId="23" fillId="40" borderId="19" xfId="0" applyFont="1" applyFill="1" applyBorder="1"/>
    <xf numFmtId="164" fontId="22" fillId="0" borderId="30" xfId="2" applyNumberFormat="1" applyFont="1" applyFill="1" applyBorder="1"/>
    <xf numFmtId="3" fontId="22" fillId="0" borderId="19" xfId="0" applyNumberFormat="1" applyFont="1" applyFill="1" applyBorder="1"/>
    <xf numFmtId="3" fontId="22" fillId="0" borderId="41" xfId="0" applyNumberFormat="1" applyFont="1" applyFill="1" applyBorder="1"/>
    <xf numFmtId="0" fontId="21" fillId="0" borderId="0" xfId="0" applyFont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19" xfId="0" applyNumberFormat="1" applyFont="1" applyFill="1" applyBorder="1" applyAlignment="1">
      <alignment horizontal="center" vertical="center" wrapText="1"/>
    </xf>
    <xf numFmtId="165" fontId="21" fillId="0" borderId="20" xfId="0" applyNumberFormat="1" applyFont="1" applyFill="1" applyBorder="1" applyAlignment="1">
      <alignment horizontal="center" vertical="center" wrapText="1"/>
    </xf>
    <xf numFmtId="164" fontId="23" fillId="0" borderId="19" xfId="2" applyNumberFormat="1" applyFont="1" applyFill="1" applyBorder="1"/>
    <xf numFmtId="3" fontId="23" fillId="0" borderId="20" xfId="0" applyNumberFormat="1" applyFont="1" applyFill="1" applyBorder="1"/>
    <xf numFmtId="165" fontId="21" fillId="0" borderId="11" xfId="0" applyNumberFormat="1" applyFont="1" applyFill="1" applyBorder="1" applyAlignment="1">
      <alignment horizontal="center" vertical="center" wrapText="1"/>
    </xf>
    <xf numFmtId="0" fontId="23" fillId="40" borderId="10" xfId="0" applyFont="1" applyFill="1" applyBorder="1" applyAlignment="1">
      <alignment horizontal="center" vertical="center" wrapText="1"/>
    </xf>
    <xf numFmtId="0" fontId="23" fillId="40" borderId="13" xfId="0" applyFont="1" applyFill="1" applyBorder="1" applyAlignment="1">
      <alignment horizontal="center" vertical="center" wrapText="1"/>
    </xf>
    <xf numFmtId="167" fontId="21" fillId="0" borderId="0" xfId="0" applyNumberFormat="1" applyFont="1"/>
    <xf numFmtId="166" fontId="21" fillId="39" borderId="10" xfId="0" applyNumberFormat="1" applyFont="1" applyFill="1" applyBorder="1" applyAlignment="1">
      <alignment horizontal="center"/>
    </xf>
    <xf numFmtId="0" fontId="21" fillId="39" borderId="10" xfId="0" applyFont="1" applyFill="1" applyBorder="1" applyAlignment="1">
      <alignment horizontal="center"/>
    </xf>
    <xf numFmtId="3" fontId="21" fillId="39" borderId="10" xfId="0" applyNumberFormat="1" applyFont="1" applyFill="1" applyBorder="1" applyAlignment="1">
      <alignment horizontal="center"/>
    </xf>
    <xf numFmtId="166" fontId="21" fillId="38" borderId="10" xfId="0" applyNumberFormat="1" applyFont="1" applyFill="1" applyBorder="1" applyAlignment="1">
      <alignment horizontal="center"/>
    </xf>
    <xf numFmtId="3" fontId="21" fillId="38" borderId="10" xfId="0" applyNumberFormat="1" applyFont="1" applyFill="1" applyBorder="1" applyAlignment="1">
      <alignment horizontal="center"/>
    </xf>
    <xf numFmtId="168" fontId="21" fillId="39" borderId="10" xfId="0" applyNumberFormat="1" applyFont="1" applyFill="1" applyBorder="1" applyAlignment="1">
      <alignment horizontal="center"/>
    </xf>
    <xf numFmtId="168" fontId="21" fillId="38" borderId="10" xfId="0" applyNumberFormat="1" applyFont="1" applyFill="1" applyBorder="1" applyAlignment="1">
      <alignment horizontal="center"/>
    </xf>
    <xf numFmtId="5" fontId="21" fillId="39" borderId="10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2" fontId="21" fillId="38" borderId="0" xfId="0" applyNumberFormat="1" applyFont="1" applyFill="1" applyAlignment="1">
      <alignment horizontal="center"/>
    </xf>
    <xf numFmtId="166" fontId="21" fillId="0" borderId="0" xfId="0" applyNumberFormat="1" applyFont="1"/>
    <xf numFmtId="166" fontId="21" fillId="42" borderId="10" xfId="0" applyNumberFormat="1" applyFont="1" applyFill="1" applyBorder="1" applyAlignment="1">
      <alignment horizontal="center"/>
    </xf>
    <xf numFmtId="3" fontId="21" fillId="42" borderId="10" xfId="0" applyNumberFormat="1" applyFont="1" applyFill="1" applyBorder="1" applyAlignment="1">
      <alignment horizontal="center"/>
    </xf>
    <xf numFmtId="168" fontId="21" fillId="42" borderId="10" xfId="0" applyNumberFormat="1" applyFont="1" applyFill="1" applyBorder="1" applyAlignment="1">
      <alignment horizontal="center"/>
    </xf>
    <xf numFmtId="2" fontId="21" fillId="42" borderId="0" xfId="0" applyNumberFormat="1" applyFont="1" applyFill="1" applyAlignment="1">
      <alignment horizontal="center"/>
    </xf>
    <xf numFmtId="166" fontId="21" fillId="43" borderId="10" xfId="0" applyNumberFormat="1" applyFont="1" applyFill="1" applyBorder="1" applyAlignment="1">
      <alignment horizontal="center"/>
    </xf>
    <xf numFmtId="3" fontId="21" fillId="43" borderId="10" xfId="0" applyNumberFormat="1" applyFont="1" applyFill="1" applyBorder="1" applyAlignment="1">
      <alignment horizontal="center"/>
    </xf>
    <xf numFmtId="168" fontId="21" fillId="43" borderId="10" xfId="0" applyNumberFormat="1" applyFont="1" applyFill="1" applyBorder="1" applyAlignment="1">
      <alignment horizontal="center"/>
    </xf>
    <xf numFmtId="2" fontId="21" fillId="43" borderId="0" xfId="0" applyNumberFormat="1" applyFont="1" applyFill="1" applyAlignment="1">
      <alignment horizontal="center"/>
    </xf>
    <xf numFmtId="0" fontId="25" fillId="44" borderId="11" xfId="0" applyFont="1" applyFill="1" applyBorder="1"/>
    <xf numFmtId="0" fontId="25" fillId="44" borderId="12" xfId="0" applyFont="1" applyFill="1" applyBorder="1"/>
    <xf numFmtId="0" fontId="25" fillId="44" borderId="13" xfId="0" applyFont="1" applyFill="1" applyBorder="1"/>
    <xf numFmtId="0" fontId="25" fillId="44" borderId="18" xfId="0" applyFont="1" applyFill="1" applyBorder="1"/>
    <xf numFmtId="0" fontId="25" fillId="44" borderId="19" xfId="0" applyFont="1" applyFill="1" applyBorder="1"/>
    <xf numFmtId="0" fontId="25" fillId="44" borderId="48" xfId="0" applyFont="1" applyFill="1" applyBorder="1"/>
    <xf numFmtId="164" fontId="21" fillId="37" borderId="19" xfId="2" applyNumberFormat="1" applyFont="1" applyFill="1" applyBorder="1"/>
    <xf numFmtId="0" fontId="25" fillId="44" borderId="29" xfId="0" applyFont="1" applyFill="1" applyBorder="1" applyAlignment="1">
      <alignment horizontal="center" vertical="center" wrapText="1"/>
    </xf>
    <xf numFmtId="0" fontId="25" fillId="44" borderId="13" xfId="0" applyFont="1" applyFill="1" applyBorder="1" applyAlignment="1">
      <alignment horizontal="center" vertical="center" wrapText="1"/>
    </xf>
    <xf numFmtId="0" fontId="25" fillId="44" borderId="14" xfId="0" applyFont="1" applyFill="1" applyBorder="1" applyAlignment="1">
      <alignment horizontal="center" vertical="center" wrapText="1"/>
    </xf>
    <xf numFmtId="0" fontId="25" fillId="44" borderId="10" xfId="0" applyFont="1" applyFill="1" applyBorder="1" applyAlignment="1">
      <alignment horizontal="center" vertical="center" wrapText="1"/>
    </xf>
    <xf numFmtId="0" fontId="28" fillId="38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6" fontId="0" fillId="0" borderId="0" xfId="0" applyNumberFormat="1" applyAlignment="1">
      <alignment vertical="center" wrapText="1"/>
    </xf>
    <xf numFmtId="2" fontId="0" fillId="0" borderId="0" xfId="0" applyNumberFormat="1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169" fontId="0" fillId="0" borderId="0" xfId="0" applyNumberFormat="1"/>
    <xf numFmtId="0" fontId="17" fillId="45" borderId="0" xfId="0" applyFont="1" applyFill="1"/>
    <xf numFmtId="170" fontId="17" fillId="45" borderId="0" xfId="0" applyNumberFormat="1" applyFont="1" applyFill="1"/>
    <xf numFmtId="165" fontId="17" fillId="45" borderId="0" xfId="0" applyNumberFormat="1" applyFont="1" applyFill="1" applyAlignment="1">
      <alignment horizontal="center"/>
    </xf>
    <xf numFmtId="0" fontId="17" fillId="0" borderId="0" xfId="0" applyFont="1"/>
    <xf numFmtId="169" fontId="17" fillId="0" borderId="0" xfId="0" applyNumberFormat="1" applyFont="1"/>
    <xf numFmtId="0" fontId="30" fillId="0" borderId="0" xfId="0" applyFont="1"/>
    <xf numFmtId="0" fontId="31" fillId="2" borderId="0" xfId="3" applyFont="1"/>
    <xf numFmtId="9" fontId="31" fillId="2" borderId="0" xfId="6" applyFont="1" applyFill="1"/>
    <xf numFmtId="0" fontId="32" fillId="33" borderId="10" xfId="0" applyFont="1" applyFill="1" applyBorder="1" applyAlignment="1">
      <alignment wrapText="1"/>
    </xf>
    <xf numFmtId="0" fontId="30" fillId="35" borderId="10" xfId="0" applyFont="1" applyFill="1" applyBorder="1" applyAlignment="1">
      <alignment horizontal="center" vertical="center" wrapText="1"/>
    </xf>
    <xf numFmtId="44" fontId="30" fillId="35" borderId="10" xfId="2" applyFont="1" applyFill="1" applyBorder="1" applyAlignment="1">
      <alignment horizontal="center" vertical="center" wrapText="1"/>
    </xf>
    <xf numFmtId="0" fontId="30" fillId="0" borderId="0" xfId="0" applyFont="1" applyFill="1"/>
    <xf numFmtId="5" fontId="31" fillId="2" borderId="0" xfId="3" applyNumberFormat="1" applyFont="1"/>
    <xf numFmtId="164" fontId="35" fillId="35" borderId="10" xfId="0" applyNumberFormat="1" applyFont="1" applyFill="1" applyBorder="1" applyAlignment="1">
      <alignment horizontal="center" vertical="center"/>
    </xf>
    <xf numFmtId="165" fontId="35" fillId="35" borderId="10" xfId="0" applyNumberFormat="1" applyFont="1" applyFill="1" applyBorder="1" applyAlignment="1">
      <alignment horizontal="center" vertical="center"/>
    </xf>
    <xf numFmtId="10" fontId="28" fillId="35" borderId="10" xfId="6" applyNumberFormat="1" applyFont="1" applyFill="1" applyBorder="1" applyAlignment="1">
      <alignment horizontal="center" vertical="center"/>
    </xf>
    <xf numFmtId="44" fontId="28" fillId="35" borderId="10" xfId="2" applyFont="1" applyFill="1" applyBorder="1" applyAlignment="1">
      <alignment horizontal="center" vertical="center"/>
    </xf>
    <xf numFmtId="0" fontId="31" fillId="0" borderId="0" xfId="3" applyFont="1" applyFill="1"/>
    <xf numFmtId="5" fontId="31" fillId="0" borderId="0" xfId="3" applyNumberFormat="1" applyFont="1" applyFill="1"/>
    <xf numFmtId="0" fontId="36" fillId="0" borderId="0" xfId="0" applyFont="1" applyFill="1"/>
    <xf numFmtId="0" fontId="28" fillId="0" borderId="0" xfId="0" applyFont="1"/>
    <xf numFmtId="166" fontId="21" fillId="37" borderId="19" xfId="0" applyNumberFormat="1" applyFont="1" applyFill="1" applyBorder="1" applyAlignment="1">
      <alignment horizontal="center" vertical="center" wrapText="1"/>
    </xf>
    <xf numFmtId="166" fontId="26" fillId="46" borderId="19" xfId="0" applyNumberFormat="1" applyFont="1" applyFill="1" applyBorder="1" applyAlignment="1">
      <alignment horizontal="center"/>
    </xf>
    <xf numFmtId="3" fontId="21" fillId="45" borderId="10" xfId="0" applyNumberFormat="1" applyFont="1" applyFill="1" applyBorder="1" applyAlignment="1">
      <alignment horizontal="center"/>
    </xf>
    <xf numFmtId="3" fontId="26" fillId="45" borderId="19" xfId="0" applyNumberFormat="1" applyFont="1" applyFill="1" applyBorder="1" applyAlignment="1">
      <alignment horizontal="center"/>
    </xf>
    <xf numFmtId="166" fontId="21" fillId="37" borderId="19" xfId="0" applyNumberFormat="1" applyFont="1" applyFill="1" applyBorder="1" applyAlignment="1">
      <alignment horizontal="center"/>
    </xf>
    <xf numFmtId="3" fontId="21" fillId="45" borderId="20" xfId="0" applyNumberFormat="1" applyFont="1" applyFill="1" applyBorder="1" applyAlignment="1">
      <alignment horizontal="center"/>
    </xf>
    <xf numFmtId="2" fontId="21" fillId="37" borderId="10" xfId="0" applyNumberFormat="1" applyFont="1" applyFill="1" applyBorder="1" applyAlignment="1">
      <alignment horizontal="center"/>
    </xf>
    <xf numFmtId="5" fontId="21" fillId="37" borderId="10" xfId="2" applyNumberFormat="1" applyFont="1" applyFill="1" applyBorder="1" applyAlignment="1">
      <alignment horizontal="center" vertical="center"/>
    </xf>
    <xf numFmtId="3" fontId="21" fillId="37" borderId="10" xfId="0" applyNumberFormat="1" applyFont="1" applyFill="1" applyBorder="1" applyAlignment="1">
      <alignment horizontal="center" vertical="center"/>
    </xf>
    <xf numFmtId="171" fontId="21" fillId="37" borderId="10" xfId="0" applyNumberFormat="1" applyFont="1" applyFill="1" applyBorder="1" applyAlignment="1">
      <alignment horizontal="center" vertical="center"/>
    </xf>
    <xf numFmtId="9" fontId="21" fillId="37" borderId="10" xfId="0" applyNumberFormat="1" applyFont="1" applyFill="1" applyBorder="1" applyAlignment="1">
      <alignment horizontal="center"/>
    </xf>
    <xf numFmtId="166" fontId="21" fillId="0" borderId="10" xfId="0" applyNumberFormat="1" applyFont="1" applyBorder="1" applyAlignment="1">
      <alignment horizontal="center"/>
    </xf>
    <xf numFmtId="5" fontId="21" fillId="46" borderId="10" xfId="2" applyNumberFormat="1" applyFont="1" applyFill="1" applyBorder="1" applyAlignment="1">
      <alignment horizontal="center"/>
    </xf>
    <xf numFmtId="9" fontId="21" fillId="0" borderId="0" xfId="0" applyNumberFormat="1" applyFont="1" applyAlignment="1">
      <alignment horizontal="center"/>
    </xf>
    <xf numFmtId="0" fontId="37" fillId="0" borderId="52" xfId="0" applyFont="1" applyBorder="1"/>
    <xf numFmtId="0" fontId="38" fillId="0" borderId="51" xfId="0" applyFont="1" applyBorder="1" applyAlignment="1">
      <alignment horizontal="center" vertical="center"/>
    </xf>
    <xf numFmtId="6" fontId="39" fillId="0" borderId="54" xfId="0" applyNumberFormat="1" applyFont="1" applyBorder="1" applyAlignment="1">
      <alignment horizontal="center" vertical="center"/>
    </xf>
    <xf numFmtId="0" fontId="39" fillId="0" borderId="54" xfId="0" applyFont="1" applyBorder="1" applyAlignment="1">
      <alignment horizontal="center" vertical="center"/>
    </xf>
    <xf numFmtId="3" fontId="39" fillId="0" borderId="54" xfId="0" applyNumberFormat="1" applyFont="1" applyBorder="1" applyAlignment="1">
      <alignment horizontal="center" vertical="center"/>
    </xf>
    <xf numFmtId="0" fontId="39" fillId="0" borderId="53" xfId="0" applyFont="1" applyBorder="1" applyAlignment="1">
      <alignment vertical="center"/>
    </xf>
    <xf numFmtId="6" fontId="39" fillId="0" borderId="54" xfId="0" applyNumberFormat="1" applyFont="1" applyBorder="1" applyAlignment="1">
      <alignment vertical="center"/>
    </xf>
    <xf numFmtId="7" fontId="0" fillId="0" borderId="0" xfId="0" applyNumberFormat="1"/>
    <xf numFmtId="2" fontId="39" fillId="0" borderId="54" xfId="0" applyNumberFormat="1" applyFont="1" applyBorder="1" applyAlignment="1">
      <alignment horizontal="center" vertical="center"/>
    </xf>
    <xf numFmtId="6" fontId="0" fillId="0" borderId="0" xfId="0" applyNumberFormat="1" applyAlignment="1">
      <alignment horizontal="center" vertical="center" wrapText="1"/>
    </xf>
    <xf numFmtId="3" fontId="34" fillId="0" borderId="10" xfId="0" applyNumberFormat="1" applyFont="1" applyBorder="1"/>
    <xf numFmtId="0" fontId="29" fillId="3" borderId="0" xfId="4" applyFont="1" applyAlignment="1">
      <alignment horizontal="center"/>
    </xf>
    <xf numFmtId="0" fontId="30" fillId="34" borderId="34" xfId="0" applyFont="1" applyFill="1" applyBorder="1" applyAlignment="1">
      <alignment horizontal="center" wrapText="1"/>
    </xf>
    <xf numFmtId="0" fontId="30" fillId="34" borderId="35" xfId="0" applyFont="1" applyFill="1" applyBorder="1" applyAlignment="1">
      <alignment horizontal="center" wrapText="1"/>
    </xf>
    <xf numFmtId="0" fontId="21" fillId="44" borderId="49" xfId="0" applyFont="1" applyFill="1" applyBorder="1" applyAlignment="1">
      <alignment horizontal="center"/>
    </xf>
    <xf numFmtId="0" fontId="21" fillId="44" borderId="50" xfId="0" applyFont="1" applyFill="1" applyBorder="1" applyAlignment="1">
      <alignment horizontal="center"/>
    </xf>
    <xf numFmtId="0" fontId="21" fillId="44" borderId="51" xfId="0" applyFont="1" applyFill="1" applyBorder="1" applyAlignment="1">
      <alignment horizontal="center"/>
    </xf>
    <xf numFmtId="0" fontId="25" fillId="44" borderId="12" xfId="0" applyFont="1" applyFill="1" applyBorder="1" applyAlignment="1">
      <alignment horizontal="center" vertical="center" wrapText="1"/>
    </xf>
    <xf numFmtId="0" fontId="25" fillId="44" borderId="26" xfId="0" applyFont="1" applyFill="1" applyBorder="1" applyAlignment="1">
      <alignment horizontal="center" vertical="center" wrapText="1"/>
    </xf>
    <xf numFmtId="0" fontId="25" fillId="44" borderId="18" xfId="0" applyFont="1" applyFill="1" applyBorder="1" applyAlignment="1">
      <alignment horizontal="center" vertical="center" wrapText="1"/>
    </xf>
    <xf numFmtId="0" fontId="25" fillId="44" borderId="13" xfId="0" applyFont="1" applyFill="1" applyBorder="1" applyAlignment="1">
      <alignment horizontal="center" vertical="center" wrapText="1"/>
    </xf>
    <xf numFmtId="0" fontId="25" fillId="44" borderId="14" xfId="0" applyFont="1" applyFill="1" applyBorder="1" applyAlignment="1">
      <alignment horizontal="center" vertical="center" wrapText="1"/>
    </xf>
    <xf numFmtId="0" fontId="25" fillId="44" borderId="10" xfId="0" applyFont="1" applyFill="1" applyBorder="1" applyAlignment="1">
      <alignment horizontal="center" vertical="center" wrapText="1"/>
    </xf>
    <xf numFmtId="0" fontId="21" fillId="0" borderId="31" xfId="0" applyFont="1" applyBorder="1" applyAlignment="1">
      <alignment horizontal="left" vertical="center" wrapText="1"/>
    </xf>
    <xf numFmtId="0" fontId="21" fillId="0" borderId="32" xfId="0" applyFont="1" applyBorder="1" applyAlignment="1">
      <alignment horizontal="left" vertical="center" wrapText="1"/>
    </xf>
    <xf numFmtId="0" fontId="21" fillId="0" borderId="34" xfId="0" applyFont="1" applyBorder="1" applyAlignment="1">
      <alignment horizontal="left" vertical="center" wrapText="1"/>
    </xf>
    <xf numFmtId="0" fontId="21" fillId="0" borderId="35" xfId="0" applyFont="1" applyBorder="1" applyAlignment="1">
      <alignment horizontal="left" vertical="center" wrapText="1"/>
    </xf>
    <xf numFmtId="0" fontId="25" fillId="44" borderId="37" xfId="0" applyFont="1" applyFill="1" applyBorder="1" applyAlignment="1">
      <alignment horizontal="center" vertical="center" wrapText="1"/>
    </xf>
    <xf numFmtId="0" fontId="25" fillId="44" borderId="38" xfId="0" applyFont="1" applyFill="1" applyBorder="1" applyAlignment="1">
      <alignment horizontal="center" vertical="center" wrapText="1"/>
    </xf>
    <xf numFmtId="0" fontId="23" fillId="40" borderId="44" xfId="0" applyFont="1" applyFill="1" applyBorder="1" applyAlignment="1">
      <alignment horizontal="center" wrapText="1"/>
    </xf>
    <xf numFmtId="0" fontId="23" fillId="40" borderId="43" xfId="0" applyFont="1" applyFill="1" applyBorder="1" applyAlignment="1">
      <alignment horizontal="center" wrapText="1"/>
    </xf>
    <xf numFmtId="0" fontId="23" fillId="40" borderId="12" xfId="0" applyFont="1" applyFill="1" applyBorder="1" applyAlignment="1">
      <alignment horizontal="center" vertical="center" wrapText="1"/>
    </xf>
    <xf numFmtId="0" fontId="23" fillId="40" borderId="26" xfId="0" applyFont="1" applyFill="1" applyBorder="1" applyAlignment="1">
      <alignment horizontal="center" vertical="center" wrapText="1"/>
    </xf>
    <xf numFmtId="0" fontId="23" fillId="40" borderId="18" xfId="0" applyFont="1" applyFill="1" applyBorder="1" applyAlignment="1">
      <alignment horizontal="center" vertical="center" wrapText="1"/>
    </xf>
    <xf numFmtId="0" fontId="23" fillId="40" borderId="13" xfId="0" applyFont="1" applyFill="1" applyBorder="1" applyAlignment="1">
      <alignment horizontal="center" vertical="center" wrapText="1"/>
    </xf>
    <xf numFmtId="0" fontId="23" fillId="40" borderId="21" xfId="0" applyFont="1" applyFill="1" applyBorder="1" applyAlignment="1">
      <alignment horizontal="center" vertical="center" wrapText="1"/>
    </xf>
    <xf numFmtId="0" fontId="23" fillId="40" borderId="22" xfId="0" applyFont="1" applyFill="1" applyBorder="1" applyAlignment="1">
      <alignment horizontal="center" vertical="center" wrapText="1"/>
    </xf>
    <xf numFmtId="0" fontId="23" fillId="40" borderId="24" xfId="0" applyFont="1" applyFill="1" applyBorder="1" applyAlignment="1">
      <alignment horizontal="center" vertical="center" wrapText="1"/>
    </xf>
    <xf numFmtId="0" fontId="23" fillId="40" borderId="23" xfId="0" applyFont="1" applyFill="1" applyBorder="1" applyAlignment="1">
      <alignment horizontal="center" vertical="center" wrapText="1"/>
    </xf>
    <xf numFmtId="0" fontId="24" fillId="41" borderId="15" xfId="0" applyFont="1" applyFill="1" applyBorder="1" applyAlignment="1">
      <alignment horizontal="center" vertical="center" wrapText="1"/>
    </xf>
    <xf numFmtId="0" fontId="24" fillId="41" borderId="16" xfId="0" applyFont="1" applyFill="1" applyBorder="1" applyAlignment="1">
      <alignment horizontal="center" vertical="center" wrapText="1"/>
    </xf>
    <xf numFmtId="0" fontId="24" fillId="41" borderId="17" xfId="0" applyFont="1" applyFill="1" applyBorder="1" applyAlignment="1">
      <alignment horizontal="center" vertical="center" wrapText="1"/>
    </xf>
    <xf numFmtId="0" fontId="23" fillId="40" borderId="25" xfId="0" applyFont="1" applyFill="1" applyBorder="1" applyAlignment="1">
      <alignment horizontal="center" vertical="center" wrapText="1"/>
    </xf>
    <xf numFmtId="0" fontId="21" fillId="0" borderId="40" xfId="0" applyFont="1" applyBorder="1" applyAlignment="1">
      <alignment horizontal="center" vertical="center" wrapText="1"/>
    </xf>
    <xf numFmtId="0" fontId="21" fillId="0" borderId="47" xfId="0" applyFont="1" applyBorder="1" applyAlignment="1">
      <alignment horizontal="center" vertical="center" wrapText="1"/>
    </xf>
    <xf numFmtId="0" fontId="21" fillId="0" borderId="39" xfId="0" applyFont="1" applyBorder="1" applyAlignment="1">
      <alignment horizontal="center" vertical="center" wrapText="1"/>
    </xf>
    <xf numFmtId="0" fontId="21" fillId="0" borderId="34" xfId="0" applyFont="1" applyBorder="1" applyAlignment="1">
      <alignment horizontal="center" vertical="center" wrapText="1"/>
    </xf>
    <xf numFmtId="0" fontId="21" fillId="0" borderId="35" xfId="0" applyFont="1" applyBorder="1" applyAlignment="1">
      <alignment horizontal="center" vertical="center" wrapText="1"/>
    </xf>
    <xf numFmtId="0" fontId="21" fillId="0" borderId="36" xfId="0" applyFont="1" applyBorder="1" applyAlignment="1">
      <alignment horizontal="center" vertical="center" wrapText="1"/>
    </xf>
    <xf numFmtId="0" fontId="23" fillId="40" borderId="37" xfId="0" applyFont="1" applyFill="1" applyBorder="1" applyAlignment="1">
      <alignment horizontal="center" vertical="center" wrapText="1"/>
    </xf>
    <xf numFmtId="0" fontId="23" fillId="40" borderId="38" xfId="0" applyFont="1" applyFill="1" applyBorder="1" applyAlignment="1">
      <alignment horizontal="center" vertical="center" wrapText="1"/>
    </xf>
    <xf numFmtId="0" fontId="21" fillId="0" borderId="31" xfId="0" applyFont="1" applyBorder="1" applyAlignment="1">
      <alignment horizontal="center" vertical="center" wrapText="1"/>
    </xf>
    <xf numFmtId="0" fontId="21" fillId="0" borderId="32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3" fillId="40" borderId="45" xfId="0" applyFont="1" applyFill="1" applyBorder="1" applyAlignment="1">
      <alignment horizontal="center" vertical="center" wrapText="1"/>
    </xf>
  </cellXfs>
  <cellStyles count="57">
    <cellStyle name="20% - Accent1" xfId="25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39" builtinId="46" customBuiltin="1"/>
    <cellStyle name="20% - Accent6" xfId="43" builtinId="50" customBuiltin="1"/>
    <cellStyle name="40% - Accent1" xfId="26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0" builtinId="47" customBuiltin="1"/>
    <cellStyle name="40% - Accent6" xfId="44" builtinId="51" customBuiltin="1"/>
    <cellStyle name="60% - Accent1" xfId="3" builtinId="32" customBuiltin="1"/>
    <cellStyle name="60% - Accent2" xfId="30" builtinId="36" customBuiltin="1"/>
    <cellStyle name="60% - Accent3" xfId="34" builtinId="40" customBuiltin="1"/>
    <cellStyle name="60% - Accent4" xfId="4" builtinId="44" customBuiltin="1"/>
    <cellStyle name="60% - Accent5" xfId="41" builtinId="48" customBuiltin="1"/>
    <cellStyle name="60% - Accent6" xfId="5" builtinId="52" customBuiltin="1"/>
    <cellStyle name="Accent1" xfId="24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8" builtinId="45" customBuiltin="1"/>
    <cellStyle name="Accent6" xfId="42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omma" xfId="1" builtinId="3"/>
    <cellStyle name="Comma 2" xfId="46" xr:uid="{00000000-0005-0000-0000-00001C000000}"/>
    <cellStyle name="Comma 2 2" xfId="52" xr:uid="{00000000-0005-0000-0000-00001D000000}"/>
    <cellStyle name="Comma 2 3" xfId="49" xr:uid="{00000000-0005-0000-0000-00001E000000}"/>
    <cellStyle name="Comma 3" xfId="53" xr:uid="{00000000-0005-0000-0000-00001F000000}"/>
    <cellStyle name="Currency" xfId="2" builtinId="4"/>
    <cellStyle name="Currency 2" xfId="47" xr:uid="{00000000-0005-0000-0000-000021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45" xr:uid="{00000000-0005-0000-0000-00002C000000}"/>
    <cellStyle name="Normal 2 2" xfId="51" xr:uid="{00000000-0005-0000-0000-00002D000000}"/>
    <cellStyle name="Normal 2 2 2" xfId="54" xr:uid="{00000000-0005-0000-0000-00002E000000}"/>
    <cellStyle name="Normal 2 3" xfId="48" xr:uid="{00000000-0005-0000-0000-00002F000000}"/>
    <cellStyle name="Normal 3" xfId="55" xr:uid="{00000000-0005-0000-0000-000030000000}"/>
    <cellStyle name="Normal 4" xfId="56" xr:uid="{00000000-0005-0000-0000-000031000000}"/>
    <cellStyle name="Note" xfId="21" builtinId="10" customBuiltin="1"/>
    <cellStyle name="Output" xfId="16" builtinId="21" customBuiltin="1"/>
    <cellStyle name="Percent" xfId="6" builtinId="5"/>
    <cellStyle name="Percent 2" xfId="50" xr:uid="{00000000-0005-0000-0000-000035000000}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5048118985127"/>
          <c:y val="0.17171296296296296"/>
          <c:w val="0.78194685039370082"/>
          <c:h val="0.631975430154564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'HCC Social - Power'!$B$20</c:f>
              <c:strCache>
                <c:ptCount val="1"/>
                <c:pt idx="0">
                  <c:v>Y (Incr. doses)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'HCC Social - Power'!$A$21:$A$41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'HCC Social - Power'!$B$21:$B$41</c:f>
              <c:numCache>
                <c:formatCode>#,##0</c:formatCode>
                <c:ptCount val="21"/>
                <c:pt idx="0">
                  <c:v>0</c:v>
                </c:pt>
                <c:pt idx="1">
                  <c:v>21280.635822412063</c:v>
                </c:pt>
                <c:pt idx="2">
                  <c:v>32255.412261904592</c:v>
                </c:pt>
                <c:pt idx="3">
                  <c:v>41139.343076618679</c:v>
                </c:pt>
                <c:pt idx="4">
                  <c:v>48890.062724991418</c:v>
                </c:pt>
                <c:pt idx="5">
                  <c:v>55894.181682956114</c:v>
                </c:pt>
                <c:pt idx="6">
                  <c:v>62355.583836585771</c:v>
                </c:pt>
                <c:pt idx="7">
                  <c:v>68398.003276133066</c:v>
                </c:pt>
                <c:pt idx="8">
                  <c:v>74103.478010002</c:v>
                </c:pt>
                <c:pt idx="9">
                  <c:v>79529.839376007047</c:v>
                </c:pt>
                <c:pt idx="10">
                  <c:v>84719.737148398606</c:v>
                </c:pt>
                <c:pt idx="11">
                  <c:v>89705.735378365556</c:v>
                </c:pt>
                <c:pt idx="12">
                  <c:v>94513.391435541067</c:v>
                </c:pt>
                <c:pt idx="13">
                  <c:v>99163.217815008757</c:v>
                </c:pt>
                <c:pt idx="14">
                  <c:v>103671.98668186736</c:v>
                </c:pt>
                <c:pt idx="15">
                  <c:v>108053.62844564456</c:v>
                </c:pt>
                <c:pt idx="16">
                  <c:v>112319.869255799</c:v>
                </c:pt>
                <c:pt idx="17">
                  <c:v>116480.69479189794</c:v>
                </c:pt>
                <c:pt idx="18">
                  <c:v>120544.69507412486</c:v>
                </c:pt>
                <c:pt idx="19">
                  <c:v>124519.32570439449</c:v>
                </c:pt>
                <c:pt idx="20">
                  <c:v>128411.10910623417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1E-4D3F-BE2A-DBFDFA12A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9481528"/>
        <c:axId val="1219479888"/>
      </c:scatterChart>
      <c:valAx>
        <c:axId val="1219481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79888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21947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81528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0"/>
            </a:pPr>
            <a:r>
              <a:rPr lang="en-US" sz="1800" b="0"/>
              <a:t>2018 TV Response Curve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855757331844841"/>
          <c:y val="0.16320451479820011"/>
          <c:w val="0.77773565946069612"/>
          <c:h val="0.67348070896815893"/>
        </c:manualLayout>
      </c:layout>
      <c:scatterChart>
        <c:scatterStyle val="smoothMarker"/>
        <c:varyColors val="0"/>
        <c:ser>
          <c:idx val="1"/>
          <c:order val="0"/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0-87CB-4D35-A4C9-F9E1E3D82961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1-87CB-4D35-A4C9-F9E1E3D82961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2-87CB-4D35-A4C9-F9E1E3D82961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3-87CB-4D35-A4C9-F9E1E3D82961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4-87CB-4D35-A4C9-F9E1E3D82961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05-87CB-4D35-A4C9-F9E1E3D82961}"/>
              </c:ext>
            </c:extLst>
          </c:dPt>
          <c:xVal>
            <c:numRef>
              <c:f>'TV - Scurve'!$B$27:$B$67</c:f>
              <c:numCache>
                <c:formatCode>"$"#,##0</c:formatCode>
                <c:ptCount val="4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  <c:pt idx="21">
                  <c:v>21000000</c:v>
                </c:pt>
                <c:pt idx="22">
                  <c:v>22000000</c:v>
                </c:pt>
                <c:pt idx="23">
                  <c:v>23000000</c:v>
                </c:pt>
                <c:pt idx="24">
                  <c:v>24000000</c:v>
                </c:pt>
                <c:pt idx="25">
                  <c:v>25000000</c:v>
                </c:pt>
                <c:pt idx="26">
                  <c:v>26000000</c:v>
                </c:pt>
                <c:pt idx="27">
                  <c:v>27000000</c:v>
                </c:pt>
                <c:pt idx="28">
                  <c:v>28000000</c:v>
                </c:pt>
                <c:pt idx="29">
                  <c:v>29000000</c:v>
                </c:pt>
                <c:pt idx="30">
                  <c:v>30000000</c:v>
                </c:pt>
                <c:pt idx="31">
                  <c:v>31000000</c:v>
                </c:pt>
                <c:pt idx="32">
                  <c:v>32000000</c:v>
                </c:pt>
                <c:pt idx="33">
                  <c:v>33000000</c:v>
                </c:pt>
                <c:pt idx="34">
                  <c:v>34000000</c:v>
                </c:pt>
                <c:pt idx="35">
                  <c:v>35000000</c:v>
                </c:pt>
                <c:pt idx="36">
                  <c:v>36000000</c:v>
                </c:pt>
                <c:pt idx="37">
                  <c:v>37000000</c:v>
                </c:pt>
                <c:pt idx="38">
                  <c:v>38000000</c:v>
                </c:pt>
                <c:pt idx="39">
                  <c:v>39000000</c:v>
                </c:pt>
                <c:pt idx="40">
                  <c:v>40000000</c:v>
                </c:pt>
              </c:numCache>
            </c:numRef>
          </c:xVal>
          <c:yVal>
            <c:numRef>
              <c:f>'TV - Scurve'!$C$27:$C$67</c:f>
              <c:numCache>
                <c:formatCode>#,##0</c:formatCode>
                <c:ptCount val="4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7CB-4D35-A4C9-F9E1E3D82961}"/>
            </c:ext>
          </c:extLst>
        </c:ser>
        <c:ser>
          <c:idx val="0"/>
          <c:order val="1"/>
          <c:tx>
            <c:v>Current Spend</c:v>
          </c:tx>
          <c:marker>
            <c:symbol val="square"/>
            <c:size val="12"/>
            <c:spPr>
              <a:solidFill>
                <a:srgbClr val="FF0000"/>
              </a:solidFill>
            </c:spPr>
          </c:marker>
          <c:dPt>
            <c:idx val="0"/>
            <c:marker>
              <c:symbol val="circle"/>
              <c:size val="12"/>
              <c:spPr>
                <a:solidFill>
                  <a:srgbClr val="FFFF00"/>
                </a:solidFill>
                <a:ln>
                  <a:solidFill>
                    <a:schemeClr val="accent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87CB-4D35-A4C9-F9E1E3D82961}"/>
              </c:ext>
            </c:extLst>
          </c:dPt>
          <c:xVal>
            <c:numRef>
              <c:f>'TV - Scurve'!$C$12</c:f>
              <c:numCache>
                <c:formatCode>_("$"* #,##0_);_("$"* \(#,##0\);_("$"*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'TV - Scurve'!$D$12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7CB-4D35-A4C9-F9E1E3D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931840"/>
        <c:axId val="575574016"/>
      </c:scatterChart>
      <c:valAx>
        <c:axId val="568931840"/>
        <c:scaling>
          <c:orientation val="minMax"/>
          <c:max val="60000000"/>
          <c:min val="0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400" b="0"/>
                </a:pPr>
                <a:r>
                  <a:rPr lang="en-US" sz="1400" b="0"/>
                  <a:t>Pre-tax TV Spend ($MM)</a:t>
                </a:r>
              </a:p>
            </c:rich>
          </c:tx>
          <c:layout>
            <c:manualLayout>
              <c:xMode val="edge"/>
              <c:yMode val="edge"/>
              <c:x val="0.38453181485229287"/>
              <c:y val="0.91583234083740339"/>
            </c:manualLayout>
          </c:layout>
          <c:overlay val="0"/>
        </c:title>
        <c:numFmt formatCode="&quot;$&quot;#,##0" sourceLinked="1"/>
        <c:majorTickMark val="none"/>
        <c:minorTickMark val="none"/>
        <c:tickLblPos val="nextTo"/>
        <c:crossAx val="575574016"/>
        <c:crosses val="autoZero"/>
        <c:crossBetween val="midCat"/>
        <c:majorUnit val="5000000"/>
        <c:minorUnit val="2000000"/>
        <c:dispUnits>
          <c:builtInUnit val="millions"/>
        </c:dispUnits>
      </c:valAx>
      <c:valAx>
        <c:axId val="575574016"/>
        <c:scaling>
          <c:orientation val="minMax"/>
          <c:max val="100000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 b="0"/>
                </a:pPr>
                <a:r>
                  <a:rPr lang="en-US" sz="1400" b="0"/>
                  <a:t>Incremental</a:t>
                </a:r>
                <a:r>
                  <a:rPr lang="en-US" sz="1400" b="0" baseline="0"/>
                  <a:t> </a:t>
                </a:r>
              </a:p>
              <a:p>
                <a:pPr>
                  <a:defRPr sz="1400" b="0"/>
                </a:pPr>
                <a:r>
                  <a:rPr lang="en-US" sz="1400" b="0" baseline="0"/>
                  <a:t>Rxs</a:t>
                </a:r>
                <a:endParaRPr lang="en-US" sz="1400" b="0"/>
              </a:p>
            </c:rich>
          </c:tx>
          <c:layout>
            <c:manualLayout>
              <c:xMode val="edge"/>
              <c:yMode val="edge"/>
              <c:x val="2.1935294302363656E-2"/>
              <c:y val="0.2871587472928028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68931840"/>
        <c:crosses val="autoZero"/>
        <c:crossBetween val="midCat"/>
        <c:majorUnit val="100000"/>
        <c:minorUnit val="10000"/>
        <c:dispUnits>
          <c:builtInUnit val="thousands"/>
          <c:dispUnitsLbl/>
        </c:dispUnits>
      </c:valAx>
      <c:spPr>
        <a:noFill/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822959</xdr:colOff>
      <xdr:row>21</xdr:row>
      <xdr:rowOff>25588</xdr:rowOff>
    </xdr:from>
    <xdr:to>
      <xdr:col>9</xdr:col>
      <xdr:colOff>415233</xdr:colOff>
      <xdr:row>37</xdr:row>
      <xdr:rowOff>56296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AD5C2F-6BDD-4828-A186-F19EED4471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179294</xdr:colOff>
      <xdr:row>20</xdr:row>
      <xdr:rowOff>100852</xdr:rowOff>
    </xdr:from>
    <xdr:to>
      <xdr:col>14</xdr:col>
      <xdr:colOff>324969</xdr:colOff>
      <xdr:row>45</xdr:row>
      <xdr:rowOff>56028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3112-A1F4-451C-B723-C4B7D45C3837}">
  <sheetPr codeName="Sheet1"/>
  <dimension ref="C4:L10"/>
  <sheetViews>
    <sheetView showGridLines="0" tabSelected="1" zoomScale="120" zoomScaleNormal="120" workbookViewId="0">
      <selection activeCell="I5" sqref="I5"/>
    </sheetView>
  </sheetViews>
  <sheetFormatPr defaultRowHeight="15" x14ac:dyDescent="0.25"/>
  <cols>
    <col min="3" max="3" width="18.5703125" customWidth="1"/>
    <col min="4" max="6" width="13.28515625" customWidth="1"/>
    <col min="7" max="7" width="16.7109375" customWidth="1"/>
    <col min="8" max="8" width="13" bestFit="1" customWidth="1"/>
    <col min="11" max="11" width="20.28515625" customWidth="1"/>
    <col min="12" max="12" width="14.5703125" customWidth="1"/>
  </cols>
  <sheetData>
    <row r="4" spans="3:12" s="80" customFormat="1" ht="28.5" customHeight="1" x14ac:dyDescent="0.25">
      <c r="C4" s="79" t="s">
        <v>70</v>
      </c>
      <c r="D4" s="79" t="s">
        <v>71</v>
      </c>
      <c r="E4" s="79" t="s">
        <v>0</v>
      </c>
      <c r="F4" s="79" t="s">
        <v>72</v>
      </c>
      <c r="G4" s="79" t="s">
        <v>73</v>
      </c>
      <c r="L4" s="81"/>
    </row>
    <row r="5" spans="3:12" x14ac:dyDescent="0.25">
      <c r="C5" t="s">
        <v>85</v>
      </c>
      <c r="D5" s="82">
        <v>1873000</v>
      </c>
      <c r="E5" s="83">
        <v>9.3422418893705768</v>
      </c>
      <c r="F5" s="130">
        <v>225.94</v>
      </c>
      <c r="G5" s="84">
        <f>F10</f>
        <v>71243.17418511775</v>
      </c>
      <c r="L5" s="85"/>
    </row>
    <row r="6" spans="3:12" x14ac:dyDescent="0.25">
      <c r="C6" s="86"/>
      <c r="D6" s="87">
        <f>SUM(D5:D5)</f>
        <v>1873000</v>
      </c>
      <c r="E6" s="87"/>
      <c r="F6" s="87"/>
      <c r="G6" s="88"/>
      <c r="L6" s="85"/>
    </row>
    <row r="7" spans="3:12" x14ac:dyDescent="0.25">
      <c r="L7" s="85"/>
    </row>
    <row r="8" spans="3:12" ht="15.75" thickBot="1" x14ac:dyDescent="0.3">
      <c r="C8" s="89"/>
      <c r="K8" s="89"/>
      <c r="L8" s="90"/>
    </row>
    <row r="9" spans="3:12" ht="15.75" thickBot="1" x14ac:dyDescent="0.3">
      <c r="C9" s="121"/>
      <c r="D9" s="122" t="s">
        <v>94</v>
      </c>
      <c r="E9" s="122" t="s">
        <v>90</v>
      </c>
      <c r="F9" s="122" t="s">
        <v>69</v>
      </c>
      <c r="G9" s="122" t="s">
        <v>87</v>
      </c>
      <c r="H9" s="122" t="s">
        <v>88</v>
      </c>
    </row>
    <row r="10" spans="3:12" ht="15.75" thickBot="1" x14ac:dyDescent="0.3">
      <c r="C10" s="126" t="s">
        <v>89</v>
      </c>
      <c r="D10" s="123">
        <v>1723000</v>
      </c>
      <c r="E10" s="129">
        <v>9.3422418893705768</v>
      </c>
      <c r="F10" s="125">
        <f>H10/F5</f>
        <v>71243.17418511775</v>
      </c>
      <c r="G10" s="124">
        <v>0.6</v>
      </c>
      <c r="H10" s="127">
        <f>D10*E10</f>
        <v>16096682.775385505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647A6-05A0-460E-9EB7-B82893A215BE}">
  <sheetPr codeName="Sheet4"/>
  <dimension ref="A1:K10"/>
  <sheetViews>
    <sheetView showGridLines="0" zoomScale="120" zoomScaleNormal="120" workbookViewId="0">
      <selection activeCell="H4" sqref="H4"/>
    </sheetView>
  </sheetViews>
  <sheetFormatPr defaultColWidth="9.140625" defaultRowHeight="16.5" x14ac:dyDescent="0.3"/>
  <cols>
    <col min="1" max="1" width="6" style="91" bestFit="1" customWidth="1"/>
    <col min="2" max="2" width="8" style="91" bestFit="1" customWidth="1"/>
    <col min="3" max="3" width="40.28515625" style="91" bestFit="1" customWidth="1"/>
    <col min="4" max="4" width="7.28515625" style="91" bestFit="1" customWidth="1"/>
    <col min="5" max="5" width="4.5703125" style="91" customWidth="1"/>
    <col min="6" max="6" width="18" style="91" bestFit="1" customWidth="1"/>
    <col min="7" max="7" width="3.5703125" style="91" customWidth="1"/>
    <col min="8" max="8" width="14.140625" style="91" bestFit="1" customWidth="1"/>
    <col min="9" max="9" width="12.28515625" style="91" customWidth="1"/>
    <col min="10" max="10" width="12.140625" style="91" customWidth="1"/>
    <col min="11" max="11" width="14.28515625" style="91" customWidth="1"/>
    <col min="12" max="12" width="11.7109375" style="91" customWidth="1"/>
    <col min="13" max="16384" width="9.140625" style="91"/>
  </cols>
  <sheetData>
    <row r="1" spans="1:11" x14ac:dyDescent="0.3">
      <c r="A1" s="132" t="s">
        <v>86</v>
      </c>
      <c r="B1" s="132"/>
      <c r="C1" s="132"/>
      <c r="D1" s="132"/>
      <c r="E1" s="132"/>
      <c r="F1" s="132"/>
      <c r="G1" s="132"/>
      <c r="H1" s="132"/>
      <c r="I1" s="132"/>
      <c r="J1" s="132"/>
    </row>
    <row r="3" spans="1:11" x14ac:dyDescent="0.3">
      <c r="B3" s="92" t="s">
        <v>1</v>
      </c>
      <c r="C3" s="92"/>
      <c r="D3" s="92"/>
      <c r="H3" s="133" t="s">
        <v>93</v>
      </c>
      <c r="I3" s="134"/>
      <c r="J3" s="134"/>
      <c r="K3" s="134"/>
    </row>
    <row r="4" spans="1:11" ht="66" x14ac:dyDescent="0.3">
      <c r="B4" s="92">
        <v>2022</v>
      </c>
      <c r="C4" s="92" t="s">
        <v>74</v>
      </c>
      <c r="D4" s="93"/>
      <c r="F4" s="94" t="s">
        <v>92</v>
      </c>
      <c r="H4" s="95" t="s">
        <v>2</v>
      </c>
      <c r="I4" s="95" t="s">
        <v>75</v>
      </c>
      <c r="J4" s="95" t="s">
        <v>76</v>
      </c>
      <c r="K4" s="96" t="s">
        <v>77</v>
      </c>
    </row>
    <row r="5" spans="1:11" s="97" customFormat="1" ht="25.5" customHeight="1" x14ac:dyDescent="0.3">
      <c r="B5" s="92">
        <v>2022</v>
      </c>
      <c r="C5" s="92" t="s">
        <v>91</v>
      </c>
      <c r="D5" s="98">
        <v>225.94</v>
      </c>
      <c r="F5" s="131">
        <v>8649234</v>
      </c>
      <c r="G5" s="91"/>
      <c r="H5" s="99">
        <f>'HCC Social'!D5</f>
        <v>1873000</v>
      </c>
      <c r="I5" s="100">
        <f>'HCC Social'!G5</f>
        <v>71243.17418511775</v>
      </c>
      <c r="J5" s="101">
        <f>I5/F5</f>
        <v>8.2369345291291411E-3</v>
      </c>
      <c r="K5" s="102">
        <f>H5/I5</f>
        <v>26.290237926979646</v>
      </c>
    </row>
    <row r="6" spans="1:11" s="97" customFormat="1" x14ac:dyDescent="0.3">
      <c r="B6" s="103"/>
      <c r="C6" s="103"/>
      <c r="D6" s="104"/>
      <c r="H6" s="105" t="s">
        <v>78</v>
      </c>
    </row>
    <row r="7" spans="1:11" s="97" customFormat="1" x14ac:dyDescent="0.3">
      <c r="B7" s="103"/>
      <c r="C7" s="103"/>
      <c r="D7" s="104"/>
    </row>
    <row r="8" spans="1:11" s="97" customFormat="1" x14ac:dyDescent="0.3">
      <c r="B8" s="103"/>
      <c r="C8" s="103"/>
      <c r="D8" s="104"/>
    </row>
    <row r="10" spans="1:11" x14ac:dyDescent="0.3">
      <c r="H10" s="106"/>
    </row>
  </sheetData>
  <mergeCells count="2">
    <mergeCell ref="A1:J1"/>
    <mergeCell ref="H3:K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3848-195B-4656-B00A-28FDAB648984}">
  <dimension ref="A1:I41"/>
  <sheetViews>
    <sheetView workbookViewId="0">
      <selection activeCell="C22" sqref="C22"/>
    </sheetView>
  </sheetViews>
  <sheetFormatPr defaultRowHeight="15" x14ac:dyDescent="0.25"/>
  <cols>
    <col min="1" max="1" width="16.42578125" bestFit="1" customWidth="1"/>
    <col min="2" max="2" width="18" customWidth="1"/>
    <col min="3" max="3" width="11.42578125" bestFit="1" customWidth="1"/>
    <col min="4" max="4" width="19.28515625" customWidth="1"/>
    <col min="5" max="5" width="17.7109375" customWidth="1"/>
    <col min="6" max="6" width="15.42578125" customWidth="1"/>
    <col min="7" max="7" width="15.7109375" customWidth="1"/>
    <col min="8" max="8" width="15" customWidth="1"/>
    <col min="9" max="9" width="14.28515625" customWidth="1"/>
  </cols>
  <sheetData>
    <row r="1" spans="1:9" ht="15.75" thickBot="1" x14ac:dyDescent="0.3">
      <c r="A1" s="68" t="s">
        <v>3</v>
      </c>
      <c r="B1" s="1" t="s">
        <v>84</v>
      </c>
      <c r="C1" s="1"/>
      <c r="D1" s="1"/>
      <c r="E1" s="1"/>
      <c r="F1" s="1"/>
      <c r="G1" s="1"/>
      <c r="H1" s="1"/>
      <c r="I1" s="1"/>
    </row>
    <row r="2" spans="1:9" x14ac:dyDescent="0.25">
      <c r="A2" s="69" t="s">
        <v>5</v>
      </c>
      <c r="B2" s="2" t="s">
        <v>68</v>
      </c>
      <c r="C2" s="70" t="s">
        <v>6</v>
      </c>
      <c r="D2" s="3" t="s">
        <v>7</v>
      </c>
      <c r="E2" s="70" t="s">
        <v>48</v>
      </c>
      <c r="F2" s="3" t="s">
        <v>69</v>
      </c>
      <c r="G2" s="1"/>
      <c r="H2" s="1"/>
      <c r="I2" s="1"/>
    </row>
    <row r="3" spans="1:9" ht="15.75" thickBot="1" x14ac:dyDescent="0.3">
      <c r="A3" s="71" t="s">
        <v>9</v>
      </c>
      <c r="B3" s="4" t="s">
        <v>85</v>
      </c>
      <c r="C3" s="72" t="s">
        <v>10</v>
      </c>
      <c r="D3" s="5" t="s">
        <v>69</v>
      </c>
      <c r="E3" s="72" t="s">
        <v>47</v>
      </c>
      <c r="F3" s="5" t="s">
        <v>82</v>
      </c>
      <c r="G3" s="1"/>
      <c r="H3" s="1"/>
      <c r="I3" s="1"/>
    </row>
    <row r="4" spans="1:9" ht="15.75" thickBot="1" x14ac:dyDescent="0.3">
      <c r="A4" s="73" t="s">
        <v>11</v>
      </c>
      <c r="B4" s="135"/>
      <c r="C4" s="136"/>
      <c r="D4" s="136"/>
      <c r="E4" s="136"/>
      <c r="F4" s="137"/>
      <c r="G4" s="1"/>
      <c r="H4" s="1"/>
      <c r="I4" s="1"/>
    </row>
    <row r="5" spans="1:9" x14ac:dyDescent="0.25">
      <c r="A5" s="1"/>
      <c r="B5" s="1"/>
      <c r="C5" s="1"/>
      <c r="D5" s="1"/>
      <c r="E5" s="1"/>
      <c r="F5" s="1"/>
      <c r="G5" s="1"/>
      <c r="H5" s="1"/>
      <c r="I5" s="1"/>
    </row>
    <row r="6" spans="1:9" ht="15.75" thickBot="1" x14ac:dyDescent="0.3">
      <c r="A6" s="1"/>
      <c r="B6" s="120">
        <v>0.8</v>
      </c>
      <c r="C6" s="120">
        <v>1.2</v>
      </c>
      <c r="D6" s="1"/>
      <c r="E6" s="1"/>
      <c r="F6" s="1"/>
      <c r="G6" s="1"/>
      <c r="H6" s="1"/>
      <c r="I6" s="1"/>
    </row>
    <row r="7" spans="1:9" x14ac:dyDescent="0.25">
      <c r="A7" s="138" t="s">
        <v>12</v>
      </c>
      <c r="B7" s="141" t="s">
        <v>13</v>
      </c>
      <c r="C7" s="141"/>
      <c r="D7" s="141" t="s">
        <v>14</v>
      </c>
      <c r="E7" s="141"/>
      <c r="F7" s="141"/>
      <c r="G7" s="141" t="s">
        <v>59</v>
      </c>
      <c r="H7" s="141"/>
      <c r="I7" s="142"/>
    </row>
    <row r="8" spans="1:9" x14ac:dyDescent="0.25">
      <c r="A8" s="139"/>
      <c r="B8" s="78" t="s">
        <v>16</v>
      </c>
      <c r="C8" s="78" t="s">
        <v>17</v>
      </c>
      <c r="D8" s="78" t="s">
        <v>44</v>
      </c>
      <c r="E8" s="78" t="s">
        <v>43</v>
      </c>
      <c r="F8" s="78" t="s">
        <v>33</v>
      </c>
      <c r="G8" s="78" t="s">
        <v>18</v>
      </c>
      <c r="H8" s="78" t="s">
        <v>19</v>
      </c>
      <c r="I8" s="75" t="s">
        <v>67</v>
      </c>
    </row>
    <row r="9" spans="1:9" ht="15.75" thickBot="1" x14ac:dyDescent="0.3">
      <c r="A9" s="140"/>
      <c r="B9" s="107"/>
      <c r="C9" s="107"/>
      <c r="D9" s="108"/>
      <c r="E9" s="109">
        <f>(('HCC Social - Power'!D9/$B$12)^$D$12)*$C$12</f>
        <v>0</v>
      </c>
      <c r="F9" s="110">
        <f>E9*F11</f>
        <v>0</v>
      </c>
      <c r="G9" s="111">
        <f>B12</f>
        <v>1873000</v>
      </c>
      <c r="H9" s="109">
        <f>(('HCC Social - Power'!G9/$B$12)^$D$12)*$C$12</f>
        <v>71243.17418511775</v>
      </c>
      <c r="I9" s="112">
        <f>H9*F11</f>
        <v>71243.17418511775</v>
      </c>
    </row>
    <row r="10" spans="1:9" ht="15.75" thickBot="1" x14ac:dyDescent="0.3"/>
    <row r="11" spans="1:9" ht="48.95" customHeight="1" x14ac:dyDescent="0.25">
      <c r="A11" s="143" t="s">
        <v>20</v>
      </c>
      <c r="B11" s="76" t="s">
        <v>21</v>
      </c>
      <c r="C11" s="76" t="s">
        <v>22</v>
      </c>
      <c r="D11" s="76" t="s">
        <v>79</v>
      </c>
      <c r="E11" s="78" t="s">
        <v>66</v>
      </c>
      <c r="F11" s="113">
        <v>1</v>
      </c>
    </row>
    <row r="12" spans="1:9" ht="40.35" customHeight="1" thickBot="1" x14ac:dyDescent="0.3">
      <c r="A12" s="143"/>
      <c r="B12" s="114">
        <f>Data!H5</f>
        <v>1873000</v>
      </c>
      <c r="C12" s="115">
        <f>Data!I5</f>
        <v>71243.17418511775</v>
      </c>
      <c r="D12" s="116">
        <f>'HCC Social'!G10</f>
        <v>0.6</v>
      </c>
      <c r="E12" s="78" t="s">
        <v>60</v>
      </c>
      <c r="F12" s="117">
        <v>1</v>
      </c>
    </row>
    <row r="13" spans="1:9" ht="18.75" customHeight="1" x14ac:dyDescent="0.25">
      <c r="A13" s="144" t="s">
        <v>80</v>
      </c>
      <c r="B13" s="145"/>
      <c r="C13" s="145"/>
      <c r="D13" s="145"/>
      <c r="E13" s="78" t="s">
        <v>65</v>
      </c>
      <c r="F13" s="78" t="s">
        <v>64</v>
      </c>
    </row>
    <row r="14" spans="1:9" ht="15.75" thickBot="1" x14ac:dyDescent="0.3">
      <c r="A14" s="146"/>
      <c r="B14" s="147"/>
      <c r="C14" s="147"/>
      <c r="D14" s="147"/>
      <c r="E14" s="74"/>
      <c r="F14" s="74"/>
    </row>
    <row r="15" spans="1:9" ht="15.75" thickBot="1" x14ac:dyDescent="0.3"/>
    <row r="16" spans="1:9" x14ac:dyDescent="0.25">
      <c r="A16" s="148" t="s">
        <v>29</v>
      </c>
      <c r="B16" s="76" t="s">
        <v>30</v>
      </c>
      <c r="C16" s="76" t="s">
        <v>31</v>
      </c>
      <c r="D16" s="77" t="s">
        <v>32</v>
      </c>
    </row>
    <row r="17" spans="1:4" ht="15.75" thickBot="1" x14ac:dyDescent="0.3">
      <c r="A17" s="149"/>
      <c r="B17" s="9">
        <v>0</v>
      </c>
      <c r="C17" s="9">
        <v>5000000</v>
      </c>
      <c r="D17" s="6">
        <v>20</v>
      </c>
    </row>
    <row r="18" spans="1:4" x14ac:dyDescent="0.25">
      <c r="A18" s="1"/>
      <c r="B18" s="1"/>
      <c r="C18" s="1"/>
      <c r="D18" s="1"/>
    </row>
    <row r="19" spans="1:4" x14ac:dyDescent="0.25">
      <c r="A19" s="143" t="s">
        <v>61</v>
      </c>
      <c r="B19" s="143"/>
      <c r="C19" s="143"/>
      <c r="D19" s="1"/>
    </row>
    <row r="20" spans="1:4" ht="25.5" x14ac:dyDescent="0.25">
      <c r="A20" s="78" t="s">
        <v>62</v>
      </c>
      <c r="B20" s="78" t="s">
        <v>83</v>
      </c>
      <c r="C20" s="78" t="s">
        <v>81</v>
      </c>
    </row>
    <row r="21" spans="1:4" x14ac:dyDescent="0.25">
      <c r="A21" s="118">
        <f>B17</f>
        <v>0</v>
      </c>
      <c r="B21" s="109">
        <f>(('HCC Social - Power'!A21/$B$12)^$D$12)*$C$12</f>
        <v>0</v>
      </c>
      <c r="C21" s="119">
        <f>B21*'HCC Social'!$F$5</f>
        <v>0</v>
      </c>
    </row>
    <row r="22" spans="1:4" x14ac:dyDescent="0.25">
      <c r="A22" s="118">
        <f>A21+(($C$17-$B$17)/$D$17)</f>
        <v>250000</v>
      </c>
      <c r="B22" s="109">
        <f>(('HCC Social - Power'!A22/$B$12)^$D$12)*$C$12</f>
        <v>21280.635822412063</v>
      </c>
      <c r="C22" s="119">
        <f>B22*'HCC Social'!$F$5</f>
        <v>4808146.8577157818</v>
      </c>
      <c r="D22" s="128">
        <f>C22/A22</f>
        <v>19.232587430863127</v>
      </c>
    </row>
    <row r="23" spans="1:4" x14ac:dyDescent="0.25">
      <c r="A23" s="118">
        <f t="shared" ref="A23:A41" si="0">A22+(($C$17-$B$17)/$D$17)</f>
        <v>500000</v>
      </c>
      <c r="B23" s="109">
        <f>(('HCC Social - Power'!A23/$B$12)^$D$12)*$C$12</f>
        <v>32255.412261904592</v>
      </c>
      <c r="C23" s="119">
        <f>B23*'HCC Social'!$F$5</f>
        <v>7287787.8464547237</v>
      </c>
      <c r="D23" s="128">
        <f t="shared" ref="D23:D41" si="1">C23/A23</f>
        <v>14.575575692909448</v>
      </c>
    </row>
    <row r="24" spans="1:4" x14ac:dyDescent="0.25">
      <c r="A24" s="118">
        <f t="shared" si="0"/>
        <v>750000</v>
      </c>
      <c r="B24" s="109">
        <f>(('HCC Social - Power'!A24/$B$12)^$D$12)*$C$12</f>
        <v>41139.343076618679</v>
      </c>
      <c r="C24" s="119">
        <f>B24*'HCC Social'!$F$5</f>
        <v>9295023.1747312248</v>
      </c>
      <c r="D24" s="128">
        <f t="shared" si="1"/>
        <v>12.393364232974966</v>
      </c>
    </row>
    <row r="25" spans="1:4" x14ac:dyDescent="0.25">
      <c r="A25" s="118">
        <f t="shared" si="0"/>
        <v>1000000</v>
      </c>
      <c r="B25" s="109">
        <f>(('HCC Social - Power'!A25/$B$12)^$D$12)*$C$12</f>
        <v>48890.062724991418</v>
      </c>
      <c r="C25" s="119">
        <f>B25*'HCC Social'!$F$5</f>
        <v>11046220.77208456</v>
      </c>
      <c r="D25" s="128">
        <f t="shared" si="1"/>
        <v>11.04622077208456</v>
      </c>
    </row>
    <row r="26" spans="1:4" x14ac:dyDescent="0.25">
      <c r="A26" s="118">
        <f t="shared" si="0"/>
        <v>1250000</v>
      </c>
      <c r="B26" s="109">
        <f>(('HCC Social - Power'!A26/$B$12)^$D$12)*$C$12</f>
        <v>55894.181682956114</v>
      </c>
      <c r="C26" s="119">
        <f>B26*'HCC Social'!$F$5</f>
        <v>12628731.409447104</v>
      </c>
      <c r="D26" s="128">
        <f t="shared" si="1"/>
        <v>10.102985127557684</v>
      </c>
    </row>
    <row r="27" spans="1:4" x14ac:dyDescent="0.25">
      <c r="A27" s="118">
        <f t="shared" si="0"/>
        <v>1500000</v>
      </c>
      <c r="B27" s="109">
        <f>(('HCC Social - Power'!A27/$B$12)^$D$12)*$C$12</f>
        <v>62355.583836585771</v>
      </c>
      <c r="C27" s="119">
        <f>B27*'HCC Social'!$F$5</f>
        <v>14088620.61203819</v>
      </c>
      <c r="D27" s="128">
        <f t="shared" si="1"/>
        <v>9.3924137413587925</v>
      </c>
    </row>
    <row r="28" spans="1:4" x14ac:dyDescent="0.25">
      <c r="A28" s="118">
        <f t="shared" si="0"/>
        <v>1750000</v>
      </c>
      <c r="B28" s="109">
        <f>(('HCC Social - Power'!A28/$B$12)^$D$12)*$C$12</f>
        <v>68398.003276133066</v>
      </c>
      <c r="C28" s="119">
        <f>B28*'HCC Social'!$F$5</f>
        <v>15453844.860209504</v>
      </c>
      <c r="D28" s="128">
        <f t="shared" si="1"/>
        <v>8.8307684915482874</v>
      </c>
    </row>
    <row r="29" spans="1:4" x14ac:dyDescent="0.25">
      <c r="A29" s="118">
        <f t="shared" si="0"/>
        <v>2000000</v>
      </c>
      <c r="B29" s="109">
        <f>(('HCC Social - Power'!A29/$B$12)^$D$12)*$C$12</f>
        <v>74103.478010002</v>
      </c>
      <c r="C29" s="119">
        <f>B29*'HCC Social'!$F$5</f>
        <v>16742939.821579851</v>
      </c>
      <c r="D29" s="128">
        <f t="shared" si="1"/>
        <v>8.3714699107899264</v>
      </c>
    </row>
    <row r="30" spans="1:4" x14ac:dyDescent="0.25">
      <c r="A30" s="118">
        <f t="shared" si="0"/>
        <v>2250000</v>
      </c>
      <c r="B30" s="109">
        <f>(('HCC Social - Power'!A30/$B$12)^$D$12)*$C$12</f>
        <v>79529.839376007047</v>
      </c>
      <c r="C30" s="119">
        <f>B30*'HCC Social'!$F$5</f>
        <v>17968971.90861503</v>
      </c>
      <c r="D30" s="128">
        <f t="shared" si="1"/>
        <v>7.9862097371622358</v>
      </c>
    </row>
    <row r="31" spans="1:4" x14ac:dyDescent="0.25">
      <c r="A31" s="118">
        <f t="shared" si="0"/>
        <v>2500000</v>
      </c>
      <c r="B31" s="109">
        <f>(('HCC Social - Power'!A31/$B$12)^$D$12)*$C$12</f>
        <v>84719.737148398606</v>
      </c>
      <c r="C31" s="119">
        <f>B31*'HCC Social'!$F$5</f>
        <v>19141577.411309183</v>
      </c>
      <c r="D31" s="128">
        <f t="shared" si="1"/>
        <v>7.6566309645236732</v>
      </c>
    </row>
    <row r="32" spans="1:4" x14ac:dyDescent="0.25">
      <c r="A32" s="118">
        <f t="shared" si="0"/>
        <v>2750000</v>
      </c>
      <c r="B32" s="109">
        <f>(('HCC Social - Power'!A32/$B$12)^$D$12)*$C$12</f>
        <v>89705.735378365556</v>
      </c>
      <c r="C32" s="119">
        <f>B32*'HCC Social'!$F$5</f>
        <v>20268113.851387914</v>
      </c>
      <c r="D32" s="128">
        <f t="shared" si="1"/>
        <v>7.3702232186865144</v>
      </c>
    </row>
    <row r="33" spans="1:4" x14ac:dyDescent="0.25">
      <c r="A33" s="118">
        <f t="shared" si="0"/>
        <v>3000000</v>
      </c>
      <c r="B33" s="109">
        <f>(('HCC Social - Power'!A33/$B$12)^$D$12)*$C$12</f>
        <v>94513.391435541067</v>
      </c>
      <c r="C33" s="119">
        <f>B33*'HCC Social'!$F$5</f>
        <v>21354355.660946149</v>
      </c>
      <c r="D33" s="128">
        <f t="shared" si="1"/>
        <v>7.1181185536487162</v>
      </c>
    </row>
    <row r="34" spans="1:4" x14ac:dyDescent="0.25">
      <c r="A34" s="118">
        <f t="shared" si="0"/>
        <v>3250000</v>
      </c>
      <c r="B34" s="109">
        <f>(('HCC Social - Power'!A34/$B$12)^$D$12)*$C$12</f>
        <v>99163.217815008757</v>
      </c>
      <c r="C34" s="119">
        <f>B34*'HCC Social'!$F$5</f>
        <v>22404937.433123078</v>
      </c>
      <c r="D34" s="128">
        <f t="shared" si="1"/>
        <v>6.8938269024994083</v>
      </c>
    </row>
    <row r="35" spans="1:4" x14ac:dyDescent="0.25">
      <c r="A35" s="118">
        <f t="shared" si="0"/>
        <v>3500000</v>
      </c>
      <c r="B35" s="109">
        <f>(('HCC Social - Power'!A35/$B$12)^$D$12)*$C$12</f>
        <v>103671.98668186736</v>
      </c>
      <c r="C35" s="119">
        <f>B35*'HCC Social'!$F$5</f>
        <v>23423648.670901112</v>
      </c>
      <c r="D35" s="128">
        <f t="shared" si="1"/>
        <v>6.6924710488288897</v>
      </c>
    </row>
    <row r="36" spans="1:4" x14ac:dyDescent="0.25">
      <c r="A36" s="118">
        <f t="shared" si="0"/>
        <v>3750000</v>
      </c>
      <c r="B36" s="109">
        <f>(('HCC Social - Power'!A36/$B$12)^$D$12)*$C$12</f>
        <v>108053.62844564456</v>
      </c>
      <c r="C36" s="119">
        <f>B36*'HCC Social'!$F$5</f>
        <v>24413636.81100893</v>
      </c>
      <c r="D36" s="128">
        <f t="shared" si="1"/>
        <v>6.5103031496023815</v>
      </c>
    </row>
    <row r="37" spans="1:4" x14ac:dyDescent="0.25">
      <c r="A37" s="118">
        <f t="shared" si="0"/>
        <v>4000000</v>
      </c>
      <c r="B37" s="109">
        <f>(('HCC Social - Power'!A37/$B$12)^$D$12)*$C$12</f>
        <v>112319.869255799</v>
      </c>
      <c r="C37" s="119">
        <f>B37*'HCC Social'!$F$5</f>
        <v>25377551.259655226</v>
      </c>
      <c r="D37" s="128">
        <f t="shared" si="1"/>
        <v>6.3443878149138069</v>
      </c>
    </row>
    <row r="38" spans="1:4" x14ac:dyDescent="0.25">
      <c r="A38" s="118">
        <f t="shared" si="0"/>
        <v>4250000</v>
      </c>
      <c r="B38" s="109">
        <f>(('HCC Social - Power'!A38/$B$12)^$D$12)*$C$12</f>
        <v>116480.69479189794</v>
      </c>
      <c r="C38" s="119">
        <f>B38*'HCC Social'!$F$5</f>
        <v>26317648.181281421</v>
      </c>
      <c r="D38" s="128">
        <f t="shared" si="1"/>
        <v>6.1923878073603342</v>
      </c>
    </row>
    <row r="39" spans="1:4" x14ac:dyDescent="0.25">
      <c r="A39" s="118">
        <f t="shared" si="0"/>
        <v>4500000</v>
      </c>
      <c r="B39" s="109">
        <f>(('HCC Social - Power'!A39/$B$12)^$D$12)*$C$12</f>
        <v>120544.69507412486</v>
      </c>
      <c r="C39" s="119">
        <f>B39*'HCC Social'!$F$5</f>
        <v>27235868.405047771</v>
      </c>
      <c r="D39" s="128">
        <f t="shared" si="1"/>
        <v>6.0524152011217272</v>
      </c>
    </row>
    <row r="40" spans="1:4" x14ac:dyDescent="0.25">
      <c r="A40" s="118">
        <f t="shared" si="0"/>
        <v>4750000</v>
      </c>
      <c r="B40" s="109">
        <f>(('HCC Social - Power'!A40/$B$12)^$D$12)*$C$12</f>
        <v>124519.32570439449</v>
      </c>
      <c r="C40" s="119">
        <f>B40*'HCC Social'!$F$5</f>
        <v>28133896.449650891</v>
      </c>
      <c r="D40" s="128">
        <f t="shared" si="1"/>
        <v>5.9229255683475559</v>
      </c>
    </row>
    <row r="41" spans="1:4" x14ac:dyDescent="0.25">
      <c r="A41" s="118">
        <f t="shared" si="0"/>
        <v>5000000</v>
      </c>
      <c r="B41" s="109">
        <f>(('HCC Social - Power'!A41/$B$12)^$D$12)*$C$12</f>
        <v>128411.10910623417</v>
      </c>
      <c r="C41" s="119">
        <f>B41*'HCC Social'!$F$5</f>
        <v>29013205.991462547</v>
      </c>
      <c r="D41" s="128">
        <f t="shared" si="1"/>
        <v>5.8026411982925099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C00000"/>
  </sheetPr>
  <dimension ref="B1:R67"/>
  <sheetViews>
    <sheetView showGridLines="0" zoomScale="85" zoomScaleNormal="85" workbookViewId="0">
      <selection activeCell="S22" sqref="S22"/>
    </sheetView>
  </sheetViews>
  <sheetFormatPr defaultColWidth="8.85546875" defaultRowHeight="12.75" x14ac:dyDescent="0.2"/>
  <cols>
    <col min="1" max="1" width="8.85546875" style="1"/>
    <col min="2" max="2" width="12.140625" style="1" customWidth="1"/>
    <col min="3" max="3" width="13.5703125" style="1" customWidth="1"/>
    <col min="4" max="4" width="13.28515625" style="1" customWidth="1"/>
    <col min="5" max="5" width="13.7109375" style="1" customWidth="1"/>
    <col min="6" max="6" width="18.28515625" style="1" customWidth="1"/>
    <col min="7" max="7" width="13" style="1" customWidth="1"/>
    <col min="8" max="8" width="12" style="1" customWidth="1"/>
    <col min="9" max="9" width="14.28515625" style="1" customWidth="1"/>
    <col min="10" max="10" width="17.28515625" style="1" customWidth="1"/>
    <col min="11" max="11" width="10.28515625" style="1" customWidth="1"/>
    <col min="12" max="12" width="17.85546875" style="1" customWidth="1"/>
    <col min="13" max="14" width="12" style="1" bestFit="1" customWidth="1"/>
    <col min="15" max="15" width="11.42578125" style="1" bestFit="1" customWidth="1"/>
    <col min="16" max="16" width="9.7109375" style="1" bestFit="1" customWidth="1"/>
    <col min="17" max="17" width="8.85546875" style="1"/>
    <col min="18" max="18" width="10.28515625" style="1" customWidth="1"/>
    <col min="19" max="16384" width="8.85546875" style="1"/>
  </cols>
  <sheetData>
    <row r="1" spans="2:18" ht="13.5" thickBot="1" x14ac:dyDescent="0.25">
      <c r="B1" s="29" t="s">
        <v>3</v>
      </c>
      <c r="C1" s="1" t="s">
        <v>4</v>
      </c>
    </row>
    <row r="2" spans="2:18" x14ac:dyDescent="0.2">
      <c r="B2" s="30" t="s">
        <v>5</v>
      </c>
      <c r="C2" s="2" t="s">
        <v>58</v>
      </c>
      <c r="D2" s="33" t="s">
        <v>6</v>
      </c>
      <c r="E2" s="2" t="s">
        <v>7</v>
      </c>
      <c r="F2" s="33" t="s">
        <v>48</v>
      </c>
      <c r="G2" s="3" t="s">
        <v>53</v>
      </c>
    </row>
    <row r="3" spans="2:18" ht="13.5" thickBot="1" x14ac:dyDescent="0.25">
      <c r="B3" s="31" t="s">
        <v>9</v>
      </c>
      <c r="C3" s="4" t="s">
        <v>57</v>
      </c>
      <c r="D3" s="34" t="s">
        <v>10</v>
      </c>
      <c r="E3" s="4" t="s">
        <v>55</v>
      </c>
      <c r="F3" s="34" t="s">
        <v>47</v>
      </c>
      <c r="G3" s="5" t="s">
        <v>54</v>
      </c>
    </row>
    <row r="4" spans="2:18" ht="15" customHeight="1" thickBot="1" x14ac:dyDescent="0.25">
      <c r="B4" s="32" t="s">
        <v>11</v>
      </c>
      <c r="C4" s="150" t="s">
        <v>46</v>
      </c>
      <c r="D4" s="150"/>
      <c r="E4" s="150"/>
      <c r="F4" s="150"/>
      <c r="G4" s="151"/>
    </row>
    <row r="5" spans="2:18" x14ac:dyDescent="0.2">
      <c r="K5" s="10" t="s">
        <v>8</v>
      </c>
      <c r="L5" s="11"/>
      <c r="M5" s="11"/>
      <c r="N5" s="11"/>
      <c r="O5" s="12"/>
    </row>
    <row r="6" spans="2:18" ht="13.5" thickBot="1" x14ac:dyDescent="0.25">
      <c r="C6" s="7">
        <v>0.7</v>
      </c>
      <c r="D6" s="7">
        <v>2</v>
      </c>
    </row>
    <row r="7" spans="2:18" ht="27.6" customHeight="1" x14ac:dyDescent="0.2">
      <c r="B7" s="152" t="s">
        <v>12</v>
      </c>
      <c r="C7" s="155" t="s">
        <v>13</v>
      </c>
      <c r="D7" s="156"/>
      <c r="E7" s="157" t="s">
        <v>14</v>
      </c>
      <c r="F7" s="158"/>
      <c r="G7" s="159"/>
      <c r="H7" s="157" t="s">
        <v>15</v>
      </c>
      <c r="I7" s="163"/>
      <c r="K7" s="1" t="s">
        <v>50</v>
      </c>
    </row>
    <row r="8" spans="2:18" ht="25.5" x14ac:dyDescent="0.2">
      <c r="B8" s="153"/>
      <c r="C8" s="45" t="s">
        <v>16</v>
      </c>
      <c r="D8" s="24" t="s">
        <v>17</v>
      </c>
      <c r="E8" s="25" t="s">
        <v>44</v>
      </c>
      <c r="F8" s="45" t="s">
        <v>43</v>
      </c>
      <c r="G8" s="26" t="s">
        <v>33</v>
      </c>
      <c r="H8" s="27" t="s">
        <v>18</v>
      </c>
      <c r="I8" s="28" t="s">
        <v>19</v>
      </c>
      <c r="K8" s="1" t="s">
        <v>45</v>
      </c>
    </row>
    <row r="9" spans="2:18" ht="13.5" thickBot="1" x14ac:dyDescent="0.25">
      <c r="B9" s="154"/>
      <c r="C9" s="42" t="e">
        <f>C12*C6</f>
        <v>#REF!</v>
      </c>
      <c r="D9" s="42" t="e">
        <f>C12*D6</f>
        <v>#REF!</v>
      </c>
      <c r="E9" s="35" t="e">
        <f>H9</f>
        <v>#REF!</v>
      </c>
      <c r="F9" s="36" t="e">
        <f>(($I$17/(1+EXP($G$17+$H$17*E9)))-1) - ($G$12-$D$12)</f>
        <v>#REF!</v>
      </c>
      <c r="G9" s="37" t="e">
        <f>F9*H12</f>
        <v>#REF!</v>
      </c>
      <c r="H9" s="42" t="e">
        <f>C12</f>
        <v>#REF!</v>
      </c>
      <c r="I9" s="43" t="e">
        <f>D12</f>
        <v>#REF!</v>
      </c>
    </row>
    <row r="10" spans="2:18" ht="13.5" thickBot="1" x14ac:dyDescent="0.25"/>
    <row r="11" spans="2:18" ht="51.6" customHeight="1" x14ac:dyDescent="0.2">
      <c r="B11" s="152" t="s">
        <v>20</v>
      </c>
      <c r="C11" s="46" t="s">
        <v>21</v>
      </c>
      <c r="D11" s="46" t="s">
        <v>22</v>
      </c>
      <c r="E11" s="46" t="s">
        <v>23</v>
      </c>
      <c r="F11" s="46" t="s">
        <v>24</v>
      </c>
      <c r="G11" s="23" t="s">
        <v>34</v>
      </c>
      <c r="H11" s="23" t="s">
        <v>42</v>
      </c>
      <c r="I11" s="46" t="s">
        <v>41</v>
      </c>
    </row>
    <row r="12" spans="2:18" ht="15" customHeight="1" x14ac:dyDescent="0.2">
      <c r="B12" s="175"/>
      <c r="C12" s="18" t="e">
        <f>#REF!</f>
        <v>#REF!</v>
      </c>
      <c r="D12" s="19" t="e">
        <f>#REF!</f>
        <v>#REF!</v>
      </c>
      <c r="E12" s="20">
        <v>0</v>
      </c>
      <c r="F12" s="19" t="e">
        <f>#REF!</f>
        <v>#REF!</v>
      </c>
      <c r="G12" s="21" t="e">
        <f>#REF!</f>
        <v>#REF!</v>
      </c>
      <c r="H12" s="22">
        <v>1</v>
      </c>
      <c r="I12" s="44" t="e">
        <f>D12*H12</f>
        <v>#REF!</v>
      </c>
    </row>
    <row r="13" spans="2:18" ht="34.15" customHeight="1" x14ac:dyDescent="0.2">
      <c r="B13" s="164" t="s">
        <v>35</v>
      </c>
      <c r="C13" s="165"/>
      <c r="D13" s="165"/>
      <c r="E13" s="165"/>
      <c r="F13" s="165"/>
      <c r="G13" s="165"/>
      <c r="H13" s="165"/>
      <c r="I13" s="166"/>
    </row>
    <row r="14" spans="2:18" ht="11.25" customHeight="1" x14ac:dyDescent="0.2">
      <c r="B14" s="167"/>
      <c r="C14" s="168"/>
      <c r="D14" s="168"/>
      <c r="E14" s="168"/>
      <c r="F14" s="168"/>
      <c r="G14" s="168"/>
      <c r="H14" s="168"/>
      <c r="I14" s="169"/>
    </row>
    <row r="15" spans="2:18" ht="11.25" customHeight="1" thickBot="1" x14ac:dyDescent="0.25">
      <c r="B15" s="38"/>
      <c r="C15" s="38"/>
      <c r="D15" s="38"/>
      <c r="E15" s="38"/>
      <c r="F15" s="38"/>
      <c r="G15" s="38"/>
      <c r="H15" s="38"/>
      <c r="I15" s="38"/>
      <c r="N15" s="38"/>
      <c r="O15" s="38"/>
      <c r="P15" s="38"/>
      <c r="Q15" s="38"/>
      <c r="R15" s="38"/>
    </row>
    <row r="16" spans="2:18" ht="28.5" customHeight="1" x14ac:dyDescent="0.2">
      <c r="B16" s="170" t="s">
        <v>25</v>
      </c>
      <c r="C16" s="46" t="s">
        <v>36</v>
      </c>
      <c r="D16" s="46" t="s">
        <v>37</v>
      </c>
      <c r="E16" s="46" t="s">
        <v>38</v>
      </c>
      <c r="F16" s="46" t="s">
        <v>39</v>
      </c>
      <c r="G16" s="46" t="s">
        <v>26</v>
      </c>
      <c r="H16" s="46" t="s">
        <v>27</v>
      </c>
      <c r="I16" s="23" t="s">
        <v>28</v>
      </c>
      <c r="N16" s="38"/>
      <c r="O16" s="38"/>
      <c r="P16" s="38"/>
      <c r="Q16" s="38"/>
      <c r="R16" s="38"/>
    </row>
    <row r="17" spans="2:18" ht="21.75" customHeight="1" thickBot="1" x14ac:dyDescent="0.25">
      <c r="B17" s="171"/>
      <c r="C17" s="13" t="e">
        <f>G12-D12</f>
        <v>#REF!</v>
      </c>
      <c r="D17" s="13" t="e">
        <f>C17+F12</f>
        <v>#REF!</v>
      </c>
      <c r="E17" s="14" t="e">
        <f>C12</f>
        <v>#REF!</v>
      </c>
      <c r="F17" s="13" t="e">
        <f>G12</f>
        <v>#REF!</v>
      </c>
      <c r="G17" s="39" t="e">
        <f>LN((($D$17+1)/($C$17+1))-1)</f>
        <v>#REF!</v>
      </c>
      <c r="H17" s="40" t="e">
        <f>(LN((($D$17+1)/($F$17+1))-1)-$G$17)/$E$17</f>
        <v>#REF!</v>
      </c>
      <c r="I17" s="41" t="e">
        <f>D17+1</f>
        <v>#REF!</v>
      </c>
      <c r="K17" s="38"/>
      <c r="L17" s="38"/>
      <c r="M17" s="38"/>
      <c r="N17" s="38"/>
      <c r="O17" s="38"/>
      <c r="P17" s="38"/>
      <c r="Q17" s="38"/>
      <c r="R17" s="38"/>
    </row>
    <row r="18" spans="2:18" ht="21.75" customHeight="1" x14ac:dyDescent="0.2">
      <c r="B18" s="172" t="s">
        <v>40</v>
      </c>
      <c r="C18" s="173"/>
      <c r="D18" s="173"/>
      <c r="E18" s="173"/>
      <c r="F18" s="173"/>
      <c r="G18" s="173"/>
      <c r="H18" s="173"/>
      <c r="I18" s="174"/>
      <c r="K18" s="38"/>
      <c r="L18" s="38"/>
      <c r="M18" s="38"/>
      <c r="N18" s="38"/>
      <c r="O18" s="38"/>
      <c r="P18" s="38"/>
      <c r="Q18" s="38"/>
      <c r="R18" s="38"/>
    </row>
    <row r="19" spans="2:18" ht="21.75" customHeight="1" x14ac:dyDescent="0.2">
      <c r="B19" s="167"/>
      <c r="C19" s="168"/>
      <c r="D19" s="168"/>
      <c r="E19" s="168"/>
      <c r="F19" s="168"/>
      <c r="G19" s="168"/>
      <c r="H19" s="168"/>
      <c r="I19" s="169"/>
      <c r="K19" s="38"/>
      <c r="L19" s="38"/>
      <c r="M19" s="38"/>
      <c r="N19" s="38"/>
      <c r="O19" s="38"/>
      <c r="P19" s="38"/>
      <c r="Q19" s="38"/>
      <c r="R19" s="38"/>
    </row>
    <row r="20" spans="2:18" ht="13.5" thickBot="1" x14ac:dyDescent="0.25"/>
    <row r="21" spans="2:18" ht="42.6" customHeight="1" x14ac:dyDescent="0.2">
      <c r="B21" s="170" t="s">
        <v>29</v>
      </c>
      <c r="C21" s="46" t="s">
        <v>30</v>
      </c>
      <c r="D21" s="46" t="s">
        <v>31</v>
      </c>
      <c r="E21" s="23" t="s">
        <v>32</v>
      </c>
      <c r="G21" s="17"/>
      <c r="H21" s="17"/>
      <c r="I21" s="16"/>
      <c r="O21" s="15"/>
    </row>
    <row r="22" spans="2:18" ht="23.65" customHeight="1" thickBot="1" x14ac:dyDescent="0.25">
      <c r="B22" s="171"/>
      <c r="C22" s="8">
        <v>0</v>
      </c>
      <c r="D22" s="9">
        <v>40000000</v>
      </c>
      <c r="E22" s="6">
        <v>40</v>
      </c>
    </row>
    <row r="23" spans="2:18" ht="23.65" customHeight="1" x14ac:dyDescent="0.2"/>
    <row r="25" spans="2:18" ht="22.7" customHeight="1" x14ac:dyDescent="0.2">
      <c r="B25" s="160" t="s">
        <v>63</v>
      </c>
      <c r="C25" s="161"/>
      <c r="D25" s="161"/>
      <c r="E25" s="162"/>
    </row>
    <row r="26" spans="2:18" x14ac:dyDescent="0.2">
      <c r="B26" s="45" t="s">
        <v>51</v>
      </c>
      <c r="C26" s="45" t="s">
        <v>56</v>
      </c>
      <c r="D26" s="45" t="s">
        <v>52</v>
      </c>
      <c r="E26" s="45" t="s">
        <v>49</v>
      </c>
      <c r="F26" s="57" t="s">
        <v>0</v>
      </c>
    </row>
    <row r="27" spans="2:18" x14ac:dyDescent="0.2">
      <c r="B27" s="48">
        <f>C22</f>
        <v>0</v>
      </c>
      <c r="C27" s="49" t="e">
        <f t="shared" ref="C27:C40" si="0">(($I$17/(1+EXP($G$17+$H$17*B27)))-1) - ($G$12-$D$12)</f>
        <v>#REF!</v>
      </c>
      <c r="D27" s="55" t="e">
        <f>C27*#REF!</f>
        <v>#REF!</v>
      </c>
      <c r="E27" s="49">
        <v>0</v>
      </c>
      <c r="F27" s="56">
        <v>0</v>
      </c>
    </row>
    <row r="28" spans="2:18" x14ac:dyDescent="0.2">
      <c r="B28" s="48">
        <f t="shared" ref="B28:B40" si="1">B27+(($D$22-$C$22)/$E$22)</f>
        <v>1000000</v>
      </c>
      <c r="C28" s="50" t="e">
        <f t="shared" si="0"/>
        <v>#REF!</v>
      </c>
      <c r="D28" s="55" t="e">
        <f>C28*#REF!</f>
        <v>#REF!</v>
      </c>
      <c r="E28" s="53" t="e">
        <f>(C28-C27)/(B28-B27)</f>
        <v>#REF!</v>
      </c>
      <c r="F28" s="56" t="e">
        <f t="shared" ref="F28:F67" si="2">D28/B28</f>
        <v>#REF!</v>
      </c>
    </row>
    <row r="29" spans="2:18" x14ac:dyDescent="0.2">
      <c r="B29" s="48">
        <f t="shared" si="1"/>
        <v>2000000</v>
      </c>
      <c r="C29" s="50" t="e">
        <f t="shared" si="0"/>
        <v>#REF!</v>
      </c>
      <c r="D29" s="48" t="e">
        <f>C29*#REF!</f>
        <v>#REF!</v>
      </c>
      <c r="E29" s="53" t="e">
        <f t="shared" ref="E29:E40" si="3">(C29-C28)/(B29-B28)</f>
        <v>#REF!</v>
      </c>
      <c r="F29" s="56" t="e">
        <f t="shared" si="2"/>
        <v>#REF!</v>
      </c>
      <c r="H29" s="47"/>
    </row>
    <row r="30" spans="2:18" x14ac:dyDescent="0.2">
      <c r="B30" s="48">
        <f t="shared" si="1"/>
        <v>3000000</v>
      </c>
      <c r="C30" s="50" t="e">
        <f t="shared" si="0"/>
        <v>#REF!</v>
      </c>
      <c r="D30" s="48" t="e">
        <f>C30*#REF!</f>
        <v>#REF!</v>
      </c>
      <c r="E30" s="53" t="e">
        <f t="shared" si="3"/>
        <v>#REF!</v>
      </c>
      <c r="F30" s="56" t="e">
        <f t="shared" si="2"/>
        <v>#REF!</v>
      </c>
    </row>
    <row r="31" spans="2:18" x14ac:dyDescent="0.2">
      <c r="B31" s="48">
        <f t="shared" si="1"/>
        <v>4000000</v>
      </c>
      <c r="C31" s="50" t="e">
        <f t="shared" si="0"/>
        <v>#REF!</v>
      </c>
      <c r="D31" s="48" t="e">
        <f>C31*#REF!</f>
        <v>#REF!</v>
      </c>
      <c r="E31" s="53" t="e">
        <f t="shared" si="3"/>
        <v>#REF!</v>
      </c>
      <c r="F31" s="56" t="e">
        <f t="shared" si="2"/>
        <v>#REF!</v>
      </c>
    </row>
    <row r="32" spans="2:18" x14ac:dyDescent="0.2">
      <c r="B32" s="48">
        <f t="shared" si="1"/>
        <v>5000000</v>
      </c>
      <c r="C32" s="50" t="e">
        <f t="shared" si="0"/>
        <v>#REF!</v>
      </c>
      <c r="D32" s="48" t="e">
        <f>C32*#REF!</f>
        <v>#REF!</v>
      </c>
      <c r="E32" s="53" t="e">
        <f t="shared" si="3"/>
        <v>#REF!</v>
      </c>
      <c r="F32" s="56" t="e">
        <f t="shared" si="2"/>
        <v>#REF!</v>
      </c>
    </row>
    <row r="33" spans="2:6" x14ac:dyDescent="0.2">
      <c r="B33" s="48">
        <f t="shared" si="1"/>
        <v>6000000</v>
      </c>
      <c r="C33" s="50" t="e">
        <f t="shared" si="0"/>
        <v>#REF!</v>
      </c>
      <c r="D33" s="48" t="e">
        <f>C33*#REF!</f>
        <v>#REF!</v>
      </c>
      <c r="E33" s="53" t="e">
        <f t="shared" si="3"/>
        <v>#REF!</v>
      </c>
      <c r="F33" s="56" t="e">
        <f t="shared" si="2"/>
        <v>#REF!</v>
      </c>
    </row>
    <row r="34" spans="2:6" x14ac:dyDescent="0.2">
      <c r="B34" s="48">
        <f t="shared" si="1"/>
        <v>7000000</v>
      </c>
      <c r="C34" s="50" t="e">
        <f t="shared" si="0"/>
        <v>#REF!</v>
      </c>
      <c r="D34" s="48" t="e">
        <f>C34*#REF!</f>
        <v>#REF!</v>
      </c>
      <c r="E34" s="53" t="e">
        <f t="shared" si="3"/>
        <v>#REF!</v>
      </c>
      <c r="F34" s="56" t="e">
        <f t="shared" si="2"/>
        <v>#REF!</v>
      </c>
    </row>
    <row r="35" spans="2:6" x14ac:dyDescent="0.2">
      <c r="B35" s="48">
        <f t="shared" si="1"/>
        <v>8000000</v>
      </c>
      <c r="C35" s="50" t="e">
        <f t="shared" si="0"/>
        <v>#REF!</v>
      </c>
      <c r="D35" s="48" t="e">
        <f>C35*#REF!</f>
        <v>#REF!</v>
      </c>
      <c r="E35" s="53" t="e">
        <f t="shared" si="3"/>
        <v>#REF!</v>
      </c>
      <c r="F35" s="56" t="e">
        <f t="shared" si="2"/>
        <v>#REF!</v>
      </c>
    </row>
    <row r="36" spans="2:6" x14ac:dyDescent="0.2">
      <c r="B36" s="48">
        <f t="shared" si="1"/>
        <v>9000000</v>
      </c>
      <c r="C36" s="50" t="e">
        <f t="shared" si="0"/>
        <v>#REF!</v>
      </c>
      <c r="D36" s="48" t="e">
        <f>C36*#REF!</f>
        <v>#REF!</v>
      </c>
      <c r="E36" s="53" t="e">
        <f t="shared" si="3"/>
        <v>#REF!</v>
      </c>
      <c r="F36" s="56" t="e">
        <f t="shared" si="2"/>
        <v>#REF!</v>
      </c>
    </row>
    <row r="37" spans="2:6" x14ac:dyDescent="0.2">
      <c r="B37" s="60">
        <f t="shared" si="1"/>
        <v>10000000</v>
      </c>
      <c r="C37" s="61" t="e">
        <f t="shared" si="0"/>
        <v>#REF!</v>
      </c>
      <c r="D37" s="60" t="e">
        <f>C37*#REF!</f>
        <v>#REF!</v>
      </c>
      <c r="E37" s="62" t="e">
        <f t="shared" si="3"/>
        <v>#REF!</v>
      </c>
      <c r="F37" s="63" t="e">
        <f t="shared" si="2"/>
        <v>#REF!</v>
      </c>
    </row>
    <row r="38" spans="2:6" x14ac:dyDescent="0.2">
      <c r="B38" s="48">
        <f t="shared" si="1"/>
        <v>11000000</v>
      </c>
      <c r="C38" s="50" t="e">
        <f t="shared" si="0"/>
        <v>#REF!</v>
      </c>
      <c r="D38" s="48" t="e">
        <f>C38*#REF!</f>
        <v>#REF!</v>
      </c>
      <c r="E38" s="53" t="e">
        <f t="shared" si="3"/>
        <v>#REF!</v>
      </c>
      <c r="F38" s="56" t="e">
        <f t="shared" si="2"/>
        <v>#REF!</v>
      </c>
    </row>
    <row r="39" spans="2:6" x14ac:dyDescent="0.2">
      <c r="B39" s="48">
        <f t="shared" si="1"/>
        <v>12000000</v>
      </c>
      <c r="C39" s="50" t="e">
        <f t="shared" si="0"/>
        <v>#REF!</v>
      </c>
      <c r="D39" s="48" t="e">
        <f>C39*#REF!</f>
        <v>#REF!</v>
      </c>
      <c r="E39" s="53" t="e">
        <f t="shared" si="3"/>
        <v>#REF!</v>
      </c>
      <c r="F39" s="56" t="e">
        <f t="shared" si="2"/>
        <v>#REF!</v>
      </c>
    </row>
    <row r="40" spans="2:6" x14ac:dyDescent="0.2">
      <c r="B40" s="48">
        <f t="shared" si="1"/>
        <v>13000000</v>
      </c>
      <c r="C40" s="50" t="e">
        <f t="shared" si="0"/>
        <v>#REF!</v>
      </c>
      <c r="D40" s="48" t="e">
        <f>C40*#REF!</f>
        <v>#REF!</v>
      </c>
      <c r="E40" s="53" t="e">
        <f t="shared" si="3"/>
        <v>#REF!</v>
      </c>
      <c r="F40" s="56" t="e">
        <f t="shared" si="2"/>
        <v>#REF!</v>
      </c>
    </row>
    <row r="41" spans="2:6" x14ac:dyDescent="0.2">
      <c r="B41" s="48">
        <f t="shared" ref="B41:B67" si="4">B40+(($D$22-$C$22)/$E$22)</f>
        <v>14000000</v>
      </c>
      <c r="C41" s="50" t="e">
        <f t="shared" ref="C41:C47" si="5">(($I$17/(1+EXP($G$17+$H$17*B41)))-1) - ($G$12-$D$12)</f>
        <v>#REF!</v>
      </c>
      <c r="D41" s="48" t="e">
        <f>C41*#REF!</f>
        <v>#REF!</v>
      </c>
      <c r="E41" s="53" t="e">
        <f t="shared" ref="E41:E47" si="6">(C41-C40)/(B41-B40)</f>
        <v>#REF!</v>
      </c>
      <c r="F41" s="56" t="e">
        <f t="shared" si="2"/>
        <v>#REF!</v>
      </c>
    </row>
    <row r="42" spans="2:6" x14ac:dyDescent="0.2">
      <c r="B42" s="48">
        <f t="shared" si="4"/>
        <v>15000000</v>
      </c>
      <c r="C42" s="50" t="e">
        <f t="shared" si="5"/>
        <v>#REF!</v>
      </c>
      <c r="D42" s="48" t="e">
        <f>C42*#REF!</f>
        <v>#REF!</v>
      </c>
      <c r="E42" s="53" t="e">
        <f t="shared" si="6"/>
        <v>#REF!</v>
      </c>
      <c r="F42" s="56" t="e">
        <f t="shared" si="2"/>
        <v>#REF!</v>
      </c>
    </row>
    <row r="43" spans="2:6" x14ac:dyDescent="0.2">
      <c r="B43" s="48">
        <f t="shared" si="4"/>
        <v>16000000</v>
      </c>
      <c r="C43" s="50" t="e">
        <f t="shared" si="5"/>
        <v>#REF!</v>
      </c>
      <c r="D43" s="48" t="e">
        <f>C43*#REF!</f>
        <v>#REF!</v>
      </c>
      <c r="E43" s="53" t="e">
        <f t="shared" si="6"/>
        <v>#REF!</v>
      </c>
      <c r="F43" s="56" t="e">
        <f t="shared" si="2"/>
        <v>#REF!</v>
      </c>
    </row>
    <row r="44" spans="2:6" x14ac:dyDescent="0.2">
      <c r="B44" s="51">
        <f t="shared" si="4"/>
        <v>17000000</v>
      </c>
      <c r="C44" s="52" t="e">
        <f t="shared" si="5"/>
        <v>#REF!</v>
      </c>
      <c r="D44" s="51" t="e">
        <f>C44*#REF!</f>
        <v>#REF!</v>
      </c>
      <c r="E44" s="54" t="e">
        <f t="shared" si="6"/>
        <v>#REF!</v>
      </c>
      <c r="F44" s="58" t="e">
        <f t="shared" si="2"/>
        <v>#REF!</v>
      </c>
    </row>
    <row r="45" spans="2:6" x14ac:dyDescent="0.2">
      <c r="B45" s="48">
        <f t="shared" si="4"/>
        <v>18000000</v>
      </c>
      <c r="C45" s="50" t="e">
        <f t="shared" si="5"/>
        <v>#REF!</v>
      </c>
      <c r="D45" s="48" t="e">
        <f>C45*#REF!</f>
        <v>#REF!</v>
      </c>
      <c r="E45" s="53" t="e">
        <f t="shared" si="6"/>
        <v>#REF!</v>
      </c>
      <c r="F45" s="56" t="e">
        <f t="shared" si="2"/>
        <v>#REF!</v>
      </c>
    </row>
    <row r="46" spans="2:6" x14ac:dyDescent="0.2">
      <c r="B46" s="48">
        <f t="shared" si="4"/>
        <v>19000000</v>
      </c>
      <c r="C46" s="50" t="e">
        <f t="shared" si="5"/>
        <v>#REF!</v>
      </c>
      <c r="D46" s="48" t="e">
        <f>C46*#REF!</f>
        <v>#REF!</v>
      </c>
      <c r="E46" s="53" t="e">
        <f t="shared" si="6"/>
        <v>#REF!</v>
      </c>
      <c r="F46" s="56" t="e">
        <f t="shared" si="2"/>
        <v>#REF!</v>
      </c>
    </row>
    <row r="47" spans="2:6" x14ac:dyDescent="0.2">
      <c r="B47" s="48">
        <f t="shared" si="4"/>
        <v>20000000</v>
      </c>
      <c r="C47" s="50" t="e">
        <f t="shared" si="5"/>
        <v>#REF!</v>
      </c>
      <c r="D47" s="48" t="e">
        <f>C47*#REF!</f>
        <v>#REF!</v>
      </c>
      <c r="E47" s="53" t="e">
        <f t="shared" si="6"/>
        <v>#REF!</v>
      </c>
      <c r="F47" s="56" t="e">
        <f t="shared" si="2"/>
        <v>#REF!</v>
      </c>
    </row>
    <row r="48" spans="2:6" x14ac:dyDescent="0.2">
      <c r="B48" s="48">
        <f t="shared" si="4"/>
        <v>21000000</v>
      </c>
      <c r="C48" s="50" t="e">
        <f t="shared" ref="C48:C53" si="7">(($I$17/(1+EXP($G$17+$H$17*B48)))-1) - ($G$12-$D$12)</f>
        <v>#REF!</v>
      </c>
      <c r="D48" s="48" t="e">
        <f>C48*#REF!</f>
        <v>#REF!</v>
      </c>
      <c r="E48" s="53" t="e">
        <f t="shared" ref="E48:E53" si="8">(C48-C47)/(B48-B47)</f>
        <v>#REF!</v>
      </c>
      <c r="F48" s="56" t="e">
        <f t="shared" si="2"/>
        <v>#REF!</v>
      </c>
    </row>
    <row r="49" spans="2:7" x14ac:dyDescent="0.2">
      <c r="B49" s="48">
        <f t="shared" si="4"/>
        <v>22000000</v>
      </c>
      <c r="C49" s="50" t="e">
        <f t="shared" si="7"/>
        <v>#REF!</v>
      </c>
      <c r="D49" s="48" t="e">
        <f>C49*#REF!</f>
        <v>#REF!</v>
      </c>
      <c r="E49" s="53" t="e">
        <f t="shared" si="8"/>
        <v>#REF!</v>
      </c>
      <c r="F49" s="56" t="e">
        <f t="shared" si="2"/>
        <v>#REF!</v>
      </c>
      <c r="G49" s="59" t="e">
        <f t="shared" ref="G49:G56" si="9">D49-D48</f>
        <v>#REF!</v>
      </c>
    </row>
    <row r="50" spans="2:7" x14ac:dyDescent="0.2">
      <c r="B50" s="48">
        <f t="shared" si="4"/>
        <v>23000000</v>
      </c>
      <c r="C50" s="50" t="e">
        <f t="shared" si="7"/>
        <v>#REF!</v>
      </c>
      <c r="D50" s="48" t="e">
        <f>C50*#REF!</f>
        <v>#REF!</v>
      </c>
      <c r="E50" s="53" t="e">
        <f t="shared" si="8"/>
        <v>#REF!</v>
      </c>
      <c r="F50" s="56" t="e">
        <f t="shared" si="2"/>
        <v>#REF!</v>
      </c>
      <c r="G50" s="59" t="e">
        <f t="shared" si="9"/>
        <v>#REF!</v>
      </c>
    </row>
    <row r="51" spans="2:7" x14ac:dyDescent="0.2">
      <c r="B51" s="48">
        <f t="shared" si="4"/>
        <v>24000000</v>
      </c>
      <c r="C51" s="50" t="e">
        <f t="shared" si="7"/>
        <v>#REF!</v>
      </c>
      <c r="D51" s="48" t="e">
        <f>C51*#REF!</f>
        <v>#REF!</v>
      </c>
      <c r="E51" s="53" t="e">
        <f t="shared" si="8"/>
        <v>#REF!</v>
      </c>
      <c r="F51" s="56" t="e">
        <f t="shared" si="2"/>
        <v>#REF!</v>
      </c>
      <c r="G51" s="59" t="e">
        <f t="shared" si="9"/>
        <v>#REF!</v>
      </c>
    </row>
    <row r="52" spans="2:7" x14ac:dyDescent="0.2">
      <c r="B52" s="64">
        <f t="shared" si="4"/>
        <v>25000000</v>
      </c>
      <c r="C52" s="65" t="e">
        <f t="shared" si="7"/>
        <v>#REF!</v>
      </c>
      <c r="D52" s="64" t="e">
        <f>C52*#REF!</f>
        <v>#REF!</v>
      </c>
      <c r="E52" s="66" t="e">
        <f t="shared" si="8"/>
        <v>#REF!</v>
      </c>
      <c r="F52" s="67" t="e">
        <f t="shared" si="2"/>
        <v>#REF!</v>
      </c>
      <c r="G52" s="59" t="e">
        <f t="shared" si="9"/>
        <v>#REF!</v>
      </c>
    </row>
    <row r="53" spans="2:7" x14ac:dyDescent="0.2">
      <c r="B53" s="48">
        <f t="shared" si="4"/>
        <v>26000000</v>
      </c>
      <c r="C53" s="50" t="e">
        <f t="shared" si="7"/>
        <v>#REF!</v>
      </c>
      <c r="D53" s="48" t="e">
        <f>C53*#REF!</f>
        <v>#REF!</v>
      </c>
      <c r="E53" s="53" t="e">
        <f t="shared" si="8"/>
        <v>#REF!</v>
      </c>
      <c r="F53" s="56" t="e">
        <f t="shared" si="2"/>
        <v>#REF!</v>
      </c>
      <c r="G53" s="59" t="e">
        <f t="shared" si="9"/>
        <v>#REF!</v>
      </c>
    </row>
    <row r="54" spans="2:7" x14ac:dyDescent="0.2">
      <c r="B54" s="48">
        <f t="shared" si="4"/>
        <v>27000000</v>
      </c>
      <c r="C54" s="50" t="e">
        <f t="shared" ref="C54:C65" si="10">(($I$17/(1+EXP($G$17+$H$17*B54)))-1) - ($G$12-$D$12)</f>
        <v>#REF!</v>
      </c>
      <c r="D54" s="48" t="e">
        <f>C54*#REF!</f>
        <v>#REF!</v>
      </c>
      <c r="E54" s="53" t="e">
        <f t="shared" ref="E54:E65" si="11">(C54-C53)/(B54-B53)</f>
        <v>#REF!</v>
      </c>
      <c r="F54" s="56" t="e">
        <f t="shared" si="2"/>
        <v>#REF!</v>
      </c>
      <c r="G54" s="59" t="e">
        <f t="shared" si="9"/>
        <v>#REF!</v>
      </c>
    </row>
    <row r="55" spans="2:7" x14ac:dyDescent="0.2">
      <c r="B55" s="48">
        <f t="shared" si="4"/>
        <v>28000000</v>
      </c>
      <c r="C55" s="50" t="e">
        <f t="shared" si="10"/>
        <v>#REF!</v>
      </c>
      <c r="D55" s="48" t="e">
        <f>C55*#REF!</f>
        <v>#REF!</v>
      </c>
      <c r="E55" s="53" t="e">
        <f t="shared" si="11"/>
        <v>#REF!</v>
      </c>
      <c r="F55" s="56" t="e">
        <f t="shared" si="2"/>
        <v>#REF!</v>
      </c>
      <c r="G55" s="59" t="e">
        <f t="shared" si="9"/>
        <v>#REF!</v>
      </c>
    </row>
    <row r="56" spans="2:7" x14ac:dyDescent="0.2">
      <c r="B56" s="48">
        <f t="shared" si="4"/>
        <v>29000000</v>
      </c>
      <c r="C56" s="50" t="e">
        <f t="shared" si="10"/>
        <v>#REF!</v>
      </c>
      <c r="D56" s="48" t="e">
        <f>C56*#REF!</f>
        <v>#REF!</v>
      </c>
      <c r="E56" s="53" t="e">
        <f t="shared" si="11"/>
        <v>#REF!</v>
      </c>
      <c r="F56" s="56" t="e">
        <f t="shared" si="2"/>
        <v>#REF!</v>
      </c>
      <c r="G56" s="59" t="e">
        <f t="shared" si="9"/>
        <v>#REF!</v>
      </c>
    </row>
    <row r="57" spans="2:7" x14ac:dyDescent="0.2">
      <c r="B57" s="48">
        <f t="shared" si="4"/>
        <v>30000000</v>
      </c>
      <c r="C57" s="50" t="e">
        <f t="shared" si="10"/>
        <v>#REF!</v>
      </c>
      <c r="D57" s="48" t="e">
        <f>C57*#REF!</f>
        <v>#REF!</v>
      </c>
      <c r="E57" s="53" t="e">
        <f t="shared" si="11"/>
        <v>#REF!</v>
      </c>
      <c r="F57" s="56" t="e">
        <f t="shared" si="2"/>
        <v>#REF!</v>
      </c>
      <c r="G57" s="59" t="e">
        <f>D57-D56</f>
        <v>#REF!</v>
      </c>
    </row>
    <row r="58" spans="2:7" x14ac:dyDescent="0.2">
      <c r="B58" s="48">
        <f t="shared" si="4"/>
        <v>31000000</v>
      </c>
      <c r="C58" s="50" t="e">
        <f t="shared" si="10"/>
        <v>#REF!</v>
      </c>
      <c r="D58" s="48" t="e">
        <f>C58*#REF!</f>
        <v>#REF!</v>
      </c>
      <c r="E58" s="53" t="e">
        <f t="shared" si="11"/>
        <v>#REF!</v>
      </c>
      <c r="F58" s="56" t="e">
        <f t="shared" si="2"/>
        <v>#REF!</v>
      </c>
      <c r="G58" s="59" t="e">
        <f t="shared" ref="G58:G67" si="12">D58-D57</f>
        <v>#REF!</v>
      </c>
    </row>
    <row r="59" spans="2:7" x14ac:dyDescent="0.2">
      <c r="B59" s="48">
        <f t="shared" si="4"/>
        <v>32000000</v>
      </c>
      <c r="C59" s="50" t="e">
        <f t="shared" si="10"/>
        <v>#REF!</v>
      </c>
      <c r="D59" s="48" t="e">
        <f>C59*#REF!</f>
        <v>#REF!</v>
      </c>
      <c r="E59" s="53" t="e">
        <f t="shared" si="11"/>
        <v>#REF!</v>
      </c>
      <c r="F59" s="56" t="e">
        <f t="shared" si="2"/>
        <v>#REF!</v>
      </c>
      <c r="G59" s="59" t="e">
        <f t="shared" si="12"/>
        <v>#REF!</v>
      </c>
    </row>
    <row r="60" spans="2:7" x14ac:dyDescent="0.2">
      <c r="B60" s="48">
        <f t="shared" si="4"/>
        <v>33000000</v>
      </c>
      <c r="C60" s="50" t="e">
        <f t="shared" si="10"/>
        <v>#REF!</v>
      </c>
      <c r="D60" s="48" t="e">
        <f>C60*#REF!</f>
        <v>#REF!</v>
      </c>
      <c r="E60" s="53" t="e">
        <f t="shared" si="11"/>
        <v>#REF!</v>
      </c>
      <c r="F60" s="56" t="e">
        <f t="shared" si="2"/>
        <v>#REF!</v>
      </c>
      <c r="G60" s="59" t="e">
        <f t="shared" si="12"/>
        <v>#REF!</v>
      </c>
    </row>
    <row r="61" spans="2:7" x14ac:dyDescent="0.2">
      <c r="B61" s="48">
        <f t="shared" si="4"/>
        <v>34000000</v>
      </c>
      <c r="C61" s="50" t="e">
        <f t="shared" si="10"/>
        <v>#REF!</v>
      </c>
      <c r="D61" s="48" t="e">
        <f>C61*#REF!</f>
        <v>#REF!</v>
      </c>
      <c r="E61" s="53" t="e">
        <f t="shared" si="11"/>
        <v>#REF!</v>
      </c>
      <c r="F61" s="56" t="e">
        <f t="shared" si="2"/>
        <v>#REF!</v>
      </c>
      <c r="G61" s="59" t="e">
        <f t="shared" si="12"/>
        <v>#REF!</v>
      </c>
    </row>
    <row r="62" spans="2:7" x14ac:dyDescent="0.2">
      <c r="B62" s="48">
        <f t="shared" si="4"/>
        <v>35000000</v>
      </c>
      <c r="C62" s="50" t="e">
        <f t="shared" si="10"/>
        <v>#REF!</v>
      </c>
      <c r="D62" s="48" t="e">
        <f>C62*#REF!</f>
        <v>#REF!</v>
      </c>
      <c r="E62" s="53" t="e">
        <f t="shared" si="11"/>
        <v>#REF!</v>
      </c>
      <c r="F62" s="56" t="e">
        <f t="shared" si="2"/>
        <v>#REF!</v>
      </c>
      <c r="G62" s="59" t="e">
        <f t="shared" si="12"/>
        <v>#REF!</v>
      </c>
    </row>
    <row r="63" spans="2:7" x14ac:dyDescent="0.2">
      <c r="B63" s="48">
        <f t="shared" si="4"/>
        <v>36000000</v>
      </c>
      <c r="C63" s="50" t="e">
        <f t="shared" si="10"/>
        <v>#REF!</v>
      </c>
      <c r="D63" s="48" t="e">
        <f>C63*#REF!</f>
        <v>#REF!</v>
      </c>
      <c r="E63" s="53" t="e">
        <f t="shared" si="11"/>
        <v>#REF!</v>
      </c>
      <c r="F63" s="56" t="e">
        <f t="shared" si="2"/>
        <v>#REF!</v>
      </c>
      <c r="G63" s="59" t="e">
        <f t="shared" si="12"/>
        <v>#REF!</v>
      </c>
    </row>
    <row r="64" spans="2:7" x14ac:dyDescent="0.2">
      <c r="B64" s="48">
        <f t="shared" si="4"/>
        <v>37000000</v>
      </c>
      <c r="C64" s="50" t="e">
        <f t="shared" si="10"/>
        <v>#REF!</v>
      </c>
      <c r="D64" s="48" t="e">
        <f>C64*#REF!</f>
        <v>#REF!</v>
      </c>
      <c r="E64" s="53" t="e">
        <f t="shared" si="11"/>
        <v>#REF!</v>
      </c>
      <c r="F64" s="56" t="e">
        <f t="shared" si="2"/>
        <v>#REF!</v>
      </c>
      <c r="G64" s="59" t="e">
        <f t="shared" si="12"/>
        <v>#REF!</v>
      </c>
    </row>
    <row r="65" spans="2:7" x14ac:dyDescent="0.2">
      <c r="B65" s="48">
        <f t="shared" si="4"/>
        <v>38000000</v>
      </c>
      <c r="C65" s="50" t="e">
        <f t="shared" si="10"/>
        <v>#REF!</v>
      </c>
      <c r="D65" s="48" t="e">
        <f>C65*#REF!</f>
        <v>#REF!</v>
      </c>
      <c r="E65" s="53" t="e">
        <f t="shared" si="11"/>
        <v>#REF!</v>
      </c>
      <c r="F65" s="56" t="e">
        <f t="shared" si="2"/>
        <v>#REF!</v>
      </c>
      <c r="G65" s="59" t="e">
        <f t="shared" si="12"/>
        <v>#REF!</v>
      </c>
    </row>
    <row r="66" spans="2:7" x14ac:dyDescent="0.2">
      <c r="B66" s="48">
        <f t="shared" si="4"/>
        <v>39000000</v>
      </c>
      <c r="C66" s="50" t="e">
        <f t="shared" ref="C66:C67" si="13">(($I$17/(1+EXP($G$17+$H$17*B66)))-1) - ($G$12-$D$12)</f>
        <v>#REF!</v>
      </c>
      <c r="D66" s="48" t="e">
        <f>C66*#REF!</f>
        <v>#REF!</v>
      </c>
      <c r="E66" s="53" t="e">
        <f t="shared" ref="E66:E67" si="14">(C66-C65)/(B66-B65)</f>
        <v>#REF!</v>
      </c>
      <c r="F66" s="56" t="e">
        <f t="shared" si="2"/>
        <v>#REF!</v>
      </c>
      <c r="G66" s="59" t="e">
        <f t="shared" si="12"/>
        <v>#REF!</v>
      </c>
    </row>
    <row r="67" spans="2:7" x14ac:dyDescent="0.2">
      <c r="B67" s="48">
        <f t="shared" si="4"/>
        <v>40000000</v>
      </c>
      <c r="C67" s="50" t="e">
        <f t="shared" si="13"/>
        <v>#REF!</v>
      </c>
      <c r="D67" s="48" t="e">
        <f>C67*#REF!</f>
        <v>#REF!</v>
      </c>
      <c r="E67" s="53" t="e">
        <f t="shared" si="14"/>
        <v>#REF!</v>
      </c>
      <c r="F67" s="56" t="e">
        <f t="shared" si="2"/>
        <v>#REF!</v>
      </c>
      <c r="G67" s="59" t="e">
        <f t="shared" si="12"/>
        <v>#REF!</v>
      </c>
    </row>
  </sheetData>
  <mergeCells count="11">
    <mergeCell ref="H7:I7"/>
    <mergeCell ref="B13:I14"/>
    <mergeCell ref="B16:B17"/>
    <mergeCell ref="B18:I19"/>
    <mergeCell ref="B21:B22"/>
    <mergeCell ref="B11:B12"/>
    <mergeCell ref="C4:G4"/>
    <mergeCell ref="B7:B9"/>
    <mergeCell ref="C7:D7"/>
    <mergeCell ref="E7:G7"/>
    <mergeCell ref="B25:E25"/>
  </mergeCells>
  <pageMargins left="0.7" right="0.7" top="0.75" bottom="0.75" header="0.3" footer="0.3"/>
  <pageSetup orientation="portrait" horizontalDpi="90" verticalDpi="90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9920fcc9-9f43-4d43-9e3e-b98a219cfd55" value=""/>
</sisl>
</file>

<file path=customXml/itemProps1.xml><?xml version="1.0" encoding="utf-8"?>
<ds:datastoreItem xmlns:ds="http://schemas.openxmlformats.org/officeDocument/2006/customXml" ds:itemID="{D1120B54-2CAF-411F-B1E1-E6E4920527E2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HCC Social</vt:lpstr>
      <vt:lpstr>Data</vt:lpstr>
      <vt:lpstr>HCC Social - Power</vt:lpstr>
      <vt:lpstr>TV - Scurve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dcterms:created xsi:type="dcterms:W3CDTF">2013-03-26T11:28:18Z</dcterms:created>
  <dcterms:modified xsi:type="dcterms:W3CDTF">2023-07-24T12:19:06Z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78c5063c-26f9-40bf-ba92-07fd9b6c30bf</vt:lpwstr>
  </property>
  <property fmtid="{D5CDD505-2E9C-101B-9397-08002B2CF9AE}" pid="3" name="bjSaver">
    <vt:lpwstr>3O1Gvm5XUeGHackGhxGee6GW/bgAf7qU</vt:lpwstr>
  </property>
  <property fmtid="{D5CDD505-2E9C-101B-9397-08002B2CF9AE}" pid="4" name="bjDocumentSecurityLabel">
    <vt:lpwstr>Not Classified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6" name="bjDocumentLabelXML-0">
    <vt:lpwstr>ames.com/2008/01/sie/internal/label"&gt;&lt;element uid="9920fcc9-9f43-4d43-9e3e-b98a219cfd55" value="" /&gt;&lt;/sisl&gt;</vt:lpwstr>
  </property>
</Properties>
</file>