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LROP\Adult\Optimize\Custom\"/>
    </mc:Choice>
  </mc:AlternateContent>
  <xr:revisionPtr revIDLastSave="0" documentId="13_ncr:1_{9EBEC2FB-1BD7-4402-82F2-4BCFE22F85BE}" xr6:coauthVersionLast="47" xr6:coauthVersionMax="47" xr10:uidLastSave="{00000000-0000-0000-0000-000000000000}"/>
  <bookViews>
    <workbookView xWindow="-120" yWindow="-120" windowWidth="20730" windowHeight="11160" tabRatio="906" firstSheet="1" activeTab="1" xr2:uid="{00000000-000D-0000-FFFF-FFFF00000000}"/>
  </bookViews>
  <sheets>
    <sheet name="Sensitivity - Template" sheetId="86" state="hidden" r:id="rId1"/>
    <sheet name="Current Constraints" sheetId="95" r:id="rId2"/>
    <sheet name="Chart - Combined" sheetId="36" r:id="rId3"/>
    <sheet name="Sensitivity" sheetId="81" state="hidden" r:id="rId4"/>
    <sheet name="Contribution, promo eff, ROI" sheetId="80" r:id="rId5"/>
    <sheet name="Scenario summary_dz" sheetId="78" r:id="rId6"/>
    <sheet name="Scenario deep dive_dz" sheetId="79" r:id="rId7"/>
    <sheet name="VAC_Optim_Scenario" sheetId="23" r:id="rId8"/>
    <sheet name="GINOFF" sheetId="51" r:id="rId9"/>
    <sheet name="GMCM" sheetId="50" r:id="rId10"/>
    <sheet name="GSOCIAL" sheetId="89" r:id="rId11"/>
    <sheet name="GOLV" sheetId="92" r:id="rId12"/>
    <sheet name="GSTRTV" sheetId="91" r:id="rId13"/>
    <sheet name="GDISP" sheetId="87" r:id="rId14"/>
    <sheet name="GPDSRCH" sheetId="93" r:id="rId15"/>
    <sheet name="GAUDIO" sheetId="88" r:id="rId16"/>
    <sheet name="GLINEARTV" sheetId="90" r:id="rId17"/>
    <sheet name="GPRNT" sheetId="48" state="hidden" r:id="rId18"/>
    <sheet name="GPHRMCY" sheetId="94" r:id="rId19"/>
    <sheet name="Fn.Templates ==&gt;" sheetId="3" r:id="rId20"/>
    <sheet name="FT_SCurveEst" sheetId="2" r:id="rId21"/>
    <sheet name="FT_Equation" sheetId="4" r:id="rId22"/>
    <sheet name="FT_Interpolate" sheetId="5" r:id="rId23"/>
    <sheet name="FT_SCurve3Est" sheetId="13" r:id="rId24"/>
  </sheets>
  <functionGroups builtInGroupCount="19"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4" hidden="1">'Contribution, promo eff, ROI'!$E$17:$F$25</definedName>
    <definedName name="solver_adj" localSheetId="7" hidden="1">VAC_Optim_Scenario!$I$17:$I$26</definedName>
    <definedName name="solver_cvg" localSheetId="3" hidden="1">0.0001</definedName>
    <definedName name="solver_cvg" localSheetId="0" hidden="1">0.0001</definedName>
    <definedName name="solver_cvg" localSheetId="7" hidden="1">0.0001</definedName>
    <definedName name="solver_drv" localSheetId="3" hidden="1">1</definedName>
    <definedName name="solver_drv" localSheetId="0" hidden="1">1</definedName>
    <definedName name="solver_drv" localSheetId="7" hidden="1">1</definedName>
    <definedName name="solver_eng" localSheetId="18" hidden="1">1</definedName>
    <definedName name="solver_eng" localSheetId="6" hidden="1">1</definedName>
    <definedName name="solver_eng" localSheetId="3" hidden="1">1</definedName>
    <definedName name="solver_eng" localSheetId="0" hidden="1">1</definedName>
    <definedName name="solver_eng" localSheetId="7" hidden="1">1</definedName>
    <definedName name="solver_est" localSheetId="3" hidden="1">1</definedName>
    <definedName name="solver_est" localSheetId="0" hidden="1">1</definedName>
    <definedName name="solver_est" localSheetId="7" hidden="1">1</definedName>
    <definedName name="solver_itr" localSheetId="3" hidden="1">2147483647</definedName>
    <definedName name="solver_itr" localSheetId="0" hidden="1">2147483647</definedName>
    <definedName name="solver_itr" localSheetId="7" hidden="1">2147483647</definedName>
    <definedName name="solver_lhs0" localSheetId="7" hidden="1">VAC_Optim_Scenario!$I$27</definedName>
    <definedName name="solver_lhs1" localSheetId="7" hidden="1">VAC_Optim_Scenario!$B$12</definedName>
    <definedName name="solver_lhs2" localSheetId="7" hidden="1">VAC_Optim_Scenario!$I$17:$I$26</definedName>
    <definedName name="solver_lhs3" localSheetId="7" hidden="1">VAC_Optim_Scenario!$I$17:$I$26</definedName>
    <definedName name="solver_lhs4" localSheetId="7" hidden="1">VAC_Optim_Scenario!$I$27</definedName>
    <definedName name="solver_lhs5" localSheetId="7" hidden="1">VAC_Optim_Scenario!#REF!</definedName>
    <definedName name="solver_mip" localSheetId="3" hidden="1">2147483647</definedName>
    <definedName name="solver_mip" localSheetId="0" hidden="1">2147483647</definedName>
    <definedName name="solver_mip" localSheetId="7" hidden="1">2147483647</definedName>
    <definedName name="solver_mni" localSheetId="3" hidden="1">30</definedName>
    <definedName name="solver_mni" localSheetId="0" hidden="1">30</definedName>
    <definedName name="solver_mni" localSheetId="7" hidden="1">30</definedName>
    <definedName name="solver_mrt" localSheetId="3" hidden="1">0.075</definedName>
    <definedName name="solver_mrt" localSheetId="0" hidden="1">0.075</definedName>
    <definedName name="solver_mrt" localSheetId="7" hidden="1">0.075</definedName>
    <definedName name="solver_msl" localSheetId="3" hidden="1">2</definedName>
    <definedName name="solver_msl" localSheetId="0" hidden="1">2</definedName>
    <definedName name="solver_msl" localSheetId="7" hidden="1">2</definedName>
    <definedName name="solver_neg" localSheetId="18" hidden="1">1</definedName>
    <definedName name="solver_neg" localSheetId="6" hidden="1">1</definedName>
    <definedName name="solver_neg" localSheetId="3" hidden="1">1</definedName>
    <definedName name="solver_neg" localSheetId="0" hidden="1">1</definedName>
    <definedName name="solver_neg" localSheetId="7" hidden="1">1</definedName>
    <definedName name="solver_nod" localSheetId="3" hidden="1">2147483647</definedName>
    <definedName name="solver_nod" localSheetId="0" hidden="1">2147483647</definedName>
    <definedName name="solver_nod" localSheetId="7" hidden="1">2147483647</definedName>
    <definedName name="solver_num" localSheetId="18" hidden="1">0</definedName>
    <definedName name="solver_num" localSheetId="6" hidden="1">0</definedName>
    <definedName name="solver_num" localSheetId="3" hidden="1">0</definedName>
    <definedName name="solver_num" localSheetId="0" hidden="1">0</definedName>
    <definedName name="solver_num" localSheetId="7" hidden="1">3</definedName>
    <definedName name="solver_nwt" localSheetId="3" hidden="1">1</definedName>
    <definedName name="solver_nwt" localSheetId="0" hidden="1">1</definedName>
    <definedName name="solver_nwt" localSheetId="7" hidden="1">1</definedName>
    <definedName name="solver_opt" localSheetId="18" hidden="1">GPHRMCY!$I$12</definedName>
    <definedName name="solver_opt" localSheetId="6" hidden="1">'Scenario deep dive_dz'!$D$18</definedName>
    <definedName name="solver_opt" localSheetId="3" hidden="1">Sensitivity!$F$6</definedName>
    <definedName name="solver_opt" localSheetId="0" hidden="1">'Sensitivity - Template'!$F$6</definedName>
    <definedName name="solver_opt" localSheetId="7" hidden="1">VAC_Optim_Scenario!$B$9</definedName>
    <definedName name="solver_pre" localSheetId="3" hidden="1">0.000001</definedName>
    <definedName name="solver_pre" localSheetId="0" hidden="1">0.000001</definedName>
    <definedName name="solver_pre" localSheetId="7" hidden="1">0.00000001</definedName>
    <definedName name="solver_rbv" localSheetId="3" hidden="1">1</definedName>
    <definedName name="solver_rbv" localSheetId="0" hidden="1">1</definedName>
    <definedName name="solver_rbv" localSheetId="7" hidden="1">1</definedName>
    <definedName name="solver_rel0" localSheetId="7" hidden="1">3</definedName>
    <definedName name="solver_rel1" localSheetId="7" hidden="1">2</definedName>
    <definedName name="solver_rel2" localSheetId="7" hidden="1">1</definedName>
    <definedName name="solver_rel3" localSheetId="7" hidden="1">3</definedName>
    <definedName name="solver_rel4" localSheetId="7" hidden="1">3</definedName>
    <definedName name="solver_rel5" localSheetId="7" hidden="1">2</definedName>
    <definedName name="solver_rhs0" localSheetId="7" hidden="1">VAC_Optim_Scenario!$C$12</definedName>
    <definedName name="solver_rhs1" localSheetId="7" hidden="1">VAC_Optim_Scenario!$I$27</definedName>
    <definedName name="solver_rhs2" localSheetId="7" hidden="1">VAC_Optim_Scenario!$H$17:$H$26</definedName>
    <definedName name="solver_rhs3" localSheetId="7" hidden="1">VAC_Optim_Scenario!$G$17:$G$26</definedName>
    <definedName name="solver_rhs4" localSheetId="7" hidden="1">VAC_Optim_Scenario!$C$12</definedName>
    <definedName name="solver_rhs5" localSheetId="7" hidden="1">VAC_Optim_Scenario!#REF!</definedName>
    <definedName name="solver_rlx" localSheetId="3" hidden="1">2</definedName>
    <definedName name="solver_rlx" localSheetId="0" hidden="1">2</definedName>
    <definedName name="solver_rlx" localSheetId="7" hidden="1">2</definedName>
    <definedName name="solver_rsd" localSheetId="3" hidden="1">0</definedName>
    <definedName name="solver_rsd" localSheetId="0" hidden="1">0</definedName>
    <definedName name="solver_rsd" localSheetId="7" hidden="1">0</definedName>
    <definedName name="solver_scl" localSheetId="3" hidden="1">1</definedName>
    <definedName name="solver_scl" localSheetId="0" hidden="1">1</definedName>
    <definedName name="solver_scl" localSheetId="7" hidden="1">1</definedName>
    <definedName name="solver_sho" localSheetId="3" hidden="1">2</definedName>
    <definedName name="solver_sho" localSheetId="0" hidden="1">2</definedName>
    <definedName name="solver_sho" localSheetId="7" hidden="1">2</definedName>
    <definedName name="solver_ssz" localSheetId="3" hidden="1">100</definedName>
    <definedName name="solver_ssz" localSheetId="0" hidden="1">100</definedName>
    <definedName name="solver_ssz" localSheetId="7" hidden="1">100</definedName>
    <definedName name="solver_tim" localSheetId="3" hidden="1">2147483647</definedName>
    <definedName name="solver_tim" localSheetId="0" hidden="1">2147483647</definedName>
    <definedName name="solver_tim" localSheetId="7" hidden="1">2147483647</definedName>
    <definedName name="solver_tol" localSheetId="3" hidden="1">0.01</definedName>
    <definedName name="solver_tol" localSheetId="0" hidden="1">0.01</definedName>
    <definedName name="solver_tol" localSheetId="7" hidden="1">0.01</definedName>
    <definedName name="solver_typ" localSheetId="18" hidden="1">1</definedName>
    <definedName name="solver_typ" localSheetId="6" hidden="1">1</definedName>
    <definedName name="solver_typ" localSheetId="3" hidden="1">1</definedName>
    <definedName name="solver_typ" localSheetId="0" hidden="1">1</definedName>
    <definedName name="solver_typ" localSheetId="7" hidden="1">1</definedName>
    <definedName name="solver_val" localSheetId="18" hidden="1">0</definedName>
    <definedName name="solver_val" localSheetId="6" hidden="1">0</definedName>
    <definedName name="solver_val" localSheetId="3" hidden="1">0</definedName>
    <definedName name="solver_val" localSheetId="0" hidden="1">0</definedName>
    <definedName name="solver_val" localSheetId="7" hidden="1">0</definedName>
    <definedName name="solver_ver" localSheetId="18" hidden="1">3</definedName>
    <definedName name="solver_ver" localSheetId="6" hidden="1">3</definedName>
    <definedName name="solver_ver" localSheetId="3" hidden="1">3</definedName>
    <definedName name="solver_ver" localSheetId="0" hidden="1">3</definedName>
    <definedName name="solver_ver" localSheetId="7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4" i="95" l="1"/>
  <c r="I14" i="95"/>
  <c r="H14" i="95"/>
  <c r="F14" i="95"/>
  <c r="E14" i="95"/>
  <c r="D14" i="95"/>
  <c r="F5" i="95"/>
  <c r="F6" i="95"/>
  <c r="F7" i="95"/>
  <c r="F8" i="95"/>
  <c r="F9" i="95"/>
  <c r="F10" i="95"/>
  <c r="F11" i="95"/>
  <c r="F12" i="95"/>
  <c r="F13" i="95"/>
  <c r="F4" i="95"/>
  <c r="E5" i="95"/>
  <c r="E6" i="95"/>
  <c r="E7" i="95"/>
  <c r="E8" i="95"/>
  <c r="E9" i="95"/>
  <c r="E10" i="95"/>
  <c r="E11" i="95"/>
  <c r="E12" i="95"/>
  <c r="E13" i="95"/>
  <c r="E4" i="95"/>
  <c r="D5" i="95"/>
  <c r="D6" i="95"/>
  <c r="D7" i="95"/>
  <c r="D8" i="95"/>
  <c r="D9" i="95"/>
  <c r="D10" i="95"/>
  <c r="D11" i="95"/>
  <c r="D12" i="95"/>
  <c r="D13" i="95"/>
  <c r="D4" i="95"/>
  <c r="C5" i="95"/>
  <c r="C6" i="95"/>
  <c r="C7" i="95"/>
  <c r="C8" i="95"/>
  <c r="C9" i="95"/>
  <c r="C10" i="95"/>
  <c r="C11" i="95"/>
  <c r="C12" i="95"/>
  <c r="C13" i="95"/>
  <c r="C4" i="95"/>
  <c r="D5" i="80" l="1"/>
  <c r="D6" i="80"/>
  <c r="D7" i="80"/>
  <c r="D8" i="80"/>
  <c r="D9" i="80"/>
  <c r="D10" i="80"/>
  <c r="D11" i="80"/>
  <c r="D12" i="80"/>
  <c r="D13" i="80"/>
  <c r="D4" i="80"/>
  <c r="C12" i="80"/>
  <c r="C13" i="80"/>
  <c r="Q13" i="80" a="1"/>
  <c r="Q7" i="80" a="1"/>
  <c r="R12" i="80" a="1"/>
  <c r="R7" i="80" a="1"/>
  <c r="Q8" i="80" a="1"/>
  <c r="R5" i="80" a="1"/>
  <c r="R11" i="80" a="1"/>
  <c r="Q10" i="80" a="1"/>
  <c r="R13" i="80" a="1"/>
  <c r="Q5" i="80" a="1"/>
  <c r="R4" i="80" a="1"/>
  <c r="Q4" i="80" a="1"/>
  <c r="Q6" i="80" a="1"/>
  <c r="Q12" i="80" a="1"/>
  <c r="R8" i="80" a="1"/>
  <c r="R6" i="80" a="1"/>
  <c r="Q9" i="80" a="1"/>
  <c r="R10" i="80" a="1"/>
  <c r="Q11" i="80" a="1"/>
  <c r="R9" i="80" a="1"/>
  <c r="R13" i="80" l="1"/>
  <c r="Q13" i="80"/>
  <c r="R12" i="80"/>
  <c r="Q12" i="80"/>
  <c r="R11" i="80"/>
  <c r="Q11" i="80"/>
  <c r="R7" i="80"/>
  <c r="Q7" i="80"/>
  <c r="R4" i="80"/>
  <c r="Q4" i="80"/>
  <c r="R10" i="80"/>
  <c r="Q10" i="80"/>
  <c r="R6" i="80"/>
  <c r="Q6" i="80"/>
  <c r="Q8" i="80"/>
  <c r="R8" i="80"/>
  <c r="R9" i="80"/>
  <c r="Q9" i="80"/>
  <c r="R5" i="80"/>
  <c r="Q5" i="80"/>
  <c r="D14" i="80"/>
  <c r="H44" i="23"/>
  <c r="H45" i="23"/>
  <c r="D44" i="23"/>
  <c r="D45" i="23"/>
  <c r="C44" i="23"/>
  <c r="C45" i="23"/>
  <c r="B44" i="23"/>
  <c r="B45" i="23"/>
  <c r="A44" i="23"/>
  <c r="A45" i="23"/>
  <c r="N31" i="79"/>
  <c r="O31" i="79"/>
  <c r="P31" i="79"/>
  <c r="N32" i="79"/>
  <c r="O32" i="79"/>
  <c r="P32" i="79"/>
  <c r="J31" i="79"/>
  <c r="K31" i="79"/>
  <c r="L31" i="79"/>
  <c r="J32" i="79"/>
  <c r="K32" i="79"/>
  <c r="L32" i="79"/>
  <c r="F31" i="79"/>
  <c r="G31" i="79"/>
  <c r="H31" i="79"/>
  <c r="F32" i="79"/>
  <c r="G32" i="79"/>
  <c r="H32" i="79"/>
  <c r="P17" i="79"/>
  <c r="L17" i="79"/>
  <c r="N17" i="79"/>
  <c r="J17" i="79"/>
  <c r="H17" i="79"/>
  <c r="F17" i="79"/>
  <c r="C15" i="79"/>
  <c r="C31" i="79" s="1"/>
  <c r="C16" i="79"/>
  <c r="C32" i="79" s="1"/>
  <c r="B15" i="79"/>
  <c r="B31" i="79" s="1"/>
  <c r="B16" i="79"/>
  <c r="B32" i="79" s="1"/>
  <c r="I12" i="94"/>
  <c r="K45" i="23" l="1"/>
  <c r="M45" i="23" s="1"/>
  <c r="K44" i="23"/>
  <c r="M44" i="23" s="1"/>
  <c r="R16" i="79"/>
  <c r="S16" i="79" s="1"/>
  <c r="R15" i="79"/>
  <c r="S15" i="79" s="1"/>
  <c r="F12" i="94"/>
  <c r="E12" i="94"/>
  <c r="D12" i="94"/>
  <c r="C12" i="94"/>
  <c r="B12" i="94"/>
  <c r="D9" i="94"/>
  <c r="G9" i="94"/>
  <c r="D12" i="90" l="1"/>
  <c r="C12" i="90"/>
  <c r="B12" i="90"/>
  <c r="I27" i="23" l="1"/>
  <c r="E27" i="23"/>
  <c r="B9" i="88"/>
  <c r="C9" i="88"/>
  <c r="B9" i="94"/>
  <c r="C9" i="94"/>
  <c r="F12" i="88"/>
  <c r="G9" i="88"/>
  <c r="D9" i="88"/>
  <c r="D12" i="88"/>
  <c r="C12" i="88"/>
  <c r="B12" i="88"/>
  <c r="D12" i="93" l="1"/>
  <c r="C12" i="93"/>
  <c r="B12" i="93"/>
  <c r="D12" i="87" l="1"/>
  <c r="C12" i="87"/>
  <c r="B12" i="87"/>
  <c r="D12" i="91" l="1"/>
  <c r="C12" i="91"/>
  <c r="B12" i="91"/>
  <c r="F12" i="92" l="1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G13" i="78" l="1"/>
  <c r="D12" i="78"/>
  <c r="D13" i="78"/>
  <c r="P33" i="79"/>
  <c r="P35" i="79" s="1"/>
  <c r="N33" i="79"/>
  <c r="N35" i="79" s="1"/>
  <c r="P30" i="79"/>
  <c r="O30" i="79"/>
  <c r="N30" i="79"/>
  <c r="P29" i="79"/>
  <c r="O29" i="79"/>
  <c r="N29" i="79"/>
  <c r="P28" i="79"/>
  <c r="O28" i="79"/>
  <c r="N28" i="79"/>
  <c r="P27" i="79"/>
  <c r="O27" i="79"/>
  <c r="N27" i="79"/>
  <c r="P26" i="79"/>
  <c r="O26" i="79"/>
  <c r="N26" i="79"/>
  <c r="P25" i="79"/>
  <c r="O25" i="79"/>
  <c r="N25" i="79"/>
  <c r="P24" i="79"/>
  <c r="O24" i="79"/>
  <c r="N24" i="79"/>
  <c r="P23" i="79"/>
  <c r="O23" i="79"/>
  <c r="N23" i="79"/>
  <c r="N21" i="79"/>
  <c r="N39" i="79" l="1"/>
  <c r="N36" i="79" s="1"/>
  <c r="N37" i="79"/>
  <c r="N34" i="79" s="1"/>
  <c r="G6" i="78"/>
  <c r="H27" i="23" l="1"/>
  <c r="C30" i="23"/>
  <c r="K30" i="23" s="1"/>
  <c r="A42" i="90"/>
  <c r="A43" i="50"/>
  <c r="A44" i="50" s="1"/>
  <c r="A45" i="50" s="1"/>
  <c r="A46" i="50" s="1"/>
  <c r="A47" i="50" s="1"/>
  <c r="G27" i="23" l="1"/>
  <c r="G29" i="23"/>
  <c r="H29" i="23"/>
  <c r="F12" i="90" l="1"/>
  <c r="B22" i="90"/>
  <c r="G9" i="90"/>
  <c r="D9" i="90"/>
  <c r="B9" i="90"/>
  <c r="A21" i="90"/>
  <c r="A22" i="90" s="1"/>
  <c r="F14" i="90"/>
  <c r="H9" i="90" l="1"/>
  <c r="I9" i="90" s="1"/>
  <c r="B42" i="90"/>
  <c r="G12" i="90"/>
  <c r="E9" i="90"/>
  <c r="F9" i="90" s="1"/>
  <c r="C22" i="90"/>
  <c r="A23" i="90"/>
  <c r="B21" i="90"/>
  <c r="C21" i="90" s="1"/>
  <c r="A24" i="90" l="1"/>
  <c r="B23" i="90"/>
  <c r="C23" i="90" s="1"/>
  <c r="B24" i="90" l="1"/>
  <c r="C24" i="90" s="1"/>
  <c r="A25" i="90"/>
  <c r="B25" i="90" l="1"/>
  <c r="C25" i="90" s="1"/>
  <c r="A26" i="90"/>
  <c r="A27" i="90" l="1"/>
  <c r="B26" i="90"/>
  <c r="C26" i="90" s="1"/>
  <c r="B27" i="90" l="1"/>
  <c r="C27" i="90" s="1"/>
  <c r="A28" i="90"/>
  <c r="B28" i="90" l="1"/>
  <c r="C28" i="90" s="1"/>
  <c r="A29" i="90"/>
  <c r="A30" i="90" l="1"/>
  <c r="B29" i="90"/>
  <c r="C29" i="90" s="1"/>
  <c r="B30" i="90" l="1"/>
  <c r="C30" i="90" s="1"/>
  <c r="A31" i="90"/>
  <c r="A32" i="90" l="1"/>
  <c r="B31" i="90"/>
  <c r="C31" i="90" s="1"/>
  <c r="B32" i="90" l="1"/>
  <c r="C32" i="90" s="1"/>
  <c r="A33" i="90"/>
  <c r="A34" i="90" l="1"/>
  <c r="B33" i="90"/>
  <c r="C33" i="90" s="1"/>
  <c r="A35" i="90" l="1"/>
  <c r="B34" i="90"/>
  <c r="C34" i="90" s="1"/>
  <c r="B35" i="90" l="1"/>
  <c r="C35" i="90" s="1"/>
  <c r="A36" i="90"/>
  <c r="B36" i="90" l="1"/>
  <c r="C36" i="90" s="1"/>
  <c r="A37" i="90"/>
  <c r="A38" i="90" l="1"/>
  <c r="B37" i="90"/>
  <c r="C37" i="90" s="1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L11" i="80"/>
  <c r="A21" i="88" l="1"/>
  <c r="A22" i="88" s="1"/>
  <c r="F14" i="88"/>
  <c r="H9" i="88" l="1"/>
  <c r="I9" i="88" s="1"/>
  <c r="E9" i="88"/>
  <c r="F9" i="88" s="1"/>
  <c r="J25" i="23" s="1"/>
  <c r="I44" i="23" s="1"/>
  <c r="G12" i="88"/>
  <c r="B22" i="88"/>
  <c r="C22" i="88" s="1"/>
  <c r="A23" i="88"/>
  <c r="B21" i="88"/>
  <c r="C21" i="88" s="1"/>
  <c r="F25" i="23" l="1"/>
  <c r="A24" i="88"/>
  <c r="B23" i="88"/>
  <c r="C23" i="88" s="1"/>
  <c r="F44" i="23" l="1"/>
  <c r="E12" i="80"/>
  <c r="A25" i="88"/>
  <c r="B24" i="88"/>
  <c r="C24" i="88" s="1"/>
  <c r="J12" i="80" l="1"/>
  <c r="K12" i="80" s="1"/>
  <c r="I12" i="80"/>
  <c r="B25" i="88"/>
  <c r="C25" i="88" s="1"/>
  <c r="A26" i="88"/>
  <c r="A27" i="88" l="1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L12" i="80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L9" i="80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J44" i="23" l="1"/>
  <c r="G44" i="23"/>
  <c r="E14" i="90"/>
  <c r="E14" i="88"/>
  <c r="E14" i="93"/>
  <c r="E14" i="87"/>
  <c r="E14" i="91"/>
  <c r="F14" i="89"/>
  <c r="E14" i="89"/>
  <c r="B9" i="89"/>
  <c r="B9" i="51"/>
  <c r="F12" i="80" l="1"/>
  <c r="G12" i="80" s="1"/>
  <c r="D15" i="79"/>
  <c r="D31" i="79" s="1"/>
  <c r="T15" i="79"/>
  <c r="L44" i="23"/>
  <c r="N44" i="23" s="1"/>
  <c r="O44" i="23"/>
  <c r="B27" i="89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90"/>
  <c r="C9" i="51"/>
  <c r="R24" i="23" l="1"/>
  <c r="U21" i="23"/>
  <c r="U24" i="23"/>
  <c r="U23" i="23"/>
  <c r="U22" i="23"/>
  <c r="U20" i="23"/>
  <c r="U17" i="23"/>
  <c r="H57" i="79"/>
  <c r="F57" i="79"/>
  <c r="H72" i="79"/>
  <c r="G72" i="79"/>
  <c r="F72" i="79"/>
  <c r="H71" i="79"/>
  <c r="G71" i="79"/>
  <c r="F71" i="79"/>
  <c r="H70" i="79"/>
  <c r="G70" i="79"/>
  <c r="F70" i="79"/>
  <c r="H69" i="79"/>
  <c r="G69" i="79"/>
  <c r="F69" i="79"/>
  <c r="H68" i="79"/>
  <c r="G68" i="79"/>
  <c r="F68" i="79"/>
  <c r="H67" i="79"/>
  <c r="G67" i="79"/>
  <c r="F67" i="79"/>
  <c r="H66" i="79"/>
  <c r="G66" i="79"/>
  <c r="F66" i="79"/>
  <c r="H65" i="79"/>
  <c r="G65" i="79"/>
  <c r="F65" i="79"/>
  <c r="H64" i="79"/>
  <c r="G64" i="79"/>
  <c r="F64" i="79"/>
  <c r="R21" i="23" l="1"/>
  <c r="R18" i="23" s="1"/>
  <c r="C8" i="79" l="1"/>
  <c r="C48" i="79" s="1"/>
  <c r="C64" i="79" s="1"/>
  <c r="C9" i="79"/>
  <c r="C49" i="79" s="1"/>
  <c r="C65" i="79" s="1"/>
  <c r="C10" i="79"/>
  <c r="C50" i="79" s="1"/>
  <c r="C66" i="79" s="1"/>
  <c r="C11" i="79"/>
  <c r="C51" i="79" s="1"/>
  <c r="C67" i="79" s="1"/>
  <c r="C12" i="79"/>
  <c r="C52" i="79" s="1"/>
  <c r="C68" i="79" s="1"/>
  <c r="C13" i="79"/>
  <c r="C53" i="79" s="1"/>
  <c r="C69" i="79" s="1"/>
  <c r="C54" i="79"/>
  <c r="C70" i="79" s="1"/>
  <c r="C14" i="79"/>
  <c r="B8" i="79"/>
  <c r="B48" i="79" s="1"/>
  <c r="B64" i="79" s="1"/>
  <c r="B9" i="79"/>
  <c r="B49" i="79" s="1"/>
  <c r="B65" i="79" s="1"/>
  <c r="B10" i="79"/>
  <c r="B50" i="79" s="1"/>
  <c r="B66" i="79" s="1"/>
  <c r="B11" i="79"/>
  <c r="B51" i="79" s="1"/>
  <c r="B67" i="79" s="1"/>
  <c r="B12" i="79"/>
  <c r="B52" i="79" s="1"/>
  <c r="B68" i="79" s="1"/>
  <c r="B13" i="79"/>
  <c r="B53" i="79" s="1"/>
  <c r="B69" i="79" s="1"/>
  <c r="B54" i="79"/>
  <c r="B70" i="79" s="1"/>
  <c r="B14" i="79"/>
  <c r="B55" i="79" s="1"/>
  <c r="B71" i="79" s="1"/>
  <c r="E29" i="23"/>
  <c r="C55" i="79" l="1"/>
  <c r="C71" i="79" s="1"/>
  <c r="B56" i="79"/>
  <c r="B72" i="79" s="1"/>
  <c r="C56" i="79"/>
  <c r="C72" i="79" s="1"/>
  <c r="E28" i="23" l="1"/>
  <c r="I29" i="23"/>
  <c r="I12" i="92" l="1"/>
  <c r="G9" i="92"/>
  <c r="D9" i="92"/>
  <c r="U19" i="23"/>
  <c r="U18" i="23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7" i="23" l="1"/>
  <c r="M27" i="23" s="1"/>
  <c r="L56" i="79"/>
  <c r="Q56" i="79" s="1"/>
  <c r="M17" i="23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1" i="80"/>
  <c r="C10" i="80"/>
  <c r="C9" i="80"/>
  <c r="C8" i="80"/>
  <c r="C7" i="80"/>
  <c r="C6" i="80"/>
  <c r="C5" i="80"/>
  <c r="C4" i="80"/>
  <c r="F19" i="80" s="1"/>
  <c r="R12" i="94" l="1"/>
  <c r="B33" i="94" s="1"/>
  <c r="P12" i="92"/>
  <c r="Q12" i="92" s="1"/>
  <c r="R12" i="92"/>
  <c r="B25" i="94" l="1"/>
  <c r="H9" i="94"/>
  <c r="I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E25" i="94"/>
  <c r="D25" i="94"/>
  <c r="C25" i="94"/>
  <c r="C23" i="94"/>
  <c r="C22" i="94"/>
  <c r="C24" i="94"/>
  <c r="E27" i="94"/>
  <c r="E33" i="94"/>
  <c r="C33" i="94"/>
  <c r="J23" i="23"/>
  <c r="O23" i="23" s="1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O20" i="23" s="1"/>
  <c r="B24" i="92"/>
  <c r="B34" i="92"/>
  <c r="B41" i="92"/>
  <c r="B29" i="92"/>
  <c r="J21" i="23"/>
  <c r="O21" i="23" s="1"/>
  <c r="J24" i="23"/>
  <c r="J22" i="23"/>
  <c r="O22" i="23" s="1"/>
  <c r="J21" i="79"/>
  <c r="B24" i="79"/>
  <c r="B25" i="79"/>
  <c r="B26" i="79"/>
  <c r="B27" i="79"/>
  <c r="B28" i="79"/>
  <c r="B29" i="79"/>
  <c r="B30" i="79"/>
  <c r="B7" i="79"/>
  <c r="B47" i="79" s="1"/>
  <c r="B63" i="79" s="1"/>
  <c r="C7" i="79"/>
  <c r="C17" i="79" s="1"/>
  <c r="J9" i="94" l="1"/>
  <c r="F26" i="23"/>
  <c r="T16" i="79"/>
  <c r="O24" i="23"/>
  <c r="C31" i="94"/>
  <c r="D31" i="94"/>
  <c r="C37" i="94"/>
  <c r="C39" i="94"/>
  <c r="C42" i="94"/>
  <c r="E28" i="94"/>
  <c r="D23" i="94"/>
  <c r="E23" i="94"/>
  <c r="D38" i="94"/>
  <c r="C38" i="94"/>
  <c r="D33" i="94"/>
  <c r="D28" i="94"/>
  <c r="R56" i="79"/>
  <c r="O17" i="79"/>
  <c r="O33" i="79" s="1"/>
  <c r="O35" i="79" s="1"/>
  <c r="C47" i="79"/>
  <c r="C57" i="79" s="1"/>
  <c r="D39" i="94"/>
  <c r="D24" i="94"/>
  <c r="D26" i="94"/>
  <c r="C34" i="94"/>
  <c r="C29" i="94"/>
  <c r="E26" i="94"/>
  <c r="D34" i="94"/>
  <c r="D29" i="94"/>
  <c r="C30" i="94"/>
  <c r="D27" i="94"/>
  <c r="D30" i="94"/>
  <c r="D40" i="94"/>
  <c r="C25" i="79"/>
  <c r="C27" i="79"/>
  <c r="C26" i="79"/>
  <c r="C28" i="79"/>
  <c r="C29" i="79"/>
  <c r="C30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V19" i="23"/>
  <c r="J9" i="92"/>
  <c r="F20" i="23"/>
  <c r="F23" i="23"/>
  <c r="F21" i="23"/>
  <c r="E8" i="80" s="1"/>
  <c r="I8" i="80" s="1"/>
  <c r="F24" i="80" s="1"/>
  <c r="F24" i="23"/>
  <c r="E11" i="80" s="1"/>
  <c r="I11" i="80" s="1"/>
  <c r="F27" i="80" s="1"/>
  <c r="F22" i="23"/>
  <c r="F19" i="23"/>
  <c r="E6" i="80" s="1"/>
  <c r="I6" i="80" s="1"/>
  <c r="F23" i="80" s="1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13" i="80"/>
  <c r="L7" i="80"/>
  <c r="E13" i="80" l="1"/>
  <c r="F45" i="23"/>
  <c r="G45" i="23" s="1"/>
  <c r="L22" i="23"/>
  <c r="N22" i="23" s="1"/>
  <c r="E9" i="80"/>
  <c r="I9" i="80" s="1"/>
  <c r="F21" i="80" s="1"/>
  <c r="L20" i="23"/>
  <c r="N20" i="23" s="1"/>
  <c r="E7" i="80"/>
  <c r="I7" i="80" s="1"/>
  <c r="F22" i="80" s="1"/>
  <c r="L23" i="23"/>
  <c r="N23" i="23" s="1"/>
  <c r="E10" i="80"/>
  <c r="I10" i="80" s="1"/>
  <c r="F18" i="80" s="1"/>
  <c r="L24" i="23"/>
  <c r="C73" i="79"/>
  <c r="C33" i="79"/>
  <c r="C35" i="79" s="1"/>
  <c r="L21" i="23"/>
  <c r="N21" i="23" s="1"/>
  <c r="I28" i="23"/>
  <c r="F13" i="80" l="1"/>
  <c r="G13" i="80" s="1"/>
  <c r="D16" i="79"/>
  <c r="D32" i="79" s="1"/>
  <c r="O45" i="23"/>
  <c r="L45" i="23"/>
  <c r="N45" i="23" s="1"/>
  <c r="J13" i="80"/>
  <c r="K13" i="80" s="1"/>
  <c r="I13" i="80"/>
  <c r="F25" i="80" s="1"/>
  <c r="N24" i="23"/>
  <c r="D56" i="79"/>
  <c r="D72" i="79" s="1"/>
  <c r="V21" i="23"/>
  <c r="J8" i="80"/>
  <c r="K8" i="80" s="1"/>
  <c r="H8" i="80" l="1"/>
  <c r="I40" i="23"/>
  <c r="J40" i="23" s="1"/>
  <c r="H40" i="23"/>
  <c r="F40" i="23"/>
  <c r="D40" i="23"/>
  <c r="C40" i="23"/>
  <c r="B40" i="23"/>
  <c r="B41" i="23"/>
  <c r="B42" i="23"/>
  <c r="B43" i="23"/>
  <c r="H27" i="79" l="1"/>
  <c r="L27" i="79"/>
  <c r="G27" i="79"/>
  <c r="L51" i="79"/>
  <c r="Q51" i="79" s="1"/>
  <c r="R51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T11" i="79"/>
  <c r="G23" i="81"/>
  <c r="P23" i="81" s="1"/>
  <c r="I23" i="81"/>
  <c r="R23" i="81" s="1"/>
  <c r="E23" i="81"/>
  <c r="N23" i="81" s="1"/>
  <c r="R9" i="81"/>
  <c r="P9" i="81"/>
  <c r="E9" i="81"/>
  <c r="N9" i="81" s="1"/>
  <c r="R11" i="79"/>
  <c r="S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D11" i="79"/>
  <c r="D51" i="79" s="1"/>
  <c r="D67" i="79" s="1"/>
  <c r="K27" i="79"/>
  <c r="J27" i="79"/>
  <c r="F27" i="79"/>
  <c r="H14" i="48"/>
  <c r="G14" i="48"/>
  <c r="D27" i="79" l="1"/>
  <c r="G8" i="80"/>
  <c r="J9" i="80" l="1"/>
  <c r="K9" i="80" s="1"/>
  <c r="H9" i="80"/>
  <c r="F38" i="23" l="1"/>
  <c r="J6" i="80"/>
  <c r="K6" i="80" s="1"/>
  <c r="H6" i="80" l="1"/>
  <c r="O35" i="81" l="1"/>
  <c r="O34" i="81"/>
  <c r="O33" i="81"/>
  <c r="O32" i="81"/>
  <c r="O31" i="81"/>
  <c r="F20" i="79"/>
  <c r="F60" i="79"/>
  <c r="F61" i="79"/>
  <c r="F21" i="79"/>
  <c r="B23" i="79"/>
  <c r="C63" i="79" l="1"/>
  <c r="C23" i="79"/>
  <c r="B3" i="79"/>
  <c r="D14" i="78"/>
  <c r="C8" i="78" l="1"/>
  <c r="E6" i="78" l="1"/>
  <c r="C6" i="78" s="1"/>
  <c r="C12" i="78" s="1"/>
  <c r="E7" i="78"/>
  <c r="C7" i="78" s="1"/>
  <c r="C13" i="78" s="1"/>
  <c r="L8" i="78"/>
  <c r="E8" i="78"/>
  <c r="C14" i="78"/>
  <c r="E13" i="78" l="1"/>
  <c r="I13" i="78" s="1"/>
  <c r="E12" i="78"/>
  <c r="L6" i="78"/>
  <c r="K6" i="78"/>
  <c r="L7" i="78"/>
  <c r="J10" i="80"/>
  <c r="K10" i="80" s="1"/>
  <c r="I12" i="78" l="1"/>
  <c r="H10" i="80"/>
  <c r="J11" i="80" l="1"/>
  <c r="K11" i="80" s="1"/>
  <c r="H11" i="80" l="1"/>
  <c r="B12" i="23" l="1"/>
  <c r="D12" i="23" s="1"/>
  <c r="V18" i="23" l="1"/>
  <c r="V23" i="23" l="1"/>
  <c r="C6" i="48"/>
  <c r="B6" i="48"/>
  <c r="C6" i="50"/>
  <c r="B6" i="50"/>
  <c r="C6" i="51"/>
  <c r="B6" i="51"/>
  <c r="C43" i="23" l="1"/>
  <c r="D43" i="23"/>
  <c r="H43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G25" i="79" l="1"/>
  <c r="G29" i="79"/>
  <c r="G28" i="79"/>
  <c r="G30" i="79"/>
  <c r="G26" i="79"/>
  <c r="L53" i="79"/>
  <c r="Q53" i="79" s="1"/>
  <c r="L49" i="79"/>
  <c r="Q49" i="79" s="1"/>
  <c r="L54" i="79"/>
  <c r="Q54" i="79" s="1"/>
  <c r="L52" i="79"/>
  <c r="Q52" i="79" s="1"/>
  <c r="L55" i="79"/>
  <c r="Q55" i="79" s="1"/>
  <c r="L50" i="79"/>
  <c r="Q50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R12" i="79"/>
  <c r="S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R13" i="79"/>
  <c r="S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R14" i="79"/>
  <c r="S14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R9" i="79"/>
  <c r="S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R10" i="79"/>
  <c r="S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3" i="23"/>
  <c r="K39" i="23"/>
  <c r="M39" i="23" s="1"/>
  <c r="K42" i="23"/>
  <c r="M42" i="23" s="1"/>
  <c r="K38" i="23"/>
  <c r="M38" i="23" s="1"/>
  <c r="M43" i="23" l="1"/>
  <c r="K30" i="79"/>
  <c r="J30" i="79"/>
  <c r="F26" i="79"/>
  <c r="F25" i="79"/>
  <c r="F29" i="79"/>
  <c r="K26" i="79"/>
  <c r="J26" i="79"/>
  <c r="K25" i="79"/>
  <c r="J25" i="79"/>
  <c r="F30" i="79"/>
  <c r="F28" i="79"/>
  <c r="K29" i="79"/>
  <c r="J29" i="79"/>
  <c r="K28" i="79"/>
  <c r="J28" i="79"/>
  <c r="G9" i="50"/>
  <c r="G9" i="51"/>
  <c r="V17" i="23" l="1"/>
  <c r="V20" i="23"/>
  <c r="C9" i="92"/>
  <c r="B9" i="92"/>
  <c r="V22" i="23"/>
  <c r="V24" i="23"/>
  <c r="I42" i="23" l="1"/>
  <c r="I41" i="23" l="1"/>
  <c r="I39" i="23"/>
  <c r="J39" i="23" s="1"/>
  <c r="J7" i="80"/>
  <c r="K7" i="80" s="1"/>
  <c r="F42" i="23"/>
  <c r="H26" i="79" l="1"/>
  <c r="L26" i="79"/>
  <c r="R50" i="79"/>
  <c r="H7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T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3" i="23"/>
  <c r="A42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H46" i="23" l="1"/>
  <c r="G24" i="79"/>
  <c r="G23" i="79"/>
  <c r="L48" i="79"/>
  <c r="Q48" i="79" s="1"/>
  <c r="L47" i="79"/>
  <c r="Q47" i="79" s="1"/>
  <c r="R7" i="79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R8" i="79"/>
  <c r="S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S7" i="79" l="1"/>
  <c r="R17" i="79"/>
  <c r="S17" i="79" s="1"/>
  <c r="G63" i="79"/>
  <c r="F63" i="79"/>
  <c r="F24" i="79"/>
  <c r="K24" i="79"/>
  <c r="J24" i="79"/>
  <c r="K23" i="79"/>
  <c r="K17" i="79"/>
  <c r="K33" i="79" s="1"/>
  <c r="K35" i="79" s="1"/>
  <c r="J23" i="79"/>
  <c r="F23" i="79"/>
  <c r="J42" i="23"/>
  <c r="J41" i="23"/>
  <c r="G41" i="23"/>
  <c r="F9" i="80" s="1"/>
  <c r="G42" i="23"/>
  <c r="G39" i="23"/>
  <c r="F7" i="80" s="1"/>
  <c r="D13" i="79" l="1"/>
  <c r="D53" i="79" s="1"/>
  <c r="D69" i="79" s="1"/>
  <c r="F10" i="80"/>
  <c r="G10" i="80" s="1"/>
  <c r="D54" i="79"/>
  <c r="D70" i="79" s="1"/>
  <c r="O42" i="23"/>
  <c r="O41" i="23"/>
  <c r="D10" i="79"/>
  <c r="D50" i="79" s="1"/>
  <c r="D66" i="79" s="1"/>
  <c r="O39" i="23"/>
  <c r="H29" i="79"/>
  <c r="L29" i="79"/>
  <c r="L28" i="79"/>
  <c r="H28" i="79"/>
  <c r="G17" i="79"/>
  <c r="G33" i="79" s="1"/>
  <c r="G35" i="79" s="1"/>
  <c r="F33" i="79"/>
  <c r="F35" i="79" s="1"/>
  <c r="R54" i="79"/>
  <c r="R52" i="79"/>
  <c r="R53" i="79"/>
  <c r="F73" i="79"/>
  <c r="G57" i="79"/>
  <c r="G73" i="79" s="1"/>
  <c r="D12" i="79"/>
  <c r="D52" i="79" s="1"/>
  <c r="D68" i="79" s="1"/>
  <c r="J33" i="79"/>
  <c r="J35" i="79" s="1"/>
  <c r="D29" i="79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T12" i="79"/>
  <c r="I24" i="81"/>
  <c r="R24" i="81" s="1"/>
  <c r="E24" i="81"/>
  <c r="N24" i="81" s="1"/>
  <c r="R10" i="81"/>
  <c r="P10" i="81"/>
  <c r="E10" i="81"/>
  <c r="N10" i="81" s="1"/>
  <c r="G24" i="81"/>
  <c r="P24" i="81" s="1"/>
  <c r="I26" i="81"/>
  <c r="R26" i="81" s="1"/>
  <c r="E26" i="81"/>
  <c r="N26" i="81" s="1"/>
  <c r="R12" i="81"/>
  <c r="G26" i="81"/>
  <c r="P26" i="81" s="1"/>
  <c r="P12" i="81"/>
  <c r="E12" i="81"/>
  <c r="N12" i="81" s="1"/>
  <c r="T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1" i="23"/>
  <c r="N41" i="23" s="1"/>
  <c r="L42" i="23"/>
  <c r="N42" i="23" s="1"/>
  <c r="I43" i="23"/>
  <c r="J43" i="23" s="1"/>
  <c r="F43" i="23"/>
  <c r="D26" i="79" l="1"/>
  <c r="G9" i="80"/>
  <c r="L30" i="79"/>
  <c r="H30" i="79"/>
  <c r="D28" i="79"/>
  <c r="R55" i="79"/>
  <c r="G43" i="23"/>
  <c r="F11" i="80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T14" i="79"/>
  <c r="G27" i="81"/>
  <c r="P27" i="81" s="1"/>
  <c r="I27" i="81"/>
  <c r="R27" i="81" s="1"/>
  <c r="E27" i="81"/>
  <c r="N27" i="81" s="1"/>
  <c r="R13" i="81"/>
  <c r="P13" i="81"/>
  <c r="E13" i="81"/>
  <c r="N13" i="81" s="1"/>
  <c r="D14" i="79" l="1"/>
  <c r="D30" i="79" s="1"/>
  <c r="G11" i="80"/>
  <c r="L43" i="23"/>
  <c r="O43" i="23"/>
  <c r="C12" i="23"/>
  <c r="N43" i="23" l="1"/>
  <c r="D55" i="79"/>
  <c r="D71" i="79" s="1"/>
  <c r="G9" i="48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O17" i="23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I4" i="80"/>
  <c r="F26" i="80" s="1"/>
  <c r="G6" i="80"/>
  <c r="D9" i="79"/>
  <c r="D49" i="79" s="1"/>
  <c r="D65" i="79" s="1"/>
  <c r="N17" i="23"/>
  <c r="H4" i="80"/>
  <c r="F36" i="23"/>
  <c r="J36" i="23"/>
  <c r="K4" i="80" l="1"/>
  <c r="H25" i="79"/>
  <c r="L25" i="79"/>
  <c r="R47" i="79"/>
  <c r="G36" i="23"/>
  <c r="T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C3" i="79"/>
  <c r="I19" i="81"/>
  <c r="R19" i="81" s="1"/>
  <c r="E19" i="81"/>
  <c r="N19" i="81" s="1"/>
  <c r="R5" i="81"/>
  <c r="E5" i="81"/>
  <c r="N5" i="81" s="1"/>
  <c r="G19" i="81"/>
  <c r="P19" i="81" s="1"/>
  <c r="F4" i="80" l="1"/>
  <c r="D7" i="79"/>
  <c r="O36" i="23"/>
  <c r="G4" i="80"/>
  <c r="H63" i="79"/>
  <c r="L23" i="79"/>
  <c r="H23" i="79"/>
  <c r="D47" i="79" l="1"/>
  <c r="D63" i="79" s="1"/>
  <c r="D23" i="79"/>
  <c r="B9" i="50"/>
  <c r="B9" i="48"/>
  <c r="C9" i="50"/>
  <c r="C9" i="48"/>
  <c r="G14" i="51" l="1"/>
  <c r="D36" i="23"/>
  <c r="D46" i="23" s="1"/>
  <c r="C34" i="23"/>
  <c r="C35" i="23"/>
  <c r="C36" i="23"/>
  <c r="G14" i="50" l="1"/>
  <c r="K36" i="23"/>
  <c r="K46" i="23" s="1"/>
  <c r="M36" i="23" l="1"/>
  <c r="M46" i="23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3" i="5"/>
  <c r="B36" i="5"/>
  <c r="B45" i="5"/>
  <c r="B38" i="5"/>
  <c r="B41" i="5"/>
  <c r="B42" i="5"/>
  <c r="B32" i="5"/>
  <c r="B47" i="5"/>
  <c r="B28" i="5"/>
  <c r="B31" i="5"/>
  <c r="B39" i="5"/>
  <c r="B33" i="5"/>
  <c r="B44" i="5"/>
  <c r="B46" i="5"/>
  <c r="B34" i="5"/>
  <c r="E9" i="5"/>
  <c r="B35" i="5"/>
  <c r="B37" i="5"/>
  <c r="B27" i="5"/>
  <c r="B40" i="5"/>
  <c r="B30" i="5"/>
  <c r="B29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7" i="23" l="1"/>
  <c r="E5" i="80"/>
  <c r="F29" i="23"/>
  <c r="J29" i="23"/>
  <c r="O1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I5" i="80" l="1"/>
  <c r="F20" i="80" s="1"/>
  <c r="E14" i="80"/>
  <c r="I14" i="80" s="1"/>
  <c r="N18" i="23"/>
  <c r="F37" i="23"/>
  <c r="F46" i="23" s="1"/>
  <c r="F28" i="23"/>
  <c r="J37" i="23"/>
  <c r="J5" i="80" l="1"/>
  <c r="R48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T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D17" i="79" s="1"/>
  <c r="F8" i="78" s="1"/>
  <c r="F5" i="80"/>
  <c r="F14" i="80" s="1"/>
  <c r="G46" i="23"/>
  <c r="K5" i="80"/>
  <c r="K14" i="80" s="1"/>
  <c r="J14" i="80"/>
  <c r="O37" i="23"/>
  <c r="H73" i="79"/>
  <c r="H24" i="79"/>
  <c r="L24" i="79"/>
  <c r="G7" i="78"/>
  <c r="L37" i="23"/>
  <c r="D48" i="79" l="1"/>
  <c r="F12" i="78"/>
  <c r="H12" i="78" s="1"/>
  <c r="J6" i="78"/>
  <c r="I6" i="78"/>
  <c r="K7" i="78"/>
  <c r="B8" i="78"/>
  <c r="J7" i="78"/>
  <c r="I7" i="78"/>
  <c r="G5" i="80"/>
  <c r="G14" i="80"/>
  <c r="D64" i="79"/>
  <c r="D57" i="79"/>
  <c r="N37" i="23"/>
  <c r="D24" i="79"/>
  <c r="L13" i="23"/>
  <c r="L33" i="79"/>
  <c r="L35" i="79" s="1"/>
  <c r="H33" i="79"/>
  <c r="G8" i="78"/>
  <c r="F13" i="78" s="1"/>
  <c r="H13" i="78" s="1"/>
  <c r="J39" i="79" l="1"/>
  <c r="J36" i="79" s="1"/>
  <c r="F37" i="79"/>
  <c r="F34" i="79" s="1"/>
  <c r="H35" i="79"/>
  <c r="J37" i="79"/>
  <c r="J34" i="79" s="1"/>
  <c r="D58" i="79"/>
  <c r="D73" i="79"/>
  <c r="D18" i="79"/>
  <c r="D33" i="79"/>
  <c r="D35" i="79" s="1"/>
  <c r="K8" i="78"/>
  <c r="H39" i="79" l="1"/>
  <c r="H40" i="79" s="1"/>
  <c r="F39" i="79"/>
  <c r="F36" i="79" s="1"/>
  <c r="C39" i="79"/>
  <c r="C36" i="79" s="1"/>
  <c r="P39" i="79"/>
  <c r="P40" i="79" s="1"/>
  <c r="L39" i="79"/>
  <c r="L40" i="79" s="1"/>
  <c r="C37" i="79"/>
  <c r="C34" i="79" s="1"/>
  <c r="P37" i="79"/>
  <c r="P38" i="79" s="1"/>
  <c r="H37" i="79"/>
  <c r="H38" i="79" s="1"/>
  <c r="H75" i="79"/>
  <c r="H76" i="79" s="1"/>
  <c r="L37" i="79"/>
  <c r="L38" i="79" s="1"/>
  <c r="J8" i="78"/>
  <c r="I8" i="78"/>
  <c r="F9" i="89"/>
  <c r="J19" i="23" s="1"/>
  <c r="I38" i="23" l="1"/>
  <c r="J27" i="23"/>
  <c r="O19" i="23"/>
  <c r="O27" i="23" s="1"/>
  <c r="L19" i="23"/>
  <c r="L27" i="23" s="1"/>
  <c r="J38" i="23" l="1"/>
  <c r="J46" i="23" s="1"/>
  <c r="I46" i="23"/>
  <c r="N27" i="23"/>
  <c r="N19" i="23"/>
  <c r="K9" i="23"/>
  <c r="B9" i="23"/>
  <c r="J28" i="23"/>
  <c r="T9" i="79" l="1"/>
  <c r="T17" i="79" s="1"/>
  <c r="U17" i="79" s="1"/>
  <c r="I7" i="86"/>
  <c r="R7" i="86" s="1"/>
  <c r="I21" i="86"/>
  <c r="R21" i="86" s="1"/>
  <c r="E7" i="81"/>
  <c r="N7" i="81" s="1"/>
  <c r="E21" i="86"/>
  <c r="N21" i="86" s="1"/>
  <c r="G21" i="86"/>
  <c r="P21" i="86" s="1"/>
  <c r="R49" i="79"/>
  <c r="L38" i="23"/>
  <c r="L46" i="23" s="1"/>
  <c r="N46" i="23" s="1"/>
  <c r="E7" i="86"/>
  <c r="N7" i="86" s="1"/>
  <c r="I21" i="81"/>
  <c r="R21" i="81" s="1"/>
  <c r="O38" i="23"/>
  <c r="G21" i="81"/>
  <c r="P21" i="81" s="1"/>
  <c r="G7" i="86"/>
  <c r="P7" i="86" s="1"/>
  <c r="E21" i="81"/>
  <c r="N21" i="81" s="1"/>
  <c r="M13" i="23"/>
  <c r="N38" i="2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<sst xmlns="http://schemas.openxmlformats.org/spreadsheetml/2006/main" count="1230" uniqueCount="306">
  <si>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</si>
  <si>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</si>
  <si>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</si>
  <si>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</si>
  <si>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</si>
  <si>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</si>
  <si>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</si>
  <si>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</si>
  <si>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</si>
  <si>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</si>
  <si>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</si>
  <si>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</si>
  <si>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</si>
  <si>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</si>
  <si>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</si>
  <si>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</si>
  <si>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</si>
  <si>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</si>
  <si>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</si>
  <si>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</si>
  <si>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</si>
  <si>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</si>
  <si>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</si>
  <si>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</si>
  <si>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</si>
  <si>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</si>
  <si>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</si>
  <si>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</si>
  <si>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</si>
  <si>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</si>
  <si>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</si>
  <si>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</si>
  <si>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</si>
  <si>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</si>
  <si>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</si>
  <si>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</si>
  <si>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</si>
  <si>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</si>
  <si>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</si>
  <si>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</si>
  <si>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</si>
  <si>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</si>
  <si>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</si>
  <si>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</si>
  <si>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</si>
  <si>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</si>
  <si>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</si>
  <si>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</si>
  <si>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</si>
  <si>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</si>
  <si>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</si>
  <si>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</si>
  <si>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</si>
  <si>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</si>
  <si>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</si>
  <si>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</si>
  <si>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</si>
  <si>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</si>
  <si>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</si>
  <si>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</si>
  <si>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</si>
  <si>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</si>
  <si>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</si>
  <si>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</si>
  <si>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</si>
  <si>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</si>
  <si>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</si>
  <si>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</si>
  <si>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</si>
  <si>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</si>
  <si>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</si>
  <si>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</si>
  <si>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</si>
  <si>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</si>
  <si>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</si>
  <si>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</si>
  <si>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</si>
  <si>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</si>
  <si>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</si>
  <si>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</si>
  <si>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</si>
  <si>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</si>
  <si>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</si>
  <si>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</si>
  <si>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</si>
  <si>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</si>
  <si>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</si>
  <si>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</si>
  <si>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</si>
  <si>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</si>
  <si>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</si>
  <si>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</si>
  <si>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</si>
  <si>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</si>
  <si>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</si>
  <si>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</si>
  <si>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</si>
  <si>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</si>
  <si>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</si>
  <si>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</si>
  <si>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</si>
  <si>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</si>
  <si>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</si>
  <si>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</si>
  <si>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</si>
  <si>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</si>
  <si>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</si>
  <si>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</si>
  <si>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</si>
  <si>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</si>
  <si>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</si>
  <si>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</si>
  <si>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</si>
  <si>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</si>
  <si>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</si>
  <si>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</si>
  <si>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</si>
  <si>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</si>
  <si>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</si>
  <si>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</si>
  <si>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</si>
  <si>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</si>
  <si>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</si>
  <si>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</si>
  <si>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</si>
  <si>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</si>
  <si>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</si>
  <si>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</si>
  <si>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</si>
  <si>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</si>
  <si>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</si>
  <si>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</si>
  <si>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</si>
  <si>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</si>
  <si>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</si>
  <si>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</si>
  <si>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</si>
  <si>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</si>
  <si>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</si>
  <si>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</si>
  <si>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</si>
  <si>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</si>
  <si>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</si>
  <si>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</si>
  <si>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</si>
  <si>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</si>
  <si>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</si>
  <si>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</si>
  <si>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</si>
  <si>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</si>
  <si>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</si>
  <si>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</si>
  <si>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</si>
  <si>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</si>
  <si>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</si>
  <si>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</si>
  <si>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</si>
  <si>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</si>
  <si>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</si>
  <si>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</si>
  <si>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</si>
  <si>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</si>
  <si>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</si>
  <si>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</si>
  <si>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</si>
  <si>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</si>
  <si>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</si>
  <si>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</si>
  <si>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</si>
  <si>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</si>
  <si>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</si>
  <si>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</si>
  <si>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</si>
  <si>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</si>
  <si>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</si>
  <si>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</si>
  <si>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</si>
  <si>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</si>
  <si>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</si>
  <si>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</si>
  <si>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</si>
  <si>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</si>
  <si>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</si>
  <si>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</si>
  <si>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</si>
  <si>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</si>
  <si>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</si>
  <si>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</si>
  <si>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</si>
  <si>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</si>
  <si>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</si>
  <si>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</si>
  <si>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</si>
  <si>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</si>
  <si>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</si>
  <si>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</si>
  <si>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</si>
  <si>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</si>
  <si>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</si>
  <si>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</si>
  <si>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</si>
  <si>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</si>
  <si>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</si>
  <si>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</si>
  <si>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</si>
  <si>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</si>
  <si>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</si>
  <si>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</si>
  <si>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</si>
  <si>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</si>
  <si>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</si>
  <si>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</si>
  <si>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</si>
  <si>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</si>
  <si>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</si>
  <si>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</si>
  <si>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</si>
  <si>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</si>
  <si>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</si>
  <si>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</si>
  <si>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</si>
  <si>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</si>
  <si>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</si>
  <si>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</si>
  <si>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</si>
  <si>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</si>
  <si>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</si>
  <si>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</si>
  <si>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</si>
  <si>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</si>
  <si>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</si>
  <si>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InOffice</t>
  </si>
  <si>
    <t>HCC Linear TV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</si>
  <si>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</si>
  <si>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</si>
  <si>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All Vaccines: Gardasil Adult</t>
  </si>
  <si>
    <t>HCP</t>
  </si>
  <si>
    <t>Optimal to Current</t>
  </si>
  <si>
    <t>2022 Forecast</t>
  </si>
  <si>
    <t>% Contri 2022</t>
  </si>
  <si>
    <t>Optimal channel spend allowed to vary between constraints defined by marketing team &amp; INI of the 2021 channel spend - LINEAR TV and Streaming TV constraints modified</t>
  </si>
  <si>
    <t>Custom Constraints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</si>
  <si>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</si>
  <si>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</si>
  <si>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</si>
  <si>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</si>
  <si>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</si>
  <si>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</si>
  <si>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</si>
  <si>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</si>
  <si>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</si>
  <si>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</si>
  <si>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</si>
  <si>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</si>
  <si>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</si>
  <si>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</si>
  <si>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</si>
  <si>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</si>
  <si>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</si>
  <si>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</si>
  <si>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q1-q3 tv</t>
  </si>
  <si>
    <t>left 4 Q4</t>
  </si>
  <si>
    <t>*CHANGES from round 1</t>
  </si>
  <si>
    <t>TV and streaming are fixed and budgets were updated to reflect the orignal incoming budgets; tweaks made to sensitivity of audio and linear TV</t>
  </si>
  <si>
    <t>Gardasil Adults: HCC InOffice, HCC Streaming TV, HCP MCM, HCC Digital, HCC Linear TV</t>
  </si>
  <si>
    <t>BASE Case: Vary promotion type spend by - 50%/+100%. Keep global spend constant.</t>
  </si>
  <si>
    <t>HCC Pharmacy</t>
  </si>
  <si>
    <t>2023 Current Baseline ($MM)</t>
  </si>
  <si>
    <t>Current 2023 Baseline</t>
  </si>
  <si>
    <t>2023 Planned Spend ($)</t>
  </si>
  <si>
    <t>2023 Optimal Spend ($)</t>
  </si>
  <si>
    <t>2023 Spend ($MM)</t>
  </si>
  <si>
    <t>2023 Estimated Incr. Doses ('000)</t>
  </si>
  <si>
    <t>2023 Estimated Pre-Tax NPV</t>
  </si>
  <si>
    <t>2023 Estimated Pre-tax ROI</t>
  </si>
  <si>
    <t>2023 projected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</si>
  <si>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</si>
  <si>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</si>
  <si>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</si>
  <si>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</si>
  <si>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</si>
  <si>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</si>
  <si>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</si>
  <si>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</si>
  <si>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</si>
  <si>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</si>
  <si>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2023 Projected Promotion Efficiency</t>
  </si>
  <si>
    <t>Current Optimal ($60MM)</t>
  </si>
  <si>
    <t>50% increase optimal ($90M)</t>
  </si>
  <si>
    <t>100% increase optimal ($120M)</t>
  </si>
  <si>
    <t>+$17(10%)</t>
  </si>
  <si>
    <t>+$81(47%)</t>
  </si>
  <si>
    <t>+$110(64%)</t>
  </si>
  <si>
    <t>Optimal channel spend allowed to vary based on custom constrains for the 2023 channel spend</t>
  </si>
  <si>
    <t>Incr. Reve assuming increased channel effectiveness (140%)</t>
  </si>
  <si>
    <t>+$24(14%)</t>
  </si>
  <si>
    <t>+$114(66%)</t>
  </si>
  <si>
    <t>+$153(89%)</t>
  </si>
  <si>
    <t>Δ Pre-tax Revenue w.r.t 2023 Current baseline</t>
  </si>
  <si>
    <t>Δ Pre-tax Revenue w.r.t 2023 Current baseline with 140% effectiveness</t>
  </si>
  <si>
    <t>In Scope Promotion</t>
  </si>
  <si>
    <t>Minimum spend</t>
  </si>
  <si>
    <t>Maximum Spend</t>
  </si>
  <si>
    <t>Total In Scope Budget</t>
  </si>
  <si>
    <t>2023 Current Custom Constrains Scenario 1 ($MM)</t>
  </si>
  <si>
    <t>2023 Current Custom Constrains Scenario 2 ($MM)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</si>
</sst>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4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64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9" fontId="1" fillId="0" borderId="12" xfId="0" applyNumberFormat="1" applyFont="1" applyBorder="1"/>
    <xf numFmtId="9" fontId="1" fillId="0" borderId="37" xfId="0" applyNumberFormat="1" applyFont="1" applyBorder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1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2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170" fontId="0" fillId="0" borderId="77" xfId="4" applyNumberFormat="1" applyFont="1" applyBorder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9" fontId="0" fillId="0" borderId="77" xfId="3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9" fontId="0" fillId="0" borderId="81" xfId="3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0" fontId="28" fillId="47" borderId="85" xfId="0" applyFont="1" applyFill="1" applyBorder="1" applyAlignment="1">
      <alignment horizontal="left" wrapText="1" indent="1"/>
    </xf>
    <xf numFmtId="170" fontId="28" fillId="47" borderId="86" xfId="0" applyNumberFormat="1" applyFont="1" applyFill="1" applyBorder="1" applyAlignment="1">
      <alignment horizontal="center" vertical="center"/>
    </xf>
    <xf numFmtId="170" fontId="28" fillId="47" borderId="87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7" borderId="88" xfId="4" applyNumberFormat="1" applyFont="1" applyFill="1" applyBorder="1" applyAlignment="1">
      <alignment horizontal="center" vertical="center" wrapText="1"/>
    </xf>
    <xf numFmtId="9" fontId="28" fillId="47" borderId="89" xfId="3" applyFont="1" applyFill="1" applyBorder="1" applyAlignment="1">
      <alignment horizontal="center" vertical="center"/>
    </xf>
    <xf numFmtId="170" fontId="28" fillId="47" borderId="90" xfId="4" applyNumberFormat="1" applyFont="1" applyFill="1" applyBorder="1" applyAlignment="1">
      <alignment horizontal="center" vertical="center" wrapText="1"/>
    </xf>
    <xf numFmtId="166" fontId="38" fillId="47" borderId="90" xfId="4" applyNumberFormat="1" applyFont="1" applyFill="1" applyBorder="1" applyAlignment="1">
      <alignment horizontal="center" vertical="center" wrapText="1"/>
    </xf>
    <xf numFmtId="166" fontId="28" fillId="47" borderId="90" xfId="4" applyNumberFormat="1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6" borderId="47" xfId="0" applyFont="1" applyFill="1" applyBorder="1" applyAlignment="1">
      <alignment horizontal="center" vertical="center" wrapText="1"/>
    </xf>
    <xf numFmtId="0" fontId="39" fillId="46" borderId="48" xfId="0" applyFont="1" applyFill="1" applyBorder="1" applyAlignment="1">
      <alignment horizontal="center" vertical="center" wrapText="1"/>
    </xf>
    <xf numFmtId="0" fontId="39" fillId="46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1" xfId="0" applyFont="1" applyFill="1" applyBorder="1" applyAlignment="1">
      <alignment horizontal="center" vertical="center" wrapText="1"/>
    </xf>
    <xf numFmtId="0" fontId="2" fillId="8" borderId="92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3" xfId="4" applyNumberFormat="1" applyFont="1" applyBorder="1"/>
    <xf numFmtId="164" fontId="0" fillId="0" borderId="94" xfId="4" applyNumberFormat="1" applyFont="1" applyBorder="1"/>
    <xf numFmtId="0" fontId="36" fillId="0" borderId="0" xfId="0" applyFont="1"/>
    <xf numFmtId="170" fontId="0" fillId="0" borderId="93" xfId="4" applyNumberFormat="1" applyFont="1" applyBorder="1" applyAlignment="1">
      <alignment horizontal="center"/>
    </xf>
    <xf numFmtId="170" fontId="0" fillId="0" borderId="94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5" xfId="4" applyNumberFormat="1" applyFont="1" applyBorder="1"/>
    <xf numFmtId="164" fontId="0" fillId="0" borderId="96" xfId="4" applyNumberFormat="1" applyFont="1" applyBorder="1"/>
    <xf numFmtId="170" fontId="0" fillId="0" borderId="95" xfId="4" applyNumberFormat="1" applyFont="1" applyBorder="1" applyAlignment="1">
      <alignment horizontal="center"/>
    </xf>
    <xf numFmtId="170" fontId="0" fillId="0" borderId="96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38" fillId="47" borderId="90" xfId="4" quotePrefix="1" applyNumberFormat="1" applyFont="1" applyFill="1" applyBorder="1" applyAlignment="1">
      <alignment horizontal="center" vertical="center" wrapText="1"/>
    </xf>
    <xf numFmtId="166" fontId="0" fillId="0" borderId="78" xfId="4" applyNumberFormat="1" applyFont="1" applyBorder="1" applyAlignment="1">
      <alignment horizontal="center" vertical="center"/>
    </xf>
    <xf numFmtId="166" fontId="0" fillId="0" borderId="82" xfId="4" applyNumberFormat="1" applyFont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6" borderId="49" xfId="0" applyFont="1" applyFill="1" applyBorder="1" applyAlignment="1">
      <alignment horizontal="center" vertical="center" wrapText="1"/>
    </xf>
    <xf numFmtId="169" fontId="28" fillId="0" borderId="42" xfId="0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9" fontId="0" fillId="0" borderId="97" xfId="3" applyFont="1" applyBorder="1" applyAlignment="1">
      <alignment horizontal="center" vertical="center"/>
    </xf>
    <xf numFmtId="170" fontId="0" fillId="0" borderId="99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9" fontId="0" fillId="0" borderId="81" xfId="3" applyFont="1" applyFill="1" applyBorder="1" applyAlignment="1">
      <alignment horizontal="center" vertical="center"/>
    </xf>
    <xf numFmtId="168" fontId="0" fillId="0" borderId="0" xfId="0" applyNumberFormat="1"/>
    <xf numFmtId="0" fontId="25" fillId="46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 vertical="center"/>
    </xf>
    <xf numFmtId="170" fontId="28" fillId="47" borderId="0" xfId="4" applyNumberFormat="1" applyFont="1" applyFill="1" applyBorder="1" applyAlignment="1">
      <alignment horizontal="center" vertical="center" wrapText="1"/>
    </xf>
    <xf numFmtId="166" fontId="38" fillId="47" borderId="0" xfId="4" quotePrefix="1" applyNumberFormat="1" applyFont="1" applyFill="1" applyBorder="1" applyAlignment="1">
      <alignment horizontal="center" vertical="center" wrapText="1"/>
    </xf>
    <xf numFmtId="166" fontId="28" fillId="47" borderId="0" xfId="4" applyNumberFormat="1" applyFont="1" applyFill="1" applyBorder="1" applyAlignment="1">
      <alignment horizontal="center" vertical="center" wrapText="1"/>
    </xf>
    <xf numFmtId="9" fontId="0" fillId="0" borderId="0" xfId="3" applyNumberFormat="1" applyFont="1" applyAlignment="1">
      <alignment horizontal="center"/>
    </xf>
    <xf numFmtId="9" fontId="1" fillId="0" borderId="0" xfId="0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173" fontId="42" fillId="0" borderId="0" xfId="0" applyNumberFormat="1" applyFont="1" applyAlignment="1">
      <alignment horizontal="center" vertical="center"/>
    </xf>
    <xf numFmtId="3" fontId="42" fillId="0" borderId="48" xfId="0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0" fontId="43" fillId="0" borderId="41" xfId="0" applyFont="1" applyBorder="1" applyAlignment="1">
      <alignment vertical="center"/>
    </xf>
    <xf numFmtId="0" fontId="43" fillId="0" borderId="42" xfId="0" applyFont="1" applyBorder="1" applyAlignment="1">
      <alignment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3" fontId="0" fillId="43" borderId="0" xfId="0" applyNumberFormat="1" applyFill="1"/>
    <xf numFmtId="10" fontId="42" fillId="0" borderId="0" xfId="3" applyNumberFormat="1" applyFont="1" applyBorder="1" applyAlignment="1">
      <alignment horizontal="center" vertical="center"/>
    </xf>
    <xf numFmtId="171" fontId="44" fillId="0" borderId="42" xfId="3" applyNumberFormat="1" applyFont="1" applyBorder="1" applyAlignment="1">
      <alignment horizontal="center" vertical="center"/>
    </xf>
    <xf numFmtId="0" fontId="45" fillId="0" borderId="0" xfId="0" applyFont="1"/>
    <xf numFmtId="2" fontId="42" fillId="0" borderId="67" xfId="3" applyNumberFormat="1" applyFont="1" applyBorder="1" applyAlignment="1">
      <alignment horizontal="center" vertical="center"/>
    </xf>
    <xf numFmtId="2" fontId="0" fillId="0" borderId="0" xfId="0" applyNumberFormat="1"/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7" borderId="0" xfId="0" applyFont="1" applyFill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25" fillId="46" borderId="7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5" fillId="46" borderId="0" xfId="0" applyFont="1" applyFill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8" fillId="47" borderId="85" xfId="0" applyFont="1" applyFill="1" applyBorder="1" applyAlignment="1">
      <alignment horizontal="left" vertical="center" wrapText="1" indent="1"/>
    </xf>
    <xf numFmtId="0" fontId="26" fillId="0" borderId="101" xfId="0" applyFont="1" applyBorder="1" applyAlignment="1">
      <alignment horizontal="center" vertical="center"/>
    </xf>
    <xf numFmtId="0" fontId="26" fillId="0" borderId="102" xfId="0" applyFont="1" applyBorder="1" applyAlignment="1">
      <alignment horizontal="center" vertical="center"/>
    </xf>
    <xf numFmtId="0" fontId="26" fillId="0" borderId="103" xfId="0" applyFont="1" applyBorder="1" applyAlignment="1">
      <alignment horizontal="center" vertical="center"/>
    </xf>
    <xf numFmtId="0" fontId="42" fillId="0" borderId="0" xfId="0" applyFont="1"/>
    <xf numFmtId="0" fontId="46" fillId="46" borderId="68" xfId="0" applyFont="1" applyFill="1" applyBorder="1" applyAlignment="1">
      <alignment horizontal="center" vertical="center"/>
    </xf>
    <xf numFmtId="0" fontId="46" fillId="46" borderId="69" xfId="0" applyFont="1" applyFill="1" applyBorder="1" applyAlignment="1">
      <alignment horizontal="center" vertical="center"/>
    </xf>
    <xf numFmtId="0" fontId="43" fillId="0" borderId="0" xfId="0" applyFont="1"/>
    <xf numFmtId="0" fontId="42" fillId="0" borderId="71" xfId="0" applyFont="1" applyBorder="1" applyAlignment="1">
      <alignment horizontal="center" vertical="center"/>
    </xf>
    <xf numFmtId="0" fontId="42" fillId="0" borderId="71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170" fontId="41" fillId="0" borderId="71" xfId="0" applyNumberFormat="1" applyFont="1" applyBorder="1" applyAlignment="1">
      <alignment horizontal="center" vertical="center"/>
    </xf>
    <xf numFmtId="170" fontId="41" fillId="0" borderId="102" xfId="0" applyNumberFormat="1" applyFont="1" applyBorder="1" applyAlignment="1">
      <alignment horizontal="center" vertical="center"/>
    </xf>
    <xf numFmtId="0" fontId="41" fillId="0" borderId="72" xfId="0" applyFont="1" applyBorder="1" applyAlignment="1">
      <alignment horizontal="left" vertical="center" indent="1"/>
    </xf>
    <xf numFmtId="170" fontId="41" fillId="0" borderId="0" xfId="0" applyNumberFormat="1" applyFont="1" applyAlignment="1">
      <alignment horizontal="center" vertical="center"/>
    </xf>
    <xf numFmtId="0" fontId="43" fillId="47" borderId="85" xfId="0" applyFont="1" applyFill="1" applyBorder="1" applyAlignment="1">
      <alignment horizontal="left" vertical="center" wrapText="1" indent="1"/>
    </xf>
    <xf numFmtId="170" fontId="43" fillId="47" borderId="86" xfId="0" applyNumberFormat="1" applyFont="1" applyFill="1" applyBorder="1" applyAlignment="1">
      <alignment horizontal="center" vertic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12.686881296687945</c:v>
                </c:pt>
                <c:pt idx="1">
                  <c:v>12.686881296687945</c:v>
                </c:pt>
                <c:pt idx="2">
                  <c:v>12.686881296687945</c:v>
                </c:pt>
                <c:pt idx="3">
                  <c:v>12.686881296687945</c:v>
                </c:pt>
                <c:pt idx="4">
                  <c:v>12.686881296687945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9.4</c:v>
                </c:pt>
                <c:pt idx="1">
                  <c:v>9.4</c:v>
                </c:pt>
                <c:pt idx="2">
                  <c:v>9.4</c:v>
                </c:pt>
                <c:pt idx="3">
                  <c:v>9.4</c:v>
                </c:pt>
                <c:pt idx="4">
                  <c:v>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allowed to vary based on custom constrains of the 2023 channel spend</a:t>
            </a: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LINEAR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GLINEARTV!$B$21:$B$41</c:f>
              <c:numCache>
                <c:formatCode>#,##0</c:formatCode>
                <c:ptCount val="21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0.16917250164576328"/>
                  <c:y val="-9.8407382335126653E-4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GPDSRCH!$A$22:$A$23</c:f>
              <c:numCache>
                <c:formatCode>"$"#,##0</c:formatCode>
                <c:ptCount val="2"/>
                <c:pt idx="0">
                  <c:v>250000</c:v>
                </c:pt>
                <c:pt idx="1">
                  <c:v>500000</c:v>
                </c:pt>
              </c:numCache>
            </c:numRef>
          </c:xVal>
          <c:yVal>
            <c:numRef>
              <c:f>GPDSRCH!$B$22:$B$23</c:f>
              <c:numCache>
                <c:formatCode>#,##0</c:formatCode>
                <c:ptCount val="2"/>
                <c:pt idx="0">
                  <c:v>92977.108783791031</c:v>
                </c:pt>
                <c:pt idx="1">
                  <c:v>151041.75883181734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3499650483388108E-2"/>
                  <c:y val="-4.935371867754198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3.356002453210933E-2"/>
                  <c:y val="1.354613184562692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1.0562161199699283E-3"/>
                  <c:y val="-0.1262686110424537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350284889011984"/>
                      <c:h val="4.911808669656203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0.13674046083435554"/>
                  <c:y val="-6.119746242482021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6242.5057294806466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12686881.296687946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333333.63867344987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28089210.84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178786.88808485144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1100000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21486.35797297582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2900000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76710.770935870692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3.4802148416091201E-2"/>
                  <c:y val="4.541082493948213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1800000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24218.148093092648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9400000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78576.267944646228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GSTRTV!$A$22:$A$41</c:f>
              <c:numCache>
                <c:formatCode>"$"#,##0</c:formatCode>
                <c:ptCount val="20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</c:numCache>
            </c:numRef>
          </c:xVal>
          <c:yVal>
            <c:numRef>
              <c:f>GSTRTV!$B$22:$B$41</c:f>
              <c:numCache>
                <c:formatCode>#,##0</c:formatCode>
                <c:ptCount val="20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xVal>
            <c:numRef>
              <c:f>GPHRMCY!$A$22:$A$41</c:f>
              <c:numCache>
                <c:formatCode>"$"#,##0</c:formatCode>
                <c:ptCount val="20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</c:numCache>
            </c:numRef>
          </c:xVal>
          <c:yVal>
            <c:numRef>
              <c:f>GPHRMCY!$B$22:$B$41</c:f>
              <c:numCache>
                <c:formatCode>#,##0</c:formatCode>
                <c:ptCount val="20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GPHRMCY!$D$9</c:f>
              <c:numCache>
                <c:formatCode>_("$"* #,##0_);_("$"* \(#,##0\);_("$"* "-"??_);_(@_)</c:formatCode>
                <c:ptCount val="1"/>
                <c:pt idx="0">
                  <c:v>2400000</c:v>
                </c:pt>
              </c:numCache>
            </c:numRef>
          </c:xVal>
          <c:yVal>
            <c:numRef>
              <c:f>GPHRMCY!$E$9</c:f>
              <c:numCache>
                <c:formatCode>#,##0</c:formatCode>
                <c:ptCount val="1"/>
                <c:pt idx="0">
                  <c:v>18136.499281739816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12.686881296687945</c:v>
                </c:pt>
                <c:pt idx="2">
                  <c:v>12.686881296687945</c:v>
                </c:pt>
                <c:pt idx="3">
                  <c:v>12.686881296687945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9.4</c:v>
                </c:pt>
                <c:pt idx="2">
                  <c:v>9.4</c:v>
                </c:pt>
                <c:pt idx="3">
                  <c:v>9.4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28.08921084</c:v>
                </c:pt>
                <c:pt idx="2">
                  <c:v>28.08921084</c:v>
                </c:pt>
                <c:pt idx="3">
                  <c:v>28.08921084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ROI'!$E$18:$E$25</c:f>
              <c:strCache>
                <c:ptCount val="8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Pharmacy</c:v>
                </c:pt>
              </c:strCache>
            </c:strRef>
          </c:cat>
          <c:val>
            <c:numRef>
              <c:f>'Contribution, promo eff, ROI'!$F$18:$F$25</c:f>
              <c:numCache>
                <c:formatCode>"$"#,##0</c:formatCode>
                <c:ptCount val="8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133.10979937785092</c:v>
                </c:pt>
                <c:pt idx="7">
                  <c:v>132.48254956731077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summary_dz'!$G$5</c:f>
              <c:strCache>
                <c:ptCount val="1"/>
                <c:pt idx="0">
                  <c:v>Custom Constraints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7877072124533218E-2"/>
                  <c:y val="-6.859657248726292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2735312601786281"/>
                  <c:y val="-4.455715094436724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3785863125687234"/>
                  <c:y val="-3.150326797385621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0574034413835219"/>
                  <c:y val="-2.8931861458494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3.7128445662445816E-2"/>
                  <c:y val="4.549920230559409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dLbl>
              <c:idx val="7"/>
              <c:layout>
                <c:manualLayout>
                  <c:x val="-2.3115616990295837E-2"/>
                  <c:y val="3.48857495754207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BF-41AA-9A8E-9B260F5ABC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summary_dz'!$C$6:$C$8</c:f>
              <c:numCache>
                <c:formatCode>_("$"* #,##0_);_("$"* \(#,##0\);_("$"* "-"??_);_(@_)</c:formatCode>
                <c:ptCount val="3"/>
                <c:pt idx="0">
                  <c:v>119952184.36</c:v>
                </c:pt>
                <c:pt idx="1">
                  <c:v>89964138.269999996</c:v>
                </c:pt>
                <c:pt idx="2">
                  <c:v>59976092.18</c:v>
                </c:pt>
              </c:numCache>
            </c:numRef>
          </c:xVal>
          <c:yVal>
            <c:numRef>
              <c:f>'Scenario summary_dz'!$G$6:$G$8</c:f>
              <c:numCache>
                <c:formatCode>_("$"* #,##0_);_("$"* \(#,##0\);_("$"* "-"??_);_(@_)</c:formatCode>
                <c:ptCount val="3"/>
                <c:pt idx="0">
                  <c:v>281633295.42993921</c:v>
                </c:pt>
                <c:pt idx="1">
                  <c:v>253213979.1862343</c:v>
                </c:pt>
                <c:pt idx="2">
                  <c:v>189295907.16269636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summary_dz'!$C$6:$C$8</c:f>
              <c:numCache>
                <c:formatCode>_("$"* #,##0_);_("$"* \(#,##0\);_("$"* "-"??_);_(@_)</c:formatCode>
                <c:ptCount val="3"/>
                <c:pt idx="0">
                  <c:v>119952184.36</c:v>
                </c:pt>
                <c:pt idx="1">
                  <c:v>89964138.269999996</c:v>
                </c:pt>
                <c:pt idx="2">
                  <c:v>59976092.18</c:v>
                </c:pt>
              </c:numCache>
            </c:numRef>
          </c:xVal>
          <c:yVal>
            <c:numRef>
              <c:f>'Scenario summary_dz'!$H$6:$H$8</c:f>
              <c:numCache>
                <c:formatCode>General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summary_dz'!$C$8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summary_dz'!$F$8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149225</xdr:rowOff>
    </xdr:from>
    <xdr:to>
      <xdr:col>12</xdr:col>
      <xdr:colOff>76200</xdr:colOff>
      <xdr:row>32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688976</xdr:colOff>
      <xdr:row>14</xdr:row>
      <xdr:rowOff>25400</xdr:rowOff>
    </xdr:from>
    <xdr:to>
      <xdr:col>10</xdr:col>
      <xdr:colOff>752475</xdr:colOff>
      <xdr:row>34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9" customWidth="1"/>
    <col min="2" max="2" width="13.5703125" style="99" customWidth="1"/>
    <col min="3" max="3" width="18.140625" style="99" customWidth="1"/>
    <col min="4" max="4" width="14.42578125" style="99" customWidth="1"/>
    <col min="5" max="5" width="15.42578125" style="99" customWidth="1"/>
    <col min="6" max="6" width="13.5703125" style="99" customWidth="1"/>
    <col min="7" max="7" width="15.5703125" style="99" customWidth="1"/>
    <col min="8" max="8" width="15.140625" style="99" bestFit="1" customWidth="1"/>
    <col min="9" max="9" width="12.140625" style="99" bestFit="1" customWidth="1"/>
    <col min="10" max="10" width="8.85546875" style="99"/>
    <col min="11" max="11" width="15.140625" style="99" customWidth="1"/>
    <col min="12" max="12" width="14.42578125" style="99" bestFit="1" customWidth="1"/>
    <col min="13" max="13" width="11.140625" style="99" bestFit="1" customWidth="1"/>
    <col min="14" max="14" width="12.140625" style="99" bestFit="1" customWidth="1"/>
    <col min="15" max="15" width="11.140625" style="99" bestFit="1" customWidth="1"/>
    <col min="16" max="18" width="12.140625" style="99" bestFit="1" customWidth="1"/>
    <col min="19" max="19" width="8.85546875" style="99"/>
    <col min="20" max="20" width="12" style="99" bestFit="1" customWidth="1"/>
    <col min="21" max="16384" width="8.85546875" style="99"/>
  </cols>
  <sheetData>
    <row r="1" spans="2:20" x14ac:dyDescent="0.25">
      <c r="C1" s="218" t="s">
        <v>212</v>
      </c>
    </row>
    <row r="2" spans="2:20" ht="15.75" thickBot="1" x14ac:dyDescent="0.3"/>
    <row r="3" spans="2:20" ht="30.2" customHeight="1" x14ac:dyDescent="0.25">
      <c r="B3" s="361" t="s">
        <v>2</v>
      </c>
      <c r="C3" s="363" t="s">
        <v>3</v>
      </c>
      <c r="D3" s="364" t="s">
        <v>213</v>
      </c>
      <c r="E3" s="365"/>
      <c r="F3" s="364" t="s">
        <v>214</v>
      </c>
      <c r="G3" s="365"/>
      <c r="H3" s="364" t="s">
        <v>215</v>
      </c>
      <c r="I3" s="365"/>
      <c r="K3" s="361" t="s">
        <v>2</v>
      </c>
      <c r="L3" s="363" t="s">
        <v>3</v>
      </c>
      <c r="M3" s="364" t="s">
        <v>213</v>
      </c>
      <c r="N3" s="365"/>
      <c r="O3" s="364" t="s">
        <v>214</v>
      </c>
      <c r="P3" s="365"/>
      <c r="Q3" s="364" t="s">
        <v>215</v>
      </c>
      <c r="R3" s="365"/>
    </row>
    <row r="4" spans="2:20" ht="25.5" x14ac:dyDescent="0.25">
      <c r="B4" s="362"/>
      <c r="C4" s="362"/>
      <c r="D4" s="219" t="s">
        <v>216</v>
      </c>
      <c r="E4" s="220" t="s">
        <v>217</v>
      </c>
      <c r="F4" s="219" t="s">
        <v>216</v>
      </c>
      <c r="G4" s="220" t="s">
        <v>217</v>
      </c>
      <c r="H4" s="219" t="s">
        <v>216</v>
      </c>
      <c r="I4" s="220" t="s">
        <v>217</v>
      </c>
      <c r="K4" s="362"/>
      <c r="L4" s="362"/>
      <c r="M4" s="219" t="s">
        <v>216</v>
      </c>
      <c r="N4" s="220" t="s">
        <v>217</v>
      </c>
      <c r="O4" s="219" t="s">
        <v>216</v>
      </c>
      <c r="P4" s="220" t="s">
        <v>217</v>
      </c>
      <c r="Q4" s="219" t="s">
        <v>216</v>
      </c>
      <c r="R4" s="220" t="s">
        <v>217</v>
      </c>
    </row>
    <row r="5" spans="2:20" x14ac:dyDescent="0.25">
      <c r="B5" s="53" t="s">
        <v>154</v>
      </c>
      <c r="C5" s="221" t="str">
        <f>VAC_Optim_Scenario!B17</f>
        <v>HCC InOffice</v>
      </c>
      <c r="D5" s="222">
        <f>VAC_Optim_Scenario!$H36</f>
        <v>900000</v>
      </c>
      <c r="E5" s="223">
        <f>VAC_Optim_Scenario!$J36</f>
        <v>1410431.7445188572</v>
      </c>
      <c r="F5" s="222">
        <f>VAC_Optim_Scenario!$H36</f>
        <v>900000</v>
      </c>
      <c r="G5" s="223">
        <f>VAC_Optim_Scenario!$J36</f>
        <v>1410431.7445188572</v>
      </c>
      <c r="H5" s="222">
        <f>VAC_Optim_Scenario!$H36</f>
        <v>900000</v>
      </c>
      <c r="I5" s="223">
        <f>VAC_Optim_Scenario!$J36</f>
        <v>1410431.7445188572</v>
      </c>
      <c r="J5" s="224"/>
      <c r="K5" s="53" t="s">
        <v>154</v>
      </c>
      <c r="L5" s="53" t="str">
        <f>VAC_Optim_Scenario!B17</f>
        <v>HCC InOffice</v>
      </c>
      <c r="M5" s="225">
        <f>D5/1000000</f>
        <v>0.9</v>
      </c>
      <c r="N5" s="226">
        <f t="shared" ref="N5:R13" si="0">E5/1000000</f>
        <v>1.4104317445188572</v>
      </c>
      <c r="O5" s="225">
        <f t="shared" si="0"/>
        <v>0.9</v>
      </c>
      <c r="P5" s="226">
        <f t="shared" si="0"/>
        <v>1.4104317445188572</v>
      </c>
      <c r="Q5" s="225">
        <f t="shared" si="0"/>
        <v>0.9</v>
      </c>
      <c r="R5" s="226">
        <f t="shared" si="0"/>
        <v>1.4104317445188572</v>
      </c>
    </row>
    <row r="6" spans="2:20" x14ac:dyDescent="0.25">
      <c r="B6" s="54" t="s">
        <v>154</v>
      </c>
      <c r="C6" s="227" t="str">
        <f>VAC_Optim_Scenario!B18</f>
        <v>HCP MCM</v>
      </c>
      <c r="D6" s="228">
        <f>VAC_Optim_Scenario!$H37</f>
        <v>12686881.296687946</v>
      </c>
      <c r="E6" s="229">
        <f>VAC_Optim_Scenario!$J37</f>
        <v>75313402.321879268</v>
      </c>
      <c r="F6" s="228">
        <f>VAC_Optim_Scenario!$H37</f>
        <v>12686881.296687946</v>
      </c>
      <c r="G6" s="229">
        <f>VAC_Optim_Scenario!$J37</f>
        <v>75313402.321879268</v>
      </c>
      <c r="H6" s="228">
        <f>VAC_Optim_Scenario!$H37</f>
        <v>12686881.296687946</v>
      </c>
      <c r="I6" s="229">
        <f>VAC_Optim_Scenario!$J37</f>
        <v>75313402.321879268</v>
      </c>
      <c r="J6" s="224"/>
      <c r="K6" s="54" t="s">
        <v>154</v>
      </c>
      <c r="L6" s="54" t="str">
        <f>VAC_Optim_Scenario!B18</f>
        <v>HCP MCM</v>
      </c>
      <c r="M6" s="230">
        <f t="shared" ref="M6:M13" si="1">D6/1000000</f>
        <v>12.686881296687945</v>
      </c>
      <c r="N6" s="231">
        <f t="shared" si="0"/>
        <v>75.313402321879266</v>
      </c>
      <c r="O6" s="230">
        <f t="shared" si="0"/>
        <v>12.686881296687945</v>
      </c>
      <c r="P6" s="231">
        <f t="shared" si="0"/>
        <v>75.313402321879266</v>
      </c>
      <c r="Q6" s="230">
        <f t="shared" si="0"/>
        <v>12.686881296687945</v>
      </c>
      <c r="R6" s="231">
        <f t="shared" si="0"/>
        <v>75.313402321879266</v>
      </c>
    </row>
    <row r="7" spans="2:20" x14ac:dyDescent="0.25">
      <c r="B7" s="54" t="s">
        <v>154</v>
      </c>
      <c r="C7" s="227" t="str">
        <f>VAC_Optim_Scenario!B19</f>
        <v>HCC Social</v>
      </c>
      <c r="D7" s="228">
        <f>VAC_Optim_Scenario!$H38</f>
        <v>1800000</v>
      </c>
      <c r="E7" s="229">
        <f>VAC_Optim_Scenario!$J38</f>
        <v>5471848.3801533533</v>
      </c>
      <c r="F7" s="228">
        <f>VAC_Optim_Scenario!$H38</f>
        <v>1800000</v>
      </c>
      <c r="G7" s="229">
        <f>VAC_Optim_Scenario!$J38</f>
        <v>5471848.3801533533</v>
      </c>
      <c r="H7" s="228">
        <f>VAC_Optim_Scenario!$H38</f>
        <v>1800000</v>
      </c>
      <c r="I7" s="229">
        <f>VAC_Optim_Scenario!$J38</f>
        <v>5471848.3801533533</v>
      </c>
      <c r="J7" s="232"/>
      <c r="K7" s="54" t="s">
        <v>154</v>
      </c>
      <c r="L7" s="54" t="str">
        <f>VAC_Optim_Scenario!B19</f>
        <v>HCC Social</v>
      </c>
      <c r="M7" s="230">
        <f t="shared" si="1"/>
        <v>1.8</v>
      </c>
      <c r="N7" s="231">
        <f t="shared" si="0"/>
        <v>5.4718483801533537</v>
      </c>
      <c r="O7" s="230">
        <f t="shared" si="0"/>
        <v>1.8</v>
      </c>
      <c r="P7" s="231">
        <f t="shared" si="0"/>
        <v>5.4718483801533537</v>
      </c>
      <c r="Q7" s="230">
        <f t="shared" si="0"/>
        <v>1.8</v>
      </c>
      <c r="R7" s="231">
        <f t="shared" si="0"/>
        <v>5.4718483801533537</v>
      </c>
    </row>
    <row r="8" spans="2:20" x14ac:dyDescent="0.25">
      <c r="B8" s="54" t="s">
        <v>154</v>
      </c>
      <c r="C8" s="227" t="str">
        <f>VAC_Optim_Scenario!B20</f>
        <v>HCC Online Video</v>
      </c>
      <c r="D8" s="228">
        <f>VAC_Optim_Scenario!$H39</f>
        <v>1100000</v>
      </c>
      <c r="E8" s="229">
        <f>VAC_Optim_Scenario!$J39</f>
        <v>4854627.720414157</v>
      </c>
      <c r="F8" s="228">
        <f>VAC_Optim_Scenario!$H39</f>
        <v>1100000</v>
      </c>
      <c r="G8" s="229">
        <f>VAC_Optim_Scenario!$J39</f>
        <v>4854627.720414157</v>
      </c>
      <c r="H8" s="228">
        <f>VAC_Optim_Scenario!$H39</f>
        <v>1100000</v>
      </c>
      <c r="I8" s="229">
        <f>VAC_Optim_Scenario!$J39</f>
        <v>4854627.720414157</v>
      </c>
      <c r="J8" s="224"/>
      <c r="K8" s="54" t="s">
        <v>154</v>
      </c>
      <c r="L8" s="54" t="str">
        <f>VAC_Optim_Scenario!B20</f>
        <v>HCC Online Video</v>
      </c>
      <c r="M8" s="230">
        <f t="shared" si="1"/>
        <v>1.1000000000000001</v>
      </c>
      <c r="N8" s="231">
        <f t="shared" si="0"/>
        <v>4.8546277204141575</v>
      </c>
      <c r="O8" s="230">
        <f t="shared" si="0"/>
        <v>1.1000000000000001</v>
      </c>
      <c r="P8" s="231">
        <f t="shared" si="0"/>
        <v>4.8546277204141575</v>
      </c>
      <c r="Q8" s="230">
        <f t="shared" si="0"/>
        <v>1.1000000000000001</v>
      </c>
      <c r="R8" s="231">
        <f t="shared" si="0"/>
        <v>4.8546277204141575</v>
      </c>
    </row>
    <row r="9" spans="2:20" x14ac:dyDescent="0.25">
      <c r="B9" s="54" t="s">
        <v>154</v>
      </c>
      <c r="C9" s="227" t="str">
        <f>VAC_Optim_Scenario!B21</f>
        <v>HCC Streaming Video</v>
      </c>
      <c r="D9" s="228">
        <f>VAC_Optim_Scenario!$H40</f>
        <v>9400000</v>
      </c>
      <c r="E9" s="229">
        <f>VAC_Optim_Scenario!$J40</f>
        <v>17753521.979413368</v>
      </c>
      <c r="F9" s="228">
        <f>VAC_Optim_Scenario!$H40</f>
        <v>9400000</v>
      </c>
      <c r="G9" s="229">
        <f>VAC_Optim_Scenario!$J40</f>
        <v>17753521.979413368</v>
      </c>
      <c r="H9" s="228">
        <f>VAC_Optim_Scenario!$H40</f>
        <v>9400000</v>
      </c>
      <c r="I9" s="229">
        <f>VAC_Optim_Scenario!$J40</f>
        <v>17753521.979413368</v>
      </c>
      <c r="J9" s="232"/>
      <c r="K9" s="54" t="s">
        <v>154</v>
      </c>
      <c r="L9" s="54" t="str">
        <f>VAC_Optim_Scenario!B21</f>
        <v>HCC Streaming Video</v>
      </c>
      <c r="M9" s="230">
        <f t="shared" si="1"/>
        <v>9.4</v>
      </c>
      <c r="N9" s="231">
        <f t="shared" si="0"/>
        <v>17.753521979413367</v>
      </c>
      <c r="O9" s="230">
        <f t="shared" si="0"/>
        <v>9.4</v>
      </c>
      <c r="P9" s="231">
        <f t="shared" si="0"/>
        <v>17.753521979413367</v>
      </c>
      <c r="Q9" s="230">
        <f t="shared" si="0"/>
        <v>9.4</v>
      </c>
      <c r="R9" s="231">
        <f t="shared" si="0"/>
        <v>17.753521979413367</v>
      </c>
    </row>
    <row r="10" spans="2:20" x14ac:dyDescent="0.25">
      <c r="B10" s="54" t="s">
        <v>154</v>
      </c>
      <c r="C10" s="227" t="str">
        <f>VAC_Optim_Scenario!B22</f>
        <v>HCC Display</v>
      </c>
      <c r="D10" s="228">
        <f>VAC_Optim_Scenario!$H41</f>
        <v>2900000</v>
      </c>
      <c r="E10" s="229">
        <f>VAC_Optim_Scenario!$J41</f>
        <v>17332031.585250624</v>
      </c>
      <c r="F10" s="228">
        <f>VAC_Optim_Scenario!$H41</f>
        <v>2900000</v>
      </c>
      <c r="G10" s="229">
        <f>VAC_Optim_Scenario!$J41</f>
        <v>17332031.585250624</v>
      </c>
      <c r="H10" s="228">
        <f>VAC_Optim_Scenario!$H41</f>
        <v>2900000</v>
      </c>
      <c r="I10" s="229">
        <f>VAC_Optim_Scenario!$J41</f>
        <v>17332031.585250624</v>
      </c>
      <c r="J10" s="232"/>
      <c r="K10" s="54" t="s">
        <v>154</v>
      </c>
      <c r="L10" s="54" t="str">
        <f>VAC_Optim_Scenario!B22</f>
        <v>HCC Display</v>
      </c>
      <c r="M10" s="230">
        <f t="shared" si="1"/>
        <v>2.9</v>
      </c>
      <c r="N10" s="231">
        <f t="shared" si="0"/>
        <v>17.332031585250622</v>
      </c>
      <c r="O10" s="230">
        <f t="shared" si="0"/>
        <v>2.9</v>
      </c>
      <c r="P10" s="231">
        <f t="shared" si="0"/>
        <v>17.332031585250622</v>
      </c>
      <c r="Q10" s="230">
        <f t="shared" si="0"/>
        <v>2.9</v>
      </c>
      <c r="R10" s="231">
        <f t="shared" si="0"/>
        <v>17.332031585250622</v>
      </c>
    </row>
    <row r="11" spans="2:20" x14ac:dyDescent="0.25">
      <c r="B11" s="54" t="s">
        <v>154</v>
      </c>
      <c r="C11" s="227" t="str">
        <f>VAC_Optim_Scenario!B23</f>
        <v>HCC Paid Search</v>
      </c>
      <c r="D11" s="228">
        <f>VAC_Optim_Scenario!$H42</f>
        <v>200000</v>
      </c>
      <c r="E11" s="229">
        <f>VAC_Optim_Scenario!$J42</f>
        <v>17969341.094351832</v>
      </c>
      <c r="F11" s="228">
        <f>VAC_Optim_Scenario!$H42</f>
        <v>200000</v>
      </c>
      <c r="G11" s="229">
        <f>VAC_Optim_Scenario!$J42</f>
        <v>17969341.094351832</v>
      </c>
      <c r="H11" s="228">
        <f>VAC_Optim_Scenario!$H42</f>
        <v>200000</v>
      </c>
      <c r="I11" s="229">
        <f>VAC_Optim_Scenario!$J42</f>
        <v>17969341.094351832</v>
      </c>
      <c r="J11" s="224"/>
      <c r="K11" s="54" t="s">
        <v>154</v>
      </c>
      <c r="L11" s="54" t="str">
        <f>VAC_Optim_Scenario!B23</f>
        <v>HCC Paid Search</v>
      </c>
      <c r="M11" s="230">
        <f t="shared" si="1"/>
        <v>0.2</v>
      </c>
      <c r="N11" s="231">
        <f t="shared" si="0"/>
        <v>17.969341094351833</v>
      </c>
      <c r="O11" s="230">
        <f t="shared" si="0"/>
        <v>0.2</v>
      </c>
      <c r="P11" s="231">
        <f t="shared" si="0"/>
        <v>17.969341094351833</v>
      </c>
      <c r="Q11" s="230">
        <f t="shared" si="0"/>
        <v>0.2</v>
      </c>
      <c r="R11" s="231">
        <f t="shared" si="0"/>
        <v>17.969341094351833</v>
      </c>
    </row>
    <row r="12" spans="2:20" x14ac:dyDescent="0.25">
      <c r="B12" s="54" t="s">
        <v>154</v>
      </c>
      <c r="C12" s="227" t="e">
        <f>VAC_Optim_Scenario!#REF!</f>
        <v>#REF!</v>
      </c>
      <c r="D12" s="228" t="e">
        <f>VAC_Optim_Scenario!#REF!</f>
        <v>#REF!</v>
      </c>
      <c r="E12" s="229" t="e">
        <f>VAC_Optim_Scenario!#REF!</f>
        <v>#REF!</v>
      </c>
      <c r="F12" s="228" t="e">
        <f>VAC_Optim_Scenario!#REF!</f>
        <v>#REF!</v>
      </c>
      <c r="G12" s="229" t="e">
        <f>VAC_Optim_Scenario!#REF!</f>
        <v>#REF!</v>
      </c>
      <c r="H12" s="228" t="e">
        <f>VAC_Optim_Scenario!#REF!</f>
        <v>#REF!</v>
      </c>
      <c r="I12" s="229" t="e">
        <f>VAC_Optim_Scenario!#REF!</f>
        <v>#REF!</v>
      </c>
      <c r="J12" s="224"/>
      <c r="K12" s="54" t="s">
        <v>154</v>
      </c>
      <c r="L12" s="54" t="e">
        <f>VAC_Optim_Scenario!#REF!</f>
        <v>#REF!</v>
      </c>
      <c r="M12" s="230" t="e">
        <f t="shared" si="1"/>
        <v>#REF!</v>
      </c>
      <c r="N12" s="231" t="e">
        <f t="shared" si="0"/>
        <v>#REF!</v>
      </c>
      <c r="O12" s="230" t="e">
        <f t="shared" si="0"/>
        <v>#REF!</v>
      </c>
      <c r="P12" s="231" t="e">
        <f t="shared" si="0"/>
        <v>#REF!</v>
      </c>
      <c r="Q12" s="230" t="e">
        <f t="shared" si="0"/>
        <v>#REF!</v>
      </c>
      <c r="R12" s="231" t="e">
        <f t="shared" si="0"/>
        <v>#REF!</v>
      </c>
    </row>
    <row r="13" spans="2:20" x14ac:dyDescent="0.25">
      <c r="B13" s="241" t="s">
        <v>154</v>
      </c>
      <c r="C13" s="212" t="str">
        <f>VAC_Optim_Scenario!B24</f>
        <v>HCC Linear TV</v>
      </c>
      <c r="D13" s="242">
        <f>VAC_Optim_Scenario!$H43</f>
        <v>28089210.84</v>
      </c>
      <c r="E13" s="242">
        <f>VAC_Optim_Scenario!$J43</f>
        <v>40395109.493891336</v>
      </c>
      <c r="F13" s="242">
        <f>VAC_Optim_Scenario!$H43</f>
        <v>28089210.84</v>
      </c>
      <c r="G13" s="242">
        <f>VAC_Optim_Scenario!$J43</f>
        <v>40395109.493891336</v>
      </c>
      <c r="H13" s="242">
        <f>VAC_Optim_Scenario!$H43</f>
        <v>28089210.84</v>
      </c>
      <c r="I13" s="242">
        <f>VAC_Optim_Scenario!$J43</f>
        <v>40395109.493891336</v>
      </c>
      <c r="J13" s="224"/>
      <c r="K13" s="241" t="s">
        <v>154</v>
      </c>
      <c r="L13" s="241" t="str">
        <f>VAC_Optim_Scenario!B24</f>
        <v>HCC Linear TV</v>
      </c>
      <c r="M13" s="235">
        <f t="shared" si="1"/>
        <v>28.08921084</v>
      </c>
      <c r="N13" s="235">
        <f t="shared" si="0"/>
        <v>40.395109493891333</v>
      </c>
      <c r="O13" s="235">
        <f t="shared" si="0"/>
        <v>28.08921084</v>
      </c>
      <c r="P13" s="235">
        <f t="shared" si="0"/>
        <v>40.395109493891333</v>
      </c>
      <c r="Q13" s="235">
        <f t="shared" si="0"/>
        <v>28.08921084</v>
      </c>
      <c r="R13" s="235">
        <f t="shared" si="0"/>
        <v>40.395109493891333</v>
      </c>
    </row>
    <row r="14" spans="2:20" x14ac:dyDescent="0.25">
      <c r="T14" s="282"/>
    </row>
    <row r="15" spans="2:20" x14ac:dyDescent="0.25">
      <c r="C15" s="218" t="s">
        <v>218</v>
      </c>
    </row>
    <row r="17" spans="2:19" ht="38.1" customHeight="1" x14ac:dyDescent="0.25">
      <c r="C17" s="363" t="s">
        <v>3</v>
      </c>
      <c r="D17" s="364" t="s">
        <v>213</v>
      </c>
      <c r="E17" s="365"/>
      <c r="F17" s="364" t="s">
        <v>219</v>
      </c>
      <c r="G17" s="365"/>
      <c r="H17" s="364" t="s">
        <v>220</v>
      </c>
      <c r="I17" s="365"/>
      <c r="L17" s="363" t="s">
        <v>3</v>
      </c>
      <c r="M17" s="364" t="s">
        <v>213</v>
      </c>
      <c r="N17" s="365"/>
      <c r="O17" s="364" t="s">
        <v>219</v>
      </c>
      <c r="P17" s="365"/>
      <c r="Q17" s="364" t="s">
        <v>220</v>
      </c>
      <c r="R17" s="365"/>
    </row>
    <row r="18" spans="2:19" ht="25.5" x14ac:dyDescent="0.25">
      <c r="C18" s="362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362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21" t="str">
        <f>VAC_Optim_Scenario!B17</f>
        <v>HCC InOffice</v>
      </c>
      <c r="D19" s="222">
        <f>VAC_Optim_Scenario!$H36</f>
        <v>900000</v>
      </c>
      <c r="E19" s="223">
        <f>VAC_Optim_Scenario!$J36</f>
        <v>1410431.7445188572</v>
      </c>
      <c r="F19" s="222">
        <f>VAC_Optim_Scenario!$H36</f>
        <v>900000</v>
      </c>
      <c r="G19" s="223">
        <f>VAC_Optim_Scenario!$J36</f>
        <v>1410431.7445188572</v>
      </c>
      <c r="H19" s="222">
        <f>VAC_Optim_Scenario!$H36</f>
        <v>900000</v>
      </c>
      <c r="I19" s="223">
        <f>VAC_Optim_Scenario!$J36</f>
        <v>1410431.7445188572</v>
      </c>
      <c r="J19" s="224"/>
      <c r="K19" s="53" t="s">
        <v>154</v>
      </c>
      <c r="L19" s="221" t="str">
        <f>VAC_Optim_Scenario!B17</f>
        <v>HCC InOffice</v>
      </c>
      <c r="M19" s="225">
        <f>D19/1000000</f>
        <v>0.9</v>
      </c>
      <c r="N19" s="226">
        <f t="shared" ref="N19:R27" si="2">E19/1000000</f>
        <v>1.4104317445188572</v>
      </c>
      <c r="O19" s="225">
        <f t="shared" si="2"/>
        <v>0.9</v>
      </c>
      <c r="P19" s="226">
        <f t="shared" si="2"/>
        <v>1.4104317445188572</v>
      </c>
      <c r="Q19" s="225">
        <f t="shared" si="2"/>
        <v>0.9</v>
      </c>
      <c r="R19" s="226">
        <f t="shared" si="2"/>
        <v>1.4104317445188572</v>
      </c>
    </row>
    <row r="20" spans="2:19" x14ac:dyDescent="0.25">
      <c r="B20" s="54" t="s">
        <v>154</v>
      </c>
      <c r="C20" s="227" t="str">
        <f>VAC_Optim_Scenario!B18</f>
        <v>HCP MCM</v>
      </c>
      <c r="D20" s="228">
        <f>VAC_Optim_Scenario!$H37</f>
        <v>12686881.296687946</v>
      </c>
      <c r="E20" s="229">
        <f>VAC_Optim_Scenario!$J37</f>
        <v>75313402.321879268</v>
      </c>
      <c r="F20" s="228">
        <f>VAC_Optim_Scenario!$H37</f>
        <v>12686881.296687946</v>
      </c>
      <c r="G20" s="229">
        <f>VAC_Optim_Scenario!$J37</f>
        <v>75313402.321879268</v>
      </c>
      <c r="H20" s="228">
        <f>VAC_Optim_Scenario!$H37</f>
        <v>12686881.296687946</v>
      </c>
      <c r="I20" s="229">
        <f>VAC_Optim_Scenario!$J37</f>
        <v>75313402.321879268</v>
      </c>
      <c r="J20" s="224"/>
      <c r="K20" s="54" t="s">
        <v>154</v>
      </c>
      <c r="L20" s="227" t="str">
        <f>VAC_Optim_Scenario!B18</f>
        <v>HCP MCM</v>
      </c>
      <c r="M20" s="230">
        <f t="shared" ref="M20:M27" si="3">D20/1000000</f>
        <v>12.686881296687945</v>
      </c>
      <c r="N20" s="231">
        <f t="shared" si="2"/>
        <v>75.313402321879266</v>
      </c>
      <c r="O20" s="230">
        <f t="shared" si="2"/>
        <v>12.686881296687945</v>
      </c>
      <c r="P20" s="231">
        <f t="shared" si="2"/>
        <v>75.313402321879266</v>
      </c>
      <c r="Q20" s="230">
        <f t="shared" si="2"/>
        <v>12.686881296687945</v>
      </c>
      <c r="R20" s="231">
        <f t="shared" si="2"/>
        <v>75.313402321879266</v>
      </c>
    </row>
    <row r="21" spans="2:19" x14ac:dyDescent="0.25">
      <c r="B21" s="54" t="s">
        <v>154</v>
      </c>
      <c r="C21" s="227" t="str">
        <f>VAC_Optim_Scenario!B19</f>
        <v>HCC Social</v>
      </c>
      <c r="D21" s="228">
        <f>VAC_Optim_Scenario!$H38</f>
        <v>1800000</v>
      </c>
      <c r="E21" s="229">
        <f>VAC_Optim_Scenario!$J38</f>
        <v>5471848.3801533533</v>
      </c>
      <c r="F21" s="228">
        <f>VAC_Optim_Scenario!$H38</f>
        <v>1800000</v>
      </c>
      <c r="G21" s="229">
        <f>VAC_Optim_Scenario!$J38</f>
        <v>5471848.3801533533</v>
      </c>
      <c r="H21" s="228">
        <f>VAC_Optim_Scenario!$H38</f>
        <v>1800000</v>
      </c>
      <c r="I21" s="229">
        <f>VAC_Optim_Scenario!$J38</f>
        <v>5471848.3801533533</v>
      </c>
      <c r="J21" s="232"/>
      <c r="K21" s="54" t="s">
        <v>154</v>
      </c>
      <c r="L21" s="227" t="str">
        <f>VAC_Optim_Scenario!B19</f>
        <v>HCC Social</v>
      </c>
      <c r="M21" s="230">
        <f t="shared" si="3"/>
        <v>1.8</v>
      </c>
      <c r="N21" s="231">
        <f t="shared" si="2"/>
        <v>5.4718483801533537</v>
      </c>
      <c r="O21" s="230">
        <f t="shared" si="2"/>
        <v>1.8</v>
      </c>
      <c r="P21" s="231">
        <f t="shared" si="2"/>
        <v>5.4718483801533537</v>
      </c>
      <c r="Q21" s="230">
        <f t="shared" si="2"/>
        <v>1.8</v>
      </c>
      <c r="R21" s="231">
        <f t="shared" si="2"/>
        <v>5.4718483801533537</v>
      </c>
    </row>
    <row r="22" spans="2:19" x14ac:dyDescent="0.25">
      <c r="B22" s="54" t="s">
        <v>154</v>
      </c>
      <c r="C22" s="227" t="str">
        <f>VAC_Optim_Scenario!B20</f>
        <v>HCC Online Video</v>
      </c>
      <c r="D22" s="228">
        <f>VAC_Optim_Scenario!$H39</f>
        <v>1100000</v>
      </c>
      <c r="E22" s="229">
        <f>VAC_Optim_Scenario!$J39</f>
        <v>4854627.720414157</v>
      </c>
      <c r="F22" s="228">
        <f>VAC_Optim_Scenario!$H39</f>
        <v>1100000</v>
      </c>
      <c r="G22" s="229">
        <f>VAC_Optim_Scenario!$J39</f>
        <v>4854627.720414157</v>
      </c>
      <c r="H22" s="228">
        <f>VAC_Optim_Scenario!$H39</f>
        <v>1100000</v>
      </c>
      <c r="I22" s="229">
        <f>VAC_Optim_Scenario!$J39</f>
        <v>4854627.720414157</v>
      </c>
      <c r="J22" s="224"/>
      <c r="K22" s="54" t="s">
        <v>154</v>
      </c>
      <c r="L22" s="227" t="str">
        <f>VAC_Optim_Scenario!B20</f>
        <v>HCC Online Video</v>
      </c>
      <c r="M22" s="230">
        <f t="shared" si="3"/>
        <v>1.1000000000000001</v>
      </c>
      <c r="N22" s="231">
        <f t="shared" si="2"/>
        <v>4.8546277204141575</v>
      </c>
      <c r="O22" s="230">
        <f t="shared" si="2"/>
        <v>1.1000000000000001</v>
      </c>
      <c r="P22" s="231">
        <f t="shared" si="2"/>
        <v>4.8546277204141575</v>
      </c>
      <c r="Q22" s="230">
        <f t="shared" si="2"/>
        <v>1.1000000000000001</v>
      </c>
      <c r="R22" s="231">
        <f t="shared" si="2"/>
        <v>4.8546277204141575</v>
      </c>
    </row>
    <row r="23" spans="2:19" x14ac:dyDescent="0.25">
      <c r="B23" s="54" t="s">
        <v>154</v>
      </c>
      <c r="C23" s="227" t="str">
        <f>VAC_Optim_Scenario!B21</f>
        <v>HCC Streaming Video</v>
      </c>
      <c r="D23" s="228">
        <f>VAC_Optim_Scenario!$H40</f>
        <v>9400000</v>
      </c>
      <c r="E23" s="229">
        <f>VAC_Optim_Scenario!$J40</f>
        <v>17753521.979413368</v>
      </c>
      <c r="F23" s="228">
        <f>VAC_Optim_Scenario!$H40</f>
        <v>9400000</v>
      </c>
      <c r="G23" s="229">
        <f>VAC_Optim_Scenario!$J40</f>
        <v>17753521.979413368</v>
      </c>
      <c r="H23" s="228">
        <f>VAC_Optim_Scenario!$H40</f>
        <v>9400000</v>
      </c>
      <c r="I23" s="229">
        <f>VAC_Optim_Scenario!$J40</f>
        <v>17753521.979413368</v>
      </c>
      <c r="J23" s="232"/>
      <c r="K23" s="54" t="s">
        <v>154</v>
      </c>
      <c r="L23" s="227" t="str">
        <f>VAC_Optim_Scenario!B21</f>
        <v>HCC Streaming Video</v>
      </c>
      <c r="M23" s="230">
        <f t="shared" si="3"/>
        <v>9.4</v>
      </c>
      <c r="N23" s="231">
        <f t="shared" si="2"/>
        <v>17.753521979413367</v>
      </c>
      <c r="O23" s="230">
        <f t="shared" si="2"/>
        <v>9.4</v>
      </c>
      <c r="P23" s="231">
        <f t="shared" si="2"/>
        <v>17.753521979413367</v>
      </c>
      <c r="Q23" s="230">
        <f t="shared" si="2"/>
        <v>9.4</v>
      </c>
      <c r="R23" s="231">
        <f t="shared" si="2"/>
        <v>17.753521979413367</v>
      </c>
    </row>
    <row r="24" spans="2:19" x14ac:dyDescent="0.25">
      <c r="B24" s="54" t="s">
        <v>154</v>
      </c>
      <c r="C24" s="227" t="str">
        <f>VAC_Optim_Scenario!B22</f>
        <v>HCC Display</v>
      </c>
      <c r="D24" s="228">
        <f>VAC_Optim_Scenario!$H41</f>
        <v>2900000</v>
      </c>
      <c r="E24" s="229">
        <f>VAC_Optim_Scenario!$J41</f>
        <v>17332031.585250624</v>
      </c>
      <c r="F24" s="228">
        <f>VAC_Optim_Scenario!$H41</f>
        <v>2900000</v>
      </c>
      <c r="G24" s="229">
        <f>VAC_Optim_Scenario!$J41</f>
        <v>17332031.585250624</v>
      </c>
      <c r="H24" s="228">
        <f>VAC_Optim_Scenario!$H41</f>
        <v>2900000</v>
      </c>
      <c r="I24" s="229">
        <f>VAC_Optim_Scenario!$J41</f>
        <v>17332031.585250624</v>
      </c>
      <c r="J24" s="232"/>
      <c r="K24" s="54" t="s">
        <v>154</v>
      </c>
      <c r="L24" s="227" t="str">
        <f>VAC_Optim_Scenario!B22</f>
        <v>HCC Display</v>
      </c>
      <c r="M24" s="230">
        <f t="shared" si="3"/>
        <v>2.9</v>
      </c>
      <c r="N24" s="231">
        <f t="shared" si="2"/>
        <v>17.332031585250622</v>
      </c>
      <c r="O24" s="230">
        <f t="shared" si="2"/>
        <v>2.9</v>
      </c>
      <c r="P24" s="231">
        <f t="shared" si="2"/>
        <v>17.332031585250622</v>
      </c>
      <c r="Q24" s="230">
        <f t="shared" si="2"/>
        <v>2.9</v>
      </c>
      <c r="R24" s="231">
        <f t="shared" si="2"/>
        <v>17.332031585250622</v>
      </c>
    </row>
    <row r="25" spans="2:19" x14ac:dyDescent="0.25">
      <c r="B25" s="54" t="s">
        <v>154</v>
      </c>
      <c r="C25" s="227" t="str">
        <f>VAC_Optim_Scenario!B23</f>
        <v>HCC Paid Search</v>
      </c>
      <c r="D25" s="228">
        <f>VAC_Optim_Scenario!$H42</f>
        <v>200000</v>
      </c>
      <c r="E25" s="229">
        <f>VAC_Optim_Scenario!$J42</f>
        <v>17969341.094351832</v>
      </c>
      <c r="F25" s="228">
        <f>VAC_Optim_Scenario!$H42</f>
        <v>200000</v>
      </c>
      <c r="G25" s="229">
        <f>VAC_Optim_Scenario!$J42</f>
        <v>17969341.094351832</v>
      </c>
      <c r="H25" s="228">
        <f>VAC_Optim_Scenario!$H42</f>
        <v>200000</v>
      </c>
      <c r="I25" s="229">
        <f>VAC_Optim_Scenario!$J42</f>
        <v>17969341.094351832</v>
      </c>
      <c r="J25" s="232"/>
      <c r="K25" s="54" t="s">
        <v>154</v>
      </c>
      <c r="L25" s="227" t="str">
        <f>VAC_Optim_Scenario!B23</f>
        <v>HCC Paid Search</v>
      </c>
      <c r="M25" s="230">
        <f t="shared" si="3"/>
        <v>0.2</v>
      </c>
      <c r="N25" s="231">
        <f t="shared" si="2"/>
        <v>17.969341094351833</v>
      </c>
      <c r="O25" s="230">
        <f t="shared" si="2"/>
        <v>0.2</v>
      </c>
      <c r="P25" s="231">
        <f t="shared" si="2"/>
        <v>17.969341094351833</v>
      </c>
      <c r="Q25" s="230">
        <f t="shared" si="2"/>
        <v>0.2</v>
      </c>
      <c r="R25" s="231">
        <f t="shared" si="2"/>
        <v>17.969341094351833</v>
      </c>
    </row>
    <row r="26" spans="2:19" x14ac:dyDescent="0.25">
      <c r="B26" s="54" t="s">
        <v>154</v>
      </c>
      <c r="C26" s="227" t="e">
        <f>VAC_Optim_Scenario!#REF!</f>
        <v>#REF!</v>
      </c>
      <c r="D26" s="228" t="e">
        <f>VAC_Optim_Scenario!#REF!</f>
        <v>#REF!</v>
      </c>
      <c r="E26" s="229" t="e">
        <f>VAC_Optim_Scenario!#REF!</f>
        <v>#REF!</v>
      </c>
      <c r="F26" s="228" t="e">
        <f>VAC_Optim_Scenario!#REF!</f>
        <v>#REF!</v>
      </c>
      <c r="G26" s="229" t="e">
        <f>VAC_Optim_Scenario!#REF!</f>
        <v>#REF!</v>
      </c>
      <c r="H26" s="228" t="e">
        <f>VAC_Optim_Scenario!#REF!</f>
        <v>#REF!</v>
      </c>
      <c r="I26" s="229" t="e">
        <f>VAC_Optim_Scenario!#REF!</f>
        <v>#REF!</v>
      </c>
      <c r="J26" s="232"/>
      <c r="K26" s="54" t="s">
        <v>154</v>
      </c>
      <c r="L26" s="227" t="e">
        <f>VAC_Optim_Scenario!#REF!</f>
        <v>#REF!</v>
      </c>
      <c r="M26" s="230" t="e">
        <f t="shared" si="3"/>
        <v>#REF!</v>
      </c>
      <c r="N26" s="231" t="e">
        <f t="shared" si="2"/>
        <v>#REF!</v>
      </c>
      <c r="O26" s="230" t="e">
        <f t="shared" si="2"/>
        <v>#REF!</v>
      </c>
      <c r="P26" s="231" t="e">
        <f t="shared" si="2"/>
        <v>#REF!</v>
      </c>
      <c r="Q26" s="230" t="e">
        <f t="shared" si="2"/>
        <v>#REF!</v>
      </c>
      <c r="R26" s="231" t="e">
        <f t="shared" si="2"/>
        <v>#REF!</v>
      </c>
    </row>
    <row r="27" spans="2:19" x14ac:dyDescent="0.25">
      <c r="B27" s="241" t="s">
        <v>154</v>
      </c>
      <c r="C27" s="212" t="str">
        <f>VAC_Optim_Scenario!B24</f>
        <v>HCC Linear TV</v>
      </c>
      <c r="D27" s="242">
        <f>VAC_Optim_Scenario!$H43</f>
        <v>28089210.84</v>
      </c>
      <c r="E27" s="242">
        <f>VAC_Optim_Scenario!$J43</f>
        <v>40395109.493891336</v>
      </c>
      <c r="F27" s="242">
        <f>VAC_Optim_Scenario!$H43</f>
        <v>28089210.84</v>
      </c>
      <c r="G27" s="242">
        <f>VAC_Optim_Scenario!$J43</f>
        <v>40395109.493891336</v>
      </c>
      <c r="H27" s="242">
        <f>VAC_Optim_Scenario!$H43</f>
        <v>28089210.84</v>
      </c>
      <c r="I27" s="242">
        <f>VAC_Optim_Scenario!$J43</f>
        <v>40395109.493891336</v>
      </c>
      <c r="J27" s="232"/>
      <c r="K27" s="241" t="s">
        <v>154</v>
      </c>
      <c r="L27" s="212" t="str">
        <f>VAC_Optim_Scenario!B24</f>
        <v>HCC Linear TV</v>
      </c>
      <c r="M27" s="235">
        <f t="shared" si="3"/>
        <v>28.08921084</v>
      </c>
      <c r="N27" s="235">
        <f t="shared" si="2"/>
        <v>40.395109493891333</v>
      </c>
      <c r="O27" s="235">
        <f t="shared" si="2"/>
        <v>28.08921084</v>
      </c>
      <c r="P27" s="235">
        <f t="shared" si="2"/>
        <v>40.395109493891333</v>
      </c>
      <c r="Q27" s="235">
        <f t="shared" si="2"/>
        <v>28.08921084</v>
      </c>
      <c r="R27" s="235">
        <f t="shared" si="2"/>
        <v>40.395109493891333</v>
      </c>
    </row>
    <row r="30" spans="2:19" ht="34.35" customHeight="1" x14ac:dyDescent="0.25">
      <c r="C30" s="260" t="s">
        <v>3</v>
      </c>
      <c r="D30" s="261" t="s">
        <v>221</v>
      </c>
      <c r="E30" s="233">
        <v>-0.5</v>
      </c>
      <c r="F30" s="233">
        <v>2</v>
      </c>
      <c r="G30" s="233">
        <v>-0.4</v>
      </c>
      <c r="H30" s="233">
        <v>0.4</v>
      </c>
      <c r="J30" s="99" t="s">
        <v>3</v>
      </c>
      <c r="K30" s="99" t="s">
        <v>206</v>
      </c>
      <c r="L30" s="99" t="s">
        <v>207</v>
      </c>
      <c r="M30" s="99" t="s">
        <v>208</v>
      </c>
      <c r="N30" s="99" t="s">
        <v>224</v>
      </c>
      <c r="O30" s="99" t="s">
        <v>226</v>
      </c>
      <c r="P30" s="99" t="s">
        <v>209</v>
      </c>
      <c r="Q30" s="99" t="s">
        <v>210</v>
      </c>
      <c r="R30" s="99" t="s">
        <v>177</v>
      </c>
      <c r="S30" s="99" t="s">
        <v>176</v>
      </c>
    </row>
    <row r="31" spans="2:19" x14ac:dyDescent="0.25">
      <c r="B31" s="53" t="s">
        <v>154</v>
      </c>
      <c r="C31" s="283" t="str">
        <f>VAC_Optim_Scenario!B17</f>
        <v>HCC InOffice</v>
      </c>
      <c r="D31" s="225">
        <f>M19</f>
        <v>0.9</v>
      </c>
      <c r="E31" s="225">
        <f>O5</f>
        <v>0.9</v>
      </c>
      <c r="F31" s="225">
        <f>Q5</f>
        <v>0.9</v>
      </c>
      <c r="G31" s="225">
        <f>O19</f>
        <v>0.9</v>
      </c>
      <c r="H31" s="225">
        <f>Q19</f>
        <v>0.9</v>
      </c>
      <c r="J31" s="234">
        <v>-0.5</v>
      </c>
      <c r="K31" s="235">
        <f>E$31</f>
        <v>0.9</v>
      </c>
      <c r="L31" s="235">
        <f>E$32</f>
        <v>12.686881296687945</v>
      </c>
      <c r="M31" s="235">
        <f>E$33</f>
        <v>1.8</v>
      </c>
      <c r="N31" s="235">
        <f>E$34</f>
        <v>1.1000000000000001</v>
      </c>
      <c r="O31" s="235">
        <f>E$35</f>
        <v>9.4</v>
      </c>
      <c r="P31" s="235">
        <f>E$36</f>
        <v>2.9</v>
      </c>
      <c r="Q31" s="235">
        <f>E$37</f>
        <v>0.2</v>
      </c>
      <c r="R31" s="235" t="e">
        <f>E$38</f>
        <v>#REF!</v>
      </c>
      <c r="S31" s="235">
        <f>E$39</f>
        <v>28.08921084</v>
      </c>
    </row>
    <row r="32" spans="2:19" x14ac:dyDescent="0.25">
      <c r="B32" s="54" t="s">
        <v>154</v>
      </c>
      <c r="C32" s="284" t="str">
        <f>VAC_Optim_Scenario!B18</f>
        <v>HCP MCM</v>
      </c>
      <c r="D32" s="230">
        <f t="shared" ref="D32:D39" si="4">M20</f>
        <v>12.686881296687945</v>
      </c>
      <c r="E32" s="230">
        <f t="shared" ref="E32:E39" si="5">O6</f>
        <v>12.686881296687945</v>
      </c>
      <c r="F32" s="230">
        <f t="shared" ref="F32:F39" si="6">Q6</f>
        <v>12.686881296687945</v>
      </c>
      <c r="G32" s="230">
        <f t="shared" ref="G32:G39" si="7">O20</f>
        <v>12.686881296687945</v>
      </c>
      <c r="H32" s="230">
        <f t="shared" ref="H32:H39" si="8">Q20</f>
        <v>12.686881296687945</v>
      </c>
      <c r="J32" s="234">
        <v>-0.4</v>
      </c>
      <c r="K32" s="235">
        <f>G$31</f>
        <v>0.9</v>
      </c>
      <c r="L32" s="235">
        <f>G$32</f>
        <v>12.686881296687945</v>
      </c>
      <c r="M32" s="235">
        <f>G$33</f>
        <v>1.8</v>
      </c>
      <c r="N32" s="235">
        <f>G$34</f>
        <v>1.1000000000000001</v>
      </c>
      <c r="O32" s="235">
        <f>G$35</f>
        <v>9.4</v>
      </c>
      <c r="P32" s="235">
        <f>G$36</f>
        <v>2.9</v>
      </c>
      <c r="Q32" s="235">
        <f>G$37</f>
        <v>0.2</v>
      </c>
      <c r="R32" s="235" t="e">
        <f>G$38</f>
        <v>#REF!</v>
      </c>
      <c r="S32" s="235">
        <f>G$39</f>
        <v>28.08921084</v>
      </c>
    </row>
    <row r="33" spans="2:22" x14ac:dyDescent="0.25">
      <c r="B33" s="54" t="s">
        <v>154</v>
      </c>
      <c r="C33" s="284" t="str">
        <f>VAC_Optim_Scenario!B19</f>
        <v>HCC Social</v>
      </c>
      <c r="D33" s="230">
        <f t="shared" si="4"/>
        <v>1.8</v>
      </c>
      <c r="E33" s="230">
        <f t="shared" si="5"/>
        <v>1.8</v>
      </c>
      <c r="F33" s="230">
        <f t="shared" si="6"/>
        <v>1.8</v>
      </c>
      <c r="G33" s="230">
        <f t="shared" si="7"/>
        <v>1.8</v>
      </c>
      <c r="H33" s="230">
        <f t="shared" si="8"/>
        <v>1.8</v>
      </c>
      <c r="J33" s="234" t="s">
        <v>221</v>
      </c>
      <c r="K33" s="235">
        <f>D$31</f>
        <v>0.9</v>
      </c>
      <c r="L33" s="235">
        <f>D$32</f>
        <v>12.686881296687945</v>
      </c>
      <c r="M33" s="235">
        <f>D$33</f>
        <v>1.8</v>
      </c>
      <c r="N33" s="235">
        <f>D$34</f>
        <v>1.1000000000000001</v>
      </c>
      <c r="O33" s="235">
        <f>D$35</f>
        <v>9.4</v>
      </c>
      <c r="P33" s="235">
        <f>D$36</f>
        <v>2.9</v>
      </c>
      <c r="Q33" s="235">
        <f>D$37</f>
        <v>0.2</v>
      </c>
      <c r="R33" s="235" t="e">
        <f>D$38</f>
        <v>#REF!</v>
      </c>
      <c r="S33" s="235">
        <f>D$39</f>
        <v>28.08921084</v>
      </c>
    </row>
    <row r="34" spans="2:22" x14ac:dyDescent="0.25">
      <c r="B34" s="54" t="s">
        <v>154</v>
      </c>
      <c r="C34" s="284" t="str">
        <f>VAC_Optim_Scenario!B20</f>
        <v>HCC Online Video</v>
      </c>
      <c r="D34" s="230">
        <f t="shared" si="4"/>
        <v>1.1000000000000001</v>
      </c>
      <c r="E34" s="230">
        <f t="shared" si="5"/>
        <v>1.1000000000000001</v>
      </c>
      <c r="F34" s="230">
        <f t="shared" si="6"/>
        <v>1.1000000000000001</v>
      </c>
      <c r="G34" s="230">
        <f t="shared" si="7"/>
        <v>1.1000000000000001</v>
      </c>
      <c r="H34" s="230">
        <f t="shared" si="8"/>
        <v>1.1000000000000001</v>
      </c>
      <c r="J34" s="234">
        <v>0.4</v>
      </c>
      <c r="K34" s="235">
        <f>H$31</f>
        <v>0.9</v>
      </c>
      <c r="L34" s="235">
        <f>H$32</f>
        <v>12.686881296687945</v>
      </c>
      <c r="M34" s="235">
        <f>H$33</f>
        <v>1.8</v>
      </c>
      <c r="N34" s="235">
        <f>H$34</f>
        <v>1.1000000000000001</v>
      </c>
      <c r="O34" s="235">
        <f>H$35</f>
        <v>9.4</v>
      </c>
      <c r="P34" s="235">
        <f>H$36</f>
        <v>2.9</v>
      </c>
      <c r="Q34" s="235">
        <f>H$37</f>
        <v>0.2</v>
      </c>
      <c r="R34" s="235" t="e">
        <f>H$38</f>
        <v>#REF!</v>
      </c>
      <c r="S34" s="235">
        <f>H$39</f>
        <v>28.08921084</v>
      </c>
    </row>
    <row r="35" spans="2:22" x14ac:dyDescent="0.25">
      <c r="B35" s="54" t="s">
        <v>154</v>
      </c>
      <c r="C35" s="284" t="str">
        <f>VAC_Optim_Scenario!B21</f>
        <v>HCC Streaming Video</v>
      </c>
      <c r="D35" s="230">
        <f t="shared" si="4"/>
        <v>9.4</v>
      </c>
      <c r="E35" s="230">
        <f t="shared" si="5"/>
        <v>9.4</v>
      </c>
      <c r="F35" s="230">
        <f t="shared" si="6"/>
        <v>9.4</v>
      </c>
      <c r="G35" s="230">
        <f t="shared" si="7"/>
        <v>9.4</v>
      </c>
      <c r="H35" s="230">
        <f t="shared" si="8"/>
        <v>9.4</v>
      </c>
      <c r="J35" s="233">
        <v>2</v>
      </c>
      <c r="K35" s="235">
        <f>F$31</f>
        <v>0.9</v>
      </c>
      <c r="L35" s="235">
        <f>F$32</f>
        <v>12.686881296687945</v>
      </c>
      <c r="M35" s="235">
        <f>F$33</f>
        <v>1.8</v>
      </c>
      <c r="N35" s="235">
        <f>F$34</f>
        <v>1.1000000000000001</v>
      </c>
      <c r="O35" s="235">
        <f>F$35</f>
        <v>9.4</v>
      </c>
      <c r="P35" s="235">
        <f>F$36</f>
        <v>2.9</v>
      </c>
      <c r="Q35" s="235">
        <f>F$37</f>
        <v>0.2</v>
      </c>
      <c r="R35" s="235" t="e">
        <f>F$38</f>
        <v>#REF!</v>
      </c>
      <c r="S35" s="235">
        <f>F$39</f>
        <v>28.08921084</v>
      </c>
    </row>
    <row r="36" spans="2:22" x14ac:dyDescent="0.25">
      <c r="B36" s="54" t="s">
        <v>154</v>
      </c>
      <c r="C36" s="284" t="str">
        <f>VAC_Optim_Scenario!B22</f>
        <v>HCC Display</v>
      </c>
      <c r="D36" s="230">
        <f t="shared" si="4"/>
        <v>2.9</v>
      </c>
      <c r="E36" s="230">
        <f t="shared" si="5"/>
        <v>2.9</v>
      </c>
      <c r="F36" s="230">
        <f t="shared" si="6"/>
        <v>2.9</v>
      </c>
      <c r="G36" s="230">
        <f t="shared" si="7"/>
        <v>2.9</v>
      </c>
      <c r="H36" s="230">
        <f t="shared" si="8"/>
        <v>2.9</v>
      </c>
    </row>
    <row r="37" spans="2:22" x14ac:dyDescent="0.25">
      <c r="B37" s="54" t="s">
        <v>154</v>
      </c>
      <c r="C37" s="284" t="str">
        <f>VAC_Optim_Scenario!B23</f>
        <v>HCC Paid Search</v>
      </c>
      <c r="D37" s="230">
        <f t="shared" si="4"/>
        <v>0.2</v>
      </c>
      <c r="E37" s="230">
        <f t="shared" si="5"/>
        <v>0.2</v>
      </c>
      <c r="F37" s="230">
        <f t="shared" si="6"/>
        <v>0.2</v>
      </c>
      <c r="G37" s="230">
        <f t="shared" si="7"/>
        <v>0.2</v>
      </c>
      <c r="H37" s="230">
        <f t="shared" si="8"/>
        <v>0.2</v>
      </c>
      <c r="J37" s="251"/>
      <c r="K37" s="236"/>
      <c r="L37" s="236"/>
      <c r="M37" s="236"/>
      <c r="N37" s="236"/>
      <c r="O37" s="236"/>
      <c r="P37" s="236"/>
      <c r="Q37" s="236"/>
      <c r="R37" s="236"/>
    </row>
    <row r="38" spans="2:22" x14ac:dyDescent="0.25">
      <c r="B38" s="54" t="s">
        <v>154</v>
      </c>
      <c r="C38" s="284" t="e">
        <f>VAC_Optim_Scenario!#REF!</f>
        <v>#REF!</v>
      </c>
      <c r="D38" s="230" t="e">
        <f t="shared" si="4"/>
        <v>#REF!</v>
      </c>
      <c r="E38" s="230" t="e">
        <f t="shared" si="5"/>
        <v>#REF!</v>
      </c>
      <c r="F38" s="230" t="e">
        <f t="shared" si="6"/>
        <v>#REF!</v>
      </c>
      <c r="G38" s="230" t="e">
        <f t="shared" si="7"/>
        <v>#REF!</v>
      </c>
      <c r="H38" s="230" t="e">
        <f t="shared" si="8"/>
        <v>#REF!</v>
      </c>
      <c r="J38" s="252"/>
      <c r="K38" s="237"/>
      <c r="L38" s="237"/>
      <c r="M38" s="237"/>
      <c r="N38" s="237"/>
      <c r="O38" s="237"/>
      <c r="P38" s="237"/>
      <c r="Q38" s="237"/>
      <c r="R38" s="237"/>
    </row>
    <row r="39" spans="2:22" x14ac:dyDescent="0.25">
      <c r="B39" s="99" t="s">
        <v>154</v>
      </c>
      <c r="C39" s="285" t="str">
        <f>VAC_Optim_Scenario!B24</f>
        <v>HCC Linear TV</v>
      </c>
      <c r="D39" s="230">
        <f t="shared" si="4"/>
        <v>28.08921084</v>
      </c>
      <c r="E39" s="230">
        <f t="shared" si="5"/>
        <v>28.08921084</v>
      </c>
      <c r="F39" s="230">
        <f t="shared" si="6"/>
        <v>28.08921084</v>
      </c>
      <c r="G39" s="230">
        <f t="shared" si="7"/>
        <v>28.08921084</v>
      </c>
      <c r="H39" s="230">
        <f t="shared" si="8"/>
        <v>28.08921084</v>
      </c>
      <c r="J39" s="251"/>
      <c r="K39" s="236"/>
      <c r="L39" s="236"/>
      <c r="M39" s="236"/>
      <c r="N39" s="236"/>
      <c r="O39" s="236"/>
      <c r="P39" s="236"/>
      <c r="Q39" s="236"/>
      <c r="R39" s="236"/>
    </row>
    <row r="40" spans="2:22" x14ac:dyDescent="0.25">
      <c r="L40" s="167"/>
      <c r="M40" s="167"/>
      <c r="O40" s="167"/>
      <c r="P40" s="167"/>
    </row>
    <row r="41" spans="2:22" x14ac:dyDescent="0.25">
      <c r="L41" s="235"/>
      <c r="M41" s="235"/>
      <c r="N41" s="235"/>
      <c r="O41" s="235"/>
      <c r="P41" s="235"/>
    </row>
    <row r="42" spans="2:22" x14ac:dyDescent="0.25">
      <c r="L42" s="235"/>
      <c r="M42" s="235"/>
      <c r="N42" s="235"/>
      <c r="O42" s="235"/>
      <c r="P42" s="235"/>
    </row>
    <row r="43" spans="2:22" x14ac:dyDescent="0.25">
      <c r="L43" s="235"/>
      <c r="M43" s="235"/>
      <c r="N43" s="235"/>
      <c r="O43" s="235"/>
      <c r="P43" s="235"/>
    </row>
    <row r="44" spans="2:22" x14ac:dyDescent="0.25">
      <c r="L44" s="235"/>
      <c r="M44" s="235"/>
      <c r="N44" s="235"/>
      <c r="O44" s="235"/>
      <c r="P44" s="235"/>
      <c r="S44" s="238"/>
      <c r="T44" s="238"/>
      <c r="V44" s="238"/>
    </row>
    <row r="45" spans="2:22" x14ac:dyDescent="0.25">
      <c r="L45" s="235"/>
      <c r="M45" s="235"/>
      <c r="N45" s="235"/>
      <c r="O45" s="235"/>
      <c r="P45" s="239"/>
      <c r="S45" s="240"/>
      <c r="T45" s="240"/>
      <c r="U45" s="240"/>
      <c r="V45" s="240"/>
    </row>
    <row r="46" spans="2:22" x14ac:dyDescent="0.25">
      <c r="L46" s="235"/>
      <c r="M46" s="235"/>
      <c r="N46" s="235"/>
      <c r="O46" s="235"/>
      <c r="P46" s="235"/>
      <c r="S46" s="240"/>
      <c r="T46" s="240"/>
      <c r="U46" s="240"/>
      <c r="V46" s="240"/>
    </row>
    <row r="47" spans="2:22" x14ac:dyDescent="0.25">
      <c r="L47" s="235"/>
      <c r="M47" s="235"/>
      <c r="N47" s="235"/>
      <c r="O47" s="235"/>
      <c r="P47" s="235"/>
    </row>
    <row r="48" spans="2:22" x14ac:dyDescent="0.25">
      <c r="L48" s="235"/>
      <c r="M48" s="235"/>
      <c r="N48" s="235"/>
      <c r="O48" s="235"/>
      <c r="P48" s="23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54D4A-ADDC-4840-B556-114E66C14973}">
  <dimension ref="C2:J14"/>
  <sheetViews>
    <sheetView showGridLines="0" tabSelected="1" workbookViewId="0">
      <selection activeCell="E9" sqref="E9"/>
    </sheetView>
  </sheetViews>
  <sheetFormatPr defaultRowHeight="15" x14ac:dyDescent="0.25"/>
  <cols>
    <col min="1" max="2" width="9.140625" style="99"/>
    <col min="3" max="3" width="27.140625" style="99" customWidth="1"/>
    <col min="4" max="4" width="11.7109375" style="99" bestFit="1" customWidth="1"/>
    <col min="5" max="5" width="18.5703125" style="99" customWidth="1"/>
    <col min="6" max="6" width="20.7109375" style="99" customWidth="1"/>
    <col min="7" max="7" width="0.7109375" style="99" customWidth="1"/>
    <col min="8" max="8" width="15.7109375" style="99" customWidth="1"/>
    <col min="9" max="9" width="16.140625" style="99" customWidth="1"/>
    <col min="10" max="10" width="18.5703125" style="99" customWidth="1"/>
    <col min="11" max="16384" width="9.140625" style="99"/>
  </cols>
  <sheetData>
    <row r="2" spans="3:10" ht="15" customHeight="1" x14ac:dyDescent="0.25">
      <c r="C2" s="450"/>
      <c r="D2" s="451" t="s">
        <v>304</v>
      </c>
      <c r="E2" s="452"/>
      <c r="F2" s="452"/>
      <c r="G2" s="453"/>
      <c r="H2" s="451" t="s">
        <v>305</v>
      </c>
      <c r="I2" s="452"/>
      <c r="J2" s="452"/>
    </row>
    <row r="3" spans="3:10" ht="42.75" x14ac:dyDescent="0.25">
      <c r="C3" s="454" t="s">
        <v>300</v>
      </c>
      <c r="D3" s="454" t="s">
        <v>200</v>
      </c>
      <c r="E3" s="455" t="s">
        <v>301</v>
      </c>
      <c r="F3" s="456" t="s">
        <v>302</v>
      </c>
      <c r="G3" s="457"/>
      <c r="H3" s="454" t="s">
        <v>200</v>
      </c>
      <c r="I3" s="455" t="s">
        <v>301</v>
      </c>
      <c r="J3" s="456" t="s">
        <v>302</v>
      </c>
    </row>
    <row r="4" spans="3:10" x14ac:dyDescent="0.25">
      <c r="C4" s="460" t="str">
        <f>VAC_Optim_Scenario!B17</f>
        <v>HCC InOffice</v>
      </c>
      <c r="D4" s="458">
        <f>'Scenario deep dive_dz'!C23</f>
        <v>1.1347100000000001</v>
      </c>
      <c r="E4" s="458">
        <f>VAC_Optim_Scenario!G17/1000000</f>
        <v>0.9</v>
      </c>
      <c r="F4" s="458">
        <f>VAC_Optim_Scenario!H17/1000000</f>
        <v>6.5</v>
      </c>
      <c r="G4" s="459"/>
      <c r="H4" s="458">
        <v>1.1347100000000001</v>
      </c>
      <c r="I4" s="458">
        <v>0.9</v>
      </c>
      <c r="J4" s="458">
        <v>11.7</v>
      </c>
    </row>
    <row r="5" spans="3:10" x14ac:dyDescent="0.25">
      <c r="C5" s="460" t="str">
        <f>VAC_Optim_Scenario!B18</f>
        <v>HCP MCM</v>
      </c>
      <c r="D5" s="458">
        <f>'Scenario deep dive_dz'!C24</f>
        <v>10.503728719999998</v>
      </c>
      <c r="E5" s="458">
        <f>VAC_Optim_Scenario!G18/1000000</f>
        <v>10.5</v>
      </c>
      <c r="F5" s="458">
        <f>VAC_Optim_Scenario!H18/1000000</f>
        <v>21</v>
      </c>
      <c r="G5" s="461"/>
      <c r="H5" s="458">
        <v>10.503728719999998</v>
      </c>
      <c r="I5" s="458">
        <v>10.5</v>
      </c>
      <c r="J5" s="458">
        <v>28</v>
      </c>
    </row>
    <row r="6" spans="3:10" x14ac:dyDescent="0.25">
      <c r="C6" s="460" t="str">
        <f>VAC_Optim_Scenario!B19</f>
        <v>HCC Social</v>
      </c>
      <c r="D6" s="458">
        <f>'Scenario deep dive_dz'!C25</f>
        <v>1.7509999999999999</v>
      </c>
      <c r="E6" s="458">
        <f>VAC_Optim_Scenario!G19/1000000</f>
        <v>1.8</v>
      </c>
      <c r="F6" s="458">
        <f>VAC_Optim_Scenario!H19/1000000</f>
        <v>7</v>
      </c>
      <c r="G6" s="461"/>
      <c r="H6" s="458">
        <v>1.7509999999999999</v>
      </c>
      <c r="I6" s="458">
        <v>1.8</v>
      </c>
      <c r="J6" s="458">
        <v>13.5</v>
      </c>
    </row>
    <row r="7" spans="3:10" x14ac:dyDescent="0.25">
      <c r="C7" s="460" t="str">
        <f>VAC_Optim_Scenario!B20</f>
        <v>HCC Online Video</v>
      </c>
      <c r="D7" s="458">
        <f>'Scenario deep dive_dz'!C26</f>
        <v>1.1117790400000001</v>
      </c>
      <c r="E7" s="458">
        <f>VAC_Optim_Scenario!G20/1000000</f>
        <v>1.1000000000000001</v>
      </c>
      <c r="F7" s="458">
        <f>VAC_Optim_Scenario!H20/1000000</f>
        <v>3.5</v>
      </c>
      <c r="G7" s="461"/>
      <c r="H7" s="458">
        <v>1.1117790400000001</v>
      </c>
      <c r="I7" s="458">
        <v>1.1000000000000001</v>
      </c>
      <c r="J7" s="458">
        <v>6</v>
      </c>
    </row>
    <row r="8" spans="3:10" x14ac:dyDescent="0.25">
      <c r="C8" s="460" t="str">
        <f>VAC_Optim_Scenario!B21</f>
        <v>HCC Streaming Video</v>
      </c>
      <c r="D8" s="458">
        <f>'Scenario deep dive_dz'!C27</f>
        <v>13.418576</v>
      </c>
      <c r="E8" s="458">
        <f>VAC_Optim_Scenario!G21/1000000</f>
        <v>9.4</v>
      </c>
      <c r="F8" s="458">
        <f>VAC_Optim_Scenario!H21/1000000</f>
        <v>27.304857999999999</v>
      </c>
      <c r="G8" s="461"/>
      <c r="H8" s="458">
        <v>13.418576</v>
      </c>
      <c r="I8" s="458">
        <v>9.4</v>
      </c>
      <c r="J8" s="458">
        <v>41.359920000000002</v>
      </c>
    </row>
    <row r="9" spans="3:10" x14ac:dyDescent="0.25">
      <c r="C9" s="460" t="str">
        <f>VAC_Optim_Scenario!B22</f>
        <v>HCC Display</v>
      </c>
      <c r="D9" s="458">
        <f>'Scenario deep dive_dz'!C28</f>
        <v>2.8594268199999999</v>
      </c>
      <c r="E9" s="458">
        <f>VAC_Optim_Scenario!G22/1000000</f>
        <v>2.9</v>
      </c>
      <c r="F9" s="458">
        <f>VAC_Optim_Scenario!H22/1000000</f>
        <v>5</v>
      </c>
      <c r="G9" s="461"/>
      <c r="H9" s="458">
        <v>2.8594268199999999</v>
      </c>
      <c r="I9" s="458">
        <v>2.9</v>
      </c>
      <c r="J9" s="458">
        <v>10</v>
      </c>
    </row>
    <row r="10" spans="3:10" x14ac:dyDescent="0.25">
      <c r="C10" s="460" t="str">
        <f>VAC_Optim_Scenario!B23</f>
        <v>HCC Paid Search</v>
      </c>
      <c r="D10" s="458">
        <f>'Scenario deep dive_dz'!C29</f>
        <v>0.05</v>
      </c>
      <c r="E10" s="458">
        <f>VAC_Optim_Scenario!G23/1000000</f>
        <v>0.1</v>
      </c>
      <c r="F10" s="458">
        <f>VAC_Optim_Scenario!H23/1000000</f>
        <v>0.2</v>
      </c>
      <c r="G10" s="461"/>
      <c r="H10" s="458">
        <v>0.05</v>
      </c>
      <c r="I10" s="458">
        <v>0.1</v>
      </c>
      <c r="J10" s="458">
        <v>0.24</v>
      </c>
    </row>
    <row r="11" spans="3:10" x14ac:dyDescent="0.25">
      <c r="C11" s="460" t="str">
        <f>VAC_Optim_Scenario!B24</f>
        <v>HCC Linear TV</v>
      </c>
      <c r="D11" s="458">
        <f>'Scenario deep dive_dz'!C30</f>
        <v>25.8109286</v>
      </c>
      <c r="E11" s="458">
        <f>VAC_Optim_Scenario!G24/1000000</f>
        <v>28.089210840000003</v>
      </c>
      <c r="F11" s="458">
        <f>VAC_Optim_Scenario!H24/1000000</f>
        <v>53.783541999999997</v>
      </c>
      <c r="G11" s="461"/>
      <c r="H11" s="458">
        <v>25.8109286</v>
      </c>
      <c r="I11" s="458">
        <v>28.089210840000003</v>
      </c>
      <c r="J11" s="458">
        <v>81.623530000000002</v>
      </c>
    </row>
    <row r="12" spans="3:10" x14ac:dyDescent="0.25">
      <c r="C12" s="460" t="str">
        <f>VAC_Optim_Scenario!B25</f>
        <v>HCC Radio</v>
      </c>
      <c r="D12" s="458">
        <f>'Scenario deep dive_dz'!C31</f>
        <v>0.92397499999999999</v>
      </c>
      <c r="E12" s="458">
        <f>VAC_Optim_Scenario!G25/1000000</f>
        <v>0.5</v>
      </c>
      <c r="F12" s="458">
        <f>VAC_Optim_Scenario!H25/1000000</f>
        <v>2.2000000000000002</v>
      </c>
      <c r="G12" s="461"/>
      <c r="H12" s="458">
        <v>0.92397499999999999</v>
      </c>
      <c r="I12" s="458">
        <v>0.5</v>
      </c>
      <c r="J12" s="458">
        <v>4.8</v>
      </c>
    </row>
    <row r="13" spans="3:10" x14ac:dyDescent="0.25">
      <c r="C13" s="460" t="str">
        <f>VAC_Optim_Scenario!B26</f>
        <v>HCC Pharmacy</v>
      </c>
      <c r="D13" s="458">
        <f>'Scenario deep dive_dz'!C32</f>
        <v>2.4119679999999999</v>
      </c>
      <c r="E13" s="458">
        <f>VAC_Optim_Scenario!G26/1000000</f>
        <v>2.4</v>
      </c>
      <c r="F13" s="458">
        <f>VAC_Optim_Scenario!H26/1000000</f>
        <v>6</v>
      </c>
      <c r="G13" s="461"/>
      <c r="H13" s="458">
        <v>2.4119679999999999</v>
      </c>
      <c r="I13" s="458">
        <v>2.4</v>
      </c>
      <c r="J13" s="458">
        <v>8</v>
      </c>
    </row>
    <row r="14" spans="3:10" x14ac:dyDescent="0.25">
      <c r="C14" s="462" t="s">
        <v>303</v>
      </c>
      <c r="D14" s="463">
        <f>SUM(D4:D13)</f>
        <v>59.976092179999995</v>
      </c>
      <c r="E14" s="463">
        <f>SUM(E4:E13)</f>
        <v>57.689210840000008</v>
      </c>
      <c r="F14" s="463">
        <f>SUM(F4:F13)</f>
        <v>132.48840000000001</v>
      </c>
      <c r="G14" s="461"/>
      <c r="H14" s="463">
        <f>SUM(H4:H13)</f>
        <v>59.976092179999995</v>
      </c>
      <c r="I14" s="463">
        <f>SUM(I4:I13)</f>
        <v>57.689210840000008</v>
      </c>
      <c r="J14" s="463">
        <f>SUM(J4:J13)</f>
        <v>205.22345000000001</v>
      </c>
    </row>
  </sheetData>
  <mergeCells count="2">
    <mergeCell ref="D2:F2"/>
    <mergeCell ref="H2:J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zoomScale="120" zoomScaleNormal="120" workbookViewId="0">
      <selection activeCell="I8" sqref="I8"/>
    </sheetView>
  </sheetViews>
  <sheetFormatPr defaultColWidth="9.140625" defaultRowHeight="15" x14ac:dyDescent="0.25"/>
  <cols>
    <col min="1" max="16384" width="9.140625" style="99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9" customWidth="1"/>
    <col min="2" max="2" width="13.5703125" style="99" customWidth="1"/>
    <col min="3" max="3" width="18.140625" style="99" customWidth="1"/>
    <col min="4" max="4" width="14.42578125" style="99" customWidth="1"/>
    <col min="5" max="5" width="15.42578125" style="99" customWidth="1"/>
    <col min="6" max="6" width="13.5703125" style="99" customWidth="1"/>
    <col min="7" max="7" width="15.5703125" style="99" customWidth="1"/>
    <col min="8" max="8" width="15.140625" style="99" bestFit="1" customWidth="1"/>
    <col min="9" max="9" width="13.42578125" style="99" bestFit="1" customWidth="1"/>
    <col min="10" max="10" width="8.85546875" style="99"/>
    <col min="11" max="11" width="15.140625" style="99" customWidth="1"/>
    <col min="12" max="12" width="14.42578125" style="99" bestFit="1" customWidth="1"/>
    <col min="13" max="13" width="11.140625" style="99" bestFit="1" customWidth="1"/>
    <col min="14" max="14" width="12.140625" style="99" bestFit="1" customWidth="1"/>
    <col min="15" max="15" width="11.140625" style="99" bestFit="1" customWidth="1"/>
    <col min="16" max="18" width="12.140625" style="99" bestFit="1" customWidth="1"/>
    <col min="19" max="19" width="8.85546875" style="99"/>
    <col min="20" max="20" width="12" style="99" bestFit="1" customWidth="1"/>
    <col min="21" max="16384" width="8.85546875" style="99"/>
  </cols>
  <sheetData>
    <row r="1" spans="2:20" x14ac:dyDescent="0.25">
      <c r="C1" s="218" t="s">
        <v>212</v>
      </c>
    </row>
    <row r="2" spans="2:20" ht="15.75" thickBot="1" x14ac:dyDescent="0.3"/>
    <row r="3" spans="2:20" ht="30.2" customHeight="1" x14ac:dyDescent="0.25">
      <c r="B3" s="361" t="s">
        <v>2</v>
      </c>
      <c r="C3" s="363" t="s">
        <v>3</v>
      </c>
      <c r="D3" s="364" t="s">
        <v>213</v>
      </c>
      <c r="E3" s="365"/>
      <c r="F3" s="364" t="s">
        <v>214</v>
      </c>
      <c r="G3" s="365"/>
      <c r="H3" s="364" t="s">
        <v>215</v>
      </c>
      <c r="I3" s="365"/>
      <c r="K3" s="361" t="s">
        <v>2</v>
      </c>
      <c r="L3" s="363" t="s">
        <v>3</v>
      </c>
      <c r="M3" s="364" t="s">
        <v>213</v>
      </c>
      <c r="N3" s="365"/>
      <c r="O3" s="364" t="s">
        <v>214</v>
      </c>
      <c r="P3" s="365"/>
      <c r="Q3" s="364" t="s">
        <v>215</v>
      </c>
      <c r="R3" s="365"/>
    </row>
    <row r="4" spans="2:20" ht="25.5" x14ac:dyDescent="0.25">
      <c r="B4" s="362"/>
      <c r="C4" s="362"/>
      <c r="D4" s="219" t="s">
        <v>216</v>
      </c>
      <c r="E4" s="220" t="s">
        <v>217</v>
      </c>
      <c r="F4" s="219" t="s">
        <v>216</v>
      </c>
      <c r="G4" s="220" t="s">
        <v>217</v>
      </c>
      <c r="H4" s="219" t="s">
        <v>216</v>
      </c>
      <c r="I4" s="220" t="s">
        <v>217</v>
      </c>
      <c r="K4" s="362"/>
      <c r="L4" s="362"/>
      <c r="M4" s="219" t="s">
        <v>216</v>
      </c>
      <c r="N4" s="220" t="s">
        <v>217</v>
      </c>
      <c r="O4" s="219" t="s">
        <v>216</v>
      </c>
      <c r="P4" s="220" t="s">
        <v>217</v>
      </c>
      <c r="Q4" s="219" t="s">
        <v>216</v>
      </c>
      <c r="R4" s="220" t="s">
        <v>217</v>
      </c>
    </row>
    <row r="5" spans="2:20" x14ac:dyDescent="0.25">
      <c r="B5" s="53" t="s">
        <v>154</v>
      </c>
      <c r="C5" s="221" t="str">
        <f>VAC_Optim_Scenario!B17</f>
        <v>HCC InOffice</v>
      </c>
      <c r="D5" s="222">
        <f>VAC_Optim_Scenario!$H36</f>
        <v>900000</v>
      </c>
      <c r="E5" s="223">
        <f>VAC_Optim_Scenario!$J36</f>
        <v>1410431.7445188572</v>
      </c>
      <c r="F5" s="222">
        <v>2304599.9176017214</v>
      </c>
      <c r="G5" s="223">
        <v>5246917.9893056815</v>
      </c>
      <c r="H5" s="222">
        <v>2340000</v>
      </c>
      <c r="I5" s="223">
        <v>21257821.983019568</v>
      </c>
      <c r="J5" s="224"/>
      <c r="K5" s="53" t="s">
        <v>154</v>
      </c>
      <c r="L5" s="53" t="str">
        <f>VAC_Optim_Scenario!B17</f>
        <v>HCC InOffice</v>
      </c>
      <c r="M5" s="225">
        <f>D5/1000000</f>
        <v>0.9</v>
      </c>
      <c r="N5" s="226">
        <f t="shared" ref="N5:R5" si="0">E5/1000000</f>
        <v>1.4104317445188572</v>
      </c>
      <c r="O5" s="225">
        <f t="shared" si="0"/>
        <v>2.3045999176017213</v>
      </c>
      <c r="P5" s="226">
        <f t="shared" si="0"/>
        <v>5.2469179893056817</v>
      </c>
      <c r="Q5" s="225">
        <f t="shared" si="0"/>
        <v>2.34</v>
      </c>
      <c r="R5" s="226">
        <f t="shared" si="0"/>
        <v>21.257821983019568</v>
      </c>
    </row>
    <row r="6" spans="2:20" x14ac:dyDescent="0.25">
      <c r="B6" s="54" t="s">
        <v>154</v>
      </c>
      <c r="C6" s="227" t="str">
        <f>VAC_Optim_Scenario!B18</f>
        <v>HCP MCM</v>
      </c>
      <c r="D6" s="228">
        <f>VAC_Optim_Scenario!$H37</f>
        <v>12686881.296687946</v>
      </c>
      <c r="E6" s="229">
        <f>VAC_Optim_Scenario!$J37</f>
        <v>75313402.321879268</v>
      </c>
      <c r="F6" s="228">
        <v>5980821.2879999997</v>
      </c>
      <c r="G6" s="229">
        <v>43271084.653430037</v>
      </c>
      <c r="H6" s="228">
        <v>5980821.2879999997</v>
      </c>
      <c r="I6" s="229">
        <v>173084338.61372015</v>
      </c>
      <c r="J6" s="224"/>
      <c r="K6" s="54" t="s">
        <v>154</v>
      </c>
      <c r="L6" s="54" t="str">
        <f>VAC_Optim_Scenario!B18</f>
        <v>HCP MCM</v>
      </c>
      <c r="M6" s="230">
        <f t="shared" ref="M6:M13" si="1">D6/1000000</f>
        <v>12.686881296687945</v>
      </c>
      <c r="N6" s="231">
        <f t="shared" ref="N6:N13" si="2">E6/1000000</f>
        <v>75.313402321879266</v>
      </c>
      <c r="O6" s="230">
        <f t="shared" ref="O6:O13" si="3">F6/1000000</f>
        <v>5.9808212879999996</v>
      </c>
      <c r="P6" s="231">
        <f t="shared" ref="P6:P13" si="4">G6/1000000</f>
        <v>43.271084653430037</v>
      </c>
      <c r="Q6" s="230">
        <f t="shared" ref="Q6:Q13" si="5">H6/1000000</f>
        <v>5.9808212879999996</v>
      </c>
      <c r="R6" s="231">
        <f t="shared" ref="R6:R13" si="6">I6/1000000</f>
        <v>173.08433861372015</v>
      </c>
    </row>
    <row r="7" spans="2:20" x14ac:dyDescent="0.25">
      <c r="B7" s="54" t="s">
        <v>154</v>
      </c>
      <c r="C7" s="227" t="str">
        <f>VAC_Optim_Scenario!B19</f>
        <v>HCC Social</v>
      </c>
      <c r="D7" s="228">
        <f>VAC_Optim_Scenario!$H38</f>
        <v>1800000</v>
      </c>
      <c r="E7" s="229">
        <f>VAC_Optim_Scenario!$J38</f>
        <v>5471848.3801533533</v>
      </c>
      <c r="F7" s="228">
        <v>2368423.2000000002</v>
      </c>
      <c r="G7" s="229">
        <v>10014038.796038335</v>
      </c>
      <c r="H7" s="228">
        <v>2368423.2000000002</v>
      </c>
      <c r="I7" s="229">
        <v>40056155.184153341</v>
      </c>
      <c r="J7" s="232"/>
      <c r="K7" s="54" t="s">
        <v>154</v>
      </c>
      <c r="L7" s="54" t="str">
        <f>VAC_Optim_Scenario!B19</f>
        <v>HCC Social</v>
      </c>
      <c r="M7" s="230">
        <f t="shared" si="1"/>
        <v>1.8</v>
      </c>
      <c r="N7" s="231">
        <f t="shared" si="2"/>
        <v>5.4718483801533537</v>
      </c>
      <c r="O7" s="230">
        <f t="shared" si="3"/>
        <v>2.3684232000000001</v>
      </c>
      <c r="P7" s="231">
        <f t="shared" si="4"/>
        <v>10.014038796038335</v>
      </c>
      <c r="Q7" s="230">
        <f t="shared" si="5"/>
        <v>2.3684232000000001</v>
      </c>
      <c r="R7" s="231">
        <f t="shared" si="6"/>
        <v>40.05615518415334</v>
      </c>
    </row>
    <row r="8" spans="2:20" x14ac:dyDescent="0.25">
      <c r="B8" s="54" t="s">
        <v>154</v>
      </c>
      <c r="C8" s="227" t="str">
        <f>VAC_Optim_Scenario!B20</f>
        <v>HCC Online Video</v>
      </c>
      <c r="D8" s="228">
        <f>VAC_Optim_Scenario!$H39</f>
        <v>1100000</v>
      </c>
      <c r="E8" s="229">
        <f>VAC_Optim_Scenario!$J39</f>
        <v>4854627.720414157</v>
      </c>
      <c r="F8" s="228">
        <v>468720.00002084277</v>
      </c>
      <c r="G8" s="229">
        <v>434197.29403638421</v>
      </c>
      <c r="H8" s="228">
        <v>870480</v>
      </c>
      <c r="I8" s="229">
        <v>3181635.2333120089</v>
      </c>
      <c r="J8" s="224"/>
      <c r="K8" s="54" t="s">
        <v>154</v>
      </c>
      <c r="L8" s="54" t="str">
        <f>VAC_Optim_Scenario!B20</f>
        <v>HCC Online Video</v>
      </c>
      <c r="M8" s="230">
        <f t="shared" si="1"/>
        <v>1.1000000000000001</v>
      </c>
      <c r="N8" s="231">
        <f t="shared" si="2"/>
        <v>4.8546277204141575</v>
      </c>
      <c r="O8" s="230">
        <f t="shared" si="3"/>
        <v>0.46872000002084274</v>
      </c>
      <c r="P8" s="231">
        <f t="shared" si="4"/>
        <v>0.43419729403638418</v>
      </c>
      <c r="Q8" s="230">
        <f t="shared" si="5"/>
        <v>0.87048000000000003</v>
      </c>
      <c r="R8" s="231">
        <f t="shared" si="6"/>
        <v>3.1816352333120088</v>
      </c>
    </row>
    <row r="9" spans="2:20" x14ac:dyDescent="0.25">
      <c r="B9" s="54" t="s">
        <v>154</v>
      </c>
      <c r="C9" s="227" t="str">
        <f>VAC_Optim_Scenario!B21</f>
        <v>HCC Streaming Video</v>
      </c>
      <c r="D9" s="228">
        <f>VAC_Optim_Scenario!$H40</f>
        <v>9400000</v>
      </c>
      <c r="E9" s="229">
        <f>VAC_Optim_Scenario!$J40</f>
        <v>17753521.979413368</v>
      </c>
      <c r="F9" s="228">
        <v>5499757.2028695699</v>
      </c>
      <c r="G9" s="229">
        <v>7382876.6944708871</v>
      </c>
      <c r="H9" s="228">
        <v>10213834.800000001</v>
      </c>
      <c r="I9" s="229">
        <v>42814688.994375341</v>
      </c>
      <c r="J9" s="232"/>
      <c r="K9" s="54" t="s">
        <v>154</v>
      </c>
      <c r="L9" s="54" t="str">
        <f>VAC_Optim_Scenario!B21</f>
        <v>HCC Streaming Video</v>
      </c>
      <c r="M9" s="230">
        <f t="shared" si="1"/>
        <v>9.4</v>
      </c>
      <c r="N9" s="231">
        <f t="shared" si="2"/>
        <v>17.753521979413367</v>
      </c>
      <c r="O9" s="230">
        <f t="shared" si="3"/>
        <v>5.4997572028695698</v>
      </c>
      <c r="P9" s="231">
        <f t="shared" si="4"/>
        <v>7.3828766944708875</v>
      </c>
      <c r="Q9" s="230">
        <f t="shared" si="5"/>
        <v>10.213834800000001</v>
      </c>
      <c r="R9" s="231">
        <f t="shared" si="6"/>
        <v>42.814688994375338</v>
      </c>
    </row>
    <row r="10" spans="2:20" x14ac:dyDescent="0.25">
      <c r="B10" s="54" t="s">
        <v>154</v>
      </c>
      <c r="C10" s="227" t="str">
        <f>VAC_Optim_Scenario!B22</f>
        <v>HCC Display</v>
      </c>
      <c r="D10" s="228">
        <f>VAC_Optim_Scenario!$H41</f>
        <v>2900000</v>
      </c>
      <c r="E10" s="229">
        <f>VAC_Optim_Scenario!$J41</f>
        <v>17332031.585250624</v>
      </c>
      <c r="F10" s="228">
        <v>2247758.2947281389</v>
      </c>
      <c r="G10" s="229">
        <v>8494262.302786056</v>
      </c>
      <c r="H10" s="228">
        <v>2714286.9</v>
      </c>
      <c r="I10" s="229">
        <v>37336940.701959558</v>
      </c>
      <c r="J10" s="232"/>
      <c r="K10" s="54" t="s">
        <v>154</v>
      </c>
      <c r="L10" s="54" t="str">
        <f>VAC_Optim_Scenario!B22</f>
        <v>HCC Display</v>
      </c>
      <c r="M10" s="230">
        <f t="shared" si="1"/>
        <v>2.9</v>
      </c>
      <c r="N10" s="231">
        <f t="shared" si="2"/>
        <v>17.332031585250622</v>
      </c>
      <c r="O10" s="230">
        <f t="shared" si="3"/>
        <v>2.2477582947281389</v>
      </c>
      <c r="P10" s="231">
        <f t="shared" si="4"/>
        <v>8.4942623027860567</v>
      </c>
      <c r="Q10" s="230">
        <f t="shared" si="5"/>
        <v>2.7142868999999998</v>
      </c>
      <c r="R10" s="231">
        <f t="shared" si="6"/>
        <v>37.336940701959556</v>
      </c>
    </row>
    <row r="11" spans="2:20" x14ac:dyDescent="0.25">
      <c r="B11" s="54" t="s">
        <v>154</v>
      </c>
      <c r="C11" s="227" t="str">
        <f>VAC_Optim_Scenario!B23</f>
        <v>HCC Paid Search</v>
      </c>
      <c r="D11" s="228">
        <f>VAC_Optim_Scenario!$H42</f>
        <v>200000</v>
      </c>
      <c r="E11" s="229">
        <f>VAC_Optim_Scenario!$J42</f>
        <v>17969341.094351832</v>
      </c>
      <c r="F11" s="228">
        <v>1503022.5591430741</v>
      </c>
      <c r="G11" s="229">
        <v>5708578.4926482635</v>
      </c>
      <c r="H11" s="228">
        <v>1791576.8</v>
      </c>
      <c r="I11" s="229">
        <v>24930037.611909606</v>
      </c>
      <c r="J11" s="224"/>
      <c r="K11" s="54" t="s">
        <v>154</v>
      </c>
      <c r="L11" s="54" t="str">
        <f>VAC_Optim_Scenario!B23</f>
        <v>HCC Paid Search</v>
      </c>
      <c r="M11" s="230">
        <f t="shared" si="1"/>
        <v>0.2</v>
      </c>
      <c r="N11" s="231">
        <f t="shared" si="2"/>
        <v>17.969341094351833</v>
      </c>
      <c r="O11" s="230">
        <f t="shared" si="3"/>
        <v>1.5030225591430741</v>
      </c>
      <c r="P11" s="231">
        <f t="shared" si="4"/>
        <v>5.7085784926482637</v>
      </c>
      <c r="Q11" s="230">
        <f t="shared" si="5"/>
        <v>1.7915768000000001</v>
      </c>
      <c r="R11" s="231">
        <f t="shared" si="6"/>
        <v>24.930037611909604</v>
      </c>
    </row>
    <row r="12" spans="2:20" x14ac:dyDescent="0.25">
      <c r="B12" s="54" t="s">
        <v>154</v>
      </c>
      <c r="C12" s="227" t="e">
        <f>VAC_Optim_Scenario!#REF!</f>
        <v>#REF!</v>
      </c>
      <c r="D12" s="228" t="e">
        <f>VAC_Optim_Scenario!#REF!</f>
        <v>#REF!</v>
      </c>
      <c r="E12" s="229" t="e">
        <f>VAC_Optim_Scenario!#REF!</f>
        <v>#REF!</v>
      </c>
      <c r="F12" s="228">
        <v>855611.9</v>
      </c>
      <c r="G12" s="229">
        <v>4509891.717737359</v>
      </c>
      <c r="H12" s="228">
        <v>855611.9</v>
      </c>
      <c r="I12" s="229">
        <v>18039566.870949436</v>
      </c>
      <c r="J12" s="224"/>
      <c r="K12" s="54" t="s">
        <v>154</v>
      </c>
      <c r="L12" s="54" t="e">
        <f>VAC_Optim_Scenario!#REF!</f>
        <v>#REF!</v>
      </c>
      <c r="M12" s="230" t="e">
        <f t="shared" si="1"/>
        <v>#REF!</v>
      </c>
      <c r="N12" s="231" t="e">
        <f t="shared" si="2"/>
        <v>#REF!</v>
      </c>
      <c r="O12" s="230">
        <f t="shared" si="3"/>
        <v>0.85561189999999998</v>
      </c>
      <c r="P12" s="231">
        <f t="shared" si="4"/>
        <v>4.509891717737359</v>
      </c>
      <c r="Q12" s="230">
        <f t="shared" si="5"/>
        <v>0.85561189999999998</v>
      </c>
      <c r="R12" s="231">
        <f t="shared" si="6"/>
        <v>18.039566870949436</v>
      </c>
    </row>
    <row r="13" spans="2:20" x14ac:dyDescent="0.25">
      <c r="B13" s="241" t="s">
        <v>154</v>
      </c>
      <c r="C13" s="212" t="str">
        <f>VAC_Optim_Scenario!B24</f>
        <v>HCC Linear TV</v>
      </c>
      <c r="D13" s="242">
        <f>VAC_Optim_Scenario!$H43</f>
        <v>28089210.84</v>
      </c>
      <c r="E13" s="242">
        <f>VAC_Optim_Scenario!$J43</f>
        <v>40395109.493891336</v>
      </c>
      <c r="F13" s="242">
        <v>15717664.872</v>
      </c>
      <c r="G13" s="242">
        <v>44549150.696473777</v>
      </c>
      <c r="H13" s="242">
        <v>21525379.182791278</v>
      </c>
      <c r="I13" s="242">
        <v>202080559.00711048</v>
      </c>
      <c r="J13" s="224"/>
      <c r="K13" s="241" t="s">
        <v>154</v>
      </c>
      <c r="L13" s="241" t="str">
        <f>VAC_Optim_Scenario!B24</f>
        <v>HCC Linear TV</v>
      </c>
      <c r="M13" s="235">
        <f t="shared" si="1"/>
        <v>28.08921084</v>
      </c>
      <c r="N13" s="235">
        <f t="shared" si="2"/>
        <v>40.395109493891333</v>
      </c>
      <c r="O13" s="235">
        <f t="shared" si="3"/>
        <v>15.717664872</v>
      </c>
      <c r="P13" s="235">
        <f t="shared" si="4"/>
        <v>44.549150696473774</v>
      </c>
      <c r="Q13" s="235">
        <f t="shared" si="5"/>
        <v>21.525379182791276</v>
      </c>
      <c r="R13" s="235">
        <f t="shared" si="6"/>
        <v>202.08055900711048</v>
      </c>
    </row>
    <row r="14" spans="2:20" x14ac:dyDescent="0.25">
      <c r="T14" s="282"/>
    </row>
    <row r="15" spans="2:20" x14ac:dyDescent="0.25">
      <c r="C15" s="218" t="s">
        <v>218</v>
      </c>
    </row>
    <row r="17" spans="2:19" ht="38.1" customHeight="1" x14ac:dyDescent="0.25">
      <c r="C17" s="363" t="s">
        <v>3</v>
      </c>
      <c r="D17" s="364" t="s">
        <v>213</v>
      </c>
      <c r="E17" s="365"/>
      <c r="F17" s="364" t="s">
        <v>219</v>
      </c>
      <c r="G17" s="365"/>
      <c r="H17" s="364" t="s">
        <v>220</v>
      </c>
      <c r="I17" s="365"/>
      <c r="L17" s="363" t="s">
        <v>3</v>
      </c>
      <c r="M17" s="364" t="s">
        <v>213</v>
      </c>
      <c r="N17" s="365"/>
      <c r="O17" s="364" t="s">
        <v>219</v>
      </c>
      <c r="P17" s="365"/>
      <c r="Q17" s="364" t="s">
        <v>220</v>
      </c>
      <c r="R17" s="365"/>
    </row>
    <row r="18" spans="2:19" ht="25.5" x14ac:dyDescent="0.25">
      <c r="C18" s="362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362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21" t="str">
        <f>VAC_Optim_Scenario!B17</f>
        <v>HCC InOffice</v>
      </c>
      <c r="D19" s="222">
        <f>VAC_Optim_Scenario!$H36</f>
        <v>900000</v>
      </c>
      <c r="E19" s="223">
        <f>VAC_Optim_Scenario!$J36</f>
        <v>1410431.7445188572</v>
      </c>
      <c r="F19" s="222">
        <f>VAC_Optim_Scenario!$H36</f>
        <v>900000</v>
      </c>
      <c r="G19" s="223">
        <f>VAC_Optim_Scenario!$J36</f>
        <v>1410431.7445188572</v>
      </c>
      <c r="H19" s="222">
        <f>VAC_Optim_Scenario!$H36</f>
        <v>900000</v>
      </c>
      <c r="I19" s="223">
        <f>VAC_Optim_Scenario!$J36</f>
        <v>1410431.7445188572</v>
      </c>
      <c r="J19" s="224"/>
      <c r="K19" s="53" t="s">
        <v>154</v>
      </c>
      <c r="L19" s="221" t="str">
        <f>VAC_Optim_Scenario!B17</f>
        <v>HCC InOffice</v>
      </c>
      <c r="M19" s="225">
        <f>D19/1000000</f>
        <v>0.9</v>
      </c>
      <c r="N19" s="226">
        <f t="shared" ref="N19:R19" si="7">E19/1000000</f>
        <v>1.4104317445188572</v>
      </c>
      <c r="O19" s="225">
        <f t="shared" si="7"/>
        <v>0.9</v>
      </c>
      <c r="P19" s="226">
        <f t="shared" si="7"/>
        <v>1.4104317445188572</v>
      </c>
      <c r="Q19" s="225">
        <f t="shared" si="7"/>
        <v>0.9</v>
      </c>
      <c r="R19" s="226">
        <f t="shared" si="7"/>
        <v>1.4104317445188572</v>
      </c>
    </row>
    <row r="20" spans="2:19" x14ac:dyDescent="0.25">
      <c r="B20" s="54" t="s">
        <v>154</v>
      </c>
      <c r="C20" s="227" t="str">
        <f>VAC_Optim_Scenario!B18</f>
        <v>HCP MCM</v>
      </c>
      <c r="D20" s="228">
        <f>VAC_Optim_Scenario!$H37</f>
        <v>12686881.296687946</v>
      </c>
      <c r="E20" s="229">
        <f>VAC_Optim_Scenario!$J37</f>
        <v>75313402.321879268</v>
      </c>
      <c r="F20" s="228">
        <f>VAC_Optim_Scenario!$H37</f>
        <v>12686881.296687946</v>
      </c>
      <c r="G20" s="229">
        <f>VAC_Optim_Scenario!$J37</f>
        <v>75313402.321879268</v>
      </c>
      <c r="H20" s="228">
        <f>VAC_Optim_Scenario!$H37</f>
        <v>12686881.296687946</v>
      </c>
      <c r="I20" s="229">
        <f>VAC_Optim_Scenario!$J37</f>
        <v>75313402.321879268</v>
      </c>
      <c r="J20" s="224"/>
      <c r="K20" s="54" t="s">
        <v>154</v>
      </c>
      <c r="L20" s="227" t="str">
        <f>VAC_Optim_Scenario!B18</f>
        <v>HCP MCM</v>
      </c>
      <c r="M20" s="230">
        <f t="shared" ref="M20:M27" si="8">D20/1000000</f>
        <v>12.686881296687945</v>
      </c>
      <c r="N20" s="231">
        <f t="shared" ref="N20:N27" si="9">E20/1000000</f>
        <v>75.313402321879266</v>
      </c>
      <c r="O20" s="230">
        <f t="shared" ref="O20:O27" si="10">F20/1000000</f>
        <v>12.686881296687945</v>
      </c>
      <c r="P20" s="231">
        <f t="shared" ref="P20:P27" si="11">G20/1000000</f>
        <v>75.313402321879266</v>
      </c>
      <c r="Q20" s="230">
        <f t="shared" ref="Q20:Q27" si="12">H20/1000000</f>
        <v>12.686881296687945</v>
      </c>
      <c r="R20" s="231">
        <f t="shared" ref="R20:R27" si="13">I20/1000000</f>
        <v>75.313402321879266</v>
      </c>
    </row>
    <row r="21" spans="2:19" x14ac:dyDescent="0.25">
      <c r="B21" s="54" t="s">
        <v>154</v>
      </c>
      <c r="C21" s="227" t="str">
        <f>VAC_Optim_Scenario!B19</f>
        <v>HCC Social</v>
      </c>
      <c r="D21" s="228">
        <f>VAC_Optim_Scenario!$H38</f>
        <v>1800000</v>
      </c>
      <c r="E21" s="229">
        <f>VAC_Optim_Scenario!$J38</f>
        <v>5471848.3801533533</v>
      </c>
      <c r="F21" s="228">
        <f>VAC_Optim_Scenario!$H38</f>
        <v>1800000</v>
      </c>
      <c r="G21" s="229">
        <f>VAC_Optim_Scenario!$J38</f>
        <v>5471848.3801533533</v>
      </c>
      <c r="H21" s="228">
        <f>VAC_Optim_Scenario!$H38</f>
        <v>1800000</v>
      </c>
      <c r="I21" s="229">
        <f>VAC_Optim_Scenario!$J38</f>
        <v>5471848.3801533533</v>
      </c>
      <c r="J21" s="232"/>
      <c r="K21" s="54" t="s">
        <v>154</v>
      </c>
      <c r="L21" s="227" t="str">
        <f>VAC_Optim_Scenario!B19</f>
        <v>HCC Social</v>
      </c>
      <c r="M21" s="230">
        <f t="shared" si="8"/>
        <v>1.8</v>
      </c>
      <c r="N21" s="231">
        <f t="shared" si="9"/>
        <v>5.4718483801533537</v>
      </c>
      <c r="O21" s="230">
        <f t="shared" si="10"/>
        <v>1.8</v>
      </c>
      <c r="P21" s="231">
        <f t="shared" si="11"/>
        <v>5.4718483801533537</v>
      </c>
      <c r="Q21" s="230">
        <f t="shared" si="12"/>
        <v>1.8</v>
      </c>
      <c r="R21" s="231">
        <f t="shared" si="13"/>
        <v>5.4718483801533537</v>
      </c>
    </row>
    <row r="22" spans="2:19" x14ac:dyDescent="0.25">
      <c r="B22" s="54" t="s">
        <v>154</v>
      </c>
      <c r="C22" s="227" t="str">
        <f>VAC_Optim_Scenario!B20</f>
        <v>HCC Online Video</v>
      </c>
      <c r="D22" s="228">
        <f>VAC_Optim_Scenario!$H39</f>
        <v>1100000</v>
      </c>
      <c r="E22" s="229">
        <f>VAC_Optim_Scenario!$J39</f>
        <v>4854627.720414157</v>
      </c>
      <c r="F22" s="228">
        <f>VAC_Optim_Scenario!$H39</f>
        <v>1100000</v>
      </c>
      <c r="G22" s="229">
        <f>VAC_Optim_Scenario!$J39</f>
        <v>4854627.720414157</v>
      </c>
      <c r="H22" s="228">
        <f>VAC_Optim_Scenario!$H39</f>
        <v>1100000</v>
      </c>
      <c r="I22" s="229">
        <f>VAC_Optim_Scenario!$J39</f>
        <v>4854627.720414157</v>
      </c>
      <c r="J22" s="224"/>
      <c r="K22" s="54" t="s">
        <v>154</v>
      </c>
      <c r="L22" s="227" t="str">
        <f>VAC_Optim_Scenario!B20</f>
        <v>HCC Online Video</v>
      </c>
      <c r="M22" s="230">
        <f t="shared" si="8"/>
        <v>1.1000000000000001</v>
      </c>
      <c r="N22" s="231">
        <f t="shared" si="9"/>
        <v>4.8546277204141575</v>
      </c>
      <c r="O22" s="230">
        <f t="shared" si="10"/>
        <v>1.1000000000000001</v>
      </c>
      <c r="P22" s="231">
        <f t="shared" si="11"/>
        <v>4.8546277204141575</v>
      </c>
      <c r="Q22" s="230">
        <f t="shared" si="12"/>
        <v>1.1000000000000001</v>
      </c>
      <c r="R22" s="231">
        <f t="shared" si="13"/>
        <v>4.8546277204141575</v>
      </c>
    </row>
    <row r="23" spans="2:19" x14ac:dyDescent="0.25">
      <c r="B23" s="54" t="s">
        <v>154</v>
      </c>
      <c r="C23" s="227" t="str">
        <f>VAC_Optim_Scenario!B21</f>
        <v>HCC Streaming Video</v>
      </c>
      <c r="D23" s="228">
        <f>VAC_Optim_Scenario!$H40</f>
        <v>9400000</v>
      </c>
      <c r="E23" s="229">
        <f>VAC_Optim_Scenario!$J40</f>
        <v>17753521.979413368</v>
      </c>
      <c r="F23" s="228">
        <f>VAC_Optim_Scenario!$H40</f>
        <v>9400000</v>
      </c>
      <c r="G23" s="229">
        <f>VAC_Optim_Scenario!$J40</f>
        <v>17753521.979413368</v>
      </c>
      <c r="H23" s="228">
        <f>VAC_Optim_Scenario!$H40</f>
        <v>9400000</v>
      </c>
      <c r="I23" s="229">
        <f>VAC_Optim_Scenario!$J40</f>
        <v>17753521.979413368</v>
      </c>
      <c r="J23" s="232"/>
      <c r="K23" s="54" t="s">
        <v>154</v>
      </c>
      <c r="L23" s="227" t="str">
        <f>VAC_Optim_Scenario!B21</f>
        <v>HCC Streaming Video</v>
      </c>
      <c r="M23" s="230">
        <f t="shared" si="8"/>
        <v>9.4</v>
      </c>
      <c r="N23" s="231">
        <f t="shared" si="9"/>
        <v>17.753521979413367</v>
      </c>
      <c r="O23" s="230">
        <f t="shared" si="10"/>
        <v>9.4</v>
      </c>
      <c r="P23" s="231">
        <f t="shared" si="11"/>
        <v>17.753521979413367</v>
      </c>
      <c r="Q23" s="230">
        <f t="shared" si="12"/>
        <v>9.4</v>
      </c>
      <c r="R23" s="231">
        <f t="shared" si="13"/>
        <v>17.753521979413367</v>
      </c>
    </row>
    <row r="24" spans="2:19" x14ac:dyDescent="0.25">
      <c r="B24" s="54" t="s">
        <v>154</v>
      </c>
      <c r="C24" s="227" t="str">
        <f>VAC_Optim_Scenario!B22</f>
        <v>HCC Display</v>
      </c>
      <c r="D24" s="228">
        <f>VAC_Optim_Scenario!$H41</f>
        <v>2900000</v>
      </c>
      <c r="E24" s="229">
        <f>VAC_Optim_Scenario!$J41</f>
        <v>17332031.585250624</v>
      </c>
      <c r="F24" s="228">
        <f>VAC_Optim_Scenario!$H41</f>
        <v>2900000</v>
      </c>
      <c r="G24" s="229">
        <f>VAC_Optim_Scenario!$J41</f>
        <v>17332031.585250624</v>
      </c>
      <c r="H24" s="228">
        <f>VAC_Optim_Scenario!$H41</f>
        <v>2900000</v>
      </c>
      <c r="I24" s="229">
        <f>VAC_Optim_Scenario!$J41</f>
        <v>17332031.585250624</v>
      </c>
      <c r="J24" s="232"/>
      <c r="K24" s="54" t="s">
        <v>154</v>
      </c>
      <c r="L24" s="227" t="str">
        <f>VAC_Optim_Scenario!B22</f>
        <v>HCC Display</v>
      </c>
      <c r="M24" s="230">
        <f t="shared" si="8"/>
        <v>2.9</v>
      </c>
      <c r="N24" s="231">
        <f t="shared" si="9"/>
        <v>17.332031585250622</v>
      </c>
      <c r="O24" s="230">
        <f t="shared" si="10"/>
        <v>2.9</v>
      </c>
      <c r="P24" s="231">
        <f t="shared" si="11"/>
        <v>17.332031585250622</v>
      </c>
      <c r="Q24" s="230">
        <f t="shared" si="12"/>
        <v>2.9</v>
      </c>
      <c r="R24" s="231">
        <f t="shared" si="13"/>
        <v>17.332031585250622</v>
      </c>
    </row>
    <row r="25" spans="2:19" x14ac:dyDescent="0.25">
      <c r="B25" s="54" t="s">
        <v>154</v>
      </c>
      <c r="C25" s="227" t="str">
        <f>VAC_Optim_Scenario!B23</f>
        <v>HCC Paid Search</v>
      </c>
      <c r="D25" s="228">
        <f>VAC_Optim_Scenario!$H42</f>
        <v>200000</v>
      </c>
      <c r="E25" s="229">
        <f>VAC_Optim_Scenario!$J42</f>
        <v>17969341.094351832</v>
      </c>
      <c r="F25" s="228">
        <f>VAC_Optim_Scenario!$H42</f>
        <v>200000</v>
      </c>
      <c r="G25" s="229">
        <f>VAC_Optim_Scenario!$J42</f>
        <v>17969341.094351832</v>
      </c>
      <c r="H25" s="228">
        <f>VAC_Optim_Scenario!$H42</f>
        <v>200000</v>
      </c>
      <c r="I25" s="229">
        <f>VAC_Optim_Scenario!$J42</f>
        <v>17969341.094351832</v>
      </c>
      <c r="J25" s="232"/>
      <c r="K25" s="54" t="s">
        <v>154</v>
      </c>
      <c r="L25" s="227" t="str">
        <f>VAC_Optim_Scenario!B23</f>
        <v>HCC Paid Search</v>
      </c>
      <c r="M25" s="230">
        <f t="shared" si="8"/>
        <v>0.2</v>
      </c>
      <c r="N25" s="231">
        <f t="shared" si="9"/>
        <v>17.969341094351833</v>
      </c>
      <c r="O25" s="230">
        <f t="shared" si="10"/>
        <v>0.2</v>
      </c>
      <c r="P25" s="231">
        <f t="shared" si="11"/>
        <v>17.969341094351833</v>
      </c>
      <c r="Q25" s="230">
        <f t="shared" si="12"/>
        <v>0.2</v>
      </c>
      <c r="R25" s="231">
        <f t="shared" si="13"/>
        <v>17.969341094351833</v>
      </c>
    </row>
    <row r="26" spans="2:19" x14ac:dyDescent="0.25">
      <c r="B26" s="54" t="s">
        <v>154</v>
      </c>
      <c r="C26" s="227" t="e">
        <f>VAC_Optim_Scenario!#REF!</f>
        <v>#REF!</v>
      </c>
      <c r="D26" s="228" t="e">
        <f>VAC_Optim_Scenario!#REF!</f>
        <v>#REF!</v>
      </c>
      <c r="E26" s="229" t="e">
        <f>VAC_Optim_Scenario!#REF!</f>
        <v>#REF!</v>
      </c>
      <c r="F26" s="228" t="e">
        <f>VAC_Optim_Scenario!#REF!</f>
        <v>#REF!</v>
      </c>
      <c r="G26" s="229" t="e">
        <f>VAC_Optim_Scenario!#REF!</f>
        <v>#REF!</v>
      </c>
      <c r="H26" s="228" t="e">
        <f>VAC_Optim_Scenario!#REF!</f>
        <v>#REF!</v>
      </c>
      <c r="I26" s="229" t="e">
        <f>VAC_Optim_Scenario!#REF!</f>
        <v>#REF!</v>
      </c>
      <c r="J26" s="232"/>
      <c r="K26" s="54" t="s">
        <v>154</v>
      </c>
      <c r="L26" s="227" t="e">
        <f>VAC_Optim_Scenario!#REF!</f>
        <v>#REF!</v>
      </c>
      <c r="M26" s="230" t="e">
        <f t="shared" si="8"/>
        <v>#REF!</v>
      </c>
      <c r="N26" s="231" t="e">
        <f t="shared" si="9"/>
        <v>#REF!</v>
      </c>
      <c r="O26" s="230" t="e">
        <f t="shared" si="10"/>
        <v>#REF!</v>
      </c>
      <c r="P26" s="231" t="e">
        <f t="shared" si="11"/>
        <v>#REF!</v>
      </c>
      <c r="Q26" s="230" t="e">
        <f t="shared" si="12"/>
        <v>#REF!</v>
      </c>
      <c r="R26" s="231" t="e">
        <f t="shared" si="13"/>
        <v>#REF!</v>
      </c>
    </row>
    <row r="27" spans="2:19" x14ac:dyDescent="0.25">
      <c r="B27" s="241" t="s">
        <v>154</v>
      </c>
      <c r="C27" s="212" t="str">
        <f>VAC_Optim_Scenario!B24</f>
        <v>HCC Linear TV</v>
      </c>
      <c r="D27" s="242">
        <f>VAC_Optim_Scenario!$H43</f>
        <v>28089210.84</v>
      </c>
      <c r="E27" s="242">
        <f>VAC_Optim_Scenario!$J43</f>
        <v>40395109.493891336</v>
      </c>
      <c r="F27" s="242">
        <f>VAC_Optim_Scenario!$H43</f>
        <v>28089210.84</v>
      </c>
      <c r="G27" s="242">
        <f>VAC_Optim_Scenario!$J43</f>
        <v>40395109.493891336</v>
      </c>
      <c r="H27" s="242">
        <f>VAC_Optim_Scenario!$H43</f>
        <v>28089210.84</v>
      </c>
      <c r="I27" s="242">
        <f>VAC_Optim_Scenario!$J43</f>
        <v>40395109.493891336</v>
      </c>
      <c r="J27" s="232"/>
      <c r="K27" s="241" t="s">
        <v>154</v>
      </c>
      <c r="L27" s="212" t="str">
        <f>VAC_Optim_Scenario!B24</f>
        <v>HCC Linear TV</v>
      </c>
      <c r="M27" s="235">
        <f t="shared" si="8"/>
        <v>28.08921084</v>
      </c>
      <c r="N27" s="235">
        <f t="shared" si="9"/>
        <v>40.395109493891333</v>
      </c>
      <c r="O27" s="235">
        <f t="shared" si="10"/>
        <v>28.08921084</v>
      </c>
      <c r="P27" s="235">
        <f t="shared" si="11"/>
        <v>40.395109493891333</v>
      </c>
      <c r="Q27" s="235">
        <f t="shared" si="12"/>
        <v>28.08921084</v>
      </c>
      <c r="R27" s="235">
        <f t="shared" si="13"/>
        <v>40.395109493891333</v>
      </c>
    </row>
    <row r="30" spans="2:19" ht="34.35" customHeight="1" x14ac:dyDescent="0.25">
      <c r="C30" s="142" t="s">
        <v>3</v>
      </c>
      <c r="D30" s="143" t="s">
        <v>221</v>
      </c>
      <c r="E30" s="233">
        <v>-0.5</v>
      </c>
      <c r="F30" s="233">
        <v>2</v>
      </c>
      <c r="G30" s="233">
        <v>-0.4</v>
      </c>
      <c r="H30" s="233">
        <v>0.4</v>
      </c>
      <c r="J30" s="99" t="s">
        <v>3</v>
      </c>
      <c r="K30" s="99" t="s">
        <v>229</v>
      </c>
      <c r="L30" s="99" t="s">
        <v>207</v>
      </c>
      <c r="M30" s="99" t="s">
        <v>208</v>
      </c>
      <c r="N30" s="99" t="s">
        <v>224</v>
      </c>
      <c r="O30" s="99" t="s">
        <v>226</v>
      </c>
      <c r="P30" s="99" t="s">
        <v>209</v>
      </c>
      <c r="Q30" s="99" t="s">
        <v>210</v>
      </c>
      <c r="R30" s="99" t="s">
        <v>177</v>
      </c>
      <c r="S30" s="99" t="s">
        <v>176</v>
      </c>
    </row>
    <row r="31" spans="2:19" x14ac:dyDescent="0.25">
      <c r="B31" s="53" t="s">
        <v>154</v>
      </c>
      <c r="C31" s="283" t="str">
        <f>VAC_Optim_Scenario!B17</f>
        <v>HCC InOffice</v>
      </c>
      <c r="D31" s="225">
        <f>M19</f>
        <v>0.9</v>
      </c>
      <c r="E31" s="225">
        <f>O5</f>
        <v>2.3045999176017213</v>
      </c>
      <c r="F31" s="225">
        <f>Q5</f>
        <v>2.34</v>
      </c>
      <c r="G31" s="225">
        <f>O19</f>
        <v>0.9</v>
      </c>
      <c r="H31" s="225">
        <f>Q19</f>
        <v>0.9</v>
      </c>
      <c r="J31" s="234">
        <v>-0.5</v>
      </c>
      <c r="K31" s="235">
        <f>E$31</f>
        <v>2.3045999176017213</v>
      </c>
      <c r="L31" s="235">
        <f>E$32</f>
        <v>5.9808212879999996</v>
      </c>
      <c r="M31" s="235">
        <f>E$33</f>
        <v>2.3684232000000001</v>
      </c>
      <c r="N31" s="235">
        <f>E$34</f>
        <v>0.46872000002084274</v>
      </c>
      <c r="O31" s="235">
        <f>E$35</f>
        <v>5.4997572028695698</v>
      </c>
      <c r="P31" s="235">
        <f>E$36</f>
        <v>2.2477582947281389</v>
      </c>
      <c r="Q31" s="235">
        <f>E$37</f>
        <v>1.5030225591430741</v>
      </c>
      <c r="R31" s="235">
        <f>E$38</f>
        <v>0.85561189999999998</v>
      </c>
      <c r="S31" s="235">
        <f>E$39</f>
        <v>15.717664872</v>
      </c>
    </row>
    <row r="32" spans="2:19" x14ac:dyDescent="0.25">
      <c r="B32" s="54" t="s">
        <v>154</v>
      </c>
      <c r="C32" s="284" t="str">
        <f>VAC_Optim_Scenario!B18</f>
        <v>HCP MCM</v>
      </c>
      <c r="D32" s="230">
        <f t="shared" ref="D32:D39" si="14">M20</f>
        <v>12.686881296687945</v>
      </c>
      <c r="E32" s="230">
        <f t="shared" ref="E32:E39" si="15">O6</f>
        <v>5.9808212879999996</v>
      </c>
      <c r="F32" s="230">
        <f t="shared" ref="F32:F39" si="16">Q6</f>
        <v>5.9808212879999996</v>
      </c>
      <c r="G32" s="230">
        <f t="shared" ref="G32:G39" si="17">O20</f>
        <v>12.686881296687945</v>
      </c>
      <c r="H32" s="230">
        <f t="shared" ref="H32:H39" si="18">Q20</f>
        <v>12.686881296687945</v>
      </c>
      <c r="J32" s="234">
        <v>-0.4</v>
      </c>
      <c r="K32" s="235">
        <f>G$31</f>
        <v>0.9</v>
      </c>
      <c r="L32" s="235">
        <f>G$32</f>
        <v>12.686881296687945</v>
      </c>
      <c r="M32" s="235">
        <f>G$33</f>
        <v>1.8</v>
      </c>
      <c r="N32" s="235">
        <f>G$34</f>
        <v>1.1000000000000001</v>
      </c>
      <c r="O32" s="235">
        <f>G$35</f>
        <v>9.4</v>
      </c>
      <c r="P32" s="235">
        <f>G$36</f>
        <v>2.9</v>
      </c>
      <c r="Q32" s="235">
        <f>G$37</f>
        <v>0.2</v>
      </c>
      <c r="R32" s="235" t="e">
        <f>G$38</f>
        <v>#REF!</v>
      </c>
      <c r="S32" s="235">
        <f>G$39</f>
        <v>28.08921084</v>
      </c>
    </row>
    <row r="33" spans="2:22" x14ac:dyDescent="0.25">
      <c r="B33" s="54" t="s">
        <v>154</v>
      </c>
      <c r="C33" s="284" t="str">
        <f>VAC_Optim_Scenario!B19</f>
        <v>HCC Social</v>
      </c>
      <c r="D33" s="230">
        <f t="shared" si="14"/>
        <v>1.8</v>
      </c>
      <c r="E33" s="230">
        <f t="shared" si="15"/>
        <v>2.3684232000000001</v>
      </c>
      <c r="F33" s="230">
        <f t="shared" si="16"/>
        <v>2.3684232000000001</v>
      </c>
      <c r="G33" s="230">
        <f t="shared" si="17"/>
        <v>1.8</v>
      </c>
      <c r="H33" s="230">
        <f t="shared" si="18"/>
        <v>1.8</v>
      </c>
      <c r="J33" s="234" t="s">
        <v>221</v>
      </c>
      <c r="K33" s="235">
        <f>D$31</f>
        <v>0.9</v>
      </c>
      <c r="L33" s="235">
        <f>D$32</f>
        <v>12.686881296687945</v>
      </c>
      <c r="M33" s="235">
        <f>D$33</f>
        <v>1.8</v>
      </c>
      <c r="N33" s="235">
        <f>D$34</f>
        <v>1.1000000000000001</v>
      </c>
      <c r="O33" s="235">
        <f>D$35</f>
        <v>9.4</v>
      </c>
      <c r="P33" s="235">
        <f>D$36</f>
        <v>2.9</v>
      </c>
      <c r="Q33" s="235">
        <f>D$37</f>
        <v>0.2</v>
      </c>
      <c r="R33" s="235" t="e">
        <f>D$38</f>
        <v>#REF!</v>
      </c>
      <c r="S33" s="235">
        <f>D$39</f>
        <v>28.08921084</v>
      </c>
    </row>
    <row r="34" spans="2:22" x14ac:dyDescent="0.25">
      <c r="B34" s="54" t="s">
        <v>154</v>
      </c>
      <c r="C34" s="284" t="str">
        <f>VAC_Optim_Scenario!B20</f>
        <v>HCC Online Video</v>
      </c>
      <c r="D34" s="230">
        <f t="shared" si="14"/>
        <v>1.1000000000000001</v>
      </c>
      <c r="E34" s="230">
        <f t="shared" si="15"/>
        <v>0.46872000002084274</v>
      </c>
      <c r="F34" s="230">
        <f t="shared" si="16"/>
        <v>0.87048000000000003</v>
      </c>
      <c r="G34" s="230">
        <f t="shared" si="17"/>
        <v>1.1000000000000001</v>
      </c>
      <c r="H34" s="230">
        <f t="shared" si="18"/>
        <v>1.1000000000000001</v>
      </c>
      <c r="J34" s="234">
        <v>0.4</v>
      </c>
      <c r="K34" s="235">
        <f>H$31</f>
        <v>0.9</v>
      </c>
      <c r="L34" s="235">
        <f>H$32</f>
        <v>12.686881296687945</v>
      </c>
      <c r="M34" s="235">
        <f>H$33</f>
        <v>1.8</v>
      </c>
      <c r="N34" s="235">
        <f>H$34</f>
        <v>1.1000000000000001</v>
      </c>
      <c r="O34" s="235">
        <f>H$35</f>
        <v>9.4</v>
      </c>
      <c r="P34" s="235">
        <f>H$36</f>
        <v>2.9</v>
      </c>
      <c r="Q34" s="235">
        <f>H$37</f>
        <v>0.2</v>
      </c>
      <c r="R34" s="235" t="e">
        <f>H$38</f>
        <v>#REF!</v>
      </c>
      <c r="S34" s="235">
        <f>H$39</f>
        <v>28.08921084</v>
      </c>
    </row>
    <row r="35" spans="2:22" x14ac:dyDescent="0.25">
      <c r="B35" s="54" t="s">
        <v>154</v>
      </c>
      <c r="C35" s="284" t="str">
        <f>VAC_Optim_Scenario!B21</f>
        <v>HCC Streaming Video</v>
      </c>
      <c r="D35" s="230">
        <f t="shared" si="14"/>
        <v>9.4</v>
      </c>
      <c r="E35" s="230">
        <f t="shared" si="15"/>
        <v>5.4997572028695698</v>
      </c>
      <c r="F35" s="230">
        <f t="shared" si="16"/>
        <v>10.213834800000001</v>
      </c>
      <c r="G35" s="230">
        <f t="shared" si="17"/>
        <v>9.4</v>
      </c>
      <c r="H35" s="230">
        <f t="shared" si="18"/>
        <v>9.4</v>
      </c>
      <c r="J35" s="233">
        <v>2</v>
      </c>
      <c r="K35" s="235">
        <f>F$31</f>
        <v>2.34</v>
      </c>
      <c r="L35" s="235">
        <f>F$32</f>
        <v>5.9808212879999996</v>
      </c>
      <c r="M35" s="235">
        <f>F$33</f>
        <v>2.3684232000000001</v>
      </c>
      <c r="N35" s="235">
        <f>F$34</f>
        <v>0.87048000000000003</v>
      </c>
      <c r="O35" s="235">
        <f>F$35</f>
        <v>10.213834800000001</v>
      </c>
      <c r="P35" s="235">
        <f>F$36</f>
        <v>2.7142868999999998</v>
      </c>
      <c r="Q35" s="235">
        <f>F$37</f>
        <v>1.7915768000000001</v>
      </c>
      <c r="R35" s="235">
        <f>F$38</f>
        <v>0.85561189999999998</v>
      </c>
      <c r="S35" s="235">
        <f>F$39</f>
        <v>21.525379182791276</v>
      </c>
    </row>
    <row r="36" spans="2:22" x14ac:dyDescent="0.25">
      <c r="B36" s="54" t="s">
        <v>154</v>
      </c>
      <c r="C36" s="284" t="str">
        <f>VAC_Optim_Scenario!B22</f>
        <v>HCC Display</v>
      </c>
      <c r="D36" s="230">
        <f t="shared" si="14"/>
        <v>2.9</v>
      </c>
      <c r="E36" s="230">
        <f t="shared" si="15"/>
        <v>2.2477582947281389</v>
      </c>
      <c r="F36" s="230">
        <f t="shared" si="16"/>
        <v>2.7142868999999998</v>
      </c>
      <c r="G36" s="230">
        <f t="shared" si="17"/>
        <v>2.9</v>
      </c>
      <c r="H36" s="230">
        <f t="shared" si="18"/>
        <v>2.9</v>
      </c>
    </row>
    <row r="37" spans="2:22" x14ac:dyDescent="0.25">
      <c r="B37" s="54" t="s">
        <v>154</v>
      </c>
      <c r="C37" s="284" t="str">
        <f>VAC_Optim_Scenario!B23</f>
        <v>HCC Paid Search</v>
      </c>
      <c r="D37" s="230">
        <f t="shared" si="14"/>
        <v>0.2</v>
      </c>
      <c r="E37" s="230">
        <f t="shared" si="15"/>
        <v>1.5030225591430741</v>
      </c>
      <c r="F37" s="230">
        <f t="shared" si="16"/>
        <v>1.7915768000000001</v>
      </c>
      <c r="G37" s="230">
        <f t="shared" si="17"/>
        <v>0.2</v>
      </c>
      <c r="H37" s="230">
        <f t="shared" si="18"/>
        <v>0.2</v>
      </c>
      <c r="J37" s="251"/>
      <c r="K37" s="236"/>
      <c r="L37" s="236"/>
      <c r="M37" s="236"/>
      <c r="N37" s="236"/>
      <c r="O37" s="236"/>
      <c r="P37" s="236"/>
      <c r="Q37" s="236"/>
      <c r="R37" s="236"/>
    </row>
    <row r="38" spans="2:22" x14ac:dyDescent="0.25">
      <c r="B38" s="54" t="s">
        <v>154</v>
      </c>
      <c r="C38" s="284" t="e">
        <f>VAC_Optim_Scenario!#REF!</f>
        <v>#REF!</v>
      </c>
      <c r="D38" s="230" t="e">
        <f t="shared" si="14"/>
        <v>#REF!</v>
      </c>
      <c r="E38" s="230">
        <f t="shared" si="15"/>
        <v>0.85561189999999998</v>
      </c>
      <c r="F38" s="230">
        <f t="shared" si="16"/>
        <v>0.85561189999999998</v>
      </c>
      <c r="G38" s="230" t="e">
        <f t="shared" si="17"/>
        <v>#REF!</v>
      </c>
      <c r="H38" s="230" t="e">
        <f t="shared" si="18"/>
        <v>#REF!</v>
      </c>
      <c r="J38" s="252"/>
      <c r="K38" s="237"/>
      <c r="L38" s="237"/>
      <c r="M38" s="237"/>
      <c r="N38" s="237"/>
      <c r="O38" s="237"/>
      <c r="P38" s="237"/>
      <c r="Q38" s="237"/>
      <c r="R38" s="237"/>
    </row>
    <row r="39" spans="2:22" x14ac:dyDescent="0.25">
      <c r="B39" s="99" t="s">
        <v>154</v>
      </c>
      <c r="C39" s="285" t="str">
        <f>VAC_Optim_Scenario!B24</f>
        <v>HCC Linear TV</v>
      </c>
      <c r="D39" s="230">
        <f t="shared" si="14"/>
        <v>28.08921084</v>
      </c>
      <c r="E39" s="230">
        <f t="shared" si="15"/>
        <v>15.717664872</v>
      </c>
      <c r="F39" s="230">
        <f t="shared" si="16"/>
        <v>21.525379182791276</v>
      </c>
      <c r="G39" s="230">
        <f t="shared" si="17"/>
        <v>28.08921084</v>
      </c>
      <c r="H39" s="230">
        <f t="shared" si="18"/>
        <v>28.08921084</v>
      </c>
      <c r="J39" s="251"/>
      <c r="K39" s="236"/>
      <c r="L39" s="236"/>
      <c r="M39" s="236"/>
      <c r="N39" s="236"/>
      <c r="O39" s="236"/>
      <c r="P39" s="236"/>
      <c r="Q39" s="236"/>
      <c r="R39" s="236"/>
    </row>
    <row r="40" spans="2:22" x14ac:dyDescent="0.25">
      <c r="L40" s="167"/>
      <c r="M40" s="167"/>
      <c r="O40" s="167"/>
      <c r="P40" s="167"/>
    </row>
    <row r="41" spans="2:22" x14ac:dyDescent="0.25">
      <c r="L41" s="235"/>
      <c r="M41" s="235"/>
      <c r="N41" s="235"/>
      <c r="O41" s="235"/>
      <c r="P41" s="235"/>
    </row>
    <row r="42" spans="2:22" x14ac:dyDescent="0.25">
      <c r="L42" s="235"/>
      <c r="M42" s="235"/>
      <c r="N42" s="235"/>
      <c r="O42" s="235"/>
      <c r="P42" s="235"/>
    </row>
    <row r="43" spans="2:22" x14ac:dyDescent="0.25">
      <c r="L43" s="235"/>
      <c r="M43" s="235"/>
      <c r="N43" s="235"/>
      <c r="O43" s="235"/>
      <c r="P43" s="235"/>
    </row>
    <row r="44" spans="2:22" x14ac:dyDescent="0.25">
      <c r="L44" s="235"/>
      <c r="M44" s="235"/>
      <c r="N44" s="235"/>
      <c r="O44" s="235"/>
      <c r="P44" s="235"/>
      <c r="S44" s="238"/>
      <c r="T44" s="238"/>
      <c r="V44" s="238"/>
    </row>
    <row r="45" spans="2:22" x14ac:dyDescent="0.25">
      <c r="L45" s="235"/>
      <c r="M45" s="235"/>
      <c r="N45" s="235"/>
      <c r="O45" s="235"/>
      <c r="P45" s="239"/>
      <c r="S45" s="240"/>
      <c r="T45" s="240"/>
      <c r="U45" s="240"/>
      <c r="V45" s="240"/>
    </row>
    <row r="46" spans="2:22" x14ac:dyDescent="0.25">
      <c r="L46" s="235"/>
      <c r="M46" s="235"/>
      <c r="N46" s="235"/>
      <c r="O46" s="235"/>
      <c r="P46" s="235"/>
      <c r="S46" s="240"/>
      <c r="T46" s="240"/>
      <c r="U46" s="240"/>
      <c r="V46" s="240"/>
    </row>
    <row r="47" spans="2:22" x14ac:dyDescent="0.25">
      <c r="L47" s="235"/>
      <c r="M47" s="235"/>
      <c r="N47" s="235"/>
      <c r="O47" s="235"/>
      <c r="P47" s="235"/>
    </row>
    <row r="48" spans="2:22" x14ac:dyDescent="0.25">
      <c r="L48" s="235"/>
      <c r="M48" s="235"/>
      <c r="N48" s="235"/>
      <c r="O48" s="235"/>
      <c r="P48" s="23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27"/>
  <sheetViews>
    <sheetView zoomScale="90" zoomScaleNormal="90" workbookViewId="0">
      <selection activeCell="R5" sqref="R5"/>
    </sheetView>
  </sheetViews>
  <sheetFormatPr defaultColWidth="8.85546875" defaultRowHeight="15" x14ac:dyDescent="0.25"/>
  <cols>
    <col min="1" max="1" width="8.85546875" style="99"/>
    <col min="2" max="2" width="18.5703125" style="99" bestFit="1" customWidth="1"/>
    <col min="3" max="3" width="18.42578125" style="99" bestFit="1" customWidth="1"/>
    <col min="4" max="4" width="12.140625" style="99" bestFit="1" customWidth="1"/>
    <col min="5" max="5" width="22.42578125" style="99" bestFit="1" customWidth="1"/>
    <col min="6" max="6" width="13.42578125" style="99" bestFit="1" customWidth="1"/>
    <col min="7" max="7" width="8.7109375" style="99" bestFit="1" customWidth="1"/>
    <col min="8" max="8" width="10.85546875" style="99" hidden="1" customWidth="1"/>
    <col min="9" max="9" width="16.140625" style="99" bestFit="1" customWidth="1"/>
    <col min="10" max="11" width="16.140625" style="99" customWidth="1"/>
    <col min="12" max="12" width="10.140625" style="99" customWidth="1"/>
    <col min="13" max="13" width="8.85546875" style="99"/>
    <col min="14" max="14" width="11.42578125" style="99" bestFit="1" customWidth="1"/>
    <col min="15" max="16" width="8.85546875" style="99"/>
    <col min="17" max="17" width="10" style="99" bestFit="1" customWidth="1"/>
    <col min="18" max="16384" width="8.85546875" style="99"/>
  </cols>
  <sheetData>
    <row r="2" spans="1:18" x14ac:dyDescent="0.25">
      <c r="D2" s="366">
        <v>2023</v>
      </c>
      <c r="E2" s="366"/>
      <c r="F2" s="366"/>
      <c r="G2" s="366"/>
      <c r="H2" s="366"/>
      <c r="I2" s="366"/>
      <c r="J2" s="329"/>
      <c r="K2" s="329"/>
      <c r="N2" s="99" t="s">
        <v>275</v>
      </c>
    </row>
    <row r="3" spans="1:18" ht="51" x14ac:dyDescent="0.25">
      <c r="B3" s="206" t="s">
        <v>2</v>
      </c>
      <c r="C3" s="207" t="s">
        <v>3</v>
      </c>
      <c r="D3" s="207" t="s">
        <v>271</v>
      </c>
      <c r="E3" s="207" t="s">
        <v>272</v>
      </c>
      <c r="F3" s="207" t="s">
        <v>273</v>
      </c>
      <c r="G3" s="207" t="s">
        <v>274</v>
      </c>
      <c r="H3" s="207" t="s">
        <v>204</v>
      </c>
      <c r="I3" s="207" t="s">
        <v>205</v>
      </c>
      <c r="J3" s="207" t="s">
        <v>258</v>
      </c>
      <c r="K3" s="207" t="s">
        <v>259</v>
      </c>
      <c r="L3" s="279" t="s">
        <v>192</v>
      </c>
      <c r="M3"/>
      <c r="N3" s="355">
        <v>4647854</v>
      </c>
    </row>
    <row r="4" spans="1:18" x14ac:dyDescent="0.25">
      <c r="A4" s="99" t="s">
        <v>276</v>
      </c>
      <c r="B4" s="342" t="s">
        <v>228</v>
      </c>
      <c r="C4" s="343" t="str">
        <f>VAC_Optim_Scenario!B17</f>
        <v>HCC InOffice</v>
      </c>
      <c r="D4" s="344">
        <f>VAC_Optim_Scenario!E17</f>
        <v>1134710</v>
      </c>
      <c r="E4" s="345">
        <f>VAC_Optim_Scenario!F17</f>
        <v>7367.8666140222922</v>
      </c>
      <c r="F4" s="344">
        <f>VAC_Optim_Scenario!G36</f>
        <v>1664695.7827721967</v>
      </c>
      <c r="G4" s="210">
        <f t="shared" ref="G4:G13" si="0">F4/D4</f>
        <v>1.4670671649780092</v>
      </c>
      <c r="H4" s="211" t="e">
        <f>E4/#REF!</f>
        <v>#REF!</v>
      </c>
      <c r="I4" s="353">
        <f>D4/E4</f>
        <v>154.00794550765286</v>
      </c>
      <c r="J4" s="356">
        <f>E4/N$3</f>
        <v>1.5852190309812427E-3</v>
      </c>
      <c r="K4" s="356">
        <f>J4*0.54</f>
        <v>8.5601827672987106E-4</v>
      </c>
      <c r="L4" s="359">
        <f ca="1">(VLOOKUP($Q4,INDIRECT("'"&amp;A4&amp;"'!"&amp;"A20:E42"),5,0)-VLOOKUP($R4,INDIRECT("'"&amp;A4&amp;"'!"&amp;"A20:E42"),5,0))/(Q4-R4)</f>
        <v>1.0281350987444842</v>
      </c>
      <c r="M4"/>
      <c r="Q4" s="358" cm="1">
        <f t="array" aca="1" ref="Q4" ca="1">MAX(_xlfn._xlws.FILTER(INDIRECT("'"&amp;A4&amp;"'!"&amp;"A20:A42"),INDIRECT("'"&amp;A4&amp;"'!"&amp;"A20:A42")&lt;$D4))</f>
        <v>1000000</v>
      </c>
      <c r="R4" s="358" cm="1">
        <f t="array" aca="1" ref="R4" ca="1">MIN(_xlfn._xlws.FILTER(INDIRECT("'"&amp;A4&amp;"'!"&amp;"A20:A42"),INDIRECT("'"&amp;A4&amp;"'!"&amp;"A20:A42")&gt;=$D4))</f>
        <v>1200000</v>
      </c>
    </row>
    <row r="5" spans="1:18" x14ac:dyDescent="0.25">
      <c r="A5" s="99" t="s">
        <v>277</v>
      </c>
      <c r="B5" s="346" t="s">
        <v>228</v>
      </c>
      <c r="C5" s="347" t="str">
        <f>VAC_Optim_Scenario!B18</f>
        <v>HCP MCM</v>
      </c>
      <c r="D5" s="344">
        <f>VAC_Optim_Scenario!E18</f>
        <v>10503728.719999999</v>
      </c>
      <c r="E5" s="348">
        <f>VAC_Optim_Scenario!F18</f>
        <v>288339.09761974216</v>
      </c>
      <c r="F5" s="344">
        <f>VAC_Optim_Scenario!G37</f>
        <v>65147335.716204539</v>
      </c>
      <c r="G5" s="213">
        <f t="shared" si="0"/>
        <v>6.2023056243025803</v>
      </c>
      <c r="H5" s="214" t="e">
        <f>E5/#REF!</f>
        <v>#REF!</v>
      </c>
      <c r="I5" s="353">
        <f t="shared" ref="I5:I13" si="1">D5/E5</f>
        <v>36.428388680927966</v>
      </c>
      <c r="J5" s="356">
        <f t="shared" ref="J5:J11" si="2">E5/N$3</f>
        <v>6.2037038517075226E-2</v>
      </c>
      <c r="K5" s="356">
        <f t="shared" ref="K5:K11" si="3">J5*0.54</f>
        <v>3.3500000799220622E-2</v>
      </c>
      <c r="L5" s="359">
        <f ca="1">(VLOOKUP($Q5,INDIRECT("'"&amp;A5&amp;"'!"&amp;"A20:E42"),5,0)-VLOOKUP($R5,INDIRECT("'"&amp;A5&amp;"'!"&amp;"A20:E42"),5,0))/(Q5-R5)</f>
        <v>4.9357259150992991</v>
      </c>
      <c r="M5"/>
      <c r="Q5" s="358" cm="1">
        <f t="array" aca="1" ref="Q5" ca="1">MAX(_xlfn._xlws.FILTER(INDIRECT("'"&amp;A5&amp;"'!"&amp;"A20:A42"),INDIRECT("'"&amp;A5&amp;"'!"&amp;"A20:A42")&lt;$D5))</f>
        <v>10000000</v>
      </c>
      <c r="R5" s="358" cm="1">
        <f t="array" aca="1" ref="R5" ca="1">MIN(_xlfn._xlws.FILTER(INDIRECT("'"&amp;A5&amp;"'!"&amp;"A20:A42"),INDIRECT("'"&amp;A5&amp;"'!"&amp;"A20:A42")&gt;=$D5))</f>
        <v>10625000</v>
      </c>
    </row>
    <row r="6" spans="1:18" x14ac:dyDescent="0.25">
      <c r="A6" s="99" t="s">
        <v>278</v>
      </c>
      <c r="B6" s="346" t="s">
        <v>228</v>
      </c>
      <c r="C6" s="347" t="str">
        <f>VAC_Optim_Scenario!B19</f>
        <v>HCC Social</v>
      </c>
      <c r="D6" s="344">
        <f>VAC_Optim_Scenario!E19</f>
        <v>1751000</v>
      </c>
      <c r="E6" s="348">
        <f>VAC_Optim_Scenario!F19</f>
        <v>23820.403572058858</v>
      </c>
      <c r="F6" s="344">
        <f>VAC_Optim_Scenario!G38</f>
        <v>5381981.983070978</v>
      </c>
      <c r="G6" s="213">
        <f t="shared" si="0"/>
        <v>3.0736618978132371</v>
      </c>
      <c r="H6" s="214" t="e">
        <f>E6/#REF!</f>
        <v>#REF!</v>
      </c>
      <c r="I6" s="353">
        <f t="shared" si="1"/>
        <v>73.508410329953804</v>
      </c>
      <c r="J6" s="356">
        <f t="shared" si="2"/>
        <v>5.1250326649801949E-3</v>
      </c>
      <c r="K6" s="356">
        <f t="shared" si="3"/>
        <v>2.7675176390893055E-3</v>
      </c>
      <c r="L6" s="359">
        <f t="shared" ref="L6:L12" ca="1" si="4">(VLOOKUP($Q6,INDIRECT("'"&amp;A6&amp;"'!"&amp;"A20:E42"),3,0)-VLOOKUP($R6,INDIRECT("'"&amp;A6&amp;"'!"&amp;"A20:E42"),3,0))/(Q6-R6)</f>
        <v>1.7951540998233295</v>
      </c>
      <c r="M6"/>
      <c r="Q6" s="358" cm="1">
        <f t="array" aca="1" ref="Q6" ca="1">MAX(_xlfn._xlws.FILTER(INDIRECT("'"&amp;A6&amp;"'!"&amp;"A20:A42"),INDIRECT("'"&amp;A6&amp;"'!"&amp;"A20:A42")&lt;$D6))</f>
        <v>1750000</v>
      </c>
      <c r="R6" s="358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9" t="s">
        <v>279</v>
      </c>
      <c r="B7" s="346" t="s">
        <v>228</v>
      </c>
      <c r="C7" s="347" t="str">
        <f>VAC_Optim_Scenario!B20</f>
        <v>HCC Online Video</v>
      </c>
      <c r="D7" s="344">
        <f>VAC_Optim_Scenario!E20</f>
        <v>1111779.04</v>
      </c>
      <c r="E7" s="348">
        <f>VAC_Optim_Scenario!F20</f>
        <v>21646.235649615526</v>
      </c>
      <c r="F7" s="344">
        <f>VAC_Optim_Scenario!G39</f>
        <v>4890750.4826741321</v>
      </c>
      <c r="G7" s="213">
        <f t="shared" si="0"/>
        <v>4.3990310184963839</v>
      </c>
      <c r="H7" s="214" t="e">
        <f>E7/#REF!</f>
        <v>#REF!</v>
      </c>
      <c r="I7" s="353">
        <f t="shared" si="1"/>
        <v>51.361310945524473</v>
      </c>
      <c r="J7" s="356">
        <f t="shared" si="2"/>
        <v>4.6572537884398968E-3</v>
      </c>
      <c r="K7" s="356">
        <f t="shared" si="3"/>
        <v>2.5149170457575446E-3</v>
      </c>
      <c r="L7" s="359">
        <f ca="1">(VLOOKUP($Q7,INDIRECT("'"&amp;A7&amp;"'!"&amp;"A20:E42"),5,0)-VLOOKUP($R7,INDIRECT("'"&amp;A7&amp;"'!"&amp;"A20:E42"),5,0))/(Q7-R7)</f>
        <v>3.0799076810741566</v>
      </c>
      <c r="M7"/>
      <c r="Q7" s="358" cm="1">
        <f t="array" aca="1" ref="Q7" ca="1">MAX(_xlfn._xlws.FILTER(INDIRECT("'"&amp;A7&amp;"'!"&amp;"A20:A42"),INDIRECT("'"&amp;A7&amp;"'!"&amp;"A20:A42")&lt;$D7))</f>
        <v>1000000</v>
      </c>
      <c r="R7" s="358" cm="1">
        <f t="array" aca="1" ref="R7" ca="1">MIN(_xlfn._xlws.FILTER(INDIRECT("'"&amp;A7&amp;"'!"&amp;"A20:A42"),INDIRECT("'"&amp;A7&amp;"'!"&amp;"A20:A42")&gt;=$D7))</f>
        <v>1200000</v>
      </c>
    </row>
    <row r="8" spans="1:18" x14ac:dyDescent="0.25">
      <c r="A8" s="99" t="s">
        <v>280</v>
      </c>
      <c r="B8" s="346" t="s">
        <v>228</v>
      </c>
      <c r="C8" s="347" t="str">
        <f>VAC_Optim_Scenario!B21</f>
        <v>HCC Streaming Video</v>
      </c>
      <c r="D8" s="344">
        <f>VAC_Optim_Scenario!E21</f>
        <v>13418576</v>
      </c>
      <c r="E8" s="348">
        <f>VAC_Optim_Scenario!F21</f>
        <v>100808.3256282994</v>
      </c>
      <c r="F8" s="344">
        <f>VAC_Optim_Scenario!G40</f>
        <v>22776633.092457965</v>
      </c>
      <c r="G8" s="213">
        <f t="shared" si="0"/>
        <v>1.6973956917975472</v>
      </c>
      <c r="H8" s="214" t="e">
        <f>E8/#REF!</f>
        <v>#REF!</v>
      </c>
      <c r="I8" s="353">
        <f t="shared" si="1"/>
        <v>133.10979937785092</v>
      </c>
      <c r="J8" s="356">
        <f t="shared" si="2"/>
        <v>2.1689219503947282E-2</v>
      </c>
      <c r="K8" s="356">
        <f t="shared" si="3"/>
        <v>1.1712178532131533E-2</v>
      </c>
      <c r="L8" s="359">
        <f t="shared" ca="1" si="4"/>
        <v>1.1961518650093477</v>
      </c>
      <c r="M8"/>
      <c r="Q8" s="358" cm="1">
        <f t="array" aca="1" ref="Q8" ca="1">MAX(_xlfn._xlws.FILTER(INDIRECT("'"&amp;A8&amp;"'!"&amp;"A20:A42"),INDIRECT("'"&amp;A8&amp;"'!"&amp;"A20:A42")&lt;$D8))</f>
        <v>12750000</v>
      </c>
      <c r="R8" s="358" cm="1">
        <f t="array" aca="1" ref="R8" ca="1">MIN(_xlfn._xlws.FILTER(INDIRECT("'"&amp;A8&amp;"'!"&amp;"A20:A42"),INDIRECT("'"&amp;A8&amp;"'!"&amp;"A20:A42")&gt;=$D8))</f>
        <v>13500000</v>
      </c>
    </row>
    <row r="9" spans="1:18" x14ac:dyDescent="0.25">
      <c r="A9" s="99" t="s">
        <v>281</v>
      </c>
      <c r="B9" s="346" t="s">
        <v>228</v>
      </c>
      <c r="C9" s="347" t="str">
        <f>VAC_Optim_Scenario!B22</f>
        <v>HCC Display</v>
      </c>
      <c r="D9" s="344">
        <f>VAC_Optim_Scenario!E22</f>
        <v>2859426.82</v>
      </c>
      <c r="E9" s="348">
        <f>VAC_Optim_Scenario!F22</f>
        <v>76065.012406995462</v>
      </c>
      <c r="F9" s="344">
        <f>VAC_Optim_Scenario!G41</f>
        <v>17186128.903236553</v>
      </c>
      <c r="G9" s="213">
        <f t="shared" si="0"/>
        <v>6.010340528049098</v>
      </c>
      <c r="H9" s="214" t="e">
        <f>E9/#REF!</f>
        <v>#REF!</v>
      </c>
      <c r="I9" s="353">
        <f t="shared" si="1"/>
        <v>37.591880018375271</v>
      </c>
      <c r="J9" s="356">
        <f t="shared" si="2"/>
        <v>1.6365620005920036E-2</v>
      </c>
      <c r="K9" s="356">
        <f t="shared" si="3"/>
        <v>8.8374348031968197E-3</v>
      </c>
      <c r="L9" s="359">
        <f t="shared" ca="1" si="4"/>
        <v>3.5990133726234732</v>
      </c>
      <c r="M9"/>
      <c r="Q9" s="358" cm="1">
        <f t="array" aca="1" ref="Q9" ca="1">MAX(_xlfn._xlws.FILTER(INDIRECT("'"&amp;A9&amp;"'!"&amp;"A20:A42"),INDIRECT("'"&amp;A9&amp;"'!"&amp;"A20:A42")&lt;$D9))</f>
        <v>2750000</v>
      </c>
      <c r="R9" s="358" cm="1">
        <f t="array" aca="1" ref="R9" ca="1">MIN(_xlfn._xlws.FILTER(INDIRECT("'"&amp;A9&amp;"'!"&amp;"A20:A42"),INDIRECT("'"&amp;A9&amp;"'!"&amp;"A20:A42")&gt;=$D9))</f>
        <v>3000000</v>
      </c>
    </row>
    <row r="10" spans="1:18" x14ac:dyDescent="0.25">
      <c r="A10" s="99" t="s">
        <v>282</v>
      </c>
      <c r="B10" s="346" t="s">
        <v>228</v>
      </c>
      <c r="C10" s="347" t="str">
        <f>VAC_Optim_Scenario!B23</f>
        <v>HCC Paid Search</v>
      </c>
      <c r="D10" s="344">
        <f>VAC_Optim_Scenario!E23</f>
        <v>50000</v>
      </c>
      <c r="E10" s="348">
        <f>VAC_Optim_Scenario!F23</f>
        <v>30136.792938374307</v>
      </c>
      <c r="F10" s="344">
        <f>VAC_Optim_Scenario!G42</f>
        <v>6809106.9964962909</v>
      </c>
      <c r="G10" s="213">
        <f t="shared" si="0"/>
        <v>136.18213992992582</v>
      </c>
      <c r="H10" s="214" t="e">
        <f>E10/#REF!</f>
        <v>#REF!</v>
      </c>
      <c r="I10" s="353">
        <f t="shared" si="1"/>
        <v>1.6591015541117227</v>
      </c>
      <c r="J10" s="356">
        <f t="shared" si="2"/>
        <v>6.4840231509798512E-3</v>
      </c>
      <c r="K10" s="356">
        <f t="shared" si="3"/>
        <v>3.5013725015291199E-3</v>
      </c>
      <c r="L10" s="359">
        <f t="shared" ca="1" si="4"/>
        <v>84.028991834438983</v>
      </c>
      <c r="M10"/>
      <c r="Q10" s="358" cm="1">
        <f t="array" aca="1" ref="Q10" ca="1">MAX(_xlfn._xlws.FILTER(INDIRECT("'"&amp;A10&amp;"'!"&amp;"A20:A42"),INDIRECT("'"&amp;A10&amp;"'!"&amp;"A20:A42")&lt;$D10))</f>
        <v>0</v>
      </c>
      <c r="R10" s="358" cm="1">
        <f t="array" aca="1" ref="R10" ca="1">MIN(_xlfn._xlws.FILTER(INDIRECT("'"&amp;A10&amp;"'!"&amp;"A20:A42"),INDIRECT("'"&amp;A10&amp;"'!"&amp;"A20:A42")&gt;=$D10))</f>
        <v>250000</v>
      </c>
    </row>
    <row r="11" spans="1:18" x14ac:dyDescent="0.25">
      <c r="A11" s="99" t="s">
        <v>284</v>
      </c>
      <c r="B11" s="346" t="s">
        <v>228</v>
      </c>
      <c r="C11" s="347" t="str">
        <f>VAC_Optim_Scenario!B24</f>
        <v>HCC Linear TV</v>
      </c>
      <c r="D11" s="344">
        <f>VAC_Optim_Scenario!E24</f>
        <v>25810928.600000001</v>
      </c>
      <c r="E11" s="348">
        <f>VAC_Optim_Scenario!F24</f>
        <v>168508.00202805389</v>
      </c>
      <c r="F11" s="344">
        <f>VAC_Optim_Scenario!G43</f>
        <v>38072697.978218496</v>
      </c>
      <c r="G11" s="213">
        <f t="shared" si="0"/>
        <v>1.4750611482540188</v>
      </c>
      <c r="H11" s="214" t="e">
        <f>E11/#REF!</f>
        <v>#REF!</v>
      </c>
      <c r="I11" s="353">
        <f t="shared" si="1"/>
        <v>153.17331099625105</v>
      </c>
      <c r="J11" s="356">
        <f t="shared" si="2"/>
        <v>3.6255011888939259E-2</v>
      </c>
      <c r="K11" s="356">
        <f t="shared" si="3"/>
        <v>1.9577706420027201E-2</v>
      </c>
      <c r="L11" s="359">
        <f t="shared" ca="1" si="4"/>
        <v>1.0273854514533429</v>
      </c>
      <c r="M11"/>
      <c r="Q11" s="358" cm="1">
        <f t="array" aca="1" ref="Q11" ca="1">MAX(_xlfn._xlws.FILTER(INDIRECT("'"&amp;A11&amp;"'!"&amp;"A20:A42"),INDIRECT("'"&amp;A11&amp;"'!"&amp;"A20:A42")&lt;$D11))</f>
        <v>25500000</v>
      </c>
      <c r="R11" s="358" cm="1">
        <f t="array" aca="1" ref="R11" ca="1">MIN(_xlfn._xlws.FILTER(INDIRECT("'"&amp;A11&amp;"'!"&amp;"A20:A42"),INDIRECT("'"&amp;A11&amp;"'!"&amp;"A20:A42")&gt;=$D11))</f>
        <v>27000000</v>
      </c>
    </row>
    <row r="12" spans="1:18" x14ac:dyDescent="0.25">
      <c r="A12" s="99" t="s">
        <v>283</v>
      </c>
      <c r="B12" s="346" t="s">
        <v>228</v>
      </c>
      <c r="C12" s="347" t="str">
        <f>VAC_Optim_Scenario!B25</f>
        <v>HCC Radio</v>
      </c>
      <c r="D12" s="344">
        <f>VAC_Optim_Scenario!E25</f>
        <v>923975</v>
      </c>
      <c r="E12" s="348">
        <f>VAC_Optim_Scenario!F25</f>
        <v>26581.559263521289</v>
      </c>
      <c r="F12" s="344">
        <f>VAC_Optim_Scenario!G44</f>
        <v>6005837.5</v>
      </c>
      <c r="G12" s="213">
        <f t="shared" si="0"/>
        <v>6.5</v>
      </c>
      <c r="H12" s="214"/>
      <c r="I12" s="353">
        <f t="shared" si="1"/>
        <v>34.76</v>
      </c>
      <c r="J12" s="356">
        <f t="shared" ref="J12:J13" si="5">E12/N$3</f>
        <v>5.7191037548772593E-3</v>
      </c>
      <c r="K12" s="356">
        <f t="shared" ref="K12:K13" si="6">J12*0.54</f>
        <v>3.0883160276337202E-3</v>
      </c>
      <c r="L12" s="359">
        <f t="shared" ca="1" si="4"/>
        <v>2.6952193392368331</v>
      </c>
      <c r="M12"/>
      <c r="Q12" s="358" cm="1">
        <f t="array" aca="1" ref="Q12" ca="1">MAX(_xlfn._xlws.FILTER(INDIRECT("'"&amp;A12&amp;"'!"&amp;"A20:A42"),INDIRECT("'"&amp;A12&amp;"'!"&amp;"A20:A42")&lt;$D12))</f>
        <v>750000</v>
      </c>
      <c r="R12" s="358" cm="1">
        <f t="array" aca="1" ref="R12" ca="1">MIN(_xlfn._xlws.FILTER(INDIRECT("'"&amp;A12&amp;"'!"&amp;"A20:A42"),INDIRECT("'"&amp;A12&amp;"'!"&amp;"A20:A42")&gt;=$D12))</f>
        <v>1000000</v>
      </c>
    </row>
    <row r="13" spans="1:18" x14ac:dyDescent="0.25">
      <c r="A13" s="99" t="s">
        <v>285</v>
      </c>
      <c r="B13" s="346" t="s">
        <v>228</v>
      </c>
      <c r="C13" s="347" t="str">
        <f>VAC_Optim_Scenario!B26</f>
        <v>HCC Pharmacy</v>
      </c>
      <c r="D13" s="344">
        <f>VAC_Optim_Scenario!E26</f>
        <v>2411968</v>
      </c>
      <c r="E13" s="348">
        <f>VAC_Optim_Scenario!F26</f>
        <v>18205.929821531288</v>
      </c>
      <c r="F13" s="344">
        <f>VAC_Optim_Scenario!G45</f>
        <v>4113447.783876779</v>
      </c>
      <c r="G13" s="213">
        <f t="shared" si="0"/>
        <v>1.7054321549360436</v>
      </c>
      <c r="H13" s="214"/>
      <c r="I13" s="353">
        <f t="shared" si="1"/>
        <v>132.48254956731077</v>
      </c>
      <c r="J13" s="356">
        <f t="shared" si="5"/>
        <v>3.9170614699883619E-3</v>
      </c>
      <c r="K13" s="356">
        <f t="shared" si="6"/>
        <v>2.1152131937937158E-3</v>
      </c>
      <c r="L13" s="359">
        <f ca="1">(VLOOKUP($Q13,INDIRECT("'"&amp;A13&amp;"'!"&amp;"A20:E42"),5,0)-VLOOKUP($R13,INDIRECT("'"&amp;A13&amp;"'!"&amp;"A20:E42"),5,0))/(Q13-R13)</f>
        <v>1.2851107311617118</v>
      </c>
      <c r="M13"/>
      <c r="Q13" s="358" cm="1">
        <f t="array" aca="1" ref="Q13" ca="1">MAX(_xlfn._xlws.FILTER(INDIRECT("'"&amp;A13&amp;"'!"&amp;"A20:A42"),INDIRECT("'"&amp;A13&amp;"'!"&amp;"A20:A42")&lt;$D13))</f>
        <v>2400000</v>
      </c>
      <c r="R13" s="358" cm="1">
        <f t="array" aca="1" ref="R13" ca="1">MIN(_xlfn._xlws.FILTER(INDIRECT("'"&amp;A13&amp;"'!"&amp;"A20:A42"),INDIRECT("'"&amp;A13&amp;"'!"&amp;"A20:A42")&gt;=$D13))</f>
        <v>2600000</v>
      </c>
    </row>
    <row r="14" spans="1:18" x14ac:dyDescent="0.25">
      <c r="B14" s="349" t="s">
        <v>154</v>
      </c>
      <c r="C14" s="350" t="s">
        <v>211</v>
      </c>
      <c r="D14" s="351">
        <f>SUM(D4:D13)</f>
        <v>59976092.18</v>
      </c>
      <c r="E14" s="352">
        <f>SUM(E4:E13)</f>
        <v>761479.22554221447</v>
      </c>
      <c r="F14" s="351">
        <f>SUM(F4:F13)</f>
        <v>172048616.21900794</v>
      </c>
      <c r="G14" s="280">
        <f>F14/D14</f>
        <v>2.8686199778181005</v>
      </c>
      <c r="H14" s="215" t="e">
        <f>SUM(H4:H11)</f>
        <v>#REF!</v>
      </c>
      <c r="I14" s="354">
        <f>D14/E14</f>
        <v>78.762611202286934</v>
      </c>
      <c r="J14" s="357">
        <f>SUM(J4:J13)</f>
        <v>0.16383458377612858</v>
      </c>
      <c r="K14" s="357">
        <f>SUM(K4:K13)</f>
        <v>8.8470675239109453E-2</v>
      </c>
      <c r="L14" s="281"/>
    </row>
    <row r="15" spans="1:18" x14ac:dyDescent="0.25">
      <c r="G15" s="216"/>
      <c r="H15" s="217"/>
    </row>
    <row r="17" spans="5:6" ht="38.25" x14ac:dyDescent="0.25">
      <c r="E17" s="207" t="s">
        <v>3</v>
      </c>
      <c r="F17" s="208" t="s">
        <v>286</v>
      </c>
    </row>
    <row r="18" spans="5:6" x14ac:dyDescent="0.25">
      <c r="E18" s="209" t="s">
        <v>210</v>
      </c>
      <c r="F18" s="250">
        <f t="shared" ref="F18:F27" si="7">VLOOKUP(E18,$C$4:$I$13,7,0)</f>
        <v>1.6591015541117227</v>
      </c>
    </row>
    <row r="19" spans="5:6" x14ac:dyDescent="0.25">
      <c r="E19" s="209" t="s">
        <v>177</v>
      </c>
      <c r="F19" s="250">
        <f t="shared" si="7"/>
        <v>34.76</v>
      </c>
    </row>
    <row r="20" spans="5:6" x14ac:dyDescent="0.25">
      <c r="E20" s="212" t="s">
        <v>207</v>
      </c>
      <c r="F20" s="250">
        <f t="shared" si="7"/>
        <v>36.428388680927966</v>
      </c>
    </row>
    <row r="21" spans="5:6" x14ac:dyDescent="0.25">
      <c r="E21" s="212" t="s">
        <v>209</v>
      </c>
      <c r="F21" s="250">
        <f t="shared" si="7"/>
        <v>37.591880018375271</v>
      </c>
    </row>
    <row r="22" spans="5:6" x14ac:dyDescent="0.25">
      <c r="E22" s="212" t="s">
        <v>224</v>
      </c>
      <c r="F22" s="250">
        <f t="shared" si="7"/>
        <v>51.361310945524473</v>
      </c>
    </row>
    <row r="23" spans="5:6" x14ac:dyDescent="0.25">
      <c r="E23" s="212" t="s">
        <v>208</v>
      </c>
      <c r="F23" s="250">
        <f t="shared" si="7"/>
        <v>73.508410329953804</v>
      </c>
    </row>
    <row r="24" spans="5:6" x14ac:dyDescent="0.25">
      <c r="E24" s="212" t="s">
        <v>226</v>
      </c>
      <c r="F24" s="250">
        <f t="shared" si="7"/>
        <v>133.10979937785092</v>
      </c>
    </row>
    <row r="25" spans="5:6" x14ac:dyDescent="0.25">
      <c r="E25" s="212" t="s">
        <v>266</v>
      </c>
      <c r="F25" s="250">
        <f t="shared" si="7"/>
        <v>132.48254956731077</v>
      </c>
    </row>
    <row r="26" spans="5:6" x14ac:dyDescent="0.25">
      <c r="E26" s="212" t="s">
        <v>231</v>
      </c>
      <c r="F26" s="250">
        <f t="shared" si="7"/>
        <v>154.00794550765286</v>
      </c>
    </row>
    <row r="27" spans="5:6" x14ac:dyDescent="0.25">
      <c r="E27" s="212" t="s">
        <v>232</v>
      </c>
      <c r="F27" s="250">
        <f t="shared" si="7"/>
        <v>153.17331099625105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L6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56"/>
  <sheetViews>
    <sheetView zoomScaleNormal="100" workbookViewId="0">
      <selection activeCell="G9" sqref="G9"/>
    </sheetView>
  </sheetViews>
  <sheetFormatPr defaultColWidth="8.85546875" defaultRowHeight="15" x14ac:dyDescent="0.25"/>
  <cols>
    <col min="1" max="1" width="4.5703125" style="99" customWidth="1"/>
    <col min="2" max="2" width="12.140625" style="99" customWidth="1"/>
    <col min="3" max="3" width="13.7109375" style="99" bestFit="1" customWidth="1"/>
    <col min="4" max="4" width="12.140625" style="99" customWidth="1"/>
    <col min="5" max="5" width="16.5703125" style="99" bestFit="1" customWidth="1"/>
    <col min="6" max="6" width="13.7109375" style="99" bestFit="1" customWidth="1"/>
    <col min="7" max="7" width="18.85546875" style="99" customWidth="1"/>
    <col min="8" max="8" width="21.85546875" style="99" customWidth="1"/>
    <col min="9" max="9" width="14.42578125" style="99" bestFit="1" customWidth="1"/>
    <col min="10" max="10" width="14.42578125" style="99" customWidth="1"/>
    <col min="11" max="11" width="17.42578125" style="99" customWidth="1"/>
    <col min="12" max="15" width="12.140625" style="99" customWidth="1"/>
    <col min="16" max="16" width="11.85546875" style="99" bestFit="1" customWidth="1"/>
    <col min="17" max="17" width="0.5703125" style="99" customWidth="1"/>
    <col min="18" max="18" width="11.140625" style="99" bestFit="1" customWidth="1"/>
    <col min="19" max="19" width="8.85546875" style="99"/>
    <col min="20" max="20" width="11.85546875" style="99" bestFit="1" customWidth="1"/>
    <col min="21" max="16384" width="8.85546875" style="99"/>
  </cols>
  <sheetData>
    <row r="3" spans="2:13" x14ac:dyDescent="0.25">
      <c r="G3" s="160"/>
    </row>
    <row r="4" spans="2:13" ht="34.35" customHeight="1" x14ac:dyDescent="0.25">
      <c r="G4" s="367" t="s">
        <v>185</v>
      </c>
      <c r="H4" s="367"/>
      <c r="I4" s="368" t="s">
        <v>186</v>
      </c>
      <c r="J4" s="368"/>
      <c r="K4" s="369" t="s">
        <v>187</v>
      </c>
      <c r="L4" s="369"/>
    </row>
    <row r="5" spans="2:13" ht="38.85" customHeight="1" x14ac:dyDescent="0.25">
      <c r="B5" s="173"/>
      <c r="C5" s="249" t="s">
        <v>188</v>
      </c>
      <c r="D5" s="249" t="s">
        <v>189</v>
      </c>
      <c r="E5" s="158" t="s">
        <v>190</v>
      </c>
      <c r="F5" s="249" t="s">
        <v>268</v>
      </c>
      <c r="G5" s="271" t="s">
        <v>241</v>
      </c>
      <c r="H5" s="271"/>
      <c r="I5" s="271" t="s">
        <v>241</v>
      </c>
      <c r="J5" s="271"/>
      <c r="K5" s="271" t="s">
        <v>241</v>
      </c>
      <c r="L5" s="271"/>
      <c r="M5" s="272"/>
    </row>
    <row r="6" spans="2:13" ht="15" customHeight="1" x14ac:dyDescent="0.25">
      <c r="B6" s="173"/>
      <c r="C6" s="160">
        <f>$C$8+E6</f>
        <v>119952184.36</v>
      </c>
      <c r="D6" s="161">
        <v>1</v>
      </c>
      <c r="E6" s="162">
        <f>D6*$C$8</f>
        <v>59976092.18</v>
      </c>
      <c r="F6" s="249"/>
      <c r="G6" s="160">
        <f>'Scenario deep dive_dz'!P17</f>
        <v>281633295.42993921</v>
      </c>
      <c r="H6" s="271"/>
      <c r="I6" s="160">
        <f t="shared" ref="I6:J8" si="0">G6-$F$8</f>
        <v>109584679.21093127</v>
      </c>
      <c r="J6" s="160">
        <f t="shared" si="0"/>
        <v>-172048616.21900794</v>
      </c>
      <c r="K6" s="163">
        <f t="shared" ref="K6" si="1">G6/$C6</f>
        <v>2.3478796733263527</v>
      </c>
      <c r="L6" s="163">
        <f t="shared" ref="L6" si="2">H6/$C6</f>
        <v>0</v>
      </c>
      <c r="M6" s="272"/>
    </row>
    <row r="7" spans="2:13" ht="15" customHeight="1" x14ac:dyDescent="0.25">
      <c r="B7" s="173"/>
      <c r="C7" s="160">
        <f>$C$8+E7</f>
        <v>89964138.269999996</v>
      </c>
      <c r="D7" s="161">
        <v>0.5</v>
      </c>
      <c r="E7" s="162">
        <f>D7*$C$8</f>
        <v>29988046.09</v>
      </c>
      <c r="F7" s="249"/>
      <c r="G7" s="160">
        <f>'Scenario deep dive_dz'!L17</f>
        <v>253213979.1862343</v>
      </c>
      <c r="H7" s="271"/>
      <c r="I7" s="160">
        <f t="shared" si="0"/>
        <v>81165362.967226356</v>
      </c>
      <c r="J7" s="160">
        <f t="shared" si="0"/>
        <v>-172048616.21900794</v>
      </c>
      <c r="K7" s="163">
        <f t="shared" ref="K7:L8" si="3">G7/$C7</f>
        <v>2.8146101775163963</v>
      </c>
      <c r="L7" s="163">
        <f t="shared" si="3"/>
        <v>0</v>
      </c>
      <c r="M7" s="272"/>
    </row>
    <row r="8" spans="2:13" x14ac:dyDescent="0.25">
      <c r="B8" s="164">
        <f>F8/C8</f>
        <v>2.8686199778181005</v>
      </c>
      <c r="C8" s="160">
        <f>'Scenario deep dive_dz'!C17</f>
        <v>59976092.18</v>
      </c>
      <c r="D8" s="161">
        <v>0</v>
      </c>
      <c r="E8" s="162">
        <f>D8*$C$8</f>
        <v>0</v>
      </c>
      <c r="F8" s="160">
        <f>'Scenario deep dive_dz'!D17</f>
        <v>172048616.21900794</v>
      </c>
      <c r="G8" s="160">
        <f>'Scenario deep dive_dz'!H17</f>
        <v>189295907.16269636</v>
      </c>
      <c r="H8" s="160"/>
      <c r="I8" s="160">
        <f t="shared" si="0"/>
        <v>17247290.943688422</v>
      </c>
      <c r="J8" s="160">
        <f t="shared" si="0"/>
        <v>-172048616.21900794</v>
      </c>
      <c r="K8" s="163">
        <f t="shared" si="3"/>
        <v>3.1561894128510786</v>
      </c>
      <c r="L8" s="163">
        <f t="shared" si="3"/>
        <v>0</v>
      </c>
    </row>
    <row r="9" spans="2:13" x14ac:dyDescent="0.25">
      <c r="D9" s="165"/>
      <c r="E9" s="165"/>
    </row>
    <row r="10" spans="2:13" x14ac:dyDescent="0.25">
      <c r="F10" s="370" t="s">
        <v>191</v>
      </c>
      <c r="G10" s="370"/>
      <c r="H10" s="370" t="s">
        <v>192</v>
      </c>
      <c r="I10" s="370"/>
    </row>
    <row r="11" spans="2:13" ht="30" x14ac:dyDescent="0.25">
      <c r="C11" s="157" t="s">
        <v>188</v>
      </c>
      <c r="D11" s="157" t="s">
        <v>189</v>
      </c>
      <c r="E11" s="99" t="s">
        <v>193</v>
      </c>
      <c r="F11" s="271" t="s">
        <v>241</v>
      </c>
      <c r="G11" s="159"/>
      <c r="H11" s="271" t="s">
        <v>241</v>
      </c>
      <c r="I11" s="159"/>
    </row>
    <row r="12" spans="2:13" x14ac:dyDescent="0.25">
      <c r="C12" s="166">
        <f t="shared" ref="C12:D14" si="4">C6</f>
        <v>119952184.36</v>
      </c>
      <c r="D12" s="167">
        <f t="shared" si="4"/>
        <v>1</v>
      </c>
      <c r="E12" s="166">
        <f>C12-C13</f>
        <v>29988046.090000004</v>
      </c>
      <c r="F12" s="168">
        <f>G6-G7</f>
        <v>28419316.243704915</v>
      </c>
      <c r="G12" s="159"/>
      <c r="H12" s="163">
        <f t="shared" ref="H12:I13" si="5">F12/$E12</f>
        <v>0.94768816075622186</v>
      </c>
      <c r="I12" s="163">
        <f t="shared" si="5"/>
        <v>0</v>
      </c>
    </row>
    <row r="13" spans="2:13" x14ac:dyDescent="0.25">
      <c r="C13" s="166">
        <f t="shared" si="4"/>
        <v>89964138.269999996</v>
      </c>
      <c r="D13" s="167">
        <f t="shared" si="4"/>
        <v>0.5</v>
      </c>
      <c r="E13" s="166">
        <f>C13-C14</f>
        <v>29988046.089999996</v>
      </c>
      <c r="F13" s="168">
        <f>G7-G8</f>
        <v>63918072.023537934</v>
      </c>
      <c r="G13" s="168">
        <f>H7-H8</f>
        <v>0</v>
      </c>
      <c r="H13" s="163">
        <f t="shared" si="5"/>
        <v>2.1314517068470313</v>
      </c>
      <c r="I13" s="163">
        <f t="shared" si="5"/>
        <v>0</v>
      </c>
    </row>
    <row r="14" spans="2:13" x14ac:dyDescent="0.25">
      <c r="C14" s="166">
        <f t="shared" si="4"/>
        <v>59976092.18</v>
      </c>
      <c r="D14" s="167">
        <f t="shared" si="4"/>
        <v>0</v>
      </c>
      <c r="E14" s="166"/>
      <c r="F14" s="168"/>
      <c r="G14" s="168"/>
      <c r="H14" s="163"/>
      <c r="I14" s="163"/>
    </row>
    <row r="49" spans="21:22" x14ac:dyDescent="0.25">
      <c r="U49" s="169"/>
      <c r="V49" s="169"/>
    </row>
    <row r="50" spans="21:22" x14ac:dyDescent="0.25">
      <c r="U50" s="169"/>
      <c r="V50" s="169"/>
    </row>
    <row r="51" spans="21:22" x14ac:dyDescent="0.25">
      <c r="U51" s="169"/>
      <c r="V51" s="169"/>
    </row>
    <row r="52" spans="21:22" x14ac:dyDescent="0.25">
      <c r="U52" s="169"/>
      <c r="V52" s="169"/>
    </row>
    <row r="53" spans="21:22" x14ac:dyDescent="0.25">
      <c r="U53" s="169"/>
      <c r="V53" s="169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B3:U76"/>
  <sheetViews>
    <sheetView showGridLines="0" topLeftCell="A19" zoomScale="75" zoomScaleNormal="75" workbookViewId="0">
      <selection activeCell="J36" sqref="J36"/>
    </sheetView>
  </sheetViews>
  <sheetFormatPr defaultColWidth="8.85546875" defaultRowHeight="15" x14ac:dyDescent="0.25"/>
  <cols>
    <col min="1" max="1" width="4" style="99" customWidth="1"/>
    <col min="2" max="2" width="38.85546875" style="99" customWidth="1"/>
    <col min="3" max="3" width="17.85546875" style="99" customWidth="1"/>
    <col min="4" max="4" width="14.85546875" style="99" bestFit="1" customWidth="1"/>
    <col min="5" max="5" width="0.42578125" style="99" customWidth="1"/>
    <col min="6" max="6" width="14.42578125" style="99" customWidth="1"/>
    <col min="7" max="7" width="13" style="99" bestFit="1" customWidth="1"/>
    <col min="8" max="8" width="13.85546875" style="99" customWidth="1"/>
    <col min="9" max="9" width="0.42578125" style="99" customWidth="1"/>
    <col min="10" max="10" width="13.5703125" style="99" bestFit="1" customWidth="1"/>
    <col min="11" max="11" width="12.140625" style="99" bestFit="1" customWidth="1"/>
    <col min="12" max="12" width="14.85546875" style="99" bestFit="1" customWidth="1"/>
    <col min="13" max="13" width="0.5703125" style="99" customWidth="1"/>
    <col min="14" max="16" width="14.85546875" style="99" customWidth="1"/>
    <col min="17" max="17" width="8.85546875" style="99"/>
    <col min="18" max="18" width="17.85546875" style="99" bestFit="1" customWidth="1"/>
    <col min="19" max="19" width="16.85546875" style="99" bestFit="1" customWidth="1"/>
    <col min="20" max="20" width="14.85546875" style="99" bestFit="1" customWidth="1"/>
    <col min="21" max="21" width="14.5703125" style="99" bestFit="1" customWidth="1"/>
    <col min="22" max="16384" width="8.85546875" style="99"/>
  </cols>
  <sheetData>
    <row r="3" spans="2:20" x14ac:dyDescent="0.25">
      <c r="B3" s="170">
        <f>SUM(C9:C13)</f>
        <v>19190781.859999999</v>
      </c>
      <c r="C3" s="170">
        <f>SUM(D9:D13)</f>
        <v>57044601.457935914</v>
      </c>
    </row>
    <row r="4" spans="2:20" x14ac:dyDescent="0.25">
      <c r="F4" s="374" t="s">
        <v>293</v>
      </c>
      <c r="G4" s="374"/>
      <c r="H4" s="374"/>
      <c r="I4" s="374"/>
      <c r="J4" s="374"/>
      <c r="K4" s="374"/>
      <c r="L4" s="374"/>
      <c r="M4" s="374"/>
      <c r="N4" s="374"/>
      <c r="O4" s="374"/>
      <c r="P4" s="374"/>
    </row>
    <row r="5" spans="2:20" x14ac:dyDescent="0.25">
      <c r="F5" s="371" t="s">
        <v>287</v>
      </c>
      <c r="G5" s="372"/>
      <c r="H5" s="373"/>
      <c r="I5" s="171"/>
      <c r="J5" s="371" t="s">
        <v>288</v>
      </c>
      <c r="K5" s="372"/>
      <c r="L5" s="373"/>
      <c r="M5" s="171"/>
      <c r="N5" s="371" t="s">
        <v>289</v>
      </c>
      <c r="O5" s="372"/>
      <c r="P5" s="373"/>
      <c r="R5" s="99" t="s">
        <v>227</v>
      </c>
    </row>
    <row r="6" spans="2:20" ht="38.1" customHeight="1" x14ac:dyDescent="0.25">
      <c r="B6" s="172" t="s">
        <v>194</v>
      </c>
      <c r="C6" s="99" t="s">
        <v>195</v>
      </c>
      <c r="D6" s="173" t="s">
        <v>196</v>
      </c>
      <c r="E6" s="173"/>
      <c r="F6" s="173" t="s">
        <v>203</v>
      </c>
      <c r="G6" s="173" t="s">
        <v>197</v>
      </c>
      <c r="H6" s="173" t="s">
        <v>198</v>
      </c>
      <c r="I6" s="173"/>
      <c r="J6" s="173" t="s">
        <v>203</v>
      </c>
      <c r="K6" s="173" t="s">
        <v>197</v>
      </c>
      <c r="L6" s="173" t="s">
        <v>198</v>
      </c>
      <c r="M6" s="173"/>
      <c r="N6" s="173" t="s">
        <v>203</v>
      </c>
      <c r="O6" s="173" t="s">
        <v>197</v>
      </c>
      <c r="P6" s="173" t="s">
        <v>198</v>
      </c>
      <c r="R6" s="173" t="s">
        <v>203</v>
      </c>
      <c r="S6" s="173" t="s">
        <v>197</v>
      </c>
      <c r="T6" s="173" t="s">
        <v>198</v>
      </c>
    </row>
    <row r="7" spans="2:20" x14ac:dyDescent="0.25">
      <c r="B7" s="174" t="str">
        <f>VAC_Optim_Scenario!B17</f>
        <v>HCC InOffice</v>
      </c>
      <c r="C7" s="175">
        <f>VAC_Optim_Scenario!E17</f>
        <v>1134710</v>
      </c>
      <c r="D7" s="175">
        <f>VAC_Optim_Scenario!G36</f>
        <v>1664695.7827721967</v>
      </c>
      <c r="E7" s="175"/>
      <c r="F7" s="175">
        <v>900000.00002511172</v>
      </c>
      <c r="G7" s="167">
        <v>-0.20684580198895602</v>
      </c>
      <c r="H7" s="175">
        <v>1410431.7445478956</v>
      </c>
      <c r="I7" s="175"/>
      <c r="J7" s="175">
        <v>1037376.7288241227</v>
      </c>
      <c r="K7" s="167">
        <v>-8.5778102930155989E-2</v>
      </c>
      <c r="L7" s="175">
        <v>1563791.5633253332</v>
      </c>
      <c r="M7" s="175"/>
      <c r="N7" s="175">
        <v>1390507.6046570167</v>
      </c>
      <c r="O7" s="167">
        <v>0.22542993774357914</v>
      </c>
      <c r="P7" s="175">
        <v>1902194.0287055024</v>
      </c>
      <c r="R7" s="175">
        <f>VAC_Optim_Scenario!$H36</f>
        <v>900000</v>
      </c>
      <c r="S7" s="167">
        <f>IFERROR((R7-$C7)/$C7,"")</f>
        <v>-0.20684580201108654</v>
      </c>
      <c r="T7" s="175">
        <f>VAC_Optim_Scenario!$J36</f>
        <v>1410431.7445188572</v>
      </c>
    </row>
    <row r="8" spans="2:20" x14ac:dyDescent="0.25">
      <c r="B8" s="174" t="str">
        <f>VAC_Optim_Scenario!B18</f>
        <v>HCP MCM</v>
      </c>
      <c r="C8" s="175">
        <f>VAC_Optim_Scenario!E18</f>
        <v>10503728.719999999</v>
      </c>
      <c r="D8" s="175">
        <f>VAC_Optim_Scenario!G37</f>
        <v>65147335.716204539</v>
      </c>
      <c r="E8" s="175"/>
      <c r="F8" s="175">
        <v>12686881.312189659</v>
      </c>
      <c r="G8" s="167">
        <v>0.20784548519734242</v>
      </c>
      <c r="H8" s="175">
        <v>75313402.390495896</v>
      </c>
      <c r="I8" s="175"/>
      <c r="J8" s="175">
        <v>21000000</v>
      </c>
      <c r="K8" s="167">
        <v>0.99929001974453147</v>
      </c>
      <c r="L8" s="175">
        <v>105724786.72171538</v>
      </c>
      <c r="M8" s="175"/>
      <c r="N8" s="175">
        <v>21000000</v>
      </c>
      <c r="O8" s="167">
        <v>0.99929001974453147</v>
      </c>
      <c r="P8" s="175">
        <v>105724786.72171538</v>
      </c>
      <c r="R8" s="175">
        <f>VAC_Optim_Scenario!$H37</f>
        <v>12686881.296687946</v>
      </c>
      <c r="S8" s="167">
        <f t="shared" ref="S8:S16" si="0">IFERROR((R8-$C8)/$C8,"")</f>
        <v>0.20784548372151287</v>
      </c>
      <c r="T8" s="175">
        <f>VAC_Optim_Scenario!$J37</f>
        <v>75313402.321879268</v>
      </c>
    </row>
    <row r="9" spans="2:20" x14ac:dyDescent="0.25">
      <c r="B9" s="174" t="str">
        <f>VAC_Optim_Scenario!B19</f>
        <v>HCC Social</v>
      </c>
      <c r="C9" s="175">
        <f>VAC_Optim_Scenario!E19</f>
        <v>1751000</v>
      </c>
      <c r="D9" s="175">
        <f>VAC_Optim_Scenario!G38</f>
        <v>5381981.983070978</v>
      </c>
      <c r="E9" s="175"/>
      <c r="F9" s="175">
        <v>1800000.0001004473</v>
      </c>
      <c r="G9" s="167">
        <v>2.7984009195001332E-2</v>
      </c>
      <c r="H9" s="175">
        <v>5471848.380336565</v>
      </c>
      <c r="I9" s="175"/>
      <c r="J9" s="175">
        <v>6976732.5520304684</v>
      </c>
      <c r="K9" s="167">
        <v>2.9844274997318494</v>
      </c>
      <c r="L9" s="175">
        <v>12335643.133566147</v>
      </c>
      <c r="M9" s="175"/>
      <c r="N9" s="175">
        <v>6999999.9999999991</v>
      </c>
      <c r="O9" s="167">
        <v>2.9977155910908047</v>
      </c>
      <c r="P9" s="175">
        <v>12360310.36465143</v>
      </c>
      <c r="R9" s="175">
        <f>VAC_Optim_Scenario!$H38</f>
        <v>1800000</v>
      </c>
      <c r="S9" s="167">
        <f t="shared" si="0"/>
        <v>2.7984009137635636E-2</v>
      </c>
      <c r="T9" s="175">
        <f>VAC_Optim_Scenario!$J38</f>
        <v>5471848.3801533533</v>
      </c>
    </row>
    <row r="10" spans="2:20" x14ac:dyDescent="0.25">
      <c r="B10" s="174" t="str">
        <f>VAC_Optim_Scenario!B20</f>
        <v>HCC Online Video</v>
      </c>
      <c r="C10" s="175">
        <f>VAC_Optim_Scenario!E20</f>
        <v>1111779.04</v>
      </c>
      <c r="D10" s="175">
        <f>VAC_Optim_Scenario!G39</f>
        <v>4890750.4826741321</v>
      </c>
      <c r="E10" s="175"/>
      <c r="F10" s="175">
        <v>1100000.0000375127</v>
      </c>
      <c r="G10" s="167">
        <v>-1.0594767070340969E-2</v>
      </c>
      <c r="H10" s="175">
        <v>4854627.7205294687</v>
      </c>
      <c r="I10" s="175"/>
      <c r="J10" s="175">
        <v>2798961.0799193801</v>
      </c>
      <c r="K10" s="167">
        <v>1.5175515810402218</v>
      </c>
      <c r="L10" s="175">
        <v>8080175.5814319989</v>
      </c>
      <c r="M10" s="175"/>
      <c r="N10" s="175">
        <v>3150314.7290721308</v>
      </c>
      <c r="O10" s="167">
        <v>1.8335798892845927</v>
      </c>
      <c r="P10" s="175">
        <v>8416442.3296592981</v>
      </c>
      <c r="R10" s="175">
        <f>VAC_Optim_Scenario!$H39</f>
        <v>1100000</v>
      </c>
      <c r="S10" s="167">
        <f t="shared" si="0"/>
        <v>-1.0594767104082154E-2</v>
      </c>
      <c r="T10" s="175">
        <f>VAC_Optim_Scenario!$J39</f>
        <v>4854627.720414157</v>
      </c>
    </row>
    <row r="11" spans="2:20" x14ac:dyDescent="0.25">
      <c r="B11" s="174" t="str">
        <f>VAC_Optim_Scenario!B21</f>
        <v>HCC Streaming Video</v>
      </c>
      <c r="C11" s="175">
        <f>VAC_Optim_Scenario!E21</f>
        <v>13418576</v>
      </c>
      <c r="D11" s="175">
        <f>VAC_Optim_Scenario!G40</f>
        <v>22776633.092457965</v>
      </c>
      <c r="E11" s="175"/>
      <c r="F11" s="175">
        <v>9400000.002739355</v>
      </c>
      <c r="G11" s="167">
        <v>-0.29947857337922035</v>
      </c>
      <c r="H11" s="175">
        <v>17753521.983034991</v>
      </c>
      <c r="I11" s="175"/>
      <c r="J11" s="175">
        <v>19296306.54932392</v>
      </c>
      <c r="K11" s="167">
        <v>0.43802938175585249</v>
      </c>
      <c r="L11" s="175">
        <v>29371556.207073115</v>
      </c>
      <c r="M11" s="175"/>
      <c r="N11" s="175">
        <v>27304858</v>
      </c>
      <c r="O11" s="167">
        <v>1.0348551142833635</v>
      </c>
      <c r="P11" s="175">
        <v>37450961.343053669</v>
      </c>
      <c r="R11" s="175">
        <f>VAC_Optim_Scenario!$H40</f>
        <v>9400000</v>
      </c>
      <c r="S11" s="167">
        <f t="shared" si="0"/>
        <v>-0.29947857358336682</v>
      </c>
      <c r="T11" s="175">
        <f>VAC_Optim_Scenario!$J40</f>
        <v>17753521.979413368</v>
      </c>
    </row>
    <row r="12" spans="2:20" x14ac:dyDescent="0.25">
      <c r="B12" s="174" t="str">
        <f>VAC_Optim_Scenario!B22</f>
        <v>HCC Display</v>
      </c>
      <c r="C12" s="175">
        <f>VAC_Optim_Scenario!E22</f>
        <v>2859426.82</v>
      </c>
      <c r="D12" s="175">
        <f>VAC_Optim_Scenario!G41</f>
        <v>17186128.903236553</v>
      </c>
      <c r="E12" s="175"/>
      <c r="F12" s="175">
        <v>2900000.0002607284</v>
      </c>
      <c r="G12" s="167">
        <v>1.4189270372979358E-2</v>
      </c>
      <c r="H12" s="175">
        <v>17332031.586185578</v>
      </c>
      <c r="I12" s="175"/>
      <c r="J12" s="175">
        <v>5000000</v>
      </c>
      <c r="K12" s="167">
        <v>0.7486021901410298</v>
      </c>
      <c r="L12" s="175">
        <v>24032152.746086098</v>
      </c>
      <c r="M12" s="175"/>
      <c r="N12" s="175">
        <v>5000000</v>
      </c>
      <c r="O12" s="167">
        <v>0.7486021901410298</v>
      </c>
      <c r="P12" s="175">
        <v>24032152.746086098</v>
      </c>
      <c r="R12" s="175">
        <f>VAC_Optim_Scenario!$H41</f>
        <v>2900000</v>
      </c>
      <c r="S12" s="167">
        <f t="shared" si="0"/>
        <v>1.4189270281797305E-2</v>
      </c>
      <c r="T12" s="175">
        <f>VAC_Optim_Scenario!$J41</f>
        <v>17332031.585250624</v>
      </c>
    </row>
    <row r="13" spans="2:20" x14ac:dyDescent="0.25">
      <c r="B13" s="174" t="str">
        <f>VAC_Optim_Scenario!B23</f>
        <v>HCC Paid Search</v>
      </c>
      <c r="C13" s="175">
        <f>VAC_Optim_Scenario!E23</f>
        <v>50000</v>
      </c>
      <c r="D13" s="175">
        <f>VAC_Optim_Scenario!G42</f>
        <v>6809106.9964962909</v>
      </c>
      <c r="E13" s="175"/>
      <c r="F13" s="175">
        <v>200000</v>
      </c>
      <c r="G13" s="167">
        <v>3</v>
      </c>
      <c r="H13" s="175">
        <v>17969341.094351832</v>
      </c>
      <c r="I13" s="175"/>
      <c r="J13" s="175">
        <v>200000</v>
      </c>
      <c r="K13" s="167">
        <v>3</v>
      </c>
      <c r="L13" s="175">
        <v>17969341.094351832</v>
      </c>
      <c r="M13" s="175"/>
      <c r="N13" s="175">
        <v>200000</v>
      </c>
      <c r="O13" s="167">
        <v>3</v>
      </c>
      <c r="P13" s="175">
        <v>17969341.094351832</v>
      </c>
      <c r="R13" s="175">
        <f>VAC_Optim_Scenario!$H42</f>
        <v>200000</v>
      </c>
      <c r="S13" s="167">
        <f t="shared" si="0"/>
        <v>3</v>
      </c>
      <c r="T13" s="175">
        <f>VAC_Optim_Scenario!$J42</f>
        <v>17969341.094351832</v>
      </c>
    </row>
    <row r="14" spans="2:20" x14ac:dyDescent="0.25">
      <c r="B14" s="174" t="str">
        <f>VAC_Optim_Scenario!B24</f>
        <v>HCC Linear TV</v>
      </c>
      <c r="C14" s="175">
        <f>VAC_Optim_Scenario!E24</f>
        <v>25810928.600000001</v>
      </c>
      <c r="D14" s="175">
        <f>VAC_Optim_Scenario!G43</f>
        <v>38072697.978218496</v>
      </c>
      <c r="E14" s="175"/>
      <c r="F14" s="175">
        <v>28089210.864460859</v>
      </c>
      <c r="G14" s="167">
        <v>8.8268124706712719E-2</v>
      </c>
      <c r="H14" s="175">
        <v>40395109.518515356</v>
      </c>
      <c r="I14" s="175"/>
      <c r="J14" s="175">
        <v>28089210.840000004</v>
      </c>
      <c r="K14" s="167">
        <v>8.8268123759018963E-2</v>
      </c>
      <c r="L14" s="175">
        <v>40395109.493891343</v>
      </c>
      <c r="M14" s="175"/>
      <c r="N14" s="175">
        <v>48283109.307284094</v>
      </c>
      <c r="O14" s="167">
        <v>0.87064595991653282</v>
      </c>
      <c r="P14" s="175">
        <v>59021164.492463633</v>
      </c>
      <c r="R14" s="175">
        <f>VAC_Optim_Scenario!$H43</f>
        <v>28089210.84</v>
      </c>
      <c r="S14" s="167">
        <f t="shared" si="0"/>
        <v>8.826812375901881E-2</v>
      </c>
      <c r="T14" s="175">
        <f>VAC_Optim_Scenario!$J43</f>
        <v>40395109.493891336</v>
      </c>
    </row>
    <row r="15" spans="2:20" x14ac:dyDescent="0.25">
      <c r="B15" s="174" t="str">
        <f>VAC_Optim_Scenario!B25</f>
        <v>HCC Radio</v>
      </c>
      <c r="C15" s="175">
        <f>VAC_Optim_Scenario!E25</f>
        <v>923975</v>
      </c>
      <c r="D15" s="175">
        <f>VAC_Optim_Scenario!G44</f>
        <v>6005837.5</v>
      </c>
      <c r="E15" s="175"/>
      <c r="F15" s="175">
        <v>500000.00000775058</v>
      </c>
      <c r="G15" s="167">
        <v>-0.45885981762737021</v>
      </c>
      <c r="H15" s="175">
        <v>4697832.0967480922</v>
      </c>
      <c r="I15" s="175"/>
      <c r="J15" s="175">
        <v>2200000</v>
      </c>
      <c r="K15" s="167">
        <v>1.3810168024026623</v>
      </c>
      <c r="L15" s="175">
        <v>8497253.2367697079</v>
      </c>
      <c r="M15" s="175"/>
      <c r="N15" s="175">
        <v>2200000</v>
      </c>
      <c r="O15" s="167">
        <v>1.3810168024026623</v>
      </c>
      <c r="P15" s="175">
        <v>8497253.2367697079</v>
      </c>
      <c r="R15" s="175">
        <f>VAC_Optim_Scenario!$H44</f>
        <v>500000.00000000006</v>
      </c>
      <c r="S15" s="167">
        <f t="shared" si="0"/>
        <v>-0.4588598176357585</v>
      </c>
      <c r="T15" s="175">
        <f>VAC_Optim_Scenario!$J44</f>
        <v>4697832.0967189642</v>
      </c>
    </row>
    <row r="16" spans="2:20" x14ac:dyDescent="0.25">
      <c r="B16" s="174" t="str">
        <f>VAC_Optim_Scenario!B26</f>
        <v>HCC Pharmacy</v>
      </c>
      <c r="C16" s="175">
        <f>VAC_Optim_Scenario!E26</f>
        <v>2411968</v>
      </c>
      <c r="D16" s="175">
        <f>VAC_Optim_Scenario!G45</f>
        <v>4113447.783876779</v>
      </c>
      <c r="E16" s="175"/>
      <c r="F16" s="175">
        <v>2400000.0001785727</v>
      </c>
      <c r="G16" s="167">
        <v>-4.9619231355587127E-3</v>
      </c>
      <c r="H16" s="175">
        <v>4097760.6479507051</v>
      </c>
      <c r="I16" s="175"/>
      <c r="J16" s="175">
        <v>3365550.4262129469</v>
      </c>
      <c r="K16" s="167">
        <v>0.39535450976669129</v>
      </c>
      <c r="L16" s="175">
        <v>5244169.4080233742</v>
      </c>
      <c r="M16" s="175"/>
      <c r="N16" s="175">
        <v>4423395.0018521426</v>
      </c>
      <c r="O16" s="167">
        <v>0.83393602313635284</v>
      </c>
      <c r="P16" s="175">
        <v>6258689.0724826297</v>
      </c>
      <c r="R16" s="175">
        <f>VAC_Optim_Scenario!$H45</f>
        <v>2400000</v>
      </c>
      <c r="S16" s="167">
        <f t="shared" si="0"/>
        <v>-4.9619232095948207E-3</v>
      </c>
      <c r="T16" s="175">
        <f>VAC_Optim_Scenario!$J45</f>
        <v>4097760.647716294</v>
      </c>
    </row>
    <row r="17" spans="2:21" ht="34.35" customHeight="1" x14ac:dyDescent="0.25">
      <c r="B17" s="176" t="s">
        <v>199</v>
      </c>
      <c r="C17" s="177">
        <f>SUM(C7:C16)</f>
        <v>59976092.18</v>
      </c>
      <c r="D17" s="177">
        <f>SUM(D7:D16)</f>
        <v>172048616.21900794</v>
      </c>
      <c r="E17" s="169"/>
      <c r="F17" s="177">
        <f>SUM(F7:F16)</f>
        <v>59976092.18</v>
      </c>
      <c r="G17" s="178">
        <f>(F17-$C$17)/$C$17</f>
        <v>0</v>
      </c>
      <c r="H17" s="177">
        <f>SUM(H7:H16)</f>
        <v>189295907.16269636</v>
      </c>
      <c r="I17" s="169"/>
      <c r="J17" s="177">
        <f>SUM(J7:J16)</f>
        <v>89964138.176310852</v>
      </c>
      <c r="K17" s="178">
        <f>(J17-$C$17)/$C$17</f>
        <v>0.49999999843789178</v>
      </c>
      <c r="L17" s="177">
        <f>SUM(L7:L16)</f>
        <v>253213979.1862343</v>
      </c>
      <c r="M17" s="177"/>
      <c r="N17" s="177">
        <f>SUM(N7:N16)</f>
        <v>119952184.64286537</v>
      </c>
      <c r="O17" s="178">
        <f>(N17-$C$17)/$C$17</f>
        <v>1.0000000047163022</v>
      </c>
      <c r="P17" s="177">
        <f>SUM(P7:P16)</f>
        <v>281633295.42993921</v>
      </c>
      <c r="R17" s="177">
        <f>SUM(R7:R16)</f>
        <v>59976092.136687949</v>
      </c>
      <c r="S17" s="178">
        <f>(R17-$C$17)/$C$17</f>
        <v>-7.2215525933527838E-10</v>
      </c>
      <c r="T17" s="177">
        <f>SUM(T7:T16)</f>
        <v>189295907.06430805</v>
      </c>
      <c r="U17" s="332">
        <f>T17/193.91</f>
        <v>976204.97686714481</v>
      </c>
    </row>
    <row r="18" spans="2:21" x14ac:dyDescent="0.25">
      <c r="D18" s="99">
        <f>D17/C17</f>
        <v>2.8686199778181005</v>
      </c>
    </row>
    <row r="20" spans="2:21" ht="26.85" customHeight="1" x14ac:dyDescent="0.25">
      <c r="F20" s="447" t="str">
        <f>F4</f>
        <v>Optimal channel spend allowed to vary based on custom constrains for the 2023 channel spend</v>
      </c>
      <c r="G20" s="448"/>
      <c r="H20" s="448"/>
      <c r="I20" s="448"/>
      <c r="J20" s="448"/>
      <c r="K20" s="448"/>
      <c r="L20" s="448"/>
      <c r="M20" s="448"/>
      <c r="N20" s="448"/>
      <c r="O20" s="448"/>
      <c r="P20" s="449"/>
    </row>
    <row r="21" spans="2:21" ht="30.2" customHeight="1" x14ac:dyDescent="0.25">
      <c r="C21" s="376" t="s">
        <v>267</v>
      </c>
      <c r="D21" s="377"/>
      <c r="E21" s="179"/>
      <c r="F21" s="371" t="str">
        <f>F5</f>
        <v>Current Optimal ($60MM)</v>
      </c>
      <c r="G21" s="372"/>
      <c r="H21" s="373"/>
      <c r="I21" s="180"/>
      <c r="J21" s="371" t="str">
        <f>J5</f>
        <v>50% increase optimal ($90M)</v>
      </c>
      <c r="K21" s="372"/>
      <c r="L21" s="373"/>
      <c r="M21" s="333"/>
      <c r="N21" s="375" t="str">
        <f>N5</f>
        <v>100% increase optimal ($120M)</v>
      </c>
      <c r="O21" s="375"/>
      <c r="P21" s="375"/>
    </row>
    <row r="22" spans="2:21" ht="30" x14ac:dyDescent="0.25">
      <c r="B22" s="172" t="s">
        <v>194</v>
      </c>
      <c r="C22" s="181" t="s">
        <v>200</v>
      </c>
      <c r="D22" s="182" t="s">
        <v>201</v>
      </c>
      <c r="E22" s="183"/>
      <c r="F22" s="204" t="s">
        <v>203</v>
      </c>
      <c r="G22" s="182" t="s">
        <v>197</v>
      </c>
      <c r="H22" s="184" t="s">
        <v>198</v>
      </c>
      <c r="I22" s="183"/>
      <c r="J22" s="204" t="s">
        <v>203</v>
      </c>
      <c r="K22" s="182" t="s">
        <v>197</v>
      </c>
      <c r="L22" s="184" t="s">
        <v>198</v>
      </c>
      <c r="M22" s="334"/>
      <c r="N22" s="204" t="s">
        <v>203</v>
      </c>
      <c r="O22" s="182" t="s">
        <v>197</v>
      </c>
      <c r="P22" s="184" t="s">
        <v>198</v>
      </c>
      <c r="Q22"/>
      <c r="R22"/>
      <c r="S22"/>
    </row>
    <row r="23" spans="2:21" x14ac:dyDescent="0.25">
      <c r="B23" s="174" t="str">
        <f t="shared" ref="B23:B32" si="1">B7</f>
        <v>HCC InOffice</v>
      </c>
      <c r="C23" s="185">
        <f t="shared" ref="C23:D30" si="2">C7/1000000</f>
        <v>1.1347100000000001</v>
      </c>
      <c r="D23" s="274">
        <f t="shared" si="2"/>
        <v>1.6646957827721967</v>
      </c>
      <c r="E23" s="187"/>
      <c r="F23" s="188">
        <f t="shared" ref="F23:F30" si="3">F7/1000000</f>
        <v>0.90000000002511171</v>
      </c>
      <c r="G23" s="189">
        <f t="shared" ref="G23:G30" si="4">IFERROR(G7,"")</f>
        <v>-0.20684580198895602</v>
      </c>
      <c r="H23" s="190">
        <f t="shared" ref="H23:H30" si="5">H7/1000000</f>
        <v>1.4104317445478955</v>
      </c>
      <c r="I23" s="187"/>
      <c r="J23" s="188">
        <f t="shared" ref="J23:J30" si="6">J7/1000000</f>
        <v>1.0373767288241227</v>
      </c>
      <c r="K23" s="189">
        <f t="shared" ref="K23:K30" si="7">K7</f>
        <v>-8.5778102930155989E-2</v>
      </c>
      <c r="L23" s="190">
        <f t="shared" ref="L23:L30" si="8">L7/1000000</f>
        <v>1.5637915633253332</v>
      </c>
      <c r="M23" s="335"/>
      <c r="N23" s="188">
        <f t="shared" ref="N23:N30" si="9">N7/1000000</f>
        <v>1.3905076046570166</v>
      </c>
      <c r="O23" s="189">
        <f t="shared" ref="O23:O30" si="10">O7</f>
        <v>0.22542993774357914</v>
      </c>
      <c r="P23" s="190">
        <f t="shared" ref="P23:P30" si="11">P7/1000000</f>
        <v>1.9021940287055024</v>
      </c>
      <c r="Q23"/>
      <c r="R23"/>
      <c r="S23"/>
      <c r="T23" s="332"/>
    </row>
    <row r="24" spans="2:21" x14ac:dyDescent="0.25">
      <c r="B24" s="174" t="str">
        <f t="shared" si="1"/>
        <v>HCP MCM</v>
      </c>
      <c r="C24" s="191">
        <f t="shared" si="2"/>
        <v>10.503728719999998</v>
      </c>
      <c r="D24" s="275">
        <f t="shared" si="2"/>
        <v>65.147335716204537</v>
      </c>
      <c r="E24" s="187"/>
      <c r="F24" s="192">
        <f t="shared" si="3"/>
        <v>12.686881312189659</v>
      </c>
      <c r="G24" s="193">
        <f t="shared" si="4"/>
        <v>0.20784548519734242</v>
      </c>
      <c r="H24" s="194">
        <f t="shared" si="5"/>
        <v>75.313402390495895</v>
      </c>
      <c r="I24" s="187"/>
      <c r="J24" s="192">
        <f t="shared" si="6"/>
        <v>21</v>
      </c>
      <c r="K24" s="189">
        <f t="shared" si="7"/>
        <v>0.99929001974453147</v>
      </c>
      <c r="L24" s="194">
        <f t="shared" si="8"/>
        <v>105.72478672171538</v>
      </c>
      <c r="M24" s="335"/>
      <c r="N24" s="192">
        <f t="shared" si="9"/>
        <v>21</v>
      </c>
      <c r="O24" s="189">
        <f t="shared" si="10"/>
        <v>0.99929001974453147</v>
      </c>
      <c r="P24" s="194">
        <f t="shared" si="11"/>
        <v>105.72478672171538</v>
      </c>
      <c r="Q24"/>
      <c r="R24"/>
      <c r="S24"/>
      <c r="T24" s="332"/>
    </row>
    <row r="25" spans="2:21" x14ac:dyDescent="0.25">
      <c r="B25" s="174" t="str">
        <f t="shared" si="1"/>
        <v>HCC Social</v>
      </c>
      <c r="C25" s="191">
        <f t="shared" si="2"/>
        <v>1.7509999999999999</v>
      </c>
      <c r="D25" s="275">
        <f t="shared" si="2"/>
        <v>5.3819819830709781</v>
      </c>
      <c r="E25" s="187"/>
      <c r="F25" s="192">
        <f t="shared" si="3"/>
        <v>1.8000000001004473</v>
      </c>
      <c r="G25" s="193">
        <f t="shared" si="4"/>
        <v>2.7984009195001332E-2</v>
      </c>
      <c r="H25" s="194">
        <f t="shared" si="5"/>
        <v>5.4718483803365654</v>
      </c>
      <c r="I25" s="187"/>
      <c r="J25" s="192">
        <f t="shared" si="6"/>
        <v>6.9767325520304686</v>
      </c>
      <c r="K25" s="189">
        <f t="shared" si="7"/>
        <v>2.9844274997318494</v>
      </c>
      <c r="L25" s="194">
        <f t="shared" si="8"/>
        <v>12.335643133566146</v>
      </c>
      <c r="M25" s="335"/>
      <c r="N25" s="192">
        <f t="shared" si="9"/>
        <v>6.9999999999999991</v>
      </c>
      <c r="O25" s="189">
        <f t="shared" si="10"/>
        <v>2.9977155910908047</v>
      </c>
      <c r="P25" s="194">
        <f t="shared" si="11"/>
        <v>12.360310364651431</v>
      </c>
      <c r="Q25"/>
      <c r="R25"/>
      <c r="S25"/>
      <c r="T25" s="332"/>
    </row>
    <row r="26" spans="2:21" x14ac:dyDescent="0.25">
      <c r="B26" s="174" t="str">
        <f t="shared" si="1"/>
        <v>HCC Online Video</v>
      </c>
      <c r="C26" s="191">
        <f t="shared" si="2"/>
        <v>1.1117790400000001</v>
      </c>
      <c r="D26" s="275">
        <f t="shared" si="2"/>
        <v>4.8907504826741324</v>
      </c>
      <c r="E26" s="187"/>
      <c r="F26" s="192">
        <f t="shared" si="3"/>
        <v>1.1000000000375127</v>
      </c>
      <c r="G26" s="193">
        <f t="shared" si="4"/>
        <v>-1.0594767070340969E-2</v>
      </c>
      <c r="H26" s="194">
        <f t="shared" si="5"/>
        <v>4.8546277205294688</v>
      </c>
      <c r="I26" s="187"/>
      <c r="J26" s="192">
        <f t="shared" si="6"/>
        <v>2.7989610799193803</v>
      </c>
      <c r="K26" s="189">
        <f t="shared" si="7"/>
        <v>1.5175515810402218</v>
      </c>
      <c r="L26" s="194">
        <f t="shared" si="8"/>
        <v>8.0801755814319982</v>
      </c>
      <c r="M26" s="335"/>
      <c r="N26" s="192">
        <f t="shared" si="9"/>
        <v>3.1503147290721309</v>
      </c>
      <c r="O26" s="189">
        <f t="shared" si="10"/>
        <v>1.8335798892845927</v>
      </c>
      <c r="P26" s="194">
        <f t="shared" si="11"/>
        <v>8.4164423296592989</v>
      </c>
      <c r="Q26"/>
      <c r="R26"/>
      <c r="S26"/>
      <c r="T26" s="332"/>
    </row>
    <row r="27" spans="2:21" x14ac:dyDescent="0.25">
      <c r="B27" s="174" t="str">
        <f t="shared" si="1"/>
        <v>HCC Streaming Video</v>
      </c>
      <c r="C27" s="191">
        <f t="shared" si="2"/>
        <v>13.418576</v>
      </c>
      <c r="D27" s="275">
        <f t="shared" si="2"/>
        <v>22.776633092457963</v>
      </c>
      <c r="E27" s="187"/>
      <c r="F27" s="192">
        <f t="shared" si="3"/>
        <v>9.4000000027393558</v>
      </c>
      <c r="G27" s="331">
        <f t="shared" si="4"/>
        <v>-0.29947857337922035</v>
      </c>
      <c r="H27" s="194">
        <f t="shared" si="5"/>
        <v>17.75352198303499</v>
      </c>
      <c r="I27" s="187"/>
      <c r="J27" s="192">
        <f t="shared" si="6"/>
        <v>19.296306549323919</v>
      </c>
      <c r="K27" s="189">
        <f t="shared" si="7"/>
        <v>0.43802938175585249</v>
      </c>
      <c r="L27" s="194">
        <f t="shared" si="8"/>
        <v>29.371556207073116</v>
      </c>
      <c r="M27" s="335"/>
      <c r="N27" s="192">
        <f t="shared" si="9"/>
        <v>27.304857999999999</v>
      </c>
      <c r="O27" s="189">
        <f t="shared" si="10"/>
        <v>1.0348551142833635</v>
      </c>
      <c r="P27" s="194">
        <f t="shared" si="11"/>
        <v>37.45096134305367</v>
      </c>
      <c r="Q27"/>
      <c r="R27"/>
      <c r="S27"/>
      <c r="T27" s="332"/>
    </row>
    <row r="28" spans="2:21" x14ac:dyDescent="0.25">
      <c r="B28" s="174" t="str">
        <f t="shared" si="1"/>
        <v>HCC Display</v>
      </c>
      <c r="C28" s="191">
        <f t="shared" si="2"/>
        <v>2.8594268199999999</v>
      </c>
      <c r="D28" s="275">
        <f t="shared" si="2"/>
        <v>17.186128903236554</v>
      </c>
      <c r="E28" s="187"/>
      <c r="F28" s="192">
        <f t="shared" si="3"/>
        <v>2.9000000002607282</v>
      </c>
      <c r="G28" s="331">
        <f t="shared" si="4"/>
        <v>1.4189270372979358E-2</v>
      </c>
      <c r="H28" s="194">
        <f t="shared" si="5"/>
        <v>17.332031586185579</v>
      </c>
      <c r="I28" s="187"/>
      <c r="J28" s="192">
        <f t="shared" si="6"/>
        <v>5</v>
      </c>
      <c r="K28" s="189">
        <f t="shared" si="7"/>
        <v>0.7486021901410298</v>
      </c>
      <c r="L28" s="194">
        <f t="shared" si="8"/>
        <v>24.032152746086098</v>
      </c>
      <c r="M28" s="335"/>
      <c r="N28" s="192">
        <f t="shared" si="9"/>
        <v>5</v>
      </c>
      <c r="O28" s="189">
        <f t="shared" si="10"/>
        <v>0.7486021901410298</v>
      </c>
      <c r="P28" s="194">
        <f t="shared" si="11"/>
        <v>24.032152746086098</v>
      </c>
      <c r="Q28"/>
      <c r="R28"/>
      <c r="S28"/>
      <c r="T28" s="332"/>
    </row>
    <row r="29" spans="2:21" x14ac:dyDescent="0.25">
      <c r="B29" s="174" t="str">
        <f t="shared" si="1"/>
        <v>HCC Paid Search</v>
      </c>
      <c r="C29" s="191">
        <f t="shared" si="2"/>
        <v>0.05</v>
      </c>
      <c r="D29" s="275">
        <f t="shared" si="2"/>
        <v>6.8091069964962907</v>
      </c>
      <c r="E29" s="187"/>
      <c r="F29" s="192">
        <f t="shared" si="3"/>
        <v>0.2</v>
      </c>
      <c r="G29" s="193">
        <f t="shared" si="4"/>
        <v>3</v>
      </c>
      <c r="H29" s="194">
        <f t="shared" si="5"/>
        <v>17.969341094351833</v>
      </c>
      <c r="I29" s="187"/>
      <c r="J29" s="192">
        <f t="shared" si="6"/>
        <v>0.2</v>
      </c>
      <c r="K29" s="189">
        <f t="shared" si="7"/>
        <v>3</v>
      </c>
      <c r="L29" s="194">
        <f t="shared" si="8"/>
        <v>17.969341094351833</v>
      </c>
      <c r="M29" s="335"/>
      <c r="N29" s="192">
        <f t="shared" si="9"/>
        <v>0.2</v>
      </c>
      <c r="O29" s="189">
        <f t="shared" si="10"/>
        <v>3</v>
      </c>
      <c r="P29" s="194">
        <f t="shared" si="11"/>
        <v>17.969341094351833</v>
      </c>
      <c r="Q29"/>
      <c r="R29"/>
      <c r="S29"/>
      <c r="T29" s="332"/>
    </row>
    <row r="30" spans="2:21" x14ac:dyDescent="0.25">
      <c r="B30" s="174" t="str">
        <f t="shared" si="1"/>
        <v>HCC Linear TV</v>
      </c>
      <c r="C30" s="191">
        <f t="shared" si="2"/>
        <v>25.8109286</v>
      </c>
      <c r="D30" s="275">
        <f t="shared" si="2"/>
        <v>38.072697978218493</v>
      </c>
      <c r="E30" s="187"/>
      <c r="F30" s="192">
        <f t="shared" si="3"/>
        <v>28.08921086446086</v>
      </c>
      <c r="G30" s="193">
        <f t="shared" si="4"/>
        <v>8.8268124706712719E-2</v>
      </c>
      <c r="H30" s="194">
        <f t="shared" si="5"/>
        <v>40.395109518515355</v>
      </c>
      <c r="I30" s="187"/>
      <c r="J30" s="192">
        <f t="shared" si="6"/>
        <v>28.089210840000003</v>
      </c>
      <c r="K30" s="189">
        <f t="shared" si="7"/>
        <v>8.8268123759018963E-2</v>
      </c>
      <c r="L30" s="194">
        <f t="shared" si="8"/>
        <v>40.39510949389134</v>
      </c>
      <c r="M30" s="335"/>
      <c r="N30" s="192">
        <f t="shared" si="9"/>
        <v>48.283109307284093</v>
      </c>
      <c r="O30" s="189">
        <f t="shared" si="10"/>
        <v>0.87064595991653282</v>
      </c>
      <c r="P30" s="194">
        <f t="shared" si="11"/>
        <v>59.021164492463633</v>
      </c>
      <c r="Q30"/>
      <c r="R30"/>
      <c r="S30"/>
      <c r="T30" s="332"/>
    </row>
    <row r="31" spans="2:21" x14ac:dyDescent="0.25">
      <c r="B31" s="341" t="str">
        <f t="shared" si="1"/>
        <v>HCC Radio</v>
      </c>
      <c r="C31" s="191">
        <f t="shared" ref="C31:D31" si="12">C15/1000000</f>
        <v>0.92397499999999999</v>
      </c>
      <c r="D31" s="275">
        <f t="shared" si="12"/>
        <v>6.0058375000000002</v>
      </c>
      <c r="E31" s="187"/>
      <c r="F31" s="192">
        <f t="shared" ref="F31:F32" si="13">F15/1000000</f>
        <v>0.50000000000775058</v>
      </c>
      <c r="G31" s="193">
        <f t="shared" ref="G31:G32" si="14">IFERROR(G15,"")</f>
        <v>-0.45885981762737021</v>
      </c>
      <c r="H31" s="194">
        <f t="shared" ref="H31:H32" si="15">H15/1000000</f>
        <v>4.6978320967480922</v>
      </c>
      <c r="I31" s="187"/>
      <c r="J31" s="192">
        <f t="shared" ref="J31:J32" si="16">J15/1000000</f>
        <v>2.2000000000000002</v>
      </c>
      <c r="K31" s="189">
        <f t="shared" ref="K31:K32" si="17">K15</f>
        <v>1.3810168024026623</v>
      </c>
      <c r="L31" s="194">
        <f t="shared" ref="L31:L32" si="18">L15/1000000</f>
        <v>8.4972532367697085</v>
      </c>
      <c r="M31" s="335"/>
      <c r="N31" s="192">
        <f t="shared" ref="N31:N32" si="19">N15/1000000</f>
        <v>2.2000000000000002</v>
      </c>
      <c r="O31" s="189">
        <f t="shared" ref="O31:O32" si="20">O15</f>
        <v>1.3810168024026623</v>
      </c>
      <c r="P31" s="194">
        <f t="shared" ref="P31:P32" si="21">P15/1000000</f>
        <v>8.4972532367697085</v>
      </c>
      <c r="Q31"/>
      <c r="R31"/>
      <c r="S31"/>
      <c r="T31" s="332"/>
    </row>
    <row r="32" spans="2:21" x14ac:dyDescent="0.25">
      <c r="B32" s="341" t="str">
        <f t="shared" si="1"/>
        <v>HCC Pharmacy</v>
      </c>
      <c r="C32" s="191">
        <f t="shared" ref="C32:D32" si="22">C16/1000000</f>
        <v>2.4119679999999999</v>
      </c>
      <c r="D32" s="275">
        <f t="shared" si="22"/>
        <v>4.1134477838767793</v>
      </c>
      <c r="E32" s="187"/>
      <c r="F32" s="192">
        <f t="shared" si="13"/>
        <v>2.4000000001785726</v>
      </c>
      <c r="G32" s="193">
        <f t="shared" si="14"/>
        <v>-4.9619231355587127E-3</v>
      </c>
      <c r="H32" s="194">
        <f t="shared" si="15"/>
        <v>4.0977606479507047</v>
      </c>
      <c r="I32" s="187"/>
      <c r="J32" s="192">
        <f t="shared" si="16"/>
        <v>3.365550426212947</v>
      </c>
      <c r="K32" s="189">
        <f t="shared" si="17"/>
        <v>0.39535450976669129</v>
      </c>
      <c r="L32" s="194">
        <f t="shared" si="18"/>
        <v>5.2441694080233745</v>
      </c>
      <c r="M32" s="335"/>
      <c r="N32" s="192">
        <f t="shared" si="19"/>
        <v>4.4233950018521426</v>
      </c>
      <c r="O32" s="189">
        <f t="shared" si="20"/>
        <v>0.83393602313635284</v>
      </c>
      <c r="P32" s="194">
        <f t="shared" si="21"/>
        <v>6.2586890724826301</v>
      </c>
      <c r="Q32"/>
      <c r="R32"/>
      <c r="S32"/>
      <c r="T32" s="332"/>
    </row>
    <row r="33" spans="2:19" ht="29.45" customHeight="1" x14ac:dyDescent="0.25">
      <c r="B33" s="446" t="s">
        <v>199</v>
      </c>
      <c r="C33" s="196">
        <f t="shared" ref="C33:D33" si="23">C17/1000000</f>
        <v>59.976092180000002</v>
      </c>
      <c r="D33" s="197">
        <f t="shared" si="23"/>
        <v>172.04861621900793</v>
      </c>
      <c r="E33" s="198"/>
      <c r="F33" s="199">
        <f t="shared" ref="F33" si="24">F17/1000000</f>
        <v>59.976092180000002</v>
      </c>
      <c r="G33" s="200">
        <f>G17</f>
        <v>0</v>
      </c>
      <c r="H33" s="201">
        <f t="shared" ref="H33" si="25">H17/1000000</f>
        <v>189.29590716269635</v>
      </c>
      <c r="I33" s="198"/>
      <c r="J33" s="199">
        <f t="shared" ref="J33" si="26">J17/1000000</f>
        <v>89.964138176310854</v>
      </c>
      <c r="K33" s="200">
        <f t="shared" ref="K33" si="27">K17</f>
        <v>0.49999999843789178</v>
      </c>
      <c r="L33" s="201">
        <f t="shared" ref="L33" si="28">L17/1000000</f>
        <v>253.2139791862343</v>
      </c>
      <c r="M33" s="336"/>
      <c r="N33" s="199">
        <f t="shared" ref="N33" si="29">N17/1000000</f>
        <v>119.95218464286538</v>
      </c>
      <c r="O33" s="200">
        <f t="shared" ref="O33" si="30">O17</f>
        <v>1.0000000047163022</v>
      </c>
      <c r="P33" s="201">
        <f t="shared" ref="P33" si="31">P17/1000000</f>
        <v>281.63329542993921</v>
      </c>
      <c r="Q33"/>
      <c r="R33"/>
      <c r="S33"/>
    </row>
    <row r="34" spans="2:19" ht="30" x14ac:dyDescent="0.25">
      <c r="B34" s="446" t="s">
        <v>298</v>
      </c>
      <c r="C34" s="196" t="str">
        <f>_xlfn.CONCAT("ROI"," ", ,C37)</f>
        <v>ROI 2.87</v>
      </c>
      <c r="D34" s="197"/>
      <c r="E34" s="198"/>
      <c r="F34" s="199" t="str">
        <f>_xlfn.CONCAT("ROI"," ", ,F37)</f>
        <v>ROI 3.16</v>
      </c>
      <c r="G34" s="200"/>
      <c r="H34" s="273" t="s">
        <v>290</v>
      </c>
      <c r="I34" s="198"/>
      <c r="J34" s="199" t="str">
        <f>_xlfn.CONCAT("ROI"," ", ,J37)</f>
        <v>ROI 2.81</v>
      </c>
      <c r="K34" s="200"/>
      <c r="L34" s="273" t="s">
        <v>291</v>
      </c>
      <c r="M34" s="337"/>
      <c r="N34" s="199" t="str">
        <f>_xlfn.CONCAT("ROI"," ", ,N37)</f>
        <v>ROI 2.35</v>
      </c>
      <c r="O34" s="200"/>
      <c r="P34" s="273" t="s">
        <v>292</v>
      </c>
      <c r="S34" s="360"/>
    </row>
    <row r="35" spans="2:19" ht="30" x14ac:dyDescent="0.25">
      <c r="B35" s="446" t="s">
        <v>294</v>
      </c>
      <c r="C35" s="196">
        <f>C33</f>
        <v>59.976092180000002</v>
      </c>
      <c r="D35" s="197">
        <f>D33*1.4</f>
        <v>240.86806270661108</v>
      </c>
      <c r="E35" s="198"/>
      <c r="F35" s="199">
        <f>F33</f>
        <v>59.976092180000002</v>
      </c>
      <c r="G35" s="200">
        <f>G33</f>
        <v>0</v>
      </c>
      <c r="H35" s="201">
        <f>H33*1.4</f>
        <v>265.0142700277749</v>
      </c>
      <c r="I35" s="198"/>
      <c r="J35" s="199">
        <f>J33</f>
        <v>89.964138176310854</v>
      </c>
      <c r="K35" s="200">
        <f>K33</f>
        <v>0.49999999843789178</v>
      </c>
      <c r="L35" s="201">
        <f>L33*1.4</f>
        <v>354.499570860728</v>
      </c>
      <c r="M35" s="336"/>
      <c r="N35" s="199">
        <f>N33</f>
        <v>119.95218464286538</v>
      </c>
      <c r="O35" s="200">
        <f>O33</f>
        <v>1.0000000047163022</v>
      </c>
      <c r="P35" s="201">
        <f>P33*1.4</f>
        <v>394.28661360191489</v>
      </c>
      <c r="S35" s="360"/>
    </row>
    <row r="36" spans="2:19" ht="30" x14ac:dyDescent="0.25">
      <c r="B36" s="446" t="s">
        <v>299</v>
      </c>
      <c r="C36" s="196" t="str">
        <f>_xlfn.CONCAT("ROI"," ", ,C39)</f>
        <v>ROI 4.02</v>
      </c>
      <c r="D36" s="197"/>
      <c r="E36" s="198"/>
      <c r="F36" s="199" t="str">
        <f>_xlfn.CONCAT("ROI"," ", ,F39)</f>
        <v>ROI 4.42</v>
      </c>
      <c r="G36" s="200"/>
      <c r="H36" s="273" t="s">
        <v>295</v>
      </c>
      <c r="I36" s="198"/>
      <c r="J36" s="199" t="str">
        <f>_xlfn.CONCAT("ROI"," ", ,J39)</f>
        <v>ROI 3.94</v>
      </c>
      <c r="K36" s="200"/>
      <c r="L36" s="273" t="s">
        <v>296</v>
      </c>
      <c r="M36" s="337"/>
      <c r="N36" s="199" t="str">
        <f>_xlfn.CONCAT("ROI"," ", ,N39)</f>
        <v>ROI 3.29</v>
      </c>
      <c r="O36" s="200"/>
      <c r="P36" s="273" t="s">
        <v>297</v>
      </c>
      <c r="S36" s="360"/>
    </row>
    <row r="37" spans="2:19" x14ac:dyDescent="0.25">
      <c r="C37" s="99">
        <f>ROUND(D33/C33,2)</f>
        <v>2.87</v>
      </c>
      <c r="F37" s="99">
        <f>ROUND(H33/F33,2)</f>
        <v>3.16</v>
      </c>
      <c r="H37" s="203">
        <f>(H33-$D$33)</f>
        <v>17.247290943688427</v>
      </c>
      <c r="J37" s="99">
        <f>ROUND(L33/J33,2)</f>
        <v>2.81</v>
      </c>
      <c r="L37" s="203">
        <f>(L33-$D$33)</f>
        <v>81.165362967226372</v>
      </c>
      <c r="M37" s="338"/>
      <c r="N37" s="99">
        <f>ROUND(P33/N33,2)</f>
        <v>2.35</v>
      </c>
      <c r="P37" s="203">
        <f>(P33-$D$33)</f>
        <v>109.58467921093128</v>
      </c>
      <c r="S37" s="332"/>
    </row>
    <row r="38" spans="2:19" x14ac:dyDescent="0.25">
      <c r="H38" s="339">
        <f>H37/$D$33</f>
        <v>0.10024661239782146</v>
      </c>
      <c r="I38" s="238"/>
      <c r="J38" s="238"/>
      <c r="K38" s="238"/>
      <c r="L38" s="339">
        <f>L37/$D$33</f>
        <v>0.47175830152511988</v>
      </c>
      <c r="M38" s="339"/>
      <c r="N38" s="238"/>
      <c r="O38" s="238"/>
      <c r="P38" s="339">
        <f>P37/$D$33</f>
        <v>0.63694019527269163</v>
      </c>
    </row>
    <row r="39" spans="2:19" x14ac:dyDescent="0.25">
      <c r="C39" s="99">
        <f>ROUND(D35/C35,2)</f>
        <v>4.0199999999999996</v>
      </c>
      <c r="F39" s="99">
        <f>ROUND(H35/F35,2)</f>
        <v>4.42</v>
      </c>
      <c r="H39" s="203">
        <f>(H35-$D$35)</f>
        <v>24.146207321163814</v>
      </c>
      <c r="J39" s="99">
        <f>ROUND(L35/J35,2)</f>
        <v>3.94</v>
      </c>
      <c r="L39" s="203">
        <f>(L35-$D$35)</f>
        <v>113.63150815411691</v>
      </c>
      <c r="M39" s="338"/>
      <c r="N39" s="99">
        <f>ROUND(P35/N35,2)</f>
        <v>3.29</v>
      </c>
      <c r="P39" s="203">
        <f>(P35-$D$35)</f>
        <v>153.41855089530381</v>
      </c>
    </row>
    <row r="40" spans="2:19" x14ac:dyDescent="0.25">
      <c r="H40" s="339">
        <f>H39/$D$33</f>
        <v>0.14034525735695014</v>
      </c>
      <c r="I40" s="238"/>
      <c r="J40" s="238"/>
      <c r="K40" s="238"/>
      <c r="L40" s="339">
        <f>L39/$D$33</f>
        <v>0.66046162213516779</v>
      </c>
      <c r="M40" s="339"/>
      <c r="N40" s="238"/>
      <c r="O40" s="238"/>
      <c r="P40" s="339">
        <f>P39/$D$33</f>
        <v>0.89171627338176829</v>
      </c>
    </row>
    <row r="42" spans="2:19" x14ac:dyDescent="0.25">
      <c r="B42" s="378" t="s">
        <v>240</v>
      </c>
      <c r="C42" s="378"/>
      <c r="D42" s="378"/>
      <c r="E42" s="378"/>
      <c r="F42" s="378"/>
      <c r="G42" s="378"/>
      <c r="H42" s="378"/>
      <c r="I42" s="378"/>
    </row>
    <row r="43" spans="2:19" x14ac:dyDescent="0.25">
      <c r="B43" s="378"/>
      <c r="C43" s="378"/>
      <c r="D43" s="378"/>
      <c r="E43" s="378"/>
      <c r="F43" s="378"/>
      <c r="G43" s="378"/>
      <c r="H43" s="378"/>
      <c r="I43" s="378"/>
    </row>
    <row r="45" spans="2:19" x14ac:dyDescent="0.25">
      <c r="F45" s="371" t="s">
        <v>222</v>
      </c>
      <c r="G45" s="372"/>
      <c r="H45" s="373"/>
      <c r="I45" s="171"/>
    </row>
    <row r="46" spans="2:19" ht="30" x14ac:dyDescent="0.25">
      <c r="B46" s="172" t="s">
        <v>194</v>
      </c>
      <c r="C46" s="99" t="s">
        <v>195</v>
      </c>
      <c r="D46" s="173" t="s">
        <v>196</v>
      </c>
      <c r="E46" s="173"/>
      <c r="F46" s="99" t="s">
        <v>195</v>
      </c>
      <c r="G46" s="173" t="s">
        <v>197</v>
      </c>
      <c r="H46" s="173" t="s">
        <v>198</v>
      </c>
      <c r="I46" s="173"/>
    </row>
    <row r="47" spans="2:19" x14ac:dyDescent="0.25">
      <c r="B47" s="174" t="str">
        <f>B7</f>
        <v>HCC InOffice</v>
      </c>
      <c r="C47" s="175">
        <f>C7</f>
        <v>1134710</v>
      </c>
      <c r="D47" s="175">
        <f>D7</f>
        <v>1664695.7827721967</v>
      </c>
      <c r="E47" s="175"/>
      <c r="F47" s="175"/>
      <c r="G47" s="167"/>
      <c r="H47" s="175"/>
      <c r="I47" s="175"/>
      <c r="L47" s="175">
        <f>VAC_Optim_Scenario!$H36</f>
        <v>900000</v>
      </c>
      <c r="M47" s="175"/>
      <c r="N47" s="175"/>
      <c r="O47" s="175"/>
      <c r="P47" s="175"/>
      <c r="Q47" s="167">
        <f>(L47-$C47)/$C47</f>
        <v>-0.20684580201108654</v>
      </c>
      <c r="R47" s="175">
        <f>VAC_Optim_Scenario!$J36</f>
        <v>1410431.7445188572</v>
      </c>
    </row>
    <row r="48" spans="2:19" x14ac:dyDescent="0.25">
      <c r="B48" s="174" t="str">
        <f>B8</f>
        <v>HCP MCM</v>
      </c>
      <c r="C48" s="175">
        <f>C8</f>
        <v>10503728.719999999</v>
      </c>
      <c r="D48" s="175">
        <f>D8</f>
        <v>65147335.716204539</v>
      </c>
      <c r="E48" s="175"/>
      <c r="F48" s="175"/>
      <c r="G48" s="167"/>
      <c r="H48" s="175"/>
      <c r="I48" s="175"/>
      <c r="L48" s="175">
        <f>VAC_Optim_Scenario!$H37</f>
        <v>12686881.296687946</v>
      </c>
      <c r="M48" s="175"/>
      <c r="N48" s="175"/>
      <c r="O48" s="175"/>
      <c r="P48" s="175"/>
      <c r="Q48" s="167">
        <f t="shared" ref="Q48:Q56" si="32">(L48-$C48)/$C48</f>
        <v>0.20784548372151287</v>
      </c>
      <c r="R48" s="175">
        <f>VAC_Optim_Scenario!$J37</f>
        <v>75313402.321879268</v>
      </c>
    </row>
    <row r="49" spans="2:18" x14ac:dyDescent="0.25">
      <c r="B49" s="174" t="str">
        <f>B9</f>
        <v>HCC Social</v>
      </c>
      <c r="C49" s="175">
        <f>C9</f>
        <v>1751000</v>
      </c>
      <c r="D49" s="175">
        <f>D9</f>
        <v>5381981.983070978</v>
      </c>
      <c r="E49" s="175"/>
      <c r="F49" s="175"/>
      <c r="G49" s="167"/>
      <c r="H49" s="175"/>
      <c r="I49" s="175"/>
      <c r="L49" s="175">
        <f>VAC_Optim_Scenario!$H38</f>
        <v>1800000</v>
      </c>
      <c r="M49" s="175"/>
      <c r="N49" s="175"/>
      <c r="O49" s="175"/>
      <c r="P49" s="175"/>
      <c r="Q49" s="167">
        <f t="shared" si="32"/>
        <v>2.7984009137635636E-2</v>
      </c>
      <c r="R49" s="175">
        <f>VAC_Optim_Scenario!$J38</f>
        <v>5471848.3801533533</v>
      </c>
    </row>
    <row r="50" spans="2:18" x14ac:dyDescent="0.25">
      <c r="B50" s="174" t="str">
        <f>B10</f>
        <v>HCC Online Video</v>
      </c>
      <c r="C50" s="175">
        <f>C10</f>
        <v>1111779.04</v>
      </c>
      <c r="D50" s="175">
        <f>D10</f>
        <v>4890750.4826741321</v>
      </c>
      <c r="E50" s="175"/>
      <c r="F50" s="175"/>
      <c r="G50" s="167"/>
      <c r="H50" s="175"/>
      <c r="I50" s="175"/>
      <c r="L50" s="175">
        <f>VAC_Optim_Scenario!$H39</f>
        <v>1100000</v>
      </c>
      <c r="M50" s="175"/>
      <c r="N50" s="175"/>
      <c r="O50" s="175"/>
      <c r="P50" s="175"/>
      <c r="Q50" s="167">
        <f t="shared" si="32"/>
        <v>-1.0594767104082154E-2</v>
      </c>
      <c r="R50" s="175">
        <f>VAC_Optim_Scenario!$J39</f>
        <v>4854627.720414157</v>
      </c>
    </row>
    <row r="51" spans="2:18" x14ac:dyDescent="0.25">
      <c r="B51" s="174" t="str">
        <f>B11</f>
        <v>HCC Streaming Video</v>
      </c>
      <c r="C51" s="175">
        <f>C11</f>
        <v>13418576</v>
      </c>
      <c r="D51" s="175">
        <f>D11</f>
        <v>22776633.092457965</v>
      </c>
      <c r="E51" s="175"/>
      <c r="F51" s="175"/>
      <c r="G51" s="167"/>
      <c r="H51" s="175"/>
      <c r="I51" s="175"/>
      <c r="L51" s="175">
        <f>VAC_Optim_Scenario!$H40</f>
        <v>9400000</v>
      </c>
      <c r="M51" s="175"/>
      <c r="N51" s="175"/>
      <c r="O51" s="175"/>
      <c r="P51" s="175"/>
      <c r="Q51" s="167">
        <f t="shared" si="32"/>
        <v>-0.29947857358336682</v>
      </c>
      <c r="R51" s="175">
        <f>VAC_Optim_Scenario!$J40</f>
        <v>17753521.979413368</v>
      </c>
    </row>
    <row r="52" spans="2:18" x14ac:dyDescent="0.25">
      <c r="B52" s="174" t="str">
        <f>B12</f>
        <v>HCC Display</v>
      </c>
      <c r="C52" s="175">
        <f>C12</f>
        <v>2859426.82</v>
      </c>
      <c r="D52" s="175">
        <f>D12</f>
        <v>17186128.903236553</v>
      </c>
      <c r="E52" s="175"/>
      <c r="F52" s="175"/>
      <c r="G52" s="167"/>
      <c r="H52" s="175"/>
      <c r="I52" s="175"/>
      <c r="L52" s="175">
        <f>VAC_Optim_Scenario!$H41</f>
        <v>2900000</v>
      </c>
      <c r="M52" s="175"/>
      <c r="N52" s="175"/>
      <c r="O52" s="175"/>
      <c r="P52" s="175"/>
      <c r="Q52" s="167">
        <f t="shared" si="32"/>
        <v>1.4189270281797305E-2</v>
      </c>
      <c r="R52" s="175">
        <f>VAC_Optim_Scenario!$J41</f>
        <v>17332031.585250624</v>
      </c>
    </row>
    <row r="53" spans="2:18" x14ac:dyDescent="0.25">
      <c r="B53" s="174" t="str">
        <f>B13</f>
        <v>HCC Paid Search</v>
      </c>
      <c r="C53" s="175">
        <f>C13</f>
        <v>50000</v>
      </c>
      <c r="D53" s="175">
        <f>D13</f>
        <v>6809106.9964962909</v>
      </c>
      <c r="E53" s="175"/>
      <c r="F53" s="175"/>
      <c r="G53" s="167"/>
      <c r="H53" s="175"/>
      <c r="I53" s="175"/>
      <c r="L53" s="175">
        <f>VAC_Optim_Scenario!$H42</f>
        <v>200000</v>
      </c>
      <c r="M53" s="175"/>
      <c r="N53" s="175"/>
      <c r="O53" s="175"/>
      <c r="P53" s="175"/>
      <c r="Q53" s="167">
        <f t="shared" si="32"/>
        <v>3</v>
      </c>
      <c r="R53" s="175">
        <f>VAC_Optim_Scenario!$J42</f>
        <v>17969341.094351832</v>
      </c>
    </row>
    <row r="54" spans="2:18" x14ac:dyDescent="0.25">
      <c r="B54" s="174" t="e">
        <f>#REF!</f>
        <v>#REF!</v>
      </c>
      <c r="C54" s="175" t="e">
        <f>#REF!</f>
        <v>#REF!</v>
      </c>
      <c r="D54" s="175" t="e">
        <f>#REF!</f>
        <v>#REF!</v>
      </c>
      <c r="E54" s="175"/>
      <c r="F54" s="175"/>
      <c r="G54" s="167"/>
      <c r="H54" s="175"/>
      <c r="I54" s="175"/>
      <c r="L54" s="175" t="e">
        <f>VAC_Optim_Scenario!#REF!</f>
        <v>#REF!</v>
      </c>
      <c r="M54" s="175"/>
      <c r="N54" s="175"/>
      <c r="O54" s="175"/>
      <c r="P54" s="175"/>
      <c r="Q54" s="167" t="str">
        <f>IFERROR((L54-$C54)/$C54,"")</f>
        <v/>
      </c>
      <c r="R54" s="175" t="e">
        <f>VAC_Optim_Scenario!#REF!</f>
        <v>#REF!</v>
      </c>
    </row>
    <row r="55" spans="2:18" x14ac:dyDescent="0.25">
      <c r="B55" s="174" t="str">
        <f>B14</f>
        <v>HCC Linear TV</v>
      </c>
      <c r="C55" s="175">
        <f>C14</f>
        <v>25810928.600000001</v>
      </c>
      <c r="D55" s="175">
        <f>D14</f>
        <v>38072697.978218496</v>
      </c>
      <c r="E55" s="175"/>
      <c r="F55" s="175"/>
      <c r="G55" s="167"/>
      <c r="H55" s="175"/>
      <c r="I55" s="175"/>
      <c r="L55" s="175">
        <f>VAC_Optim_Scenario!$H43</f>
        <v>28089210.84</v>
      </c>
      <c r="M55" s="175"/>
      <c r="N55" s="175"/>
      <c r="O55" s="175"/>
      <c r="P55" s="175"/>
      <c r="Q55" s="167">
        <f t="shared" si="32"/>
        <v>8.826812375901881E-2</v>
      </c>
      <c r="R55" s="175">
        <f>VAC_Optim_Scenario!$J43</f>
        <v>40395109.493891336</v>
      </c>
    </row>
    <row r="56" spans="2:18" x14ac:dyDescent="0.25">
      <c r="B56" s="174" t="e">
        <f>#REF!</f>
        <v>#REF!</v>
      </c>
      <c r="C56" s="175" t="e">
        <f>#REF!</f>
        <v>#REF!</v>
      </c>
      <c r="D56" s="175" t="e">
        <f>#REF!</f>
        <v>#REF!</v>
      </c>
      <c r="E56" s="175"/>
      <c r="F56" s="175"/>
      <c r="G56" s="167"/>
      <c r="H56" s="175"/>
      <c r="I56" s="175"/>
      <c r="L56" s="175" t="e">
        <f>VAC_Optim_Scenario!#REF!</f>
        <v>#REF!</v>
      </c>
      <c r="M56" s="175"/>
      <c r="N56" s="175"/>
      <c r="O56" s="175"/>
      <c r="P56" s="175"/>
      <c r="Q56" s="167" t="e">
        <f t="shared" si="32"/>
        <v>#REF!</v>
      </c>
      <c r="R56" s="175" t="e">
        <f>VAC_Optim_Scenario!#REF!</f>
        <v>#REF!</v>
      </c>
    </row>
    <row r="57" spans="2:18" s="179" customFormat="1" x14ac:dyDescent="0.25">
      <c r="B57" s="308" t="s">
        <v>199</v>
      </c>
      <c r="C57" s="309" t="e">
        <f>SUM(C47:C56)</f>
        <v>#REF!</v>
      </c>
      <c r="D57" s="309" t="e">
        <f>SUM(D47:D56)</f>
        <v>#REF!</v>
      </c>
      <c r="E57" s="198"/>
      <c r="F57" s="309">
        <f>SUM(F47:F56)</f>
        <v>0</v>
      </c>
      <c r="G57" s="310">
        <f>(F57-$C$17)/$C$17</f>
        <v>-1</v>
      </c>
      <c r="H57" s="309">
        <f>SUM(H47:H56)</f>
        <v>0</v>
      </c>
      <c r="I57" s="198"/>
    </row>
    <row r="58" spans="2:18" x14ac:dyDescent="0.25">
      <c r="D58" s="99" t="e">
        <f>D57/C57</f>
        <v>#REF!</v>
      </c>
    </row>
    <row r="60" spans="2:18" ht="27.6" customHeight="1" x14ac:dyDescent="0.25">
      <c r="F60" s="379" t="str">
        <f>B42</f>
        <v>Optimal channel spend allowed to vary between constraints defined by marketing team &amp; INI of the 2021 channel spend - LINEAR TV and Streaming TV constraints modified</v>
      </c>
      <c r="G60" s="379"/>
      <c r="H60" s="379"/>
      <c r="I60" s="379"/>
    </row>
    <row r="61" spans="2:18" x14ac:dyDescent="0.25">
      <c r="C61" s="376" t="s">
        <v>223</v>
      </c>
      <c r="D61" s="377"/>
      <c r="E61" s="179"/>
      <c r="F61" s="371" t="str">
        <f>F45</f>
        <v>Current Optimal ($MM)</v>
      </c>
      <c r="G61" s="372"/>
      <c r="H61" s="373"/>
      <c r="I61" s="180"/>
    </row>
    <row r="62" spans="2:18" ht="30" x14ac:dyDescent="0.25">
      <c r="B62" s="172" t="s">
        <v>194</v>
      </c>
      <c r="C62" s="182" t="s">
        <v>203</v>
      </c>
      <c r="D62" s="182" t="s">
        <v>201</v>
      </c>
      <c r="E62" s="183"/>
      <c r="F62" s="204" t="s">
        <v>203</v>
      </c>
      <c r="G62" s="182" t="s">
        <v>197</v>
      </c>
      <c r="H62" s="184" t="s">
        <v>198</v>
      </c>
      <c r="I62" s="183"/>
    </row>
    <row r="63" spans="2:18" x14ac:dyDescent="0.25">
      <c r="B63" s="174" t="str">
        <f>B47</f>
        <v>HCC InOffice</v>
      </c>
      <c r="C63" s="185">
        <f t="shared" ref="C63:D63" si="33">C47/1000000</f>
        <v>1.1347100000000001</v>
      </c>
      <c r="D63" s="186">
        <f t="shared" si="33"/>
        <v>1.6646957827721967</v>
      </c>
      <c r="E63" s="187"/>
      <c r="F63" s="188">
        <f t="shared" ref="F63:F72" si="34">F47/1000000</f>
        <v>0</v>
      </c>
      <c r="G63" s="189">
        <f t="shared" ref="G63:G72" si="35">G47</f>
        <v>0</v>
      </c>
      <c r="H63" s="190">
        <f t="shared" ref="H63:H72" si="36">H47/1000000</f>
        <v>0</v>
      </c>
      <c r="I63" s="187"/>
    </row>
    <row r="64" spans="2:18" x14ac:dyDescent="0.25">
      <c r="B64" s="174" t="str">
        <f t="shared" ref="B64:B72" si="37">B48</f>
        <v>HCP MCM</v>
      </c>
      <c r="C64" s="185">
        <f t="shared" ref="C64:D64" si="38">C48/1000000</f>
        <v>10.503728719999998</v>
      </c>
      <c r="D64" s="186">
        <f t="shared" si="38"/>
        <v>65.147335716204537</v>
      </c>
      <c r="E64" s="187"/>
      <c r="F64" s="192">
        <f t="shared" si="34"/>
        <v>0</v>
      </c>
      <c r="G64" s="193">
        <f t="shared" si="35"/>
        <v>0</v>
      </c>
      <c r="H64" s="194">
        <f t="shared" si="36"/>
        <v>0</v>
      </c>
      <c r="I64" s="187"/>
    </row>
    <row r="65" spans="2:9" x14ac:dyDescent="0.25">
      <c r="B65" s="174" t="str">
        <f t="shared" si="37"/>
        <v>HCC Social</v>
      </c>
      <c r="C65" s="185">
        <f t="shared" ref="C65:D65" si="39">C49/1000000</f>
        <v>1.7509999999999999</v>
      </c>
      <c r="D65" s="186">
        <f t="shared" si="39"/>
        <v>5.3819819830709781</v>
      </c>
      <c r="E65" s="187"/>
      <c r="F65" s="192">
        <f t="shared" si="34"/>
        <v>0</v>
      </c>
      <c r="G65" s="193">
        <f t="shared" si="35"/>
        <v>0</v>
      </c>
      <c r="H65" s="194">
        <f t="shared" si="36"/>
        <v>0</v>
      </c>
      <c r="I65" s="187"/>
    </row>
    <row r="66" spans="2:9" x14ac:dyDescent="0.25">
      <c r="B66" s="174" t="str">
        <f t="shared" si="37"/>
        <v>HCC Online Video</v>
      </c>
      <c r="C66" s="185">
        <f t="shared" ref="C66:D66" si="40">C50/1000000</f>
        <v>1.1117790400000001</v>
      </c>
      <c r="D66" s="186">
        <f t="shared" si="40"/>
        <v>4.8907504826741324</v>
      </c>
      <c r="E66" s="187"/>
      <c r="F66" s="192">
        <f t="shared" si="34"/>
        <v>0</v>
      </c>
      <c r="G66" s="193">
        <f t="shared" si="35"/>
        <v>0</v>
      </c>
      <c r="H66" s="194">
        <f t="shared" si="36"/>
        <v>0</v>
      </c>
      <c r="I66" s="187"/>
    </row>
    <row r="67" spans="2:9" x14ac:dyDescent="0.25">
      <c r="B67" s="174" t="str">
        <f t="shared" si="37"/>
        <v>HCC Streaming Video</v>
      </c>
      <c r="C67" s="185">
        <f t="shared" ref="C67:D67" si="41">C51/1000000</f>
        <v>13.418576</v>
      </c>
      <c r="D67" s="186">
        <f t="shared" si="41"/>
        <v>22.776633092457963</v>
      </c>
      <c r="E67" s="187"/>
      <c r="F67" s="192">
        <f t="shared" si="34"/>
        <v>0</v>
      </c>
      <c r="G67" s="193">
        <f t="shared" si="35"/>
        <v>0</v>
      </c>
      <c r="H67" s="194">
        <f t="shared" si="36"/>
        <v>0</v>
      </c>
      <c r="I67" s="187"/>
    </row>
    <row r="68" spans="2:9" x14ac:dyDescent="0.25">
      <c r="B68" s="174" t="str">
        <f t="shared" si="37"/>
        <v>HCC Display</v>
      </c>
      <c r="C68" s="185">
        <f t="shared" ref="C68:D68" si="42">C52/1000000</f>
        <v>2.8594268199999999</v>
      </c>
      <c r="D68" s="186">
        <f t="shared" si="42"/>
        <v>17.186128903236554</v>
      </c>
      <c r="E68" s="187"/>
      <c r="F68" s="192">
        <f t="shared" si="34"/>
        <v>0</v>
      </c>
      <c r="G68" s="193">
        <f t="shared" si="35"/>
        <v>0</v>
      </c>
      <c r="H68" s="194">
        <f t="shared" si="36"/>
        <v>0</v>
      </c>
      <c r="I68" s="187"/>
    </row>
    <row r="69" spans="2:9" x14ac:dyDescent="0.25">
      <c r="B69" s="174" t="str">
        <f t="shared" si="37"/>
        <v>HCC Paid Search</v>
      </c>
      <c r="C69" s="185">
        <f t="shared" ref="C69:D69" si="43">C53/1000000</f>
        <v>0.05</v>
      </c>
      <c r="D69" s="186">
        <f t="shared" si="43"/>
        <v>6.8091069964962907</v>
      </c>
      <c r="E69" s="187"/>
      <c r="F69" s="192">
        <f t="shared" si="34"/>
        <v>0</v>
      </c>
      <c r="G69" s="193">
        <f t="shared" si="35"/>
        <v>0</v>
      </c>
      <c r="H69" s="194">
        <f t="shared" si="36"/>
        <v>0</v>
      </c>
      <c r="I69" s="187"/>
    </row>
    <row r="70" spans="2:9" x14ac:dyDescent="0.25">
      <c r="B70" s="174" t="e">
        <f t="shared" si="37"/>
        <v>#REF!</v>
      </c>
      <c r="C70" s="185" t="e">
        <f t="shared" ref="C70:D70" si="44">C54/1000000</f>
        <v>#REF!</v>
      </c>
      <c r="D70" s="186" t="e">
        <f t="shared" si="44"/>
        <v>#REF!</v>
      </c>
      <c r="E70" s="187"/>
      <c r="F70" s="192">
        <f t="shared" si="34"/>
        <v>0</v>
      </c>
      <c r="G70" s="193">
        <f t="shared" si="35"/>
        <v>0</v>
      </c>
      <c r="H70" s="194">
        <f t="shared" si="36"/>
        <v>0</v>
      </c>
      <c r="I70" s="187"/>
    </row>
    <row r="71" spans="2:9" x14ac:dyDescent="0.25">
      <c r="B71" s="174" t="str">
        <f t="shared" si="37"/>
        <v>HCC Linear TV</v>
      </c>
      <c r="C71" s="185">
        <f t="shared" ref="C71:D71" si="45">C55/1000000</f>
        <v>25.8109286</v>
      </c>
      <c r="D71" s="186">
        <f t="shared" si="45"/>
        <v>38.072697978218493</v>
      </c>
      <c r="E71" s="187"/>
      <c r="F71" s="311">
        <f t="shared" si="34"/>
        <v>0</v>
      </c>
      <c r="G71" s="312">
        <f t="shared" si="35"/>
        <v>0</v>
      </c>
      <c r="H71" s="313">
        <f t="shared" si="36"/>
        <v>0</v>
      </c>
      <c r="I71" s="187"/>
    </row>
    <row r="72" spans="2:9" x14ac:dyDescent="0.25">
      <c r="B72" s="174" t="e">
        <f t="shared" si="37"/>
        <v>#REF!</v>
      </c>
      <c r="C72" s="185" t="e">
        <f t="shared" ref="C72:D72" si="46">C56/1000000</f>
        <v>#REF!</v>
      </c>
      <c r="D72" s="186" t="e">
        <f t="shared" si="46"/>
        <v>#REF!</v>
      </c>
      <c r="E72" s="187"/>
      <c r="F72" s="311">
        <f t="shared" si="34"/>
        <v>0</v>
      </c>
      <c r="G72" s="312">
        <f t="shared" si="35"/>
        <v>0</v>
      </c>
      <c r="H72" s="313">
        <f t="shared" si="36"/>
        <v>0</v>
      </c>
      <c r="I72" s="187"/>
    </row>
    <row r="73" spans="2:9" x14ac:dyDescent="0.25">
      <c r="B73" s="195" t="s">
        <v>199</v>
      </c>
      <c r="C73" s="196" t="e">
        <f>C57/1000000</f>
        <v>#REF!</v>
      </c>
      <c r="D73" s="197" t="e">
        <f t="shared" ref="D73" si="47">D57/1000000</f>
        <v>#REF!</v>
      </c>
      <c r="E73" s="198"/>
      <c r="F73" s="199">
        <f t="shared" ref="F73" si="48">F57/1000000</f>
        <v>0</v>
      </c>
      <c r="G73" s="200">
        <f>G57</f>
        <v>-1</v>
      </c>
      <c r="H73" s="201">
        <f t="shared" ref="H73" si="49">H57/1000000</f>
        <v>0</v>
      </c>
      <c r="I73" s="198"/>
    </row>
    <row r="74" spans="2:9" x14ac:dyDescent="0.25">
      <c r="B74" s="195" t="s">
        <v>202</v>
      </c>
      <c r="C74" s="196"/>
      <c r="D74" s="197"/>
      <c r="E74" s="198"/>
      <c r="F74" s="199"/>
      <c r="G74" s="200"/>
      <c r="H74" s="202"/>
      <c r="I74" s="198"/>
    </row>
    <row r="75" spans="2:9" x14ac:dyDescent="0.25">
      <c r="H75" s="205" t="e">
        <f>H73-$D$73</f>
        <v>#REF!</v>
      </c>
    </row>
    <row r="76" spans="2:9" x14ac:dyDescent="0.25">
      <c r="H76" s="167" t="e">
        <f>H75/$D$73</f>
        <v>#REF!</v>
      </c>
      <c r="I76" s="165"/>
    </row>
  </sheetData>
  <mergeCells count="14">
    <mergeCell ref="N5:P5"/>
    <mergeCell ref="F4:P4"/>
    <mergeCell ref="F20:P20"/>
    <mergeCell ref="N21:P21"/>
    <mergeCell ref="C61:D61"/>
    <mergeCell ref="F61:H61"/>
    <mergeCell ref="B42:I43"/>
    <mergeCell ref="F45:H45"/>
    <mergeCell ref="C21:D21"/>
    <mergeCell ref="J5:L5"/>
    <mergeCell ref="J21:L21"/>
    <mergeCell ref="F60:I60"/>
    <mergeCell ref="F5:H5"/>
    <mergeCell ref="F21:H21"/>
  </mergeCells>
  <conditionalFormatting sqref="G23:G32">
    <cfRule type="cellIs" dxfId="10" priority="57" operator="lessThan">
      <formula>0</formula>
    </cfRule>
    <cfRule type="cellIs" dxfId="9" priority="58" operator="greaterThan">
      <formula>0</formula>
    </cfRule>
  </conditionalFormatting>
  <conditionalFormatting sqref="G63:G72">
    <cfRule type="cellIs" dxfId="8" priority="49" operator="lessThan">
      <formula>0</formula>
    </cfRule>
    <cfRule type="cellIs" dxfId="7" priority="50" operator="greaterThan">
      <formula>0</formula>
    </cfRule>
  </conditionalFormatting>
  <conditionalFormatting sqref="K23:K32">
    <cfRule type="cellIs" dxfId="6" priority="41" operator="lessThan">
      <formula>0</formula>
    </cfRule>
    <cfRule type="cellIs" dxfId="5" priority="42" operator="greaterThan">
      <formula>0</formula>
    </cfRule>
  </conditionalFormatting>
  <conditionalFormatting sqref="O23:O32">
    <cfRule type="cellIs" dxfId="4" priority="3" operator="lessThan">
      <formula>0</formula>
    </cfRule>
    <cfRule type="cellIs" dxfId="3" priority="4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9" zoomScaleNormal="100" workbookViewId="0">
      <selection activeCell="H27" sqref="H27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16.140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14062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  <c r="M1" s="1" t="s">
        <v>262</v>
      </c>
    </row>
    <row r="2" spans="1:15" x14ac:dyDescent="0.2">
      <c r="A2" s="48" t="s">
        <v>76</v>
      </c>
      <c r="B2" s="1" t="s">
        <v>235</v>
      </c>
      <c r="M2" s="1" t="s">
        <v>263</v>
      </c>
    </row>
    <row r="3" spans="1:15" x14ac:dyDescent="0.2">
      <c r="A3" s="48" t="s">
        <v>77</v>
      </c>
      <c r="B3" s="1" t="s">
        <v>264</v>
      </c>
    </row>
    <row r="4" spans="1:15" ht="29.1" customHeight="1" x14ac:dyDescent="0.2">
      <c r="A4" s="49" t="s">
        <v>78</v>
      </c>
      <c r="B4" s="384" t="s">
        <v>265</v>
      </c>
      <c r="C4" s="385"/>
      <c r="D4" s="385"/>
      <c r="E4" s="385"/>
      <c r="F4" s="385"/>
      <c r="G4" s="385"/>
      <c r="H4" s="385"/>
      <c r="I4" s="385"/>
    </row>
    <row r="5" spans="1:15" x14ac:dyDescent="0.2">
      <c r="A5" s="48" t="s">
        <v>79</v>
      </c>
      <c r="B5" s="1" t="s">
        <v>127</v>
      </c>
      <c r="E5" s="386" t="s">
        <v>50</v>
      </c>
      <c r="F5" s="387"/>
      <c r="G5" s="387"/>
      <c r="H5" s="387"/>
      <c r="I5" s="388"/>
    </row>
    <row r="6" spans="1:15" x14ac:dyDescent="0.2">
      <c r="A6" s="48" t="s">
        <v>80</v>
      </c>
      <c r="B6" s="1" t="s">
        <v>180</v>
      </c>
      <c r="E6" s="389" t="s">
        <v>51</v>
      </c>
      <c r="F6" s="390"/>
      <c r="G6" s="390"/>
      <c r="H6" s="390"/>
      <c r="I6" s="391"/>
      <c r="K6" s="1">
        <v>695963.28831570828</v>
      </c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837814.93787867599</v>
      </c>
      <c r="J9" s="1" t="s">
        <v>237</v>
      </c>
      <c r="K9" s="119">
        <f>J27/K6</f>
        <v>1.2038205921841956</v>
      </c>
      <c r="N9" s="1" t="s">
        <v>238</v>
      </c>
      <c r="O9" s="301">
        <v>1810000</v>
      </c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57" t="s">
        <v>82</v>
      </c>
      <c r="B11" s="254" t="s">
        <v>84</v>
      </c>
      <c r="C11" s="253" t="s">
        <v>97</v>
      </c>
      <c r="D11" s="144" t="s">
        <v>98</v>
      </c>
      <c r="E11" s="253" t="s">
        <v>158</v>
      </c>
      <c r="F11" s="144" t="s">
        <v>159</v>
      </c>
      <c r="M11" s="141"/>
    </row>
    <row r="12" spans="1:15" s="241" customFormat="1" ht="13.5" thickBot="1" x14ac:dyDescent="0.25">
      <c r="A12" s="145" t="s">
        <v>157</v>
      </c>
      <c r="B12" s="146">
        <f>E27*B10</f>
        <v>59976092.18</v>
      </c>
      <c r="C12" s="147">
        <f>B12*E12</f>
        <v>59976092.18</v>
      </c>
      <c r="D12" s="147">
        <f>B12*F12</f>
        <v>59976092.18</v>
      </c>
      <c r="E12" s="148">
        <v>1</v>
      </c>
      <c r="F12" s="149">
        <v>1</v>
      </c>
      <c r="I12" s="255"/>
      <c r="K12" s="256"/>
      <c r="L12" s="256"/>
    </row>
    <row r="13" spans="1:15" ht="13.5" thickBot="1" x14ac:dyDescent="0.25">
      <c r="L13" s="141">
        <f>G46</f>
        <v>172048616.21900794</v>
      </c>
      <c r="M13" s="115">
        <f>J46</f>
        <v>189295907.06430805</v>
      </c>
    </row>
    <row r="14" spans="1:15" ht="60.6" customHeight="1" thickBot="1" x14ac:dyDescent="0.25">
      <c r="A14" s="52" t="s">
        <v>85</v>
      </c>
      <c r="D14" s="98" t="s">
        <v>95</v>
      </c>
      <c r="E14" s="98" t="s">
        <v>95</v>
      </c>
      <c r="F14" s="98" t="s">
        <v>96</v>
      </c>
      <c r="G14" s="262"/>
      <c r="H14" s="262"/>
      <c r="I14" s="56" t="s">
        <v>95</v>
      </c>
      <c r="J14" s="56" t="s">
        <v>96</v>
      </c>
    </row>
    <row r="15" spans="1:15" ht="27.75" customHeight="1" x14ac:dyDescent="0.2">
      <c r="A15" s="361" t="s">
        <v>2</v>
      </c>
      <c r="B15" s="363" t="s">
        <v>3</v>
      </c>
      <c r="C15" s="363" t="s">
        <v>38</v>
      </c>
      <c r="D15" s="363" t="s">
        <v>128</v>
      </c>
      <c r="E15" s="392" t="s">
        <v>86</v>
      </c>
      <c r="F15" s="394"/>
      <c r="G15" s="364" t="s">
        <v>131</v>
      </c>
      <c r="H15" s="365"/>
      <c r="I15" s="364" t="s">
        <v>89</v>
      </c>
      <c r="J15" s="365"/>
      <c r="K15" s="392" t="s">
        <v>90</v>
      </c>
      <c r="L15" s="393"/>
      <c r="M15" s="393"/>
      <c r="N15" s="394"/>
    </row>
    <row r="16" spans="1:15" ht="25.5" x14ac:dyDescent="0.2">
      <c r="A16" s="362"/>
      <c r="B16" s="362"/>
      <c r="C16" s="362"/>
      <c r="D16" s="362"/>
      <c r="E16" s="78" t="s">
        <v>149</v>
      </c>
      <c r="F16" s="78" t="s">
        <v>178</v>
      </c>
      <c r="G16" s="78" t="s">
        <v>87</v>
      </c>
      <c r="H16" s="78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  <c r="O16" s="1" t="s">
        <v>239</v>
      </c>
    </row>
    <row r="17" spans="1:24" x14ac:dyDescent="0.2">
      <c r="A17" s="258" t="s">
        <v>228</v>
      </c>
      <c r="B17" s="276" t="s">
        <v>231</v>
      </c>
      <c r="C17" s="54" t="s">
        <v>129</v>
      </c>
      <c r="D17" s="302">
        <v>1</v>
      </c>
      <c r="E17" s="290">
        <v>1134710</v>
      </c>
      <c r="F17" s="286">
        <f>GINOFF!I9</f>
        <v>7367.8666140222922</v>
      </c>
      <c r="G17" s="291">
        <v>900000</v>
      </c>
      <c r="H17" s="290">
        <v>6500000</v>
      </c>
      <c r="I17" s="304">
        <v>900000</v>
      </c>
      <c r="J17" s="288">
        <f>GINOFF!F9</f>
        <v>6242.5057294806466</v>
      </c>
      <c r="K17" s="297">
        <f>I17-E17</f>
        <v>-234710</v>
      </c>
      <c r="L17" s="293">
        <f>J17-F17</f>
        <v>-1125.3608845416456</v>
      </c>
      <c r="M17" s="294">
        <f>K17/E17</f>
        <v>-0.20684580201108654</v>
      </c>
      <c r="N17" s="294">
        <f>L17/F17</f>
        <v>-0.15273904150217571</v>
      </c>
      <c r="O17" s="305">
        <f t="shared" ref="O17:O24" si="0">J17/$O$9</f>
        <v>3.4488981930832301E-3</v>
      </c>
      <c r="S17" s="302">
        <v>1.2</v>
      </c>
      <c r="U17" s="278">
        <f t="shared" ref="U17:U23" si="1">G17/1000000</f>
        <v>0.9</v>
      </c>
      <c r="V17" s="278">
        <f t="shared" ref="V17:V23" si="2">H17/1000000</f>
        <v>6.5</v>
      </c>
    </row>
    <row r="18" spans="1:24" x14ac:dyDescent="0.2">
      <c r="A18" s="259" t="s">
        <v>228</v>
      </c>
      <c r="B18" s="277" t="s">
        <v>207</v>
      </c>
      <c r="C18" s="54" t="s">
        <v>129</v>
      </c>
      <c r="D18" s="302">
        <v>1</v>
      </c>
      <c r="E18" s="291">
        <v>10503728.719999999</v>
      </c>
      <c r="F18" s="287">
        <f>GMCM!I9</f>
        <v>288339.09761974216</v>
      </c>
      <c r="G18" s="291">
        <v>10500000</v>
      </c>
      <c r="H18" s="290">
        <v>21000000</v>
      </c>
      <c r="I18" s="304">
        <v>12686881.296687946</v>
      </c>
      <c r="J18" s="289">
        <f>GMCM!F9</f>
        <v>333333.63867344987</v>
      </c>
      <c r="K18" s="298">
        <f t="shared" ref="K18:K23" si="3">I18-E18</f>
        <v>2183152.5766879469</v>
      </c>
      <c r="L18" s="295">
        <f t="shared" ref="L18:L24" si="4">J18-F18</f>
        <v>44994.541053707711</v>
      </c>
      <c r="M18" s="296">
        <f t="shared" ref="M18:M23" si="5">K18/E18</f>
        <v>0.20784548372151287</v>
      </c>
      <c r="N18" s="296">
        <f t="shared" ref="N18:N24" si="6">L18/F18</f>
        <v>0.15604731174211389</v>
      </c>
      <c r="O18" s="305">
        <f t="shared" si="0"/>
        <v>0.18416223131129827</v>
      </c>
      <c r="R18" s="141" t="e">
        <f>SUM(R21:R24)</f>
        <v>#REF!</v>
      </c>
      <c r="S18" s="302">
        <v>1</v>
      </c>
      <c r="U18" s="278">
        <f t="shared" si="1"/>
        <v>10.5</v>
      </c>
      <c r="V18" s="278">
        <f t="shared" si="2"/>
        <v>21</v>
      </c>
      <c r="X18" s="87"/>
    </row>
    <row r="19" spans="1:24" s="100" customFormat="1" x14ac:dyDescent="0.2">
      <c r="A19" s="259" t="s">
        <v>228</v>
      </c>
      <c r="B19" s="277" t="s">
        <v>208</v>
      </c>
      <c r="C19" s="54" t="s">
        <v>242</v>
      </c>
      <c r="D19" s="302">
        <v>1</v>
      </c>
      <c r="E19" s="291">
        <v>1751000</v>
      </c>
      <c r="F19" s="287">
        <f>GSOCIAL!I9</f>
        <v>23820.403572058858</v>
      </c>
      <c r="G19" s="291">
        <v>1800000</v>
      </c>
      <c r="H19" s="290">
        <v>7000000</v>
      </c>
      <c r="I19" s="304">
        <v>1800000</v>
      </c>
      <c r="J19" s="289">
        <f>GSOCIAL!F9</f>
        <v>24218.148093092648</v>
      </c>
      <c r="K19" s="298">
        <f t="shared" si="3"/>
        <v>49000</v>
      </c>
      <c r="L19" s="295">
        <f t="shared" si="4"/>
        <v>397.74452103379008</v>
      </c>
      <c r="M19" s="296">
        <f t="shared" si="5"/>
        <v>2.7984009137635636E-2</v>
      </c>
      <c r="N19" s="296">
        <f>L19/F19</f>
        <v>1.6697639896426492E-2</v>
      </c>
      <c r="O19" s="305">
        <f t="shared" si="0"/>
        <v>1.3380192316625773E-2</v>
      </c>
      <c r="S19" s="302">
        <v>1.2</v>
      </c>
      <c r="U19" s="278">
        <f t="shared" si="1"/>
        <v>1.8</v>
      </c>
      <c r="V19" s="278">
        <f t="shared" si="2"/>
        <v>7</v>
      </c>
    </row>
    <row r="20" spans="1:24" s="100" customFormat="1" x14ac:dyDescent="0.2">
      <c r="A20" s="259" t="s">
        <v>228</v>
      </c>
      <c r="B20" s="277" t="s">
        <v>224</v>
      </c>
      <c r="C20" s="54" t="s">
        <v>129</v>
      </c>
      <c r="D20" s="302">
        <v>1</v>
      </c>
      <c r="E20" s="291">
        <v>1111779.04</v>
      </c>
      <c r="F20" s="287">
        <f>GOLV!I9</f>
        <v>21646.235649615526</v>
      </c>
      <c r="G20" s="291">
        <v>1100000</v>
      </c>
      <c r="H20" s="290">
        <v>3500000</v>
      </c>
      <c r="I20" s="304">
        <v>1100000</v>
      </c>
      <c r="J20" s="289">
        <f>GOLV!F9</f>
        <v>21486.35797297582</v>
      </c>
      <c r="K20" s="298">
        <f t="shared" si="3"/>
        <v>-11779.040000000037</v>
      </c>
      <c r="L20" s="295">
        <f t="shared" si="4"/>
        <v>-159.8776766397059</v>
      </c>
      <c r="M20" s="296">
        <f t="shared" si="5"/>
        <v>-1.0594767104082154E-2</v>
      </c>
      <c r="N20" s="296">
        <f t="shared" si="6"/>
        <v>-7.3859344057610127E-3</v>
      </c>
      <c r="O20" s="305">
        <f t="shared" si="0"/>
        <v>1.1870916007168962E-2</v>
      </c>
      <c r="S20" s="302">
        <v>1.2</v>
      </c>
      <c r="U20" s="278">
        <f t="shared" si="1"/>
        <v>1.1000000000000001</v>
      </c>
      <c r="V20" s="278">
        <f t="shared" si="2"/>
        <v>3.5</v>
      </c>
    </row>
    <row r="21" spans="1:24" s="100" customFormat="1" x14ac:dyDescent="0.2">
      <c r="A21" s="259" t="s">
        <v>228</v>
      </c>
      <c r="B21" s="277" t="s">
        <v>226</v>
      </c>
      <c r="C21" s="54" t="s">
        <v>242</v>
      </c>
      <c r="D21" s="302">
        <v>1</v>
      </c>
      <c r="E21" s="291">
        <v>13418576</v>
      </c>
      <c r="F21" s="287">
        <f>GSTRTV!I9</f>
        <v>100808.3256282994</v>
      </c>
      <c r="G21" s="291">
        <v>9400000</v>
      </c>
      <c r="H21" s="290">
        <v>27304858</v>
      </c>
      <c r="I21" s="304">
        <v>9400000</v>
      </c>
      <c r="J21" s="289">
        <f>GSTRTV!F9</f>
        <v>78576.267944646228</v>
      </c>
      <c r="K21" s="298">
        <f t="shared" si="3"/>
        <v>-4018576</v>
      </c>
      <c r="L21" s="295">
        <f t="shared" si="4"/>
        <v>-22232.057683653169</v>
      </c>
      <c r="M21" s="296">
        <f>K21/E21</f>
        <v>-0.29947857358336682</v>
      </c>
      <c r="N21" s="296">
        <f t="shared" si="6"/>
        <v>-0.22053791237072268</v>
      </c>
      <c r="O21" s="305">
        <f t="shared" si="0"/>
        <v>4.3412302731848748E-2</v>
      </c>
      <c r="P21" s="100">
        <v>7932686.9382044151</v>
      </c>
      <c r="Q21" s="100">
        <v>15653037</v>
      </c>
      <c r="R21" s="141">
        <f>Q21-G21</f>
        <v>6253037</v>
      </c>
      <c r="S21" s="302">
        <v>1.2</v>
      </c>
      <c r="U21" s="278">
        <f t="shared" si="1"/>
        <v>9.4</v>
      </c>
      <c r="V21" s="278">
        <f t="shared" si="2"/>
        <v>27.304857999999999</v>
      </c>
    </row>
    <row r="22" spans="1:24" s="100" customFormat="1" x14ac:dyDescent="0.2">
      <c r="A22" s="259" t="s">
        <v>228</v>
      </c>
      <c r="B22" s="277" t="s">
        <v>209</v>
      </c>
      <c r="C22" s="54" t="s">
        <v>242</v>
      </c>
      <c r="D22" s="302">
        <v>1</v>
      </c>
      <c r="E22" s="291">
        <v>2859426.82</v>
      </c>
      <c r="F22" s="287">
        <f>GDISP!I9</f>
        <v>76065.012406995462</v>
      </c>
      <c r="G22" s="291">
        <v>2900000</v>
      </c>
      <c r="H22" s="290">
        <v>5000000</v>
      </c>
      <c r="I22" s="304">
        <v>2900000</v>
      </c>
      <c r="J22" s="289">
        <f>GDISP!F9</f>
        <v>76710.770935870692</v>
      </c>
      <c r="K22" s="298">
        <f t="shared" si="3"/>
        <v>40573.180000000168</v>
      </c>
      <c r="L22" s="295">
        <f t="shared" si="4"/>
        <v>645.7585288752307</v>
      </c>
      <c r="M22" s="296">
        <f t="shared" si="5"/>
        <v>1.4189270281797305E-2</v>
      </c>
      <c r="N22" s="296">
        <f t="shared" si="6"/>
        <v>8.4895605540694329E-3</v>
      </c>
      <c r="O22" s="305">
        <f t="shared" si="0"/>
        <v>4.238164140103353E-2</v>
      </c>
      <c r="S22" s="302">
        <v>1</v>
      </c>
      <c r="U22" s="278">
        <f t="shared" si="1"/>
        <v>2.9</v>
      </c>
      <c r="V22" s="278">
        <f t="shared" si="2"/>
        <v>5</v>
      </c>
    </row>
    <row r="23" spans="1:24" s="100" customFormat="1" x14ac:dyDescent="0.2">
      <c r="A23" s="259" t="s">
        <v>228</v>
      </c>
      <c r="B23" s="277" t="s">
        <v>210</v>
      </c>
      <c r="C23" s="54" t="s">
        <v>242</v>
      </c>
      <c r="D23" s="302">
        <v>1</v>
      </c>
      <c r="E23" s="291">
        <v>50000</v>
      </c>
      <c r="F23" s="287">
        <f>GPDSRCH!I9</f>
        <v>30136.792938374307</v>
      </c>
      <c r="G23" s="291">
        <v>100000</v>
      </c>
      <c r="H23" s="290">
        <v>200000</v>
      </c>
      <c r="I23" s="304">
        <v>200000</v>
      </c>
      <c r="J23" s="289">
        <f>GPDSRCH!F9</f>
        <v>79531.473375019181</v>
      </c>
      <c r="K23" s="298">
        <f t="shared" si="3"/>
        <v>150000</v>
      </c>
      <c r="L23" s="295">
        <f t="shared" si="4"/>
        <v>49394.680436644878</v>
      </c>
      <c r="M23" s="296">
        <f t="shared" si="5"/>
        <v>3</v>
      </c>
      <c r="N23" s="296">
        <f t="shared" si="6"/>
        <v>1.6390158215457884</v>
      </c>
      <c r="O23" s="305">
        <f t="shared" si="0"/>
        <v>4.3940040538684631E-2</v>
      </c>
      <c r="S23" s="302">
        <v>1.2</v>
      </c>
      <c r="U23" s="278">
        <f t="shared" si="1"/>
        <v>0.1</v>
      </c>
      <c r="V23" s="278">
        <f t="shared" si="2"/>
        <v>0.2</v>
      </c>
    </row>
    <row r="24" spans="1:24" s="100" customFormat="1" x14ac:dyDescent="0.2">
      <c r="A24" s="259" t="s">
        <v>228</v>
      </c>
      <c r="B24" s="277" t="s">
        <v>232</v>
      </c>
      <c r="C24" s="54" t="s">
        <v>242</v>
      </c>
      <c r="D24" s="302">
        <v>1</v>
      </c>
      <c r="E24" s="291">
        <v>25810928.600000001</v>
      </c>
      <c r="F24" s="287">
        <f>GLINEARTV!I9</f>
        <v>168508.00202805389</v>
      </c>
      <c r="G24" s="291">
        <v>28089210.840000004</v>
      </c>
      <c r="H24" s="290">
        <v>53783542</v>
      </c>
      <c r="I24" s="304">
        <v>28089210.84</v>
      </c>
      <c r="J24" s="289">
        <f>GLINEARTV!F9</f>
        <v>178786.88808485144</v>
      </c>
      <c r="K24" s="298">
        <f>I24-E24</f>
        <v>2278282.2399999984</v>
      </c>
      <c r="L24" s="295">
        <f t="shared" si="4"/>
        <v>10278.88605679755</v>
      </c>
      <c r="M24" s="296">
        <f>K24/E24</f>
        <v>8.826812375901881E-2</v>
      </c>
      <c r="N24" s="296">
        <f t="shared" si="6"/>
        <v>6.099939429040456E-2</v>
      </c>
      <c r="O24" s="305">
        <f t="shared" si="0"/>
        <v>9.8777286234724551E-2</v>
      </c>
      <c r="P24" s="100">
        <v>18647619.061795581</v>
      </c>
      <c r="Q24" s="100">
        <v>28032722</v>
      </c>
      <c r="R24" s="141" t="e">
        <f>Q24-#REF!</f>
        <v>#REF!</v>
      </c>
      <c r="S24" s="302">
        <v>1.2</v>
      </c>
      <c r="U24" s="278" t="e">
        <f>#REF!/1000000</f>
        <v>#REF!</v>
      </c>
      <c r="V24" s="278" t="e">
        <f>#REF!/1000000</f>
        <v>#REF!</v>
      </c>
    </row>
    <row r="25" spans="1:24" s="100" customFormat="1" x14ac:dyDescent="0.2">
      <c r="A25" s="259" t="s">
        <v>228</v>
      </c>
      <c r="B25" s="277" t="s">
        <v>177</v>
      </c>
      <c r="C25" s="54" t="s">
        <v>242</v>
      </c>
      <c r="D25" s="302">
        <v>1</v>
      </c>
      <c r="E25" s="291">
        <v>923975</v>
      </c>
      <c r="F25" s="287">
        <f>GAUDIO!I9</f>
        <v>26581.559263521289</v>
      </c>
      <c r="G25" s="291">
        <v>500000</v>
      </c>
      <c r="H25" s="290">
        <v>2200000</v>
      </c>
      <c r="I25" s="304">
        <v>500000.00000000006</v>
      </c>
      <c r="J25" s="289">
        <f>GAUDIO!F9</f>
        <v>20792.387787549633</v>
      </c>
      <c r="K25" s="298"/>
      <c r="L25" s="295"/>
      <c r="M25" s="296"/>
      <c r="N25" s="296"/>
      <c r="O25" s="305"/>
      <c r="R25" s="141"/>
      <c r="S25" s="340"/>
      <c r="U25" s="278"/>
      <c r="V25" s="278"/>
    </row>
    <row r="26" spans="1:24" s="100" customFormat="1" x14ac:dyDescent="0.2">
      <c r="A26" s="259" t="s">
        <v>228</v>
      </c>
      <c r="B26" s="277" t="s">
        <v>266</v>
      </c>
      <c r="C26" s="54" t="s">
        <v>129</v>
      </c>
      <c r="D26" s="302">
        <v>1</v>
      </c>
      <c r="E26" s="291">
        <v>2411968</v>
      </c>
      <c r="F26" s="287">
        <f>GPHRMCY!I9</f>
        <v>18205.929821531288</v>
      </c>
      <c r="G26" s="291">
        <v>2400000</v>
      </c>
      <c r="H26" s="290">
        <v>6000000</v>
      </c>
      <c r="I26" s="304">
        <v>2400000</v>
      </c>
      <c r="J26" s="289">
        <f>GPHRMCY!F9</f>
        <v>18136.499281739816</v>
      </c>
      <c r="K26" s="298"/>
      <c r="L26" s="295"/>
      <c r="M26" s="296"/>
      <c r="N26" s="296"/>
      <c r="O26" s="305"/>
      <c r="R26" s="141"/>
      <c r="S26" s="340"/>
      <c r="U26" s="278"/>
      <c r="V26" s="278"/>
    </row>
    <row r="27" spans="1:24" s="100" customFormat="1" x14ac:dyDescent="0.2">
      <c r="A27" s="129" t="s">
        <v>154</v>
      </c>
      <c r="B27" s="129" t="s">
        <v>99</v>
      </c>
      <c r="C27" s="129"/>
      <c r="D27" s="129"/>
      <c r="E27" s="292">
        <f t="shared" ref="E27:L27" si="7">SUM(E17:E26)</f>
        <v>59976092.18</v>
      </c>
      <c r="F27" s="292">
        <f t="shared" si="7"/>
        <v>761479.22554221447</v>
      </c>
      <c r="G27" s="292">
        <f t="shared" si="7"/>
        <v>57689210.840000004</v>
      </c>
      <c r="H27" s="292">
        <f t="shared" si="7"/>
        <v>132488400</v>
      </c>
      <c r="I27" s="292">
        <f t="shared" si="7"/>
        <v>59976092.136687949</v>
      </c>
      <c r="J27" s="292">
        <f t="shared" si="7"/>
        <v>837814.93787867599</v>
      </c>
      <c r="K27" s="292">
        <f t="shared" si="7"/>
        <v>435942.95668794541</v>
      </c>
      <c r="L27" s="292">
        <f t="shared" si="7"/>
        <v>82194.314352224639</v>
      </c>
      <c r="M27" s="153">
        <f>K27/E27</f>
        <v>7.2686122226769158E-3</v>
      </c>
      <c r="N27" s="153">
        <f>L27/F27</f>
        <v>0.10794032403667721</v>
      </c>
      <c r="O27" s="306">
        <f>SUM(O17:O24)</f>
        <v>0.44137350873446762</v>
      </c>
    </row>
    <row r="28" spans="1:24" x14ac:dyDescent="0.2">
      <c r="B28" s="1" t="s">
        <v>103</v>
      </c>
      <c r="E28" s="301">
        <f>E27-E29</f>
        <v>49472363.460000001</v>
      </c>
      <c r="F28" s="301">
        <f>F27-F29</f>
        <v>473140.12792247231</v>
      </c>
      <c r="I28" s="303">
        <f>I27-I29</f>
        <v>47289210.840000004</v>
      </c>
      <c r="J28" s="301">
        <f>J27-J29</f>
        <v>504481.29920522613</v>
      </c>
    </row>
    <row r="29" spans="1:24" x14ac:dyDescent="0.2">
      <c r="B29" s="1" t="s">
        <v>236</v>
      </c>
      <c r="C29" s="1" t="s">
        <v>260</v>
      </c>
      <c r="E29" s="301">
        <f>E18</f>
        <v>10503728.719999999</v>
      </c>
      <c r="F29" s="301">
        <f>F18</f>
        <v>288339.09761974216</v>
      </c>
      <c r="G29" s="141">
        <f>SUM(G17:G24)</f>
        <v>54789210.840000004</v>
      </c>
      <c r="H29" s="141">
        <f>SUM(H17:H24)</f>
        <v>124288400</v>
      </c>
      <c r="I29" s="303">
        <f>I18</f>
        <v>12686881.296687946</v>
      </c>
      <c r="J29" s="301">
        <f>J18</f>
        <v>333333.63867344987</v>
      </c>
      <c r="K29" s="141" t="s">
        <v>261</v>
      </c>
    </row>
    <row r="30" spans="1:24" x14ac:dyDescent="0.2">
      <c r="C30" s="141">
        <f>(E24+E21 )-14712253</f>
        <v>24517251.600000001</v>
      </c>
      <c r="K30" s="141">
        <f>(I24+I21) - C30</f>
        <v>12971959.240000002</v>
      </c>
    </row>
    <row r="31" spans="1:24" s="100" customFormat="1" x14ac:dyDescent="0.2">
      <c r="D31" s="399" t="s">
        <v>154</v>
      </c>
      <c r="E31" s="399"/>
      <c r="F31" s="399"/>
      <c r="G31" s="399"/>
      <c r="H31" s="399"/>
      <c r="I31" s="399"/>
      <c r="J31" s="398"/>
      <c r="K31" s="398"/>
      <c r="L31" s="398"/>
      <c r="M31" s="398"/>
      <c r="N31" s="398"/>
      <c r="O31" s="398"/>
      <c r="P31" s="135"/>
    </row>
    <row r="32" spans="1:24" ht="51" x14ac:dyDescent="0.2">
      <c r="A32" s="381" t="s">
        <v>132</v>
      </c>
      <c r="D32" s="139" t="s">
        <v>126</v>
      </c>
      <c r="E32" s="139" t="s">
        <v>141</v>
      </c>
      <c r="F32" s="139" t="s">
        <v>145</v>
      </c>
      <c r="G32" s="139" t="s">
        <v>142</v>
      </c>
      <c r="H32" s="139" t="s">
        <v>143</v>
      </c>
      <c r="I32" s="139" t="s">
        <v>144</v>
      </c>
      <c r="J32" s="82"/>
      <c r="K32" s="82"/>
      <c r="L32" s="82"/>
      <c r="M32" s="82"/>
      <c r="N32" s="82"/>
      <c r="O32" s="82"/>
      <c r="P32" s="135"/>
    </row>
    <row r="33" spans="1:22" x14ac:dyDescent="0.2">
      <c r="A33" s="381"/>
      <c r="D33" s="155">
        <v>1</v>
      </c>
      <c r="E33" s="128">
        <v>225.94</v>
      </c>
      <c r="F33" s="328">
        <f>E33</f>
        <v>225.94</v>
      </c>
      <c r="G33" s="128">
        <f>E33</f>
        <v>225.94</v>
      </c>
      <c r="H33" s="140"/>
      <c r="I33" s="128">
        <f>E33</f>
        <v>225.94</v>
      </c>
      <c r="J33" s="134"/>
      <c r="K33" s="136"/>
      <c r="L33" s="137"/>
      <c r="M33" s="136"/>
      <c r="N33" s="138"/>
      <c r="O33" s="136"/>
      <c r="P33" s="135"/>
    </row>
    <row r="34" spans="1:22" ht="13.7" customHeight="1" x14ac:dyDescent="0.2">
      <c r="A34" s="380" t="s">
        <v>2</v>
      </c>
      <c r="B34" s="363" t="s">
        <v>3</v>
      </c>
      <c r="C34" s="363" t="str">
        <f t="shared" ref="C34:C45" si="8">D15</f>
        <v>Response Scaling Factor for Sensitivity Analysis</v>
      </c>
      <c r="D34" s="395" t="s">
        <v>86</v>
      </c>
      <c r="E34" s="396"/>
      <c r="F34" s="396"/>
      <c r="G34" s="397"/>
      <c r="H34" s="382" t="s">
        <v>89</v>
      </c>
      <c r="I34" s="383"/>
      <c r="J34" s="383"/>
      <c r="K34" s="395" t="s">
        <v>136</v>
      </c>
      <c r="L34" s="396"/>
      <c r="M34" s="396"/>
      <c r="N34" s="397"/>
      <c r="P34" s="135"/>
      <c r="Q34" s="135"/>
      <c r="R34" s="135"/>
      <c r="S34" s="135"/>
      <c r="T34" s="135"/>
      <c r="U34" s="135"/>
      <c r="V34" s="135"/>
    </row>
    <row r="35" spans="1:22" ht="74.45" customHeight="1" x14ac:dyDescent="0.2">
      <c r="A35" s="362"/>
      <c r="B35" s="362"/>
      <c r="C35" s="362">
        <f t="shared" si="8"/>
        <v>0</v>
      </c>
      <c r="D35" s="95" t="s">
        <v>269</v>
      </c>
      <c r="E35" s="95" t="s">
        <v>133</v>
      </c>
      <c r="F35" s="95" t="s">
        <v>134</v>
      </c>
      <c r="G35" s="95" t="s">
        <v>146</v>
      </c>
      <c r="H35" s="55" t="s">
        <v>270</v>
      </c>
      <c r="I35" s="55" t="s">
        <v>135</v>
      </c>
      <c r="J35" s="55" t="s">
        <v>147</v>
      </c>
      <c r="K35" s="95" t="s">
        <v>137</v>
      </c>
      <c r="L35" s="95" t="s">
        <v>138</v>
      </c>
      <c r="M35" s="95" t="s">
        <v>139</v>
      </c>
      <c r="N35" s="95" t="s">
        <v>140</v>
      </c>
    </row>
    <row r="36" spans="1:22" x14ac:dyDescent="0.2">
      <c r="A36" s="221" t="str">
        <f t="shared" ref="A36:B39" si="9">A17</f>
        <v>Gardasil Adults</v>
      </c>
      <c r="B36" s="221" t="str">
        <f t="shared" si="9"/>
        <v>HCC InOffice</v>
      </c>
      <c r="C36" s="93">
        <f t="shared" si="8"/>
        <v>1</v>
      </c>
      <c r="D36" s="101">
        <f t="shared" ref="D36:D45" si="10">E17</f>
        <v>1134710</v>
      </c>
      <c r="E36" s="243" t="s">
        <v>161</v>
      </c>
      <c r="F36" s="103">
        <f t="shared" ref="F36:F45" si="11">F17/$D$33</f>
        <v>7367.8666140222922</v>
      </c>
      <c r="G36" s="105">
        <f>F36*$F$33</f>
        <v>1664695.7827721967</v>
      </c>
      <c r="H36" s="107">
        <f t="shared" ref="H36:H45" si="12">I17</f>
        <v>900000</v>
      </c>
      <c r="I36" s="103">
        <f t="shared" ref="I36:I45" si="13">J17/$D$33</f>
        <v>6242.5057294806466</v>
      </c>
      <c r="J36" s="109">
        <f>I36*$F$33</f>
        <v>1410431.7445188572</v>
      </c>
      <c r="K36" s="101">
        <f>H36-D36</f>
        <v>-234710</v>
      </c>
      <c r="L36" s="101">
        <f>J36-G36</f>
        <v>-254264.03825333947</v>
      </c>
      <c r="M36" s="111">
        <f>K36/D36</f>
        <v>-0.20684580201108654</v>
      </c>
      <c r="N36" s="112">
        <f>L36/G36</f>
        <v>-0.15273904150217574</v>
      </c>
      <c r="O36" s="307">
        <f>(J36-G36)/1000000</f>
        <v>-0.25426403825333949</v>
      </c>
    </row>
    <row r="37" spans="1:22" x14ac:dyDescent="0.2">
      <c r="A37" s="227" t="str">
        <f t="shared" si="9"/>
        <v>Gardasil Adults</v>
      </c>
      <c r="B37" s="227" t="str">
        <f t="shared" si="9"/>
        <v>HCP MCM</v>
      </c>
      <c r="C37" s="94">
        <f t="shared" si="8"/>
        <v>1</v>
      </c>
      <c r="D37" s="102">
        <f t="shared" si="10"/>
        <v>10503728.719999999</v>
      </c>
      <c r="E37" s="244" t="s">
        <v>161</v>
      </c>
      <c r="F37" s="104">
        <f t="shared" si="11"/>
        <v>288339.09761974216</v>
      </c>
      <c r="G37" s="106">
        <f t="shared" ref="G37:G45" si="14">F37*$F$33</f>
        <v>65147335.716204539</v>
      </c>
      <c r="H37" s="108">
        <f t="shared" si="12"/>
        <v>12686881.296687946</v>
      </c>
      <c r="I37" s="104">
        <f t="shared" si="13"/>
        <v>333333.63867344987</v>
      </c>
      <c r="J37" s="110">
        <f t="shared" ref="J37" si="15">I37*$F$33</f>
        <v>75313402.321879268</v>
      </c>
      <c r="K37" s="102">
        <f t="shared" ref="K37" si="16">H37-D37</f>
        <v>2183152.5766879469</v>
      </c>
      <c r="L37" s="102">
        <f t="shared" ref="L37" si="17">J37-G37</f>
        <v>10166066.605674729</v>
      </c>
      <c r="M37" s="113">
        <f t="shared" ref="M37" si="18">K37/D37</f>
        <v>0.20784548372151287</v>
      </c>
      <c r="N37" s="114">
        <f t="shared" ref="N37" si="19">L37/G37</f>
        <v>0.15604731174211403</v>
      </c>
      <c r="O37" s="307">
        <f t="shared" ref="O37:O45" si="20">(J37-G37)/1000000</f>
        <v>10.166066605674729</v>
      </c>
    </row>
    <row r="38" spans="1:22" s="100" customFormat="1" x14ac:dyDescent="0.2">
      <c r="A38" s="227" t="str">
        <f t="shared" si="9"/>
        <v>Gardasil Adults</v>
      </c>
      <c r="B38" s="227" t="str">
        <f t="shared" si="9"/>
        <v>HCC Social</v>
      </c>
      <c r="C38" s="94">
        <f t="shared" si="8"/>
        <v>1</v>
      </c>
      <c r="D38" s="102">
        <f t="shared" si="10"/>
        <v>1751000</v>
      </c>
      <c r="E38" s="244" t="s">
        <v>161</v>
      </c>
      <c r="F38" s="104">
        <f t="shared" si="11"/>
        <v>23820.403572058858</v>
      </c>
      <c r="G38" s="106">
        <f t="shared" si="14"/>
        <v>5381981.983070978</v>
      </c>
      <c r="H38" s="108">
        <f t="shared" si="12"/>
        <v>1800000</v>
      </c>
      <c r="I38" s="104">
        <f t="shared" si="13"/>
        <v>24218.148093092648</v>
      </c>
      <c r="J38" s="110">
        <f t="shared" ref="J38:J45" si="21">I38*$F$33</f>
        <v>5471848.3801533533</v>
      </c>
      <c r="K38" s="102">
        <f t="shared" ref="K38:K45" si="22">H38-D38</f>
        <v>49000</v>
      </c>
      <c r="L38" s="102">
        <f t="shared" ref="L38:L45" si="23">J38-G38</f>
        <v>89866.397082375363</v>
      </c>
      <c r="M38" s="113">
        <f t="shared" ref="M38:M45" si="24">K38/D38</f>
        <v>2.7984009137635636E-2</v>
      </c>
      <c r="N38" s="114">
        <f t="shared" ref="N38:N45" si="25">L38/G38</f>
        <v>1.6697639896426645E-2</v>
      </c>
      <c r="O38" s="307">
        <f t="shared" si="20"/>
        <v>8.9866397082375357E-2</v>
      </c>
      <c r="P38" s="115"/>
    </row>
    <row r="39" spans="1:22" s="100" customFormat="1" x14ac:dyDescent="0.2">
      <c r="A39" s="227" t="str">
        <f t="shared" si="9"/>
        <v>Gardasil Adults</v>
      </c>
      <c r="B39" s="227" t="str">
        <f t="shared" si="9"/>
        <v>HCC Online Video</v>
      </c>
      <c r="C39" s="94">
        <f t="shared" si="8"/>
        <v>1</v>
      </c>
      <c r="D39" s="102">
        <f t="shared" si="10"/>
        <v>1111779.04</v>
      </c>
      <c r="E39" s="244" t="s">
        <v>161</v>
      </c>
      <c r="F39" s="104">
        <f t="shared" si="11"/>
        <v>21646.235649615526</v>
      </c>
      <c r="G39" s="106">
        <f t="shared" si="14"/>
        <v>4890750.4826741321</v>
      </c>
      <c r="H39" s="108">
        <f t="shared" si="12"/>
        <v>1100000</v>
      </c>
      <c r="I39" s="104">
        <f t="shared" si="13"/>
        <v>21486.35797297582</v>
      </c>
      <c r="J39" s="110">
        <f t="shared" si="21"/>
        <v>4854627.720414157</v>
      </c>
      <c r="K39" s="102">
        <f t="shared" si="22"/>
        <v>-11779.040000000037</v>
      </c>
      <c r="L39" s="102">
        <f t="shared" si="23"/>
        <v>-36122.762259975076</v>
      </c>
      <c r="M39" s="113">
        <f t="shared" si="24"/>
        <v>-1.0594767104082154E-2</v>
      </c>
      <c r="N39" s="114">
        <f t="shared" si="25"/>
        <v>-7.3859344057609971E-3</v>
      </c>
      <c r="O39" s="307">
        <f t="shared" si="20"/>
        <v>-3.6122762259975079E-2</v>
      </c>
    </row>
    <row r="40" spans="1:22" s="100" customFormat="1" x14ac:dyDescent="0.2">
      <c r="A40" s="259" t="s">
        <v>228</v>
      </c>
      <c r="B40" s="227" t="str">
        <f>B21</f>
        <v>HCC Streaming Video</v>
      </c>
      <c r="C40" s="94">
        <f t="shared" si="8"/>
        <v>1</v>
      </c>
      <c r="D40" s="102">
        <f t="shared" si="10"/>
        <v>13418576</v>
      </c>
      <c r="E40" s="244" t="s">
        <v>161</v>
      </c>
      <c r="F40" s="104">
        <f t="shared" si="11"/>
        <v>100808.3256282994</v>
      </c>
      <c r="G40" s="106">
        <f t="shared" si="14"/>
        <v>22776633.092457965</v>
      </c>
      <c r="H40" s="108">
        <f t="shared" si="12"/>
        <v>9400000</v>
      </c>
      <c r="I40" s="104">
        <f t="shared" si="13"/>
        <v>78576.267944646228</v>
      </c>
      <c r="J40" s="110">
        <f t="shared" si="21"/>
        <v>17753521.979413368</v>
      </c>
      <c r="K40" s="102">
        <f t="shared" si="22"/>
        <v>-4018576</v>
      </c>
      <c r="L40" s="102">
        <f t="shared" si="23"/>
        <v>-5023111.1130445972</v>
      </c>
      <c r="M40" s="113">
        <f t="shared" si="24"/>
        <v>-0.29947857358336682</v>
      </c>
      <c r="N40" s="114">
        <f t="shared" si="25"/>
        <v>-0.22053791237072268</v>
      </c>
      <c r="O40" s="307">
        <f t="shared" si="20"/>
        <v>-5.0231111130445969</v>
      </c>
    </row>
    <row r="41" spans="1:22" s="100" customFormat="1" x14ac:dyDescent="0.2">
      <c r="A41" s="227" t="str">
        <f>A22</f>
        <v>Gardasil Adults</v>
      </c>
      <c r="B41" s="227" t="str">
        <f>B22</f>
        <v>HCC Display</v>
      </c>
      <c r="C41" s="94">
        <f t="shared" si="8"/>
        <v>1</v>
      </c>
      <c r="D41" s="102">
        <f t="shared" si="10"/>
        <v>2859426.82</v>
      </c>
      <c r="E41" s="244" t="s">
        <v>161</v>
      </c>
      <c r="F41" s="104">
        <f t="shared" si="11"/>
        <v>76065.012406995462</v>
      </c>
      <c r="G41" s="106">
        <f t="shared" si="14"/>
        <v>17186128.903236553</v>
      </c>
      <c r="H41" s="108">
        <f t="shared" si="12"/>
        <v>2900000</v>
      </c>
      <c r="I41" s="104">
        <f t="shared" si="13"/>
        <v>76710.770935870692</v>
      </c>
      <c r="J41" s="110">
        <f t="shared" si="21"/>
        <v>17332031.585250624</v>
      </c>
      <c r="K41" s="102">
        <f t="shared" si="22"/>
        <v>40573.180000000168</v>
      </c>
      <c r="L41" s="102">
        <f t="shared" si="23"/>
        <v>145902.68201407045</v>
      </c>
      <c r="M41" s="113">
        <f t="shared" si="24"/>
        <v>1.4189270281797305E-2</v>
      </c>
      <c r="N41" s="114">
        <f t="shared" si="25"/>
        <v>8.4895605540694814E-3</v>
      </c>
      <c r="O41" s="307">
        <f t="shared" si="20"/>
        <v>0.14590268201407045</v>
      </c>
    </row>
    <row r="42" spans="1:22" x14ac:dyDescent="0.2">
      <c r="A42" s="227" t="str">
        <f>A23</f>
        <v>Gardasil Adults</v>
      </c>
      <c r="B42" s="227" t="str">
        <f>B23</f>
        <v>HCC Paid Search</v>
      </c>
      <c r="C42" s="94">
        <f t="shared" si="8"/>
        <v>1</v>
      </c>
      <c r="D42" s="102">
        <f t="shared" si="10"/>
        <v>50000</v>
      </c>
      <c r="E42" s="244" t="s">
        <v>161</v>
      </c>
      <c r="F42" s="104">
        <f t="shared" si="11"/>
        <v>30136.792938374307</v>
      </c>
      <c r="G42" s="106">
        <f t="shared" si="14"/>
        <v>6809106.9964962909</v>
      </c>
      <c r="H42" s="108">
        <f t="shared" si="12"/>
        <v>200000</v>
      </c>
      <c r="I42" s="104">
        <f t="shared" si="13"/>
        <v>79531.473375019181</v>
      </c>
      <c r="J42" s="110">
        <f t="shared" si="21"/>
        <v>17969341.094351832</v>
      </c>
      <c r="K42" s="102">
        <f t="shared" si="22"/>
        <v>150000</v>
      </c>
      <c r="L42" s="102">
        <f t="shared" si="23"/>
        <v>11160234.097855542</v>
      </c>
      <c r="M42" s="113">
        <f t="shared" si="24"/>
        <v>3</v>
      </c>
      <c r="N42" s="114">
        <f t="shared" si="25"/>
        <v>1.6390158215457882</v>
      </c>
      <c r="O42" s="307">
        <f t="shared" si="20"/>
        <v>11.160234097855541</v>
      </c>
    </row>
    <row r="43" spans="1:22" s="100" customFormat="1" x14ac:dyDescent="0.2">
      <c r="A43" s="227" t="str">
        <f>A24</f>
        <v>Gardasil Adults</v>
      </c>
      <c r="B43" s="227" t="str">
        <f>B24</f>
        <v>HCC Linear TV</v>
      </c>
      <c r="C43" s="94">
        <f t="shared" si="8"/>
        <v>1</v>
      </c>
      <c r="D43" s="102">
        <f>E24</f>
        <v>25810928.600000001</v>
      </c>
      <c r="E43" s="244" t="s">
        <v>161</v>
      </c>
      <c r="F43" s="104">
        <f t="shared" si="11"/>
        <v>168508.00202805389</v>
      </c>
      <c r="G43" s="106">
        <f t="shared" si="14"/>
        <v>38072697.978218496</v>
      </c>
      <c r="H43" s="108">
        <f t="shared" si="12"/>
        <v>28089210.84</v>
      </c>
      <c r="I43" s="104">
        <f t="shared" si="13"/>
        <v>178786.88808485144</v>
      </c>
      <c r="J43" s="110">
        <f t="shared" si="21"/>
        <v>40395109.493891336</v>
      </c>
      <c r="K43" s="102">
        <f t="shared" si="22"/>
        <v>2278282.2399999984</v>
      </c>
      <c r="L43" s="102">
        <f t="shared" si="23"/>
        <v>2322411.5156728402</v>
      </c>
      <c r="M43" s="113">
        <f t="shared" si="24"/>
        <v>8.826812375901881E-2</v>
      </c>
      <c r="N43" s="114">
        <f t="shared" si="25"/>
        <v>6.0999394290404602E-2</v>
      </c>
      <c r="O43" s="307">
        <f t="shared" si="20"/>
        <v>2.3224115156728402</v>
      </c>
    </row>
    <row r="44" spans="1:22" s="100" customFormat="1" x14ac:dyDescent="0.2">
      <c r="A44" s="227" t="str">
        <f t="shared" ref="A44:B45" si="26">A25</f>
        <v>Gardasil Adults</v>
      </c>
      <c r="B44" s="227" t="str">
        <f t="shared" si="26"/>
        <v>HCC Radio</v>
      </c>
      <c r="C44" s="94">
        <f t="shared" si="8"/>
        <v>1</v>
      </c>
      <c r="D44" s="102">
        <f>E25</f>
        <v>923975</v>
      </c>
      <c r="E44" s="244" t="s">
        <v>161</v>
      </c>
      <c r="F44" s="104">
        <f t="shared" si="11"/>
        <v>26581.559263521289</v>
      </c>
      <c r="G44" s="106">
        <f t="shared" si="14"/>
        <v>6005837.5</v>
      </c>
      <c r="H44" s="108">
        <f t="shared" si="12"/>
        <v>500000.00000000006</v>
      </c>
      <c r="I44" s="104">
        <f t="shared" si="13"/>
        <v>20792.387787549633</v>
      </c>
      <c r="J44" s="110">
        <f t="shared" si="21"/>
        <v>4697832.0967189642</v>
      </c>
      <c r="K44" s="102">
        <f t="shared" si="22"/>
        <v>-423974.99999999994</v>
      </c>
      <c r="L44" s="102">
        <f t="shared" si="23"/>
        <v>-1308005.4032810358</v>
      </c>
      <c r="M44" s="113">
        <f t="shared" si="24"/>
        <v>-0.4588598176357585</v>
      </c>
      <c r="N44" s="114">
        <f t="shared" si="25"/>
        <v>-0.21778900998920397</v>
      </c>
      <c r="O44" s="307">
        <f t="shared" si="20"/>
        <v>-1.3080054032810358</v>
      </c>
    </row>
    <row r="45" spans="1:22" s="100" customFormat="1" x14ac:dyDescent="0.2">
      <c r="A45" s="227" t="str">
        <f t="shared" si="26"/>
        <v>Gardasil Adults</v>
      </c>
      <c r="B45" s="227" t="str">
        <f t="shared" si="26"/>
        <v>HCC Pharmacy</v>
      </c>
      <c r="C45" s="94">
        <f t="shared" si="8"/>
        <v>1</v>
      </c>
      <c r="D45" s="102">
        <f t="shared" si="10"/>
        <v>2411968</v>
      </c>
      <c r="E45" s="244" t="s">
        <v>161</v>
      </c>
      <c r="F45" s="104">
        <f t="shared" si="11"/>
        <v>18205.929821531288</v>
      </c>
      <c r="G45" s="106">
        <f t="shared" si="14"/>
        <v>4113447.783876779</v>
      </c>
      <c r="H45" s="108">
        <f t="shared" si="12"/>
        <v>2400000</v>
      </c>
      <c r="I45" s="104">
        <f t="shared" si="13"/>
        <v>18136.499281739816</v>
      </c>
      <c r="J45" s="110">
        <f t="shared" si="21"/>
        <v>4097760.647716294</v>
      </c>
      <c r="K45" s="102">
        <f t="shared" si="22"/>
        <v>-11968</v>
      </c>
      <c r="L45" s="102">
        <f t="shared" si="23"/>
        <v>-15687.136160484981</v>
      </c>
      <c r="M45" s="113">
        <f t="shared" si="24"/>
        <v>-4.9619232095948207E-3</v>
      </c>
      <c r="N45" s="114">
        <f t="shared" si="25"/>
        <v>-3.8136222907636888E-3</v>
      </c>
      <c r="O45" s="307">
        <f t="shared" si="20"/>
        <v>-1.568713616048498E-2</v>
      </c>
    </row>
    <row r="46" spans="1:22" s="100" customFormat="1" x14ac:dyDescent="0.2">
      <c r="A46" s="130" t="s">
        <v>154</v>
      </c>
      <c r="B46" s="130" t="s">
        <v>99</v>
      </c>
      <c r="C46" s="130"/>
      <c r="D46" s="132">
        <f>SUM(D36:D45)</f>
        <v>59976092.18</v>
      </c>
      <c r="E46" s="245"/>
      <c r="F46" s="132">
        <f t="shared" ref="F46:L46" si="27">SUM(F36:F45)</f>
        <v>761479.22554221447</v>
      </c>
      <c r="G46" s="132">
        <f t="shared" si="27"/>
        <v>172048616.21900794</v>
      </c>
      <c r="H46" s="132">
        <f t="shared" si="27"/>
        <v>59976092.136687949</v>
      </c>
      <c r="I46" s="132">
        <f t="shared" si="27"/>
        <v>837814.93787867599</v>
      </c>
      <c r="J46" s="132">
        <f t="shared" si="27"/>
        <v>189295907.06430805</v>
      </c>
      <c r="K46" s="132">
        <f t="shared" si="27"/>
        <v>-4.3312054534908384E-2</v>
      </c>
      <c r="L46" s="132">
        <f t="shared" si="27"/>
        <v>17247290.845300123</v>
      </c>
      <c r="M46" s="131">
        <f>K46/D46</f>
        <v>-7.2215532824180051E-10</v>
      </c>
      <c r="N46" s="133">
        <f>L46/G46</f>
        <v>0.10024661182595808</v>
      </c>
    </row>
    <row r="47" spans="1:22" x14ac:dyDescent="0.2">
      <c r="D47" s="150"/>
      <c r="E47" s="246"/>
      <c r="F47" s="151"/>
      <c r="G47" s="115"/>
      <c r="H47" s="100"/>
      <c r="I47" s="96"/>
      <c r="J47" s="115"/>
      <c r="K47" s="100"/>
      <c r="L47" s="115"/>
      <c r="M47" s="119"/>
      <c r="N47" s="116"/>
    </row>
    <row r="48" spans="1:22" x14ac:dyDescent="0.2">
      <c r="D48" s="150"/>
      <c r="E48" s="246"/>
      <c r="F48" s="151"/>
      <c r="G48" s="307"/>
      <c r="H48" s="100"/>
      <c r="I48" s="96"/>
      <c r="J48" s="115"/>
      <c r="K48" s="100"/>
      <c r="L48" s="115"/>
      <c r="M48" s="119"/>
      <c r="N48" s="116"/>
    </row>
    <row r="49" spans="4:14" x14ac:dyDescent="0.2">
      <c r="D49" s="150"/>
      <c r="E49" s="246"/>
      <c r="F49" s="151"/>
      <c r="G49" s="330"/>
      <c r="H49" s="100"/>
      <c r="I49" s="96"/>
      <c r="J49" s="330"/>
      <c r="K49" s="100"/>
      <c r="L49" s="115"/>
      <c r="M49" s="119"/>
      <c r="N49" s="116"/>
    </row>
    <row r="50" spans="4:14" x14ac:dyDescent="0.2">
      <c r="D50" s="135"/>
      <c r="E50" s="247"/>
      <c r="F50" s="135"/>
      <c r="G50" s="100"/>
      <c r="H50" s="100"/>
      <c r="I50" s="100"/>
      <c r="J50" s="100"/>
      <c r="K50" s="100"/>
      <c r="L50" s="100"/>
      <c r="M50" s="100"/>
      <c r="N50" s="100"/>
    </row>
    <row r="51" spans="4:14" x14ac:dyDescent="0.2">
      <c r="D51" s="152"/>
      <c r="E51" s="247"/>
      <c r="F51" s="135"/>
      <c r="G51" s="100"/>
      <c r="H51" s="100"/>
      <c r="I51" s="100"/>
      <c r="J51" s="100"/>
      <c r="K51" s="100"/>
      <c r="L51" s="100"/>
      <c r="M51" s="100"/>
      <c r="N51" s="100"/>
    </row>
    <row r="52" spans="4:14" x14ac:dyDescent="0.2">
      <c r="D52" s="135"/>
      <c r="E52" s="247"/>
      <c r="F52" s="135"/>
    </row>
    <row r="53" spans="4:14" x14ac:dyDescent="0.2">
      <c r="E53" s="248"/>
    </row>
    <row r="54" spans="4:14" x14ac:dyDescent="0.2">
      <c r="E54" s="248"/>
    </row>
    <row r="55" spans="4:14" x14ac:dyDescent="0.2">
      <c r="E55" s="248"/>
    </row>
    <row r="56" spans="4:14" x14ac:dyDescent="0.2">
      <c r="E56" s="248"/>
    </row>
    <row r="57" spans="4:14" x14ac:dyDescent="0.2">
      <c r="E57" s="248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8" workbookViewId="0">
      <selection activeCell="G14" sqref="G14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153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0" t="s">
        <v>106</v>
      </c>
      <c r="C4" s="410"/>
      <c r="D4" s="410"/>
      <c r="E4" s="410"/>
      <c r="F4" s="411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08" t="s">
        <v>8</v>
      </c>
      <c r="B7" s="413" t="s">
        <v>9</v>
      </c>
      <c r="C7" s="414"/>
      <c r="D7" s="415" t="s">
        <v>12</v>
      </c>
      <c r="E7" s="416"/>
      <c r="F7" s="417"/>
      <c r="G7" s="413" t="s">
        <v>124</v>
      </c>
      <c r="H7" s="413"/>
      <c r="I7" s="418"/>
      <c r="J7" s="100" t="s">
        <v>125</v>
      </c>
    </row>
    <row r="8" spans="1:18" ht="28.35" customHeight="1" x14ac:dyDescent="0.2">
      <c r="A8" s="412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09"/>
      <c r="B9" s="97">
        <f>VAC_Optim_Scenario!G17</f>
        <v>900000</v>
      </c>
      <c r="C9" s="97">
        <f>VAC_Optim_Scenario!H17</f>
        <v>6500000</v>
      </c>
      <c r="D9" s="68">
        <f>VAC_Optim_Scenario!I17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7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100" t="s">
        <v>167</v>
      </c>
    </row>
    <row r="10" spans="1:18" ht="13.5" thickBot="1" x14ac:dyDescent="0.25"/>
    <row r="11" spans="1:18" ht="51.6" customHeight="1" x14ac:dyDescent="0.2">
      <c r="A11" s="408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00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09"/>
      <c r="B12" s="299">
        <f>'[1]HCC Inoffice Curve'!$B$12</f>
        <v>1100000</v>
      </c>
      <c r="C12" s="299">
        <f>'[1]HCC Inoffice Curve'!$C$12</f>
        <v>7211.735697901333</v>
      </c>
      <c r="D12" s="299">
        <f>'[1]HCC Inoffice Curve'!$D$12</f>
        <v>0</v>
      </c>
      <c r="E12" s="299">
        <f>'[1]HCC Inoffice Curve'!$E$12</f>
        <v>14423.471395802664</v>
      </c>
      <c r="F12" s="299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300">
        <f>VAC_Optim_Scenario!D17</f>
        <v>1</v>
      </c>
      <c r="K12" s="401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02" t="s">
        <v>169</v>
      </c>
      <c r="B13" s="403"/>
      <c r="C13" s="403"/>
      <c r="D13" s="403"/>
      <c r="E13" s="403"/>
      <c r="F13" s="404"/>
      <c r="G13" s="121" t="s">
        <v>150</v>
      </c>
      <c r="H13" s="121" t="s">
        <v>151</v>
      </c>
      <c r="K13" s="402" t="s">
        <v>115</v>
      </c>
      <c r="L13" s="403"/>
      <c r="M13" s="403"/>
      <c r="N13" s="403"/>
      <c r="O13" s="403"/>
      <c r="P13" s="403"/>
      <c r="Q13" s="403"/>
      <c r="R13" s="404"/>
    </row>
    <row r="14" spans="1:18" ht="33.6" customHeight="1" thickBot="1" x14ac:dyDescent="0.25">
      <c r="A14" s="405"/>
      <c r="B14" s="406"/>
      <c r="C14" s="406"/>
      <c r="D14" s="406"/>
      <c r="E14" s="406"/>
      <c r="F14" s="407"/>
      <c r="G14" s="97">
        <f>VAC_Optim_Scenario!$I$33</f>
        <v>225.94</v>
      </c>
      <c r="H14" s="97">
        <f>VAC_Optim_Scenario!$F$33</f>
        <v>225.94</v>
      </c>
      <c r="K14" s="405"/>
      <c r="L14" s="406"/>
      <c r="M14" s="406"/>
      <c r="N14" s="406"/>
      <c r="O14" s="406"/>
      <c r="P14" s="406"/>
      <c r="Q14" s="406"/>
      <c r="R14" s="407"/>
    </row>
    <row r="16" spans="1:18" ht="13.5" thickBot="1" x14ac:dyDescent="0.25"/>
    <row r="17" spans="1:8" ht="42.6" customHeight="1" x14ac:dyDescent="0.2">
      <c r="A17" s="400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01"/>
      <c r="B18" s="75">
        <v>0</v>
      </c>
      <c r="C18" s="76">
        <v>4000000</v>
      </c>
      <c r="D18" s="26">
        <v>20</v>
      </c>
    </row>
    <row r="20" spans="1:8" x14ac:dyDescent="0.2">
      <c r="A20" s="381" t="s">
        <v>37</v>
      </c>
      <c r="B20" s="381"/>
      <c r="C20" s="381"/>
    </row>
    <row r="21" spans="1:8" ht="25.5" x14ac:dyDescent="0.2">
      <c r="A21" s="121" t="s">
        <v>35</v>
      </c>
      <c r="B21" s="121" t="s">
        <v>170</v>
      </c>
      <c r="C21" s="121" t="s">
        <v>171</v>
      </c>
      <c r="D21" s="100" t="s">
        <v>172</v>
      </c>
      <c r="E21" s="12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100">
        <f>(B23-B22)/A23</f>
        <v>8.5338966534147034E-3</v>
      </c>
      <c r="E23" s="118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100">
        <f t="shared" ref="D24:D42" si="4">(B24-B23)/A24</f>
        <v>3.7632454011123626E-3</v>
      </c>
      <c r="E24" s="118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100">
        <f t="shared" si="4"/>
        <v>2.2124877088579038E-3</v>
      </c>
      <c r="E25" s="118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100">
        <f t="shared" si="4"/>
        <v>1.4632561153371353E-3</v>
      </c>
      <c r="E26" s="118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100">
        <f t="shared" si="4"/>
        <v>1.0321929564028978E-3</v>
      </c>
      <c r="E27" s="118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100">
        <f t="shared" si="4"/>
        <v>7.5841307334136216E-4</v>
      </c>
      <c r="E28" s="118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100">
        <f t="shared" si="4"/>
        <v>5.7314390835551811E-4</v>
      </c>
      <c r="E29" s="118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100">
        <f t="shared" si="4"/>
        <v>4.4213758305180817E-4</v>
      </c>
      <c r="E30" s="118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100">
        <f t="shared" si="4"/>
        <v>3.4647658708401852E-4</v>
      </c>
      <c r="E31" s="118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100">
        <f t="shared" si="4"/>
        <v>2.7489740956714378E-4</v>
      </c>
      <c r="E32" s="118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100">
        <f t="shared" si="4"/>
        <v>2.2030239345421167E-4</v>
      </c>
      <c r="E33" s="118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100">
        <f t="shared" si="4"/>
        <v>1.780165807553567E-4</v>
      </c>
      <c r="E34" s="118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100">
        <f t="shared" si="4"/>
        <v>1.448498512037958E-4</v>
      </c>
      <c r="E35" s="118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100">
        <f t="shared" si="4"/>
        <v>1.1856163375146155E-4</v>
      </c>
      <c r="E36" s="118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100">
        <f t="shared" si="4"/>
        <v>9.7540260742418465E-5</v>
      </c>
      <c r="E37" s="118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100">
        <f t="shared" si="4"/>
        <v>8.0603005183511417E-5</v>
      </c>
      <c r="E38" s="118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100">
        <f t="shared" si="4"/>
        <v>6.6867062695160067E-5</v>
      </c>
      <c r="E39" s="118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100">
        <f t="shared" si="4"/>
        <v>5.5663849944248797E-5</v>
      </c>
      <c r="E40" s="118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100">
        <f t="shared" si="4"/>
        <v>4.6480628058657445E-5</v>
      </c>
      <c r="E41" s="118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100">
        <f t="shared" si="4"/>
        <v>3.8919859350658956E-5</v>
      </c>
      <c r="E42" s="118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10.8554687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156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0" t="s">
        <v>106</v>
      </c>
      <c r="C4" s="410"/>
      <c r="D4" s="410"/>
      <c r="E4" s="410"/>
      <c r="F4" s="411"/>
      <c r="H4" s="100" t="s">
        <v>107</v>
      </c>
    </row>
    <row r="5" spans="1:18" x14ac:dyDescent="0.2">
      <c r="H5" s="100" t="s">
        <v>173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08" t="s">
        <v>8</v>
      </c>
      <c r="B7" s="413" t="s">
        <v>9</v>
      </c>
      <c r="C7" s="414"/>
      <c r="D7" s="415" t="s">
        <v>12</v>
      </c>
      <c r="E7" s="416"/>
      <c r="F7" s="417"/>
      <c r="G7" s="413" t="s">
        <v>124</v>
      </c>
      <c r="H7" s="413"/>
      <c r="I7" s="418"/>
      <c r="J7" s="100" t="s">
        <v>125</v>
      </c>
    </row>
    <row r="8" spans="1:18" ht="28.35" customHeight="1" x14ac:dyDescent="0.2">
      <c r="A8" s="412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09"/>
      <c r="B9" s="97">
        <f>VAC_Optim_Scenario!G18</f>
        <v>10500000</v>
      </c>
      <c r="C9" s="97">
        <f>VAC_Optim_Scenario!H18</f>
        <v>21000000</v>
      </c>
      <c r="D9" s="68">
        <f>VAC_Optim_Scenario!I18</f>
        <v>12686881.296687946</v>
      </c>
      <c r="E9" s="84">
        <f>((($R$12/(1+EXP($P$12+$Q$12*D9)))-1) - ($F$12-$C$12))*$I$12</f>
        <v>333333.63867344987</v>
      </c>
      <c r="F9" s="89">
        <f>E9*$G$12</f>
        <v>333333.63867344987</v>
      </c>
      <c r="G9" s="97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100" t="s">
        <v>167</v>
      </c>
    </row>
    <row r="10" spans="1:18" ht="13.5" thickBot="1" x14ac:dyDescent="0.25"/>
    <row r="11" spans="1:18" ht="51.6" customHeight="1" x14ac:dyDescent="0.2">
      <c r="A11" s="408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00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09"/>
      <c r="B12" s="299">
        <f>'[2]HCP MCM SCurve'!$B$12</f>
        <v>10503728.719999999</v>
      </c>
      <c r="C12" s="299">
        <f>'[2]HCP MCM SCurve'!$C$12</f>
        <v>288339.09761974245</v>
      </c>
      <c r="D12" s="299">
        <f>'[2]HCP MCM SCurve'!$D$12</f>
        <v>0</v>
      </c>
      <c r="E12" s="299">
        <f>'[2]HCP MCM SCurve'!$E$12</f>
        <v>720847.7440493562</v>
      </c>
      <c r="F12" s="299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300">
        <f>VAC_Optim_Scenario!D18</f>
        <v>1</v>
      </c>
      <c r="K12" s="401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02" t="s">
        <v>174</v>
      </c>
      <c r="B13" s="403"/>
      <c r="C13" s="403"/>
      <c r="D13" s="403"/>
      <c r="E13" s="403"/>
      <c r="F13" s="404"/>
      <c r="G13" s="121" t="s">
        <v>150</v>
      </c>
      <c r="H13" s="121" t="s">
        <v>151</v>
      </c>
      <c r="K13" s="402" t="s">
        <v>115</v>
      </c>
      <c r="L13" s="403"/>
      <c r="M13" s="403"/>
      <c r="N13" s="403"/>
      <c r="O13" s="403"/>
      <c r="P13" s="403"/>
      <c r="Q13" s="403"/>
      <c r="R13" s="404"/>
    </row>
    <row r="14" spans="1:18" ht="33.6" customHeight="1" thickBot="1" x14ac:dyDescent="0.25">
      <c r="A14" s="405"/>
      <c r="B14" s="406"/>
      <c r="C14" s="406"/>
      <c r="D14" s="406"/>
      <c r="E14" s="406"/>
      <c r="F14" s="407"/>
      <c r="G14" s="97">
        <f>VAC_Optim_Scenario!$I$33</f>
        <v>225.94</v>
      </c>
      <c r="H14" s="97">
        <f>VAC_Optim_Scenario!$F$33</f>
        <v>225.94</v>
      </c>
      <c r="K14" s="405"/>
      <c r="L14" s="406"/>
      <c r="M14" s="406"/>
      <c r="N14" s="406"/>
      <c r="O14" s="406"/>
      <c r="P14" s="406"/>
      <c r="Q14" s="406"/>
      <c r="R14" s="407"/>
    </row>
    <row r="16" spans="1:18" ht="13.5" thickBot="1" x14ac:dyDescent="0.25"/>
    <row r="17" spans="1:8" ht="42.6" customHeight="1" x14ac:dyDescent="0.2">
      <c r="A17" s="400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01"/>
      <c r="B18" s="75">
        <v>0</v>
      </c>
      <c r="C18" s="76">
        <v>12500000</v>
      </c>
      <c r="D18" s="26">
        <v>20</v>
      </c>
    </row>
    <row r="20" spans="1:8" x14ac:dyDescent="0.2">
      <c r="A20" s="381" t="s">
        <v>37</v>
      </c>
      <c r="B20" s="381"/>
      <c r="C20" s="381"/>
    </row>
    <row r="21" spans="1:8" ht="25.5" x14ac:dyDescent="0.2">
      <c r="A21" s="121" t="s">
        <v>35</v>
      </c>
      <c r="B21" s="121" t="s">
        <v>164</v>
      </c>
      <c r="C21" s="121" t="s">
        <v>171</v>
      </c>
      <c r="D21" s="100" t="s">
        <v>175</v>
      </c>
      <c r="E21" s="121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100">
        <f>(B23-B22)/A23</f>
        <v>3.3441366024219987E-2</v>
      </c>
      <c r="E23" s="118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100">
        <f t="shared" ref="D24:D42" si="4">(B24-B23)/A24</f>
        <v>1.6311442019212245E-2</v>
      </c>
      <c r="E24" s="118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100">
        <f t="shared" si="4"/>
        <v>1.060523245087713E-2</v>
      </c>
      <c r="E25" s="118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100">
        <f t="shared" si="4"/>
        <v>7.755043734577298E-3</v>
      </c>
      <c r="E26" s="118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100">
        <f t="shared" si="4"/>
        <v>6.047329649992883E-3</v>
      </c>
      <c r="E27" s="118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100">
        <f t="shared" si="4"/>
        <v>4.9109020852699872E-3</v>
      </c>
      <c r="E28" s="118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100">
        <f t="shared" si="4"/>
        <v>4.1009611494183537E-3</v>
      </c>
      <c r="E29" s="118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100">
        <f t="shared" si="4"/>
        <v>3.4951027045670895E-3</v>
      </c>
      <c r="E30" s="118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100">
        <f t="shared" si="4"/>
        <v>3.0253208794463011E-3</v>
      </c>
      <c r="E31" s="118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100">
        <f t="shared" si="4"/>
        <v>2.6508090764144061E-3</v>
      </c>
      <c r="E32" s="118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100">
        <f t="shared" si="4"/>
        <v>2.3455967936373569E-3</v>
      </c>
      <c r="E33" s="118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100">
        <f t="shared" si="4"/>
        <v>2.0923680363303669E-3</v>
      </c>
      <c r="E34" s="118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100">
        <f t="shared" si="4"/>
        <v>1.8791327686213529E-3</v>
      </c>
      <c r="E35" s="118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100">
        <f t="shared" si="4"/>
        <v>1.6973248853062945E-3</v>
      </c>
      <c r="E36" s="118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100">
        <f t="shared" si="4"/>
        <v>1.5406609938678146E-3</v>
      </c>
      <c r="E37" s="118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100">
        <f t="shared" si="4"/>
        <v>1.4044271519752219E-3</v>
      </c>
      <c r="E38" s="118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100">
        <f t="shared" si="4"/>
        <v>1.2850173432559652E-3</v>
      </c>
      <c r="E39" s="118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100">
        <f t="shared" si="4"/>
        <v>1.1796257929186855E-3</v>
      </c>
      <c r="E40" s="118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100">
        <f t="shared" si="4"/>
        <v>1.0860364452239715E-3</v>
      </c>
      <c r="E41" s="118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100">
        <f t="shared" si="4"/>
        <v>1.0024755960136651E-3</v>
      </c>
      <c r="E42" s="118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247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247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19"/>
      <c r="C4" s="420"/>
      <c r="D4" s="420"/>
      <c r="E4" s="420"/>
      <c r="F4" s="421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08" t="s">
        <v>8</v>
      </c>
      <c r="B7" s="413" t="s">
        <v>9</v>
      </c>
      <c r="C7" s="413"/>
      <c r="D7" s="413" t="s">
        <v>12</v>
      </c>
      <c r="E7" s="413"/>
      <c r="F7" s="413"/>
      <c r="G7" s="413" t="s">
        <v>124</v>
      </c>
      <c r="H7" s="413"/>
      <c r="I7" s="418"/>
    </row>
    <row r="8" spans="1:9" x14ac:dyDescent="0.25">
      <c r="A8" s="412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09"/>
      <c r="B9" s="317">
        <f>VAC_Optim_Scenario!G19</f>
        <v>1800000</v>
      </c>
      <c r="C9" s="317">
        <f>VAC_Optim_Scenario!H19</f>
        <v>7000000</v>
      </c>
      <c r="D9" s="318">
        <f>VAC_Optim_Scenario!I19</f>
        <v>1800000</v>
      </c>
      <c r="E9" s="84">
        <f>((GSOCIAL!D9/$B$12)^$D$12)*$C$12*$F$12</f>
        <v>24218.148093092648</v>
      </c>
      <c r="F9" s="84">
        <f>E9*F11</f>
        <v>24218.148093092648</v>
      </c>
      <c r="G9" s="76">
        <f>VAC_Optim_Scenario!E19</f>
        <v>1751000</v>
      </c>
      <c r="H9" s="319">
        <f>((GSOCIAL!G9/$B$12)^$D$12)*$C$12*$F$12</f>
        <v>23820.403572058858</v>
      </c>
      <c r="I9" s="320">
        <f>H9*F11</f>
        <v>23820.403572058858</v>
      </c>
    </row>
    <row r="10" spans="1:9" ht="15.75" thickBot="1" x14ac:dyDescent="0.3"/>
    <row r="11" spans="1:9" ht="48.95" customHeight="1" x14ac:dyDescent="0.25">
      <c r="A11" s="381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381"/>
      <c r="B12" s="322">
        <f>'[3]HCC Social - Power'!$B$12</f>
        <v>1751000</v>
      </c>
      <c r="C12" s="322">
        <f>'[3]HCC Social - Power'!$C$12</f>
        <v>23820.403572058858</v>
      </c>
      <c r="D12" s="327">
        <f>'[3]HCC Social - Power'!$D$12</f>
        <v>0.6</v>
      </c>
      <c r="E12" s="314" t="s">
        <v>122</v>
      </c>
      <c r="F12" s="323">
        <f>VAC_Optim_Scenario!D19</f>
        <v>1</v>
      </c>
      <c r="G12" s="324">
        <f>B12*2</f>
        <v>3502000</v>
      </c>
    </row>
    <row r="13" spans="1:9" ht="18.75" customHeight="1" x14ac:dyDescent="0.25">
      <c r="A13" s="402" t="s">
        <v>243</v>
      </c>
      <c r="B13" s="403"/>
      <c r="C13" s="403"/>
      <c r="D13" s="403"/>
      <c r="E13" s="314" t="s">
        <v>244</v>
      </c>
      <c r="F13" s="314" t="s">
        <v>245</v>
      </c>
    </row>
    <row r="14" spans="1:9" ht="15.75" thickBot="1" x14ac:dyDescent="0.3">
      <c r="A14" s="405"/>
      <c r="B14" s="406"/>
      <c r="C14" s="406"/>
      <c r="D14" s="406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0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01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81" t="s">
        <v>37</v>
      </c>
      <c r="B19" s="381"/>
      <c r="C19" s="381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7408.6901640745618</v>
      </c>
      <c r="C22" s="326">
        <f t="shared" ref="C22:C41" si="1">B22*$F$14</f>
        <v>1673919.4556710066</v>
      </c>
    </row>
    <row r="23" spans="1:4" x14ac:dyDescent="0.25">
      <c r="A23" s="325">
        <f t="shared" ref="A23:A41" si="2">A22+(($C$17-$B$17)/$D$17)</f>
        <v>500000</v>
      </c>
      <c r="B23" s="319">
        <f t="shared" si="0"/>
        <v>11229.474417830452</v>
      </c>
      <c r="C23" s="326">
        <f t="shared" si="1"/>
        <v>2537187.4499646123</v>
      </c>
    </row>
    <row r="24" spans="1:4" x14ac:dyDescent="0.25">
      <c r="A24" s="325">
        <f t="shared" si="2"/>
        <v>750000</v>
      </c>
      <c r="B24" s="319">
        <f t="shared" si="0"/>
        <v>14322.346801651498</v>
      </c>
      <c r="C24" s="326">
        <f t="shared" si="1"/>
        <v>3235991.0363651393</v>
      </c>
    </row>
    <row r="25" spans="1:4" x14ac:dyDescent="0.25">
      <c r="A25" s="325">
        <f t="shared" si="2"/>
        <v>1000000</v>
      </c>
      <c r="B25" s="319">
        <f t="shared" si="0"/>
        <v>17020.700408310324</v>
      </c>
      <c r="C25" s="326">
        <f t="shared" si="1"/>
        <v>3845657.0502536343</v>
      </c>
    </row>
    <row r="26" spans="1:4" x14ac:dyDescent="0.25">
      <c r="A26" s="325">
        <f t="shared" si="2"/>
        <v>1250000</v>
      </c>
      <c r="B26" s="319">
        <f t="shared" si="0"/>
        <v>19459.130710154546</v>
      </c>
      <c r="C26" s="326">
        <f t="shared" si="1"/>
        <v>4396595.9926523184</v>
      </c>
    </row>
    <row r="27" spans="1:4" x14ac:dyDescent="0.25">
      <c r="A27" s="325">
        <f t="shared" si="2"/>
        <v>1500000</v>
      </c>
      <c r="B27" s="319">
        <f t="shared" si="0"/>
        <v>21708.618318570392</v>
      </c>
      <c r="C27" s="326">
        <f t="shared" si="1"/>
        <v>4904845.2228977941</v>
      </c>
    </row>
    <row r="28" spans="1:4" x14ac:dyDescent="0.25">
      <c r="A28" s="325">
        <f t="shared" si="2"/>
        <v>1750000</v>
      </c>
      <c r="B28" s="319">
        <f t="shared" si="0"/>
        <v>23812.240308184086</v>
      </c>
      <c r="C28" s="326">
        <f t="shared" si="1"/>
        <v>5380137.5752311125</v>
      </c>
    </row>
    <row r="29" spans="1:4" x14ac:dyDescent="0.25">
      <c r="A29" s="325">
        <f t="shared" si="2"/>
        <v>2000000</v>
      </c>
      <c r="B29" s="319">
        <f t="shared" si="0"/>
        <v>25798.557582486257</v>
      </c>
      <c r="C29" s="326">
        <f t="shared" si="1"/>
        <v>5828926.1001869449</v>
      </c>
    </row>
    <row r="30" spans="1:4" x14ac:dyDescent="0.25">
      <c r="A30" s="325">
        <f t="shared" si="2"/>
        <v>2250000</v>
      </c>
      <c r="B30" s="319">
        <f t="shared" si="0"/>
        <v>27687.703678238533</v>
      </c>
      <c r="C30" s="326">
        <f t="shared" si="1"/>
        <v>6255759.7690612143</v>
      </c>
    </row>
    <row r="31" spans="1:4" x14ac:dyDescent="0.25">
      <c r="A31" s="325">
        <f t="shared" si="2"/>
        <v>2500000</v>
      </c>
      <c r="B31" s="319">
        <f t="shared" si="0"/>
        <v>29494.526787272491</v>
      </c>
      <c r="C31" s="326">
        <f t="shared" si="1"/>
        <v>6663993.3823163463</v>
      </c>
    </row>
    <row r="32" spans="1:4" x14ac:dyDescent="0.25">
      <c r="A32" s="325">
        <f t="shared" si="2"/>
        <v>2750000</v>
      </c>
      <c r="B32" s="319">
        <f t="shared" si="0"/>
        <v>31230.363834281474</v>
      </c>
      <c r="C32" s="326">
        <f t="shared" si="1"/>
        <v>7056188.4047175562</v>
      </c>
    </row>
    <row r="33" spans="1:3" x14ac:dyDescent="0.25">
      <c r="A33" s="325">
        <f t="shared" si="2"/>
        <v>3000000</v>
      </c>
      <c r="B33" s="319">
        <f t="shared" si="0"/>
        <v>32904.112421508238</v>
      </c>
      <c r="C33" s="326">
        <f t="shared" si="1"/>
        <v>7434355.160515571</v>
      </c>
    </row>
    <row r="34" spans="1:3" x14ac:dyDescent="0.25">
      <c r="A34" s="325">
        <f t="shared" si="2"/>
        <v>3250000</v>
      </c>
      <c r="B34" s="319">
        <f t="shared" si="0"/>
        <v>34522.913816809414</v>
      </c>
      <c r="C34" s="326">
        <f t="shared" si="1"/>
        <v>7800107.1477699187</v>
      </c>
    </row>
    <row r="35" spans="1:3" x14ac:dyDescent="0.25">
      <c r="A35" s="325">
        <f t="shared" si="2"/>
        <v>3500000</v>
      </c>
      <c r="B35" s="319">
        <f t="shared" si="0"/>
        <v>36092.607120841283</v>
      </c>
      <c r="C35" s="326">
        <f t="shared" si="1"/>
        <v>8154763.6528828796</v>
      </c>
    </row>
    <row r="36" spans="1:3" x14ac:dyDescent="0.25">
      <c r="A36" s="325">
        <f t="shared" si="2"/>
        <v>3750000</v>
      </c>
      <c r="B36" s="319">
        <f t="shared" si="0"/>
        <v>37618.042098851023</v>
      </c>
      <c r="C36" s="326">
        <f t="shared" si="1"/>
        <v>8499420.4318144005</v>
      </c>
    </row>
    <row r="37" spans="1:3" x14ac:dyDescent="0.25">
      <c r="A37" s="325">
        <f t="shared" si="2"/>
        <v>4000000</v>
      </c>
      <c r="B37" s="319">
        <f t="shared" si="0"/>
        <v>39103.301119846867</v>
      </c>
      <c r="C37" s="326">
        <f t="shared" si="1"/>
        <v>8834999.8550182004</v>
      </c>
    </row>
    <row r="38" spans="1:3" x14ac:dyDescent="0.25">
      <c r="A38" s="325">
        <f t="shared" si="2"/>
        <v>4250000</v>
      </c>
      <c r="B38" s="319">
        <f t="shared" si="0"/>
        <v>40551.860621591703</v>
      </c>
      <c r="C38" s="326">
        <f t="shared" si="1"/>
        <v>9162287.38884243</v>
      </c>
    </row>
    <row r="39" spans="1:3" x14ac:dyDescent="0.25">
      <c r="A39" s="325">
        <f t="shared" si="2"/>
        <v>4500000</v>
      </c>
      <c r="B39" s="319">
        <f t="shared" si="0"/>
        <v>41966.711153737037</v>
      </c>
      <c r="C39" s="326">
        <f t="shared" si="1"/>
        <v>9481958.7180753462</v>
      </c>
    </row>
    <row r="40" spans="1:3" x14ac:dyDescent="0.25">
      <c r="A40" s="325">
        <f t="shared" si="2"/>
        <v>4750000</v>
      </c>
      <c r="B40" s="319">
        <f t="shared" si="0"/>
        <v>43350.448326913778</v>
      </c>
      <c r="C40" s="326">
        <f t="shared" si="1"/>
        <v>9794600.294982899</v>
      </c>
    </row>
    <row r="41" spans="1:3" x14ac:dyDescent="0.25">
      <c r="A41" s="325">
        <f t="shared" si="2"/>
        <v>5000000</v>
      </c>
      <c r="B41" s="319">
        <f t="shared" si="0"/>
        <v>44705.342872853616</v>
      </c>
      <c r="C41" s="326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I12" sqref="I12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230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64" t="s">
        <v>102</v>
      </c>
      <c r="I2" s="265"/>
      <c r="J2" s="265"/>
      <c r="K2" s="265"/>
      <c r="L2" s="266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0" t="s">
        <v>106</v>
      </c>
      <c r="C4" s="410"/>
      <c r="D4" s="410"/>
      <c r="E4" s="410"/>
      <c r="F4" s="411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08" t="s">
        <v>8</v>
      </c>
      <c r="B7" s="413" t="s">
        <v>9</v>
      </c>
      <c r="C7" s="414"/>
      <c r="D7" s="415" t="s">
        <v>12</v>
      </c>
      <c r="E7" s="416"/>
      <c r="F7" s="417"/>
      <c r="G7" s="413" t="s">
        <v>124</v>
      </c>
      <c r="H7" s="413"/>
      <c r="I7" s="418"/>
      <c r="J7" s="100" t="s">
        <v>125</v>
      </c>
    </row>
    <row r="8" spans="1:18" ht="28.35" customHeight="1" x14ac:dyDescent="0.2">
      <c r="A8" s="412"/>
      <c r="B8" s="263" t="s">
        <v>10</v>
      </c>
      <c r="C8" s="17" t="s">
        <v>11</v>
      </c>
      <c r="D8" s="19" t="s">
        <v>20</v>
      </c>
      <c r="E8" s="263" t="s">
        <v>21</v>
      </c>
      <c r="F8" s="81" t="s">
        <v>117</v>
      </c>
      <c r="G8" s="267" t="s">
        <v>22</v>
      </c>
      <c r="H8" s="263" t="s">
        <v>23</v>
      </c>
      <c r="I8" s="88" t="s">
        <v>123</v>
      </c>
    </row>
    <row r="9" spans="1:18" ht="14.45" customHeight="1" thickBot="1" x14ac:dyDescent="0.25">
      <c r="A9" s="409"/>
      <c r="B9" s="97">
        <f>VAC_Optim_Scenario!G20</f>
        <v>1100000</v>
      </c>
      <c r="C9" s="97">
        <f>VAC_Optim_Scenario!H20</f>
        <v>3500000</v>
      </c>
      <c r="D9" s="68">
        <f>VAC_Optim_Scenario!I20</f>
        <v>1100000</v>
      </c>
      <c r="E9" s="84">
        <f>((($R$12/(1+EXP($P$12+$Q$12*D9)))-1) - ($F$12-$C$12))*$I$12</f>
        <v>21486.35797297582</v>
      </c>
      <c r="F9" s="89">
        <f>E9*$G$12</f>
        <v>21486.35797297582</v>
      </c>
      <c r="G9" s="97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100" t="s">
        <v>167</v>
      </c>
    </row>
    <row r="10" spans="1:18" ht="13.5" thickBot="1" x14ac:dyDescent="0.25"/>
    <row r="11" spans="1:18" ht="51.6" customHeight="1" x14ac:dyDescent="0.2">
      <c r="A11" s="408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00" t="s">
        <v>25</v>
      </c>
      <c r="L11" s="269" t="s">
        <v>110</v>
      </c>
      <c r="M11" s="269" t="s">
        <v>111</v>
      </c>
      <c r="N11" s="269" t="s">
        <v>112</v>
      </c>
      <c r="O11" s="269" t="s">
        <v>113</v>
      </c>
      <c r="P11" s="269" t="s">
        <v>26</v>
      </c>
      <c r="Q11" s="269" t="s">
        <v>27</v>
      </c>
      <c r="R11" s="270" t="s">
        <v>28</v>
      </c>
    </row>
    <row r="12" spans="1:18" ht="15" customHeight="1" thickBot="1" x14ac:dyDescent="0.25">
      <c r="A12" s="409"/>
      <c r="B12" s="299">
        <f>'[4]HCC Online Video Curve'!$B$12</f>
        <v>1111779.04</v>
      </c>
      <c r="C12" s="299">
        <f>'[4]HCC Online Video Curve'!$C$12</f>
        <v>21646.235649615326</v>
      </c>
      <c r="D12" s="299">
        <f>'[4]HCC Online Video Curve'!$D$12</f>
        <v>0</v>
      </c>
      <c r="E12" s="299">
        <f>'[4]HCC Online Video Curve'!$E$12</f>
        <v>43292.471299230652</v>
      </c>
      <c r="F12" s="299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300">
        <f>VAC_Optim_Scenario!D20</f>
        <v>1</v>
      </c>
      <c r="K12" s="401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02" t="s">
        <v>169</v>
      </c>
      <c r="B13" s="403"/>
      <c r="C13" s="403"/>
      <c r="D13" s="403"/>
      <c r="E13" s="403"/>
      <c r="F13" s="404"/>
      <c r="G13" s="263" t="s">
        <v>150</v>
      </c>
      <c r="H13" s="263" t="s">
        <v>151</v>
      </c>
      <c r="K13" s="402" t="s">
        <v>115</v>
      </c>
      <c r="L13" s="403"/>
      <c r="M13" s="403"/>
      <c r="N13" s="403"/>
      <c r="O13" s="403"/>
      <c r="P13" s="403"/>
      <c r="Q13" s="403"/>
      <c r="R13" s="404"/>
    </row>
    <row r="14" spans="1:18" ht="33.6" customHeight="1" thickBot="1" x14ac:dyDescent="0.25">
      <c r="A14" s="405"/>
      <c r="B14" s="406"/>
      <c r="C14" s="406"/>
      <c r="D14" s="406"/>
      <c r="E14" s="406"/>
      <c r="F14" s="407"/>
      <c r="G14" s="97">
        <f>VAC_Optim_Scenario!$I$33</f>
        <v>225.94</v>
      </c>
      <c r="H14" s="97">
        <f>VAC_Optim_Scenario!$F$33</f>
        <v>225.94</v>
      </c>
      <c r="K14" s="405"/>
      <c r="L14" s="406"/>
      <c r="M14" s="406"/>
      <c r="N14" s="406"/>
      <c r="O14" s="406"/>
      <c r="P14" s="406"/>
      <c r="Q14" s="406"/>
      <c r="R14" s="407"/>
    </row>
    <row r="16" spans="1:18" ht="13.5" thickBot="1" x14ac:dyDescent="0.25"/>
    <row r="17" spans="1:8" ht="42.6" customHeight="1" x14ac:dyDescent="0.2">
      <c r="A17" s="400" t="s">
        <v>34</v>
      </c>
      <c r="B17" s="269" t="s">
        <v>32</v>
      </c>
      <c r="C17" s="269" t="s">
        <v>31</v>
      </c>
      <c r="D17" s="270" t="s">
        <v>33</v>
      </c>
      <c r="F17" s="82"/>
      <c r="G17" s="82"/>
      <c r="H17" s="83"/>
    </row>
    <row r="18" spans="1:8" ht="23.45" customHeight="1" thickBot="1" x14ac:dyDescent="0.25">
      <c r="A18" s="401"/>
      <c r="B18" s="75">
        <v>0</v>
      </c>
      <c r="C18" s="76">
        <v>4000000</v>
      </c>
      <c r="D18" s="26">
        <v>20</v>
      </c>
    </row>
    <row r="20" spans="1:8" x14ac:dyDescent="0.2">
      <c r="A20" s="381" t="s">
        <v>37</v>
      </c>
      <c r="B20" s="381"/>
      <c r="C20" s="381"/>
    </row>
    <row r="21" spans="1:8" ht="25.5" x14ac:dyDescent="0.2">
      <c r="A21" s="263" t="s">
        <v>35</v>
      </c>
      <c r="B21" s="263" t="s">
        <v>170</v>
      </c>
      <c r="C21" s="263" t="s">
        <v>171</v>
      </c>
      <c r="D21" s="100" t="s">
        <v>172</v>
      </c>
      <c r="E21" s="26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100">
        <f>(B23-B22)/A23</f>
        <v>2.5327407355965115E-2</v>
      </c>
      <c r="E23" s="118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100">
        <f t="shared" ref="D24:D42" si="4">(B24-B23)/A24</f>
        <v>1.1192783372448757E-2</v>
      </c>
      <c r="E24" s="118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100">
        <f t="shared" si="4"/>
        <v>6.5935513548972084E-3</v>
      </c>
      <c r="E25" s="118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100">
        <f t="shared" si="4"/>
        <v>4.3687842692760751E-3</v>
      </c>
      <c r="E26" s="118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100">
        <f t="shared" si="4"/>
        <v>3.0870858893077822E-3</v>
      </c>
      <c r="E27" s="118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100">
        <f t="shared" si="4"/>
        <v>2.2719215138784299E-3</v>
      </c>
      <c r="E28" s="118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100">
        <f t="shared" si="4"/>
        <v>1.7195252946291917E-3</v>
      </c>
      <c r="E29" s="118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100">
        <f t="shared" si="4"/>
        <v>1.3283799122640631E-3</v>
      </c>
      <c r="E30" s="118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100">
        <f t="shared" si="4"/>
        <v>1.0423791071089606E-3</v>
      </c>
      <c r="E31" s="118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100">
        <f t="shared" si="4"/>
        <v>8.2809507802966979E-4</v>
      </c>
      <c r="E32" s="118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100">
        <f t="shared" si="4"/>
        <v>6.6444760640956121E-4</v>
      </c>
      <c r="E33" s="118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100">
        <f t="shared" si="4"/>
        <v>5.3754048861485591E-4</v>
      </c>
      <c r="E34" s="118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100">
        <f t="shared" si="4"/>
        <v>4.3788278774716536E-4</v>
      </c>
      <c r="E35" s="118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100">
        <f t="shared" si="4"/>
        <v>3.588023975082407E-4</v>
      </c>
      <c r="E36" s="118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100">
        <f t="shared" si="4"/>
        <v>2.9549540935084223E-4</v>
      </c>
      <c r="E37" s="118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100">
        <f t="shared" si="4"/>
        <v>2.4443302716448671E-4</v>
      </c>
      <c r="E38" s="118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100">
        <f t="shared" si="4"/>
        <v>2.0297871889217811E-4</v>
      </c>
      <c r="E39" s="118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100">
        <f t="shared" si="4"/>
        <v>1.6913376869323352E-4</v>
      </c>
      <c r="E40" s="118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100">
        <f t="shared" si="4"/>
        <v>1.4136385440899942E-4</v>
      </c>
      <c r="E41" s="118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100">
        <f t="shared" si="4"/>
        <v>1.1847822932642885E-4</v>
      </c>
      <c r="E42" s="118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248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248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19"/>
      <c r="C4" s="420"/>
      <c r="D4" s="420"/>
      <c r="E4" s="420"/>
      <c r="F4" s="421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08" t="s">
        <v>8</v>
      </c>
      <c r="B7" s="413" t="s">
        <v>9</v>
      </c>
      <c r="C7" s="413"/>
      <c r="D7" s="413" t="s">
        <v>12</v>
      </c>
      <c r="E7" s="413"/>
      <c r="F7" s="413"/>
      <c r="G7" s="413" t="s">
        <v>124</v>
      </c>
      <c r="H7" s="413"/>
      <c r="I7" s="418"/>
    </row>
    <row r="8" spans="1:9" x14ac:dyDescent="0.25">
      <c r="A8" s="412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09"/>
      <c r="B9" s="317">
        <f>VAC_Optim_Scenario!G21</f>
        <v>9400000</v>
      </c>
      <c r="C9" s="317">
        <f>VAC_Optim_Scenario!H21</f>
        <v>27304858</v>
      </c>
      <c r="D9" s="318">
        <f>VAC_Optim_Scenario!I21</f>
        <v>9400000</v>
      </c>
      <c r="E9" s="84">
        <f>((GSTRTV!D9/$B$12)^$D$12)*$C$12*$F$12</f>
        <v>78576.267944646228</v>
      </c>
      <c r="F9" s="84">
        <f>E9*F11</f>
        <v>78576.267944646228</v>
      </c>
      <c r="G9" s="76">
        <f>VAC_Optim_Scenario!E21</f>
        <v>13418576</v>
      </c>
      <c r="H9" s="319">
        <f>((GSTRTV!G9/$B$12)^$D$12)*$C$12*$F$12</f>
        <v>100808.3256282994</v>
      </c>
      <c r="I9" s="320">
        <f>H9*F11</f>
        <v>100808.3256282994</v>
      </c>
    </row>
    <row r="10" spans="1:9" ht="15.75" thickBot="1" x14ac:dyDescent="0.3"/>
    <row r="11" spans="1:9" ht="48.95" customHeight="1" x14ac:dyDescent="0.25">
      <c r="A11" s="381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381"/>
      <c r="B12" s="322">
        <f>'[5]Streaming Video - Power'!$B$12</f>
        <v>13418576</v>
      </c>
      <c r="C12" s="322">
        <f>'[5]Streaming Video - Power'!$C$12</f>
        <v>100808.3256282994</v>
      </c>
      <c r="D12" s="327">
        <f>'[5]Streaming Video - Power'!$D$12</f>
        <v>0.7</v>
      </c>
      <c r="E12" s="314" t="s">
        <v>122</v>
      </c>
      <c r="F12" s="323">
        <f>VAC_Optim_Scenario!D21</f>
        <v>1</v>
      </c>
      <c r="G12" s="324">
        <f>B12*2</f>
        <v>26837152</v>
      </c>
    </row>
    <row r="13" spans="1:9" ht="18.75" customHeight="1" x14ac:dyDescent="0.25">
      <c r="A13" s="402" t="s">
        <v>243</v>
      </c>
      <c r="B13" s="403"/>
      <c r="C13" s="403"/>
      <c r="D13" s="403"/>
      <c r="E13" s="314" t="s">
        <v>244</v>
      </c>
      <c r="F13" s="314" t="s">
        <v>245</v>
      </c>
    </row>
    <row r="14" spans="1:9" ht="15.75" thickBot="1" x14ac:dyDescent="0.3">
      <c r="A14" s="405"/>
      <c r="B14" s="406"/>
      <c r="C14" s="406"/>
      <c r="D14" s="406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0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01"/>
      <c r="B17" s="76">
        <v>0</v>
      </c>
      <c r="C17" s="76">
        <v>15000000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81" t="s">
        <v>37</v>
      </c>
      <c r="B19" s="381"/>
      <c r="C19" s="381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750000</v>
      </c>
      <c r="B22" s="319">
        <f t="shared" ref="B22:B41" si="0">((A22/$B$12)^$D$12)*$C$12</f>
        <v>13385.813954759049</v>
      </c>
      <c r="C22" s="326">
        <f t="shared" ref="C22:C41" si="1">B22*$F$14</f>
        <v>3024390.8049382595</v>
      </c>
    </row>
    <row r="23" spans="1:4" x14ac:dyDescent="0.25">
      <c r="A23" s="325">
        <f t="shared" ref="A23:A41" si="2">A22+(($C$17-$B$17)/$D$17)</f>
        <v>1500000</v>
      </c>
      <c r="B23" s="319">
        <f t="shared" si="0"/>
        <v>21745.318923863546</v>
      </c>
      <c r="C23" s="326">
        <f t="shared" si="1"/>
        <v>4913137.3576577296</v>
      </c>
    </row>
    <row r="24" spans="1:4" x14ac:dyDescent="0.25">
      <c r="A24" s="325">
        <f t="shared" si="2"/>
        <v>2250000</v>
      </c>
      <c r="B24" s="319">
        <f t="shared" si="0"/>
        <v>28882.159557638814</v>
      </c>
      <c r="C24" s="326">
        <f t="shared" si="1"/>
        <v>6525635.1304529132</v>
      </c>
    </row>
    <row r="25" spans="1:4" x14ac:dyDescent="0.25">
      <c r="A25" s="325">
        <f t="shared" si="2"/>
        <v>3000000</v>
      </c>
      <c r="B25" s="319">
        <f t="shared" si="0"/>
        <v>35325.374810877525</v>
      </c>
      <c r="C25" s="326">
        <f t="shared" si="1"/>
        <v>7981415.1847696677</v>
      </c>
    </row>
    <row r="26" spans="1:4" x14ac:dyDescent="0.25">
      <c r="A26" s="325">
        <f t="shared" si="2"/>
        <v>3750000</v>
      </c>
      <c r="B26" s="319">
        <f t="shared" si="0"/>
        <v>41297.502450781918</v>
      </c>
      <c r="C26" s="326">
        <f t="shared" si="1"/>
        <v>9330757.7037296668</v>
      </c>
    </row>
    <row r="27" spans="1:4" x14ac:dyDescent="0.25">
      <c r="A27" s="325">
        <f t="shared" si="2"/>
        <v>4500000</v>
      </c>
      <c r="B27" s="319">
        <f t="shared" si="0"/>
        <v>46919.206625270555</v>
      </c>
      <c r="C27" s="326">
        <f t="shared" si="1"/>
        <v>10600925.544913629</v>
      </c>
    </row>
    <row r="28" spans="1:4" x14ac:dyDescent="0.25">
      <c r="A28" s="325">
        <f t="shared" si="2"/>
        <v>5250000</v>
      </c>
      <c r="B28" s="319">
        <f t="shared" si="0"/>
        <v>52265.295791567616</v>
      </c>
      <c r="C28" s="326">
        <f t="shared" si="1"/>
        <v>11808820.931146787</v>
      </c>
    </row>
    <row r="29" spans="1:4" x14ac:dyDescent="0.25">
      <c r="A29" s="325">
        <f t="shared" si="2"/>
        <v>6000000</v>
      </c>
      <c r="B29" s="319">
        <f t="shared" si="0"/>
        <v>57386.24068463494</v>
      </c>
      <c r="C29" s="326">
        <f t="shared" si="1"/>
        <v>12965847.220286418</v>
      </c>
    </row>
    <row r="30" spans="1:4" x14ac:dyDescent="0.25">
      <c r="A30" s="325">
        <f t="shared" si="2"/>
        <v>6750000</v>
      </c>
      <c r="B30" s="319">
        <f t="shared" si="0"/>
        <v>62318.148416841854</v>
      </c>
      <c r="C30" s="326">
        <f t="shared" si="1"/>
        <v>14080162.453301249</v>
      </c>
    </row>
    <row r="31" spans="1:4" x14ac:dyDescent="0.25">
      <c r="A31" s="325">
        <f t="shared" si="2"/>
        <v>7500000</v>
      </c>
      <c r="B31" s="319">
        <f t="shared" si="0"/>
        <v>67087.990658350245</v>
      </c>
      <c r="C31" s="326">
        <f t="shared" si="1"/>
        <v>15157860.609347655</v>
      </c>
    </row>
    <row r="32" spans="1:4" x14ac:dyDescent="0.25">
      <c r="A32" s="325">
        <f t="shared" si="2"/>
        <v>8250000</v>
      </c>
      <c r="B32" s="319">
        <f t="shared" si="0"/>
        <v>71716.595411188333</v>
      </c>
      <c r="C32" s="326">
        <f t="shared" si="1"/>
        <v>16203647.567203892</v>
      </c>
    </row>
    <row r="33" spans="1:3" x14ac:dyDescent="0.25">
      <c r="A33" s="325">
        <f t="shared" si="2"/>
        <v>9000000</v>
      </c>
      <c r="B33" s="319">
        <f t="shared" si="0"/>
        <v>76220.476033018742</v>
      </c>
      <c r="C33" s="326">
        <f t="shared" si="1"/>
        <v>17221254.354900256</v>
      </c>
    </row>
    <row r="34" spans="1:3" x14ac:dyDescent="0.25">
      <c r="A34" s="325">
        <f t="shared" si="2"/>
        <v>9750000</v>
      </c>
      <c r="B34" s="319">
        <f t="shared" si="0"/>
        <v>80613.00882564421</v>
      </c>
      <c r="C34" s="326">
        <f t="shared" si="1"/>
        <v>18213703.214066051</v>
      </c>
    </row>
    <row r="35" spans="1:3" x14ac:dyDescent="0.25">
      <c r="A35" s="325">
        <f t="shared" si="2"/>
        <v>10500000</v>
      </c>
      <c r="B35" s="319">
        <f t="shared" si="0"/>
        <v>84905.223505936534</v>
      </c>
      <c r="C35" s="326">
        <f t="shared" si="1"/>
        <v>19183486.198931299</v>
      </c>
    </row>
    <row r="36" spans="1:3" x14ac:dyDescent="0.25">
      <c r="A36" s="325">
        <f t="shared" si="2"/>
        <v>11250000</v>
      </c>
      <c r="B36" s="319">
        <f t="shared" si="0"/>
        <v>89106.352377727613</v>
      </c>
      <c r="C36" s="326">
        <f t="shared" si="1"/>
        <v>20132689.256223775</v>
      </c>
    </row>
    <row r="37" spans="1:3" x14ac:dyDescent="0.25">
      <c r="A37" s="325">
        <f t="shared" si="2"/>
        <v>12000000</v>
      </c>
      <c r="B37" s="319">
        <f t="shared" si="0"/>
        <v>93224.223027940854</v>
      </c>
      <c r="C37" s="326">
        <f t="shared" si="1"/>
        <v>21063080.950932957</v>
      </c>
    </row>
    <row r="38" spans="1:3" x14ac:dyDescent="0.25">
      <c r="A38" s="325">
        <f t="shared" si="2"/>
        <v>12750000</v>
      </c>
      <c r="B38" s="319">
        <f t="shared" si="0"/>
        <v>97265.546113132033</v>
      </c>
      <c r="C38" s="326">
        <f t="shared" si="1"/>
        <v>21976177.488801051</v>
      </c>
    </row>
    <row r="39" spans="1:3" x14ac:dyDescent="0.25">
      <c r="A39" s="325">
        <f t="shared" si="2"/>
        <v>13500000</v>
      </c>
      <c r="B39" s="319">
        <f t="shared" si="0"/>
        <v>101236.13077612668</v>
      </c>
      <c r="C39" s="326">
        <f t="shared" si="1"/>
        <v>22873291.387558062</v>
      </c>
    </row>
    <row r="40" spans="1:3" x14ac:dyDescent="0.25">
      <c r="A40" s="325">
        <f t="shared" si="2"/>
        <v>14250000</v>
      </c>
      <c r="B40" s="319">
        <f t="shared" si="0"/>
        <v>105141.04889375818</v>
      </c>
      <c r="C40" s="326">
        <f t="shared" si="1"/>
        <v>23755568.587055724</v>
      </c>
    </row>
    <row r="41" spans="1:3" x14ac:dyDescent="0.25">
      <c r="A41" s="325">
        <f t="shared" si="2"/>
        <v>15000000</v>
      </c>
      <c r="B41" s="319">
        <f t="shared" si="0"/>
        <v>108984.76235793946</v>
      </c>
      <c r="C41" s="326">
        <f t="shared" si="1"/>
        <v>24624017.20715284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250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251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19"/>
      <c r="C4" s="420"/>
      <c r="D4" s="420"/>
      <c r="E4" s="420"/>
      <c r="F4" s="421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08" t="s">
        <v>8</v>
      </c>
      <c r="B7" s="413" t="s">
        <v>9</v>
      </c>
      <c r="C7" s="413"/>
      <c r="D7" s="413" t="s">
        <v>12</v>
      </c>
      <c r="E7" s="413"/>
      <c r="F7" s="413"/>
      <c r="G7" s="413" t="s">
        <v>124</v>
      </c>
      <c r="H7" s="413"/>
      <c r="I7" s="418"/>
    </row>
    <row r="8" spans="1:9" x14ac:dyDescent="0.25">
      <c r="A8" s="412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09"/>
      <c r="B9" s="317">
        <f>VAC_Optim_Scenario!G22</f>
        <v>2900000</v>
      </c>
      <c r="C9" s="317">
        <f>VAC_Optim_Scenario!H22</f>
        <v>5000000</v>
      </c>
      <c r="D9" s="318">
        <f>VAC_Optim_Scenario!I22</f>
        <v>2900000</v>
      </c>
      <c r="E9" s="84">
        <f>((GDISP!D9/$B$12)^$D$12)*$C$12*$F$12</f>
        <v>76710.770935870692</v>
      </c>
      <c r="F9" s="84">
        <f>E9*F11</f>
        <v>76710.770935870692</v>
      </c>
      <c r="G9" s="76">
        <f>VAC_Optim_Scenario!E22</f>
        <v>2859426.82</v>
      </c>
      <c r="H9" s="319">
        <f>((GDISP!G9/$B$12)^$D$12)*$C$12*$F$12</f>
        <v>76065.012406995462</v>
      </c>
      <c r="I9" s="320">
        <f>H9*F11</f>
        <v>76065.012406995462</v>
      </c>
    </row>
    <row r="10" spans="1:9" ht="15.75" thickBot="1" x14ac:dyDescent="0.3"/>
    <row r="11" spans="1:9" ht="48.95" customHeight="1" x14ac:dyDescent="0.25">
      <c r="A11" s="381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381"/>
      <c r="B12" s="322">
        <f>'[6]HCC Display - Power'!$B$12</f>
        <v>2859426.82</v>
      </c>
      <c r="C12" s="322">
        <f>'[6]HCC Display - Power'!$C$12</f>
        <v>76065.012406995462</v>
      </c>
      <c r="D12" s="327">
        <f>'[6]HCC Display - Power'!$D$12</f>
        <v>0.6</v>
      </c>
      <c r="E12" s="314" t="s">
        <v>122</v>
      </c>
      <c r="F12" s="323">
        <f>VAC_Optim_Scenario!D22</f>
        <v>1</v>
      </c>
      <c r="G12" s="324">
        <f>B12*2</f>
        <v>5718853.6399999997</v>
      </c>
    </row>
    <row r="13" spans="1:9" ht="18.75" customHeight="1" x14ac:dyDescent="0.25">
      <c r="A13" s="402" t="s">
        <v>243</v>
      </c>
      <c r="B13" s="403"/>
      <c r="C13" s="403"/>
      <c r="D13" s="403"/>
      <c r="E13" s="314" t="s">
        <v>244</v>
      </c>
      <c r="F13" s="314" t="s">
        <v>245</v>
      </c>
    </row>
    <row r="14" spans="1:9" ht="15.75" thickBot="1" x14ac:dyDescent="0.3">
      <c r="A14" s="405"/>
      <c r="B14" s="406"/>
      <c r="C14" s="406"/>
      <c r="D14" s="406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0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01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81" t="s">
        <v>37</v>
      </c>
      <c r="B19" s="381"/>
      <c r="C19" s="381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17627.127824775001</v>
      </c>
      <c r="C22" s="326">
        <f t="shared" ref="C22:C41" si="1">B22*$F$14</f>
        <v>3982673.260729664</v>
      </c>
    </row>
    <row r="23" spans="1:4" x14ac:dyDescent="0.25">
      <c r="A23" s="325">
        <f t="shared" ref="A23:A41" si="2">A22+(($C$17-$B$17)/$D$17)</f>
        <v>500000</v>
      </c>
      <c r="B23" s="319">
        <f t="shared" si="0"/>
        <v>26717.729664007864</v>
      </c>
      <c r="C23" s="326">
        <f t="shared" si="1"/>
        <v>6036603.8402859364</v>
      </c>
    </row>
    <row r="24" spans="1:4" x14ac:dyDescent="0.25">
      <c r="A24" s="325">
        <f t="shared" si="2"/>
        <v>750000</v>
      </c>
      <c r="B24" s="319">
        <f t="shared" si="0"/>
        <v>34076.447014572113</v>
      </c>
      <c r="C24" s="326">
        <f t="shared" si="1"/>
        <v>7699232.4384724228</v>
      </c>
    </row>
    <row r="25" spans="1:4" x14ac:dyDescent="0.25">
      <c r="A25" s="325">
        <f t="shared" si="2"/>
        <v>1000000</v>
      </c>
      <c r="B25" s="319">
        <f t="shared" si="0"/>
        <v>40496.50547128301</v>
      </c>
      <c r="C25" s="326">
        <f t="shared" si="1"/>
        <v>9149780.4461816829</v>
      </c>
    </row>
    <row r="26" spans="1:4" x14ac:dyDescent="0.25">
      <c r="A26" s="325">
        <f t="shared" si="2"/>
        <v>1250000</v>
      </c>
      <c r="B26" s="319">
        <f t="shared" si="0"/>
        <v>46298.141343550837</v>
      </c>
      <c r="C26" s="326">
        <f t="shared" si="1"/>
        <v>10460602.055161877</v>
      </c>
    </row>
    <row r="27" spans="1:4" x14ac:dyDescent="0.25">
      <c r="A27" s="325">
        <f t="shared" si="2"/>
        <v>1500000</v>
      </c>
      <c r="B27" s="319">
        <f t="shared" si="0"/>
        <v>51650.235267800737</v>
      </c>
      <c r="C27" s="326">
        <f t="shared" si="1"/>
        <v>11669854.156406898</v>
      </c>
    </row>
    <row r="28" spans="1:4" x14ac:dyDescent="0.25">
      <c r="A28" s="325">
        <f t="shared" si="2"/>
        <v>1750000</v>
      </c>
      <c r="B28" s="319">
        <f t="shared" si="0"/>
        <v>56655.278384023426</v>
      </c>
      <c r="C28" s="326">
        <f t="shared" si="1"/>
        <v>12800693.598086253</v>
      </c>
    </row>
    <row r="29" spans="1:4" x14ac:dyDescent="0.25">
      <c r="A29" s="325">
        <f t="shared" si="2"/>
        <v>2000000</v>
      </c>
      <c r="B29" s="319">
        <f t="shared" si="0"/>
        <v>61381.22422860263</v>
      </c>
      <c r="C29" s="326">
        <f t="shared" si="1"/>
        <v>13868473.802210478</v>
      </c>
    </row>
    <row r="30" spans="1:4" x14ac:dyDescent="0.25">
      <c r="A30" s="325">
        <f t="shared" si="2"/>
        <v>2250000</v>
      </c>
      <c r="B30" s="319">
        <f t="shared" si="0"/>
        <v>65875.975523639368</v>
      </c>
      <c r="C30" s="326">
        <f t="shared" si="1"/>
        <v>14884017.90981108</v>
      </c>
    </row>
    <row r="31" spans="1:4" x14ac:dyDescent="0.25">
      <c r="A31" s="325">
        <f t="shared" si="2"/>
        <v>2500000</v>
      </c>
      <c r="B31" s="319">
        <f t="shared" si="0"/>
        <v>70174.859833059978</v>
      </c>
      <c r="C31" s="326">
        <f t="shared" si="1"/>
        <v>15855307.830681572</v>
      </c>
    </row>
    <row r="32" spans="1:4" x14ac:dyDescent="0.25">
      <c r="A32" s="325">
        <f t="shared" si="2"/>
        <v>2750000</v>
      </c>
      <c r="B32" s="319">
        <f t="shared" si="0"/>
        <v>74304.850537621896</v>
      </c>
      <c r="C32" s="326">
        <f t="shared" si="1"/>
        <v>16788437.930470292</v>
      </c>
    </row>
    <row r="33" spans="1:3" x14ac:dyDescent="0.25">
      <c r="A33" s="325">
        <f t="shared" si="2"/>
        <v>3000000</v>
      </c>
      <c r="B33" s="319">
        <f t="shared" si="0"/>
        <v>78287.117259565202</v>
      </c>
      <c r="C33" s="326">
        <f t="shared" si="1"/>
        <v>17688191.27362616</v>
      </c>
    </row>
    <row r="34" spans="1:3" x14ac:dyDescent="0.25">
      <c r="A34" s="325">
        <f t="shared" si="2"/>
        <v>3250000</v>
      </c>
      <c r="B34" s="319">
        <f t="shared" si="0"/>
        <v>82138.650862126422</v>
      </c>
      <c r="C34" s="326">
        <f t="shared" si="1"/>
        <v>18558406.775788844</v>
      </c>
    </row>
    <row r="35" spans="1:3" x14ac:dyDescent="0.25">
      <c r="A35" s="325">
        <f t="shared" si="2"/>
        <v>3500000</v>
      </c>
      <c r="B35" s="319">
        <f t="shared" si="0"/>
        <v>85873.344026922772</v>
      </c>
      <c r="C35" s="326">
        <f t="shared" si="1"/>
        <v>19402223.349442933</v>
      </c>
    </row>
    <row r="36" spans="1:3" x14ac:dyDescent="0.25">
      <c r="A36" s="325">
        <f t="shared" si="2"/>
        <v>3750000</v>
      </c>
      <c r="B36" s="319">
        <f t="shared" si="0"/>
        <v>89502.735559065375</v>
      </c>
      <c r="C36" s="326">
        <f t="shared" si="1"/>
        <v>20222248.072215229</v>
      </c>
    </row>
    <row r="37" spans="1:3" x14ac:dyDescent="0.25">
      <c r="A37" s="325">
        <f t="shared" si="2"/>
        <v>4000000</v>
      </c>
      <c r="B37" s="319">
        <f t="shared" si="0"/>
        <v>93036.538435982438</v>
      </c>
      <c r="C37" s="326">
        <f t="shared" si="1"/>
        <v>21020675.494225871</v>
      </c>
    </row>
    <row r="38" spans="1:3" x14ac:dyDescent="0.25">
      <c r="A38" s="325">
        <f t="shared" si="2"/>
        <v>4250000</v>
      </c>
      <c r="B38" s="319">
        <f t="shared" si="0"/>
        <v>96483.023973043382</v>
      </c>
      <c r="C38" s="326">
        <f t="shared" si="1"/>
        <v>21799374.436469421</v>
      </c>
    </row>
    <row r="39" spans="1:3" x14ac:dyDescent="0.25">
      <c r="A39" s="325">
        <f t="shared" si="2"/>
        <v>4500000</v>
      </c>
      <c r="B39" s="319">
        <f t="shared" si="0"/>
        <v>99849.307436213683</v>
      </c>
      <c r="C39" s="326">
        <f t="shared" si="1"/>
        <v>22559952.522138119</v>
      </c>
    </row>
    <row r="40" spans="1:3" x14ac:dyDescent="0.25">
      <c r="A40" s="325">
        <f t="shared" si="2"/>
        <v>4750000</v>
      </c>
      <c r="B40" s="319">
        <f t="shared" si="0"/>
        <v>103141.56443270072</v>
      </c>
      <c r="C40" s="326">
        <f t="shared" si="1"/>
        <v>23303805.067924399</v>
      </c>
    </row>
    <row r="41" spans="1:3" x14ac:dyDescent="0.25">
      <c r="A41" s="325">
        <f t="shared" si="2"/>
        <v>5000000</v>
      </c>
      <c r="B41" s="319">
        <f t="shared" si="0"/>
        <v>106365.19760151411</v>
      </c>
      <c r="C41" s="326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0" tint="-4.9989318521683403E-2"/>
  </sheetPr>
  <dimension ref="A1:I41"/>
  <sheetViews>
    <sheetView topLeftCell="A5" workbookViewId="0">
      <selection activeCell="F12" sqref="F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252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252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19"/>
      <c r="C4" s="420"/>
      <c r="D4" s="420"/>
      <c r="E4" s="420"/>
      <c r="F4" s="421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08" t="s">
        <v>8</v>
      </c>
      <c r="B7" s="413" t="s">
        <v>9</v>
      </c>
      <c r="C7" s="413"/>
      <c r="D7" s="413" t="s">
        <v>12</v>
      </c>
      <c r="E7" s="413"/>
      <c r="F7" s="413"/>
      <c r="G7" s="413" t="s">
        <v>124</v>
      </c>
      <c r="H7" s="413"/>
      <c r="I7" s="418"/>
    </row>
    <row r="8" spans="1:9" x14ac:dyDescent="0.25">
      <c r="A8" s="412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09"/>
      <c r="B9" s="317">
        <f>VAC_Optim_Scenario!G23</f>
        <v>100000</v>
      </c>
      <c r="C9" s="317">
        <f>VAC_Optim_Scenario!H23</f>
        <v>200000</v>
      </c>
      <c r="D9" s="318">
        <f>VAC_Optim_Scenario!I23</f>
        <v>200000</v>
      </c>
      <c r="E9" s="84">
        <f>((GPDSRCH!D9/$B$12)^$D$12)*$C$12*$F$12</f>
        <v>79531.473375019181</v>
      </c>
      <c r="F9" s="84">
        <f>E9*F11</f>
        <v>79531.473375019181</v>
      </c>
      <c r="G9" s="76">
        <f>VAC_Optim_Scenario!E23</f>
        <v>50000</v>
      </c>
      <c r="H9" s="319">
        <f>((GPDSRCH!G9/$B$12)^$D$12)*$C$12*$F$12</f>
        <v>30136.792938374307</v>
      </c>
      <c r="I9" s="320">
        <f>H9*F11</f>
        <v>30136.792938374307</v>
      </c>
    </row>
    <row r="10" spans="1:9" ht="15.75" thickBot="1" x14ac:dyDescent="0.3"/>
    <row r="11" spans="1:9" ht="48.95" customHeight="1" x14ac:dyDescent="0.25">
      <c r="A11" s="381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381"/>
      <c r="B12" s="322">
        <f>'[7]HCC Paid Search - Power'!$B$12</f>
        <v>50000</v>
      </c>
      <c r="C12" s="322">
        <f>'[7]HCC Paid Search - Power'!$C$12</f>
        <v>30136.792938374307</v>
      </c>
      <c r="D12" s="327">
        <f>'[7]HCC Paid Search - Power'!$D$12</f>
        <v>0.7</v>
      </c>
      <c r="E12" s="314" t="s">
        <v>122</v>
      </c>
      <c r="F12" s="323">
        <f>VAC_Optim_Scenario!D23</f>
        <v>1</v>
      </c>
      <c r="G12" s="324">
        <f>B12*2</f>
        <v>100000</v>
      </c>
    </row>
    <row r="13" spans="1:9" ht="18.75" customHeight="1" x14ac:dyDescent="0.25">
      <c r="A13" s="402" t="s">
        <v>243</v>
      </c>
      <c r="B13" s="403"/>
      <c r="C13" s="403"/>
      <c r="D13" s="403"/>
      <c r="E13" s="314" t="s">
        <v>244</v>
      </c>
      <c r="F13" s="314" t="s">
        <v>245</v>
      </c>
    </row>
    <row r="14" spans="1:9" ht="15.75" thickBot="1" x14ac:dyDescent="0.3">
      <c r="A14" s="405"/>
      <c r="B14" s="406"/>
      <c r="C14" s="406"/>
      <c r="D14" s="406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0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01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81" t="s">
        <v>37</v>
      </c>
      <c r="B19" s="381"/>
      <c r="C19" s="381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92977.108783791031</v>
      </c>
      <c r="C22" s="326">
        <f t="shared" ref="C22:C41" si="1">B22*$F$14</f>
        <v>21007247.958609745</v>
      </c>
    </row>
    <row r="23" spans="1:4" x14ac:dyDescent="0.25">
      <c r="A23" s="325">
        <f t="shared" ref="A23:A41" si="2">A22+(($C$17-$B$17)/$D$17)</f>
        <v>500000</v>
      </c>
      <c r="B23" s="319">
        <f t="shared" si="0"/>
        <v>151041.75883181734</v>
      </c>
      <c r="C23" s="326">
        <f t="shared" si="1"/>
        <v>34126374.990460806</v>
      </c>
    </row>
    <row r="24" spans="1:4" x14ac:dyDescent="0.25">
      <c r="A24" s="325">
        <f t="shared" si="2"/>
        <v>750000</v>
      </c>
      <c r="B24" s="319">
        <f t="shared" si="0"/>
        <v>200613.85136364179</v>
      </c>
      <c r="C24" s="326">
        <f t="shared" si="1"/>
        <v>45326693.577101223</v>
      </c>
    </row>
    <row r="25" spans="1:4" x14ac:dyDescent="0.25">
      <c r="A25" s="325">
        <f t="shared" si="2"/>
        <v>1000000</v>
      </c>
      <c r="B25" s="319">
        <f t="shared" si="0"/>
        <v>245368.06112200834</v>
      </c>
      <c r="C25" s="326">
        <f t="shared" si="1"/>
        <v>55438459.729906566</v>
      </c>
    </row>
    <row r="26" spans="1:4" x14ac:dyDescent="0.25">
      <c r="A26" s="325">
        <f t="shared" si="2"/>
        <v>1250000</v>
      </c>
      <c r="B26" s="319">
        <f t="shared" si="0"/>
        <v>286850.12288700556</v>
      </c>
      <c r="C26" s="326">
        <f t="shared" si="1"/>
        <v>64810916.765090033</v>
      </c>
    </row>
    <row r="27" spans="1:4" x14ac:dyDescent="0.25">
      <c r="A27" s="325">
        <f t="shared" si="2"/>
        <v>1500000</v>
      </c>
      <c r="B27" s="319">
        <f t="shared" si="0"/>
        <v>325898.16302474338</v>
      </c>
      <c r="C27" s="326">
        <f t="shared" si="1"/>
        <v>73633430.953810513</v>
      </c>
    </row>
    <row r="28" spans="1:4" x14ac:dyDescent="0.25">
      <c r="A28" s="325">
        <f t="shared" si="2"/>
        <v>1750000</v>
      </c>
      <c r="B28" s="319">
        <f t="shared" si="0"/>
        <v>363031.79685998178</v>
      </c>
      <c r="C28" s="326">
        <f t="shared" si="1"/>
        <v>82023404.182544276</v>
      </c>
    </row>
    <row r="29" spans="1:4" x14ac:dyDescent="0.25">
      <c r="A29" s="325">
        <f t="shared" si="2"/>
        <v>2000000</v>
      </c>
      <c r="B29" s="319">
        <f t="shared" si="0"/>
        <v>398601.59127126914</v>
      </c>
      <c r="C29" s="326">
        <f t="shared" si="1"/>
        <v>90060043.531830549</v>
      </c>
    </row>
    <row r="30" spans="1:4" x14ac:dyDescent="0.25">
      <c r="A30" s="325">
        <f t="shared" si="2"/>
        <v>2250000</v>
      </c>
      <c r="B30" s="319">
        <f t="shared" si="0"/>
        <v>432858.34422471898</v>
      </c>
      <c r="C30" s="326">
        <f t="shared" si="1"/>
        <v>97800014.294133008</v>
      </c>
    </row>
    <row r="31" spans="1:4" x14ac:dyDescent="0.25">
      <c r="A31" s="325">
        <f t="shared" si="2"/>
        <v>2500000</v>
      </c>
      <c r="B31" s="319">
        <f t="shared" si="0"/>
        <v>465989.39942010184</v>
      </c>
      <c r="C31" s="326">
        <f t="shared" si="1"/>
        <v>105285644.90497781</v>
      </c>
    </row>
    <row r="32" spans="1:4" x14ac:dyDescent="0.25">
      <c r="A32" s="325">
        <f t="shared" si="2"/>
        <v>2750000</v>
      </c>
      <c r="B32" s="319">
        <f t="shared" si="0"/>
        <v>498139.42698482808</v>
      </c>
      <c r="C32" s="326">
        <f t="shared" si="1"/>
        <v>112549622.13295205</v>
      </c>
    </row>
    <row r="33" spans="1:3" x14ac:dyDescent="0.25">
      <c r="A33" s="325">
        <f t="shared" si="2"/>
        <v>3000000</v>
      </c>
      <c r="B33" s="319">
        <f t="shared" si="0"/>
        <v>529423.1277698857</v>
      </c>
      <c r="C33" s="326">
        <f t="shared" si="1"/>
        <v>119617861.48832798</v>
      </c>
    </row>
    <row r="34" spans="1:3" x14ac:dyDescent="0.25">
      <c r="A34" s="325">
        <f t="shared" si="2"/>
        <v>3250000</v>
      </c>
      <c r="B34" s="319">
        <f t="shared" si="0"/>
        <v>559933.41281318781</v>
      </c>
      <c r="C34" s="326">
        <f t="shared" si="1"/>
        <v>126511355.29101165</v>
      </c>
    </row>
    <row r="35" spans="1:3" x14ac:dyDescent="0.25">
      <c r="A35" s="325">
        <f t="shared" si="2"/>
        <v>3500000</v>
      </c>
      <c r="B35" s="319">
        <f t="shared" si="0"/>
        <v>589746.89390606096</v>
      </c>
      <c r="C35" s="326">
        <f t="shared" si="1"/>
        <v>133247413.20913541</v>
      </c>
    </row>
    <row r="36" spans="1:3" x14ac:dyDescent="0.25">
      <c r="A36" s="325">
        <f t="shared" si="2"/>
        <v>3750000</v>
      </c>
      <c r="B36" s="319">
        <f t="shared" si="0"/>
        <v>618927.69811022875</v>
      </c>
      <c r="C36" s="326">
        <f t="shared" si="1"/>
        <v>139840524.11102509</v>
      </c>
    </row>
    <row r="37" spans="1:3" x14ac:dyDescent="0.25">
      <c r="A37" s="325">
        <f t="shared" si="2"/>
        <v>4000000</v>
      </c>
      <c r="B37" s="319">
        <f t="shared" si="0"/>
        <v>647530.19540299417</v>
      </c>
      <c r="C37" s="326">
        <f t="shared" si="1"/>
        <v>146302972.34935251</v>
      </c>
    </row>
    <row r="38" spans="1:3" x14ac:dyDescent="0.25">
      <c r="A38" s="325">
        <f t="shared" si="2"/>
        <v>4250000</v>
      </c>
      <c r="B38" s="319">
        <f t="shared" si="0"/>
        <v>675600.99762631929</v>
      </c>
      <c r="C38" s="326">
        <f t="shared" si="1"/>
        <v>152645289.40369058</v>
      </c>
    </row>
    <row r="39" spans="1:3" x14ac:dyDescent="0.25">
      <c r="A39" s="325">
        <f t="shared" si="2"/>
        <v>4500000</v>
      </c>
      <c r="B39" s="319">
        <f t="shared" si="0"/>
        <v>703180.45475864061</v>
      </c>
      <c r="C39" s="326">
        <f t="shared" si="1"/>
        <v>158876591.94816726</v>
      </c>
    </row>
    <row r="40" spans="1:3" x14ac:dyDescent="0.25">
      <c r="A40" s="325">
        <f t="shared" si="2"/>
        <v>4750000</v>
      </c>
      <c r="B40" s="319">
        <f t="shared" si="0"/>
        <v>730303.79577039415</v>
      </c>
      <c r="C40" s="326">
        <f t="shared" si="1"/>
        <v>165004839.61636284</v>
      </c>
    </row>
    <row r="41" spans="1:3" x14ac:dyDescent="0.25">
      <c r="A41" s="325">
        <f t="shared" si="2"/>
        <v>5000000</v>
      </c>
      <c r="B41" s="319">
        <f t="shared" si="0"/>
        <v>757002.0127111614</v>
      </c>
      <c r="C41" s="326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254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255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19"/>
      <c r="C4" s="420"/>
      <c r="D4" s="420"/>
      <c r="E4" s="420"/>
      <c r="F4" s="421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08" t="s">
        <v>8</v>
      </c>
      <c r="B7" s="413" t="s">
        <v>9</v>
      </c>
      <c r="C7" s="413"/>
      <c r="D7" s="413" t="s">
        <v>12</v>
      </c>
      <c r="E7" s="413"/>
      <c r="F7" s="413"/>
      <c r="G7" s="413" t="s">
        <v>124</v>
      </c>
      <c r="H7" s="413"/>
      <c r="I7" s="418"/>
    </row>
    <row r="8" spans="1:9" x14ac:dyDescent="0.25">
      <c r="A8" s="412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09"/>
      <c r="B9" s="317" t="e">
        <f>VAC_Optim_Scenario!#REF!</f>
        <v>#REF!</v>
      </c>
      <c r="C9" s="317">
        <f>VAC_Optim_Scenario!H24</f>
        <v>53783542</v>
      </c>
      <c r="D9" s="318">
        <f>VAC_Optim_Scenario!I25</f>
        <v>500000.00000000006</v>
      </c>
      <c r="E9" s="84">
        <f>((GAUDIO!D9/$B$12)^$D$12)*$C$12*$F$12</f>
        <v>20792.387787549633</v>
      </c>
      <c r="F9" s="84">
        <f>E9*F11</f>
        <v>20792.387787549633</v>
      </c>
      <c r="G9" s="76">
        <f>VAC_Optim_Scenario!E25</f>
        <v>923975</v>
      </c>
      <c r="H9" s="319">
        <f>((GAUDIO!G9/$B$12)^$D$12)*$C$12*$F$12</f>
        <v>26581.559263521289</v>
      </c>
      <c r="I9" s="320">
        <f>H9*F11</f>
        <v>26581.559263521289</v>
      </c>
    </row>
    <row r="10" spans="1:9" ht="15.75" thickBot="1" x14ac:dyDescent="0.3"/>
    <row r="11" spans="1:9" ht="48.95" customHeight="1" x14ac:dyDescent="0.25">
      <c r="A11" s="381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381"/>
      <c r="B12" s="322">
        <f>'[8]Radio - Power'!$B$12</f>
        <v>923975</v>
      </c>
      <c r="C12" s="322">
        <f>'[8]Radio - Power'!$C$12</f>
        <v>26581.559263521289</v>
      </c>
      <c r="D12" s="327">
        <f>'[8]Radio - Power'!$D$12</f>
        <v>0.4</v>
      </c>
      <c r="E12" s="314" t="s">
        <v>122</v>
      </c>
      <c r="F12" s="323">
        <f>VAC_Optim_Scenario!D25</f>
        <v>1</v>
      </c>
      <c r="G12" s="324">
        <f>B12*2</f>
        <v>1847950</v>
      </c>
    </row>
    <row r="13" spans="1:9" ht="18.75" customHeight="1" x14ac:dyDescent="0.25">
      <c r="A13" s="402" t="s">
        <v>243</v>
      </c>
      <c r="B13" s="403"/>
      <c r="C13" s="403"/>
      <c r="D13" s="403"/>
      <c r="E13" s="314" t="s">
        <v>244</v>
      </c>
      <c r="F13" s="314" t="s">
        <v>245</v>
      </c>
    </row>
    <row r="14" spans="1:9" ht="15.75" thickBot="1" x14ac:dyDescent="0.3">
      <c r="A14" s="405"/>
      <c r="B14" s="406"/>
      <c r="C14" s="406"/>
      <c r="D14" s="406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0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01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81" t="s">
        <v>37</v>
      </c>
      <c r="B19" s="381"/>
      <c r="C19" s="381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15757.683313448728</v>
      </c>
      <c r="C22" s="326">
        <f t="shared" ref="C22:C41" si="1">B22*$F$14</f>
        <v>3560290.9678406054</v>
      </c>
    </row>
    <row r="23" spans="1:4" x14ac:dyDescent="0.25">
      <c r="A23" s="325">
        <f t="shared" ref="A23:A41" si="2">A22+(($C$17-$B$17)/$D$17)</f>
        <v>500000</v>
      </c>
      <c r="B23" s="319">
        <f t="shared" si="0"/>
        <v>20792.387787549629</v>
      </c>
      <c r="C23" s="326">
        <f t="shared" si="1"/>
        <v>4697832.0967189632</v>
      </c>
    </row>
    <row r="24" spans="1:4" x14ac:dyDescent="0.25">
      <c r="A24" s="325">
        <f t="shared" si="2"/>
        <v>750000</v>
      </c>
      <c r="B24" s="319">
        <f t="shared" si="0"/>
        <v>24453.49110513533</v>
      </c>
      <c r="C24" s="326">
        <f t="shared" si="1"/>
        <v>5525021.7802942768</v>
      </c>
    </row>
    <row r="25" spans="1:4" x14ac:dyDescent="0.25">
      <c r="A25" s="325">
        <f t="shared" si="2"/>
        <v>1000000</v>
      </c>
      <c r="B25" s="319">
        <f t="shared" si="0"/>
        <v>27435.720169529453</v>
      </c>
      <c r="C25" s="326">
        <f t="shared" si="1"/>
        <v>6198826.6151034851</v>
      </c>
    </row>
    <row r="26" spans="1:4" x14ac:dyDescent="0.25">
      <c r="A26" s="325">
        <f t="shared" si="2"/>
        <v>1250000</v>
      </c>
      <c r="B26" s="319">
        <f t="shared" si="0"/>
        <v>29997.175904684151</v>
      </c>
      <c r="C26" s="326">
        <f t="shared" si="1"/>
        <v>6777561.923904337</v>
      </c>
    </row>
    <row r="27" spans="1:4" x14ac:dyDescent="0.25">
      <c r="A27" s="325">
        <f t="shared" si="2"/>
        <v>1500000</v>
      </c>
      <c r="B27" s="319">
        <f t="shared" si="0"/>
        <v>32266.574959240672</v>
      </c>
      <c r="C27" s="326">
        <f t="shared" si="1"/>
        <v>7290309.9462908376</v>
      </c>
    </row>
    <row r="28" spans="1:4" x14ac:dyDescent="0.25">
      <c r="A28" s="325">
        <f t="shared" si="2"/>
        <v>1750000</v>
      </c>
      <c r="B28" s="319">
        <f t="shared" si="0"/>
        <v>34318.759723325085</v>
      </c>
      <c r="C28" s="326">
        <f t="shared" si="1"/>
        <v>7753980.5718880696</v>
      </c>
    </row>
    <row r="29" spans="1:4" x14ac:dyDescent="0.25">
      <c r="A29" s="325">
        <f t="shared" si="2"/>
        <v>2000000</v>
      </c>
      <c r="B29" s="319">
        <f t="shared" si="0"/>
        <v>36201.649801445565</v>
      </c>
      <c r="C29" s="326">
        <f t="shared" si="1"/>
        <v>8179400.7561386107</v>
      </c>
    </row>
    <row r="30" spans="1:4" x14ac:dyDescent="0.25">
      <c r="A30" s="325">
        <f t="shared" si="2"/>
        <v>2250000</v>
      </c>
      <c r="B30" s="319">
        <f t="shared" si="0"/>
        <v>37948.041938282877</v>
      </c>
      <c r="C30" s="326">
        <f t="shared" si="1"/>
        <v>8573980.5955356322</v>
      </c>
    </row>
    <row r="31" spans="1:4" x14ac:dyDescent="0.25">
      <c r="A31" s="325">
        <f t="shared" si="2"/>
        <v>2500000</v>
      </c>
      <c r="B31" s="319">
        <f t="shared" si="0"/>
        <v>39581.510907076787</v>
      </c>
      <c r="C31" s="326">
        <f t="shared" si="1"/>
        <v>8943046.5743449293</v>
      </c>
    </row>
    <row r="32" spans="1:4" x14ac:dyDescent="0.25">
      <c r="A32" s="325">
        <f t="shared" si="2"/>
        <v>2750000</v>
      </c>
      <c r="B32" s="319">
        <f t="shared" si="0"/>
        <v>41119.653101601129</v>
      </c>
      <c r="C32" s="326">
        <f t="shared" si="1"/>
        <v>9290574.4217757583</v>
      </c>
    </row>
    <row r="33" spans="1:3" x14ac:dyDescent="0.25">
      <c r="A33" s="325">
        <f t="shared" si="2"/>
        <v>3000000</v>
      </c>
      <c r="B33" s="319">
        <f t="shared" si="0"/>
        <v>42576.000912264644</v>
      </c>
      <c r="C33" s="326">
        <f t="shared" si="1"/>
        <v>9619621.6461170744</v>
      </c>
    </row>
    <row r="34" spans="1:3" x14ac:dyDescent="0.25">
      <c r="A34" s="325">
        <f t="shared" si="2"/>
        <v>3250000</v>
      </c>
      <c r="B34" s="319">
        <f t="shared" si="0"/>
        <v>43961.217233910902</v>
      </c>
      <c r="C34" s="326">
        <f t="shared" si="1"/>
        <v>9932597.421829829</v>
      </c>
    </row>
    <row r="35" spans="1:3" x14ac:dyDescent="0.25">
      <c r="A35" s="325">
        <f t="shared" si="2"/>
        <v>3500000</v>
      </c>
      <c r="B35" s="319">
        <f t="shared" si="0"/>
        <v>45283.874942841634</v>
      </c>
      <c r="C35" s="326">
        <f t="shared" si="1"/>
        <v>10231438.704585638</v>
      </c>
    </row>
    <row r="36" spans="1:3" x14ac:dyDescent="0.25">
      <c r="A36" s="325">
        <f t="shared" si="2"/>
        <v>3750000</v>
      </c>
      <c r="B36" s="319">
        <f t="shared" si="0"/>
        <v>46550.984657644571</v>
      </c>
      <c r="C36" s="326">
        <f t="shared" si="1"/>
        <v>10517729.473548215</v>
      </c>
    </row>
    <row r="37" spans="1:3" x14ac:dyDescent="0.25">
      <c r="A37" s="325">
        <f t="shared" si="2"/>
        <v>4000000</v>
      </c>
      <c r="B37" s="319">
        <f t="shared" si="0"/>
        <v>47768.363296037402</v>
      </c>
      <c r="C37" s="326">
        <f t="shared" si="1"/>
        <v>10792784.003106691</v>
      </c>
    </row>
    <row r="38" spans="1:3" x14ac:dyDescent="0.25">
      <c r="A38" s="325">
        <f t="shared" si="2"/>
        <v>4250000</v>
      </c>
      <c r="B38" s="319">
        <f t="shared" si="0"/>
        <v>48940.898319309759</v>
      </c>
      <c r="C38" s="326">
        <f t="shared" si="1"/>
        <v>11057706.566264847</v>
      </c>
    </row>
    <row r="39" spans="1:3" x14ac:dyDescent="0.25">
      <c r="A39" s="325">
        <f t="shared" si="2"/>
        <v>4500000</v>
      </c>
      <c r="B39" s="319">
        <f t="shared" si="0"/>
        <v>50072.741535905814</v>
      </c>
      <c r="C39" s="326">
        <f t="shared" si="1"/>
        <v>11313435.22262256</v>
      </c>
    </row>
    <row r="40" spans="1:3" x14ac:dyDescent="0.25">
      <c r="A40" s="325">
        <f t="shared" si="2"/>
        <v>4750000</v>
      </c>
      <c r="B40" s="319">
        <f t="shared" si="0"/>
        <v>51167.454079337178</v>
      </c>
      <c r="C40" s="326">
        <f t="shared" si="1"/>
        <v>11560774.574685441</v>
      </c>
    </row>
    <row r="41" spans="1:3" x14ac:dyDescent="0.25">
      <c r="A41" s="325">
        <f t="shared" si="2"/>
        <v>5000000</v>
      </c>
      <c r="B41" s="319">
        <f t="shared" si="0"/>
        <v>52228.116762231417</v>
      </c>
      <c r="C41" s="326">
        <f t="shared" si="1"/>
        <v>11800420.701258566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0" tint="-4.9989318521683403E-2"/>
  </sheetPr>
  <dimension ref="A1:I42"/>
  <sheetViews>
    <sheetView topLeftCell="A21" workbookViewId="0">
      <selection activeCell="C39" sqref="C39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256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19"/>
      <c r="C4" s="420"/>
      <c r="D4" s="420"/>
      <c r="E4" s="420"/>
      <c r="F4" s="421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08" t="s">
        <v>8</v>
      </c>
      <c r="B7" s="413" t="s">
        <v>9</v>
      </c>
      <c r="C7" s="413"/>
      <c r="D7" s="413" t="s">
        <v>12</v>
      </c>
      <c r="E7" s="413"/>
      <c r="F7" s="413"/>
      <c r="G7" s="413" t="s">
        <v>124</v>
      </c>
      <c r="H7" s="413"/>
      <c r="I7" s="418"/>
    </row>
    <row r="8" spans="1:9" x14ac:dyDescent="0.25">
      <c r="A8" s="412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09"/>
      <c r="B9" s="317" t="e">
        <f>VAC_Optim_Scenario!#REF!</f>
        <v>#REF!</v>
      </c>
      <c r="C9" s="317" t="e">
        <f>VAC_Optim_Scenario!#REF!</f>
        <v>#REF!</v>
      </c>
      <c r="D9" s="318">
        <f>VAC_Optim_Scenario!I24</f>
        <v>28089210.84</v>
      </c>
      <c r="E9" s="84">
        <f>((GLINEARTV!D9/$B$12)^$D$12)*$C$12*$F$12</f>
        <v>178786.88808485144</v>
      </c>
      <c r="F9" s="84">
        <f>E9*F11</f>
        <v>178786.88808485144</v>
      </c>
      <c r="G9" s="76">
        <f>VAC_Optim_Scenario!E24</f>
        <v>25810928.600000001</v>
      </c>
      <c r="H9" s="319">
        <f>((GLINEARTV!G9/$B$12)^$D$12)*$C$12*$F$12</f>
        <v>168508.00202805389</v>
      </c>
      <c r="I9" s="320">
        <f>H9*F11</f>
        <v>168508.00202805389</v>
      </c>
    </row>
    <row r="10" spans="1:9" ht="15.75" thickBot="1" x14ac:dyDescent="0.3"/>
    <row r="11" spans="1:9" ht="48.95" customHeight="1" x14ac:dyDescent="0.25">
      <c r="A11" s="381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381"/>
      <c r="B12" s="322">
        <f>'[9]TV - Power'!$B$12</f>
        <v>25810928.600000001</v>
      </c>
      <c r="C12" s="322">
        <f>'[9]TV - Power'!$C$12</f>
        <v>168508.00202805389</v>
      </c>
      <c r="D12" s="327">
        <f>'[9]TV - Power'!$D$12</f>
        <v>0.7</v>
      </c>
      <c r="E12" s="314" t="s">
        <v>122</v>
      </c>
      <c r="F12" s="323">
        <f>VAC_Optim_Scenario!D24</f>
        <v>1</v>
      </c>
      <c r="G12" s="324">
        <f>B12*2</f>
        <v>51621857.200000003</v>
      </c>
    </row>
    <row r="13" spans="1:9" ht="18.75" customHeight="1" x14ac:dyDescent="0.25">
      <c r="A13" s="402" t="s">
        <v>243</v>
      </c>
      <c r="B13" s="403"/>
      <c r="C13" s="403"/>
      <c r="D13" s="403"/>
      <c r="E13" s="314" t="s">
        <v>244</v>
      </c>
      <c r="F13" s="314" t="s">
        <v>245</v>
      </c>
    </row>
    <row r="14" spans="1:9" ht="15.75" thickBot="1" x14ac:dyDescent="0.3">
      <c r="A14" s="405"/>
      <c r="B14" s="406"/>
      <c r="C14" s="406"/>
      <c r="D14" s="406"/>
      <c r="E14" s="97">
        <f>VAC_Optim_Scenario!F33</f>
        <v>225.94</v>
      </c>
      <c r="F14" s="97">
        <f>VAC_Optim_Scenario!E33</f>
        <v>225.94</v>
      </c>
      <c r="H14" s="99">
        <v>193.91</v>
      </c>
    </row>
    <row r="15" spans="1:9" ht="15.75" thickBot="1" x14ac:dyDescent="0.3"/>
    <row r="16" spans="1:9" x14ac:dyDescent="0.25">
      <c r="A16" s="400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01"/>
      <c r="B17" s="76">
        <v>0</v>
      </c>
      <c r="C17" s="76">
        <v>30000000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81" t="s">
        <v>37</v>
      </c>
      <c r="B19" s="381"/>
      <c r="C19" s="381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1500000</v>
      </c>
      <c r="B22" s="319">
        <f>((A22/$B$12)^$D$12)*$C$12</f>
        <v>22994.388781683774</v>
      </c>
      <c r="C22" s="326">
        <f t="shared" ref="C22:C41" si="0">B22*$F$14</f>
        <v>5195352.2013336318</v>
      </c>
    </row>
    <row r="23" spans="1:4" x14ac:dyDescent="0.25">
      <c r="A23" s="325">
        <f t="shared" ref="A23:A42" si="1">A22+(($C$17-$B$17)/$D$17)</f>
        <v>3000000</v>
      </c>
      <c r="B23" s="319">
        <f t="shared" ref="B23:B42" si="2">((A23/$B$12)^$D$12)*$C$12</f>
        <v>37354.494781339148</v>
      </c>
      <c r="C23" s="326">
        <f t="shared" si="0"/>
        <v>8439874.5508957673</v>
      </c>
    </row>
    <row r="24" spans="1:4" x14ac:dyDescent="0.25">
      <c r="A24" s="325">
        <f t="shared" si="1"/>
        <v>4500000</v>
      </c>
      <c r="B24" s="319">
        <f t="shared" si="2"/>
        <v>49614.286286031464</v>
      </c>
      <c r="C24" s="326">
        <f t="shared" si="0"/>
        <v>11209851.843465948</v>
      </c>
    </row>
    <row r="25" spans="1:4" x14ac:dyDescent="0.25">
      <c r="A25" s="325">
        <f t="shared" si="1"/>
        <v>6000000</v>
      </c>
      <c r="B25" s="319">
        <f t="shared" si="2"/>
        <v>60682.555801638446</v>
      </c>
      <c r="C25" s="326">
        <f t="shared" si="0"/>
        <v>13710616.65782219</v>
      </c>
    </row>
    <row r="26" spans="1:4" x14ac:dyDescent="0.25">
      <c r="A26" s="325">
        <f t="shared" si="1"/>
        <v>7500000</v>
      </c>
      <c r="B26" s="319">
        <f t="shared" si="2"/>
        <v>70941.582654239959</v>
      </c>
      <c r="C26" s="326">
        <f t="shared" si="0"/>
        <v>16028541.184898976</v>
      </c>
    </row>
    <row r="27" spans="1:4" x14ac:dyDescent="0.25">
      <c r="A27" s="325">
        <f t="shared" si="1"/>
        <v>9000000</v>
      </c>
      <c r="B27" s="319">
        <f t="shared" si="2"/>
        <v>80598.645858666729</v>
      </c>
      <c r="C27" s="326">
        <f t="shared" si="0"/>
        <v>18210458.045307159</v>
      </c>
    </row>
    <row r="28" spans="1:4" x14ac:dyDescent="0.25">
      <c r="A28" s="325">
        <f t="shared" si="1"/>
        <v>10500000</v>
      </c>
      <c r="B28" s="319">
        <f t="shared" si="2"/>
        <v>89782.252710432149</v>
      </c>
      <c r="C28" s="326">
        <f t="shared" si="0"/>
        <v>20285402.177395038</v>
      </c>
    </row>
    <row r="29" spans="1:4" x14ac:dyDescent="0.25">
      <c r="A29" s="325">
        <f t="shared" si="1"/>
        <v>12000000</v>
      </c>
      <c r="B29" s="319">
        <f t="shared" si="2"/>
        <v>98579.102733803622</v>
      </c>
      <c r="C29" s="326">
        <f t="shared" si="0"/>
        <v>22272962.47167559</v>
      </c>
    </row>
    <row r="30" spans="1:4" x14ac:dyDescent="0.25">
      <c r="A30" s="325">
        <f t="shared" si="1"/>
        <v>13500000</v>
      </c>
      <c r="B30" s="319">
        <f t="shared" si="2"/>
        <v>107051.22136723484</v>
      </c>
      <c r="C30" s="326">
        <f t="shared" si="0"/>
        <v>24187152.955713041</v>
      </c>
    </row>
    <row r="31" spans="1:4" x14ac:dyDescent="0.25">
      <c r="A31" s="325">
        <f t="shared" si="1"/>
        <v>15000000</v>
      </c>
      <c r="B31" s="319">
        <f t="shared" si="2"/>
        <v>115244.9410244207</v>
      </c>
      <c r="C31" s="326">
        <f t="shared" si="0"/>
        <v>26038441.975057613</v>
      </c>
    </row>
    <row r="32" spans="1:4" x14ac:dyDescent="0.25">
      <c r="A32" s="325">
        <f t="shared" si="1"/>
        <v>16500000</v>
      </c>
      <c r="B32" s="319">
        <f t="shared" si="2"/>
        <v>123196.0404168987</v>
      </c>
      <c r="C32" s="326">
        <f t="shared" si="0"/>
        <v>27834913.371794093</v>
      </c>
    </row>
    <row r="33" spans="1:3" x14ac:dyDescent="0.25">
      <c r="A33" s="325">
        <f t="shared" si="1"/>
        <v>18000000</v>
      </c>
      <c r="B33" s="319">
        <f t="shared" si="2"/>
        <v>130932.88648353927</v>
      </c>
      <c r="C33" s="326">
        <f t="shared" si="0"/>
        <v>29582976.372090865</v>
      </c>
    </row>
    <row r="34" spans="1:3" x14ac:dyDescent="0.25">
      <c r="A34" s="325">
        <f t="shared" si="1"/>
        <v>19500000</v>
      </c>
      <c r="B34" s="319">
        <f t="shared" si="2"/>
        <v>138478.45727298054</v>
      </c>
      <c r="C34" s="326">
        <f t="shared" si="0"/>
        <v>31287822.636257224</v>
      </c>
    </row>
    <row r="35" spans="1:3" x14ac:dyDescent="0.25">
      <c r="A35" s="325">
        <f t="shared" si="1"/>
        <v>21000000</v>
      </c>
      <c r="B35" s="319">
        <f t="shared" si="2"/>
        <v>145851.69982861925</v>
      </c>
      <c r="C35" s="326">
        <f t="shared" si="0"/>
        <v>32953733.059278235</v>
      </c>
    </row>
    <row r="36" spans="1:3" x14ac:dyDescent="0.25">
      <c r="A36" s="325">
        <f t="shared" si="1"/>
        <v>22500000</v>
      </c>
      <c r="B36" s="319">
        <f t="shared" si="2"/>
        <v>153068.47356583198</v>
      </c>
      <c r="C36" s="326">
        <f t="shared" si="0"/>
        <v>34584290.917464077</v>
      </c>
    </row>
    <row r="37" spans="1:3" x14ac:dyDescent="0.25">
      <c r="A37" s="325">
        <f t="shared" si="1"/>
        <v>24000000</v>
      </c>
      <c r="B37" s="319">
        <f t="shared" si="2"/>
        <v>160142.22485235901</v>
      </c>
      <c r="C37" s="326">
        <f t="shared" si="0"/>
        <v>36182534.283141993</v>
      </c>
    </row>
    <row r="38" spans="1:3" x14ac:dyDescent="0.25">
      <c r="A38" s="325">
        <f t="shared" si="1"/>
        <v>25500000</v>
      </c>
      <c r="B38" s="319">
        <f t="shared" si="2"/>
        <v>167084.48137313194</v>
      </c>
      <c r="C38" s="326">
        <f t="shared" si="0"/>
        <v>37751067.721445434</v>
      </c>
    </row>
    <row r="39" spans="1:3" x14ac:dyDescent="0.25">
      <c r="A39" s="325">
        <f t="shared" si="1"/>
        <v>27000000</v>
      </c>
      <c r="B39" s="319">
        <f t="shared" si="2"/>
        <v>173905.2221767967</v>
      </c>
      <c r="C39" s="326">
        <f t="shared" si="0"/>
        <v>39292145.898625448</v>
      </c>
    </row>
    <row r="40" spans="1:3" x14ac:dyDescent="0.25">
      <c r="A40" s="325">
        <f t="shared" si="1"/>
        <v>28500000</v>
      </c>
      <c r="B40" s="319">
        <f t="shared" si="2"/>
        <v>180613.15982339281</v>
      </c>
      <c r="C40" s="326">
        <f t="shared" si="0"/>
        <v>40807737.330497369</v>
      </c>
    </row>
    <row r="41" spans="1:3" x14ac:dyDescent="0.25">
      <c r="A41" s="325">
        <f t="shared" si="1"/>
        <v>30000000</v>
      </c>
      <c r="B41" s="319">
        <f t="shared" si="2"/>
        <v>187215.95903003748</v>
      </c>
      <c r="C41" s="326">
        <f t="shared" si="0"/>
        <v>42299573.783246666</v>
      </c>
    </row>
    <row r="42" spans="1:3" x14ac:dyDescent="0.25">
      <c r="A42" s="325">
        <f t="shared" si="1"/>
        <v>31500000</v>
      </c>
      <c r="B42" s="319">
        <f t="shared" si="2"/>
        <v>193720.40856021506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10" t="s">
        <v>106</v>
      </c>
      <c r="C4" s="410"/>
      <c r="D4" s="410"/>
      <c r="E4" s="410"/>
      <c r="F4" s="411"/>
      <c r="H4" s="100" t="s">
        <v>107</v>
      </c>
    </row>
    <row r="5" spans="1:18" x14ac:dyDescent="0.2">
      <c r="H5" s="100" t="s">
        <v>108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08" t="s">
        <v>8</v>
      </c>
      <c r="B7" s="413" t="s">
        <v>9</v>
      </c>
      <c r="C7" s="414"/>
      <c r="D7" s="415" t="s">
        <v>12</v>
      </c>
      <c r="E7" s="416"/>
      <c r="F7" s="417"/>
      <c r="G7" s="413" t="s">
        <v>124</v>
      </c>
      <c r="H7" s="413"/>
      <c r="I7" s="418"/>
      <c r="J7" s="100" t="s">
        <v>125</v>
      </c>
    </row>
    <row r="8" spans="1:18" ht="28.35" customHeight="1" x14ac:dyDescent="0.2">
      <c r="A8" s="412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09"/>
      <c r="B9" s="97" t="e">
        <f>VAC_Optim_Scenario!#REF!</f>
        <v>#REF!</v>
      </c>
      <c r="C9" s="97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7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100" t="s">
        <v>183</v>
      </c>
    </row>
    <row r="10" spans="1:18" ht="13.5" thickBot="1" x14ac:dyDescent="0.25"/>
    <row r="11" spans="1:18" ht="51.6" customHeight="1" x14ac:dyDescent="0.2">
      <c r="A11" s="408" t="s">
        <v>15</v>
      </c>
      <c r="B11" s="125" t="s">
        <v>16</v>
      </c>
      <c r="C11" s="125" t="s">
        <v>17</v>
      </c>
      <c r="D11" s="125" t="s">
        <v>18</v>
      </c>
      <c r="E11" s="125" t="s">
        <v>19</v>
      </c>
      <c r="F11" s="126" t="s">
        <v>109</v>
      </c>
      <c r="G11" s="127" t="s">
        <v>118</v>
      </c>
      <c r="H11" s="125" t="s">
        <v>119</v>
      </c>
      <c r="I11" s="92" t="s">
        <v>122</v>
      </c>
      <c r="K11" s="400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09"/>
      <c r="B12" s="97">
        <v>3269319</v>
      </c>
      <c r="C12" s="97">
        <v>54924.559200000003</v>
      </c>
      <c r="D12" s="97">
        <v>0</v>
      </c>
      <c r="E12" s="97">
        <v>178010.42170690201</v>
      </c>
      <c r="F12" s="97">
        <v>11867361.4471268</v>
      </c>
      <c r="G12" s="91">
        <f>VAC_Optim_Scenario!$D$33</f>
        <v>1</v>
      </c>
      <c r="H12" s="71">
        <f>C12*G12</f>
        <v>54924.559200000003</v>
      </c>
      <c r="I12" s="117" t="e">
        <f>VAC_Optim_Scenario!#REF!</f>
        <v>#REF!</v>
      </c>
      <c r="K12" s="401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02" t="s">
        <v>114</v>
      </c>
      <c r="B13" s="403"/>
      <c r="C13" s="403"/>
      <c r="D13" s="403"/>
      <c r="E13" s="403"/>
      <c r="F13" s="404"/>
      <c r="G13" s="121" t="s">
        <v>150</v>
      </c>
      <c r="H13" s="121" t="s">
        <v>151</v>
      </c>
      <c r="K13" s="402" t="s">
        <v>115</v>
      </c>
      <c r="L13" s="403"/>
      <c r="M13" s="403"/>
      <c r="N13" s="403"/>
      <c r="O13" s="403"/>
      <c r="P13" s="403"/>
      <c r="Q13" s="403"/>
      <c r="R13" s="404"/>
    </row>
    <row r="14" spans="1:18" ht="33.6" customHeight="1" thickBot="1" x14ac:dyDescent="0.25">
      <c r="A14" s="405"/>
      <c r="B14" s="406"/>
      <c r="C14" s="406"/>
      <c r="D14" s="406"/>
      <c r="E14" s="406"/>
      <c r="F14" s="407"/>
      <c r="G14" s="97">
        <f>VAC_Optim_Scenario!I33</f>
        <v>225.94</v>
      </c>
      <c r="H14" s="97">
        <f>VAC_Optim_Scenario!G33</f>
        <v>225.94</v>
      </c>
      <c r="K14" s="405"/>
      <c r="L14" s="406"/>
      <c r="M14" s="406"/>
      <c r="N14" s="406"/>
      <c r="O14" s="406"/>
      <c r="P14" s="406"/>
      <c r="Q14" s="406"/>
      <c r="R14" s="407"/>
    </row>
    <row r="16" spans="1:18" ht="13.5" thickBot="1" x14ac:dyDescent="0.25"/>
    <row r="17" spans="1:8" ht="42.6" customHeight="1" x14ac:dyDescent="0.2">
      <c r="A17" s="400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01"/>
      <c r="B18" s="75">
        <v>0</v>
      </c>
      <c r="C18" s="76">
        <v>4000000</v>
      </c>
      <c r="D18" s="26">
        <v>20</v>
      </c>
    </row>
    <row r="20" spans="1:8" x14ac:dyDescent="0.2">
      <c r="A20" s="381" t="s">
        <v>37</v>
      </c>
      <c r="B20" s="381"/>
      <c r="C20" s="381"/>
    </row>
    <row r="21" spans="1:8" ht="25.5" x14ac:dyDescent="0.2">
      <c r="A21" s="121" t="s">
        <v>35</v>
      </c>
      <c r="B21" s="121" t="s">
        <v>120</v>
      </c>
      <c r="C21" s="121" t="s">
        <v>184</v>
      </c>
      <c r="D21" s="100" t="s">
        <v>121</v>
      </c>
      <c r="E21" s="121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8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100" t="e">
        <f>(B23-B22)/A23</f>
        <v>#REF!</v>
      </c>
      <c r="E23" s="118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100" t="e">
        <f t="shared" ref="D24:D42" si="4">(B24-B23)/A24</f>
        <v>#REF!</v>
      </c>
      <c r="E24" s="118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100" t="e">
        <f t="shared" si="4"/>
        <v>#REF!</v>
      </c>
      <c r="E25" s="118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100" t="e">
        <f t="shared" si="4"/>
        <v>#REF!</v>
      </c>
      <c r="E26" s="118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100" t="e">
        <f t="shared" si="4"/>
        <v>#REF!</v>
      </c>
      <c r="E27" s="118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100" t="e">
        <f t="shared" si="4"/>
        <v>#REF!</v>
      </c>
      <c r="E28" s="118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100" t="e">
        <f t="shared" si="4"/>
        <v>#REF!</v>
      </c>
      <c r="E29" s="118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100" t="e">
        <f t="shared" si="4"/>
        <v>#REF!</v>
      </c>
      <c r="E30" s="118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100" t="e">
        <f t="shared" si="4"/>
        <v>#REF!</v>
      </c>
      <c r="E31" s="118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100" t="e">
        <f t="shared" si="4"/>
        <v>#REF!</v>
      </c>
      <c r="E32" s="118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100" t="e">
        <f t="shared" si="4"/>
        <v>#REF!</v>
      </c>
      <c r="E33" s="118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100" t="e">
        <f t="shared" si="4"/>
        <v>#REF!</v>
      </c>
      <c r="E34" s="118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100" t="e">
        <f t="shared" si="4"/>
        <v>#REF!</v>
      </c>
      <c r="E35" s="118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100" t="e">
        <f t="shared" si="4"/>
        <v>#REF!</v>
      </c>
      <c r="E36" s="118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100" t="e">
        <f t="shared" si="4"/>
        <v>#REF!</v>
      </c>
      <c r="E37" s="118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100" t="e">
        <f t="shared" si="4"/>
        <v>#REF!</v>
      </c>
      <c r="E38" s="118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100" t="e">
        <f t="shared" si="4"/>
        <v>#REF!</v>
      </c>
      <c r="E39" s="118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100" t="e">
        <f t="shared" si="4"/>
        <v>#REF!</v>
      </c>
      <c r="E40" s="118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100" t="e">
        <f t="shared" si="4"/>
        <v>#REF!</v>
      </c>
      <c r="E41" s="118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100" t="e">
        <f t="shared" si="4"/>
        <v>#REF!</v>
      </c>
      <c r="E42" s="118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zoomScaleNormal="100" workbookViewId="0">
      <selection activeCell="D9" sqref="D9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234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64" t="s">
        <v>102</v>
      </c>
      <c r="I2" s="265"/>
      <c r="J2" s="265"/>
      <c r="K2" s="265"/>
      <c r="L2" s="266"/>
    </row>
    <row r="3" spans="1:18" ht="13.5" thickBot="1" x14ac:dyDescent="0.25">
      <c r="A3" s="11" t="s">
        <v>3</v>
      </c>
      <c r="B3" s="12" t="s">
        <v>233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0" t="s">
        <v>106</v>
      </c>
      <c r="C4" s="410"/>
      <c r="D4" s="410"/>
      <c r="E4" s="410"/>
      <c r="F4" s="411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08" t="s">
        <v>8</v>
      </c>
      <c r="B7" s="413" t="s">
        <v>9</v>
      </c>
      <c r="C7" s="414"/>
      <c r="D7" s="415" t="s">
        <v>12</v>
      </c>
      <c r="E7" s="416"/>
      <c r="F7" s="417"/>
      <c r="G7" s="413" t="s">
        <v>124</v>
      </c>
      <c r="H7" s="413"/>
      <c r="I7" s="418"/>
      <c r="J7" s="100" t="s">
        <v>125</v>
      </c>
    </row>
    <row r="8" spans="1:18" ht="28.35" customHeight="1" x14ac:dyDescent="0.2">
      <c r="A8" s="412"/>
      <c r="B8" s="263" t="s">
        <v>10</v>
      </c>
      <c r="C8" s="17" t="s">
        <v>11</v>
      </c>
      <c r="D8" s="19" t="s">
        <v>20</v>
      </c>
      <c r="E8" s="263" t="s">
        <v>21</v>
      </c>
      <c r="F8" s="81" t="s">
        <v>117</v>
      </c>
      <c r="G8" s="267" t="s">
        <v>22</v>
      </c>
      <c r="H8" s="263" t="s">
        <v>23</v>
      </c>
      <c r="I8" s="88" t="s">
        <v>123</v>
      </c>
    </row>
    <row r="9" spans="1:18" ht="14.45" customHeight="1" thickBot="1" x14ac:dyDescent="0.25">
      <c r="A9" s="409"/>
      <c r="B9" s="97">
        <f>VAC_Optim_Scenario!G26</f>
        <v>2400000</v>
      </c>
      <c r="C9" s="97">
        <f>VAC_Optim_Scenario!H26</f>
        <v>6000000</v>
      </c>
      <c r="D9" s="68">
        <f>VAC_Optim_Scenario!I26</f>
        <v>2400000</v>
      </c>
      <c r="E9" s="84">
        <f>((($R$12/(1+EXP($P$12+$Q$12*D9)))-1) - ($F$12-$C$12))*$I$12</f>
        <v>18136.499281739816</v>
      </c>
      <c r="F9" s="89">
        <f>E9*$G$12</f>
        <v>18136.499281739816</v>
      </c>
      <c r="G9" s="97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100" t="s">
        <v>167</v>
      </c>
    </row>
    <row r="10" spans="1:18" ht="13.5" thickBot="1" x14ac:dyDescent="0.25"/>
    <row r="11" spans="1:18" ht="51.6" customHeight="1" x14ac:dyDescent="0.2">
      <c r="A11" s="408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00" t="s">
        <v>25</v>
      </c>
      <c r="L11" s="269" t="s">
        <v>110</v>
      </c>
      <c r="M11" s="269" t="s">
        <v>111</v>
      </c>
      <c r="N11" s="269" t="s">
        <v>112</v>
      </c>
      <c r="O11" s="269" t="s">
        <v>113</v>
      </c>
      <c r="P11" s="269" t="s">
        <v>26</v>
      </c>
      <c r="Q11" s="269" t="s">
        <v>27</v>
      </c>
      <c r="R11" s="270" t="s">
        <v>28</v>
      </c>
    </row>
    <row r="12" spans="1:18" ht="15" customHeight="1" thickBot="1" x14ac:dyDescent="0.25">
      <c r="A12" s="409"/>
      <c r="B12" s="299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300">
        <f>VAC_Optim_Scenario!D26</f>
        <v>1</v>
      </c>
      <c r="K12" s="401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02" t="s">
        <v>169</v>
      </c>
      <c r="B13" s="403"/>
      <c r="C13" s="403"/>
      <c r="D13" s="403"/>
      <c r="E13" s="403"/>
      <c r="F13" s="404"/>
      <c r="G13" s="263" t="s">
        <v>150</v>
      </c>
      <c r="H13" s="263" t="s">
        <v>151</v>
      </c>
      <c r="K13" s="402" t="s">
        <v>115</v>
      </c>
      <c r="L13" s="403"/>
      <c r="M13" s="403"/>
      <c r="N13" s="403"/>
      <c r="O13" s="403"/>
      <c r="P13" s="403"/>
      <c r="Q13" s="403"/>
      <c r="R13" s="404"/>
    </row>
    <row r="14" spans="1:18" ht="33.6" customHeight="1" thickBot="1" x14ac:dyDescent="0.25">
      <c r="A14" s="405"/>
      <c r="B14" s="406"/>
      <c r="C14" s="406"/>
      <c r="D14" s="406"/>
      <c r="E14" s="406"/>
      <c r="F14" s="407"/>
      <c r="G14" s="97">
        <f>VAC_Optim_Scenario!$I$33</f>
        <v>225.94</v>
      </c>
      <c r="H14" s="97">
        <f>VAC_Optim_Scenario!$F$33</f>
        <v>225.94</v>
      </c>
      <c r="K14" s="405"/>
      <c r="L14" s="406"/>
      <c r="M14" s="406"/>
      <c r="N14" s="406"/>
      <c r="O14" s="406"/>
      <c r="P14" s="406"/>
      <c r="Q14" s="406"/>
      <c r="R14" s="407"/>
    </row>
    <row r="16" spans="1:18" ht="13.5" thickBot="1" x14ac:dyDescent="0.25"/>
    <row r="17" spans="1:8" ht="42.6" customHeight="1" x14ac:dyDescent="0.2">
      <c r="A17" s="400" t="s">
        <v>34</v>
      </c>
      <c r="B17" s="269" t="s">
        <v>32</v>
      </c>
      <c r="C17" s="269" t="s">
        <v>31</v>
      </c>
      <c r="D17" s="270" t="s">
        <v>33</v>
      </c>
      <c r="F17" s="82"/>
      <c r="G17" s="82"/>
      <c r="H17" s="83"/>
    </row>
    <row r="18" spans="1:8" ht="23.45" customHeight="1" thickBot="1" x14ac:dyDescent="0.25">
      <c r="A18" s="401"/>
      <c r="B18" s="75">
        <v>0</v>
      </c>
      <c r="C18" s="76">
        <v>4000000</v>
      </c>
      <c r="D18" s="26">
        <v>20</v>
      </c>
    </row>
    <row r="20" spans="1:8" x14ac:dyDescent="0.2">
      <c r="A20" s="381" t="s">
        <v>37</v>
      </c>
      <c r="B20" s="381"/>
      <c r="C20" s="381"/>
    </row>
    <row r="21" spans="1:8" ht="25.5" x14ac:dyDescent="0.2">
      <c r="A21" s="263" t="s">
        <v>35</v>
      </c>
      <c r="B21" s="263" t="s">
        <v>170</v>
      </c>
      <c r="C21" s="263" t="s">
        <v>171</v>
      </c>
      <c r="D21" s="100" t="s">
        <v>172</v>
      </c>
      <c r="E21" s="26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100">
        <f>(B23-B22)/A23</f>
        <v>9.4204946470307187E-3</v>
      </c>
      <c r="E23" s="118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100">
        <f t="shared" ref="D24:D42" si="4">(B24-B23)/A24</f>
        <v>4.5170214265957478E-3</v>
      </c>
      <c r="E24" s="118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100">
        <f t="shared" si="4"/>
        <v>2.8877194510695215E-3</v>
      </c>
      <c r="E25" s="118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100">
        <f t="shared" si="4"/>
        <v>2.0768093194591347E-3</v>
      </c>
      <c r="E26" s="118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100">
        <f t="shared" si="4"/>
        <v>1.5931394569259137E-3</v>
      </c>
      <c r="E27" s="118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100">
        <f t="shared" si="4"/>
        <v>1.2729961581349684E-3</v>
      </c>
      <c r="E28" s="118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100">
        <f t="shared" si="4"/>
        <v>1.0462193082053481E-3</v>
      </c>
      <c r="E29" s="118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100">
        <f t="shared" si="4"/>
        <v>8.7773131352849307E-4</v>
      </c>
      <c r="E30" s="118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100">
        <f t="shared" si="4"/>
        <v>7.4804674604545451E-4</v>
      </c>
      <c r="E31" s="118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100">
        <f t="shared" si="4"/>
        <v>6.4547620168561111E-4</v>
      </c>
      <c r="E32" s="118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100">
        <f t="shared" si="4"/>
        <v>5.6258260038935331E-4</v>
      </c>
      <c r="E33" s="118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100">
        <f t="shared" si="4"/>
        <v>4.9440933689824304E-4</v>
      </c>
      <c r="E34" s="118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100">
        <f t="shared" si="4"/>
        <v>4.3752620885112822E-4</v>
      </c>
      <c r="E35" s="118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100">
        <f t="shared" si="4"/>
        <v>3.8948423359276991E-4</v>
      </c>
      <c r="E36" s="118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100">
        <f t="shared" si="4"/>
        <v>3.4848853900097313E-4</v>
      </c>
      <c r="E37" s="118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100">
        <f t="shared" si="4"/>
        <v>3.1319392096658703E-4</v>
      </c>
      <c r="E38" s="118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100">
        <f t="shared" si="4"/>
        <v>2.8257255776456612E-4</v>
      </c>
      <c r="E39" s="118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100">
        <f t="shared" si="4"/>
        <v>2.5582582029902066E-4</v>
      </c>
      <c r="E40" s="118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100">
        <f t="shared" si="4"/>
        <v>2.3232393240727681E-4</v>
      </c>
      <c r="E41" s="118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100">
        <f t="shared" si="4"/>
        <v>2.115637336897198E-4</v>
      </c>
      <c r="E42" s="118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86" t="s">
        <v>100</v>
      </c>
      <c r="G2" s="387"/>
      <c r="H2" s="387"/>
      <c r="I2" s="387"/>
      <c r="J2" s="387"/>
      <c r="K2" s="387"/>
      <c r="L2" s="388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389" t="s">
        <v>72</v>
      </c>
      <c r="G3" s="390"/>
      <c r="H3" s="390"/>
      <c r="I3" s="390"/>
      <c r="J3" s="390"/>
      <c r="K3" s="390"/>
      <c r="L3" s="391"/>
    </row>
    <row r="4" spans="1:12" ht="13.5" thickBot="1" x14ac:dyDescent="0.25">
      <c r="A4" s="29" t="s">
        <v>38</v>
      </c>
      <c r="B4" s="422" t="s">
        <v>39</v>
      </c>
      <c r="C4" s="422"/>
      <c r="D4" s="423"/>
    </row>
    <row r="6" spans="1:12" ht="13.5" thickBot="1" x14ac:dyDescent="0.25"/>
    <row r="7" spans="1:12" ht="27.75" customHeight="1" x14ac:dyDescent="0.2">
      <c r="A7" s="408" t="s">
        <v>8</v>
      </c>
      <c r="B7" s="413" t="s">
        <v>9</v>
      </c>
      <c r="C7" s="414"/>
      <c r="D7" s="415" t="s">
        <v>12</v>
      </c>
      <c r="E7" s="417"/>
      <c r="F7" s="416" t="s">
        <v>24</v>
      </c>
      <c r="G7" s="430"/>
    </row>
    <row r="8" spans="1:12" ht="25.5" x14ac:dyDescent="0.2">
      <c r="A8" s="41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09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08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08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09"/>
      <c r="B12" s="12">
        <v>20</v>
      </c>
      <c r="C12" s="12">
        <v>30</v>
      </c>
      <c r="D12" s="12">
        <v>0</v>
      </c>
      <c r="E12" s="14">
        <v>70</v>
      </c>
      <c r="G12" s="409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02" t="s">
        <v>30</v>
      </c>
      <c r="B13" s="403"/>
      <c r="C13" s="403"/>
      <c r="D13" s="403"/>
      <c r="E13" s="404"/>
      <c r="G13" s="424" t="s">
        <v>29</v>
      </c>
      <c r="H13" s="425"/>
      <c r="I13" s="425"/>
      <c r="J13" s="426"/>
    </row>
    <row r="14" spans="1:12" ht="33.6" customHeight="1" x14ac:dyDescent="0.2">
      <c r="A14" s="405"/>
      <c r="B14" s="406"/>
      <c r="C14" s="406"/>
      <c r="D14" s="406"/>
      <c r="E14" s="407"/>
      <c r="G14" s="427"/>
      <c r="H14" s="428"/>
      <c r="I14" s="428"/>
      <c r="J14" s="429"/>
    </row>
    <row r="16" spans="1:12" ht="13.5" thickBot="1" x14ac:dyDescent="0.25"/>
    <row r="17" spans="1:4" ht="17.100000000000001" customHeight="1" x14ac:dyDescent="0.2">
      <c r="A17" s="400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01"/>
      <c r="B18" s="12">
        <v>0</v>
      </c>
      <c r="C18" s="12">
        <v>100</v>
      </c>
      <c r="D18" s="26">
        <v>20</v>
      </c>
    </row>
    <row r="20" spans="1:4" x14ac:dyDescent="0.2">
      <c r="A20" s="381" t="s">
        <v>37</v>
      </c>
      <c r="B20" s="381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86" t="s">
        <v>100</v>
      </c>
      <c r="G2" s="387"/>
      <c r="H2" s="387"/>
      <c r="I2" s="387"/>
      <c r="J2" s="387"/>
      <c r="K2" s="387"/>
      <c r="L2" s="388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389" t="s">
        <v>72</v>
      </c>
      <c r="G3" s="390"/>
      <c r="H3" s="390"/>
      <c r="I3" s="390"/>
      <c r="J3" s="390"/>
      <c r="K3" s="390"/>
      <c r="L3" s="391"/>
    </row>
    <row r="4" spans="1:12" ht="31.7" customHeight="1" thickBot="1" x14ac:dyDescent="0.25">
      <c r="A4" s="29" t="s">
        <v>38</v>
      </c>
      <c r="B4" s="431" t="s">
        <v>41</v>
      </c>
      <c r="C4" s="432"/>
      <c r="D4" s="433"/>
    </row>
    <row r="6" spans="1:12" ht="13.5" thickBot="1" x14ac:dyDescent="0.25"/>
    <row r="7" spans="1:12" ht="27.75" customHeight="1" x14ac:dyDescent="0.2">
      <c r="A7" s="408" t="s">
        <v>8</v>
      </c>
      <c r="B7" s="413" t="s">
        <v>9</v>
      </c>
      <c r="C7" s="414"/>
      <c r="D7" s="415" t="s">
        <v>12</v>
      </c>
      <c r="E7" s="417"/>
      <c r="F7" s="416" t="s">
        <v>24</v>
      </c>
      <c r="G7" s="430"/>
      <c r="H7" s="1" t="s">
        <v>54</v>
      </c>
    </row>
    <row r="8" spans="1:12" ht="25.5" x14ac:dyDescent="0.2">
      <c r="A8" s="41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09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08" t="s">
        <v>42</v>
      </c>
      <c r="B11" s="361" t="s">
        <v>47</v>
      </c>
      <c r="C11" s="435" t="s">
        <v>46</v>
      </c>
      <c r="D11" s="416"/>
      <c r="E11" s="416"/>
      <c r="F11" s="3" t="s">
        <v>48</v>
      </c>
      <c r="G11" s="33"/>
      <c r="H11" s="32"/>
      <c r="I11" s="32"/>
      <c r="J11" s="32"/>
    </row>
    <row r="12" spans="1:12" x14ac:dyDescent="0.2">
      <c r="A12" s="436"/>
      <c r="B12" s="362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37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34" t="s">
        <v>52</v>
      </c>
      <c r="B14" s="434"/>
      <c r="C14" s="434"/>
      <c r="D14" s="434"/>
      <c r="E14" s="434"/>
      <c r="F14" s="434"/>
      <c r="G14" s="38"/>
      <c r="H14" s="39"/>
      <c r="I14" s="39"/>
      <c r="J14" s="39"/>
    </row>
    <row r="15" spans="1:12" ht="30.6" customHeight="1" x14ac:dyDescent="0.2">
      <c r="A15" s="434"/>
      <c r="B15" s="434"/>
      <c r="C15" s="434"/>
      <c r="D15" s="434"/>
      <c r="E15" s="434"/>
      <c r="F15" s="434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00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01"/>
      <c r="B19" s="12">
        <v>0</v>
      </c>
      <c r="C19" s="12">
        <v>20000000</v>
      </c>
      <c r="D19" s="26">
        <v>20</v>
      </c>
    </row>
    <row r="21" spans="1:4" x14ac:dyDescent="0.2">
      <c r="A21" s="381" t="s">
        <v>37</v>
      </c>
      <c r="B21" s="381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386" t="s">
        <v>100</v>
      </c>
      <c r="G2" s="387"/>
      <c r="H2" s="387"/>
      <c r="I2" s="387"/>
      <c r="J2" s="387"/>
      <c r="K2" s="387"/>
      <c r="L2" s="388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389" t="s">
        <v>72</v>
      </c>
      <c r="G3" s="390"/>
      <c r="H3" s="390"/>
      <c r="I3" s="390"/>
      <c r="J3" s="390"/>
      <c r="K3" s="390"/>
      <c r="L3" s="391"/>
    </row>
    <row r="4" spans="1:14" ht="13.5" thickBot="1" x14ac:dyDescent="0.25">
      <c r="A4" s="29" t="s">
        <v>38</v>
      </c>
      <c r="B4" s="422" t="s">
        <v>57</v>
      </c>
      <c r="C4" s="422"/>
      <c r="D4" s="423"/>
    </row>
    <row r="6" spans="1:14" ht="13.5" thickBot="1" x14ac:dyDescent="0.25"/>
    <row r="7" spans="1:14" ht="27.75" customHeight="1" x14ac:dyDescent="0.2">
      <c r="A7" s="408" t="s">
        <v>8</v>
      </c>
      <c r="B7" s="413" t="s">
        <v>9</v>
      </c>
      <c r="C7" s="414"/>
      <c r="D7" s="415" t="s">
        <v>12</v>
      </c>
      <c r="E7" s="417"/>
      <c r="F7" s="416" t="s">
        <v>24</v>
      </c>
      <c r="G7" s="430"/>
      <c r="I7" s="440" t="s">
        <v>73</v>
      </c>
      <c r="J7" s="440"/>
      <c r="K7" s="440"/>
      <c r="L7" s="440"/>
      <c r="N7" s="47" t="s">
        <v>58</v>
      </c>
    </row>
    <row r="8" spans="1:14" ht="25.5" x14ac:dyDescent="0.2">
      <c r="A8" s="41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40"/>
      <c r="J8" s="440"/>
      <c r="K8" s="440"/>
      <c r="L8" s="440"/>
      <c r="N8" s="47" t="s">
        <v>59</v>
      </c>
    </row>
    <row r="9" spans="1:14" ht="13.5" thickBot="1" x14ac:dyDescent="0.25">
      <c r="A9" s="409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381" t="s">
        <v>60</v>
      </c>
      <c r="B11" s="3" t="s">
        <v>61</v>
      </c>
      <c r="C11" s="3" t="s">
        <v>62</v>
      </c>
      <c r="D11" s="32"/>
      <c r="E11" s="438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381"/>
      <c r="B12" s="41">
        <v>0</v>
      </c>
      <c r="C12" s="41">
        <v>0</v>
      </c>
      <c r="D12" s="32"/>
      <c r="E12" s="439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381"/>
      <c r="B13" s="41">
        <v>1</v>
      </c>
      <c r="C13" s="41">
        <v>0.75</v>
      </c>
      <c r="D13" s="32"/>
      <c r="E13" s="439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381"/>
      <c r="B14" s="41">
        <v>2</v>
      </c>
      <c r="C14" s="41">
        <v>0</v>
      </c>
      <c r="D14" s="32"/>
      <c r="E14" s="439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381"/>
      <c r="B15" s="41">
        <v>3</v>
      </c>
      <c r="C15" s="41">
        <v>-1</v>
      </c>
      <c r="D15" s="32"/>
      <c r="E15" s="439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381"/>
      <c r="B16" s="41">
        <v>4</v>
      </c>
      <c r="C16" s="41">
        <v>3</v>
      </c>
      <c r="D16" s="32"/>
      <c r="E16" s="439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381"/>
      <c r="B17" s="42">
        <v>5</v>
      </c>
      <c r="C17" s="42">
        <v>3</v>
      </c>
      <c r="D17" s="40"/>
      <c r="E17" s="439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41" t="s">
        <v>74</v>
      </c>
      <c r="B18" s="442"/>
      <c r="C18" s="443"/>
      <c r="D18" s="33"/>
      <c r="E18" s="434" t="s">
        <v>75</v>
      </c>
      <c r="F18" s="434"/>
      <c r="G18" s="434"/>
      <c r="H18" s="434"/>
      <c r="I18" s="434"/>
      <c r="J18" s="434"/>
      <c r="K18" s="434"/>
      <c r="L18" s="434"/>
      <c r="M18" s="434"/>
    </row>
    <row r="19" spans="1:13" ht="35.450000000000003" customHeight="1" x14ac:dyDescent="0.2">
      <c r="A19" s="405"/>
      <c r="B19" s="406"/>
      <c r="C19" s="407"/>
      <c r="D19" s="33"/>
      <c r="E19" s="434"/>
      <c r="F19" s="434"/>
      <c r="G19" s="434"/>
      <c r="H19" s="434"/>
      <c r="I19" s="434"/>
      <c r="J19" s="434"/>
      <c r="K19" s="434"/>
      <c r="L19" s="434"/>
      <c r="M19" s="434"/>
    </row>
    <row r="21" spans="1:13" ht="13.5" thickBot="1" x14ac:dyDescent="0.25"/>
    <row r="22" spans="1:13" ht="17.100000000000001" customHeight="1" x14ac:dyDescent="0.2">
      <c r="A22" s="400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01"/>
      <c r="B23" s="12">
        <v>0</v>
      </c>
      <c r="C23" s="12">
        <v>5</v>
      </c>
      <c r="D23" s="26">
        <v>20</v>
      </c>
    </row>
    <row r="25" spans="1:13" x14ac:dyDescent="0.2">
      <c r="A25" s="381" t="s">
        <v>37</v>
      </c>
      <c r="B25" s="381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44" t="s">
        <v>106</v>
      </c>
      <c r="C4" s="444"/>
      <c r="D4" s="444"/>
      <c r="E4" s="444"/>
      <c r="F4" s="445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08" t="s">
        <v>8</v>
      </c>
      <c r="B7" s="413" t="s">
        <v>9</v>
      </c>
      <c r="C7" s="414"/>
      <c r="D7" s="415" t="s">
        <v>12</v>
      </c>
      <c r="E7" s="417"/>
      <c r="F7" s="416" t="s">
        <v>24</v>
      </c>
      <c r="G7" s="430"/>
    </row>
    <row r="8" spans="1:15" ht="25.5" x14ac:dyDescent="0.2">
      <c r="A8" s="412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09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08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00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09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01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02" t="s">
        <v>114</v>
      </c>
      <c r="B13" s="403"/>
      <c r="C13" s="403"/>
      <c r="D13" s="403"/>
      <c r="E13" s="403"/>
      <c r="F13" s="404"/>
      <c r="H13" s="402" t="s">
        <v>115</v>
      </c>
      <c r="I13" s="403"/>
      <c r="J13" s="403"/>
      <c r="K13" s="403"/>
      <c r="L13" s="403"/>
      <c r="M13" s="403"/>
      <c r="N13" s="403"/>
      <c r="O13" s="404"/>
    </row>
    <row r="14" spans="1:15" ht="33.6" customHeight="1" x14ac:dyDescent="0.2">
      <c r="A14" s="405"/>
      <c r="B14" s="406"/>
      <c r="C14" s="406"/>
      <c r="D14" s="406"/>
      <c r="E14" s="406"/>
      <c r="F14" s="407"/>
      <c r="H14" s="405"/>
      <c r="I14" s="406"/>
      <c r="J14" s="406"/>
      <c r="K14" s="406"/>
      <c r="L14" s="406"/>
      <c r="M14" s="406"/>
      <c r="N14" s="406"/>
      <c r="O14" s="407"/>
    </row>
    <row r="16" spans="1:15" ht="13.5" thickBot="1" x14ac:dyDescent="0.25"/>
    <row r="17" spans="1:4" ht="17.100000000000001" customHeight="1" x14ac:dyDescent="0.2">
      <c r="A17" s="400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01"/>
      <c r="B18" s="75">
        <v>0</v>
      </c>
      <c r="C18" s="76">
        <v>200000000</v>
      </c>
      <c r="D18" s="26">
        <v>20</v>
      </c>
    </row>
    <row r="20" spans="1:4" x14ac:dyDescent="0.2">
      <c r="A20" s="381" t="s">
        <v>37</v>
      </c>
      <c r="B20" s="381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Sensitivity - Template</vt:lpstr>
      <vt:lpstr>Current Constraints</vt:lpstr>
      <vt:lpstr>Chart - Combined</vt:lpstr>
      <vt:lpstr>Sensitivity</vt:lpstr>
      <vt:lpstr>Contribution, promo eff, ROI</vt:lpstr>
      <vt:lpstr>Scenario summary_dz</vt:lpstr>
      <vt:lpstr>Scenario deep dive_dz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2023-09-01T13:57:53Z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